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61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tobiason\Dropbox\JET Drive from Lenovo 9-8-16\JET Synched\Projects\MA DEP Lead\Admin PbPhase2\Masterfiles\"/>
    </mc:Choice>
  </mc:AlternateContent>
  <xr:revisionPtr revIDLastSave="0" documentId="8_{2F680E16-D355-4F2C-B730-93A38BFEEB1A}" xr6:coauthVersionLast="47" xr6:coauthVersionMax="47" xr10:uidLastSave="{00000000-0000-0000-0000-000000000000}"/>
  <bookViews>
    <workbookView xWindow="30615" yWindow="3825" windowWidth="21600" windowHeight="11325" tabRatio="413" firstSheet="3" activeTab="3" xr2:uid="{00000000-000D-0000-FFFF-FFFF00000000}"/>
  </bookViews>
  <sheets>
    <sheet name="Admin Unit" sheetId="1" r:id="rId1"/>
    <sheet name="Facilities" sheetId="7" r:id="rId2"/>
    <sheet name="Contacts" sheetId="9" r:id="rId3"/>
    <sheet name="Stats" sheetId="8" r:id="rId4"/>
  </sheets>
  <definedNames>
    <definedName name="_xlnm._FilterDatabase" localSheetId="0" hidden="1">'Admin Unit'!$Q$1:$Q$61</definedName>
    <definedName name="_xlnm._FilterDatabase" localSheetId="2" hidden="1">Contacts!$B$1:$B$59</definedName>
    <definedName name="_xlnm._FilterDatabase" localSheetId="1" hidden="1">Facilities!$J$1:$J$253</definedName>
    <definedName name="_xlnm.Print_Area" localSheetId="0">'Admin Unit'!$A$7:$B$45</definedName>
    <definedName name="townsRFI_1" localSheetId="0">'Admin Unit'!$B$1:$B$7</definedName>
  </definedNames>
  <calcPr calcId="191028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9" i="8" l="1"/>
  <c r="L28" i="8"/>
  <c r="L27" i="8"/>
  <c r="J24" i="8"/>
  <c r="J29" i="8"/>
  <c r="J28" i="8"/>
  <c r="J27" i="8"/>
  <c r="B258" i="7" l="1"/>
  <c r="B257" i="7"/>
  <c r="B256" i="7"/>
  <c r="B255" i="7"/>
  <c r="R109" i="7" l="1"/>
  <c r="R93" i="7"/>
  <c r="G18" i="8" l="1"/>
  <c r="R154" i="7"/>
  <c r="P17" i="1" s="1"/>
  <c r="F19" i="8"/>
  <c r="R136" i="7"/>
  <c r="P36" i="1" s="1"/>
  <c r="R59" i="7"/>
  <c r="P20" i="1" s="1"/>
  <c r="R141" i="7"/>
  <c r="P37" i="1" s="1"/>
  <c r="R147" i="7"/>
  <c r="P11" i="1" s="1"/>
  <c r="R135" i="7"/>
  <c r="P14" i="1" s="1"/>
  <c r="R167" i="7"/>
  <c r="P35" i="1" s="1"/>
  <c r="R152" i="7"/>
  <c r="P18" i="1" s="1"/>
  <c r="R172" i="7"/>
  <c r="P34" i="1" s="1"/>
  <c r="N30" i="7"/>
  <c r="R28" i="7" s="1"/>
  <c r="P22" i="1" s="1"/>
  <c r="R165" i="7"/>
  <c r="P27" i="1" s="1"/>
  <c r="R145" i="7"/>
  <c r="P23" i="1" s="1"/>
  <c r="R173" i="7"/>
  <c r="P13" i="1" s="1"/>
  <c r="R142" i="7"/>
  <c r="P12" i="1" s="1"/>
  <c r="C2" i="8"/>
  <c r="R150" i="7"/>
  <c r="P28" i="1" s="1"/>
  <c r="R111" i="7"/>
  <c r="P32" i="1" s="1"/>
  <c r="C4" i="8"/>
  <c r="F7" i="8"/>
  <c r="F6" i="8"/>
  <c r="F32" i="8"/>
  <c r="F21" i="8"/>
  <c r="C3" i="8"/>
  <c r="F17" i="8"/>
  <c r="F24" i="8"/>
  <c r="L24" i="8" s="1"/>
  <c r="F23" i="8"/>
  <c r="F22" i="8"/>
  <c r="N127" i="7"/>
  <c r="R129" i="7" s="1"/>
  <c r="P7" i="1" s="1"/>
  <c r="F20" i="8"/>
  <c r="F5" i="8"/>
  <c r="R26" i="7"/>
  <c r="P16" i="1" s="1"/>
  <c r="R9" i="7"/>
  <c r="P39" i="1" s="1"/>
  <c r="N139" i="7"/>
  <c r="N149" i="7"/>
  <c r="N41" i="7"/>
  <c r="F12" i="8"/>
  <c r="F11" i="8"/>
  <c r="R151" i="7"/>
  <c r="P31" i="1" s="1"/>
  <c r="C5" i="8"/>
  <c r="F18" i="8"/>
  <c r="R104" i="7"/>
  <c r="P9" i="1" s="1"/>
  <c r="N130" i="7"/>
  <c r="R130" i="7" s="1"/>
  <c r="P29" i="1" s="1"/>
  <c r="F16" i="8"/>
  <c r="F15" i="8"/>
  <c r="F2" i="8"/>
  <c r="F8" i="8"/>
  <c r="F4" i="8"/>
  <c r="F3" i="8"/>
  <c r="P19" i="1"/>
  <c r="R3" i="7"/>
  <c r="R174" i="7"/>
  <c r="P45" i="1" s="1"/>
  <c r="R105" i="7"/>
  <c r="P43" i="1" s="1"/>
  <c r="R143" i="7"/>
  <c r="P33" i="1" s="1"/>
  <c r="P53" i="1"/>
  <c r="R171" i="7"/>
  <c r="P44" i="1" s="1"/>
  <c r="R133" i="7"/>
  <c r="P42" i="1" s="1"/>
  <c r="R169" i="7"/>
  <c r="P24" i="1" s="1"/>
  <c r="R17" i="7"/>
  <c r="P8" i="1" s="1"/>
  <c r="R164" i="7"/>
  <c r="P15" i="1" s="1"/>
  <c r="R117" i="7"/>
  <c r="P41" i="1" s="1"/>
  <c r="R175" i="7"/>
  <c r="P38" i="1" s="1"/>
  <c r="P54" i="1"/>
  <c r="P3" i="1"/>
  <c r="R231" i="7"/>
  <c r="R92" i="7"/>
  <c r="P10" i="1" s="1"/>
  <c r="R168" i="7"/>
  <c r="P26" i="1" s="1"/>
  <c r="R138" i="7"/>
  <c r="P25" i="1" s="1"/>
  <c r="R140" i="7"/>
  <c r="P21" i="1" s="1"/>
  <c r="G27" i="8" l="1"/>
  <c r="G28" i="8"/>
  <c r="G29" i="8"/>
  <c r="L21" i="8"/>
  <c r="M24" i="8" s="1"/>
  <c r="C9" i="8"/>
  <c r="G24" i="8"/>
  <c r="G23" i="8"/>
  <c r="C10" i="8"/>
  <c r="C12" i="8" s="1"/>
  <c r="C8" i="8"/>
  <c r="G22" i="8"/>
  <c r="C6" i="8"/>
  <c r="R170" i="7"/>
  <c r="P40" i="1" s="1"/>
  <c r="C7" i="8"/>
  <c r="M29" i="8" l="1"/>
  <c r="M28" i="8"/>
  <c r="M27" i="8"/>
</calcChain>
</file>

<file path=xl/sharedStrings.xml><?xml version="1.0" encoding="utf-8"?>
<sst xmlns="http://schemas.openxmlformats.org/spreadsheetml/2006/main" count="4913" uniqueCount="1394">
  <si>
    <t>School Admin Unit</t>
  </si>
  <si>
    <t>Location</t>
  </si>
  <si>
    <t>Date Record Updated</t>
  </si>
  <si>
    <t>Assistance Requested</t>
  </si>
  <si>
    <t>Report Tool PIN</t>
  </si>
  <si>
    <t>PWS?</t>
  </si>
  <si>
    <t>MWRA?</t>
  </si>
  <si>
    <t>Phase 1?</t>
  </si>
  <si>
    <t xml:space="preserve"># Schools </t>
  </si>
  <si>
    <t>Date for IM</t>
  </si>
  <si>
    <t>IM time</t>
  </si>
  <si>
    <t>Primary TAP</t>
  </si>
  <si>
    <t>Sample Plan</t>
  </si>
  <si>
    <t>Date First Sampled</t>
  </si>
  <si>
    <t>Laboratory</t>
  </si>
  <si>
    <t>Total # Samples</t>
  </si>
  <si>
    <t>Status?</t>
  </si>
  <si>
    <t>DEP Region</t>
  </si>
  <si>
    <t>TAP(s) at IM</t>
  </si>
  <si>
    <t>Comments</t>
  </si>
  <si>
    <t>Dracut</t>
  </si>
  <si>
    <t>DRACUT</t>
  </si>
  <si>
    <t>Follow up</t>
  </si>
  <si>
    <t>1a3c-c76b-6dc8</t>
  </si>
  <si>
    <t>N</t>
  </si>
  <si>
    <t>Y</t>
  </si>
  <si>
    <t>none needed</t>
  </si>
  <si>
    <t>RL</t>
  </si>
  <si>
    <t>Advice given</t>
  </si>
  <si>
    <t>Northeast</t>
  </si>
  <si>
    <t>Helped with Tool</t>
  </si>
  <si>
    <t>ReadingPS</t>
  </si>
  <si>
    <t>READING</t>
  </si>
  <si>
    <t>56d8-2e54-5df8</t>
  </si>
  <si>
    <t>Springfield</t>
  </si>
  <si>
    <t>SPRINGFIELD</t>
  </si>
  <si>
    <t>20d2-d383-fc0f</t>
  </si>
  <si>
    <t>Western</t>
  </si>
  <si>
    <t>Helped with Cu Exceedances</t>
  </si>
  <si>
    <t>Wilmington</t>
  </si>
  <si>
    <t>WILMINGTON</t>
  </si>
  <si>
    <t>f51d-0aac-243b</t>
  </si>
  <si>
    <t>WorcesterPS</t>
  </si>
  <si>
    <t>WORCESTER</t>
  </si>
  <si>
    <t>be6e-d2bf-4f12</t>
  </si>
  <si>
    <t>Central</t>
  </si>
  <si>
    <t>Helped with Tool and Lab Uploading of data</t>
  </si>
  <si>
    <t>AgawamPS</t>
  </si>
  <si>
    <t>AGAWAM</t>
  </si>
  <si>
    <t>Full sampling</t>
  </si>
  <si>
    <t>4c48-1654-3b10</t>
  </si>
  <si>
    <t xml:space="preserve"> 9:30AM</t>
  </si>
  <si>
    <t>BH</t>
  </si>
  <si>
    <t>8:8</t>
  </si>
  <si>
    <t>All Results sent</t>
  </si>
  <si>
    <t>UMassAmherstCEEC</t>
  </si>
  <si>
    <t>AMHERST</t>
  </si>
  <si>
    <t>c101-79a5-b3fb</t>
  </si>
  <si>
    <t>11:00AM</t>
  </si>
  <si>
    <t>1:1</t>
  </si>
  <si>
    <t>Alpha Analytical</t>
  </si>
  <si>
    <t>All results sent</t>
  </si>
  <si>
    <t>Sampled by John Tobiason</t>
  </si>
  <si>
    <t>NRSD</t>
  </si>
  <si>
    <t>BOLTON</t>
  </si>
  <si>
    <t>d10e-83ca-eb31</t>
  </si>
  <si>
    <t>10:00AM</t>
  </si>
  <si>
    <t>GB</t>
  </si>
  <si>
    <t>6:6</t>
  </si>
  <si>
    <t>RI Analytical</t>
  </si>
  <si>
    <t>MasconometRSD</t>
  </si>
  <si>
    <t>BOXFORD</t>
  </si>
  <si>
    <t>2713-1fd5-c636</t>
  </si>
  <si>
    <t>1:30PM</t>
  </si>
  <si>
    <t>Tri-Town School Union</t>
  </si>
  <si>
    <t>2c25-1998-195a</t>
  </si>
  <si>
    <t>Y/N</t>
  </si>
  <si>
    <t>BraintreePS</t>
  </si>
  <si>
    <t>BRAINTREE</t>
  </si>
  <si>
    <t>f364-9b10-1331</t>
  </si>
  <si>
    <t>2:30PM</t>
  </si>
  <si>
    <t>10:10</t>
  </si>
  <si>
    <t>Southeast</t>
  </si>
  <si>
    <t>BRRSD</t>
  </si>
  <si>
    <t>BRIDGEWATER</t>
  </si>
  <si>
    <t>69b1-0b42-0241</t>
  </si>
  <si>
    <t>TB</t>
  </si>
  <si>
    <t>6:7</t>
  </si>
  <si>
    <t>SelfHelp</t>
  </si>
  <si>
    <t>BROCKTON</t>
  </si>
  <si>
    <t>f4d5-ee2f-a606</t>
  </si>
  <si>
    <t>3:3</t>
  </si>
  <si>
    <t>TritonRSD</t>
  </si>
  <si>
    <t>BYFIELD</t>
  </si>
  <si>
    <t>51d3-99e5-3ff9</t>
  </si>
  <si>
    <t>09:00AM</t>
  </si>
  <si>
    <t>5:5</t>
  </si>
  <si>
    <t>Granite</t>
  </si>
  <si>
    <t>GB,TB</t>
  </si>
  <si>
    <t>ClintonPS</t>
  </si>
  <si>
    <t>CLINTON</t>
  </si>
  <si>
    <t>454c-ae3b-9b86</t>
  </si>
  <si>
    <t xml:space="preserve"> 9:00AM</t>
  </si>
  <si>
    <t>LL</t>
  </si>
  <si>
    <t>3 :4</t>
  </si>
  <si>
    <t>MWRA</t>
  </si>
  <si>
    <t>Children's Workshop</t>
  </si>
  <si>
    <t>CUMBERLAND RI</t>
  </si>
  <si>
    <t>8db9-c1c8-fd68</t>
  </si>
  <si>
    <t>0:8</t>
  </si>
  <si>
    <t>Barnstable</t>
  </si>
  <si>
    <t>NE, C, SE</t>
  </si>
  <si>
    <t>Little Folks</t>
  </si>
  <si>
    <t>EAST  BOSTON</t>
  </si>
  <si>
    <t>a2ab-4c07-7ef5</t>
  </si>
  <si>
    <t>2:2</t>
  </si>
  <si>
    <t>TEC-COOP</t>
  </si>
  <si>
    <t>EAST WALPOLE</t>
  </si>
  <si>
    <t>998e-32db-f396</t>
  </si>
  <si>
    <t>TantasquaRSD</t>
  </si>
  <si>
    <t>FISKDALE</t>
  </si>
  <si>
    <t>0646-20fd-b0b2</t>
  </si>
  <si>
    <t>9:00AM</t>
  </si>
  <si>
    <t>GraftonPS</t>
  </si>
  <si>
    <t>GRAFTON</t>
  </si>
  <si>
    <t>564b-9d1d-ba83</t>
  </si>
  <si>
    <t xml:space="preserve"> 10:00AM</t>
  </si>
  <si>
    <t>HaverhillComAct</t>
  </si>
  <si>
    <t>HAVERHILL</t>
  </si>
  <si>
    <t>ccfc-01a5-1f2c</t>
  </si>
  <si>
    <t>PositiveRegard</t>
  </si>
  <si>
    <t>HOLYOKE</t>
  </si>
  <si>
    <t>abca-e8e8-abf7</t>
  </si>
  <si>
    <t>9:30AM</t>
  </si>
  <si>
    <t>MI</t>
  </si>
  <si>
    <t>Eurofins</t>
  </si>
  <si>
    <t>WachusettRSD</t>
  </si>
  <si>
    <t>JEFFERSON</t>
  </si>
  <si>
    <t>cfbc-de6f-1220</t>
  </si>
  <si>
    <t>12:12</t>
  </si>
  <si>
    <t>LeominsterPS</t>
  </si>
  <si>
    <t>LEOMINSTER</t>
  </si>
  <si>
    <t>185f-1c77-28c1</t>
  </si>
  <si>
    <t>9:11</t>
  </si>
  <si>
    <t>LudlowPS</t>
  </si>
  <si>
    <t>LUDLOW</t>
  </si>
  <si>
    <t>2fa8-1f42-4e34</t>
  </si>
  <si>
    <t>09:30AM</t>
  </si>
  <si>
    <t>LunenburgPS</t>
  </si>
  <si>
    <t>LUNENBURG</t>
  </si>
  <si>
    <t>d17f-4f5d-9910</t>
  </si>
  <si>
    <t>4:4</t>
  </si>
  <si>
    <t>LynnfieldPS</t>
  </si>
  <si>
    <t>LYNNFIELD</t>
  </si>
  <si>
    <t>c8a4-b8ab-6882</t>
  </si>
  <si>
    <t>MansfieldPS</t>
  </si>
  <si>
    <t>MANSFIELD</t>
  </si>
  <si>
    <t>74c0-e2f6-5dce</t>
  </si>
  <si>
    <t>GB, TB</t>
  </si>
  <si>
    <t>MaynardPS</t>
  </si>
  <si>
    <t>MAYNARD</t>
  </si>
  <si>
    <t>48cf-a446-d8ca</t>
  </si>
  <si>
    <t>0:3</t>
  </si>
  <si>
    <t>Not responding to TAP</t>
  </si>
  <si>
    <t>NSWSD</t>
  </si>
  <si>
    <t>NEW SALEM</t>
  </si>
  <si>
    <t>a822-7e6a-8e04</t>
  </si>
  <si>
    <t>North ReadingPS</t>
  </si>
  <si>
    <t>NORTH READING</t>
  </si>
  <si>
    <t>89ba-0b5c-7901</t>
  </si>
  <si>
    <t>SouthShoreCPS</t>
  </si>
  <si>
    <t>NORWELL</t>
  </si>
  <si>
    <t>ceda-3e64-3a3c</t>
  </si>
  <si>
    <t>01:00PM</t>
  </si>
  <si>
    <t>PittsfieldPS</t>
  </si>
  <si>
    <t>PITTSFIELD</t>
  </si>
  <si>
    <t>f8f5-52a9-bad2</t>
  </si>
  <si>
    <t>11:12</t>
  </si>
  <si>
    <t>SBRSD</t>
  </si>
  <si>
    <t>SHEFFIELD</t>
  </si>
  <si>
    <t>c3ee-b69c-0b74</t>
  </si>
  <si>
    <t>Shutesbury ES</t>
  </si>
  <si>
    <t>SHUTESBURY</t>
  </si>
  <si>
    <t>9b2e-c929-f1ad</t>
  </si>
  <si>
    <t>JT</t>
  </si>
  <si>
    <t>South Hadley PS</t>
  </si>
  <si>
    <t>SOUTH HADLEY</t>
  </si>
  <si>
    <t>5486-e4cc-0d8f</t>
  </si>
  <si>
    <t>JT, RL</t>
  </si>
  <si>
    <t>SEBRSD</t>
  </si>
  <si>
    <t>SPENCER</t>
  </si>
  <si>
    <t>1091-54f5-f19b</t>
  </si>
  <si>
    <t>BaystateACPS</t>
  </si>
  <si>
    <t>77a0-613f-ca49</t>
  </si>
  <si>
    <t>GB, RL</t>
  </si>
  <si>
    <t>StoughtonPS</t>
  </si>
  <si>
    <t>STOUGHTON</t>
  </si>
  <si>
    <t>c322-b1d2-a016</t>
  </si>
  <si>
    <t>SudburyPS</t>
  </si>
  <si>
    <t>SUDBURY</t>
  </si>
  <si>
    <t>636d-df8c-c2e6</t>
  </si>
  <si>
    <t>WestboroughPS</t>
  </si>
  <si>
    <t>WESTBOROUGH</t>
  </si>
  <si>
    <t>dd95-03e7-6603</t>
  </si>
  <si>
    <t>na</t>
  </si>
  <si>
    <t>didn't get results, but they are posted on Tool</t>
  </si>
  <si>
    <t>NashValTSD</t>
  </si>
  <si>
    <t>WESTFORD</t>
  </si>
  <si>
    <t>9962-a138-74ba</t>
  </si>
  <si>
    <t>WestfordPS</t>
  </si>
  <si>
    <t>7496-806e-3952</t>
  </si>
  <si>
    <t>WLPS</t>
  </si>
  <si>
    <t>WILLIAMSTOWN/ LANESBOROUGH</t>
  </si>
  <si>
    <t>d552-6585-5c61</t>
  </si>
  <si>
    <t>CCCDP</t>
  </si>
  <si>
    <t>HYANNIS</t>
  </si>
  <si>
    <t>Out of Program</t>
  </si>
  <si>
    <t>ea12-e96d-92b9</t>
  </si>
  <si>
    <t>0:11</t>
  </si>
  <si>
    <t>IM completed</t>
  </si>
  <si>
    <t>No reason given</t>
  </si>
  <si>
    <t>LongmeadowPS</t>
  </si>
  <si>
    <t>LONGMEADOW</t>
  </si>
  <si>
    <t>Advice Only</t>
  </si>
  <si>
    <t>86cc-b06e-fd11</t>
  </si>
  <si>
    <t>No response</t>
  </si>
  <si>
    <t>No response, but were done last year</t>
  </si>
  <si>
    <t>RandolphPS</t>
  </si>
  <si>
    <t>RANDOLPH</t>
  </si>
  <si>
    <t>c1c2-d0d6-d27c</t>
  </si>
  <si>
    <t>Canton Preschool</t>
  </si>
  <si>
    <t>CANTON</t>
  </si>
  <si>
    <t>224b-a826-d856</t>
  </si>
  <si>
    <t>They say they are too busy to fit this in</t>
  </si>
  <si>
    <t>MillisPS</t>
  </si>
  <si>
    <t>MILLIS</t>
  </si>
  <si>
    <t>8e0f-afa3-a415</t>
  </si>
  <si>
    <t>They say they already do exactly the same on their own and will ask their lab to submit data to DEP</t>
  </si>
  <si>
    <t>WalthamCCC</t>
  </si>
  <si>
    <t>WALTHAM</t>
  </si>
  <si>
    <t>7fd6-b19a-f6ef</t>
  </si>
  <si>
    <t>Said she doesn't have enough students (21)</t>
  </si>
  <si>
    <t>WeymouthPS</t>
  </si>
  <si>
    <t>WEYMOUTH</t>
  </si>
  <si>
    <t>378e-e109-83ca</t>
  </si>
  <si>
    <t>Says they screened last year and are all set</t>
  </si>
  <si>
    <t>NarragansetRSD</t>
  </si>
  <si>
    <t>BALDWINVILLE</t>
  </si>
  <si>
    <t>2da6-9d78-7318</t>
  </si>
  <si>
    <t>Ready to schedule IM</t>
  </si>
  <si>
    <t>ReverePS</t>
  </si>
  <si>
    <t>REVERE</t>
  </si>
  <si>
    <t>4c3d-8fe9-1788</t>
  </si>
  <si>
    <t>They sampled with MWRA already</t>
  </si>
  <si>
    <t>Amesbury PS</t>
  </si>
  <si>
    <t>AMESBURY</t>
  </si>
  <si>
    <t>8ec8-1e09-055d</t>
  </si>
  <si>
    <t>Waiting list</t>
  </si>
  <si>
    <t>St Vincent's Home</t>
  </si>
  <si>
    <t>FALL RIVER</t>
  </si>
  <si>
    <t>e185-c41e-c9a1</t>
  </si>
  <si>
    <t>NMRSD</t>
  </si>
  <si>
    <t>PEPPERELL</t>
  </si>
  <si>
    <t>fe15-f441-f2cf</t>
  </si>
  <si>
    <t>This one school was out of program last year</t>
  </si>
  <si>
    <t>Weston PS</t>
  </si>
  <si>
    <t>WESTON</t>
  </si>
  <si>
    <t>c1ee-1657-1b5f</t>
  </si>
  <si>
    <t>AbingtonPS</t>
  </si>
  <si>
    <t>ABINGTON</t>
  </si>
  <si>
    <t>9f3c-affa-4883</t>
  </si>
  <si>
    <t>0:1</t>
  </si>
  <si>
    <t>Will send us map and Sample Plan</t>
  </si>
  <si>
    <t>HopkintonPS</t>
  </si>
  <si>
    <t>Hopkinton</t>
  </si>
  <si>
    <t>61cc-d048-2e4b</t>
  </si>
  <si>
    <t>Providing TA for sample plan for new elementary school</t>
  </si>
  <si>
    <t>Admin Unit</t>
  </si>
  <si>
    <t>PWS ID</t>
  </si>
  <si>
    <t>PWS</t>
  </si>
  <si>
    <t>MWRA Lab?</t>
  </si>
  <si>
    <t>ORG Code</t>
  </si>
  <si>
    <t>Facility Name</t>
  </si>
  <si>
    <t>Facilty Type</t>
  </si>
  <si>
    <t>Status</t>
  </si>
  <si>
    <t>Sample Date</t>
  </si>
  <si>
    <t># Sample Locations</t>
  </si>
  <si>
    <t># Samples</t>
  </si>
  <si>
    <t>Sampling completed?</t>
  </si>
  <si>
    <t>Results received?</t>
  </si>
  <si>
    <t>Results sent?</t>
  </si>
  <si>
    <t>total # samples in admin unit</t>
  </si>
  <si>
    <t>Field CoC Uploaded to Tool</t>
  </si>
  <si>
    <t>Additional Sample Locations Uploaded to Tool?</t>
  </si>
  <si>
    <t>Any Pb &gt; AL? (Y/N)</t>
  </si>
  <si>
    <t>Any Cu &gt; AL? (Y/N)</t>
  </si>
  <si>
    <t># FD(P) samples &gt;= Pb AL</t>
  </si>
  <si>
    <t># flush samples &gt;= Pb AL</t>
  </si>
  <si>
    <t># FD(P) samples &gt;= Cu AL</t>
  </si>
  <si>
    <t># flush samples &gt;= Cu AL</t>
  </si>
  <si>
    <t>Not yet completed</t>
  </si>
  <si>
    <t>Staff &amp; Task</t>
  </si>
  <si>
    <t>Time estimate to finish</t>
  </si>
  <si>
    <t>03260004</t>
  </si>
  <si>
    <t>Abbot Elementary School</t>
  </si>
  <si>
    <t>SCHOOL</t>
  </si>
  <si>
    <t>A- all done</t>
  </si>
  <si>
    <t>completed</t>
  </si>
  <si>
    <t>Y (1)</t>
  </si>
  <si>
    <t>39020900</t>
  </si>
  <si>
    <t>Academy Commonwealth Virtual School</t>
  </si>
  <si>
    <t>ORG Code should be 05760000, according to Dan Shovak of The Education Cooperative</t>
  </si>
  <si>
    <t>00050003</t>
  </si>
  <si>
    <t>Agawam Early Childhood Center</t>
  </si>
  <si>
    <t>00050505</t>
  </si>
  <si>
    <t>Agawam High School</t>
  </si>
  <si>
    <t>00050405</t>
  </si>
  <si>
    <t>Agawam Junior High School</t>
  </si>
  <si>
    <t>02360010</t>
  </si>
  <si>
    <t>Allendale Elementary School</t>
  </si>
  <si>
    <t>00400033</t>
  </si>
  <si>
    <t>Archie T Morrison Elementary School</t>
  </si>
  <si>
    <t>35020405</t>
  </si>
  <si>
    <t>Baystate Academy Charter Public School</t>
  </si>
  <si>
    <t>00050020</t>
  </si>
  <si>
    <t>Benjamin J Phelps Elementary School</t>
  </si>
  <si>
    <t>01530003</t>
  </si>
  <si>
    <t>Bennett School</t>
  </si>
  <si>
    <t>03260310</t>
  </si>
  <si>
    <t>Blanchard Middle School</t>
  </si>
  <si>
    <t>00400505</t>
  </si>
  <si>
    <t>Braintree High School</t>
  </si>
  <si>
    <t>06250320</t>
  </si>
  <si>
    <t>Bridgewater Middle School</t>
  </si>
  <si>
    <t>06250505</t>
  </si>
  <si>
    <t>Bridgewater-Raynham Regional High School</t>
  </si>
  <si>
    <t>BRIMFIELD</t>
  </si>
  <si>
    <t>00430005</t>
  </si>
  <si>
    <t>Brimfield Elementary School</t>
  </si>
  <si>
    <t>290857</t>
  </si>
  <si>
    <t>Center for Early Education and Care - UMass/Amherst</t>
  </si>
  <si>
    <t>EECF</t>
  </si>
  <si>
    <t>01370845</t>
  </si>
  <si>
    <t>Center School</t>
  </si>
  <si>
    <t>STOW</t>
  </si>
  <si>
    <t>07250020</t>
  </si>
  <si>
    <t>RUTLAND</t>
  </si>
  <si>
    <t>07750310</t>
  </si>
  <si>
    <t>Central Tree Middle School</t>
  </si>
  <si>
    <t>01610020</t>
  </si>
  <si>
    <t>Chapin Street Elementary School</t>
  </si>
  <si>
    <t>STERLING</t>
  </si>
  <si>
    <t>07750315</t>
  </si>
  <si>
    <t>Chocksett Middle School</t>
  </si>
  <si>
    <t>00050010</t>
  </si>
  <si>
    <t>Clifford M Granger Elementary School</t>
  </si>
  <si>
    <t>00640050</t>
  </si>
  <si>
    <t>Clinton Elementary School</t>
  </si>
  <si>
    <t>00640305</t>
  </si>
  <si>
    <t>Clinton Middle School</t>
  </si>
  <si>
    <t>00640505</t>
  </si>
  <si>
    <t>Clinton Senior High School</t>
  </si>
  <si>
    <t>03260025</t>
  </si>
  <si>
    <t>Col. John Robinson School</t>
  </si>
  <si>
    <t>NEWBURYPORT</t>
  </si>
  <si>
    <t>290769</t>
  </si>
  <si>
    <t>Community Action Headstart at Newburyport</t>
  </si>
  <si>
    <t>200704</t>
  </si>
  <si>
    <t>Community Action Headstart Fox Center</t>
  </si>
  <si>
    <t>212295</t>
  </si>
  <si>
    <t>Community Action Headstart-Goldman Center</t>
  </si>
  <si>
    <t>02360065</t>
  </si>
  <si>
    <t>Crosby Elementary School</t>
  </si>
  <si>
    <t>07670505</t>
  </si>
  <si>
    <t>David Prouty High School</t>
  </si>
  <si>
    <t>HOLDEN</t>
  </si>
  <si>
    <t>07750018</t>
  </si>
  <si>
    <t>Davis Hill Elementary School</t>
  </si>
  <si>
    <t>Y (4)</t>
  </si>
  <si>
    <t>Initial datafile errors; resent 3/8</t>
  </si>
  <si>
    <t>07750020</t>
  </si>
  <si>
    <t>Dawson Elementary School</t>
  </si>
  <si>
    <t>00400050</t>
  </si>
  <si>
    <t>Donald Ross Elementary School</t>
  </si>
  <si>
    <t>02170003</t>
  </si>
  <si>
    <t>E Ethel Little Elementary School</t>
  </si>
  <si>
    <t>07750001</t>
  </si>
  <si>
    <t>Early Childhood Center</t>
  </si>
  <si>
    <t>07670008</t>
  </si>
  <si>
    <t>East Brookfield Elementary School</t>
  </si>
  <si>
    <t>00400305</t>
  </si>
  <si>
    <t>East Middle School</t>
  </si>
  <si>
    <t>01610010</t>
  </si>
  <si>
    <t>East Street Elementary School</t>
  </si>
  <si>
    <t>02850012</t>
  </si>
  <si>
    <t>Edwin A Jones Early Childhood Center</t>
  </si>
  <si>
    <t>02360035</t>
  </si>
  <si>
    <t>Egremont Elementary School</t>
  </si>
  <si>
    <t>02880305</t>
  </si>
  <si>
    <t>Ephraim Curtis Middle School</t>
  </si>
  <si>
    <t>01530007</t>
  </si>
  <si>
    <t>Fall Brook Elementary Schhol</t>
  </si>
  <si>
    <t>07250025</t>
  </si>
  <si>
    <t>Florence Sawyer School</t>
  </si>
  <si>
    <t>01740305</t>
  </si>
  <si>
    <t>Fowler School</t>
  </si>
  <si>
    <t>01530010</t>
  </si>
  <si>
    <t>Frances Drake School</t>
  </si>
  <si>
    <t>MIDDLETON</t>
  </si>
  <si>
    <t>01840003</t>
  </si>
  <si>
    <t>Fuller Meadow Elementary School</t>
  </si>
  <si>
    <t>02880025</t>
  </si>
  <si>
    <t>General John Nixon Elementary School</t>
  </si>
  <si>
    <t>07750060</t>
  </si>
  <si>
    <t>Glenwood Elementary School</t>
  </si>
  <si>
    <t>Y (2)</t>
  </si>
  <si>
    <t>01100505</t>
  </si>
  <si>
    <t>Grafton High School</t>
  </si>
  <si>
    <t>01100305</t>
  </si>
  <si>
    <t>Grafton Middle School</t>
  </si>
  <si>
    <t>01740010</t>
  </si>
  <si>
    <t>Green Meadow</t>
  </si>
  <si>
    <t>07250310</t>
  </si>
  <si>
    <t>Hale Middle School</t>
  </si>
  <si>
    <t>01670035</t>
  </si>
  <si>
    <t>Harold L Qualters Middle School</t>
  </si>
  <si>
    <t>00380005</t>
  </si>
  <si>
    <t>Harry Lee Cole Elementary School</t>
  </si>
  <si>
    <t>02850010</t>
  </si>
  <si>
    <t>Helen H Hansen Elementary School</t>
  </si>
  <si>
    <t>00400015</t>
  </si>
  <si>
    <t>Highlands Elementary School</t>
  </si>
  <si>
    <t>HOLLAND</t>
  </si>
  <si>
    <t>01350005</t>
  </si>
  <si>
    <t>Holland Elementary School</t>
  </si>
  <si>
    <t>00400005</t>
  </si>
  <si>
    <t>Hollis Elementary School</t>
  </si>
  <si>
    <t>07750027</t>
  </si>
  <si>
    <t>Houghton Elementary School</t>
  </si>
  <si>
    <t>01840005</t>
  </si>
  <si>
    <t>Howe-Manning Elementary School</t>
  </si>
  <si>
    <t>01640010</t>
  </si>
  <si>
    <t>Huckleberry Hill Elementary School</t>
  </si>
  <si>
    <t>02880015</t>
  </si>
  <si>
    <t>Israel Loring Elementary School</t>
  </si>
  <si>
    <t>02170010</t>
  </si>
  <si>
    <t>J Turner Hood Elementary School</t>
  </si>
  <si>
    <t>00050030</t>
  </si>
  <si>
    <t>James Clark Elementary  School</t>
  </si>
  <si>
    <t>03260045</t>
  </si>
  <si>
    <t>John A Crisafulli Elementary School</t>
  </si>
  <si>
    <t>02360305</t>
  </si>
  <si>
    <t>John T Reid Middle School</t>
  </si>
  <si>
    <t>01530025</t>
  </si>
  <si>
    <t>Johnny Appleseed School</t>
  </si>
  <si>
    <t>01670014</t>
  </si>
  <si>
    <t>Jordan/Jackson Elementary School</t>
  </si>
  <si>
    <t>02850025</t>
  </si>
  <si>
    <t>Joseph H Gibbons School</t>
  </si>
  <si>
    <t>02850014</t>
  </si>
  <si>
    <t>Joseph R Dawe Elementary School</t>
  </si>
  <si>
    <t>02880010</t>
  </si>
  <si>
    <t>Josiah Haynes Elementary School</t>
  </si>
  <si>
    <t>07670415</t>
  </si>
  <si>
    <t>Knox Trail Middle School</t>
  </si>
  <si>
    <t>02170005</t>
  </si>
  <si>
    <t>L D Batchelder Elementary School</t>
  </si>
  <si>
    <t>06250050</t>
  </si>
  <si>
    <t>Laliberte Elementary School</t>
  </si>
  <si>
    <t>LANESBOROUGH</t>
  </si>
  <si>
    <t>01480005</t>
  </si>
  <si>
    <t>Lanesborough Elementary School</t>
  </si>
  <si>
    <t>06250020</t>
  </si>
  <si>
    <t>LB Merrill Elementary School</t>
  </si>
  <si>
    <t>01530505</t>
  </si>
  <si>
    <t>Leominster High School</t>
  </si>
  <si>
    <t>07750032</t>
  </si>
  <si>
    <t>Leroy E Mayo Elementary School</t>
  </si>
  <si>
    <t>00400025</t>
  </si>
  <si>
    <t>Liberty Elementary School</t>
  </si>
  <si>
    <t>200954</t>
  </si>
  <si>
    <t>Little Folks Community Day Care Center</t>
  </si>
  <si>
    <t>01610505</t>
  </si>
  <si>
    <t>Ludlow Senior High School</t>
  </si>
  <si>
    <t>01620505</t>
  </si>
  <si>
    <t>Lunenburg High School</t>
  </si>
  <si>
    <t>01620010</t>
  </si>
  <si>
    <t>Lunenburg Primary School</t>
  </si>
  <si>
    <t>LANCASTER</t>
  </si>
  <si>
    <t>07250305</t>
  </si>
  <si>
    <t>Luther Burbank Middle School</t>
  </si>
  <si>
    <t>01640505</t>
  </si>
  <si>
    <t>Lynnfield High School</t>
  </si>
  <si>
    <t>01640405</t>
  </si>
  <si>
    <t>Lynnfield Middle School</t>
  </si>
  <si>
    <t>01670505</t>
  </si>
  <si>
    <t>Mansfield High School</t>
  </si>
  <si>
    <t>00400020</t>
  </si>
  <si>
    <t>Mary E Flaherty Elementary School</t>
  </si>
  <si>
    <t>07250010</t>
  </si>
  <si>
    <t>Mary Rowlandson Elementary School</t>
  </si>
  <si>
    <t>07050000</t>
  </si>
  <si>
    <t>Masconomet Regional High &amp; Middle School</t>
  </si>
  <si>
    <t>01740505</t>
  </si>
  <si>
    <t>Maynard High</t>
  </si>
  <si>
    <t>02780305</t>
  </si>
  <si>
    <t>Michael E Smith Middle School</t>
  </si>
  <si>
    <t>01100200</t>
  </si>
  <si>
    <t>Millbury Street Elementary School</t>
  </si>
  <si>
    <t>03260013</t>
  </si>
  <si>
    <t>Millennium Elementary School</t>
  </si>
  <si>
    <t>00400009</t>
  </si>
  <si>
    <t>Monatiquot Kindergarten Center</t>
  </si>
  <si>
    <t>02360055</t>
  </si>
  <si>
    <t>Morningside Community School</t>
  </si>
  <si>
    <t>02780020</t>
  </si>
  <si>
    <t>Mosier Elementary School</t>
  </si>
  <si>
    <t>07750305</t>
  </si>
  <si>
    <t>Mountview Middle School</t>
  </si>
  <si>
    <t>07650505</t>
  </si>
  <si>
    <t>Mt Everett Regional School</t>
  </si>
  <si>
    <t>03260015</t>
  </si>
  <si>
    <t>Nabnasset Elementary School</t>
  </si>
  <si>
    <t>07750005</t>
  </si>
  <si>
    <t>Naquag Elementary School</t>
  </si>
  <si>
    <t>07250505</t>
  </si>
  <si>
    <t>Nashoba Regional High School</t>
  </si>
  <si>
    <t>08520605</t>
  </si>
  <si>
    <t>Nashoba Valley Technical High School</t>
  </si>
  <si>
    <t>NEWBURY</t>
  </si>
  <si>
    <t>07730020</t>
  </si>
  <si>
    <t>Newbury Elementary School</t>
  </si>
  <si>
    <t>03260007</t>
  </si>
  <si>
    <t>Norman E Day Elementary School</t>
  </si>
  <si>
    <t>01100025</t>
  </si>
  <si>
    <t>North Grafton Elementary School</t>
  </si>
  <si>
    <t>07350505</t>
  </si>
  <si>
    <t>North Middlesex Regional High School</t>
  </si>
  <si>
    <t>02170505</t>
  </si>
  <si>
    <t>North Reading High School</t>
  </si>
  <si>
    <t>02170305</t>
  </si>
  <si>
    <t>North Reading Middle School</t>
  </si>
  <si>
    <t>01100030</t>
  </si>
  <si>
    <t>North Street Elementary School</t>
  </si>
  <si>
    <t>01530030</t>
  </si>
  <si>
    <t>Northwest School</t>
  </si>
  <si>
    <t>201306</t>
  </si>
  <si>
    <t>Parkside Early Learning Center</t>
  </si>
  <si>
    <t>01610305</t>
  </si>
  <si>
    <t>Paul R Baird Middle School</t>
  </si>
  <si>
    <t>PAXTON</t>
  </si>
  <si>
    <t>07750040</t>
  </si>
  <si>
    <t>Paxton Center School</t>
  </si>
  <si>
    <t>02880030</t>
  </si>
  <si>
    <t>Peter Noyes Elementary School</t>
  </si>
  <si>
    <t>ROWLEY</t>
  </si>
  <si>
    <t>07730025</t>
  </si>
  <si>
    <t>Pine Grove School</t>
  </si>
  <si>
    <t>Y(2)</t>
  </si>
  <si>
    <t>02360505</t>
  </si>
  <si>
    <t>Pittsfield High School</t>
  </si>
  <si>
    <t>02780015</t>
  </si>
  <si>
    <t>Plains Elementary School</t>
  </si>
  <si>
    <t>01530040</t>
  </si>
  <si>
    <t>Priest Street</t>
  </si>
  <si>
    <t>TOPSFIELD</t>
  </si>
  <si>
    <t>02980005</t>
  </si>
  <si>
    <t>Proctor Elementary School</t>
  </si>
  <si>
    <t>RAYNHAM</t>
  </si>
  <si>
    <t>06250315</t>
  </si>
  <si>
    <t>Raynham Middle School</t>
  </si>
  <si>
    <t>03260055</t>
  </si>
  <si>
    <t>Rita E Miller Elementary School</t>
  </si>
  <si>
    <t>02850405</t>
  </si>
  <si>
    <t>Robert G O'Donnell Middle School</t>
  </si>
  <si>
    <t>02360045</t>
  </si>
  <si>
    <t>Robert T. Capeless Elementary School</t>
  </si>
  <si>
    <t>00050303</t>
  </si>
  <si>
    <t>Roberta G Doering School</t>
  </si>
  <si>
    <t>01670007</t>
  </si>
  <si>
    <t>Robinson Elementary School</t>
  </si>
  <si>
    <t>00050025</t>
  </si>
  <si>
    <t>Robinson Park Elementary School</t>
  </si>
  <si>
    <t>01670003</t>
  </si>
  <si>
    <t>Roland Green Pre-School</t>
  </si>
  <si>
    <t>SALISBURY</t>
  </si>
  <si>
    <t>07730015</t>
  </si>
  <si>
    <t>Salisbury Elementary School</t>
  </si>
  <si>
    <t>01530045</t>
  </si>
  <si>
    <t>Samoset School</t>
  </si>
  <si>
    <t>03210305</t>
  </si>
  <si>
    <t>Sarah W Gibbons Middle School</t>
  </si>
  <si>
    <t>NORTON</t>
  </si>
  <si>
    <t>290181</t>
  </si>
  <si>
    <t>Self Help Inc., Head Start</t>
  </si>
  <si>
    <t>WHITMAN</t>
  </si>
  <si>
    <t>290161</t>
  </si>
  <si>
    <t>02720005</t>
  </si>
  <si>
    <t>Shutesbury Elementary School</t>
  </si>
  <si>
    <t>02360105</t>
  </si>
  <si>
    <t>Silvio O Conte Community School</t>
  </si>
  <si>
    <t>01530320</t>
  </si>
  <si>
    <t>Sky View Middle School</t>
  </si>
  <si>
    <t>02850015</t>
  </si>
  <si>
    <t>South Elementary School</t>
  </si>
  <si>
    <t>01100005</t>
  </si>
  <si>
    <t>South Grafton Elementary School</t>
  </si>
  <si>
    <t>02780505</t>
  </si>
  <si>
    <t>South Hadley High School</t>
  </si>
  <si>
    <t>00400310</t>
  </si>
  <si>
    <t>South Middle School</t>
  </si>
  <si>
    <t>04880550</t>
  </si>
  <si>
    <t>South Shore Charter Public School</t>
  </si>
  <si>
    <t>00380013</t>
  </si>
  <si>
    <t>Spofford Pond Elementary School</t>
  </si>
  <si>
    <t>01370887</t>
  </si>
  <si>
    <t>Springdale Education Center</t>
  </si>
  <si>
    <t>02360090</t>
  </si>
  <si>
    <t>Stearns Elementary School</t>
  </si>
  <si>
    <t>02980010</t>
  </si>
  <si>
    <t>Steward Elementary School</t>
  </si>
  <si>
    <t>03260330</t>
  </si>
  <si>
    <t>Stony Brook Middle School</t>
  </si>
  <si>
    <t>02850505</t>
  </si>
  <si>
    <t>Stoughton High School</t>
  </si>
  <si>
    <t>01640020</t>
  </si>
  <si>
    <t>Summer Street Elementary School</t>
  </si>
  <si>
    <t>07280015</t>
  </si>
  <si>
    <t>Swift River School</t>
  </si>
  <si>
    <t>BOSTON</t>
  </si>
  <si>
    <t>390615</t>
  </si>
  <si>
    <t>Swift Water After School Program</t>
  </si>
  <si>
    <t>8030041</t>
  </si>
  <si>
    <t>The Childrens Workshop</t>
  </si>
  <si>
    <t>BOURNE</t>
  </si>
  <si>
    <t>4036001</t>
  </si>
  <si>
    <t>2911958</t>
  </si>
  <si>
    <t>The Children's Workshop</t>
  </si>
  <si>
    <t>SOUTH DENNIS</t>
  </si>
  <si>
    <t>2912198</t>
  </si>
  <si>
    <t>WEST BRIDGEWATER</t>
  </si>
  <si>
    <t>211741</t>
  </si>
  <si>
    <t>NORTH ATTLEBORO</t>
  </si>
  <si>
    <t>290187</t>
  </si>
  <si>
    <t>SEEKONK</t>
  </si>
  <si>
    <t>212550</t>
  </si>
  <si>
    <t>NORWOOD</t>
  </si>
  <si>
    <t>290388</t>
  </si>
  <si>
    <t>290279</t>
  </si>
  <si>
    <t>02360310</t>
  </si>
  <si>
    <t>Theodore Herberg Middle School</t>
  </si>
  <si>
    <t>01620015</t>
  </si>
  <si>
    <t>Thomas C Passios Elementary School</t>
  </si>
  <si>
    <t>07730505</t>
  </si>
  <si>
    <t>Triton Regional High School</t>
  </si>
  <si>
    <t>Middle school has separate facility code: 07730405</t>
  </si>
  <si>
    <t>07730405</t>
  </si>
  <si>
    <t>Triton Regional Middle School</t>
  </si>
  <si>
    <t>01620020</t>
  </si>
  <si>
    <t>Turkey Hill Middle School</t>
  </si>
  <si>
    <t>2911649</t>
  </si>
  <si>
    <t>Ulysses G Shelton Headstart Center</t>
  </si>
  <si>
    <t>07650035</t>
  </si>
  <si>
    <t>Undermountain Elementary School</t>
  </si>
  <si>
    <t>01610023</t>
  </si>
  <si>
    <t>Veterans Park Elementary School</t>
  </si>
  <si>
    <t>07750505</t>
  </si>
  <si>
    <t>Wachusett Regional High School</t>
  </si>
  <si>
    <t>02850020</t>
  </si>
  <si>
    <t>West Elementary School</t>
  </si>
  <si>
    <t>03260505</t>
  </si>
  <si>
    <t>Westford Academy</t>
  </si>
  <si>
    <t>02360100</t>
  </si>
  <si>
    <t>Williams Elementary School</t>
  </si>
  <si>
    <t>06250300</t>
  </si>
  <si>
    <t>Williams Intermediate School</t>
  </si>
  <si>
    <t>WILLIAMSTOWN</t>
  </si>
  <si>
    <t>03410010</t>
  </si>
  <si>
    <t>Williamstown Elementary School</t>
  </si>
  <si>
    <t>07670040</t>
  </si>
  <si>
    <t>Wire Village Elementary School</t>
  </si>
  <si>
    <t>03360310</t>
  </si>
  <si>
    <t>Abigail Adams Middle School</t>
  </si>
  <si>
    <t>O- Out of program</t>
  </si>
  <si>
    <t>NA</t>
  </si>
  <si>
    <t>Administration Building</t>
  </si>
  <si>
    <t>out of program</t>
  </si>
  <si>
    <t>Cape Cod Child Development Bourne Head Start Preschool</t>
  </si>
  <si>
    <t>BARNSTABLE</t>
  </si>
  <si>
    <t>Cape Cod Child Development Centerville Head Start Preschool</t>
  </si>
  <si>
    <t>DENNIS PORT</t>
  </si>
  <si>
    <t>Cape Cod Child Development Dennisport Preschool</t>
  </si>
  <si>
    <t>FALMOUTH</t>
  </si>
  <si>
    <t>Cape Cod Child Development Falmouth School Age</t>
  </si>
  <si>
    <t>Cape Cod Child Development Preschool</t>
  </si>
  <si>
    <t>Cape Cod Child Development/Falmouth Preschool</t>
  </si>
  <si>
    <t>WEST YARMOUTH</t>
  </si>
  <si>
    <t>Cape Cod Child Development/West Yarmouth Preschool and School Age</t>
  </si>
  <si>
    <t>Cape Cod Child Development-Hyannis Preschool</t>
  </si>
  <si>
    <t>Cape Cod Child Development-Hyannis School Age</t>
  </si>
  <si>
    <t>Cape Cod Child Development-Stevens Street Preschool</t>
  </si>
  <si>
    <t>WAREHAM</t>
  </si>
  <si>
    <t>Cape Cod Child Development-Wareham Preschool</t>
  </si>
  <si>
    <t>a</t>
  </si>
  <si>
    <t>01530605</t>
  </si>
  <si>
    <t>Center For Technical Education Innovation</t>
  </si>
  <si>
    <t>Part of High School</t>
  </si>
  <si>
    <t>02440020</t>
  </si>
  <si>
    <t>Elizabeth G Lyons Elementary School</t>
  </si>
  <si>
    <t>03360050</t>
  </si>
  <si>
    <t>Frederick C Murphy Primary School</t>
  </si>
  <si>
    <t>06250002</t>
  </si>
  <si>
    <t>George H Mitchell Elementary School</t>
  </si>
  <si>
    <t>02440018</t>
  </si>
  <si>
    <t>J F Kennedy Elementary School</t>
  </si>
  <si>
    <t>02460017</t>
  </si>
  <si>
    <t>J. Warren Killam Elementary School</t>
  </si>
  <si>
    <t>03360003</t>
  </si>
  <si>
    <t>Johnson Early Childhood Center</t>
  </si>
  <si>
    <t>03360065</t>
  </si>
  <si>
    <t>Lawrence W Pingree Primary School</t>
  </si>
  <si>
    <t>01530515</t>
  </si>
  <si>
    <t>Leominster Center for Excellence</t>
  </si>
  <si>
    <t>no potable water taps</t>
  </si>
  <si>
    <t>02440015</t>
  </si>
  <si>
    <t>Margaret L Donovan Elementary School</t>
  </si>
  <si>
    <t>03360020</t>
  </si>
  <si>
    <t>Maria Weston Chapman Middle School</t>
  </si>
  <si>
    <t>02440040</t>
  </si>
  <si>
    <t>Martin E Young Elementary School</t>
  </si>
  <si>
    <t>01870505</t>
  </si>
  <si>
    <t>Millis High School</t>
  </si>
  <si>
    <t>Out of program</t>
  </si>
  <si>
    <t>03360085</t>
  </si>
  <si>
    <t>Ralph Talbot Primary School</t>
  </si>
  <si>
    <t>02440410</t>
  </si>
  <si>
    <t>Randolph Community Middle School</t>
  </si>
  <si>
    <t>02440505</t>
  </si>
  <si>
    <t>Randolph High School</t>
  </si>
  <si>
    <t>2911982</t>
  </si>
  <si>
    <t>The Learning Circle Preschool Inc.</t>
  </si>
  <si>
    <t>03360060</t>
  </si>
  <si>
    <t>Thomas V Nash Jr. Primary School</t>
  </si>
  <si>
    <t>03360105</t>
  </si>
  <si>
    <t>Thomas W Hamilton Primary School</t>
  </si>
  <si>
    <t>200454</t>
  </si>
  <si>
    <t>Waltham Child Care Center</t>
  </si>
  <si>
    <t>03360110</t>
  </si>
  <si>
    <t>Wessagusset Primary School</t>
  </si>
  <si>
    <t>03360505</t>
  </si>
  <si>
    <t>Weymouth High School</t>
  </si>
  <si>
    <t>03360080</t>
  </si>
  <si>
    <t>William Seach Primary School</t>
  </si>
  <si>
    <t>02480025</t>
  </si>
  <si>
    <t>Abraham Lincoln Elementary School</t>
  </si>
  <si>
    <t>K- Advice Only</t>
  </si>
  <si>
    <t>advice only</t>
  </si>
  <si>
    <t>00070005</t>
  </si>
  <si>
    <t>Amesbury Elementary</t>
  </si>
  <si>
    <t>00070505</t>
  </si>
  <si>
    <t>Amesbury High</t>
  </si>
  <si>
    <t>00070515</t>
  </si>
  <si>
    <t>Amesbury Innovation High School</t>
  </si>
  <si>
    <t>00070013</t>
  </si>
  <si>
    <t>Amesbury Middle</t>
  </si>
  <si>
    <t>07200005</t>
  </si>
  <si>
    <t>Baldwinville Elementary School</t>
  </si>
  <si>
    <t>01590005</t>
  </si>
  <si>
    <t>Blueberry Hill</t>
  </si>
  <si>
    <t>01590010</t>
  </si>
  <si>
    <t>Center</t>
  </si>
  <si>
    <t>00070010</t>
  </si>
  <si>
    <t>Charles C Cashman Elementary</t>
  </si>
  <si>
    <t>03300010</t>
  </si>
  <si>
    <t>Country</t>
  </si>
  <si>
    <t>03300012</t>
  </si>
  <si>
    <t>Field Elementary School</t>
  </si>
  <si>
    <t>02480056</t>
  </si>
  <si>
    <t>Garfield Elementary School</t>
  </si>
  <si>
    <t>02480057</t>
  </si>
  <si>
    <t>Garfield Middle School</t>
  </si>
  <si>
    <t>01590017</t>
  </si>
  <si>
    <t>Glenbrook Middle</t>
  </si>
  <si>
    <t>01590505</t>
  </si>
  <si>
    <t>Longmeadow High</t>
  </si>
  <si>
    <t>HOPKINTON</t>
  </si>
  <si>
    <t>T0000034</t>
  </si>
  <si>
    <t>Marathon Elementary</t>
  </si>
  <si>
    <t>07200305</t>
  </si>
  <si>
    <t>Narragansett Middle School</t>
  </si>
  <si>
    <t>07200505</t>
  </si>
  <si>
    <t>Narragansett Regional High School</t>
  </si>
  <si>
    <t>Pre-K/Middle/High School</t>
  </si>
  <si>
    <t>02480505</t>
  </si>
  <si>
    <t>Revere High School</t>
  </si>
  <si>
    <t>4095000</t>
  </si>
  <si>
    <t>00950940</t>
  </si>
  <si>
    <t>Saint Vincent’s</t>
  </si>
  <si>
    <t>02360510</t>
  </si>
  <si>
    <t>Taconic High School</t>
  </si>
  <si>
    <t>Will not be sampled this year, under renovation</t>
  </si>
  <si>
    <t>03300505</t>
  </si>
  <si>
    <t>Weston High</t>
  </si>
  <si>
    <t>03300305</t>
  </si>
  <si>
    <t>Weston Middle</t>
  </si>
  <si>
    <t>01590305</t>
  </si>
  <si>
    <t>Williams Middle</t>
  </si>
  <si>
    <t>01590025</t>
  </si>
  <si>
    <t>Wolf Swamp Road</t>
  </si>
  <si>
    <t>03300015</t>
  </si>
  <si>
    <t>Woodland</t>
  </si>
  <si>
    <t>All Done</t>
  </si>
  <si>
    <t>A</t>
  </si>
  <si>
    <t>Sampling done</t>
  </si>
  <si>
    <t>B</t>
  </si>
  <si>
    <t>sampling scheduled</t>
  </si>
  <si>
    <t>C</t>
  </si>
  <si>
    <t>Sampling&gt; June 1?</t>
  </si>
  <si>
    <t>D</t>
  </si>
  <si>
    <t>Sample plan done</t>
  </si>
  <si>
    <t>E</t>
  </si>
  <si>
    <t>IM Completed</t>
  </si>
  <si>
    <t>F</t>
  </si>
  <si>
    <t>IM Scheduled</t>
  </si>
  <si>
    <t>G</t>
  </si>
  <si>
    <t>H</t>
  </si>
  <si>
    <t>Fall Sampling?</t>
  </si>
  <si>
    <t>I</t>
  </si>
  <si>
    <t>Waiting List</t>
  </si>
  <si>
    <t>J</t>
  </si>
  <si>
    <t>K</t>
  </si>
  <si>
    <t>O</t>
  </si>
  <si>
    <t>Sample Locations</t>
  </si>
  <si>
    <t>MAX</t>
  </si>
  <si>
    <t>Min</t>
  </si>
  <si>
    <t>AVERAGE/bldg</t>
  </si>
  <si>
    <t>Notes</t>
  </si>
  <si>
    <t>PPC First Name</t>
  </si>
  <si>
    <t>PPC Last Name</t>
  </si>
  <si>
    <t>PPC Title</t>
  </si>
  <si>
    <t>PPC Phone</t>
  </si>
  <si>
    <t>PPC Address</t>
  </si>
  <si>
    <t>PPC Email</t>
  </si>
  <si>
    <t>Municipal Official</t>
  </si>
  <si>
    <t>PWS Contact</t>
  </si>
  <si>
    <t>Regional DEP Contact</t>
  </si>
  <si>
    <t>TAP Email</t>
  </si>
  <si>
    <t>Facility Personnel</t>
  </si>
  <si>
    <t>Spoke on phone</t>
  </si>
  <si>
    <t>Jason</t>
  </si>
  <si>
    <t>Linn</t>
  </si>
  <si>
    <t>Maintenance Director</t>
  </si>
  <si>
    <t>781-982-2154</t>
  </si>
  <si>
    <t>1071 Washington St., Abington, MA 02351</t>
  </si>
  <si>
    <t>jasonlinn@abingtonps.org</t>
  </si>
  <si>
    <t>rlafond@abingtonma.gov</t>
  </si>
  <si>
    <t>dcallahan@abrockwater.com</t>
  </si>
  <si>
    <t>Richard.Rondeau@state.ma.us</t>
  </si>
  <si>
    <t>rlarson@umass.edu</t>
  </si>
  <si>
    <t>Rick spoke w/ Doug White</t>
  </si>
  <si>
    <t>Steve</t>
  </si>
  <si>
    <t>Lemanski</t>
  </si>
  <si>
    <t>Superintendent of Schools</t>
  </si>
  <si>
    <t>413-821-0552</t>
  </si>
  <si>
    <t>1305 Springfield St., Feeding Hills, MA 01030</t>
  </si>
  <si>
    <t>slemanski@agawamed.org</t>
  </si>
  <si>
    <t>mayor@agawam.ma.us</t>
  </si>
  <si>
    <t>cgolba@agawam.ma.us</t>
  </si>
  <si>
    <t>Deirdre.Doherty@state.ma.us</t>
  </si>
  <si>
    <t>robert.hoyt@state.ma.us</t>
  </si>
  <si>
    <t>Norm, Robbins, Principal, nrobbins@agawamed.org |Cheryl, Salomeo, Principal, csalomeo@agawamed.org |Susan, Federico, Principal, sfederico@agawamed.org |Shelley, Russell, Principal, srussell@agawamed.org |Noelle, Colbert, Principal, ncolbert@agawamed.org |Thomas , Schnepp, Principal, tschnepp@agawamed.org |Robin, Fernandes, Director, rfernandes@agawamed.org |</t>
  </si>
  <si>
    <t>Joan</t>
  </si>
  <si>
    <t>Liporto</t>
  </si>
  <si>
    <t>Director of Finance and Operations</t>
  </si>
  <si>
    <t>978-388-0507 x7019</t>
  </si>
  <si>
    <t>5 Highland Street, Amesbury, MA 01915</t>
  </si>
  <si>
    <t>liportoj@amesburyma.gov</t>
  </si>
  <si>
    <t>asked for email address</t>
  </si>
  <si>
    <t>masonj@amesburyma.gov</t>
  </si>
  <si>
    <t>Thomas.Mahin@state.ma.us</t>
  </si>
  <si>
    <t>Norman, Fredette, Facilities Manager, fredetten@amesburyma.gov |</t>
  </si>
  <si>
    <t>Tim</t>
  </si>
  <si>
    <t>Sneed</t>
  </si>
  <si>
    <t>Executive Director</t>
  </si>
  <si>
    <t>413-366-5103</t>
  </si>
  <si>
    <t>2001 Roosevelt Ave., Springfield, MA 01104</t>
  </si>
  <si>
    <t>tsneed@bacps.net</t>
  </si>
  <si>
    <t>msarno@springfieldcityhall.com</t>
  </si>
  <si>
    <t>josh.schimmel@waterandsewer.org</t>
  </si>
  <si>
    <t>Tim, Sneed, Executive Director, tsneed@bacps.net | Isabel, Cartagena, Business Manager, icartagena@bacps.net |</t>
  </si>
  <si>
    <t>Edward</t>
  </si>
  <si>
    <t>Cronin</t>
  </si>
  <si>
    <t>781-794-8482</t>
  </si>
  <si>
    <t>348 Pond St., Braintree, MA 02184</t>
  </si>
  <si>
    <t>ecronin@braintreema.gov</t>
  </si>
  <si>
    <t>mayorsoffice@braintreema.gov</t>
  </si>
  <si>
    <t>ldutton@braintreema.gov</t>
  </si>
  <si>
    <t>yaskmenow1983@gmail.com</t>
  </si>
  <si>
    <t>Edward, Cronin, Director of Finance and Operations, ecronin@braintreema.gov |</t>
  </si>
  <si>
    <t>Paul</t>
  </si>
  <si>
    <t>Fox</t>
  </si>
  <si>
    <t>Director of Facilities</t>
  </si>
  <si>
    <t>508-279-2140</t>
  </si>
  <si>
    <t>166 Mt Prospect St., Bridgewater, MA 02324</t>
  </si>
  <si>
    <t>pfoxjr@bridge-rayn.org</t>
  </si>
  <si>
    <t>TownManager@bridgewaterma.org</t>
  </si>
  <si>
    <t>wmwardrcwd@comcast.net/jkazlauskas@bridgewaterma.org</t>
  </si>
  <si>
    <t>tombienk58@gmail.com</t>
  </si>
  <si>
    <t>Paul, Fox, Director of Facilities, pfoxjr@bridge-rayn.org |</t>
  </si>
  <si>
    <t>Katrina</t>
  </si>
  <si>
    <t>Selawsky</t>
  </si>
  <si>
    <t>Director</t>
  </si>
  <si>
    <t>781-828-4800</t>
  </si>
  <si>
    <t>3 Blue Hill River Road, Canton, MA 02021</t>
  </si>
  <si>
    <t>info@learningcirclepreschool.org</t>
  </si>
  <si>
    <t>bos@town.canton.ma.us</t>
  </si>
  <si>
    <t>mtrotta@town.canton.ma.us</t>
  </si>
  <si>
    <t>Katrina, Selawsky, Director, info@learningcirclepreschool.org |</t>
  </si>
  <si>
    <t>Michael</t>
  </si>
  <si>
    <t>Scarpellini</t>
  </si>
  <si>
    <t>Director of Youth and Support Services</t>
  </si>
  <si>
    <t>508-775-6240</t>
  </si>
  <si>
    <t>83 Pearl St., Hyannis, MA 02601</t>
  </si>
  <si>
    <t>mscarpellini@cccdp.org</t>
  </si>
  <si>
    <t>email@town.barnstable.ma.us,townmanager@falmouthmass.us</t>
  </si>
  <si>
    <t>hans.keijser@town.barnstable.ma.us</t>
  </si>
  <si>
    <t>Michael, Scarpellini, Director , mscarpellini@cccdp.org |</t>
  </si>
  <si>
    <t>IM scheduled</t>
  </si>
  <si>
    <t>Nicole</t>
  </si>
  <si>
    <t>Chiello</t>
  </si>
  <si>
    <t>VP, Regional Director of Operations</t>
  </si>
  <si>
    <t>401-580-7738</t>
  </si>
  <si>
    <t>45 Industrial Road</t>
  </si>
  <si>
    <t>nchiello@childrensworkshop.com</t>
  </si>
  <si>
    <t>selectmen@town.westborough.ma.us</t>
  </si>
  <si>
    <t>wparks@wbridgewater.com</t>
  </si>
  <si>
    <t>yaskmenow1983@gmail.com,tombienk58@gmail.com&gt;</t>
  </si>
  <si>
    <t>Amanda, Miller, Director, wbridgewater@childrensworkshop.com |</t>
  </si>
  <si>
    <t>Russell</t>
  </si>
  <si>
    <t>Karlstad</t>
  </si>
  <si>
    <t>Director of Public Facilities</t>
  </si>
  <si>
    <t>978-365-4114</t>
  </si>
  <si>
    <t>242 Church Street, Cinton, MA 01510</t>
  </si>
  <si>
    <t>rkarlstad@clintonma.gov</t>
  </si>
  <si>
    <t>mward@clintonma.gov</t>
  </si>
  <si>
    <t>cmcgown@clintonma.gov</t>
  </si>
  <si>
    <t>Robert.Bostwick@state.ma.us</t>
  </si>
  <si>
    <t>llaine911@gmail.com</t>
  </si>
  <si>
    <t>Russell, Karlstad, Director of Public Facilities, rkarlstad@clintonma.gov |</t>
  </si>
  <si>
    <t>Follow Up</t>
  </si>
  <si>
    <t>Anthony</t>
  </si>
  <si>
    <t>LeMay</t>
  </si>
  <si>
    <t>Director of Buildings and Grounds</t>
  </si>
  <si>
    <t>508-735-2166</t>
  </si>
  <si>
    <t>30 Providence Rd, Grafton, MA 01519</t>
  </si>
  <si>
    <t>lemaya@grafton.k12.ma.us</t>
  </si>
  <si>
    <t>mcinerneyt@grafton-ma.gov</t>
  </si>
  <si>
    <t>graftonh20@aol.com</t>
  </si>
  <si>
    <t>Anthony, Lemay, Director of Buildings and Grounds, lemaya@grafton.k12.ma.us |</t>
  </si>
  <si>
    <t>Sampling completed</t>
  </si>
  <si>
    <t>Jill</t>
  </si>
  <si>
    <t>Sullivan</t>
  </si>
  <si>
    <t>Operations Manager</t>
  </si>
  <si>
    <t>978-372-5052 x447</t>
  </si>
  <si>
    <t>75 Elm St., Haverhill, MA 01830</t>
  </si>
  <si>
    <t>jsullivan@communityactioninc.org</t>
  </si>
  <si>
    <t>mayor@cityofhaverhill.com</t>
  </si>
  <si>
    <t>rward@haverhillwater.com</t>
  </si>
  <si>
    <t>Jill, Sullivan, Operations Manager, jsullivan@communityactioninc.org | Kerry Perry, kperry@communityactioninc.org</t>
  </si>
  <si>
    <t>Providing TA for sample plan</t>
  </si>
  <si>
    <t>Susan</t>
  </si>
  <si>
    <t>Rothermich</t>
  </si>
  <si>
    <t>(508) 417-9385</t>
  </si>
  <si>
    <t>89 Hayden Rowe Street, Hopkinton, MA  01748</t>
  </si>
  <si>
    <t>srothermich@hopkinton.k12.ma.us</t>
  </si>
  <si>
    <t>Sciabarrasi</t>
  </si>
  <si>
    <t>Facility Director</t>
  </si>
  <si>
    <t>978 534 7700 x 332</t>
  </si>
  <si>
    <t>24 Church St., Leominster, MA 01453</t>
  </si>
  <si>
    <t>anthony.sciabarrasi@leominster.mec.edu</t>
  </si>
  <si>
    <t>dmazzarella@leominster-ma.gov</t>
  </si>
  <si>
    <t>robert.chalifoux@veolia.com</t>
  </si>
  <si>
    <t>anthony, sciabarrasi, facility director, anthony.sciabarrasi@leominster.mec.edu |</t>
  </si>
  <si>
    <t>Sample plans completed</t>
  </si>
  <si>
    <t>Marie</t>
  </si>
  <si>
    <t>Bossi</t>
  </si>
  <si>
    <t>617-569-0294</t>
  </si>
  <si>
    <t>65 Trenton Street</t>
  </si>
  <si>
    <t>little.folks@aol.com</t>
  </si>
  <si>
    <t>mayor@cityofboston.gov</t>
  </si>
  <si>
    <t>sullivanjp@bwsc.org</t>
  </si>
  <si>
    <t>Marie, Bossi, Executive Director, little.folks@aol.com | Michelle, Gill, Education Supervisor, little.folks@aol.com |</t>
  </si>
  <si>
    <t>Sent ack. Email</t>
  </si>
  <si>
    <t>John</t>
  </si>
  <si>
    <t>Cloonan</t>
  </si>
  <si>
    <t>Facilities Director - Town of Longmeadow</t>
  </si>
  <si>
    <t>413-567-3400</t>
  </si>
  <si>
    <t>31 Pondside Rd, Longmeadow, MA 01106</t>
  </si>
  <si>
    <t>jcloonan@longmeadow.org</t>
  </si>
  <si>
    <t>Townhall@longmeadow.org</t>
  </si>
  <si>
    <t>pthurber@longmeadow.org</t>
  </si>
  <si>
    <t>Todd , Carney, Facilities Foreman, tcarney@longmeadow.k12.ma.us |</t>
  </si>
  <si>
    <t>Darlene</t>
  </si>
  <si>
    <t>Cincone</t>
  </si>
  <si>
    <t>Dir. of Oper./Asst, Business Mgr.</t>
  </si>
  <si>
    <t>413-583-5663 ext 106</t>
  </si>
  <si>
    <t>63 Chestnut St., Ludlow, MA 01056</t>
  </si>
  <si>
    <t>d_cincone@ludlowps.org</t>
  </si>
  <si>
    <t>selectmen@Ludlow.ma.us</t>
  </si>
  <si>
    <t>vdkiken@comcast.net</t>
  </si>
  <si>
    <t>Michael, Bertini, District Facilities Coordinator, m_bertini@ludlowps.org |</t>
  </si>
  <si>
    <t>Londa</t>
  </si>
  <si>
    <t>978-230-2351</t>
  </si>
  <si>
    <t>1025 Mass. Ave., Lunenburg, MA 01462</t>
  </si>
  <si>
    <t>jlonda@lunenburgonline.com</t>
  </si>
  <si>
    <t>bos@lists.lunenburgonline.com</t>
  </si>
  <si>
    <t>FMcNamara@Lunenburgwater.net</t>
  </si>
  <si>
    <t>John, Londa, Director of Facilities, jlonda@lunenburgonline.com |</t>
  </si>
  <si>
    <t>Sampling scheduled</t>
  </si>
  <si>
    <t>Fratoni</t>
  </si>
  <si>
    <t>Assistant Director of School Operations</t>
  </si>
  <si>
    <t>781-334-9501</t>
  </si>
  <si>
    <t>55 Summer St., Lynnfield, MA 01940</t>
  </si>
  <si>
    <t>tfratoni@town.lynnfield.ma.us</t>
  </si>
  <si>
    <t>(781) 334-9400</t>
  </si>
  <si>
    <t>jfinegan@lwdma.us</t>
  </si>
  <si>
    <t>Steve , DeBettencourt, Assistant Director of Facilities, sdebettencourt@town.lynnfield.ma.us |</t>
  </si>
  <si>
    <t>Donoghue</t>
  </si>
  <si>
    <t>Asst. Superintendent for Finance &amp; Operations</t>
  </si>
  <si>
    <t>505-261-7506</t>
  </si>
  <si>
    <t>2 Park Row, Mansfield, MA 02048</t>
  </si>
  <si>
    <t>edward.donoghue@mansfieldschools.com</t>
  </si>
  <si>
    <t>townmanager@mansfieldma.com</t>
  </si>
  <si>
    <t>kgaffney@mansfieldma.com</t>
  </si>
  <si>
    <t>Matthew, Jacques, Director of Facilities, matthew.jacques@mansfieldschools.com |</t>
  </si>
  <si>
    <t>Douglas</t>
  </si>
  <si>
    <t>Batchelder</t>
  </si>
  <si>
    <t>Director of Operations</t>
  </si>
  <si>
    <t>978-423-8390</t>
  </si>
  <si>
    <t>20 Endicott Rd, Boxford, MA 01921</t>
  </si>
  <si>
    <t>dbatchelder@masconomet.org</t>
  </si>
  <si>
    <t>abenson@town.boxford.ma.us</t>
  </si>
  <si>
    <t>none</t>
  </si>
  <si>
    <t>Douglas, Batchelder, Director of Operations, dbatchelder@masconomet.org |</t>
  </si>
  <si>
    <t>Rick spoke w/ Tim Goulding</t>
  </si>
  <si>
    <t>Aaron</t>
  </si>
  <si>
    <t>Miklosko</t>
  </si>
  <si>
    <t>Director of Public Works</t>
  </si>
  <si>
    <t>978-897-1308</t>
  </si>
  <si>
    <t>195 Main Street, Maynard, MA 01754</t>
  </si>
  <si>
    <t>amiklosko@townofmaynard.net</t>
  </si>
  <si>
    <t>AScribner@townofmaynard.net</t>
  </si>
  <si>
    <t>Aaron, Miklosko, Director of Public Works, amiklosko@townofmaynard.net |</t>
  </si>
  <si>
    <t>Engler</t>
  </si>
  <si>
    <t>508-376-7013</t>
  </si>
  <si>
    <t>245 Plain St., Millis, MA 02054</t>
  </si>
  <si>
    <t>jengler@millisps.org</t>
  </si>
  <si>
    <t>kbouret@millis.net</t>
  </si>
  <si>
    <t>jmckay@millis.net</t>
  </si>
  <si>
    <t xml:space="preserve">John, Engler, Facilities Director, jengler@millisps.org | </t>
  </si>
  <si>
    <t>Ready to schedule IM, emailed him a reminder</t>
  </si>
  <si>
    <t>Rick</t>
  </si>
  <si>
    <t>Moulton</t>
  </si>
  <si>
    <t>978-895-9381</t>
  </si>
  <si>
    <t>462 Baldwinville Rd, Baldwinville, MA 01436</t>
  </si>
  <si>
    <t>rmoulton@nrsd.org</t>
  </si>
  <si>
    <t>townadministrator@templeton1.org</t>
  </si>
  <si>
    <t>rdavan@templetonlight.com</t>
  </si>
  <si>
    <t>Rick, Moulton, Facilities Director NRSD, rmoulton@nrsd.org |</t>
  </si>
  <si>
    <t>Jeanne</t>
  </si>
  <si>
    <t>Savoie</t>
  </si>
  <si>
    <t>Business Manager</t>
  </si>
  <si>
    <t>978-692-4711 x 11174</t>
  </si>
  <si>
    <t>100 Littleton Rd, Westford, MA 01886</t>
  </si>
  <si>
    <t>jsavoie@nashobatech.net</t>
  </si>
  <si>
    <t>jross@westfordma.gov</t>
  </si>
  <si>
    <t>scronin@westfordma.gov</t>
  </si>
  <si>
    <t xml:space="preserve">Jeanne, Savoie, Business Manager, jsavoie@nashobatech.net | Paul, Jussaume, Director of Vocational Operations/Facilities, pjussaume@nashobatech.net | </t>
  </si>
  <si>
    <t>Andrea</t>
  </si>
  <si>
    <t>Royer</t>
  </si>
  <si>
    <t>Secretary</t>
  </si>
  <si>
    <t>978-743-4986</t>
  </si>
  <si>
    <t>45 Main Street, Pepperell, MA 01463</t>
  </si>
  <si>
    <t>aroyer@nmrsd.org</t>
  </si>
  <si>
    <t xml:space="preserve">	mandrews@town.pepperell.ma.us</t>
  </si>
  <si>
    <t>jjordan@town.pepperell.ma.us</t>
  </si>
  <si>
    <t>Al, Beauchemin, Day Lead Custodian, abeauchemin@nmrsd.org | Rich, Carlson, Maintenance, rcarlson@nmrsd.org |</t>
  </si>
  <si>
    <t>Wayne</t>
  </si>
  <si>
    <t>Hardacker</t>
  </si>
  <si>
    <t>Supervisor of Buildings &amp; Grounds</t>
  </si>
  <si>
    <t>978-360-1687</t>
  </si>
  <si>
    <t>189 Park St., North Reading, MA 01864</t>
  </si>
  <si>
    <t>whardacker@nrpsk12.org</t>
  </si>
  <si>
    <t>mgilleberto@northreadingma.gov</t>
  </si>
  <si>
    <t>mclark@northreadingma.gov</t>
  </si>
  <si>
    <t>Wayne, Hardacker, Supervisor of Buildings &amp; Grounds, whardacker@nrpsk12.org |</t>
  </si>
  <si>
    <t>Robert</t>
  </si>
  <si>
    <t>Frieswick</t>
  </si>
  <si>
    <t>Interim Facilities Manager</t>
  </si>
  <si>
    <t>978-779-0539</t>
  </si>
  <si>
    <t>50 Mechanic St., Bolton, MA 01740</t>
  </si>
  <si>
    <t>rfrieswick@nrsd.net</t>
  </si>
  <si>
    <t>rczekanski@townofbolton.biz</t>
  </si>
  <si>
    <t>JCONVERSE@NRSD.NET</t>
  </si>
  <si>
    <t>Robert , Freiswick, Interim Facilities Manager, rfreiswick@nrsd.net | Patricia, Marone, Interim Business and Operations Manager, pmarone@nrsd.net |</t>
  </si>
  <si>
    <t>Larry</t>
  </si>
  <si>
    <t>Ramsdell</t>
  </si>
  <si>
    <t>Director of Maintenance</t>
  </si>
  <si>
    <t>978-544-6926</t>
  </si>
  <si>
    <t>201 Wendell Rd, New Salem, MA 01355</t>
  </si>
  <si>
    <t>ramsdell@swiftriverschool.org</t>
  </si>
  <si>
    <t>towncoord@crocker.com</t>
  </si>
  <si>
    <t xml:space="preserve">Larry, Ramsdell, Director of Maintenance, ramsdell@swiftriverschool.org | </t>
  </si>
  <si>
    <t>James</t>
  </si>
  <si>
    <t>Esoldi</t>
  </si>
  <si>
    <t>LEA / Project Supervisor</t>
  </si>
  <si>
    <t>413-281-3158</t>
  </si>
  <si>
    <t>81 Hawthorne Ave., Pittsfield, MA 01201</t>
  </si>
  <si>
    <t>jesoldi@cityofpittsfield.org</t>
  </si>
  <si>
    <t>mayorsoffice@pittsfieldch.com</t>
  </si>
  <si>
    <t>bstack@cityofpittsfield.org</t>
  </si>
  <si>
    <t>James, Esoldi, LEA/Project Suprevisor, jesoldi@cityofpittsfield.org |</t>
  </si>
  <si>
    <t>Peter</t>
  </si>
  <si>
    <t>Miller</t>
  </si>
  <si>
    <t>Director of Administrative Operations</t>
  </si>
  <si>
    <t>413-533-9500</t>
  </si>
  <si>
    <t>1913 Northampton St., Holyoke, MA 01040</t>
  </si>
  <si>
    <t>pmiller@positiveregard.com</t>
  </si>
  <si>
    <t>morsea@holyoke.org</t>
  </si>
  <si>
    <t>contid@holyoke.org</t>
  </si>
  <si>
    <t>Peter, Miller, Director of Administrative Operations, pmiller@positiveregard.com |</t>
  </si>
  <si>
    <t>Richard</t>
  </si>
  <si>
    <t>Brewer</t>
  </si>
  <si>
    <t>DPW Superintendent</t>
  </si>
  <si>
    <t>781-961-0942</t>
  </si>
  <si>
    <t>41 S. Main St., Randolph, MA 02368</t>
  </si>
  <si>
    <t>rbrewer@randolph-ma.gov</t>
  </si>
  <si>
    <t>dmurphy@randolph-ma.gov</t>
  </si>
  <si>
    <t>Mike, Caliri, Maintenance Director, calirim@randolph.ma.gov |</t>
  </si>
  <si>
    <t>Rick helped with Tool</t>
  </si>
  <si>
    <t>Erik</t>
  </si>
  <si>
    <t>Mysliwy</t>
  </si>
  <si>
    <t>Water Quality and Supply Coordinator</t>
  </si>
  <si>
    <t>781-858-2566</t>
  </si>
  <si>
    <t>16 Lowell St., Reading, MA 01867</t>
  </si>
  <si>
    <t>emysliwy@ci.reading.ma.us</t>
  </si>
  <si>
    <t>townmanager@ci.reading.ma.us</t>
  </si>
  <si>
    <t>jzager@ci.reading.ma.us</t>
  </si>
  <si>
    <t xml:space="preserve">Erik, Mysliwy, Water Quality &amp; Supply Coordinator, emysliwy@ci.reading.ma.us | </t>
  </si>
  <si>
    <t>Spoke w/ Martelli, they sampled already w/ MWRA</t>
  </si>
  <si>
    <t>Carl</t>
  </si>
  <si>
    <t>Svendsen</t>
  </si>
  <si>
    <t>Director of Plant and Maintenance</t>
  </si>
  <si>
    <t>781-286-8226</t>
  </si>
  <si>
    <t>101 School St., Revere, MA 02151</t>
  </si>
  <si>
    <t>csvendsen@revere.mec.edu</t>
  </si>
  <si>
    <t>revere_mayor@revere.org</t>
  </si>
  <si>
    <t>mamartelli@revere.org</t>
  </si>
  <si>
    <t xml:space="preserve">Carl, Svendsen, Director of Maintenance and Facilities, csvendsen@revere.mec.edu | </t>
  </si>
  <si>
    <t>Jeremy</t>
  </si>
  <si>
    <t>Wells</t>
  </si>
  <si>
    <t>Director of Buildings, Grounds, and Food Services</t>
  </si>
  <si>
    <t>413-229-8778 x 158</t>
  </si>
  <si>
    <t>491 Berkshire School Road, Sheffield, MA 01257</t>
  </si>
  <si>
    <t>jwells@sbrsd.org</t>
  </si>
  <si>
    <t>rlabombard@sheffieldma.gov</t>
  </si>
  <si>
    <t>Travis Helming</t>
  </si>
  <si>
    <t>Jeremy , Wells, Director of Buildings and Grounds , jwells@sbrsd.org |</t>
  </si>
  <si>
    <t>Eric</t>
  </si>
  <si>
    <t>Hevy</t>
  </si>
  <si>
    <t>Supervisor Buildings &amp; Grounds</t>
  </si>
  <si>
    <t>508-885-8500 x9</t>
  </si>
  <si>
    <t>306 Main St., Spencer, MA 01562</t>
  </si>
  <si>
    <t>hevye@sebrsd.org</t>
  </si>
  <si>
    <t>tpepe@spencerma.gov</t>
  </si>
  <si>
    <t>gkarpowicz@spencerma.gov</t>
  </si>
  <si>
    <t>Eric, Hevey, Supervisor Buildings &amp; Grounds, heveye@sebrsd.org |Gary Suter, Business Director, suterg@sebrsd.or</t>
  </si>
  <si>
    <t>Frances</t>
  </si>
  <si>
    <t>Reid</t>
  </si>
  <si>
    <t>ERSEA/Ancillary Services Manager</t>
  </si>
  <si>
    <t>508-587-1716</t>
  </si>
  <si>
    <t>370 Howard Street, Brockton, MA 02302</t>
  </si>
  <si>
    <t>freid@selfhelpinc.org</t>
  </si>
  <si>
    <t>BillCarpenter@cobma.us</t>
  </si>
  <si>
    <t>michael.sessine@veolia.com</t>
  </si>
  <si>
    <t>Frances, Freid, ERSEA/Ancillary Services Manager, freid@selfhelpinc.org |</t>
  </si>
  <si>
    <t>Jacqueline</t>
  </si>
  <si>
    <t>Mendonsa</t>
  </si>
  <si>
    <t>Principal</t>
  </si>
  <si>
    <t>413-259-1212 x 111</t>
  </si>
  <si>
    <t>23 West Pelham Rd, Shutesbury, MA 01072</t>
  </si>
  <si>
    <t>mendonsaj@shutesburyschool.org</t>
  </si>
  <si>
    <t>townadmin@shutesbury.org</t>
  </si>
  <si>
    <t>Robert Mahler</t>
  </si>
  <si>
    <t>tobiason</t>
  </si>
  <si>
    <t>Matthew, Foster, Head Custodian, fosterm@shutesburyschool.org |</t>
  </si>
  <si>
    <t>Nicholas</t>
  </si>
  <si>
    <t>Young</t>
  </si>
  <si>
    <t>413-538-5060</t>
  </si>
  <si>
    <t>116 Main Street, South Hadley, MA 01075</t>
  </si>
  <si>
    <t>NYoung@shschools.com</t>
  </si>
  <si>
    <t>selectboard@southhadleyma.gov</t>
  </si>
  <si>
    <t>maiken@comcast.net</t>
  </si>
  <si>
    <t>Nicholas, Young, Superintendent of Schools, NYoung@shschools.com |</t>
  </si>
  <si>
    <t>Mark</t>
  </si>
  <si>
    <t>Flanagan</t>
  </si>
  <si>
    <t>Fac Dir</t>
  </si>
  <si>
    <t>781-982-4202 x105</t>
  </si>
  <si>
    <t>100 Longwater Cir., Norwell, MA 02061</t>
  </si>
  <si>
    <t>mflanagan@sscps.org</t>
  </si>
  <si>
    <t>pmorin@townofnorwell.net</t>
  </si>
  <si>
    <t>JOHNMCINNIS@COMCAST.NET</t>
  </si>
  <si>
    <t>Mark, Flanagan, Fac Dir, mflanagan@sscps.org |</t>
  </si>
  <si>
    <t>Director of Systems and Operations, Saint Vincent’s</t>
  </si>
  <si>
    <t>508-235-3364</t>
  </si>
  <si>
    <t>2425 Highland Avenue, Fall River, MA 02720</t>
  </si>
  <si>
    <t>pmichael@stvincentshome.org</t>
  </si>
  <si>
    <t>mayor@fallriverma.org</t>
  </si>
  <si>
    <t>gouillette@fallriverma.org</t>
  </si>
  <si>
    <t>Paul , Michael, Director of Systems and Operations, pmichael@stvincentshome.org |</t>
  </si>
  <si>
    <t>Joel</t>
  </si>
  <si>
    <t>Harding</t>
  </si>
  <si>
    <t>Director Maintenance &amp; Operations</t>
  </si>
  <si>
    <t>508-326-9666</t>
  </si>
  <si>
    <t>232 Pearl Street, Stoughton, MA 02072</t>
  </si>
  <si>
    <t>j_harding@stoughtonschools.org</t>
  </si>
  <si>
    <t>mtisdelle@stoughton-ma.gov</t>
  </si>
  <si>
    <t>pmcnulty@stoughton-ma.gov</t>
  </si>
  <si>
    <t>Joel, Harding, Director Maintenance &amp; Operations, j_harding@stoughtonschools.org |</t>
  </si>
  <si>
    <t>Joseph</t>
  </si>
  <si>
    <t>Kupczewski</t>
  </si>
  <si>
    <t>978-423-0060</t>
  </si>
  <si>
    <t>275 Old Lancaster Rd, Sudbury, MA 01776</t>
  </si>
  <si>
    <t>joe_kupczewski@sudbury.k12.ma.us</t>
  </si>
  <si>
    <t>bilodeaum@sudbury.ma.us</t>
  </si>
  <si>
    <t>rmcenroe@sudburywater.com</t>
  </si>
  <si>
    <t>Wetherbee II</t>
  </si>
  <si>
    <t>District Facilities Manager</t>
  </si>
  <si>
    <t>508-347-3077</t>
  </si>
  <si>
    <t>320A Brookfield Rd, Fiskdale, MA 01518</t>
  </si>
  <si>
    <t>wetherbeer@tantasqua.org</t>
  </si>
  <si>
    <t>selectmen@brimfieldma.org, selectmen@townofholland.necoxmail.com</t>
  </si>
  <si>
    <t>TAP needs to find out</t>
  </si>
  <si>
    <t>Richard, Wetherbee II, District Facilties Manager, wetherbeer@tantasqua.org | Bruce, Stearns, Maintenance Lead, stearnsb@tantasqua.org |Jayson , Findlay, Maintenance Lead, findlayj@tantasqua.org |</t>
  </si>
  <si>
    <t>Elizabeth</t>
  </si>
  <si>
    <t>McGonagle</t>
  </si>
  <si>
    <t>781-352-5711</t>
  </si>
  <si>
    <t>141 Mansion Drive, Suite 200, E. Walpole, MA 02032</t>
  </si>
  <si>
    <t>lmcgonagle@tec-coop.org</t>
  </si>
  <si>
    <t>jjohnson@walpole-ma.gov</t>
  </si>
  <si>
    <t>rmattson@walpole-ma.gov</t>
  </si>
  <si>
    <t>Daniel , Shovak, Director of Finance &amp; Operations, dshovak@tec-coop.org |</t>
  </si>
  <si>
    <t>Christopher</t>
  </si>
  <si>
    <t>Walsh</t>
  </si>
  <si>
    <t>Facility &amp; Grounds Manager</t>
  </si>
  <si>
    <t>978-518-4207</t>
  </si>
  <si>
    <t>112 Elm St., Byfield, MA 01922</t>
  </si>
  <si>
    <t>christopher.walsh@tritonschools.org</t>
  </si>
  <si>
    <t>info@townofnewbury.org</t>
  </si>
  <si>
    <t>byfieldwater@comcast.net</t>
  </si>
  <si>
    <t>Christopher, Walsh, Facilities &amp; Grounds Manager, christopher.walsh@tritonschools.org | Steve, Orme, Head Custodian, steven.orme@tritonschools.org | Michelle , Cresta, School Business Administrator, michelle.cresta@tritonschools.org |</t>
  </si>
  <si>
    <t>Tri-Town SU</t>
  </si>
  <si>
    <t>Clifford</t>
  </si>
  <si>
    <t>978-887-0771</t>
  </si>
  <si>
    <t>28 Middleton Road, Boxford, MA 01921</t>
  </si>
  <si>
    <t>sclifford@tritownschoolunion.com</t>
  </si>
  <si>
    <t>gkrom@topsfield-ma.gov</t>
  </si>
  <si>
    <t>Steve , Clifford, Director of Facilities, sclifford@tritownschoolunion.com |</t>
  </si>
  <si>
    <t>Maryanne</t>
  </si>
  <si>
    <t>Baskin</t>
  </si>
  <si>
    <t>413-545-1566</t>
  </si>
  <si>
    <t>21 Clubhouse Dr., Amherst, MA 01003</t>
  </si>
  <si>
    <t>mbaskin@umass.edu</t>
  </si>
  <si>
    <t>townmanager@amherstma.gov</t>
  </si>
  <si>
    <t>mooringg@amherstma.gov</t>
  </si>
  <si>
    <t>Maryanne, Baskin, Director, mbaskin@umass.edu | Teresa, Houle, Office Supervisor, thoule@umass.edu |</t>
  </si>
  <si>
    <t>Covello</t>
  </si>
  <si>
    <t>Pre-12 Facilities Manager</t>
  </si>
  <si>
    <t>508-667-6350</t>
  </si>
  <si>
    <t>1745 Main St., Jefferson, MA 01522</t>
  </si>
  <si>
    <t>jim_covello@wrsd.net</t>
  </si>
  <si>
    <t>plukes@holdenma.gov</t>
  </si>
  <si>
    <t>rmouradian@holdenma.gov</t>
  </si>
  <si>
    <t>Tony, Cipro, Principal, tony_cipro@wrsd.net |</t>
  </si>
  <si>
    <t>kai</t>
  </si>
  <si>
    <t>Tao</t>
  </si>
  <si>
    <t>617-335-0606</t>
  </si>
  <si>
    <t>411 Waverley Oaks Rd Suite 214, Waltham, MA 02452</t>
  </si>
  <si>
    <t>kaitao00@gmail.com</t>
  </si>
  <si>
    <t>mayor@city.waltham.ma.us</t>
  </si>
  <si>
    <t>scasazza@city.waltham.ma.us</t>
  </si>
  <si>
    <t>kai, Tao, Director, kaitao00@gmail.com |</t>
  </si>
  <si>
    <t>Results posted on Tool, need them from DEP</t>
  </si>
  <si>
    <t>Steven</t>
  </si>
  <si>
    <t>Baccari</t>
  </si>
  <si>
    <t>Director of Public Health</t>
  </si>
  <si>
    <t>508-366-3045</t>
  </si>
  <si>
    <t>34 West Main St., Westborough, MA 01581</t>
  </si>
  <si>
    <t>sbaccari@town.westborough.ma.us</t>
  </si>
  <si>
    <t>jmalloy@town.westborough.ma.us</t>
  </si>
  <si>
    <t>bantonioli@town.westborough.ma.us</t>
  </si>
  <si>
    <t>Kathleen</t>
  </si>
  <si>
    <t>Auth</t>
  </si>
  <si>
    <t>Director of School Finance</t>
  </si>
  <si>
    <t>978-692-5560 x 2106</t>
  </si>
  <si>
    <t>23 Depot St., Westford, MA 01776</t>
  </si>
  <si>
    <t>kauth@westfordk12.us</t>
  </si>
  <si>
    <t xml:space="preserve">Kathleen, Huntley, Principal, Abbot Elementary, khuntley@westfordk12.us | John, Emanouil, Head Custodian, Abbot Elementary, jemanouil@westfordk12.us | Richard, Crocker, Director of Plant Operations, rcrocker@westfordk12.us | </t>
  </si>
  <si>
    <t>Gary</t>
  </si>
  <si>
    <t>Jarobski</t>
  </si>
  <si>
    <t>781-786-5270</t>
  </si>
  <si>
    <t>89 Wellesley Street, Weston, MA 02493</t>
  </si>
  <si>
    <t>jarobskig@weston.org</t>
  </si>
  <si>
    <t>vanderclock.d@westonmass.org</t>
  </si>
  <si>
    <t>cullen.t@westonmass.org</t>
  </si>
  <si>
    <t>Gary , Jarobski, Director of Facilities Townwide, jarobskig@weston.org | Tim, deMartin, Deputy Director of Facilities Townwide, demartint@weston.org | Robert, Lager, Head Custodian, lagerr@weston.org |</t>
  </si>
  <si>
    <t>Paula</t>
  </si>
  <si>
    <t>Magnasco</t>
  </si>
  <si>
    <t>Coordinator of Health Services, Nurse Leader</t>
  </si>
  <si>
    <t>781-337-7500 x 25171</t>
  </si>
  <si>
    <t>1 Wildcat Way, Weymouth MA 02190</t>
  </si>
  <si>
    <t>paula.magnasco@weymouthps.org</t>
  </si>
  <si>
    <t>constituentservices@weymouth.ma.us</t>
  </si>
  <si>
    <t>kmorse@weymouth.ma.us</t>
  </si>
  <si>
    <t>John, Barker, Dir of Maintenance, John. Barker@weymouthps.org |</t>
  </si>
  <si>
    <t>WilmingtonPS</t>
  </si>
  <si>
    <t>Jim</t>
  </si>
  <si>
    <t>O'Brien</t>
  </si>
  <si>
    <t>Building and Grounds supervisor</t>
  </si>
  <si>
    <t>413-458-5707 x 136</t>
  </si>
  <si>
    <t>115 Church St., Williamston, MA 01267</t>
  </si>
  <si>
    <t>jobrien@williamstownelementary.org</t>
  </si>
  <si>
    <t>jhoch@williamstownma.gov</t>
  </si>
  <si>
    <t>erondeau@williamstownma.gov</t>
  </si>
  <si>
    <t>Jim, O'Brien, buildings and Grounds supervisor, jobrien@williamstownelementary.org |</t>
  </si>
  <si>
    <t>Paris</t>
  </si>
  <si>
    <t>Custodial Supervisor</t>
  </si>
  <si>
    <t>413-443-0027</t>
  </si>
  <si>
    <t>188 Summer St., Lanesborough, MA 01237</t>
  </si>
  <si>
    <t>rparis@lanesboroughschool.org</t>
  </si>
  <si>
    <t>town.secretary@lanesborough-ma.gov</t>
  </si>
  <si>
    <t>lfwd@verizon.net</t>
  </si>
  <si>
    <t xml:space="preserve">Rick, Paris, custodial supervisor, rparis@lanesboroughschool.org | Marty, McEvoy, Principal, mmcevoy@lanesboroughschool.org | </t>
  </si>
  <si>
    <t>2017-2018 Statistics</t>
  </si>
  <si>
    <t xml:space="preserve">Assistance </t>
  </si>
  <si>
    <t>Number of facilities w/ results</t>
  </si>
  <si>
    <t>Number of facilities w/ sample plans</t>
  </si>
  <si>
    <t>Number of facilities applied to  program</t>
  </si>
  <si>
    <t>None</t>
  </si>
  <si>
    <t>Number of facilities done sampling</t>
  </si>
  <si>
    <t>Average number of samples/facility</t>
  </si>
  <si>
    <t>Maximum number of samples/ facility</t>
  </si>
  <si>
    <t>Minimum number of samples/ facility</t>
  </si>
  <si>
    <t>Total</t>
  </si>
  <si>
    <t>Total number of samples</t>
  </si>
  <si>
    <t>Total number of samples taken so far</t>
  </si>
  <si>
    <t>Districts</t>
  </si>
  <si>
    <t>Number of samples analyzed by MWRA</t>
  </si>
  <si>
    <t>Number of samples paid for by UMass</t>
  </si>
  <si>
    <t>Facilities</t>
  </si>
  <si>
    <t>2016-2017 Satistics</t>
  </si>
  <si>
    <t>Sampling Plan</t>
  </si>
  <si>
    <t>Number of schools w/ sample plans</t>
  </si>
  <si>
    <t>Number of schools in program</t>
  </si>
  <si>
    <t>Sampling Date</t>
  </si>
  <si>
    <t>Number of schools done sampling</t>
  </si>
  <si>
    <t>sample plan, not sampled yet</t>
  </si>
  <si>
    <t>Phase 1</t>
  </si>
  <si>
    <t>%</t>
  </si>
  <si>
    <t>Number of schools w/ results</t>
  </si>
  <si>
    <t>Results Sent</t>
  </si>
  <si>
    <t>Average number of samples/school</t>
  </si>
  <si>
    <t xml:space="preserve">Facilities &gt;Pb </t>
  </si>
  <si>
    <t>Minimum number of samples/ school</t>
  </si>
  <si>
    <t xml:space="preserve">Facilities &gt;Cu </t>
  </si>
  <si>
    <t>Maximum number of samples/ school</t>
  </si>
  <si>
    <t>Facilities 0 exceedance</t>
  </si>
  <si>
    <t>Pase 1</t>
  </si>
  <si>
    <t>Phase 2</t>
  </si>
  <si>
    <t>Overall</t>
  </si>
  <si>
    <t>Total number of samples paid by UMass</t>
  </si>
  <si>
    <t>Pb only</t>
  </si>
  <si>
    <t>Cu only</t>
  </si>
  <si>
    <t>lead only</t>
  </si>
  <si>
    <t>Pb &amp; Cu</t>
  </si>
  <si>
    <t>both &gt;Als</t>
  </si>
  <si>
    <t>neither</t>
  </si>
  <si>
    <t>copper only</t>
  </si>
  <si>
    <t># Towns</t>
  </si>
  <si>
    <t>Pb(P)</t>
  </si>
  <si>
    <t>Pb(%)</t>
  </si>
  <si>
    <t>&lt;or= 1 ppb</t>
  </si>
  <si>
    <t>1 to 15 ppb</t>
  </si>
  <si>
    <t>&gt; 15 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</si>
</sst>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indexed="8"/>
      <name val="Verdana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rgb="FF33333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 style="medium">
        <color theme="0" tint="-0.34998626667073579"/>
      </left>
      <right style="thin">
        <color theme="0" tint="-0.499984740745262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34998626667073579"/>
      </right>
      <top/>
      <bottom style="thin">
        <color theme="0" tint="-0.499984740745262"/>
      </bottom>
      <diagonal/>
    </border>
    <border>
      <left style="medium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34998626667073579"/>
      </left>
      <right style="thin">
        <color theme="0" tint="-0.499984740745262"/>
      </right>
      <top style="thin">
        <color theme="0" tint="-0.499984740745262"/>
      </top>
      <bottom style="medium">
        <color theme="0" tint="-0.34998626667073579"/>
      </bottom>
      <diagonal/>
    </border>
    <border>
      <left style="thin">
        <color theme="0" tint="-0.499984740745262"/>
      </left>
      <right style="medium">
        <color theme="0" tint="-0.34998626667073579"/>
      </right>
      <top style="thin">
        <color theme="0" tint="-0.499984740745262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34998626667073579"/>
      </left>
      <right style="thin">
        <color theme="0" tint="-0.499984740745262"/>
      </right>
      <top/>
      <bottom/>
      <diagonal/>
    </border>
  </borders>
  <cellStyleXfs count="2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4" fillId="0" borderId="0"/>
    <xf numFmtId="0" fontId="9" fillId="0" borderId="0"/>
    <xf numFmtId="0" fontId="10" fillId="0" borderId="0"/>
    <xf numFmtId="0" fontId="11" fillId="0" borderId="0" applyNumberFormat="0" applyFill="0" applyBorder="0" applyProtection="0">
      <alignment vertical="top" wrapText="1"/>
    </xf>
    <xf numFmtId="0" fontId="9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 applyNumberFormat="0" applyFill="0" applyBorder="0" applyAlignment="0" applyProtection="0"/>
  </cellStyleXfs>
  <cellXfs count="420">
    <xf numFmtId="0" fontId="0" fillId="0" borderId="0" xfId="0"/>
    <xf numFmtId="0" fontId="0" fillId="2" borderId="9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top"/>
    </xf>
    <xf numFmtId="0" fontId="6" fillId="2" borderId="9" xfId="1" applyFont="1" applyFill="1" applyBorder="1" applyAlignment="1">
      <alignment horizontal="left" vertical="center"/>
    </xf>
    <xf numFmtId="14" fontId="0" fillId="2" borderId="9" xfId="0" applyNumberFormat="1" applyFill="1" applyBorder="1" applyAlignment="1">
      <alignment horizontal="center" vertical="top"/>
    </xf>
    <xf numFmtId="0" fontId="1" fillId="2" borderId="9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vertical="top"/>
    </xf>
    <xf numFmtId="14" fontId="1" fillId="2" borderId="9" xfId="0" applyNumberFormat="1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top"/>
    </xf>
    <xf numFmtId="0" fontId="1" fillId="2" borderId="9" xfId="0" applyFont="1" applyFill="1" applyBorder="1" applyAlignment="1" applyProtection="1">
      <alignment vertical="top" wrapText="1"/>
      <protection locked="0"/>
    </xf>
    <xf numFmtId="49" fontId="1" fillId="2" borderId="9" xfId="0" applyNumberFormat="1" applyFont="1" applyFill="1" applyBorder="1" applyAlignment="1">
      <alignment vertical="top" wrapText="1"/>
    </xf>
    <xf numFmtId="14" fontId="1" fillId="2" borderId="9" xfId="0" applyNumberFormat="1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left" vertical="top"/>
    </xf>
    <xf numFmtId="0" fontId="1" fillId="2" borderId="9" xfId="0" applyFont="1" applyFill="1" applyBorder="1" applyAlignment="1" applyProtection="1">
      <alignment vertical="top"/>
      <protection locked="0"/>
    </xf>
    <xf numFmtId="14" fontId="0" fillId="2" borderId="9" xfId="0" applyNumberFormat="1" applyFill="1" applyBorder="1" applyAlignment="1">
      <alignment horizontal="left" vertical="top"/>
    </xf>
    <xf numFmtId="0" fontId="0" fillId="2" borderId="9" xfId="0" applyFill="1" applyBorder="1" applyAlignment="1">
      <alignment horizontal="center" vertical="top"/>
    </xf>
    <xf numFmtId="0" fontId="0" fillId="2" borderId="9" xfId="0" applyFill="1" applyBorder="1" applyAlignment="1" applyProtection="1">
      <alignment horizontal="center" vertical="top"/>
      <protection locked="0"/>
    </xf>
    <xf numFmtId="49" fontId="0" fillId="2" borderId="9" xfId="0" applyNumberFormat="1" applyFill="1" applyBorder="1" applyAlignment="1">
      <alignment horizontal="center" vertical="top"/>
    </xf>
    <xf numFmtId="0" fontId="0" fillId="2" borderId="9" xfId="0" applyFill="1" applyBorder="1" applyAlignment="1">
      <alignment vertical="top"/>
    </xf>
    <xf numFmtId="0" fontId="1" fillId="2" borderId="9" xfId="0" applyFont="1" applyFill="1" applyBorder="1" applyAlignment="1">
      <alignment vertical="center"/>
    </xf>
    <xf numFmtId="0" fontId="14" fillId="2" borderId="9" xfId="0" applyFont="1" applyFill="1" applyBorder="1" applyAlignment="1">
      <alignment horizontal="center" vertical="top"/>
    </xf>
    <xf numFmtId="0" fontId="0" fillId="2" borderId="9" xfId="1" applyFont="1" applyFill="1" applyBorder="1" applyAlignment="1" applyProtection="1">
      <alignment horizontal="center" vertical="top"/>
      <protection locked="0"/>
    </xf>
    <xf numFmtId="49" fontId="0" fillId="2" borderId="9" xfId="1" applyNumberFormat="1" applyFont="1" applyFill="1" applyBorder="1" applyAlignment="1">
      <alignment horizontal="center" vertical="top"/>
    </xf>
    <xf numFmtId="0" fontId="0" fillId="2" borderId="9" xfId="1" applyFont="1" applyFill="1" applyBorder="1" applyAlignment="1">
      <alignment horizontal="left" vertical="top"/>
    </xf>
    <xf numFmtId="14" fontId="0" fillId="2" borderId="9" xfId="1" applyNumberFormat="1" applyFont="1" applyFill="1" applyBorder="1" applyAlignment="1">
      <alignment horizontal="center" vertical="top"/>
    </xf>
    <xf numFmtId="0" fontId="0" fillId="0" borderId="9" xfId="20" applyFont="1" applyBorder="1" applyAlignment="1">
      <alignment horizontal="center" vertical="top"/>
    </xf>
    <xf numFmtId="0" fontId="13" fillId="0" borderId="9" xfId="0" applyFont="1" applyBorder="1" applyAlignment="1">
      <alignment horizontal="center"/>
    </xf>
    <xf numFmtId="0" fontId="13" fillId="2" borderId="9" xfId="0" applyFont="1" applyFill="1" applyBorder="1" applyAlignment="1">
      <alignment vertical="top" wrapText="1"/>
    </xf>
    <xf numFmtId="0" fontId="13" fillId="0" borderId="9" xfId="0" applyFont="1" applyBorder="1" applyAlignment="1">
      <alignment vertical="top" wrapText="1"/>
    </xf>
    <xf numFmtId="14" fontId="0" fillId="2" borderId="9" xfId="0" applyNumberFormat="1" applyFill="1" applyBorder="1" applyAlignment="1">
      <alignment horizontal="center" vertical="center"/>
    </xf>
    <xf numFmtId="14" fontId="6" fillId="2" borderId="9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" fontId="0" fillId="3" borderId="2" xfId="0" applyNumberFormat="1" applyFill="1" applyBorder="1" applyAlignment="1">
      <alignment horizontal="right"/>
    </xf>
    <xf numFmtId="0" fontId="0" fillId="2" borderId="3" xfId="0" applyFill="1" applyBorder="1" applyAlignment="1">
      <alignment horizontal="left" vertical="center" wrapText="1"/>
    </xf>
    <xf numFmtId="3" fontId="0" fillId="2" borderId="4" xfId="0" applyNumberFormat="1" applyFill="1" applyBorder="1" applyAlignment="1">
      <alignment horizontal="right" vertical="center"/>
    </xf>
    <xf numFmtId="0" fontId="0" fillId="3" borderId="5" xfId="0" applyFill="1" applyBorder="1" applyAlignment="1">
      <alignment vertical="center"/>
    </xf>
    <xf numFmtId="1" fontId="0" fillId="3" borderId="6" xfId="0" applyNumberFormat="1" applyFill="1" applyBorder="1" applyAlignment="1">
      <alignment horizontal="right"/>
    </xf>
    <xf numFmtId="0" fontId="0" fillId="2" borderId="5" xfId="0" applyFill="1" applyBorder="1" applyAlignment="1">
      <alignment horizontal="left" vertical="center"/>
    </xf>
    <xf numFmtId="1" fontId="0" fillId="2" borderId="6" xfId="0" applyNumberFormat="1" applyFill="1" applyBorder="1" applyAlignment="1">
      <alignment horizontal="right"/>
    </xf>
    <xf numFmtId="0" fontId="0" fillId="3" borderId="5" xfId="0" applyFill="1" applyBorder="1" applyAlignment="1">
      <alignment horizontal="left" vertical="center" wrapText="1"/>
    </xf>
    <xf numFmtId="3" fontId="0" fillId="3" borderId="6" xfId="0" applyNumberFormat="1" applyFill="1" applyBorder="1" applyAlignment="1">
      <alignment horizontal="right" vertical="center"/>
    </xf>
    <xf numFmtId="0" fontId="0" fillId="2" borderId="5" xfId="0" applyFill="1" applyBorder="1" applyAlignment="1">
      <alignment horizontal="left" vertical="center" wrapText="1"/>
    </xf>
    <xf numFmtId="3" fontId="0" fillId="2" borderId="6" xfId="0" applyNumberFormat="1" applyFill="1" applyBorder="1" applyAlignment="1">
      <alignment horizontal="right" vertical="center"/>
    </xf>
    <xf numFmtId="0" fontId="0" fillId="3" borderId="7" xfId="0" applyFill="1" applyBorder="1" applyAlignment="1">
      <alignment horizontal="left" vertical="center" wrapText="1"/>
    </xf>
    <xf numFmtId="3" fontId="14" fillId="3" borderId="8" xfId="0" applyNumberFormat="1" applyFont="1" applyFill="1" applyBorder="1" applyAlignment="1">
      <alignment horizontal="right" vertical="center"/>
    </xf>
    <xf numFmtId="0" fontId="1" fillId="0" borderId="0" xfId="0" applyFont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14" fontId="0" fillId="2" borderId="9" xfId="0" applyNumberFormat="1" applyFill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0" fillId="4" borderId="12" xfId="0" applyFill="1" applyBorder="1"/>
    <xf numFmtId="0" fontId="0" fillId="4" borderId="13" xfId="0" applyFill="1" applyBorder="1"/>
    <xf numFmtId="0" fontId="0" fillId="0" borderId="9" xfId="15" applyFont="1" applyBorder="1" applyAlignment="1">
      <alignment horizontal="center" vertical="top"/>
    </xf>
    <xf numFmtId="0" fontId="0" fillId="5" borderId="12" xfId="0" applyFill="1" applyBorder="1"/>
    <xf numFmtId="0" fontId="7" fillId="2" borderId="9" xfId="1" applyFont="1" applyFill="1" applyBorder="1" applyAlignment="1">
      <alignment horizontal="left" vertical="top" wrapText="1"/>
    </xf>
    <xf numFmtId="0" fontId="7" fillId="2" borderId="9" xfId="1" applyFont="1" applyFill="1" applyBorder="1" applyAlignment="1">
      <alignment horizontal="left" vertical="top"/>
    </xf>
    <xf numFmtId="14" fontId="7" fillId="2" borderId="9" xfId="1" applyNumberFormat="1" applyFont="1" applyFill="1" applyBorder="1" applyAlignment="1">
      <alignment horizontal="center" vertical="top" wrapText="1"/>
    </xf>
    <xf numFmtId="14" fontId="1" fillId="2" borderId="9" xfId="0" applyNumberFormat="1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vertical="top"/>
    </xf>
    <xf numFmtId="0" fontId="4" fillId="2" borderId="9" xfId="0" applyFont="1" applyFill="1" applyBorder="1" applyAlignment="1">
      <alignment horizontal="left" vertical="center"/>
    </xf>
    <xf numFmtId="14" fontId="4" fillId="2" borderId="9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vertical="center"/>
    </xf>
    <xf numFmtId="14" fontId="4" fillId="2" borderId="9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left" vertical="top"/>
    </xf>
    <xf numFmtId="14" fontId="4" fillId="2" borderId="9" xfId="0" applyNumberFormat="1" applyFont="1" applyFill="1" applyBorder="1" applyAlignment="1">
      <alignment horizontal="center" vertical="top"/>
    </xf>
    <xf numFmtId="0" fontId="13" fillId="2" borderId="9" xfId="0" applyFont="1" applyFill="1" applyBorder="1" applyAlignment="1">
      <alignment horizontal="right" wrapText="1"/>
    </xf>
    <xf numFmtId="0" fontId="13" fillId="2" borderId="9" xfId="0" applyFont="1" applyFill="1" applyBorder="1" applyAlignment="1">
      <alignment horizontal="left" wrapText="1"/>
    </xf>
    <xf numFmtId="0" fontId="4" fillId="2" borderId="9" xfId="0" applyFont="1" applyFill="1" applyBorder="1"/>
    <xf numFmtId="0" fontId="13" fillId="2" borderId="9" xfId="0" applyFont="1" applyFill="1" applyBorder="1" applyAlignment="1">
      <alignment horizontal="center" wrapText="1"/>
    </xf>
    <xf numFmtId="0" fontId="13" fillId="2" borderId="9" xfId="0" applyFont="1" applyFill="1" applyBorder="1" applyAlignment="1">
      <alignment wrapText="1"/>
    </xf>
    <xf numFmtId="0" fontId="7" fillId="2" borderId="9" xfId="1" applyFont="1" applyFill="1" applyBorder="1" applyAlignment="1">
      <alignment horizontal="left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left" vertical="center"/>
    </xf>
    <xf numFmtId="0" fontId="13" fillId="2" borderId="9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1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1" fontId="0" fillId="0" borderId="19" xfId="0" applyNumberFormat="1" applyBorder="1"/>
    <xf numFmtId="0" fontId="4" fillId="2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13" fillId="2" borderId="9" xfId="0" applyFont="1" applyFill="1" applyBorder="1" applyAlignment="1">
      <alignment horizontal="left" vertical="center"/>
    </xf>
    <xf numFmtId="0" fontId="0" fillId="2" borderId="11" xfId="0" applyFill="1" applyBorder="1"/>
    <xf numFmtId="0" fontId="0" fillId="2" borderId="14" xfId="0" applyFill="1" applyBorder="1"/>
    <xf numFmtId="0" fontId="0" fillId="2" borderId="15" xfId="0" applyFill="1" applyBorder="1"/>
    <xf numFmtId="0" fontId="0" fillId="6" borderId="12" xfId="0" applyFill="1" applyBorder="1"/>
    <xf numFmtId="0" fontId="0" fillId="6" borderId="15" xfId="0" applyFill="1" applyBorder="1"/>
    <xf numFmtId="0" fontId="0" fillId="2" borderId="12" xfId="0" applyFill="1" applyBorder="1"/>
    <xf numFmtId="0" fontId="0" fillId="2" borderId="12" xfId="0" applyFill="1" applyBorder="1" applyAlignment="1">
      <alignment wrapText="1"/>
    </xf>
    <xf numFmtId="0" fontId="0" fillId="5" borderId="14" xfId="0" applyFill="1" applyBorder="1"/>
    <xf numFmtId="0" fontId="13" fillId="2" borderId="9" xfId="0" applyFont="1" applyFill="1" applyBorder="1" applyAlignment="1">
      <alignment vertical="center" wrapText="1"/>
    </xf>
    <xf numFmtId="14" fontId="7" fillId="2" borderId="9" xfId="1" applyNumberFormat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center" vertical="top"/>
    </xf>
    <xf numFmtId="0" fontId="0" fillId="2" borderId="9" xfId="0" applyFill="1" applyBorder="1"/>
    <xf numFmtId="0" fontId="0" fillId="0" borderId="24" xfId="0" applyBorder="1"/>
    <xf numFmtId="0" fontId="0" fillId="0" borderId="25" xfId="0" applyBorder="1"/>
    <xf numFmtId="1" fontId="0" fillId="0" borderId="25" xfId="0" applyNumberFormat="1" applyBorder="1"/>
    <xf numFmtId="0" fontId="0" fillId="0" borderId="26" xfId="0" applyBorder="1"/>
    <xf numFmtId="9" fontId="0" fillId="0" borderId="25" xfId="0" applyNumberFormat="1" applyBorder="1"/>
    <xf numFmtId="0" fontId="0" fillId="7" borderId="27" xfId="0" applyFill="1" applyBorder="1"/>
    <xf numFmtId="0" fontId="1" fillId="2" borderId="10" xfId="0" applyFont="1" applyFill="1" applyBorder="1"/>
    <xf numFmtId="0" fontId="0" fillId="4" borderId="29" xfId="0" applyFill="1" applyBorder="1"/>
    <xf numFmtId="0" fontId="0" fillId="4" borderId="30" xfId="0" applyFill="1" applyBorder="1"/>
    <xf numFmtId="0" fontId="1" fillId="0" borderId="31" xfId="0" applyFont="1" applyBorder="1"/>
    <xf numFmtId="0" fontId="0" fillId="0" borderId="32" xfId="0" applyBorder="1"/>
    <xf numFmtId="0" fontId="0" fillId="0" borderId="9" xfId="0" applyBorder="1"/>
    <xf numFmtId="0" fontId="0" fillId="5" borderId="9" xfId="0" applyFill="1" applyBorder="1"/>
    <xf numFmtId="1" fontId="0" fillId="5" borderId="9" xfId="0" applyNumberFormat="1" applyFill="1" applyBorder="1"/>
    <xf numFmtId="0" fontId="0" fillId="5" borderId="33" xfId="0" applyFill="1" applyBorder="1"/>
    <xf numFmtId="0" fontId="0" fillId="0" borderId="34" xfId="0" applyBorder="1"/>
    <xf numFmtId="0" fontId="0" fillId="7" borderId="35" xfId="0" applyFill="1" applyBorder="1"/>
    <xf numFmtId="9" fontId="0" fillId="7" borderId="25" xfId="0" applyNumberFormat="1" applyFill="1" applyBorder="1"/>
    <xf numFmtId="0" fontId="0" fillId="0" borderId="27" xfId="0" applyBorder="1"/>
    <xf numFmtId="0" fontId="0" fillId="0" borderId="35" xfId="0" applyBorder="1"/>
    <xf numFmtId="9" fontId="0" fillId="0" borderId="28" xfId="0" applyNumberFormat="1" applyBorder="1"/>
    <xf numFmtId="0" fontId="0" fillId="5" borderId="29" xfId="0" applyFill="1" applyBorder="1"/>
    <xf numFmtId="0" fontId="0" fillId="5" borderId="36" xfId="0" applyFill="1" applyBorder="1"/>
    <xf numFmtId="0" fontId="0" fillId="0" borderId="37" xfId="0" applyBorder="1"/>
    <xf numFmtId="0" fontId="13" fillId="0" borderId="0" xfId="0" applyFont="1" applyAlignment="1">
      <alignment horizontal="center"/>
    </xf>
    <xf numFmtId="0" fontId="1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3" fillId="0" borderId="9" xfId="0" applyFont="1" applyBorder="1" applyAlignment="1">
      <alignment horizontal="center" vertical="center"/>
    </xf>
    <xf numFmtId="0" fontId="1" fillId="8" borderId="9" xfId="0" applyFont="1" applyFill="1" applyBorder="1" applyAlignment="1">
      <alignment horizontal="left" vertical="top"/>
    </xf>
    <xf numFmtId="0" fontId="1" fillId="8" borderId="9" xfId="0" applyFont="1" applyFill="1" applyBorder="1" applyAlignment="1">
      <alignment vertical="top"/>
    </xf>
    <xf numFmtId="0" fontId="1" fillId="8" borderId="9" xfId="0" applyFont="1" applyFill="1" applyBorder="1" applyAlignment="1">
      <alignment vertical="center"/>
    </xf>
    <xf numFmtId="0" fontId="0" fillId="2" borderId="36" xfId="0" applyFill="1" applyBorder="1" applyAlignment="1">
      <alignment horizontal="center" vertical="top"/>
    </xf>
    <xf numFmtId="0" fontId="0" fillId="0" borderId="38" xfId="0" applyBorder="1"/>
    <xf numFmtId="0" fontId="0" fillId="2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13" fillId="2" borderId="9" xfId="0" applyFont="1" applyFill="1" applyBorder="1" applyAlignment="1">
      <alignment horizontal="right" vertical="center" wrapText="1"/>
    </xf>
    <xf numFmtId="0" fontId="1" fillId="8" borderId="9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 wrapText="1"/>
    </xf>
    <xf numFmtId="0" fontId="0" fillId="2" borderId="36" xfId="0" applyFill="1" applyBorder="1" applyAlignment="1">
      <alignment horizontal="left" vertical="top"/>
    </xf>
    <xf numFmtId="0" fontId="0" fillId="2" borderId="9" xfId="0" applyFill="1" applyBorder="1" applyAlignment="1" applyProtection="1">
      <alignment horizontal="center" vertical="center"/>
      <protection locked="0"/>
    </xf>
    <xf numFmtId="49" fontId="0" fillId="2" borderId="9" xfId="0" applyNumberFormat="1" applyFill="1" applyBorder="1" applyAlignment="1">
      <alignment horizontal="center" vertical="center"/>
    </xf>
    <xf numFmtId="0" fontId="0" fillId="2" borderId="36" xfId="0" applyFill="1" applyBorder="1" applyAlignment="1">
      <alignment vertical="top"/>
    </xf>
    <xf numFmtId="0" fontId="8" fillId="9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/>
    </xf>
    <xf numFmtId="14" fontId="13" fillId="2" borderId="9" xfId="0" applyNumberFormat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left"/>
    </xf>
    <xf numFmtId="0" fontId="4" fillId="2" borderId="0" xfId="0" applyFont="1" applyFill="1" applyAlignment="1">
      <alignment horizontal="left" vertical="center"/>
    </xf>
    <xf numFmtId="0" fontId="1" fillId="9" borderId="9" xfId="0" applyFont="1" applyFill="1" applyBorder="1" applyAlignment="1">
      <alignment horizontal="left" vertical="center"/>
    </xf>
    <xf numFmtId="14" fontId="4" fillId="10" borderId="9" xfId="0" applyNumberFormat="1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left" vertical="center"/>
    </xf>
    <xf numFmtId="0" fontId="1" fillId="10" borderId="9" xfId="0" applyFont="1" applyFill="1" applyBorder="1" applyAlignment="1">
      <alignment horizontal="left" vertical="center"/>
    </xf>
    <xf numFmtId="0" fontId="4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left" vertical="center"/>
    </xf>
    <xf numFmtId="0" fontId="1" fillId="9" borderId="9" xfId="0" applyFont="1" applyFill="1" applyBorder="1" applyAlignment="1">
      <alignment horizontal="left" vertical="top"/>
    </xf>
    <xf numFmtId="0" fontId="1" fillId="11" borderId="9" xfId="0" applyFont="1" applyFill="1" applyBorder="1" applyAlignment="1">
      <alignment horizontal="left" vertical="center"/>
    </xf>
    <xf numFmtId="0" fontId="4" fillId="11" borderId="9" xfId="0" applyFont="1" applyFill="1" applyBorder="1" applyAlignment="1">
      <alignment horizontal="left" vertical="center"/>
    </xf>
    <xf numFmtId="14" fontId="4" fillId="11" borderId="9" xfId="0" applyNumberFormat="1" applyFont="1" applyFill="1" applyBorder="1" applyAlignment="1">
      <alignment horizontal="center" vertical="center"/>
    </xf>
    <xf numFmtId="0" fontId="13" fillId="11" borderId="9" xfId="0" applyFont="1" applyFill="1" applyBorder="1" applyAlignment="1">
      <alignment horizontal="right" wrapText="1"/>
    </xf>
    <xf numFmtId="0" fontId="13" fillId="11" borderId="9" xfId="0" applyFont="1" applyFill="1" applyBorder="1" applyAlignment="1">
      <alignment horizontal="center" wrapText="1"/>
    </xf>
    <xf numFmtId="0" fontId="4" fillId="11" borderId="9" xfId="0" applyFont="1" applyFill="1" applyBorder="1" applyAlignment="1">
      <alignment vertical="center"/>
    </xf>
    <xf numFmtId="0" fontId="13" fillId="11" borderId="9" xfId="0" applyFont="1" applyFill="1" applyBorder="1" applyAlignment="1">
      <alignment wrapText="1"/>
    </xf>
    <xf numFmtId="0" fontId="4" fillId="11" borderId="9" xfId="0" applyFont="1" applyFill="1" applyBorder="1" applyAlignment="1">
      <alignment horizontal="center" vertical="center"/>
    </xf>
    <xf numFmtId="0" fontId="13" fillId="11" borderId="9" xfId="0" applyFont="1" applyFill="1" applyBorder="1" applyAlignment="1">
      <alignment horizontal="right" vertical="center" wrapText="1"/>
    </xf>
    <xf numFmtId="0" fontId="13" fillId="11" borderId="9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vertical="center" wrapText="1"/>
    </xf>
    <xf numFmtId="0" fontId="13" fillId="11" borderId="9" xfId="0" applyFont="1" applyFill="1" applyBorder="1" applyAlignment="1">
      <alignment vertical="center"/>
    </xf>
    <xf numFmtId="14" fontId="6" fillId="11" borderId="9" xfId="1" applyNumberFormat="1" applyFont="1" applyFill="1" applyBorder="1" applyAlignment="1">
      <alignment horizontal="center" vertical="center"/>
    </xf>
    <xf numFmtId="0" fontId="13" fillId="11" borderId="9" xfId="0" applyFont="1" applyFill="1" applyBorder="1" applyAlignment="1">
      <alignment horizontal="left" vertical="center" wrapText="1"/>
    </xf>
    <xf numFmtId="0" fontId="0" fillId="10" borderId="9" xfId="0" applyFill="1" applyBorder="1" applyAlignment="1">
      <alignment horizontal="center" vertical="center"/>
    </xf>
    <xf numFmtId="1" fontId="0" fillId="0" borderId="0" xfId="0" applyNumberFormat="1"/>
    <xf numFmtId="0" fontId="4" fillId="11" borderId="9" xfId="0" applyFont="1" applyFill="1" applyBorder="1" applyAlignment="1">
      <alignment horizontal="center" vertical="center" wrapText="1"/>
    </xf>
    <xf numFmtId="0" fontId="6" fillId="10" borderId="23" xfId="1" applyFont="1" applyFill="1" applyBorder="1" applyAlignment="1">
      <alignment horizontal="left" vertical="center"/>
    </xf>
    <xf numFmtId="0" fontId="4" fillId="10" borderId="39" xfId="0" applyFont="1" applyFill="1" applyBorder="1" applyAlignment="1">
      <alignment horizontal="left" vertical="center"/>
    </xf>
    <xf numFmtId="0" fontId="4" fillId="10" borderId="39" xfId="0" applyFont="1" applyFill="1" applyBorder="1" applyAlignment="1">
      <alignment horizontal="center" vertical="center"/>
    </xf>
    <xf numFmtId="0" fontId="0" fillId="10" borderId="9" xfId="0" applyFill="1" applyBorder="1" applyAlignment="1">
      <alignment vertical="center" wrapText="1"/>
    </xf>
    <xf numFmtId="0" fontId="17" fillId="10" borderId="9" xfId="1" applyFont="1" applyFill="1" applyBorder="1" applyAlignment="1">
      <alignment vertical="center"/>
    </xf>
    <xf numFmtId="0" fontId="4" fillId="11" borderId="9" xfId="0" applyFont="1" applyFill="1" applyBorder="1"/>
    <xf numFmtId="14" fontId="4" fillId="11" borderId="9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vertical="top" wrapText="1"/>
    </xf>
    <xf numFmtId="0" fontId="0" fillId="11" borderId="9" xfId="0" applyFill="1" applyBorder="1" applyAlignment="1">
      <alignment vertical="center"/>
    </xf>
    <xf numFmtId="0" fontId="0" fillId="12" borderId="9" xfId="0" applyFill="1" applyBorder="1" applyAlignment="1">
      <alignment horizontal="left" vertical="top"/>
    </xf>
    <xf numFmtId="14" fontId="0" fillId="12" borderId="9" xfId="0" applyNumberFormat="1" applyFill="1" applyBorder="1" applyAlignment="1">
      <alignment horizontal="center" vertical="top"/>
    </xf>
    <xf numFmtId="14" fontId="0" fillId="12" borderId="9" xfId="0" applyNumberFormat="1" applyFill="1" applyBorder="1" applyAlignment="1">
      <alignment horizontal="left" vertical="top"/>
    </xf>
    <xf numFmtId="0" fontId="13" fillId="12" borderId="9" xfId="0" applyFont="1" applyFill="1" applyBorder="1" applyAlignment="1">
      <alignment horizontal="center"/>
    </xf>
    <xf numFmtId="0" fontId="0" fillId="12" borderId="9" xfId="0" applyFill="1" applyBorder="1" applyAlignment="1">
      <alignment horizontal="center" vertical="top"/>
    </xf>
    <xf numFmtId="0" fontId="0" fillId="12" borderId="9" xfId="0" applyFill="1" applyBorder="1" applyAlignment="1" applyProtection="1">
      <alignment horizontal="center" vertical="top"/>
      <protection locked="0"/>
    </xf>
    <xf numFmtId="49" fontId="0" fillId="12" borderId="9" xfId="0" applyNumberFormat="1" applyFill="1" applyBorder="1" applyAlignment="1">
      <alignment horizontal="center" vertical="top"/>
    </xf>
    <xf numFmtId="0" fontId="0" fillId="12" borderId="9" xfId="0" applyFill="1" applyBorder="1" applyAlignment="1">
      <alignment vertical="top"/>
    </xf>
    <xf numFmtId="0" fontId="0" fillId="12" borderId="9" xfId="0" applyFill="1" applyBorder="1" applyAlignment="1">
      <alignment horizontal="left" vertical="center"/>
    </xf>
    <xf numFmtId="14" fontId="4" fillId="12" borderId="9" xfId="0" applyNumberFormat="1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top"/>
    </xf>
    <xf numFmtId="0" fontId="5" fillId="12" borderId="9" xfId="0" applyFont="1" applyFill="1" applyBorder="1" applyAlignment="1">
      <alignment horizontal="left" vertical="center"/>
    </xf>
    <xf numFmtId="0" fontId="1" fillId="12" borderId="9" xfId="0" applyFont="1" applyFill="1" applyBorder="1" applyAlignment="1">
      <alignment horizontal="left" vertical="center"/>
    </xf>
    <xf numFmtId="0" fontId="4" fillId="12" borderId="9" xfId="0" applyFont="1" applyFill="1" applyBorder="1" applyAlignment="1">
      <alignment horizontal="left" vertical="center"/>
    </xf>
    <xf numFmtId="0" fontId="13" fillId="12" borderId="9" xfId="0" applyFont="1" applyFill="1" applyBorder="1" applyAlignment="1">
      <alignment horizontal="left" vertical="center" wrapText="1"/>
    </xf>
    <xf numFmtId="0" fontId="4" fillId="12" borderId="9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left"/>
    </xf>
    <xf numFmtId="0" fontId="13" fillId="12" borderId="9" xfId="0" applyFont="1" applyFill="1" applyBorder="1" applyAlignment="1">
      <alignment horizontal="left" vertical="center"/>
    </xf>
    <xf numFmtId="14" fontId="4" fillId="13" borderId="9" xfId="0" applyNumberFormat="1" applyFont="1" applyFill="1" applyBorder="1" applyAlignment="1">
      <alignment horizontal="center" vertical="center"/>
    </xf>
    <xf numFmtId="0" fontId="0" fillId="13" borderId="9" xfId="0" applyFill="1" applyBorder="1" applyAlignment="1">
      <alignment horizontal="left" vertical="center"/>
    </xf>
    <xf numFmtId="0" fontId="1" fillId="13" borderId="9" xfId="0" applyFont="1" applyFill="1" applyBorder="1" applyAlignment="1">
      <alignment horizontal="left" vertical="center"/>
    </xf>
    <xf numFmtId="0" fontId="4" fillId="13" borderId="9" xfId="0" applyFont="1" applyFill="1" applyBorder="1" applyAlignment="1">
      <alignment horizontal="left" vertical="center"/>
    </xf>
    <xf numFmtId="0" fontId="13" fillId="13" borderId="9" xfId="0" applyFont="1" applyFill="1" applyBorder="1" applyAlignment="1">
      <alignment horizontal="left" vertical="center" wrapText="1"/>
    </xf>
    <xf numFmtId="0" fontId="13" fillId="13" borderId="9" xfId="0" applyFont="1" applyFill="1" applyBorder="1" applyAlignment="1">
      <alignment horizontal="left" vertical="center"/>
    </xf>
    <xf numFmtId="0" fontId="6" fillId="13" borderId="9" xfId="1" applyFont="1" applyFill="1" applyBorder="1" applyAlignment="1">
      <alignment horizontal="left" vertical="center"/>
    </xf>
    <xf numFmtId="0" fontId="4" fillId="13" borderId="9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0" fillId="11" borderId="9" xfId="0" applyFill="1" applyBorder="1" applyAlignment="1">
      <alignment horizontal="center" vertical="top"/>
    </xf>
    <xf numFmtId="0" fontId="4" fillId="2" borderId="36" xfId="0" applyFont="1" applyFill="1" applyBorder="1" applyAlignment="1">
      <alignment horizontal="left" vertical="center"/>
    </xf>
    <xf numFmtId="0" fontId="6" fillId="12" borderId="9" xfId="1" applyFont="1" applyFill="1" applyBorder="1" applyAlignment="1">
      <alignment horizontal="left"/>
    </xf>
    <xf numFmtId="0" fontId="13" fillId="12" borderId="9" xfId="0" applyFont="1" applyFill="1" applyBorder="1" applyAlignment="1">
      <alignment horizontal="left" wrapText="1"/>
    </xf>
    <xf numFmtId="0" fontId="1" fillId="13" borderId="9" xfId="0" applyFont="1" applyFill="1" applyBorder="1" applyAlignment="1">
      <alignment horizontal="left" vertical="top"/>
    </xf>
    <xf numFmtId="0" fontId="4" fillId="13" borderId="9" xfId="0" applyFont="1" applyFill="1" applyBorder="1" applyAlignment="1">
      <alignment horizontal="left" vertical="top"/>
    </xf>
    <xf numFmtId="0" fontId="0" fillId="11" borderId="9" xfId="0" applyFill="1" applyBorder="1" applyAlignment="1">
      <alignment horizontal="left" vertical="center"/>
    </xf>
    <xf numFmtId="0" fontId="0" fillId="2" borderId="9" xfId="0" applyFill="1" applyBorder="1" applyAlignment="1">
      <alignment horizontal="center" vertical="center" wrapText="1"/>
    </xf>
    <xf numFmtId="0" fontId="14" fillId="2" borderId="9" xfId="21" applyFont="1" applyFill="1" applyBorder="1" applyAlignment="1">
      <alignment horizontal="left" vertical="center" wrapText="1"/>
    </xf>
    <xf numFmtId="0" fontId="13" fillId="2" borderId="22" xfId="0" applyFont="1" applyFill="1" applyBorder="1" applyAlignment="1">
      <alignment horizontal="left" vertical="center" wrapText="1"/>
    </xf>
    <xf numFmtId="0" fontId="13" fillId="12" borderId="22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left" vertical="center"/>
    </xf>
    <xf numFmtId="0" fontId="13" fillId="13" borderId="9" xfId="0" applyFont="1" applyFill="1" applyBorder="1" applyAlignment="1">
      <alignment horizontal="left" wrapText="1"/>
    </xf>
    <xf numFmtId="0" fontId="13" fillId="2" borderId="22" xfId="0" applyFont="1" applyFill="1" applyBorder="1" applyAlignment="1">
      <alignment horizontal="left" vertical="center"/>
    </xf>
    <xf numFmtId="0" fontId="4" fillId="1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41" xfId="0" applyFont="1" applyFill="1" applyBorder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0" fontId="4" fillId="2" borderId="23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 wrapText="1"/>
    </xf>
    <xf numFmtId="0" fontId="1" fillId="2" borderId="36" xfId="0" applyFont="1" applyFill="1" applyBorder="1" applyAlignment="1">
      <alignment horizontal="left" vertical="center"/>
    </xf>
    <xf numFmtId="0" fontId="16" fillId="8" borderId="9" xfId="0" applyFont="1" applyFill="1" applyBorder="1" applyAlignment="1">
      <alignment horizontal="left" vertical="top"/>
    </xf>
    <xf numFmtId="0" fontId="13" fillId="1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14" fontId="15" fillId="0" borderId="0" xfId="21" applyNumberFormat="1" applyAlignment="1">
      <alignment vertical="center" wrapText="1"/>
    </xf>
    <xf numFmtId="8" fontId="0" fillId="0" borderId="0" xfId="0" applyNumberFormat="1"/>
    <xf numFmtId="0" fontId="15" fillId="2" borderId="9" xfId="21" applyFill="1" applyBorder="1" applyAlignment="1">
      <alignment horizontal="left" vertical="center"/>
    </xf>
    <xf numFmtId="0" fontId="0" fillId="11" borderId="9" xfId="0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left"/>
    </xf>
    <xf numFmtId="0" fontId="4" fillId="11" borderId="9" xfId="0" applyFont="1" applyFill="1" applyBorder="1" applyAlignment="1">
      <alignment horizontal="left"/>
    </xf>
    <xf numFmtId="14" fontId="4" fillId="11" borderId="9" xfId="0" applyNumberFormat="1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left" vertical="center"/>
    </xf>
    <xf numFmtId="0" fontId="0" fillId="3" borderId="9" xfId="0" applyFill="1" applyBorder="1" applyAlignment="1">
      <alignment vertical="center"/>
    </xf>
    <xf numFmtId="0" fontId="13" fillId="11" borderId="9" xfId="0" applyFont="1" applyFill="1" applyBorder="1" applyAlignment="1">
      <alignment horizontal="left" vertical="center"/>
    </xf>
    <xf numFmtId="14" fontId="0" fillId="11" borderId="9" xfId="0" applyNumberFormat="1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15" fillId="0" borderId="9" xfId="21" applyBorder="1"/>
    <xf numFmtId="0" fontId="1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14" fontId="6" fillId="0" borderId="9" xfId="1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wrapText="1"/>
    </xf>
    <xf numFmtId="0" fontId="0" fillId="0" borderId="9" xfId="0" applyBorder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14" fontId="4" fillId="0" borderId="9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" fillId="0" borderId="9" xfId="0" applyFont="1" applyBorder="1" applyAlignment="1">
      <alignment horizontal="left" vertical="top"/>
    </xf>
    <xf numFmtId="0" fontId="13" fillId="0" borderId="9" xfId="0" applyFont="1" applyBorder="1" applyAlignment="1">
      <alignment horizontal="right" wrapText="1"/>
    </xf>
    <xf numFmtId="0" fontId="13" fillId="0" borderId="9" xfId="0" applyFont="1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4" fillId="0" borderId="9" xfId="0" applyFont="1" applyBorder="1" applyAlignment="1">
      <alignment horizontal="left" vertical="top"/>
    </xf>
    <xf numFmtId="14" fontId="4" fillId="0" borderId="9" xfId="0" applyNumberFormat="1" applyFont="1" applyBorder="1" applyAlignment="1">
      <alignment horizontal="center" vertical="top"/>
    </xf>
    <xf numFmtId="0" fontId="13" fillId="0" borderId="9" xfId="0" applyFont="1" applyBorder="1" applyAlignment="1">
      <alignment horizontal="right" vertical="center" wrapText="1"/>
    </xf>
    <xf numFmtId="0" fontId="13" fillId="0" borderId="9" xfId="0" applyFont="1" applyBorder="1" applyAlignment="1">
      <alignment vertical="center" wrapText="1"/>
    </xf>
    <xf numFmtId="14" fontId="4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/>
    <xf numFmtId="0" fontId="4" fillId="0" borderId="9" xfId="0" applyFont="1" applyBorder="1"/>
    <xf numFmtId="0" fontId="0" fillId="0" borderId="9" xfId="0" applyBorder="1" applyAlignment="1">
      <alignment horizontal="left" vertical="center"/>
    </xf>
    <xf numFmtId="0" fontId="13" fillId="2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49" fontId="7" fillId="2" borderId="9" xfId="1" applyNumberFormat="1" applyFont="1" applyFill="1" applyBorder="1" applyAlignment="1">
      <alignment horizontal="left" vertical="top"/>
    </xf>
    <xf numFmtId="49" fontId="13" fillId="2" borderId="9" xfId="0" applyNumberFormat="1" applyFont="1" applyFill="1" applyBorder="1" applyAlignment="1">
      <alignment horizontal="left" vertical="center" wrapText="1"/>
    </xf>
    <xf numFmtId="49" fontId="13" fillId="0" borderId="9" xfId="0" applyNumberFormat="1" applyFont="1" applyBorder="1" applyAlignment="1">
      <alignment horizontal="left" vertical="center" wrapText="1"/>
    </xf>
    <xf numFmtId="49" fontId="13" fillId="2" borderId="9" xfId="0" quotePrefix="1" applyNumberFormat="1" applyFont="1" applyFill="1" applyBorder="1" applyAlignment="1">
      <alignment horizontal="left" vertical="center" wrapText="1"/>
    </xf>
    <xf numFmtId="49" fontId="4" fillId="2" borderId="9" xfId="0" applyNumberFormat="1" applyFont="1" applyFill="1" applyBorder="1" applyAlignment="1">
      <alignment horizontal="left" vertical="center"/>
    </xf>
    <xf numFmtId="49" fontId="0" fillId="0" borderId="9" xfId="0" applyNumberFormat="1" applyBorder="1" applyAlignment="1">
      <alignment horizontal="left"/>
    </xf>
    <xf numFmtId="49" fontId="13" fillId="0" borderId="9" xfId="0" applyNumberFormat="1" applyFont="1" applyBorder="1" applyAlignment="1">
      <alignment horizontal="left"/>
    </xf>
    <xf numFmtId="49" fontId="13" fillId="2" borderId="9" xfId="0" applyNumberFormat="1" applyFont="1" applyFill="1" applyBorder="1" applyAlignment="1">
      <alignment horizontal="left" wrapText="1"/>
    </xf>
    <xf numFmtId="49" fontId="13" fillId="2" borderId="9" xfId="0" applyNumberFormat="1" applyFont="1" applyFill="1" applyBorder="1" applyAlignment="1">
      <alignment horizontal="left" vertical="center"/>
    </xf>
    <xf numFmtId="49" fontId="13" fillId="0" borderId="9" xfId="0" applyNumberFormat="1" applyFont="1" applyBorder="1" applyAlignment="1">
      <alignment horizontal="left" wrapText="1"/>
    </xf>
    <xf numFmtId="49" fontId="18" fillId="2" borderId="9" xfId="0" applyNumberFormat="1" applyFont="1" applyFill="1" applyBorder="1" applyAlignment="1">
      <alignment horizontal="left"/>
    </xf>
    <xf numFmtId="49" fontId="14" fillId="2" borderId="9" xfId="0" quotePrefix="1" applyNumberFormat="1" applyFont="1" applyFill="1" applyBorder="1" applyAlignment="1">
      <alignment horizontal="left" vertical="center"/>
    </xf>
    <xf numFmtId="49" fontId="13" fillId="11" borderId="9" xfId="0" applyNumberFormat="1" applyFont="1" applyFill="1" applyBorder="1" applyAlignment="1">
      <alignment horizontal="left" vertical="center" wrapText="1"/>
    </xf>
    <xf numFmtId="49" fontId="4" fillId="11" borderId="9" xfId="0" applyNumberFormat="1" applyFont="1" applyFill="1" applyBorder="1" applyAlignment="1">
      <alignment horizontal="left" vertical="center"/>
    </xf>
    <xf numFmtId="49" fontId="13" fillId="11" borderId="9" xfId="0" applyNumberFormat="1" applyFont="1" applyFill="1" applyBorder="1" applyAlignment="1">
      <alignment horizontal="left" vertical="center"/>
    </xf>
    <xf numFmtId="49" fontId="0" fillId="11" borderId="9" xfId="0" applyNumberFormat="1" applyFill="1" applyBorder="1" applyAlignment="1">
      <alignment horizontal="left" vertical="center"/>
    </xf>
    <xf numFmtId="0" fontId="1" fillId="11" borderId="9" xfId="0" applyFont="1" applyFill="1" applyBorder="1" applyAlignment="1">
      <alignment horizontal="left" vertical="top"/>
    </xf>
    <xf numFmtId="0" fontId="4" fillId="11" borderId="9" xfId="0" applyFont="1" applyFill="1" applyBorder="1" applyAlignment="1">
      <alignment horizontal="left" vertical="top"/>
    </xf>
    <xf numFmtId="14" fontId="13" fillId="11" borderId="9" xfId="0" applyNumberFormat="1" applyFont="1" applyFill="1" applyBorder="1" applyAlignment="1">
      <alignment horizontal="center"/>
    </xf>
    <xf numFmtId="0" fontId="6" fillId="11" borderId="9" xfId="1" applyFont="1" applyFill="1" applyBorder="1" applyAlignment="1">
      <alignment horizontal="right" vertical="center"/>
    </xf>
    <xf numFmtId="49" fontId="0" fillId="11" borderId="9" xfId="0" applyNumberFormat="1" applyFill="1" applyBorder="1" applyAlignment="1">
      <alignment horizontal="left"/>
    </xf>
    <xf numFmtId="0" fontId="4" fillId="11" borderId="9" xfId="0" applyFont="1" applyFill="1" applyBorder="1" applyAlignment="1">
      <alignment vertical="center" wrapText="1" readingOrder="1"/>
    </xf>
    <xf numFmtId="0" fontId="13" fillId="12" borderId="9" xfId="0" applyFont="1" applyFill="1" applyBorder="1" applyAlignment="1">
      <alignment wrapText="1"/>
    </xf>
    <xf numFmtId="0" fontId="13" fillId="12" borderId="9" xfId="0" applyFont="1" applyFill="1" applyBorder="1" applyAlignment="1">
      <alignment horizontal="center" wrapText="1"/>
    </xf>
    <xf numFmtId="14" fontId="13" fillId="12" borderId="9" xfId="0" applyNumberFormat="1" applyFont="1" applyFill="1" applyBorder="1" applyAlignment="1">
      <alignment horizontal="center"/>
    </xf>
    <xf numFmtId="49" fontId="13" fillId="11" borderId="9" xfId="0" applyNumberFormat="1" applyFont="1" applyFill="1" applyBorder="1" applyAlignment="1">
      <alignment horizontal="left" wrapText="1"/>
    </xf>
    <xf numFmtId="14" fontId="0" fillId="11" borderId="9" xfId="0" applyNumberFormat="1" applyFill="1" applyBorder="1" applyAlignment="1">
      <alignment horizontal="center"/>
    </xf>
    <xf numFmtId="0" fontId="16" fillId="9" borderId="9" xfId="0" applyFont="1" applyFill="1" applyBorder="1" applyAlignment="1">
      <alignment horizontal="left" vertical="top"/>
    </xf>
    <xf numFmtId="49" fontId="4" fillId="11" borderId="9" xfId="0" applyNumberFormat="1" applyFont="1" applyFill="1" applyBorder="1" applyAlignment="1">
      <alignment horizontal="left" vertical="center" wrapText="1"/>
    </xf>
    <xf numFmtId="49" fontId="0" fillId="11" borderId="9" xfId="0" applyNumberFormat="1" applyFill="1" applyBorder="1" applyAlignment="1">
      <alignment horizontal="left" vertical="center" wrapText="1"/>
    </xf>
    <xf numFmtId="0" fontId="13" fillId="10" borderId="9" xfId="0" applyFont="1" applyFill="1" applyBorder="1" applyAlignment="1">
      <alignment vertical="center" wrapText="1"/>
    </xf>
    <xf numFmtId="0" fontId="13" fillId="2" borderId="22" xfId="0" applyFont="1" applyFill="1" applyBorder="1" applyAlignment="1">
      <alignment horizontal="left" wrapText="1"/>
    </xf>
    <xf numFmtId="0" fontId="13" fillId="10" borderId="9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vertical="center" wrapText="1"/>
    </xf>
    <xf numFmtId="0" fontId="6" fillId="2" borderId="0" xfId="1" applyFont="1" applyFill="1" applyAlignment="1">
      <alignment horizontal="left" vertical="center"/>
    </xf>
    <xf numFmtId="0" fontId="13" fillId="10" borderId="0" xfId="0" applyFont="1" applyFill="1" applyAlignment="1">
      <alignment vertical="center" wrapText="1"/>
    </xf>
    <xf numFmtId="0" fontId="0" fillId="0" borderId="22" xfId="0" applyBorder="1"/>
    <xf numFmtId="0" fontId="15" fillId="0" borderId="0" xfId="21" applyBorder="1"/>
    <xf numFmtId="0" fontId="0" fillId="10" borderId="9" xfId="0" applyFill="1" applyBorder="1"/>
    <xf numFmtId="0" fontId="6" fillId="10" borderId="0" xfId="1" applyFont="1" applyFill="1" applyAlignment="1">
      <alignment horizontal="left" vertical="center"/>
    </xf>
    <xf numFmtId="0" fontId="15" fillId="2" borderId="9" xfId="21" applyFill="1" applyBorder="1" applyAlignment="1">
      <alignment horizontal="left"/>
    </xf>
    <xf numFmtId="0" fontId="0" fillId="13" borderId="0" xfId="0" applyFill="1" applyAlignment="1">
      <alignment horizontal="left" vertical="center"/>
    </xf>
    <xf numFmtId="0" fontId="1" fillId="12" borderId="39" xfId="0" applyFont="1" applyFill="1" applyBorder="1" applyAlignment="1">
      <alignment horizontal="left" vertical="center"/>
    </xf>
    <xf numFmtId="0" fontId="4" fillId="12" borderId="39" xfId="0" applyFont="1" applyFill="1" applyBorder="1" applyAlignment="1">
      <alignment horizontal="left" vertical="center"/>
    </xf>
    <xf numFmtId="0" fontId="4" fillId="10" borderId="22" xfId="0" applyFont="1" applyFill="1" applyBorder="1" applyAlignment="1">
      <alignment horizontal="left" vertical="center" wrapText="1"/>
    </xf>
    <xf numFmtId="0" fontId="13" fillId="12" borderId="0" xfId="0" applyFont="1" applyFill="1" applyAlignment="1">
      <alignment horizontal="left" vertical="center" wrapText="1"/>
    </xf>
    <xf numFmtId="0" fontId="13" fillId="12" borderId="0" xfId="0" applyFont="1" applyFill="1" applyAlignment="1">
      <alignment horizontal="left" vertical="center"/>
    </xf>
    <xf numFmtId="0" fontId="4" fillId="2" borderId="22" xfId="21" applyFont="1" applyFill="1" applyBorder="1" applyAlignment="1">
      <alignment horizontal="left" vertical="center"/>
    </xf>
    <xf numFmtId="0" fontId="13" fillId="10" borderId="0" xfId="0" applyFont="1" applyFill="1" applyAlignment="1">
      <alignment horizontal="left" vertical="center" wrapText="1"/>
    </xf>
    <xf numFmtId="0" fontId="4" fillId="13" borderId="0" xfId="0" applyFont="1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13" borderId="0" xfId="0" applyFill="1"/>
    <xf numFmtId="0" fontId="0" fillId="2" borderId="0" xfId="0" applyFill="1" applyAlignment="1">
      <alignment horizontal="left" vertical="center" wrapText="1"/>
    </xf>
    <xf numFmtId="0" fontId="0" fillId="10" borderId="9" xfId="0" applyFill="1" applyBorder="1" applyAlignment="1">
      <alignment horizontal="left" vertical="center" wrapText="1"/>
    </xf>
    <xf numFmtId="0" fontId="15" fillId="2" borderId="0" xfId="21" applyFill="1" applyBorder="1" applyAlignment="1">
      <alignment horizontal="left" vertical="center"/>
    </xf>
    <xf numFmtId="0" fontId="4" fillId="12" borderId="40" xfId="0" applyFont="1" applyFill="1" applyBorder="1" applyAlignment="1">
      <alignment horizontal="left" vertical="center"/>
    </xf>
    <xf numFmtId="0" fontId="6" fillId="2" borderId="0" xfId="1" applyFont="1" applyFill="1" applyAlignment="1">
      <alignment horizontal="left"/>
    </xf>
    <xf numFmtId="0" fontId="6" fillId="2" borderId="0" xfId="1" applyFont="1" applyFill="1" applyAlignment="1">
      <alignment vertical="center"/>
    </xf>
    <xf numFmtId="0" fontId="4" fillId="10" borderId="0" xfId="0" applyFont="1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0" fillId="12" borderId="9" xfId="0" applyFill="1" applyBorder="1"/>
    <xf numFmtId="0" fontId="0" fillId="2" borderId="0" xfId="0" applyFill="1" applyAlignment="1">
      <alignment horizontal="left" vertical="center"/>
    </xf>
    <xf numFmtId="0" fontId="0" fillId="10" borderId="22" xfId="0" applyFill="1" applyBorder="1" applyAlignment="1">
      <alignment vertical="center" wrapText="1"/>
    </xf>
    <xf numFmtId="14" fontId="0" fillId="0" borderId="9" xfId="0" applyNumberFormat="1" applyBorder="1" applyAlignment="1">
      <alignment horizontal="center"/>
    </xf>
    <xf numFmtId="49" fontId="0" fillId="0" borderId="9" xfId="0" quotePrefix="1" applyNumberFormat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13" fillId="12" borderId="9" xfId="0" applyFont="1" applyFill="1" applyBorder="1" applyAlignment="1">
      <alignment horizontal="center" vertical="center"/>
    </xf>
    <xf numFmtId="0" fontId="0" fillId="2" borderId="42" xfId="0" applyFill="1" applyBorder="1" applyAlignment="1">
      <alignment horizontal="left" vertical="center" wrapText="1"/>
    </xf>
    <xf numFmtId="0" fontId="0" fillId="3" borderId="42" xfId="0" applyFill="1" applyBorder="1" applyAlignment="1">
      <alignment horizontal="left" vertical="center" wrapText="1"/>
    </xf>
    <xf numFmtId="3" fontId="0" fillId="0" borderId="0" xfId="0" applyNumberFormat="1"/>
    <xf numFmtId="0" fontId="4" fillId="0" borderId="9" xfId="0" applyFont="1" applyBorder="1" applyAlignment="1">
      <alignment vertical="top"/>
    </xf>
    <xf numFmtId="0" fontId="1" fillId="0" borderId="9" xfId="0" applyFont="1" applyBorder="1" applyAlignment="1">
      <alignment vertical="center"/>
    </xf>
    <xf numFmtId="0" fontId="13" fillId="0" borderId="9" xfId="0" applyFont="1" applyBorder="1" applyAlignment="1">
      <alignment horizontal="left"/>
    </xf>
    <xf numFmtId="14" fontId="13" fillId="0" borderId="9" xfId="0" applyNumberFormat="1" applyFont="1" applyBorder="1" applyAlignment="1">
      <alignment horizontal="center" wrapText="1"/>
    </xf>
    <xf numFmtId="0" fontId="4" fillId="0" borderId="9" xfId="0" applyFont="1" applyBorder="1" applyAlignment="1">
      <alignment horizontal="right" vertical="center"/>
    </xf>
    <xf numFmtId="0" fontId="6" fillId="0" borderId="9" xfId="1" applyFont="1" applyBorder="1" applyAlignment="1">
      <alignment horizontal="right"/>
    </xf>
    <xf numFmtId="49" fontId="13" fillId="0" borderId="9" xfId="0" quotePrefix="1" applyNumberFormat="1" applyFont="1" applyBorder="1" applyAlignment="1">
      <alignment horizontal="left" vertical="center" wrapText="1"/>
    </xf>
    <xf numFmtId="14" fontId="4" fillId="0" borderId="9" xfId="0" applyNumberFormat="1" applyFont="1" applyBorder="1" applyAlignment="1">
      <alignment horizontal="center" wrapText="1"/>
    </xf>
    <xf numFmtId="49" fontId="4" fillId="0" borderId="9" xfId="0" applyNumberFormat="1" applyFont="1" applyBorder="1" applyAlignment="1">
      <alignment horizontal="left" vertical="center"/>
    </xf>
    <xf numFmtId="49" fontId="14" fillId="0" borderId="9" xfId="0" applyNumberFormat="1" applyFont="1" applyBorder="1" applyAlignment="1">
      <alignment horizontal="left" vertical="center"/>
    </xf>
    <xf numFmtId="0" fontId="13" fillId="0" borderId="9" xfId="0" applyFont="1" applyBorder="1" applyAlignment="1">
      <alignment horizontal="left" wrapText="1"/>
    </xf>
    <xf numFmtId="0" fontId="13" fillId="0" borderId="9" xfId="0" applyFont="1" applyBorder="1" applyAlignment="1">
      <alignment horizontal="left" vertical="center"/>
    </xf>
    <xf numFmtId="49" fontId="13" fillId="0" borderId="9" xfId="0" applyNumberFormat="1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top"/>
    </xf>
    <xf numFmtId="49" fontId="18" fillId="0" borderId="9" xfId="0" applyNumberFormat="1" applyFont="1" applyBorder="1" applyAlignment="1">
      <alignment horizontal="left"/>
    </xf>
    <xf numFmtId="0" fontId="13" fillId="0" borderId="9" xfId="0" applyFont="1" applyBorder="1"/>
    <xf numFmtId="49" fontId="14" fillId="0" borderId="9" xfId="0" quotePrefix="1" applyNumberFormat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1" fontId="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/>
    </xf>
    <xf numFmtId="1" fontId="0" fillId="0" borderId="9" xfId="0" applyNumberFormat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49" fontId="13" fillId="0" borderId="9" xfId="0" quotePrefix="1" applyNumberFormat="1" applyFont="1" applyBorder="1" applyAlignment="1">
      <alignment horizontal="left" wrapText="1"/>
    </xf>
    <xf numFmtId="0" fontId="4" fillId="0" borderId="9" xfId="0" applyFont="1" applyBorder="1" applyAlignment="1">
      <alignment horizontal="left" vertical="center" wrapText="1"/>
    </xf>
    <xf numFmtId="49" fontId="6" fillId="0" borderId="9" xfId="1" applyNumberFormat="1" applyFont="1" applyBorder="1" applyAlignment="1">
      <alignment horizontal="left" vertical="center"/>
    </xf>
    <xf numFmtId="0" fontId="6" fillId="0" borderId="9" xfId="1" applyFont="1" applyBorder="1" applyAlignment="1">
      <alignment vertical="center"/>
    </xf>
    <xf numFmtId="0" fontId="6" fillId="0" borderId="9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4" fontId="4" fillId="13" borderId="9" xfId="0" applyNumberFormat="1" applyFont="1" applyFill="1" applyBorder="1" applyAlignment="1">
      <alignment horizontal="center" vertical="top"/>
    </xf>
    <xf numFmtId="0" fontId="4" fillId="13" borderId="9" xfId="0" applyFont="1" applyFill="1" applyBorder="1" applyAlignment="1">
      <alignment vertical="top"/>
    </xf>
    <xf numFmtId="0" fontId="4" fillId="13" borderId="9" xfId="0" applyFont="1" applyFill="1" applyBorder="1" applyAlignment="1">
      <alignment horizontal="center" vertical="top"/>
    </xf>
    <xf numFmtId="49" fontId="13" fillId="13" borderId="9" xfId="0" applyNumberFormat="1" applyFont="1" applyFill="1" applyBorder="1" applyAlignment="1">
      <alignment horizontal="left" vertical="center" wrapText="1"/>
    </xf>
    <xf numFmtId="0" fontId="13" fillId="13" borderId="9" xfId="0" applyFont="1" applyFill="1" applyBorder="1" applyAlignment="1">
      <alignment vertical="top" wrapText="1"/>
    </xf>
    <xf numFmtId="0" fontId="0" fillId="13" borderId="9" xfId="0" applyFill="1" applyBorder="1" applyAlignment="1">
      <alignment vertical="center"/>
    </xf>
    <xf numFmtId="0" fontId="4" fillId="13" borderId="9" xfId="0" applyFont="1" applyFill="1" applyBorder="1" applyAlignment="1">
      <alignment horizontal="center" vertical="top" wrapText="1"/>
    </xf>
    <xf numFmtId="0" fontId="4" fillId="13" borderId="9" xfId="0" applyFont="1" applyFill="1" applyBorder="1" applyAlignment="1">
      <alignment vertical="center"/>
    </xf>
    <xf numFmtId="0" fontId="0" fillId="13" borderId="9" xfId="0" applyFill="1" applyBorder="1" applyAlignment="1">
      <alignment horizontal="left" vertical="top"/>
    </xf>
    <xf numFmtId="0" fontId="13" fillId="13" borderId="9" xfId="0" applyFont="1" applyFill="1" applyBorder="1" applyAlignment="1">
      <alignment horizontal="right" wrapText="1"/>
    </xf>
    <xf numFmtId="0" fontId="0" fillId="13" borderId="9" xfId="0" applyFill="1" applyBorder="1" applyAlignment="1">
      <alignment horizontal="center" vertical="center"/>
    </xf>
    <xf numFmtId="49" fontId="13" fillId="13" borderId="9" xfId="0" applyNumberFormat="1" applyFont="1" applyFill="1" applyBorder="1" applyAlignment="1">
      <alignment horizontal="left" wrapText="1"/>
    </xf>
    <xf numFmtId="0" fontId="13" fillId="13" borderId="9" xfId="0" applyFont="1" applyFill="1" applyBorder="1" applyAlignment="1">
      <alignment wrapText="1"/>
    </xf>
    <xf numFmtId="0" fontId="0" fillId="13" borderId="9" xfId="0" applyFill="1" applyBorder="1" applyAlignment="1">
      <alignment horizontal="center" vertical="center" wrapText="1"/>
    </xf>
    <xf numFmtId="14" fontId="4" fillId="13" borderId="9" xfId="0" applyNumberFormat="1" applyFont="1" applyFill="1" applyBorder="1" applyAlignment="1">
      <alignment horizontal="center"/>
    </xf>
    <xf numFmtId="0" fontId="4" fillId="13" borderId="9" xfId="0" applyFont="1" applyFill="1" applyBorder="1" applyAlignment="1">
      <alignment horizontal="center" vertical="center" wrapText="1"/>
    </xf>
    <xf numFmtId="14" fontId="0" fillId="13" borderId="9" xfId="0" applyNumberFormat="1" applyFill="1" applyBorder="1" applyAlignment="1">
      <alignment horizontal="center" vertical="top"/>
    </xf>
    <xf numFmtId="0" fontId="9" fillId="13" borderId="9" xfId="0" applyFont="1" applyFill="1" applyBorder="1" applyAlignment="1">
      <alignment horizontal="right" wrapText="1"/>
    </xf>
    <xf numFmtId="49" fontId="9" fillId="13" borderId="9" xfId="0" applyNumberFormat="1" applyFont="1" applyFill="1" applyBorder="1" applyAlignment="1">
      <alignment horizontal="left" wrapText="1"/>
    </xf>
    <xf numFmtId="0" fontId="9" fillId="13" borderId="9" xfId="0" applyFont="1" applyFill="1" applyBorder="1" applyAlignment="1">
      <alignment wrapText="1"/>
    </xf>
    <xf numFmtId="0" fontId="4" fillId="13" borderId="9" xfId="0" applyFont="1" applyFill="1" applyBorder="1"/>
    <xf numFmtId="49" fontId="0" fillId="13" borderId="9" xfId="0" applyNumberFormat="1" applyFill="1" applyBorder="1" applyAlignment="1">
      <alignment horizontal="left" vertical="center"/>
    </xf>
    <xf numFmtId="14" fontId="0" fillId="13" borderId="9" xfId="0" applyNumberFormat="1" applyFill="1" applyBorder="1" applyAlignment="1">
      <alignment horizontal="center"/>
    </xf>
    <xf numFmtId="14" fontId="6" fillId="13" borderId="9" xfId="1" applyNumberFormat="1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vertical="center"/>
    </xf>
    <xf numFmtId="0" fontId="13" fillId="2" borderId="9" xfId="0" applyFont="1" applyFill="1" applyBorder="1" applyAlignment="1">
      <alignment horizontal="center"/>
    </xf>
    <xf numFmtId="0" fontId="0" fillId="2" borderId="9" xfId="15" applyFont="1" applyFill="1" applyBorder="1" applyAlignment="1">
      <alignment horizontal="center" vertical="top"/>
    </xf>
    <xf numFmtId="18" fontId="0" fillId="2" borderId="9" xfId="0" applyNumberFormat="1" applyFill="1" applyBorder="1" applyAlignment="1">
      <alignment horizontal="center" vertical="top"/>
    </xf>
    <xf numFmtId="0" fontId="1" fillId="9" borderId="36" xfId="0" applyFont="1" applyFill="1" applyBorder="1" applyAlignment="1">
      <alignment horizontal="left" vertical="top"/>
    </xf>
    <xf numFmtId="0" fontId="0" fillId="12" borderId="36" xfId="0" applyFill="1" applyBorder="1" applyAlignment="1">
      <alignment horizontal="left" vertical="top"/>
    </xf>
    <xf numFmtId="14" fontId="0" fillId="12" borderId="36" xfId="0" applyNumberFormat="1" applyFill="1" applyBorder="1" applyAlignment="1">
      <alignment horizontal="center" vertical="top"/>
    </xf>
    <xf numFmtId="14" fontId="0" fillId="12" borderId="36" xfId="0" applyNumberFormat="1" applyFill="1" applyBorder="1" applyAlignment="1">
      <alignment horizontal="left" vertical="top"/>
    </xf>
    <xf numFmtId="0" fontId="0" fillId="12" borderId="36" xfId="0" applyFill="1" applyBorder="1" applyAlignment="1">
      <alignment horizontal="center" vertical="top"/>
    </xf>
    <xf numFmtId="0" fontId="0" fillId="12" borderId="36" xfId="0" applyFill="1" applyBorder="1" applyAlignment="1" applyProtection="1">
      <alignment horizontal="center" vertical="top"/>
      <protection locked="0"/>
    </xf>
    <xf numFmtId="49" fontId="0" fillId="12" borderId="36" xfId="0" applyNumberFormat="1" applyFill="1" applyBorder="1" applyAlignment="1">
      <alignment horizontal="center" vertical="top"/>
    </xf>
    <xf numFmtId="0" fontId="0" fillId="12" borderId="36" xfId="0" applyFill="1" applyBorder="1" applyAlignment="1">
      <alignment vertical="top"/>
    </xf>
    <xf numFmtId="0" fontId="0" fillId="12" borderId="36" xfId="0" applyFill="1" applyBorder="1" applyAlignment="1">
      <alignment horizontal="left" vertical="center"/>
    </xf>
    <xf numFmtId="14" fontId="0" fillId="12" borderId="0" xfId="0" applyNumberFormat="1" applyFill="1" applyAlignment="1">
      <alignment horizontal="center" vertical="top"/>
    </xf>
    <xf numFmtId="0" fontId="0" fillId="0" borderId="0" xfId="0" applyAlignment="1">
      <alignment vertical="center" wrapText="1"/>
    </xf>
  </cellXfs>
  <cellStyles count="22">
    <cellStyle name="Followed Hyperlink" xfId="4" builtinId="9" hidden="1"/>
    <cellStyle name="Followed Hyperlink" xfId="5" builtinId="9" hidden="1"/>
    <cellStyle name="Followed Hyperlink" xfId="3" builtinId="9" hidden="1"/>
    <cellStyle name="Followed Hyperlink" xfId="2" builtinId="9" hidden="1"/>
    <cellStyle name="Hyperlink" xfId="21" builtinId="8"/>
    <cellStyle name="Normal" xfId="0" builtinId="0"/>
    <cellStyle name="Normal 10" xfId="12" xr:uid="{00000000-0005-0000-0000-000006000000}"/>
    <cellStyle name="Normal 11" xfId="6" xr:uid="{00000000-0005-0000-0000-000007000000}"/>
    <cellStyle name="Normal 13" xfId="20" xr:uid="{00000000-0005-0000-0000-000008000000}"/>
    <cellStyle name="Normal 2" xfId="8" xr:uid="{00000000-0005-0000-0000-000009000000}"/>
    <cellStyle name="Normal 2 2" xfId="9" xr:uid="{00000000-0005-0000-0000-00000A000000}"/>
    <cellStyle name="Normal 2 2 2" xfId="11" xr:uid="{00000000-0005-0000-0000-00000B000000}"/>
    <cellStyle name="Normal 2 3" xfId="13" xr:uid="{00000000-0005-0000-0000-00000C000000}"/>
    <cellStyle name="Normal 3" xfId="10" xr:uid="{00000000-0005-0000-0000-00000D000000}"/>
    <cellStyle name="Normal 3 2" xfId="14" xr:uid="{00000000-0005-0000-0000-00000E000000}"/>
    <cellStyle name="Normal 4" xfId="15" xr:uid="{00000000-0005-0000-0000-00000F000000}"/>
    <cellStyle name="Normal 5" xfId="16" xr:uid="{00000000-0005-0000-0000-000010000000}"/>
    <cellStyle name="Normal 6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7" xr:uid="{00000000-0005-0000-0000-000014000000}"/>
    <cellStyle name="Normal_Sheet1" xfId="1" xr:uid="{00000000-0005-0000-0000-000015000000}"/>
  </cellStyles>
  <dxfs count="2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EAEAEA"/>
      <color rgb="FF66FFFF"/>
      <color rgb="FFFFFF99"/>
      <color rgb="FF00CC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Percent of buildings with at least one sample with lead &gt; 15 ppb, copper &gt; 1.3 ppm, both, or neither</a:t>
            </a:r>
          </a:p>
        </c:rich>
      </c:tx>
      <c:layout>
        <c:manualLayout>
          <c:xMode val="edge"/>
          <c:yMode val="edge"/>
          <c:x val="0.1074652230971128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DE2-440D-91AD-088B75CFA3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DE2-440D-91AD-088B75CFA3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DE2-440D-91AD-088B75CFA3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DE2-440D-91AD-088B75CFA3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Stats!$O$25:$O$28</c:f>
              <c:strCache>
                <c:ptCount val="4"/>
                <c:pt idx="0">
                  <c:v>Pb only</c:v>
                </c:pt>
                <c:pt idx="1">
                  <c:v>Cu only</c:v>
                </c:pt>
                <c:pt idx="2">
                  <c:v>Pb &amp; Cu</c:v>
                </c:pt>
                <c:pt idx="3">
                  <c:v>neither</c:v>
                </c:pt>
              </c:strCache>
            </c:strRef>
          </c:cat>
          <c:val>
            <c:numRef>
              <c:f>Stats!$R$25:$R$28</c:f>
              <c:numCache>
                <c:formatCode>General</c:formatCode>
                <c:ptCount val="4"/>
                <c:pt idx="0">
                  <c:v>38.6</c:v>
                </c:pt>
                <c:pt idx="1">
                  <c:v>4</c:v>
                </c:pt>
                <c:pt idx="2">
                  <c:v>29.2</c:v>
                </c:pt>
                <c:pt idx="3">
                  <c:v>28.3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B-48FB-9C3A-58116C13783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Percent of SAMPLES</a:t>
            </a:r>
            <a:r>
              <a:rPr lang="en-US" sz="1200" baseline="0"/>
              <a:t> WITH Lead Concentration in STATED RANGE</a:t>
            </a:r>
            <a:endParaRPr lang="en-US" sz="1200"/>
          </a:p>
        </c:rich>
      </c:tx>
      <c:layout>
        <c:manualLayout>
          <c:xMode val="edge"/>
          <c:yMode val="edge"/>
          <c:x val="0.1074652230971128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First Draw (P) Lead</c:v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brightRoom" dir="t"/>
            </a:scene3d>
            <a:sp3d prstMaterial="flat">
              <a:bevelT w="50800" h="101600" prst="angle"/>
              <a:contourClr>
                <a:srgbClr val="000000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2E1-4ACB-9384-6893222D791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2E1-4ACB-9384-6893222D791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2E1-4ACB-9384-6893222D791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2E1-4ACB-9384-6893222D79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Stats!$O$36:$O$38</c:f>
              <c:strCache>
                <c:ptCount val="3"/>
                <c:pt idx="0">
                  <c:v>&lt;or= 1 ppb</c:v>
                </c:pt>
                <c:pt idx="1">
                  <c:v>1 to 15 ppb</c:v>
                </c:pt>
                <c:pt idx="2">
                  <c:v>&gt; 15 ppb</c:v>
                </c:pt>
              </c:strCache>
            </c:strRef>
          </c:cat>
          <c:val>
            <c:numRef>
              <c:f>Stats!$P$36:$P$38</c:f>
              <c:numCache>
                <c:formatCode>General</c:formatCode>
                <c:ptCount val="3"/>
                <c:pt idx="0">
                  <c:v>42.4</c:v>
                </c:pt>
                <c:pt idx="1">
                  <c:v>47.1</c:v>
                </c:pt>
                <c:pt idx="2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2E1-4ACB-9384-6893222D791F}"/>
            </c:ext>
          </c:extLst>
        </c:ser>
        <c:ser>
          <c:idx val="1"/>
          <c:order val="1"/>
          <c:tx>
            <c:v>Flush (F) Lead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cene3d>
              <a:camera prst="orthographicFront"/>
              <a:lightRig rig="brightRoom" dir="t"/>
            </a:scene3d>
            <a:sp3d prstMaterial="flat">
              <a:bevelT w="50800" h="101600" prst="angle"/>
              <a:contourClr>
                <a:srgbClr val="000000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Stats!$O$36:$O$38</c:f>
              <c:strCache>
                <c:ptCount val="3"/>
                <c:pt idx="0">
                  <c:v>&lt;or= 1 ppb</c:v>
                </c:pt>
                <c:pt idx="1">
                  <c:v>1 to 15 ppb</c:v>
                </c:pt>
                <c:pt idx="2">
                  <c:v>&gt; 15 ppb</c:v>
                </c:pt>
              </c:strCache>
            </c:strRef>
          </c:cat>
          <c:val>
            <c:numRef>
              <c:f>Stats!$Q$36:$Q$38</c:f>
              <c:numCache>
                <c:formatCode>General</c:formatCode>
                <c:ptCount val="3"/>
                <c:pt idx="0">
                  <c:v>68.5</c:v>
                </c:pt>
                <c:pt idx="1">
                  <c:v>29.4</c:v>
                </c:pt>
                <c:pt idx="2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2E1-4ACB-9384-6893222D7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84355743"/>
        <c:axId val="1684353247"/>
      </c:barChart>
      <c:catAx>
        <c:axId val="16843557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353247"/>
        <c:crosses val="autoZero"/>
        <c:auto val="1"/>
        <c:lblAlgn val="ctr"/>
        <c:lblOffset val="100"/>
        <c:noMultiLvlLbl val="0"/>
      </c:catAx>
      <c:valAx>
        <c:axId val="168435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35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171450</xdr:colOff>
      <xdr:row>19</xdr:row>
      <xdr:rowOff>28575</xdr:rowOff>
    </xdr:from>
    <xdr:to>
      <xdr:col>25</xdr:col>
      <xdr:colOff>476250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1D8238-8C1E-452F-A407-BC8B11837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34</xdr:row>
      <xdr:rowOff>0</xdr:rowOff>
    </xdr:from>
    <xdr:to>
      <xdr:col>25</xdr:col>
      <xdr:colOff>304800</xdr:colOff>
      <xdr:row>48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1934FD-31CB-4BB8-B762-9AA67348F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Thomas.Mahin@state.ma.us" TargetMode="External"/><Relationship Id="rId3" Type="http://schemas.openxmlformats.org/officeDocument/2006/relationships/hyperlink" Target="mailto:BillCarpenter@cobma.us" TargetMode="External"/><Relationship Id="rId7" Type="http://schemas.openxmlformats.org/officeDocument/2006/relationships/hyperlink" Target="mailto:rmcenroe@sudburywater.com" TargetMode="External"/><Relationship Id="rId2" Type="http://schemas.openxmlformats.org/officeDocument/2006/relationships/hyperlink" Target="mailto:freid@selfhelpinc.org" TargetMode="External"/><Relationship Id="rId1" Type="http://schemas.openxmlformats.org/officeDocument/2006/relationships/hyperlink" Target="mailto:vdkiken@comcast.net" TargetMode="External"/><Relationship Id="rId6" Type="http://schemas.openxmlformats.org/officeDocument/2006/relationships/hyperlink" Target="mailto:bilodeaum@sudbury.ma.us" TargetMode="External"/><Relationship Id="rId11" Type="http://schemas.openxmlformats.org/officeDocument/2006/relationships/printerSettings" Target="../printerSettings/printerSettings3.bin"/><Relationship Id="rId5" Type="http://schemas.openxmlformats.org/officeDocument/2006/relationships/hyperlink" Target="mailto:yaskmenow1983@gmail.com" TargetMode="External"/><Relationship Id="rId10" Type="http://schemas.openxmlformats.org/officeDocument/2006/relationships/hyperlink" Target="mailto:srothermich@hopkinton.k12.ma.us" TargetMode="External"/><Relationship Id="rId4" Type="http://schemas.openxmlformats.org/officeDocument/2006/relationships/hyperlink" Target="mailto:Richard.Rondeau@state.ma.us" TargetMode="External"/><Relationship Id="rId9" Type="http://schemas.openxmlformats.org/officeDocument/2006/relationships/hyperlink" Target="mailto:llaine911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0"/>
  <sheetViews>
    <sheetView zoomScaleNormal="100" zoomScalePageLayoutView="80" workbookViewId="0">
      <pane xSplit="2" ySplit="1" topLeftCell="C18" activePane="bottomRight" state="frozen"/>
      <selection pane="bottomRight" activeCell="A7" sqref="A7:B45"/>
      <selection pane="bottomLeft" activeCell="A2" sqref="A2"/>
      <selection pane="topRight" activeCell="B1" sqref="B1"/>
    </sheetView>
  </sheetViews>
  <sheetFormatPr defaultColWidth="9.140625" defaultRowHeight="15"/>
  <cols>
    <col min="1" max="1" width="20.28515625" style="13" customWidth="1"/>
    <col min="2" max="2" width="17.140625" style="2" customWidth="1"/>
    <col min="3" max="3" width="12.5703125" style="4" customWidth="1"/>
    <col min="4" max="4" width="13.85546875" style="15" customWidth="1"/>
    <col min="5" max="5" width="18.140625" style="16" customWidth="1"/>
    <col min="6" max="6" width="5.42578125" style="16" customWidth="1"/>
    <col min="7" max="7" width="7.5703125" style="16" customWidth="1"/>
    <col min="8" max="8" width="9.42578125" style="16" customWidth="1"/>
    <col min="9" max="9" width="8.85546875" style="16" customWidth="1"/>
    <col min="10" max="10" width="14.7109375" style="4" customWidth="1"/>
    <col min="11" max="11" width="11.7109375" style="4" customWidth="1"/>
    <col min="12" max="12" width="8.85546875" style="17" customWidth="1"/>
    <col min="13" max="13" width="7.42578125" style="18" customWidth="1"/>
    <col min="14" max="14" width="11.42578125" style="4" customWidth="1"/>
    <col min="15" max="15" width="14.85546875" style="2" customWidth="1"/>
    <col min="16" max="16" width="9.42578125" style="16" customWidth="1"/>
    <col min="17" max="17" width="23.7109375" style="19" customWidth="1"/>
    <col min="18" max="18" width="12.42578125" style="1" customWidth="1"/>
    <col min="19" max="19" width="15.42578125" style="17" customWidth="1"/>
    <col min="20" max="20" width="38.5703125" style="2" customWidth="1"/>
    <col min="21" max="16384" width="9.140625" style="16"/>
  </cols>
  <sheetData>
    <row r="1" spans="1:20" s="7" customFormat="1" ht="30" customHeight="1">
      <c r="A1" s="6" t="s">
        <v>0</v>
      </c>
      <c r="B1" s="7" t="s">
        <v>1</v>
      </c>
      <c r="C1" s="12" t="s">
        <v>2</v>
      </c>
      <c r="D1" s="8" t="s">
        <v>3</v>
      </c>
      <c r="E1" s="9" t="s">
        <v>4</v>
      </c>
      <c r="F1" s="7" t="s">
        <v>5</v>
      </c>
      <c r="G1" s="183" t="s">
        <v>6</v>
      </c>
      <c r="H1" s="7" t="s">
        <v>7</v>
      </c>
      <c r="I1" s="7" t="s">
        <v>8</v>
      </c>
      <c r="J1" s="59" t="s">
        <v>9</v>
      </c>
      <c r="K1" s="59" t="s">
        <v>10</v>
      </c>
      <c r="L1" s="10" t="s">
        <v>11</v>
      </c>
      <c r="M1" s="11" t="s">
        <v>12</v>
      </c>
      <c r="N1" s="8" t="s">
        <v>13</v>
      </c>
      <c r="O1" s="13" t="s">
        <v>14</v>
      </c>
      <c r="P1" s="6" t="s">
        <v>15</v>
      </c>
      <c r="Q1" s="7" t="s">
        <v>16</v>
      </c>
      <c r="R1" s="13" t="s">
        <v>17</v>
      </c>
      <c r="S1" s="14" t="s">
        <v>18</v>
      </c>
      <c r="T1" s="7" t="s">
        <v>19</v>
      </c>
    </row>
    <row r="2" spans="1:20" ht="15" customHeight="1">
      <c r="A2" s="13" t="s">
        <v>20</v>
      </c>
      <c r="B2" s="2" t="s">
        <v>21</v>
      </c>
      <c r="C2" s="4">
        <v>43102</v>
      </c>
      <c r="D2" s="15" t="s">
        <v>22</v>
      </c>
      <c r="E2" s="273" t="s">
        <v>23</v>
      </c>
      <c r="F2" s="16" t="s">
        <v>24</v>
      </c>
      <c r="G2" s="16" t="s">
        <v>24</v>
      </c>
      <c r="H2" s="16" t="s">
        <v>25</v>
      </c>
      <c r="I2" s="16">
        <v>1</v>
      </c>
      <c r="J2" s="4" t="s">
        <v>26</v>
      </c>
      <c r="L2" s="17" t="s">
        <v>27</v>
      </c>
      <c r="Q2" s="19" t="s">
        <v>28</v>
      </c>
      <c r="R2" s="1" t="s">
        <v>29</v>
      </c>
      <c r="T2" s="19" t="s">
        <v>30</v>
      </c>
    </row>
    <row r="3" spans="1:20" ht="15" customHeight="1">
      <c r="A3" s="7" t="s">
        <v>31</v>
      </c>
      <c r="B3" s="2" t="s">
        <v>32</v>
      </c>
      <c r="C3" s="4">
        <v>43073</v>
      </c>
      <c r="D3" s="15" t="s">
        <v>22</v>
      </c>
      <c r="E3" s="26" t="s">
        <v>33</v>
      </c>
      <c r="F3" s="21" t="s">
        <v>24</v>
      </c>
      <c r="G3" s="16" t="s">
        <v>25</v>
      </c>
      <c r="H3" s="16" t="s">
        <v>24</v>
      </c>
      <c r="I3" s="16">
        <v>1</v>
      </c>
      <c r="J3" s="4" t="s">
        <v>26</v>
      </c>
      <c r="L3" s="22" t="s">
        <v>27</v>
      </c>
      <c r="M3" s="23"/>
      <c r="N3" s="25"/>
      <c r="O3" s="24"/>
      <c r="P3" s="16">
        <f>SUMIF(Facilities!A:A,"ReadingPS",Facilities!R:R)</f>
        <v>0</v>
      </c>
      <c r="Q3" s="19" t="s">
        <v>28</v>
      </c>
      <c r="R3" s="1" t="s">
        <v>29</v>
      </c>
      <c r="S3" s="22"/>
    </row>
    <row r="4" spans="1:20" s="189" customFormat="1" ht="15" customHeight="1">
      <c r="A4" s="13" t="s">
        <v>34</v>
      </c>
      <c r="B4" s="2" t="s">
        <v>35</v>
      </c>
      <c r="C4" s="4">
        <v>43102</v>
      </c>
      <c r="D4" s="15" t="s">
        <v>22</v>
      </c>
      <c r="E4" s="16" t="s">
        <v>36</v>
      </c>
      <c r="F4" s="16" t="s">
        <v>24</v>
      </c>
      <c r="G4" s="16" t="s">
        <v>24</v>
      </c>
      <c r="H4" s="16" t="s">
        <v>25</v>
      </c>
      <c r="I4" s="16">
        <v>52</v>
      </c>
      <c r="J4" s="4" t="s">
        <v>26</v>
      </c>
      <c r="K4" s="4"/>
      <c r="L4" s="17" t="s">
        <v>27</v>
      </c>
      <c r="M4" s="18"/>
      <c r="N4" s="4"/>
      <c r="O4" s="2"/>
      <c r="P4" s="16"/>
      <c r="Q4" s="19" t="s">
        <v>28</v>
      </c>
      <c r="R4" s="1" t="s">
        <v>37</v>
      </c>
      <c r="S4" s="17"/>
      <c r="T4" s="2" t="s">
        <v>38</v>
      </c>
    </row>
    <row r="5" spans="1:20" ht="15" customHeight="1">
      <c r="A5" s="13" t="s">
        <v>39</v>
      </c>
      <c r="B5" s="2" t="s">
        <v>40</v>
      </c>
      <c r="C5" s="4">
        <v>43102</v>
      </c>
      <c r="D5" s="15" t="s">
        <v>22</v>
      </c>
      <c r="E5" s="16" t="s">
        <v>41</v>
      </c>
      <c r="F5" s="16" t="s">
        <v>24</v>
      </c>
      <c r="G5" s="16" t="s">
        <v>25</v>
      </c>
      <c r="H5" s="16" t="s">
        <v>25</v>
      </c>
      <c r="I5" s="16">
        <v>8</v>
      </c>
      <c r="J5" s="4" t="s">
        <v>26</v>
      </c>
      <c r="L5" s="17" t="s">
        <v>27</v>
      </c>
      <c r="Q5" s="19" t="s">
        <v>28</v>
      </c>
      <c r="R5" s="1" t="s">
        <v>29</v>
      </c>
      <c r="T5" s="19" t="s">
        <v>30</v>
      </c>
    </row>
    <row r="6" spans="1:20" ht="15" customHeight="1">
      <c r="A6" s="5" t="s">
        <v>42</v>
      </c>
      <c r="B6" s="1" t="s">
        <v>43</v>
      </c>
      <c r="C6" s="30">
        <v>43088</v>
      </c>
      <c r="D6" s="15" t="s">
        <v>22</v>
      </c>
      <c r="E6" s="102" t="s">
        <v>44</v>
      </c>
      <c r="F6" s="16" t="s">
        <v>24</v>
      </c>
      <c r="G6" s="16" t="s">
        <v>24</v>
      </c>
      <c r="H6" s="16" t="s">
        <v>25</v>
      </c>
      <c r="I6" s="16">
        <v>3</v>
      </c>
      <c r="J6" s="4" t="s">
        <v>26</v>
      </c>
      <c r="L6" s="17" t="s">
        <v>27</v>
      </c>
      <c r="Q6" s="19" t="s">
        <v>28</v>
      </c>
      <c r="R6" s="1" t="s">
        <v>45</v>
      </c>
      <c r="T6" s="19" t="s">
        <v>46</v>
      </c>
    </row>
    <row r="7" spans="1:20" ht="15" customHeight="1">
      <c r="A7" s="132" t="s">
        <v>47</v>
      </c>
      <c r="B7" s="2" t="s">
        <v>48</v>
      </c>
      <c r="C7" s="4">
        <v>43259</v>
      </c>
      <c r="D7" s="15" t="s">
        <v>49</v>
      </c>
      <c r="E7" s="16" t="s">
        <v>50</v>
      </c>
      <c r="F7" s="16" t="s">
        <v>24</v>
      </c>
      <c r="G7" s="16" t="s">
        <v>24</v>
      </c>
      <c r="H7" s="16" t="s">
        <v>24</v>
      </c>
      <c r="I7" s="16">
        <v>8</v>
      </c>
      <c r="J7" s="4">
        <v>43168</v>
      </c>
      <c r="K7" s="4" t="s">
        <v>51</v>
      </c>
      <c r="L7" s="17" t="s">
        <v>52</v>
      </c>
      <c r="M7" s="18" t="s">
        <v>53</v>
      </c>
      <c r="P7" s="16">
        <f>SUMIF(Facilities!A:A,"AgawamPS",Facilities!R:R)</f>
        <v>535</v>
      </c>
      <c r="Q7" s="19" t="s">
        <v>54</v>
      </c>
      <c r="R7" s="1" t="s">
        <v>37</v>
      </c>
    </row>
    <row r="8" spans="1:20">
      <c r="A8" s="132" t="s">
        <v>55</v>
      </c>
      <c r="B8" s="2" t="s">
        <v>56</v>
      </c>
      <c r="C8" s="4">
        <v>43153</v>
      </c>
      <c r="D8" s="15" t="s">
        <v>49</v>
      </c>
      <c r="E8" s="27" t="s">
        <v>57</v>
      </c>
      <c r="F8" s="16" t="s">
        <v>24</v>
      </c>
      <c r="G8" s="16" t="s">
        <v>24</v>
      </c>
      <c r="H8" s="16" t="s">
        <v>24</v>
      </c>
      <c r="I8" s="16">
        <v>1</v>
      </c>
      <c r="J8" s="4">
        <v>43027</v>
      </c>
      <c r="K8" s="4" t="s">
        <v>58</v>
      </c>
      <c r="L8" s="17" t="s">
        <v>27</v>
      </c>
      <c r="M8" s="18" t="s">
        <v>59</v>
      </c>
      <c r="N8" s="4">
        <v>43153</v>
      </c>
      <c r="O8" s="2" t="s">
        <v>60</v>
      </c>
      <c r="P8" s="16">
        <f>SUMIF(Facilities!A:A,"UMassAmherstCEEC",Facilities!R:R)</f>
        <v>7</v>
      </c>
      <c r="Q8" s="19" t="s">
        <v>61</v>
      </c>
      <c r="R8" s="1" t="s">
        <v>37</v>
      </c>
      <c r="S8" s="17" t="s">
        <v>27</v>
      </c>
      <c r="T8" s="2" t="s">
        <v>62</v>
      </c>
    </row>
    <row r="9" spans="1:20">
      <c r="A9" s="132" t="s">
        <v>63</v>
      </c>
      <c r="B9" s="2" t="s">
        <v>64</v>
      </c>
      <c r="C9" s="4">
        <v>43382</v>
      </c>
      <c r="D9" s="15" t="s">
        <v>49</v>
      </c>
      <c r="E9" s="406" t="s">
        <v>65</v>
      </c>
      <c r="F9" s="16" t="s">
        <v>25</v>
      </c>
      <c r="G9" s="16" t="s">
        <v>24</v>
      </c>
      <c r="H9" s="16" t="s">
        <v>24</v>
      </c>
      <c r="I9" s="16">
        <v>6</v>
      </c>
      <c r="J9" s="4">
        <v>43080</v>
      </c>
      <c r="K9" s="4" t="s">
        <v>66</v>
      </c>
      <c r="L9" s="17" t="s">
        <v>67</v>
      </c>
      <c r="M9" s="18" t="s">
        <v>68</v>
      </c>
      <c r="N9" s="4">
        <v>43146</v>
      </c>
      <c r="O9" s="2" t="s">
        <v>69</v>
      </c>
      <c r="P9" s="16">
        <f>SUMIF(Facilities!A:A,"NRSD",Facilities!R:R)</f>
        <v>566</v>
      </c>
      <c r="Q9" s="19" t="s">
        <v>61</v>
      </c>
      <c r="R9" s="1" t="s">
        <v>45</v>
      </c>
      <c r="S9" s="17" t="s">
        <v>67</v>
      </c>
    </row>
    <row r="10" spans="1:20">
      <c r="A10" s="132" t="s">
        <v>70</v>
      </c>
      <c r="B10" s="28" t="s">
        <v>71</v>
      </c>
      <c r="C10" s="4">
        <v>43269</v>
      </c>
      <c r="D10" s="15" t="s">
        <v>49</v>
      </c>
      <c r="E10" s="27" t="s">
        <v>72</v>
      </c>
      <c r="F10" s="16" t="s">
        <v>25</v>
      </c>
      <c r="G10" s="16" t="s">
        <v>24</v>
      </c>
      <c r="H10" s="16" t="s">
        <v>24</v>
      </c>
      <c r="I10" s="16">
        <v>1</v>
      </c>
      <c r="J10" s="4">
        <v>43244</v>
      </c>
      <c r="K10" s="4" t="s">
        <v>73</v>
      </c>
      <c r="L10" s="22" t="s">
        <v>52</v>
      </c>
      <c r="M10" s="18" t="s">
        <v>59</v>
      </c>
      <c r="N10" s="4">
        <v>43267</v>
      </c>
      <c r="O10" s="2" t="s">
        <v>69</v>
      </c>
      <c r="P10" s="16">
        <f>SUMIF(Facilities!A:A,"MasconometRSD",Facilities!R:R)</f>
        <v>91</v>
      </c>
      <c r="Q10" s="19" t="s">
        <v>61</v>
      </c>
      <c r="R10" s="1" t="s">
        <v>29</v>
      </c>
    </row>
    <row r="11" spans="1:20">
      <c r="A11" s="233" t="s">
        <v>74</v>
      </c>
      <c r="B11" s="2" t="s">
        <v>71</v>
      </c>
      <c r="C11" s="4">
        <v>43273</v>
      </c>
      <c r="D11" s="15" t="s">
        <v>49</v>
      </c>
      <c r="E11" s="406" t="s">
        <v>75</v>
      </c>
      <c r="F11" s="16" t="s">
        <v>76</v>
      </c>
      <c r="G11" s="16" t="s">
        <v>24</v>
      </c>
      <c r="H11" s="16" t="s">
        <v>24</v>
      </c>
      <c r="I11" s="16">
        <v>6</v>
      </c>
      <c r="J11" s="4">
        <v>43244</v>
      </c>
      <c r="K11" s="4" t="s">
        <v>73</v>
      </c>
      <c r="L11" s="17" t="s">
        <v>52</v>
      </c>
      <c r="M11" s="18" t="s">
        <v>68</v>
      </c>
      <c r="N11" s="4">
        <v>43270</v>
      </c>
      <c r="O11" s="2" t="s">
        <v>69</v>
      </c>
      <c r="P11" s="16">
        <f>SUMIF(Facilities!A:A,"Tri-Town School Union",Facilities!R:R)</f>
        <v>612</v>
      </c>
      <c r="Q11" s="19" t="s">
        <v>54</v>
      </c>
      <c r="R11" s="1" t="s">
        <v>29</v>
      </c>
    </row>
    <row r="12" spans="1:20">
      <c r="A12" s="132" t="s">
        <v>77</v>
      </c>
      <c r="B12" s="2" t="s">
        <v>78</v>
      </c>
      <c r="C12" s="4">
        <v>43272</v>
      </c>
      <c r="D12" s="15" t="s">
        <v>49</v>
      </c>
      <c r="E12" s="102" t="s">
        <v>79</v>
      </c>
      <c r="F12" s="16" t="s">
        <v>24</v>
      </c>
      <c r="G12" s="16" t="s">
        <v>24</v>
      </c>
      <c r="H12" s="16" t="s">
        <v>24</v>
      </c>
      <c r="I12" s="16">
        <v>10</v>
      </c>
      <c r="J12" s="4">
        <v>43223</v>
      </c>
      <c r="K12" s="4" t="s">
        <v>80</v>
      </c>
      <c r="L12" s="17" t="s">
        <v>67</v>
      </c>
      <c r="M12" s="18" t="s">
        <v>81</v>
      </c>
      <c r="N12" s="4">
        <v>43263</v>
      </c>
      <c r="O12" s="2" t="s">
        <v>69</v>
      </c>
      <c r="P12" s="16">
        <f>SUMIF(Facilities!A:A,"BraintreePS",Facilities!R:R)</f>
        <v>593</v>
      </c>
      <c r="Q12" s="19" t="s">
        <v>54</v>
      </c>
      <c r="R12" s="1" t="s">
        <v>82</v>
      </c>
    </row>
    <row r="13" spans="1:20">
      <c r="A13" s="132" t="s">
        <v>83</v>
      </c>
      <c r="B13" s="2" t="s">
        <v>84</v>
      </c>
      <c r="C13" s="4">
        <v>43336</v>
      </c>
      <c r="D13" s="15" t="s">
        <v>49</v>
      </c>
      <c r="E13" s="27" t="s">
        <v>85</v>
      </c>
      <c r="F13" s="16" t="s">
        <v>24</v>
      </c>
      <c r="G13" s="16" t="s">
        <v>24</v>
      </c>
      <c r="H13" s="16" t="s">
        <v>24</v>
      </c>
      <c r="I13" s="16">
        <v>7</v>
      </c>
      <c r="J13" s="4">
        <v>43208</v>
      </c>
      <c r="K13" s="4" t="s">
        <v>66</v>
      </c>
      <c r="L13" s="17" t="s">
        <v>86</v>
      </c>
      <c r="M13" s="18" t="s">
        <v>87</v>
      </c>
      <c r="N13" s="4">
        <v>43270</v>
      </c>
      <c r="O13" s="2" t="s">
        <v>69</v>
      </c>
      <c r="P13" s="16">
        <f>SUMIF(Facilities!A:A,"BRRSD",Facilities!R:R)</f>
        <v>499</v>
      </c>
      <c r="Q13" s="19" t="s">
        <v>54</v>
      </c>
      <c r="R13" s="1" t="s">
        <v>82</v>
      </c>
    </row>
    <row r="14" spans="1:20">
      <c r="A14" s="132" t="s">
        <v>88</v>
      </c>
      <c r="B14" s="2" t="s">
        <v>89</v>
      </c>
      <c r="C14" s="4">
        <v>43325</v>
      </c>
      <c r="D14" s="15" t="s">
        <v>49</v>
      </c>
      <c r="E14" s="16" t="s">
        <v>90</v>
      </c>
      <c r="F14" s="16" t="s">
        <v>24</v>
      </c>
      <c r="G14" s="16" t="s">
        <v>24</v>
      </c>
      <c r="H14" s="16" t="s">
        <v>24</v>
      </c>
      <c r="I14" s="16">
        <v>3</v>
      </c>
      <c r="J14" s="4">
        <v>43244</v>
      </c>
      <c r="L14" s="17" t="s">
        <v>67</v>
      </c>
      <c r="M14" s="18" t="s">
        <v>91</v>
      </c>
      <c r="N14" s="4">
        <v>43256</v>
      </c>
      <c r="O14" s="2" t="s">
        <v>69</v>
      </c>
      <c r="P14" s="16">
        <f>SUMIF(Facilities!A:A,"SelfHelp",Facilities!R:R)</f>
        <v>117</v>
      </c>
      <c r="Q14" s="19" t="s">
        <v>54</v>
      </c>
      <c r="R14" s="1" t="s">
        <v>82</v>
      </c>
    </row>
    <row r="15" spans="1:20">
      <c r="A15" s="132" t="s">
        <v>92</v>
      </c>
      <c r="B15" s="29" t="s">
        <v>93</v>
      </c>
      <c r="C15" s="4">
        <v>43210</v>
      </c>
      <c r="D15" s="15" t="s">
        <v>49</v>
      </c>
      <c r="E15" s="27" t="s">
        <v>94</v>
      </c>
      <c r="F15" s="16" t="s">
        <v>24</v>
      </c>
      <c r="G15" s="16" t="s">
        <v>24</v>
      </c>
      <c r="H15" s="16" t="s">
        <v>24</v>
      </c>
      <c r="I15" s="16">
        <v>4</v>
      </c>
      <c r="J15" s="4">
        <v>43054</v>
      </c>
      <c r="K15" s="4" t="s">
        <v>95</v>
      </c>
      <c r="L15" s="17" t="s">
        <v>67</v>
      </c>
      <c r="M15" s="18" t="s">
        <v>96</v>
      </c>
      <c r="N15" s="4">
        <v>43127</v>
      </c>
      <c r="O15" s="2" t="s">
        <v>97</v>
      </c>
      <c r="P15" s="16">
        <f>SUMIF(Facilities!A:A,"TritonRSD",Facilities!R:R)</f>
        <v>642</v>
      </c>
      <c r="Q15" s="19" t="s">
        <v>54</v>
      </c>
      <c r="R15" s="1" t="s">
        <v>29</v>
      </c>
      <c r="S15" s="17" t="s">
        <v>98</v>
      </c>
    </row>
    <row r="16" spans="1:20">
      <c r="A16" s="132" t="s">
        <v>99</v>
      </c>
      <c r="B16" s="2" t="s">
        <v>100</v>
      </c>
      <c r="C16" s="4">
        <v>43243</v>
      </c>
      <c r="D16" s="15" t="s">
        <v>49</v>
      </c>
      <c r="E16" s="27" t="s">
        <v>101</v>
      </c>
      <c r="F16" s="16" t="s">
        <v>24</v>
      </c>
      <c r="G16" s="16" t="s">
        <v>24</v>
      </c>
      <c r="H16" s="16" t="s">
        <v>24</v>
      </c>
      <c r="I16" s="16">
        <v>4</v>
      </c>
      <c r="J16" s="4">
        <v>43147</v>
      </c>
      <c r="K16" s="4" t="s">
        <v>102</v>
      </c>
      <c r="L16" s="17" t="s">
        <v>103</v>
      </c>
      <c r="M16" s="18" t="s">
        <v>104</v>
      </c>
      <c r="N16" s="4">
        <v>43204</v>
      </c>
      <c r="O16" s="2" t="s">
        <v>105</v>
      </c>
      <c r="P16" s="16">
        <f>SUMIF(Facilities!A:A,"ClintonPS",Facilities!R:R)</f>
        <v>314</v>
      </c>
      <c r="Q16" s="2" t="s">
        <v>54</v>
      </c>
      <c r="R16" s="1" t="s">
        <v>45</v>
      </c>
      <c r="S16" s="17" t="s">
        <v>103</v>
      </c>
    </row>
    <row r="17" spans="1:28">
      <c r="A17" s="132" t="s">
        <v>106</v>
      </c>
      <c r="B17" s="2" t="s">
        <v>107</v>
      </c>
      <c r="C17" s="4">
        <v>43280</v>
      </c>
      <c r="D17" s="15" t="s">
        <v>49</v>
      </c>
      <c r="E17" s="16" t="s">
        <v>108</v>
      </c>
      <c r="F17" s="16" t="s">
        <v>24</v>
      </c>
      <c r="G17" s="16" t="s">
        <v>24</v>
      </c>
      <c r="H17" s="16" t="s">
        <v>24</v>
      </c>
      <c r="I17" s="16">
        <v>8</v>
      </c>
      <c r="J17" s="4">
        <v>43242</v>
      </c>
      <c r="K17" s="4" t="s">
        <v>66</v>
      </c>
      <c r="L17" s="17" t="s">
        <v>67</v>
      </c>
      <c r="M17" s="18" t="s">
        <v>109</v>
      </c>
      <c r="N17" s="4">
        <v>43277</v>
      </c>
      <c r="O17" s="2" t="s">
        <v>110</v>
      </c>
      <c r="P17" s="16">
        <f>SUMIF(Facilities!A:A,"Children's Workshop",Facilities!R:R)</f>
        <v>237</v>
      </c>
      <c r="Q17" s="2" t="s">
        <v>54</v>
      </c>
      <c r="R17" s="1" t="s">
        <v>111</v>
      </c>
    </row>
    <row r="18" spans="1:28">
      <c r="A18" s="132" t="s">
        <v>112</v>
      </c>
      <c r="B18" s="62" t="s">
        <v>113</v>
      </c>
      <c r="C18" s="4">
        <v>43258</v>
      </c>
      <c r="D18" s="15" t="s">
        <v>49</v>
      </c>
      <c r="E18" s="131" t="s">
        <v>114</v>
      </c>
      <c r="F18" s="16" t="s">
        <v>24</v>
      </c>
      <c r="G18" s="16" t="s">
        <v>25</v>
      </c>
      <c r="H18" s="16" t="s">
        <v>24</v>
      </c>
      <c r="I18" s="16">
        <v>2</v>
      </c>
      <c r="J18" s="4">
        <v>43217</v>
      </c>
      <c r="K18" s="4" t="s">
        <v>66</v>
      </c>
      <c r="L18" s="17" t="s">
        <v>52</v>
      </c>
      <c r="M18" s="18" t="s">
        <v>115</v>
      </c>
      <c r="N18" s="4">
        <v>43257</v>
      </c>
      <c r="O18" s="2" t="s">
        <v>105</v>
      </c>
      <c r="P18" s="16">
        <f>SUMIF(Facilities!A:A,"Little Folks",Facilities!R:R)</f>
        <v>30</v>
      </c>
      <c r="Q18" s="19" t="s">
        <v>54</v>
      </c>
      <c r="R18" s="1" t="s">
        <v>29</v>
      </c>
    </row>
    <row r="19" spans="1:28">
      <c r="A19" s="141" t="s">
        <v>116</v>
      </c>
      <c r="B19" s="1" t="s">
        <v>117</v>
      </c>
      <c r="C19" s="30">
        <v>43217</v>
      </c>
      <c r="D19" s="15" t="s">
        <v>49</v>
      </c>
      <c r="E19" s="16" t="s">
        <v>118</v>
      </c>
      <c r="F19" s="16" t="s">
        <v>24</v>
      </c>
      <c r="G19" s="16" t="s">
        <v>24</v>
      </c>
      <c r="H19" s="16" t="s">
        <v>24</v>
      </c>
      <c r="I19" s="16">
        <v>1</v>
      </c>
      <c r="J19" s="4">
        <v>43199</v>
      </c>
      <c r="K19" s="4" t="s">
        <v>58</v>
      </c>
      <c r="L19" s="17" t="s">
        <v>67</v>
      </c>
      <c r="M19" s="18" t="s">
        <v>59</v>
      </c>
      <c r="N19" s="4">
        <v>43217</v>
      </c>
      <c r="O19" s="2" t="s">
        <v>69</v>
      </c>
      <c r="P19" s="47">
        <f>SUMIF(Facilities!A:A,"TEC-COOP",Facilities!N:N)</f>
        <v>41</v>
      </c>
      <c r="Q19" s="19" t="s">
        <v>54</v>
      </c>
      <c r="R19" s="1" t="s">
        <v>82</v>
      </c>
      <c r="S19" s="17" t="s">
        <v>67</v>
      </c>
    </row>
    <row r="20" spans="1:28">
      <c r="A20" s="132" t="s">
        <v>119</v>
      </c>
      <c r="B20" s="2" t="s">
        <v>120</v>
      </c>
      <c r="C20" s="4">
        <v>43328</v>
      </c>
      <c r="D20" s="15" t="s">
        <v>49</v>
      </c>
      <c r="E20" s="16" t="s">
        <v>121</v>
      </c>
      <c r="F20" s="16" t="s">
        <v>25</v>
      </c>
      <c r="G20" s="16" t="s">
        <v>24</v>
      </c>
      <c r="H20" s="16" t="s">
        <v>24</v>
      </c>
      <c r="I20" s="16">
        <v>2</v>
      </c>
      <c r="J20" s="4">
        <v>43245</v>
      </c>
      <c r="K20" s="4" t="s">
        <v>122</v>
      </c>
      <c r="L20" s="17" t="s">
        <v>67</v>
      </c>
      <c r="M20" s="18" t="s">
        <v>115</v>
      </c>
      <c r="N20" s="4">
        <v>43258</v>
      </c>
      <c r="O20" s="2" t="s">
        <v>69</v>
      </c>
      <c r="P20" s="16">
        <f>SUMIF(Facilities!A:A,"TantasquaRSD",Facilities!R:R)</f>
        <v>134</v>
      </c>
      <c r="Q20" s="19" t="s">
        <v>54</v>
      </c>
      <c r="R20" s="1" t="s">
        <v>45</v>
      </c>
      <c r="S20" s="17" t="s">
        <v>86</v>
      </c>
    </row>
    <row r="21" spans="1:28">
      <c r="A21" s="132" t="s">
        <v>123</v>
      </c>
      <c r="B21" s="29" t="s">
        <v>124</v>
      </c>
      <c r="C21" s="4">
        <v>43187</v>
      </c>
      <c r="D21" s="15" t="s">
        <v>49</v>
      </c>
      <c r="E21" s="27" t="s">
        <v>125</v>
      </c>
      <c r="F21" s="16" t="s">
        <v>24</v>
      </c>
      <c r="G21" s="16" t="s">
        <v>24</v>
      </c>
      <c r="H21" s="16" t="s">
        <v>24</v>
      </c>
      <c r="I21" s="16">
        <v>6</v>
      </c>
      <c r="J21" s="4">
        <v>43076</v>
      </c>
      <c r="K21" s="4" t="s">
        <v>126</v>
      </c>
      <c r="L21" s="17" t="s">
        <v>103</v>
      </c>
      <c r="M21" s="18" t="s">
        <v>68</v>
      </c>
      <c r="N21" s="4">
        <v>43158</v>
      </c>
      <c r="O21" s="2" t="s">
        <v>69</v>
      </c>
      <c r="P21" s="16">
        <f>SUMIF(Facilities!A:A,"GraftonPS",Facilities!R:R)</f>
        <v>387</v>
      </c>
      <c r="Q21" s="19" t="s">
        <v>54</v>
      </c>
      <c r="R21" s="1" t="s">
        <v>45</v>
      </c>
      <c r="S21" s="17" t="s">
        <v>103</v>
      </c>
    </row>
    <row r="22" spans="1:28">
      <c r="A22" s="141" t="s">
        <v>127</v>
      </c>
      <c r="B22" s="2" t="s">
        <v>128</v>
      </c>
      <c r="C22" s="4">
        <v>43265</v>
      </c>
      <c r="D22" s="15" t="s">
        <v>49</v>
      </c>
      <c r="E22" s="54" t="s">
        <v>129</v>
      </c>
      <c r="F22" s="21" t="s">
        <v>24</v>
      </c>
      <c r="G22" s="16" t="s">
        <v>24</v>
      </c>
      <c r="H22" s="16" t="s">
        <v>24</v>
      </c>
      <c r="I22" s="16">
        <v>3</v>
      </c>
      <c r="J22" s="4">
        <v>43229</v>
      </c>
      <c r="K22" s="4" t="s">
        <v>66</v>
      </c>
      <c r="L22" s="22" t="s">
        <v>67</v>
      </c>
      <c r="M22" s="23" t="s">
        <v>91</v>
      </c>
      <c r="N22" s="4">
        <v>43242</v>
      </c>
      <c r="O22" s="24" t="s">
        <v>97</v>
      </c>
      <c r="P22" s="16">
        <f>SUMIF(Facilities!A:A,"HaverhillComAct",Facilities!R:R)</f>
        <v>59</v>
      </c>
      <c r="Q22" s="19" t="s">
        <v>54</v>
      </c>
      <c r="R22" s="1" t="s">
        <v>29</v>
      </c>
      <c r="S22" s="22" t="s">
        <v>67</v>
      </c>
      <c r="T22" s="24"/>
    </row>
    <row r="23" spans="1:28" s="47" customFormat="1">
      <c r="A23" s="233" t="s">
        <v>130</v>
      </c>
      <c r="B23" s="2" t="s">
        <v>131</v>
      </c>
      <c r="C23" s="4">
        <v>43277</v>
      </c>
      <c r="D23" s="15" t="s">
        <v>49</v>
      </c>
      <c r="E23" s="16" t="s">
        <v>132</v>
      </c>
      <c r="F23" s="16" t="s">
        <v>24</v>
      </c>
      <c r="G23" s="16" t="s">
        <v>24</v>
      </c>
      <c r="H23" s="16" t="s">
        <v>24</v>
      </c>
      <c r="I23" s="16">
        <v>2</v>
      </c>
      <c r="J23" s="4">
        <v>43230</v>
      </c>
      <c r="K23" s="4" t="s">
        <v>133</v>
      </c>
      <c r="L23" s="17" t="s">
        <v>134</v>
      </c>
      <c r="M23" s="18" t="s">
        <v>115</v>
      </c>
      <c r="N23" s="4">
        <v>43239</v>
      </c>
      <c r="O23" s="2" t="s">
        <v>135</v>
      </c>
      <c r="P23" s="16">
        <f>SUMIF(Facilities!A:A,"PositiveRegard",Facilities!R:R)</f>
        <v>31</v>
      </c>
      <c r="Q23" s="19" t="s">
        <v>54</v>
      </c>
      <c r="R23" s="1" t="s">
        <v>37</v>
      </c>
      <c r="S23" s="17" t="s">
        <v>134</v>
      </c>
      <c r="T23" s="2"/>
      <c r="U23" s="16"/>
      <c r="V23" s="16"/>
      <c r="W23" s="16"/>
      <c r="X23" s="16"/>
      <c r="Y23" s="16"/>
      <c r="Z23" s="16"/>
      <c r="AA23" s="16"/>
      <c r="AB23" s="16"/>
    </row>
    <row r="24" spans="1:28">
      <c r="A24" s="132" t="s">
        <v>136</v>
      </c>
      <c r="B24" s="2" t="s">
        <v>137</v>
      </c>
      <c r="C24" s="4">
        <v>43143</v>
      </c>
      <c r="D24" s="15" t="s">
        <v>49</v>
      </c>
      <c r="E24" s="128" t="s">
        <v>138</v>
      </c>
      <c r="F24" s="16" t="s">
        <v>24</v>
      </c>
      <c r="G24" s="16" t="s">
        <v>24</v>
      </c>
      <c r="H24" s="16" t="s">
        <v>24</v>
      </c>
      <c r="I24" s="16">
        <v>12</v>
      </c>
      <c r="J24" s="4">
        <v>43087</v>
      </c>
      <c r="K24" s="4" t="s">
        <v>122</v>
      </c>
      <c r="L24" s="17" t="s">
        <v>67</v>
      </c>
      <c r="M24" s="18" t="s">
        <v>139</v>
      </c>
      <c r="N24" s="66">
        <v>43125</v>
      </c>
      <c r="O24" s="143" t="s">
        <v>60</v>
      </c>
      <c r="P24" s="16">
        <f>SUMIF(Facilities!A:A,"WachusettRSD",Facilities!R:R)</f>
        <v>1215</v>
      </c>
      <c r="Q24" s="19" t="s">
        <v>61</v>
      </c>
      <c r="R24" s="1" t="s">
        <v>45</v>
      </c>
      <c r="S24" s="17" t="s">
        <v>67</v>
      </c>
      <c r="AB24" s="47"/>
    </row>
    <row r="25" spans="1:28">
      <c r="A25" s="132" t="s">
        <v>140</v>
      </c>
      <c r="B25" s="29" t="s">
        <v>141</v>
      </c>
      <c r="C25" s="4">
        <v>43129</v>
      </c>
      <c r="D25" s="15" t="s">
        <v>49</v>
      </c>
      <c r="E25" s="343" t="s">
        <v>142</v>
      </c>
      <c r="F25" s="16" t="s">
        <v>24</v>
      </c>
      <c r="G25" s="16" t="s">
        <v>24</v>
      </c>
      <c r="H25" s="16" t="s">
        <v>24</v>
      </c>
      <c r="I25" s="16">
        <v>11</v>
      </c>
      <c r="J25" s="4">
        <v>43045</v>
      </c>
      <c r="K25" s="4" t="s">
        <v>66</v>
      </c>
      <c r="L25" s="17" t="s">
        <v>67</v>
      </c>
      <c r="M25" s="18" t="s">
        <v>143</v>
      </c>
      <c r="N25" s="4">
        <v>43109</v>
      </c>
      <c r="O25" s="2" t="s">
        <v>60</v>
      </c>
      <c r="P25" s="16">
        <f>SUMIF(Facilities!A:A,"LeominsterPS",Facilities!R:R)</f>
        <v>216</v>
      </c>
      <c r="Q25" s="19" t="s">
        <v>61</v>
      </c>
      <c r="R25" s="1" t="s">
        <v>45</v>
      </c>
      <c r="S25" s="17" t="s">
        <v>67</v>
      </c>
    </row>
    <row r="26" spans="1:28" s="189" customFormat="1">
      <c r="A26" s="132" t="s">
        <v>144</v>
      </c>
      <c r="B26" s="28" t="s">
        <v>145</v>
      </c>
      <c r="C26" s="4">
        <v>43277</v>
      </c>
      <c r="D26" s="15" t="s">
        <v>49</v>
      </c>
      <c r="E26" s="27" t="s">
        <v>146</v>
      </c>
      <c r="F26" s="16" t="s">
        <v>24</v>
      </c>
      <c r="G26" s="16" t="s">
        <v>24</v>
      </c>
      <c r="H26" s="16" t="s">
        <v>24</v>
      </c>
      <c r="I26" s="16">
        <v>6</v>
      </c>
      <c r="J26" s="4">
        <v>43153</v>
      </c>
      <c r="K26" s="4" t="s">
        <v>147</v>
      </c>
      <c r="L26" s="17" t="s">
        <v>134</v>
      </c>
      <c r="M26" s="18" t="s">
        <v>68</v>
      </c>
      <c r="N26" s="4">
        <v>43218</v>
      </c>
      <c r="O26" s="2" t="s">
        <v>135</v>
      </c>
      <c r="P26" s="16">
        <f>SUMIF(Facilities!A:A,"LudlowPS",Facilities!R:R)</f>
        <v>463</v>
      </c>
      <c r="Q26" s="19" t="s">
        <v>54</v>
      </c>
      <c r="R26" s="1" t="s">
        <v>37</v>
      </c>
      <c r="S26" s="17" t="s">
        <v>134</v>
      </c>
      <c r="T26" s="2"/>
      <c r="U26" s="300"/>
      <c r="V26" s="300"/>
      <c r="W26" s="301"/>
      <c r="X26" s="300"/>
      <c r="Y26" s="300"/>
      <c r="Z26" s="300"/>
    </row>
    <row r="27" spans="1:28">
      <c r="A27" s="132" t="s">
        <v>148</v>
      </c>
      <c r="B27" s="2" t="s">
        <v>149</v>
      </c>
      <c r="C27" s="4">
        <v>43255</v>
      </c>
      <c r="D27" s="15" t="s">
        <v>49</v>
      </c>
      <c r="E27" s="16" t="s">
        <v>150</v>
      </c>
      <c r="F27" s="16" t="s">
        <v>24</v>
      </c>
      <c r="G27" s="16" t="s">
        <v>24</v>
      </c>
      <c r="H27" s="16" t="s">
        <v>24</v>
      </c>
      <c r="I27" s="16">
        <v>4</v>
      </c>
      <c r="J27" s="4">
        <v>43231</v>
      </c>
      <c r="K27" s="4" t="s">
        <v>122</v>
      </c>
      <c r="L27" s="17" t="s">
        <v>67</v>
      </c>
      <c r="M27" s="18" t="s">
        <v>151</v>
      </c>
      <c r="N27" s="4">
        <v>43253</v>
      </c>
      <c r="O27" s="2" t="s">
        <v>97</v>
      </c>
      <c r="P27" s="16">
        <f>SUMIF(Facilities!A:A,"LunenburgPS",Facilities!R:R)</f>
        <v>311</v>
      </c>
      <c r="Q27" s="19" t="s">
        <v>54</v>
      </c>
      <c r="R27" s="1" t="s">
        <v>45</v>
      </c>
    </row>
    <row r="28" spans="1:28">
      <c r="A28" s="132" t="s">
        <v>152</v>
      </c>
      <c r="B28" s="2" t="s">
        <v>153</v>
      </c>
      <c r="C28" s="4">
        <v>43328</v>
      </c>
      <c r="D28" s="15" t="s">
        <v>49</v>
      </c>
      <c r="E28" s="27" t="s">
        <v>154</v>
      </c>
      <c r="F28" s="16" t="s">
        <v>24</v>
      </c>
      <c r="G28" s="16" t="s">
        <v>25</v>
      </c>
      <c r="H28" s="16" t="s">
        <v>24</v>
      </c>
      <c r="I28" s="16">
        <v>4</v>
      </c>
      <c r="J28" s="4">
        <v>43223</v>
      </c>
      <c r="K28" s="4" t="s">
        <v>66</v>
      </c>
      <c r="L28" s="17" t="s">
        <v>67</v>
      </c>
      <c r="M28" s="18" t="s">
        <v>151</v>
      </c>
      <c r="N28" s="4">
        <v>43246</v>
      </c>
      <c r="O28" s="2" t="s">
        <v>97</v>
      </c>
      <c r="P28" s="16">
        <f>SUMIF(Facilities!A:A,"LynnfieldPS",Facilities!R:R)</f>
        <v>420</v>
      </c>
      <c r="Q28" s="19" t="s">
        <v>54</v>
      </c>
      <c r="R28" s="1" t="s">
        <v>29</v>
      </c>
      <c r="S28" s="17" t="s">
        <v>67</v>
      </c>
    </row>
    <row r="29" spans="1:28">
      <c r="A29" s="132" t="s">
        <v>155</v>
      </c>
      <c r="B29" s="28" t="s">
        <v>156</v>
      </c>
      <c r="C29" s="4">
        <v>43143</v>
      </c>
      <c r="D29" s="15" t="s">
        <v>49</v>
      </c>
      <c r="E29" s="27" t="s">
        <v>157</v>
      </c>
      <c r="F29" s="16" t="s">
        <v>24</v>
      </c>
      <c r="G29" s="16" t="s">
        <v>24</v>
      </c>
      <c r="H29" s="16" t="s">
        <v>24</v>
      </c>
      <c r="I29" s="16">
        <v>5</v>
      </c>
      <c r="J29" s="4">
        <v>43055</v>
      </c>
      <c r="K29" s="4" t="s">
        <v>66</v>
      </c>
      <c r="L29" s="17" t="s">
        <v>67</v>
      </c>
      <c r="M29" s="18" t="s">
        <v>96</v>
      </c>
      <c r="N29" s="4">
        <v>43139</v>
      </c>
      <c r="O29" s="2" t="s">
        <v>60</v>
      </c>
      <c r="P29" s="16">
        <f>SUMIF(Facilities!A:A,"MansfieldPS",Facilities!R:R)</f>
        <v>504</v>
      </c>
      <c r="Q29" s="19" t="s">
        <v>61</v>
      </c>
      <c r="R29" s="1" t="s">
        <v>82</v>
      </c>
      <c r="S29" s="17" t="s">
        <v>158</v>
      </c>
    </row>
    <row r="30" spans="1:28" s="189" customFormat="1">
      <c r="A30" s="132" t="s">
        <v>159</v>
      </c>
      <c r="B30" s="2" t="s">
        <v>160</v>
      </c>
      <c r="C30" s="4">
        <v>43236</v>
      </c>
      <c r="D30" s="15" t="s">
        <v>49</v>
      </c>
      <c r="E30" s="27" t="s">
        <v>161</v>
      </c>
      <c r="F30" s="16" t="s">
        <v>24</v>
      </c>
      <c r="G30" s="16" t="s">
        <v>24</v>
      </c>
      <c r="H30" s="16" t="s">
        <v>24</v>
      </c>
      <c r="I30" s="16">
        <v>3</v>
      </c>
      <c r="J30" s="4">
        <v>43241</v>
      </c>
      <c r="K30" s="4" t="s">
        <v>133</v>
      </c>
      <c r="L30" s="17" t="s">
        <v>103</v>
      </c>
      <c r="M30" s="18" t="s">
        <v>162</v>
      </c>
      <c r="N30" s="4"/>
      <c r="O30" s="2" t="s">
        <v>69</v>
      </c>
      <c r="P30" s="16"/>
      <c r="Q30" s="19" t="s">
        <v>54</v>
      </c>
      <c r="R30" s="1" t="s">
        <v>45</v>
      </c>
      <c r="S30" s="17"/>
      <c r="T30" s="2" t="s">
        <v>163</v>
      </c>
    </row>
    <row r="31" spans="1:28">
      <c r="A31" s="132" t="s">
        <v>164</v>
      </c>
      <c r="B31" s="2" t="s">
        <v>165</v>
      </c>
      <c r="C31" s="4">
        <v>43210</v>
      </c>
      <c r="D31" s="15" t="s">
        <v>49</v>
      </c>
      <c r="E31" s="16" t="s">
        <v>166</v>
      </c>
      <c r="F31" s="16" t="s">
        <v>25</v>
      </c>
      <c r="G31" s="16" t="s">
        <v>24</v>
      </c>
      <c r="H31" s="16" t="s">
        <v>24</v>
      </c>
      <c r="I31" s="16">
        <v>1</v>
      </c>
      <c r="J31" s="4">
        <v>43130</v>
      </c>
      <c r="K31" s="4" t="s">
        <v>66</v>
      </c>
      <c r="L31" s="17" t="s">
        <v>134</v>
      </c>
      <c r="M31" s="18" t="s">
        <v>59</v>
      </c>
      <c r="N31" s="4">
        <v>43161</v>
      </c>
      <c r="O31" s="2" t="s">
        <v>97</v>
      </c>
      <c r="P31" s="16">
        <f>SUMIF(Facilities!A:A,"NSWSD",Facilities!R:R)</f>
        <v>56</v>
      </c>
      <c r="Q31" s="19" t="s">
        <v>54</v>
      </c>
      <c r="R31" s="1" t="s">
        <v>37</v>
      </c>
      <c r="S31" s="17" t="s">
        <v>134</v>
      </c>
    </row>
    <row r="32" spans="1:28">
      <c r="A32" s="132" t="s">
        <v>167</v>
      </c>
      <c r="B32" s="2" t="s">
        <v>168</v>
      </c>
      <c r="C32" s="4">
        <v>43280</v>
      </c>
      <c r="D32" s="15" t="s">
        <v>49</v>
      </c>
      <c r="E32" s="16" t="s">
        <v>169</v>
      </c>
      <c r="F32" s="16" t="s">
        <v>24</v>
      </c>
      <c r="G32" s="16" t="s">
        <v>24</v>
      </c>
      <c r="H32" s="16" t="s">
        <v>24</v>
      </c>
      <c r="I32" s="16">
        <v>5</v>
      </c>
      <c r="J32" s="4">
        <v>43222</v>
      </c>
      <c r="K32" s="4" t="s">
        <v>66</v>
      </c>
      <c r="L32" s="17" t="s">
        <v>67</v>
      </c>
      <c r="M32" s="18" t="s">
        <v>96</v>
      </c>
      <c r="N32" s="4">
        <v>43250</v>
      </c>
      <c r="O32" s="2" t="s">
        <v>60</v>
      </c>
      <c r="P32" s="16">
        <f>SUMIF(Facilities!A:A,"North ReadingPS",Facilities!R:R)</f>
        <v>385</v>
      </c>
      <c r="Q32" s="19" t="s">
        <v>54</v>
      </c>
      <c r="R32" s="1" t="s">
        <v>29</v>
      </c>
    </row>
    <row r="33" spans="1:28">
      <c r="A33" s="141" t="s">
        <v>170</v>
      </c>
      <c r="B33" s="1" t="s">
        <v>171</v>
      </c>
      <c r="C33" s="30">
        <v>43255</v>
      </c>
      <c r="D33" s="15" t="s">
        <v>49</v>
      </c>
      <c r="E33" s="27" t="s">
        <v>172</v>
      </c>
      <c r="F33" s="16" t="s">
        <v>24</v>
      </c>
      <c r="G33" s="16" t="s">
        <v>24</v>
      </c>
      <c r="H33" s="16" t="s">
        <v>24</v>
      </c>
      <c r="I33" s="16">
        <v>1</v>
      </c>
      <c r="J33" s="4">
        <v>43143</v>
      </c>
      <c r="K33" s="4" t="s">
        <v>173</v>
      </c>
      <c r="L33" s="17" t="s">
        <v>86</v>
      </c>
      <c r="M33" s="18" t="s">
        <v>59</v>
      </c>
      <c r="N33" s="4">
        <v>43231</v>
      </c>
      <c r="O33" s="2" t="s">
        <v>60</v>
      </c>
      <c r="P33" s="16">
        <f>SUMIF(Facilities!A:A,"SouthShoreCPS",Facilities!R:R)</f>
        <v>26</v>
      </c>
      <c r="Q33" s="19" t="s">
        <v>54</v>
      </c>
      <c r="R33" s="1" t="s">
        <v>82</v>
      </c>
    </row>
    <row r="34" spans="1:28" s="212" customFormat="1">
      <c r="A34" s="233" t="s">
        <v>174</v>
      </c>
      <c r="B34" s="2" t="s">
        <v>175</v>
      </c>
      <c r="C34" s="4">
        <v>43280</v>
      </c>
      <c r="D34" s="15" t="s">
        <v>49</v>
      </c>
      <c r="E34" s="27" t="s">
        <v>176</v>
      </c>
      <c r="F34" s="16" t="s">
        <v>24</v>
      </c>
      <c r="G34" s="16" t="s">
        <v>24</v>
      </c>
      <c r="H34" s="16" t="s">
        <v>24</v>
      </c>
      <c r="I34" s="16">
        <v>12</v>
      </c>
      <c r="J34" s="4">
        <v>43223</v>
      </c>
      <c r="K34" s="4" t="s">
        <v>66</v>
      </c>
      <c r="L34" s="17" t="s">
        <v>134</v>
      </c>
      <c r="M34" s="18" t="s">
        <v>177</v>
      </c>
      <c r="N34" s="4">
        <v>43246</v>
      </c>
      <c r="O34" s="2" t="s">
        <v>135</v>
      </c>
      <c r="P34" s="16">
        <f>SUMIF(Facilities!A:A,"PittsfieldPS",Facilities!R:R)</f>
        <v>658</v>
      </c>
      <c r="Q34" s="19" t="s">
        <v>54</v>
      </c>
      <c r="R34" s="1" t="s">
        <v>37</v>
      </c>
      <c r="S34" s="17" t="s">
        <v>134</v>
      </c>
      <c r="T34" s="2"/>
      <c r="U34" s="16"/>
      <c r="V34" s="16"/>
      <c r="W34" s="16"/>
      <c r="X34" s="16"/>
      <c r="Y34" s="16"/>
      <c r="Z34" s="16"/>
      <c r="AA34" s="16"/>
      <c r="AB34" s="16"/>
    </row>
    <row r="35" spans="1:28">
      <c r="A35" s="132" t="s">
        <v>178</v>
      </c>
      <c r="B35" s="2" t="s">
        <v>179</v>
      </c>
      <c r="C35" s="4">
        <v>43313</v>
      </c>
      <c r="D35" s="15" t="s">
        <v>49</v>
      </c>
      <c r="E35" s="27" t="s">
        <v>180</v>
      </c>
      <c r="F35" s="16" t="s">
        <v>24</v>
      </c>
      <c r="G35" s="16" t="s">
        <v>24</v>
      </c>
      <c r="H35" s="16" t="s">
        <v>24</v>
      </c>
      <c r="I35" s="16">
        <v>2</v>
      </c>
      <c r="J35" s="4">
        <v>43223</v>
      </c>
      <c r="K35" s="4" t="s">
        <v>66</v>
      </c>
      <c r="L35" s="17" t="s">
        <v>134</v>
      </c>
      <c r="M35" s="18" t="s">
        <v>115</v>
      </c>
      <c r="N35" s="4">
        <v>43266</v>
      </c>
      <c r="O35" s="2" t="s">
        <v>135</v>
      </c>
      <c r="P35" s="16">
        <f>SUMIF(Facilities!A:A,"SBRSD",Facilities!R:R)</f>
        <v>168</v>
      </c>
      <c r="Q35" s="19" t="s">
        <v>54</v>
      </c>
      <c r="R35" s="1" t="s">
        <v>37</v>
      </c>
    </row>
    <row r="36" spans="1:28">
      <c r="A36" s="132" t="s">
        <v>181</v>
      </c>
      <c r="B36" s="2" t="s">
        <v>182</v>
      </c>
      <c r="C36" s="4">
        <v>43271</v>
      </c>
      <c r="D36" s="15" t="s">
        <v>49</v>
      </c>
      <c r="E36" s="128" t="s">
        <v>183</v>
      </c>
      <c r="F36" s="16" t="s">
        <v>25</v>
      </c>
      <c r="G36" s="16" t="s">
        <v>24</v>
      </c>
      <c r="H36" s="16" t="s">
        <v>24</v>
      </c>
      <c r="I36" s="16">
        <v>1</v>
      </c>
      <c r="J36" s="4">
        <v>43249</v>
      </c>
      <c r="K36" s="4" t="s">
        <v>122</v>
      </c>
      <c r="L36" s="17" t="s">
        <v>184</v>
      </c>
      <c r="M36" s="18" t="s">
        <v>59</v>
      </c>
      <c r="N36" s="4">
        <v>43271</v>
      </c>
      <c r="O36" s="2" t="s">
        <v>135</v>
      </c>
      <c r="P36" s="16">
        <f>SUMIF(Facilities!A:A,"Shutesbury ES",Facilities!R:R)</f>
        <v>40</v>
      </c>
      <c r="Q36" s="19" t="s">
        <v>54</v>
      </c>
      <c r="R36" s="1" t="s">
        <v>37</v>
      </c>
    </row>
    <row r="37" spans="1:28">
      <c r="A37" s="132" t="s">
        <v>185</v>
      </c>
      <c r="B37" s="2" t="s">
        <v>186</v>
      </c>
      <c r="C37" s="4">
        <v>43269</v>
      </c>
      <c r="D37" s="15" t="s">
        <v>49</v>
      </c>
      <c r="E37" s="27" t="s">
        <v>187</v>
      </c>
      <c r="F37" s="16" t="s">
        <v>25</v>
      </c>
      <c r="G37" s="16" t="s">
        <v>25</v>
      </c>
      <c r="H37" s="16" t="s">
        <v>24</v>
      </c>
      <c r="I37" s="16">
        <v>4</v>
      </c>
      <c r="J37" s="4">
        <v>43251</v>
      </c>
      <c r="K37" s="4" t="s">
        <v>133</v>
      </c>
      <c r="L37" s="17" t="s">
        <v>188</v>
      </c>
      <c r="M37" s="18" t="s">
        <v>151</v>
      </c>
      <c r="N37" s="4">
        <v>43267</v>
      </c>
      <c r="O37" s="2" t="s">
        <v>105</v>
      </c>
      <c r="P37" s="16">
        <f>SUMIF(Facilities!A:A,"South Hadley PS",Facilities!R:R)</f>
        <v>263</v>
      </c>
      <c r="Q37" s="19" t="s">
        <v>54</v>
      </c>
      <c r="R37" s="1" t="s">
        <v>37</v>
      </c>
      <c r="S37" s="17" t="s">
        <v>188</v>
      </c>
    </row>
    <row r="38" spans="1:28">
      <c r="A38" s="132" t="s">
        <v>189</v>
      </c>
      <c r="B38" s="29" t="s">
        <v>190</v>
      </c>
      <c r="C38" s="4">
        <v>43273</v>
      </c>
      <c r="D38" s="15" t="s">
        <v>49</v>
      </c>
      <c r="E38" s="27" t="s">
        <v>191</v>
      </c>
      <c r="F38" s="16" t="s">
        <v>24</v>
      </c>
      <c r="G38" s="16" t="s">
        <v>24</v>
      </c>
      <c r="H38" s="16" t="s">
        <v>24</v>
      </c>
      <c r="I38" s="16">
        <v>4</v>
      </c>
      <c r="J38" s="4">
        <v>43213</v>
      </c>
      <c r="K38" s="4" t="s">
        <v>122</v>
      </c>
      <c r="L38" s="17" t="s">
        <v>103</v>
      </c>
      <c r="M38" s="18" t="s">
        <v>151</v>
      </c>
      <c r="N38" s="4">
        <v>43235</v>
      </c>
      <c r="O38" s="2" t="s">
        <v>60</v>
      </c>
      <c r="P38" s="16">
        <f>SUMIF(Facilities!A:A,"SEBRSD",Facilities!R:R)</f>
        <v>257</v>
      </c>
      <c r="Q38" s="19" t="s">
        <v>54</v>
      </c>
      <c r="R38" s="1" t="s">
        <v>45</v>
      </c>
      <c r="S38" s="17" t="s">
        <v>103</v>
      </c>
    </row>
    <row r="39" spans="1:28">
      <c r="A39" s="132" t="s">
        <v>192</v>
      </c>
      <c r="B39" s="2" t="s">
        <v>35</v>
      </c>
      <c r="C39" s="4">
        <v>43237</v>
      </c>
      <c r="D39" s="15" t="s">
        <v>49</v>
      </c>
      <c r="E39" s="16" t="s">
        <v>193</v>
      </c>
      <c r="F39" s="16" t="s">
        <v>24</v>
      </c>
      <c r="G39" s="16" t="s">
        <v>24</v>
      </c>
      <c r="H39" s="16" t="s">
        <v>24</v>
      </c>
      <c r="I39" s="16">
        <v>1</v>
      </c>
      <c r="J39" s="4">
        <v>43026</v>
      </c>
      <c r="K39" s="4" t="s">
        <v>122</v>
      </c>
      <c r="L39" s="22" t="s">
        <v>67</v>
      </c>
      <c r="M39" s="18" t="s">
        <v>59</v>
      </c>
      <c r="N39" s="4">
        <v>43190</v>
      </c>
      <c r="O39" s="2" t="s">
        <v>135</v>
      </c>
      <c r="P39" s="16">
        <f>SUMIF(Facilities!A:A,"BaystateACPS",Facilities!R:R)</f>
        <v>26</v>
      </c>
      <c r="Q39" s="19" t="s">
        <v>54</v>
      </c>
      <c r="R39" s="1" t="s">
        <v>37</v>
      </c>
      <c r="S39" s="22" t="s">
        <v>194</v>
      </c>
    </row>
    <row r="40" spans="1:28">
      <c r="A40" s="132" t="s">
        <v>195</v>
      </c>
      <c r="B40" s="2" t="s">
        <v>196</v>
      </c>
      <c r="C40" s="4">
        <v>43180</v>
      </c>
      <c r="D40" s="15" t="s">
        <v>49</v>
      </c>
      <c r="E40" s="27" t="s">
        <v>197</v>
      </c>
      <c r="F40" s="16" t="s">
        <v>24</v>
      </c>
      <c r="G40" s="16" t="s">
        <v>24</v>
      </c>
      <c r="H40" s="16" t="s">
        <v>24</v>
      </c>
      <c r="I40" s="16">
        <v>8</v>
      </c>
      <c r="J40" s="4">
        <v>43151</v>
      </c>
      <c r="K40" s="4" t="s">
        <v>66</v>
      </c>
      <c r="L40" s="17" t="s">
        <v>67</v>
      </c>
      <c r="M40" s="18" t="s">
        <v>53</v>
      </c>
      <c r="N40" s="4">
        <v>43159</v>
      </c>
      <c r="O40" s="2" t="s">
        <v>60</v>
      </c>
      <c r="P40" s="16">
        <f>SUMIF(Facilities!A:A,"StoughtonPS",Facilities!R:R)</f>
        <v>162</v>
      </c>
      <c r="Q40" s="19" t="s">
        <v>61</v>
      </c>
      <c r="R40" s="1" t="s">
        <v>82</v>
      </c>
      <c r="S40" s="17" t="s">
        <v>67</v>
      </c>
    </row>
    <row r="41" spans="1:28">
      <c r="A41" s="133" t="s">
        <v>198</v>
      </c>
      <c r="B41" s="2" t="s">
        <v>199</v>
      </c>
      <c r="C41" s="4">
        <v>43320</v>
      </c>
      <c r="D41" s="15" t="s">
        <v>49</v>
      </c>
      <c r="E41" s="407" t="s">
        <v>200</v>
      </c>
      <c r="F41" s="21" t="s">
        <v>24</v>
      </c>
      <c r="G41" s="16" t="s">
        <v>24</v>
      </c>
      <c r="H41" s="16" t="s">
        <v>24</v>
      </c>
      <c r="I41" s="16">
        <v>5</v>
      </c>
      <c r="J41" s="4">
        <v>43241</v>
      </c>
      <c r="K41" s="408">
        <v>0.39583333333333331</v>
      </c>
      <c r="L41" s="16" t="s">
        <v>103</v>
      </c>
      <c r="M41" s="18" t="s">
        <v>96</v>
      </c>
      <c r="N41" s="4">
        <v>43251</v>
      </c>
      <c r="O41" s="2" t="s">
        <v>69</v>
      </c>
      <c r="P41" s="16">
        <f>SUMIF(Facilities!A:A,"SudburyPS",Facilities!R:R)</f>
        <v>513</v>
      </c>
      <c r="Q41" s="19" t="s">
        <v>54</v>
      </c>
      <c r="R41" s="1" t="s">
        <v>29</v>
      </c>
      <c r="S41" s="17" t="s">
        <v>103</v>
      </c>
    </row>
    <row r="42" spans="1:28">
      <c r="A42" s="134" t="s">
        <v>201</v>
      </c>
      <c r="B42" s="3" t="s">
        <v>202</v>
      </c>
      <c r="C42" s="31">
        <v>43187</v>
      </c>
      <c r="D42" s="15" t="s">
        <v>49</v>
      </c>
      <c r="E42" s="16" t="s">
        <v>203</v>
      </c>
      <c r="F42" s="16" t="s">
        <v>24</v>
      </c>
      <c r="G42" s="16" t="s">
        <v>24</v>
      </c>
      <c r="H42" s="16" t="s">
        <v>25</v>
      </c>
      <c r="I42" s="16">
        <v>1</v>
      </c>
      <c r="J42" s="4" t="s">
        <v>26</v>
      </c>
      <c r="L42" s="17" t="s">
        <v>204</v>
      </c>
      <c r="M42" s="18" t="s">
        <v>59</v>
      </c>
      <c r="N42" s="4">
        <v>43132</v>
      </c>
      <c r="O42" s="2" t="s">
        <v>60</v>
      </c>
      <c r="P42" s="16">
        <f>SUMIF(Facilities!A:A,"WestboroughPS",Facilities!R:R)</f>
        <v>52</v>
      </c>
      <c r="Q42" s="19" t="s">
        <v>61</v>
      </c>
      <c r="R42" s="1" t="s">
        <v>45</v>
      </c>
      <c r="T42" s="2" t="s">
        <v>205</v>
      </c>
    </row>
    <row r="43" spans="1:28">
      <c r="A43" s="133" t="s">
        <v>206</v>
      </c>
      <c r="B43" s="2" t="s">
        <v>207</v>
      </c>
      <c r="C43" s="4">
        <v>43059</v>
      </c>
      <c r="D43" s="15" t="s">
        <v>49</v>
      </c>
      <c r="E43" s="16" t="s">
        <v>208</v>
      </c>
      <c r="F43" s="21" t="s">
        <v>24</v>
      </c>
      <c r="G43" s="16" t="s">
        <v>24</v>
      </c>
      <c r="H43" s="16" t="s">
        <v>24</v>
      </c>
      <c r="I43" s="16">
        <v>1</v>
      </c>
      <c r="J43" s="4">
        <v>43010</v>
      </c>
      <c r="K43" s="4" t="s">
        <v>122</v>
      </c>
      <c r="L43" s="22" t="s">
        <v>67</v>
      </c>
      <c r="M43" s="23" t="s">
        <v>59</v>
      </c>
      <c r="N43" s="25">
        <v>43041</v>
      </c>
      <c r="O43" s="24" t="s">
        <v>69</v>
      </c>
      <c r="P43" s="16">
        <f>SUMIF(Facilities!A:A,"NashValTSD",Facilities!R:R)</f>
        <v>81</v>
      </c>
      <c r="Q43" s="19" t="s">
        <v>61</v>
      </c>
      <c r="R43" s="1" t="s">
        <v>29</v>
      </c>
      <c r="S43" s="22" t="s">
        <v>67</v>
      </c>
    </row>
    <row r="44" spans="1:28" s="189" customFormat="1">
      <c r="A44" s="133" t="s">
        <v>209</v>
      </c>
      <c r="B44" s="2" t="s">
        <v>207</v>
      </c>
      <c r="C44" s="4">
        <v>43124</v>
      </c>
      <c r="D44" s="15" t="s">
        <v>49</v>
      </c>
      <c r="E44" s="16" t="s">
        <v>210</v>
      </c>
      <c r="F44" s="21" t="s">
        <v>24</v>
      </c>
      <c r="G44" s="16" t="s">
        <v>24</v>
      </c>
      <c r="H44" s="16" t="s">
        <v>24</v>
      </c>
      <c r="I44" s="16">
        <v>10</v>
      </c>
      <c r="J44" s="4">
        <v>43041</v>
      </c>
      <c r="K44" s="4" t="s">
        <v>66</v>
      </c>
      <c r="L44" s="22" t="s">
        <v>67</v>
      </c>
      <c r="M44" s="18" t="s">
        <v>81</v>
      </c>
      <c r="N44" s="25">
        <v>43113</v>
      </c>
      <c r="O44" s="24" t="s">
        <v>69</v>
      </c>
      <c r="P44" s="16">
        <f>SUMIF(Facilities!A:A,"WestfordPS",Facilities!R:R)</f>
        <v>732</v>
      </c>
      <c r="Q44" s="19" t="s">
        <v>61</v>
      </c>
      <c r="R44" s="1" t="s">
        <v>29</v>
      </c>
      <c r="S44" s="17" t="s">
        <v>67</v>
      </c>
      <c r="T44" s="2"/>
    </row>
    <row r="45" spans="1:28" ht="14.25" customHeight="1">
      <c r="A45" s="141" t="s">
        <v>211</v>
      </c>
      <c r="B45" s="142" t="s">
        <v>212</v>
      </c>
      <c r="C45" s="30">
        <v>43089</v>
      </c>
      <c r="D45" s="49" t="s">
        <v>49</v>
      </c>
      <c r="E45" s="47" t="s">
        <v>213</v>
      </c>
      <c r="F45" s="47" t="s">
        <v>24</v>
      </c>
      <c r="G45" s="47" t="s">
        <v>24</v>
      </c>
      <c r="H45" s="47" t="s">
        <v>24</v>
      </c>
      <c r="I45" s="47">
        <v>2</v>
      </c>
      <c r="J45" s="30">
        <v>43066</v>
      </c>
      <c r="K45" s="30" t="s">
        <v>66</v>
      </c>
      <c r="L45" s="144" t="s">
        <v>134</v>
      </c>
      <c r="M45" s="145" t="s">
        <v>115</v>
      </c>
      <c r="N45" s="30">
        <v>42762</v>
      </c>
      <c r="O45" s="1" t="s">
        <v>60</v>
      </c>
      <c r="P45" s="47">
        <f>SUMIF(Facilities!A:A,"WLPS",Facilities!R:R)</f>
        <v>223</v>
      </c>
      <c r="Q45" s="48" t="s">
        <v>61</v>
      </c>
      <c r="R45" s="1" t="s">
        <v>37</v>
      </c>
      <c r="S45" s="144" t="s">
        <v>134</v>
      </c>
      <c r="T45" s="1"/>
      <c r="U45" s="47"/>
      <c r="V45" s="47"/>
      <c r="W45" s="47"/>
      <c r="X45" s="47"/>
      <c r="Y45" s="47"/>
      <c r="Z45" s="47"/>
    </row>
    <row r="46" spans="1:28" s="135" customFormat="1">
      <c r="A46" s="409" t="s">
        <v>214</v>
      </c>
      <c r="B46" s="410" t="s">
        <v>215</v>
      </c>
      <c r="C46" s="411">
        <v>43230</v>
      </c>
      <c r="D46" s="412" t="s">
        <v>216</v>
      </c>
      <c r="E46" s="195" t="s">
        <v>217</v>
      </c>
      <c r="F46" s="413" t="s">
        <v>24</v>
      </c>
      <c r="G46" s="413" t="s">
        <v>24</v>
      </c>
      <c r="H46" s="413" t="s">
        <v>24</v>
      </c>
      <c r="I46" s="413">
        <v>11</v>
      </c>
      <c r="J46" s="411">
        <v>43228</v>
      </c>
      <c r="K46" s="411" t="s">
        <v>58</v>
      </c>
      <c r="L46" s="414" t="s">
        <v>86</v>
      </c>
      <c r="M46" s="415" t="s">
        <v>218</v>
      </c>
      <c r="N46" s="411" t="s">
        <v>216</v>
      </c>
      <c r="O46" s="410"/>
      <c r="P46" s="413"/>
      <c r="Q46" s="416" t="s">
        <v>219</v>
      </c>
      <c r="R46" s="417" t="s">
        <v>82</v>
      </c>
      <c r="S46" s="414"/>
      <c r="T46" s="410" t="s">
        <v>220</v>
      </c>
    </row>
    <row r="47" spans="1:28">
      <c r="A47" s="13" t="s">
        <v>221</v>
      </c>
      <c r="B47" s="2" t="s">
        <v>222</v>
      </c>
      <c r="C47" s="4">
        <v>43220</v>
      </c>
      <c r="D47" s="15" t="s">
        <v>223</v>
      </c>
      <c r="E47" s="102" t="s">
        <v>224</v>
      </c>
      <c r="F47" s="16" t="s">
        <v>24</v>
      </c>
      <c r="G47" s="16" t="s">
        <v>24</v>
      </c>
      <c r="H47" s="16" t="s">
        <v>25</v>
      </c>
      <c r="I47" s="16">
        <v>6</v>
      </c>
      <c r="P47" s="135"/>
      <c r="Q47" s="146" t="s">
        <v>225</v>
      </c>
      <c r="R47" s="1" t="s">
        <v>37</v>
      </c>
      <c r="T47" s="2" t="s">
        <v>226</v>
      </c>
    </row>
    <row r="48" spans="1:28">
      <c r="A48" s="158" t="s">
        <v>227</v>
      </c>
      <c r="B48" s="185" t="s">
        <v>228</v>
      </c>
      <c r="C48" s="186">
        <v>43230</v>
      </c>
      <c r="D48" s="187" t="s">
        <v>216</v>
      </c>
      <c r="E48" s="344" t="s">
        <v>229</v>
      </c>
      <c r="F48" s="189" t="s">
        <v>24</v>
      </c>
      <c r="G48" s="189" t="s">
        <v>24</v>
      </c>
      <c r="H48" s="189" t="s">
        <v>24</v>
      </c>
      <c r="I48" s="189">
        <v>6</v>
      </c>
      <c r="J48" s="186" t="s">
        <v>216</v>
      </c>
      <c r="K48" s="186"/>
      <c r="L48" s="190"/>
      <c r="M48" s="191"/>
      <c r="N48" s="186" t="s">
        <v>216</v>
      </c>
      <c r="O48" s="185"/>
      <c r="P48" s="189"/>
      <c r="Q48" s="192" t="s">
        <v>225</v>
      </c>
      <c r="R48" s="193" t="s">
        <v>82</v>
      </c>
      <c r="S48" s="190"/>
      <c r="T48" s="185" t="s">
        <v>225</v>
      </c>
    </row>
    <row r="49" spans="1:27">
      <c r="A49" s="158" t="s">
        <v>230</v>
      </c>
      <c r="B49" s="185" t="s">
        <v>231</v>
      </c>
      <c r="C49" s="186">
        <v>43217</v>
      </c>
      <c r="D49" s="187" t="s">
        <v>216</v>
      </c>
      <c r="E49" s="188" t="s">
        <v>232</v>
      </c>
      <c r="F49" s="189" t="s">
        <v>24</v>
      </c>
      <c r="G49" s="189" t="s">
        <v>24</v>
      </c>
      <c r="H49" s="189" t="s">
        <v>24</v>
      </c>
      <c r="I49" s="189">
        <v>1</v>
      </c>
      <c r="J49" s="186" t="s">
        <v>216</v>
      </c>
      <c r="K49" s="186"/>
      <c r="L49" s="190"/>
      <c r="M49" s="191"/>
      <c r="N49" s="186" t="s">
        <v>216</v>
      </c>
      <c r="O49" s="185"/>
      <c r="P49" s="189"/>
      <c r="Q49" s="192" t="s">
        <v>216</v>
      </c>
      <c r="R49" s="193" t="s">
        <v>82</v>
      </c>
      <c r="S49" s="190"/>
      <c r="T49" s="185" t="s">
        <v>233</v>
      </c>
    </row>
    <row r="50" spans="1:27">
      <c r="A50" s="152" t="s">
        <v>234</v>
      </c>
      <c r="B50" s="193" t="s">
        <v>235</v>
      </c>
      <c r="C50" s="186">
        <v>43217</v>
      </c>
      <c r="D50" s="187" t="s">
        <v>216</v>
      </c>
      <c r="E50" s="195" t="s">
        <v>236</v>
      </c>
      <c r="F50" s="189" t="s">
        <v>24</v>
      </c>
      <c r="G50" s="189" t="s">
        <v>24</v>
      </c>
      <c r="H50" s="189" t="s">
        <v>24</v>
      </c>
      <c r="I50" s="189">
        <v>1</v>
      </c>
      <c r="J50" s="186" t="s">
        <v>216</v>
      </c>
      <c r="K50" s="186"/>
      <c r="L50" s="190" t="s">
        <v>27</v>
      </c>
      <c r="M50" s="191"/>
      <c r="N50" s="186" t="s">
        <v>216</v>
      </c>
      <c r="O50" s="185"/>
      <c r="P50" s="189"/>
      <c r="Q50" s="192" t="s">
        <v>216</v>
      </c>
      <c r="R50" s="193" t="s">
        <v>45</v>
      </c>
      <c r="S50" s="190"/>
      <c r="T50" s="185" t="s">
        <v>237</v>
      </c>
    </row>
    <row r="51" spans="1:27">
      <c r="A51" s="152" t="s">
        <v>238</v>
      </c>
      <c r="B51" s="193" t="s">
        <v>239</v>
      </c>
      <c r="C51" s="194">
        <v>43217</v>
      </c>
      <c r="D51" s="187" t="s">
        <v>216</v>
      </c>
      <c r="E51" s="195" t="s">
        <v>240</v>
      </c>
      <c r="F51" s="189" t="s">
        <v>24</v>
      </c>
      <c r="G51" s="189" t="s">
        <v>25</v>
      </c>
      <c r="H51" s="189" t="s">
        <v>24</v>
      </c>
      <c r="I51" s="189">
        <v>1</v>
      </c>
      <c r="J51" s="186" t="s">
        <v>216</v>
      </c>
      <c r="K51" s="186"/>
      <c r="L51" s="190"/>
      <c r="M51" s="191"/>
      <c r="N51" s="186" t="s">
        <v>216</v>
      </c>
      <c r="O51" s="185"/>
      <c r="P51" s="189"/>
      <c r="Q51" s="192" t="s">
        <v>216</v>
      </c>
      <c r="R51" s="193" t="s">
        <v>29</v>
      </c>
      <c r="S51" s="190"/>
      <c r="T51" s="185" t="s">
        <v>241</v>
      </c>
    </row>
    <row r="52" spans="1:27">
      <c r="A52" s="147" t="s">
        <v>242</v>
      </c>
      <c r="B52" s="196" t="s">
        <v>243</v>
      </c>
      <c r="C52" s="186">
        <v>43201</v>
      </c>
      <c r="D52" s="187" t="s">
        <v>216</v>
      </c>
      <c r="E52" s="234" t="s">
        <v>244</v>
      </c>
      <c r="F52" s="189" t="s">
        <v>24</v>
      </c>
      <c r="G52" s="189" t="s">
        <v>24</v>
      </c>
      <c r="H52" s="189" t="s">
        <v>24</v>
      </c>
      <c r="I52" s="189">
        <v>13</v>
      </c>
      <c r="J52" s="186" t="s">
        <v>216</v>
      </c>
      <c r="K52" s="186"/>
      <c r="L52" s="190" t="s">
        <v>67</v>
      </c>
      <c r="M52" s="191"/>
      <c r="N52" s="187" t="s">
        <v>216</v>
      </c>
      <c r="O52" s="185"/>
      <c r="P52" s="189"/>
      <c r="Q52" s="187" t="s">
        <v>216</v>
      </c>
      <c r="R52" s="193" t="s">
        <v>82</v>
      </c>
      <c r="S52" s="190"/>
      <c r="T52" s="192" t="s">
        <v>245</v>
      </c>
      <c r="AA52" s="47"/>
    </row>
    <row r="53" spans="1:27">
      <c r="A53" s="152" t="s">
        <v>246</v>
      </c>
      <c r="B53" s="193" t="s">
        <v>247</v>
      </c>
      <c r="C53" s="186">
        <v>43368</v>
      </c>
      <c r="D53" s="187" t="s">
        <v>49</v>
      </c>
      <c r="E53" s="195" t="s">
        <v>248</v>
      </c>
      <c r="F53" s="189" t="s">
        <v>24</v>
      </c>
      <c r="G53" s="189" t="s">
        <v>24</v>
      </c>
      <c r="H53" s="189" t="s">
        <v>24</v>
      </c>
      <c r="I53" s="189">
        <v>3</v>
      </c>
      <c r="J53" s="186"/>
      <c r="K53" s="186"/>
      <c r="L53" s="190"/>
      <c r="M53" s="191"/>
      <c r="N53" s="186"/>
      <c r="O53" s="185"/>
      <c r="P53" s="189">
        <f>SUMIF(Facilities!A:A,"NarragansettRSD",Facilities!R:R)</f>
        <v>0</v>
      </c>
      <c r="Q53" s="192" t="s">
        <v>249</v>
      </c>
      <c r="R53" s="193" t="s">
        <v>45</v>
      </c>
      <c r="S53" s="190"/>
      <c r="T53" s="185"/>
    </row>
    <row r="54" spans="1:27">
      <c r="A54" s="7" t="s">
        <v>250</v>
      </c>
      <c r="B54" s="2" t="s">
        <v>251</v>
      </c>
      <c r="C54" s="4">
        <v>43073</v>
      </c>
      <c r="D54" s="15" t="s">
        <v>223</v>
      </c>
      <c r="E54" s="102" t="s">
        <v>252</v>
      </c>
      <c r="F54" s="21" t="s">
        <v>24</v>
      </c>
      <c r="G54" s="16" t="s">
        <v>25</v>
      </c>
      <c r="H54" s="16" t="s">
        <v>24</v>
      </c>
      <c r="I54" s="16">
        <v>4</v>
      </c>
      <c r="J54" s="4" t="s">
        <v>26</v>
      </c>
      <c r="L54" s="22"/>
      <c r="M54" s="23"/>
      <c r="N54" s="25"/>
      <c r="O54" s="24" t="s">
        <v>105</v>
      </c>
      <c r="P54" s="16">
        <f>SUMIF(Facilities!A:A,"ReverePS",Facilities!R:R)</f>
        <v>0</v>
      </c>
      <c r="Q54" s="19" t="s">
        <v>253</v>
      </c>
      <c r="R54" s="1" t="s">
        <v>29</v>
      </c>
      <c r="S54" s="22"/>
    </row>
    <row r="55" spans="1:27">
      <c r="A55" s="305" t="s">
        <v>254</v>
      </c>
      <c r="B55" s="185" t="s">
        <v>255</v>
      </c>
      <c r="C55" s="302">
        <v>43382</v>
      </c>
      <c r="D55" s="187" t="s">
        <v>216</v>
      </c>
      <c r="E55" s="234" t="s">
        <v>256</v>
      </c>
      <c r="F55" s="189" t="s">
        <v>24</v>
      </c>
      <c r="G55" s="189" t="s">
        <v>24</v>
      </c>
      <c r="H55" s="189" t="s">
        <v>24</v>
      </c>
      <c r="I55" s="189">
        <v>5</v>
      </c>
      <c r="J55" s="186"/>
      <c r="K55" s="186"/>
      <c r="L55" s="190"/>
      <c r="M55" s="191"/>
      <c r="N55" s="186"/>
      <c r="O55" s="185"/>
      <c r="P55" s="189"/>
      <c r="Q55" s="192" t="s">
        <v>257</v>
      </c>
      <c r="R55" s="193" t="s">
        <v>37</v>
      </c>
      <c r="S55" s="190"/>
      <c r="T55" s="185"/>
    </row>
    <row r="56" spans="1:27">
      <c r="A56" s="158" t="s">
        <v>258</v>
      </c>
      <c r="B56" s="185" t="s">
        <v>259</v>
      </c>
      <c r="C56" s="418">
        <v>43368</v>
      </c>
      <c r="D56" s="187" t="s">
        <v>216</v>
      </c>
      <c r="E56" s="234" t="s">
        <v>260</v>
      </c>
      <c r="F56" s="189" t="s">
        <v>24</v>
      </c>
      <c r="G56" s="189" t="s">
        <v>24</v>
      </c>
      <c r="H56" s="189" t="s">
        <v>24</v>
      </c>
      <c r="I56" s="189">
        <v>1</v>
      </c>
      <c r="J56" s="186"/>
      <c r="K56" s="186"/>
      <c r="L56" s="190"/>
      <c r="M56" s="191"/>
      <c r="N56" s="186"/>
      <c r="O56" s="185"/>
      <c r="P56" s="189"/>
      <c r="Q56" s="192" t="s">
        <v>257</v>
      </c>
      <c r="R56" s="193" t="s">
        <v>29</v>
      </c>
      <c r="S56" s="190"/>
      <c r="T56" s="185"/>
    </row>
    <row r="57" spans="1:27">
      <c r="A57" s="13" t="s">
        <v>261</v>
      </c>
      <c r="B57" s="2" t="s">
        <v>262</v>
      </c>
      <c r="C57" s="4">
        <v>43382</v>
      </c>
      <c r="D57" s="15" t="s">
        <v>49</v>
      </c>
      <c r="E57" s="102" t="s">
        <v>263</v>
      </c>
      <c r="F57" s="16" t="s">
        <v>24</v>
      </c>
      <c r="G57" s="16" t="s">
        <v>24</v>
      </c>
      <c r="H57" s="16" t="s">
        <v>25</v>
      </c>
      <c r="I57" s="16">
        <v>1</v>
      </c>
      <c r="L57" s="17" t="s">
        <v>103</v>
      </c>
      <c r="Q57" s="19" t="s">
        <v>257</v>
      </c>
      <c r="R57" s="1" t="s">
        <v>45</v>
      </c>
      <c r="T57" s="2" t="s">
        <v>264</v>
      </c>
    </row>
    <row r="58" spans="1:27">
      <c r="A58" s="13" t="s">
        <v>265</v>
      </c>
      <c r="B58" s="2" t="s">
        <v>266</v>
      </c>
      <c r="C58" s="4">
        <v>43336</v>
      </c>
      <c r="D58" s="15" t="s">
        <v>49</v>
      </c>
      <c r="E58" s="128" t="s">
        <v>267</v>
      </c>
      <c r="F58" s="16" t="s">
        <v>24</v>
      </c>
      <c r="G58" s="16" t="s">
        <v>25</v>
      </c>
      <c r="H58" s="16" t="s">
        <v>24</v>
      </c>
      <c r="I58" s="16">
        <v>5</v>
      </c>
      <c r="Q58" s="19" t="s">
        <v>257</v>
      </c>
      <c r="R58" s="1" t="s">
        <v>29</v>
      </c>
    </row>
    <row r="59" spans="1:27">
      <c r="A59" s="13" t="s">
        <v>268</v>
      </c>
      <c r="B59" s="2" t="s">
        <v>269</v>
      </c>
      <c r="C59" s="4">
        <v>43088</v>
      </c>
      <c r="D59" s="15" t="s">
        <v>223</v>
      </c>
      <c r="E59" s="16" t="s">
        <v>270</v>
      </c>
      <c r="F59" s="16" t="s">
        <v>24</v>
      </c>
      <c r="G59" s="16" t="s">
        <v>24</v>
      </c>
      <c r="H59" s="16" t="s">
        <v>25</v>
      </c>
      <c r="I59" s="16">
        <v>1</v>
      </c>
      <c r="J59" s="4" t="s">
        <v>26</v>
      </c>
      <c r="M59" s="18" t="s">
        <v>271</v>
      </c>
      <c r="O59" s="2" t="s">
        <v>69</v>
      </c>
      <c r="Q59" s="19" t="s">
        <v>272</v>
      </c>
      <c r="R59" s="1" t="s">
        <v>82</v>
      </c>
    </row>
    <row r="60" spans="1:27">
      <c r="A60" s="251" t="s">
        <v>273</v>
      </c>
      <c r="B60" s="2" t="s">
        <v>274</v>
      </c>
      <c r="C60" s="4">
        <v>43403</v>
      </c>
      <c r="D60" s="15" t="s">
        <v>223</v>
      </c>
      <c r="E60" s="54" t="s">
        <v>275</v>
      </c>
      <c r="F60" s="21" t="s">
        <v>24</v>
      </c>
      <c r="G60" s="16" t="s">
        <v>24</v>
      </c>
      <c r="H60" s="16" t="s">
        <v>25</v>
      </c>
      <c r="I60" s="16">
        <v>1</v>
      </c>
      <c r="J60" s="4" t="s">
        <v>26</v>
      </c>
      <c r="L60" s="22"/>
      <c r="M60" s="23"/>
      <c r="O60" s="24"/>
      <c r="R60" s="1" t="s">
        <v>45</v>
      </c>
      <c r="S60" s="22"/>
      <c r="T60" s="24" t="s">
        <v>276</v>
      </c>
    </row>
  </sheetData>
  <autoFilter ref="Q1:Q61" xr:uid="{00000000-0009-0000-0000-000000000000}"/>
  <sortState xmlns:xlrd2="http://schemas.microsoft.com/office/spreadsheetml/2017/richdata2" ref="A2:T60">
    <sortCondition ref="Q2:Q60"/>
    <sortCondition ref="B2:B6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258"/>
  <sheetViews>
    <sheetView zoomScaleNormal="100" zoomScalePageLayoutView="90" workbookViewId="0">
      <pane xSplit="9" ySplit="1" topLeftCell="L77" activePane="bottomRight" state="frozen"/>
      <selection pane="bottomRight" activeCell="H92" sqref="H92"/>
      <selection pane="bottomLeft" activeCell="A2" sqref="A2"/>
      <selection pane="topRight" activeCell="J1" sqref="J1"/>
    </sheetView>
  </sheetViews>
  <sheetFormatPr defaultColWidth="8.85546875" defaultRowHeight="15"/>
  <cols>
    <col min="1" max="1" width="21.42578125" style="5" customWidth="1"/>
    <col min="2" max="2" width="18.42578125" style="62" customWidth="1"/>
    <col min="3" max="3" width="11.85546875" style="63" customWidth="1"/>
    <col min="4" max="4" width="8.42578125" style="64" customWidth="1"/>
    <col min="5" max="5" width="6.85546875" style="64" customWidth="1"/>
    <col min="6" max="6" width="7.42578125" style="64" customWidth="1"/>
    <col min="7" max="7" width="14.85546875" style="282" customWidth="1"/>
    <col min="8" max="8" width="36.28515625" style="65" customWidth="1"/>
    <col min="9" max="9" width="8.5703125" style="65" customWidth="1"/>
    <col min="10" max="10" width="21.7109375" style="65" customWidth="1"/>
    <col min="11" max="11" width="12.5703125" style="67" customWidth="1"/>
    <col min="12" max="12" width="12.42578125" style="66" customWidth="1"/>
    <col min="13" max="13" width="10.42578125" style="64" customWidth="1"/>
    <col min="14" max="14" width="10.140625" style="64" customWidth="1"/>
    <col min="15" max="15" width="10.5703125" style="67" customWidth="1"/>
    <col min="16" max="16" width="10.5703125" style="64" customWidth="1"/>
    <col min="17" max="17" width="12.85546875" style="64" customWidth="1"/>
    <col min="18" max="18" width="15.42578125" style="64" customWidth="1"/>
    <col min="19" max="19" width="16.85546875" style="64" customWidth="1"/>
    <col min="20" max="20" width="17.140625" style="64" customWidth="1"/>
    <col min="21" max="26" width="8.85546875" style="64" customWidth="1"/>
    <col min="27" max="27" width="11.140625" style="62" customWidth="1"/>
    <col min="28" max="28" width="23" style="62" customWidth="1"/>
    <col min="29" max="29" width="13.7109375" style="62" customWidth="1"/>
    <col min="30" max="30" width="11.5703125" style="65" customWidth="1"/>
    <col min="31" max="16384" width="8.85546875" style="65"/>
  </cols>
  <sheetData>
    <row r="1" spans="1:46" s="20" customFormat="1" ht="60">
      <c r="A1" s="56" t="s">
        <v>277</v>
      </c>
      <c r="B1" s="57" t="s">
        <v>1</v>
      </c>
      <c r="C1" s="58" t="s">
        <v>2</v>
      </c>
      <c r="D1" s="9" t="s">
        <v>278</v>
      </c>
      <c r="E1" s="9" t="s">
        <v>279</v>
      </c>
      <c r="F1" s="60" t="s">
        <v>280</v>
      </c>
      <c r="G1" s="278" t="s">
        <v>281</v>
      </c>
      <c r="H1" s="7" t="s">
        <v>282</v>
      </c>
      <c r="I1" s="183" t="s">
        <v>283</v>
      </c>
      <c r="J1" s="7" t="s">
        <v>284</v>
      </c>
      <c r="K1" s="60" t="s">
        <v>12</v>
      </c>
      <c r="L1" s="59" t="s">
        <v>285</v>
      </c>
      <c r="M1" s="60" t="s">
        <v>286</v>
      </c>
      <c r="N1" s="60" t="s">
        <v>287</v>
      </c>
      <c r="O1" s="60" t="s">
        <v>288</v>
      </c>
      <c r="P1" s="60" t="s">
        <v>289</v>
      </c>
      <c r="Q1" s="60" t="s">
        <v>290</v>
      </c>
      <c r="R1" s="60" t="s">
        <v>291</v>
      </c>
      <c r="S1" s="60" t="s">
        <v>292</v>
      </c>
      <c r="T1" s="60" t="s">
        <v>293</v>
      </c>
      <c r="U1" s="60" t="s">
        <v>294</v>
      </c>
      <c r="V1" s="60" t="s">
        <v>295</v>
      </c>
      <c r="W1" s="60" t="s">
        <v>296</v>
      </c>
      <c r="X1" s="60" t="s">
        <v>297</v>
      </c>
      <c r="Y1" s="60" t="s">
        <v>298</v>
      </c>
      <c r="Z1" s="60" t="s">
        <v>299</v>
      </c>
      <c r="AA1" s="6" t="s">
        <v>300</v>
      </c>
      <c r="AB1" s="13" t="s">
        <v>301</v>
      </c>
      <c r="AC1" s="6" t="s">
        <v>302</v>
      </c>
      <c r="AD1" s="7" t="s">
        <v>17</v>
      </c>
      <c r="AE1" s="61"/>
      <c r="AF1" s="61"/>
    </row>
    <row r="2" spans="1:46" s="348" customFormat="1" ht="14.25" customHeight="1">
      <c r="A2" s="5" t="s">
        <v>209</v>
      </c>
      <c r="B2" s="65" t="s">
        <v>207</v>
      </c>
      <c r="C2" s="63">
        <v>43174</v>
      </c>
      <c r="D2" s="72">
        <v>3330000</v>
      </c>
      <c r="E2" s="64" t="s">
        <v>24</v>
      </c>
      <c r="F2" s="64" t="s">
        <v>24</v>
      </c>
      <c r="G2" s="282" t="s">
        <v>303</v>
      </c>
      <c r="H2" s="72" t="s">
        <v>304</v>
      </c>
      <c r="I2" s="72" t="s">
        <v>305</v>
      </c>
      <c r="J2" s="48" t="s">
        <v>306</v>
      </c>
      <c r="K2" s="67" t="s">
        <v>307</v>
      </c>
      <c r="L2" s="66">
        <v>43123</v>
      </c>
      <c r="M2" s="64">
        <v>17</v>
      </c>
      <c r="N2" s="64">
        <v>32</v>
      </c>
      <c r="O2" s="64" t="s">
        <v>25</v>
      </c>
      <c r="P2" s="64" t="s">
        <v>25</v>
      </c>
      <c r="Q2" s="63">
        <v>43160</v>
      </c>
      <c r="R2" s="64"/>
      <c r="S2" s="64" t="s">
        <v>25</v>
      </c>
      <c r="T2" s="64" t="s">
        <v>308</v>
      </c>
      <c r="U2" s="64" t="s">
        <v>25</v>
      </c>
      <c r="V2" s="64" t="s">
        <v>24</v>
      </c>
      <c r="W2" s="64">
        <v>3</v>
      </c>
      <c r="X2" s="64">
        <v>0</v>
      </c>
      <c r="Y2" s="64">
        <v>0</v>
      </c>
      <c r="Z2" s="64">
        <v>0</v>
      </c>
      <c r="AA2" s="62"/>
      <c r="AB2" s="62"/>
      <c r="AC2" s="62"/>
      <c r="AD2" s="65"/>
      <c r="AE2" s="65"/>
      <c r="AF2" s="262"/>
      <c r="AG2" s="262"/>
      <c r="AH2" s="262"/>
      <c r="AI2" s="262"/>
      <c r="AJ2" s="262"/>
      <c r="AK2" s="262"/>
      <c r="AL2" s="262"/>
      <c r="AM2" s="262"/>
      <c r="AN2" s="262"/>
      <c r="AO2" s="262"/>
      <c r="AP2" s="262"/>
      <c r="AQ2" s="262"/>
      <c r="AR2" s="262"/>
      <c r="AS2" s="262"/>
      <c r="AT2" s="262"/>
    </row>
    <row r="3" spans="1:46" s="262" customFormat="1" ht="30">
      <c r="A3" s="251" t="s">
        <v>116</v>
      </c>
      <c r="B3" s="252" t="s">
        <v>117</v>
      </c>
      <c r="C3" s="253">
        <v>43217</v>
      </c>
      <c r="D3" s="276">
        <v>4307000</v>
      </c>
      <c r="E3" s="255" t="s">
        <v>24</v>
      </c>
      <c r="F3" s="255" t="s">
        <v>24</v>
      </c>
      <c r="G3" s="280" t="s">
        <v>309</v>
      </c>
      <c r="H3" s="277" t="s">
        <v>310</v>
      </c>
      <c r="I3" s="270" t="s">
        <v>305</v>
      </c>
      <c r="J3" s="257" t="s">
        <v>306</v>
      </c>
      <c r="K3" s="258" t="s">
        <v>307</v>
      </c>
      <c r="L3" s="260">
        <v>43217</v>
      </c>
      <c r="M3" s="255">
        <v>22</v>
      </c>
      <c r="N3" s="255">
        <v>41</v>
      </c>
      <c r="O3" s="258" t="s">
        <v>25</v>
      </c>
      <c r="P3" s="261" t="s">
        <v>25</v>
      </c>
      <c r="Q3" s="260">
        <v>43294</v>
      </c>
      <c r="R3" s="255">
        <f>SUMIF(A:A,"TEC-COOP",N:N)</f>
        <v>41</v>
      </c>
      <c r="S3" s="261" t="s">
        <v>25</v>
      </c>
      <c r="T3" s="255"/>
      <c r="U3" s="261" t="s">
        <v>24</v>
      </c>
      <c r="V3" s="261" t="s">
        <v>25</v>
      </c>
      <c r="W3" s="255">
        <v>0</v>
      </c>
      <c r="X3" s="255">
        <v>0</v>
      </c>
      <c r="Y3" s="255">
        <v>1</v>
      </c>
      <c r="Z3" s="255">
        <v>0</v>
      </c>
      <c r="AA3" s="274" t="s">
        <v>311</v>
      </c>
      <c r="AB3" s="252"/>
      <c r="AC3" s="252"/>
    </row>
    <row r="4" spans="1:46" s="262" customFormat="1">
      <c r="A4" s="263" t="s">
        <v>47</v>
      </c>
      <c r="B4" s="267" t="s">
        <v>48</v>
      </c>
      <c r="C4" s="268">
        <v>43390</v>
      </c>
      <c r="D4" s="264">
        <v>1005000</v>
      </c>
      <c r="E4" s="265" t="s">
        <v>24</v>
      </c>
      <c r="F4" s="255" t="s">
        <v>24</v>
      </c>
      <c r="G4" s="280" t="s">
        <v>312</v>
      </c>
      <c r="H4" s="256" t="s">
        <v>313</v>
      </c>
      <c r="I4" s="256" t="s">
        <v>305</v>
      </c>
      <c r="J4" s="257" t="s">
        <v>306</v>
      </c>
      <c r="K4" s="258" t="s">
        <v>307</v>
      </c>
      <c r="L4" s="341">
        <v>43390</v>
      </c>
      <c r="M4" s="255">
        <v>14</v>
      </c>
      <c r="N4" s="255">
        <v>22</v>
      </c>
      <c r="O4" s="266" t="s">
        <v>25</v>
      </c>
      <c r="P4" s="261" t="s">
        <v>25</v>
      </c>
      <c r="Q4" s="260">
        <v>43410</v>
      </c>
      <c r="R4" s="255"/>
      <c r="S4" s="261" t="s">
        <v>25</v>
      </c>
      <c r="T4" s="261" t="s">
        <v>25</v>
      </c>
      <c r="U4" s="261" t="s">
        <v>25</v>
      </c>
      <c r="V4" s="261" t="s">
        <v>24</v>
      </c>
      <c r="W4" s="255">
        <v>1</v>
      </c>
      <c r="X4" s="255">
        <v>0</v>
      </c>
      <c r="Y4" s="255">
        <v>0</v>
      </c>
      <c r="Z4" s="255">
        <v>0</v>
      </c>
      <c r="AA4" s="252"/>
      <c r="AB4" s="252"/>
      <c r="AC4" s="252"/>
    </row>
    <row r="5" spans="1:46" s="262" customFormat="1">
      <c r="A5" s="263" t="s">
        <v>47</v>
      </c>
      <c r="B5" s="267" t="s">
        <v>48</v>
      </c>
      <c r="C5" s="268">
        <v>43393</v>
      </c>
      <c r="D5" s="264">
        <v>1005000</v>
      </c>
      <c r="E5" s="265" t="s">
        <v>24</v>
      </c>
      <c r="F5" s="255" t="s">
        <v>24</v>
      </c>
      <c r="G5" s="280" t="s">
        <v>314</v>
      </c>
      <c r="H5" s="256" t="s">
        <v>315</v>
      </c>
      <c r="I5" s="256" t="s">
        <v>305</v>
      </c>
      <c r="J5" s="257" t="s">
        <v>306</v>
      </c>
      <c r="K5" s="258" t="s">
        <v>307</v>
      </c>
      <c r="L5" s="341">
        <v>43393</v>
      </c>
      <c r="M5" s="255">
        <v>35</v>
      </c>
      <c r="N5" s="255">
        <v>68</v>
      </c>
      <c r="O5" s="266" t="s">
        <v>25</v>
      </c>
      <c r="P5" s="261" t="s">
        <v>25</v>
      </c>
      <c r="Q5" s="260">
        <v>43420</v>
      </c>
      <c r="R5" s="255"/>
      <c r="S5" s="261" t="s">
        <v>25</v>
      </c>
      <c r="T5" s="255"/>
      <c r="U5" s="261" t="s">
        <v>25</v>
      </c>
      <c r="V5" s="261" t="s">
        <v>24</v>
      </c>
      <c r="W5" s="255">
        <v>1</v>
      </c>
      <c r="X5" s="255">
        <v>0</v>
      </c>
      <c r="Y5" s="255">
        <v>0</v>
      </c>
      <c r="Z5" s="255">
        <v>0</v>
      </c>
      <c r="AA5" s="252"/>
      <c r="AB5" s="252"/>
      <c r="AC5" s="252"/>
    </row>
    <row r="6" spans="1:46" s="262" customFormat="1" ht="16.5" customHeight="1">
      <c r="A6" s="263" t="s">
        <v>47</v>
      </c>
      <c r="B6" s="267" t="s">
        <v>48</v>
      </c>
      <c r="C6" s="268">
        <v>43393</v>
      </c>
      <c r="D6" s="264">
        <v>1005000</v>
      </c>
      <c r="E6" s="265" t="s">
        <v>24</v>
      </c>
      <c r="F6" s="255" t="s">
        <v>24</v>
      </c>
      <c r="G6" s="280" t="s">
        <v>316</v>
      </c>
      <c r="H6" s="256" t="s">
        <v>317</v>
      </c>
      <c r="I6" s="256" t="s">
        <v>305</v>
      </c>
      <c r="J6" s="257" t="s">
        <v>306</v>
      </c>
      <c r="K6" s="258" t="s">
        <v>307</v>
      </c>
      <c r="L6" s="341">
        <v>43393</v>
      </c>
      <c r="M6" s="255">
        <v>38</v>
      </c>
      <c r="N6" s="255">
        <v>75</v>
      </c>
      <c r="O6" s="266" t="s">
        <v>25</v>
      </c>
      <c r="P6" s="261" t="s">
        <v>25</v>
      </c>
      <c r="Q6" s="260">
        <v>43420</v>
      </c>
      <c r="R6" s="255"/>
      <c r="S6" s="261" t="s">
        <v>25</v>
      </c>
      <c r="T6" s="255"/>
      <c r="U6" s="261" t="s">
        <v>25</v>
      </c>
      <c r="V6" s="261" t="s">
        <v>25</v>
      </c>
      <c r="W6" s="255">
        <v>6</v>
      </c>
      <c r="X6" s="255">
        <v>3</v>
      </c>
      <c r="Y6" s="255">
        <v>1</v>
      </c>
      <c r="Z6" s="255">
        <v>0</v>
      </c>
      <c r="AA6" s="252"/>
      <c r="AB6" s="252"/>
      <c r="AC6" s="252"/>
    </row>
    <row r="7" spans="1:46" s="262" customFormat="1" ht="15" customHeight="1">
      <c r="A7" s="263" t="s">
        <v>174</v>
      </c>
      <c r="B7" s="267" t="s">
        <v>175</v>
      </c>
      <c r="C7" s="268">
        <v>43258</v>
      </c>
      <c r="D7" s="264">
        <v>1236000</v>
      </c>
      <c r="E7" s="254" t="s">
        <v>24</v>
      </c>
      <c r="F7" s="255" t="s">
        <v>24</v>
      </c>
      <c r="G7" s="287" t="s">
        <v>318</v>
      </c>
      <c r="H7" s="256" t="s">
        <v>319</v>
      </c>
      <c r="I7" s="256" t="s">
        <v>305</v>
      </c>
      <c r="J7" s="257" t="s">
        <v>306</v>
      </c>
      <c r="K7" s="258" t="s">
        <v>307</v>
      </c>
      <c r="L7" s="259">
        <v>43253</v>
      </c>
      <c r="M7" s="261">
        <v>42</v>
      </c>
      <c r="N7" s="261">
        <v>69</v>
      </c>
      <c r="O7" s="258" t="s">
        <v>25</v>
      </c>
      <c r="P7" s="261" t="s">
        <v>25</v>
      </c>
      <c r="Q7" s="260">
        <v>43299</v>
      </c>
      <c r="R7" s="255"/>
      <c r="S7" s="261" t="s">
        <v>25</v>
      </c>
      <c r="T7" s="255"/>
      <c r="U7" s="261" t="s">
        <v>25</v>
      </c>
      <c r="V7" s="261" t="s">
        <v>24</v>
      </c>
      <c r="W7" s="255">
        <v>0</v>
      </c>
      <c r="X7" s="255">
        <v>1</v>
      </c>
      <c r="Y7" s="255">
        <v>0</v>
      </c>
      <c r="Z7" s="255">
        <v>0</v>
      </c>
      <c r="AA7" s="252"/>
      <c r="AB7" s="252"/>
      <c r="AC7" s="252"/>
    </row>
    <row r="8" spans="1:46" s="262" customFormat="1">
      <c r="A8" s="251" t="s">
        <v>77</v>
      </c>
      <c r="B8" s="252" t="s">
        <v>78</v>
      </c>
      <c r="C8" s="260">
        <v>43266</v>
      </c>
      <c r="D8" s="269">
        <v>4040000</v>
      </c>
      <c r="E8" s="255" t="s">
        <v>24</v>
      </c>
      <c r="F8" s="255" t="s">
        <v>24</v>
      </c>
      <c r="G8" s="280" t="s">
        <v>320</v>
      </c>
      <c r="H8" s="270" t="s">
        <v>321</v>
      </c>
      <c r="I8" s="270" t="s">
        <v>305</v>
      </c>
      <c r="J8" s="257" t="s">
        <v>306</v>
      </c>
      <c r="K8" s="266" t="s">
        <v>307</v>
      </c>
      <c r="L8" s="260">
        <v>43265</v>
      </c>
      <c r="M8" s="255">
        <v>72</v>
      </c>
      <c r="N8" s="255">
        <v>90</v>
      </c>
      <c r="O8" s="266" t="s">
        <v>25</v>
      </c>
      <c r="P8" s="261" t="s">
        <v>25</v>
      </c>
      <c r="Q8" s="260">
        <v>43305</v>
      </c>
      <c r="R8" s="255"/>
      <c r="S8" s="261" t="s">
        <v>25</v>
      </c>
      <c r="T8" s="261" t="s">
        <v>25</v>
      </c>
      <c r="U8" s="261" t="s">
        <v>25</v>
      </c>
      <c r="V8" s="261" t="s">
        <v>24</v>
      </c>
      <c r="W8" s="261">
        <v>14</v>
      </c>
      <c r="X8" s="261">
        <v>2</v>
      </c>
      <c r="Y8" s="261">
        <v>0</v>
      </c>
      <c r="Z8" s="261">
        <v>0</v>
      </c>
      <c r="AA8" s="274"/>
      <c r="AB8" s="274"/>
      <c r="AC8" s="252"/>
    </row>
    <row r="9" spans="1:46" s="262" customFormat="1">
      <c r="A9" s="263" t="s">
        <v>192</v>
      </c>
      <c r="B9" s="267" t="s">
        <v>35</v>
      </c>
      <c r="C9" s="268">
        <v>43283</v>
      </c>
      <c r="D9" s="264">
        <v>1281000</v>
      </c>
      <c r="E9" s="255" t="s">
        <v>24</v>
      </c>
      <c r="F9" s="255" t="s">
        <v>24</v>
      </c>
      <c r="G9" s="280" t="s">
        <v>322</v>
      </c>
      <c r="H9" s="262" t="s">
        <v>323</v>
      </c>
      <c r="I9" s="262" t="s">
        <v>305</v>
      </c>
      <c r="J9" s="257" t="s">
        <v>306</v>
      </c>
      <c r="K9" s="258" t="s">
        <v>307</v>
      </c>
      <c r="L9" s="259">
        <v>43190</v>
      </c>
      <c r="M9" s="255">
        <v>13</v>
      </c>
      <c r="N9" s="255">
        <v>26</v>
      </c>
      <c r="O9" s="258" t="s">
        <v>25</v>
      </c>
      <c r="P9" s="255" t="s">
        <v>25</v>
      </c>
      <c r="Q9" s="260">
        <v>43237</v>
      </c>
      <c r="R9" s="255">
        <f>SUMIF(A:A,"BaystateACPS",N:N)</f>
        <v>26</v>
      </c>
      <c r="S9" s="261" t="s">
        <v>25</v>
      </c>
      <c r="T9" s="255"/>
      <c r="U9" s="261" t="s">
        <v>24</v>
      </c>
      <c r="V9" s="261" t="s">
        <v>24</v>
      </c>
      <c r="W9" s="261">
        <v>0</v>
      </c>
      <c r="X9" s="261">
        <v>0</v>
      </c>
      <c r="Y9" s="261">
        <v>0</v>
      </c>
      <c r="Z9" s="261">
        <v>0</v>
      </c>
      <c r="AA9" s="252"/>
      <c r="AB9" s="252"/>
      <c r="AC9" s="252"/>
      <c r="AD9" s="349"/>
      <c r="AE9" s="349"/>
    </row>
    <row r="10" spans="1:46" s="262" customFormat="1">
      <c r="A10" s="263" t="s">
        <v>47</v>
      </c>
      <c r="B10" s="267" t="s">
        <v>48</v>
      </c>
      <c r="C10" s="268">
        <v>43392</v>
      </c>
      <c r="D10" s="264">
        <v>1005000</v>
      </c>
      <c r="E10" s="265" t="s">
        <v>24</v>
      </c>
      <c r="F10" s="255" t="s">
        <v>24</v>
      </c>
      <c r="G10" s="280" t="s">
        <v>324</v>
      </c>
      <c r="H10" s="256" t="s">
        <v>325</v>
      </c>
      <c r="I10" s="256" t="s">
        <v>305</v>
      </c>
      <c r="J10" s="257" t="s">
        <v>306</v>
      </c>
      <c r="K10" s="258" t="s">
        <v>307</v>
      </c>
      <c r="L10" s="259">
        <v>43392</v>
      </c>
      <c r="M10" s="261">
        <v>36</v>
      </c>
      <c r="N10" s="255">
        <v>69</v>
      </c>
      <c r="O10" s="266" t="s">
        <v>25</v>
      </c>
      <c r="P10" s="261" t="s">
        <v>25</v>
      </c>
      <c r="Q10" s="260">
        <v>43420</v>
      </c>
      <c r="R10" s="255"/>
      <c r="S10" s="261" t="s">
        <v>25</v>
      </c>
      <c r="T10" s="255"/>
      <c r="U10" s="261" t="s">
        <v>25</v>
      </c>
      <c r="V10" s="261" t="s">
        <v>24</v>
      </c>
      <c r="W10" s="255">
        <v>1</v>
      </c>
      <c r="X10" s="255">
        <v>0</v>
      </c>
      <c r="Y10" s="255">
        <v>0</v>
      </c>
      <c r="Z10" s="255">
        <v>0</v>
      </c>
      <c r="AA10" s="252"/>
      <c r="AB10" s="252"/>
      <c r="AC10" s="252"/>
    </row>
    <row r="11" spans="1:46" s="262" customFormat="1">
      <c r="A11" s="263" t="s">
        <v>140</v>
      </c>
      <c r="B11" s="29" t="s">
        <v>141</v>
      </c>
      <c r="C11" s="260">
        <v>43132</v>
      </c>
      <c r="D11" s="264">
        <v>2153000</v>
      </c>
      <c r="E11" s="265" t="s">
        <v>24</v>
      </c>
      <c r="F11" s="255" t="s">
        <v>24</v>
      </c>
      <c r="G11" s="280" t="s">
        <v>326</v>
      </c>
      <c r="H11" s="256" t="s">
        <v>327</v>
      </c>
      <c r="I11" s="256" t="s">
        <v>305</v>
      </c>
      <c r="J11" s="257" t="s">
        <v>306</v>
      </c>
      <c r="K11" s="258" t="s">
        <v>307</v>
      </c>
      <c r="L11" s="355">
        <v>43109</v>
      </c>
      <c r="M11" s="255">
        <v>7</v>
      </c>
      <c r="N11" s="255">
        <v>6</v>
      </c>
      <c r="O11" s="258" t="s">
        <v>25</v>
      </c>
      <c r="P11" s="255" t="s">
        <v>25</v>
      </c>
      <c r="Q11" s="260">
        <v>43123</v>
      </c>
      <c r="R11" s="255"/>
      <c r="S11" s="255" t="s">
        <v>25</v>
      </c>
      <c r="T11" s="255"/>
      <c r="U11" s="255" t="s">
        <v>25</v>
      </c>
      <c r="V11" s="255" t="s">
        <v>24</v>
      </c>
      <c r="W11" s="255">
        <v>1</v>
      </c>
      <c r="X11" s="255">
        <v>0</v>
      </c>
      <c r="Y11" s="255">
        <v>0</v>
      </c>
      <c r="Z11" s="255">
        <v>0</v>
      </c>
      <c r="AA11" s="252"/>
      <c r="AB11" s="252"/>
      <c r="AC11" s="252"/>
    </row>
    <row r="12" spans="1:46" s="262" customFormat="1">
      <c r="A12" s="5" t="s">
        <v>209</v>
      </c>
      <c r="B12" s="65" t="s">
        <v>207</v>
      </c>
      <c r="C12" s="63">
        <v>43174</v>
      </c>
      <c r="D12" s="72">
        <v>3330000</v>
      </c>
      <c r="E12" s="64" t="s">
        <v>24</v>
      </c>
      <c r="F12" s="64" t="s">
        <v>24</v>
      </c>
      <c r="G12" s="282" t="s">
        <v>328</v>
      </c>
      <c r="H12" s="72" t="s">
        <v>329</v>
      </c>
      <c r="I12" s="72" t="s">
        <v>305</v>
      </c>
      <c r="J12" s="48" t="s">
        <v>306</v>
      </c>
      <c r="K12" s="67" t="s">
        <v>307</v>
      </c>
      <c r="L12" s="66">
        <v>43123</v>
      </c>
      <c r="M12" s="64">
        <v>23</v>
      </c>
      <c r="N12" s="64">
        <v>35</v>
      </c>
      <c r="O12" s="64" t="s">
        <v>25</v>
      </c>
      <c r="P12" s="64" t="s">
        <v>25</v>
      </c>
      <c r="Q12" s="63">
        <v>43160</v>
      </c>
      <c r="R12" s="64"/>
      <c r="S12" s="64" t="s">
        <v>25</v>
      </c>
      <c r="T12" s="76"/>
      <c r="U12" s="64" t="s">
        <v>24</v>
      </c>
      <c r="V12" s="64" t="s">
        <v>25</v>
      </c>
      <c r="W12" s="64">
        <v>0</v>
      </c>
      <c r="X12" s="64">
        <v>0</v>
      </c>
      <c r="Y12" s="64">
        <v>1</v>
      </c>
      <c r="Z12" s="64">
        <v>0</v>
      </c>
      <c r="AA12" s="62"/>
      <c r="AB12" s="62"/>
      <c r="AC12" s="62"/>
      <c r="AD12" s="65"/>
      <c r="AE12" s="65"/>
    </row>
    <row r="13" spans="1:46" s="262" customFormat="1">
      <c r="A13" s="251" t="s">
        <v>77</v>
      </c>
      <c r="B13" s="252" t="s">
        <v>78</v>
      </c>
      <c r="C13" s="260">
        <v>43266</v>
      </c>
      <c r="D13" s="269">
        <v>4040000</v>
      </c>
      <c r="E13" s="255" t="s">
        <v>24</v>
      </c>
      <c r="F13" s="255" t="s">
        <v>24</v>
      </c>
      <c r="G13" s="280" t="s">
        <v>330</v>
      </c>
      <c r="H13" s="270" t="s">
        <v>331</v>
      </c>
      <c r="I13" s="270" t="s">
        <v>305</v>
      </c>
      <c r="J13" s="257" t="s">
        <v>306</v>
      </c>
      <c r="K13" s="266" t="s">
        <v>307</v>
      </c>
      <c r="L13" s="260">
        <v>43263</v>
      </c>
      <c r="M13" s="255">
        <v>60</v>
      </c>
      <c r="N13" s="255">
        <v>103</v>
      </c>
      <c r="O13" s="266" t="s">
        <v>25</v>
      </c>
      <c r="P13" s="261" t="s">
        <v>25</v>
      </c>
      <c r="Q13" s="260">
        <v>43305</v>
      </c>
      <c r="R13" s="255"/>
      <c r="S13" s="261" t="s">
        <v>25</v>
      </c>
      <c r="T13" s="255"/>
      <c r="U13" s="261" t="s">
        <v>25</v>
      </c>
      <c r="V13" s="261" t="s">
        <v>25</v>
      </c>
      <c r="W13" s="255">
        <v>3</v>
      </c>
      <c r="X13" s="255">
        <v>3</v>
      </c>
      <c r="Y13" s="255">
        <v>0</v>
      </c>
      <c r="Z13" s="255">
        <v>1</v>
      </c>
      <c r="AA13" s="274"/>
      <c r="AB13" s="274"/>
      <c r="AC13" s="252"/>
    </row>
    <row r="14" spans="1:46" s="262" customFormat="1">
      <c r="A14" s="251" t="s">
        <v>83</v>
      </c>
      <c r="B14" s="252" t="s">
        <v>84</v>
      </c>
      <c r="C14" s="260">
        <v>43336</v>
      </c>
      <c r="D14" s="264">
        <v>4042000</v>
      </c>
      <c r="E14" s="254" t="s">
        <v>24</v>
      </c>
      <c r="F14" s="255" t="s">
        <v>24</v>
      </c>
      <c r="G14" s="280" t="s">
        <v>332</v>
      </c>
      <c r="H14" s="350" t="s">
        <v>333</v>
      </c>
      <c r="I14" s="256" t="s">
        <v>305</v>
      </c>
      <c r="J14" s="257" t="s">
        <v>306</v>
      </c>
      <c r="K14" s="265" t="s">
        <v>307</v>
      </c>
      <c r="L14" s="351">
        <v>43270</v>
      </c>
      <c r="M14" s="265">
        <v>28</v>
      </c>
      <c r="N14" s="265">
        <v>50</v>
      </c>
      <c r="O14" s="265" t="s">
        <v>25</v>
      </c>
      <c r="P14" s="265" t="s">
        <v>25</v>
      </c>
      <c r="Q14" s="259">
        <v>43334</v>
      </c>
      <c r="R14" s="255"/>
      <c r="S14" s="261" t="s">
        <v>25</v>
      </c>
      <c r="T14" s="255"/>
      <c r="U14" s="261" t="s">
        <v>25</v>
      </c>
      <c r="V14" s="261" t="s">
        <v>25</v>
      </c>
      <c r="W14" s="255">
        <v>3</v>
      </c>
      <c r="X14" s="255">
        <v>1</v>
      </c>
      <c r="Y14" s="255">
        <v>3</v>
      </c>
      <c r="Z14" s="255">
        <v>1</v>
      </c>
      <c r="AA14" s="252"/>
      <c r="AB14" s="252"/>
      <c r="AC14" s="252"/>
    </row>
    <row r="15" spans="1:46" s="262" customFormat="1">
      <c r="A15" s="251" t="s">
        <v>83</v>
      </c>
      <c r="B15" s="252" t="s">
        <v>84</v>
      </c>
      <c r="C15" s="260">
        <v>43336</v>
      </c>
      <c r="D15" s="264">
        <v>4042000</v>
      </c>
      <c r="E15" s="254" t="s">
        <v>24</v>
      </c>
      <c r="F15" s="255" t="s">
        <v>24</v>
      </c>
      <c r="G15" s="280" t="s">
        <v>334</v>
      </c>
      <c r="H15" s="350" t="s">
        <v>335</v>
      </c>
      <c r="I15" s="256" t="s">
        <v>305</v>
      </c>
      <c r="J15" s="257" t="s">
        <v>306</v>
      </c>
      <c r="K15" s="265" t="s">
        <v>307</v>
      </c>
      <c r="L15" s="351">
        <v>43272</v>
      </c>
      <c r="M15" s="265">
        <v>32</v>
      </c>
      <c r="N15" s="265">
        <v>55</v>
      </c>
      <c r="O15" s="265" t="s">
        <v>25</v>
      </c>
      <c r="P15" s="265" t="s">
        <v>25</v>
      </c>
      <c r="Q15" s="259">
        <v>43334</v>
      </c>
      <c r="R15" s="255"/>
      <c r="S15" s="261" t="s">
        <v>25</v>
      </c>
      <c r="T15" s="255"/>
      <c r="U15" s="261" t="s">
        <v>25</v>
      </c>
      <c r="V15" s="261" t="s">
        <v>25</v>
      </c>
      <c r="W15" s="255">
        <v>2</v>
      </c>
      <c r="X15" s="255">
        <v>0</v>
      </c>
      <c r="Y15" s="255">
        <v>5</v>
      </c>
      <c r="Z15" s="255">
        <v>1</v>
      </c>
      <c r="AA15" s="252"/>
      <c r="AB15" s="252"/>
      <c r="AC15" s="252"/>
    </row>
    <row r="16" spans="1:46" s="262" customFormat="1">
      <c r="A16" s="263" t="s">
        <v>119</v>
      </c>
      <c r="B16" s="267" t="s">
        <v>336</v>
      </c>
      <c r="C16" s="268">
        <v>43325</v>
      </c>
      <c r="D16" s="264">
        <v>1043014</v>
      </c>
      <c r="E16" s="255" t="s">
        <v>25</v>
      </c>
      <c r="F16" s="255" t="s">
        <v>24</v>
      </c>
      <c r="G16" s="374" t="s">
        <v>337</v>
      </c>
      <c r="H16" s="256" t="s">
        <v>338</v>
      </c>
      <c r="I16" s="256" t="s">
        <v>305</v>
      </c>
      <c r="J16" s="257" t="s">
        <v>306</v>
      </c>
      <c r="K16" s="258" t="s">
        <v>307</v>
      </c>
      <c r="L16" s="259">
        <v>43258</v>
      </c>
      <c r="M16" s="255">
        <v>59</v>
      </c>
      <c r="N16" s="255">
        <v>92</v>
      </c>
      <c r="O16" s="266" t="s">
        <v>25</v>
      </c>
      <c r="P16" s="261" t="s">
        <v>25</v>
      </c>
      <c r="Q16" s="260">
        <v>43325</v>
      </c>
      <c r="R16" s="255"/>
      <c r="S16" s="261" t="s">
        <v>25</v>
      </c>
      <c r="T16" s="255"/>
      <c r="U16" s="261" t="s">
        <v>25</v>
      </c>
      <c r="V16" s="261" t="s">
        <v>24</v>
      </c>
      <c r="W16" s="255">
        <v>1</v>
      </c>
      <c r="X16" s="255">
        <v>0</v>
      </c>
      <c r="Y16" s="255">
        <v>0</v>
      </c>
      <c r="Z16" s="255">
        <v>0</v>
      </c>
      <c r="AA16" s="274"/>
      <c r="AB16" s="274"/>
      <c r="AC16" s="252"/>
    </row>
    <row r="17" spans="1:32">
      <c r="A17" s="251" t="s">
        <v>55</v>
      </c>
      <c r="B17" s="252" t="s">
        <v>56</v>
      </c>
      <c r="C17" s="260">
        <v>43146</v>
      </c>
      <c r="D17" s="255">
        <v>1008000</v>
      </c>
      <c r="E17" s="255" t="s">
        <v>24</v>
      </c>
      <c r="F17" s="255" t="s">
        <v>24</v>
      </c>
      <c r="G17" s="356" t="s">
        <v>339</v>
      </c>
      <c r="H17" s="359" t="s">
        <v>340</v>
      </c>
      <c r="I17" s="262" t="s">
        <v>341</v>
      </c>
      <c r="J17" s="257" t="s">
        <v>306</v>
      </c>
      <c r="K17" s="258" t="s">
        <v>307</v>
      </c>
      <c r="L17" s="260">
        <v>43153</v>
      </c>
      <c r="M17" s="255">
        <v>4</v>
      </c>
      <c r="N17" s="255">
        <v>7</v>
      </c>
      <c r="O17" s="258" t="s">
        <v>25</v>
      </c>
      <c r="P17" s="255" t="s">
        <v>25</v>
      </c>
      <c r="Q17" s="260">
        <v>43160</v>
      </c>
      <c r="R17" s="255">
        <f>SUMIF(A:A,"UMassAmherstCEEC",N:N)</f>
        <v>7</v>
      </c>
      <c r="S17" s="261" t="s">
        <v>25</v>
      </c>
      <c r="T17" s="255"/>
      <c r="U17" s="255" t="s">
        <v>24</v>
      </c>
      <c r="V17" s="255" t="s">
        <v>24</v>
      </c>
      <c r="W17" s="255">
        <v>0</v>
      </c>
      <c r="X17" s="255">
        <v>0</v>
      </c>
      <c r="Y17" s="255">
        <v>0</v>
      </c>
      <c r="Z17" s="255">
        <v>0</v>
      </c>
      <c r="AA17" s="252"/>
      <c r="AB17" s="252"/>
      <c r="AC17" s="252"/>
      <c r="AD17" s="262"/>
      <c r="AE17" s="262"/>
    </row>
    <row r="18" spans="1:32" s="262" customFormat="1">
      <c r="A18" s="13" t="s">
        <v>130</v>
      </c>
      <c r="B18" s="68" t="s">
        <v>131</v>
      </c>
      <c r="C18" s="63">
        <v>43292</v>
      </c>
      <c r="D18" s="70">
        <v>1137000</v>
      </c>
      <c r="E18" s="87" t="s">
        <v>24</v>
      </c>
      <c r="F18" s="64" t="s">
        <v>24</v>
      </c>
      <c r="G18" s="281" t="s">
        <v>342</v>
      </c>
      <c r="H18" s="88" t="s">
        <v>343</v>
      </c>
      <c r="I18" s="74" t="s">
        <v>305</v>
      </c>
      <c r="J18" s="48" t="s">
        <v>306</v>
      </c>
      <c r="K18" s="219" t="s">
        <v>307</v>
      </c>
      <c r="L18" s="66">
        <v>43239</v>
      </c>
      <c r="M18" s="64">
        <v>9</v>
      </c>
      <c r="N18" s="64">
        <v>17</v>
      </c>
      <c r="O18" s="67" t="s">
        <v>25</v>
      </c>
      <c r="P18" s="47" t="s">
        <v>25</v>
      </c>
      <c r="Q18" s="63">
        <v>43277</v>
      </c>
      <c r="R18" s="64"/>
      <c r="S18" s="47" t="s">
        <v>25</v>
      </c>
      <c r="T18" s="64"/>
      <c r="U18" s="47" t="s">
        <v>25</v>
      </c>
      <c r="V18" s="47" t="s">
        <v>25</v>
      </c>
      <c r="W18" s="64">
        <v>1</v>
      </c>
      <c r="X18" s="64">
        <v>1</v>
      </c>
      <c r="Y18" s="64">
        <v>0</v>
      </c>
      <c r="Z18" s="64">
        <v>0</v>
      </c>
      <c r="AA18" s="62"/>
      <c r="AB18" s="62"/>
      <c r="AC18" s="62"/>
      <c r="AD18" s="65"/>
      <c r="AE18" s="65"/>
    </row>
    <row r="19" spans="1:32" s="262" customFormat="1">
      <c r="A19" s="251" t="s">
        <v>63</v>
      </c>
      <c r="B19" s="252" t="s">
        <v>344</v>
      </c>
      <c r="C19" s="260">
        <v>43034</v>
      </c>
      <c r="D19" s="264">
        <v>2034028</v>
      </c>
      <c r="E19" s="255" t="s">
        <v>25</v>
      </c>
      <c r="F19" s="265" t="s">
        <v>24</v>
      </c>
      <c r="G19" s="357" t="s">
        <v>345</v>
      </c>
      <c r="H19" s="256" t="s">
        <v>343</v>
      </c>
      <c r="I19" s="358" t="s">
        <v>305</v>
      </c>
      <c r="J19" s="257" t="s">
        <v>306</v>
      </c>
      <c r="K19" s="265" t="s">
        <v>307</v>
      </c>
      <c r="L19" s="259">
        <v>43145</v>
      </c>
      <c r="M19" s="255">
        <v>101</v>
      </c>
      <c r="N19" s="255">
        <v>136</v>
      </c>
      <c r="O19" s="258" t="s">
        <v>25</v>
      </c>
      <c r="P19" s="255" t="s">
        <v>25</v>
      </c>
      <c r="Q19" s="260">
        <v>43175</v>
      </c>
      <c r="R19" s="255"/>
      <c r="S19" s="255" t="s">
        <v>25</v>
      </c>
      <c r="T19" s="255"/>
      <c r="U19" s="255" t="s">
        <v>24</v>
      </c>
      <c r="V19" s="255" t="s">
        <v>24</v>
      </c>
      <c r="W19" s="255">
        <v>0</v>
      </c>
      <c r="X19" s="255">
        <v>0</v>
      </c>
      <c r="Y19" s="255">
        <v>0</v>
      </c>
      <c r="Z19" s="255">
        <v>0</v>
      </c>
      <c r="AA19" s="252"/>
      <c r="AB19" s="252"/>
      <c r="AC19" s="252"/>
      <c r="AF19" s="273"/>
    </row>
    <row r="20" spans="1:32" s="262" customFormat="1">
      <c r="A20" s="263" t="s">
        <v>136</v>
      </c>
      <c r="B20" s="267" t="s">
        <v>346</v>
      </c>
      <c r="C20" s="260">
        <v>43174</v>
      </c>
      <c r="D20" s="264">
        <v>2257000</v>
      </c>
      <c r="E20" s="265" t="s">
        <v>24</v>
      </c>
      <c r="F20" s="255" t="s">
        <v>24</v>
      </c>
      <c r="G20" s="280" t="s">
        <v>347</v>
      </c>
      <c r="H20" s="256" t="s">
        <v>348</v>
      </c>
      <c r="I20" s="256" t="s">
        <v>305</v>
      </c>
      <c r="J20" s="257" t="s">
        <v>306</v>
      </c>
      <c r="K20" s="258" t="s">
        <v>307</v>
      </c>
      <c r="L20" s="259">
        <v>43132</v>
      </c>
      <c r="M20" s="255">
        <v>52</v>
      </c>
      <c r="N20" s="255">
        <v>79</v>
      </c>
      <c r="O20" s="258" t="s">
        <v>25</v>
      </c>
      <c r="P20" s="255" t="s">
        <v>25</v>
      </c>
      <c r="Q20" s="260">
        <v>43171</v>
      </c>
      <c r="R20" s="255"/>
      <c r="S20" s="255" t="s">
        <v>25</v>
      </c>
      <c r="T20" s="255"/>
      <c r="U20" s="255" t="s">
        <v>25</v>
      </c>
      <c r="V20" s="255" t="s">
        <v>25</v>
      </c>
      <c r="W20" s="255">
        <v>7</v>
      </c>
      <c r="X20" s="255">
        <v>0</v>
      </c>
      <c r="Y20" s="255">
        <v>1</v>
      </c>
      <c r="Z20" s="255">
        <v>0</v>
      </c>
      <c r="AA20" s="252"/>
      <c r="AB20" s="252"/>
      <c r="AC20" s="252"/>
    </row>
    <row r="21" spans="1:32" s="262" customFormat="1">
      <c r="A21" s="263" t="s">
        <v>144</v>
      </c>
      <c r="B21" s="29" t="s">
        <v>145</v>
      </c>
      <c r="C21" s="260">
        <v>43292</v>
      </c>
      <c r="D21" s="264">
        <v>1281000</v>
      </c>
      <c r="E21" s="265" t="s">
        <v>24</v>
      </c>
      <c r="F21" s="255" t="s">
        <v>24</v>
      </c>
      <c r="G21" s="280" t="s">
        <v>349</v>
      </c>
      <c r="H21" s="256" t="s">
        <v>350</v>
      </c>
      <c r="I21" s="256" t="s">
        <v>305</v>
      </c>
      <c r="J21" s="257" t="s">
        <v>306</v>
      </c>
      <c r="K21" s="258" t="s">
        <v>307</v>
      </c>
      <c r="L21" s="260">
        <v>43232</v>
      </c>
      <c r="M21" s="255">
        <v>49</v>
      </c>
      <c r="N21" s="255">
        <v>76</v>
      </c>
      <c r="O21" s="258" t="s">
        <v>25</v>
      </c>
      <c r="P21" s="261" t="s">
        <v>25</v>
      </c>
      <c r="Q21" s="260">
        <v>43273</v>
      </c>
      <c r="R21" s="255"/>
      <c r="S21" s="261" t="s">
        <v>25</v>
      </c>
      <c r="T21" s="255"/>
      <c r="U21" s="261" t="s">
        <v>25</v>
      </c>
      <c r="V21" s="261" t="s">
        <v>25</v>
      </c>
      <c r="W21" s="255">
        <v>2</v>
      </c>
      <c r="X21" s="255">
        <v>1</v>
      </c>
      <c r="Y21" s="255">
        <v>2</v>
      </c>
      <c r="Z21" s="255">
        <v>1</v>
      </c>
      <c r="AA21" s="252"/>
      <c r="AB21" s="252"/>
      <c r="AC21" s="252"/>
    </row>
    <row r="22" spans="1:32" s="262" customFormat="1">
      <c r="A22" s="263" t="s">
        <v>136</v>
      </c>
      <c r="B22" s="267" t="s">
        <v>351</v>
      </c>
      <c r="C22" s="260">
        <v>43146</v>
      </c>
      <c r="D22" s="264">
        <v>2282000</v>
      </c>
      <c r="E22" s="265" t="s">
        <v>24</v>
      </c>
      <c r="F22" s="255" t="s">
        <v>24</v>
      </c>
      <c r="G22" s="280" t="s">
        <v>352</v>
      </c>
      <c r="H22" s="256" t="s">
        <v>353</v>
      </c>
      <c r="I22" s="256" t="s">
        <v>305</v>
      </c>
      <c r="J22" s="257" t="s">
        <v>306</v>
      </c>
      <c r="K22" s="258" t="s">
        <v>307</v>
      </c>
      <c r="L22" s="259">
        <v>43131</v>
      </c>
      <c r="M22" s="255">
        <v>43</v>
      </c>
      <c r="N22" s="255">
        <v>76</v>
      </c>
      <c r="O22" s="258" t="s">
        <v>25</v>
      </c>
      <c r="P22" s="255" t="s">
        <v>25</v>
      </c>
      <c r="Q22" s="260">
        <v>43171</v>
      </c>
      <c r="R22" s="255"/>
      <c r="S22" s="255" t="s">
        <v>25</v>
      </c>
      <c r="T22" s="255"/>
      <c r="U22" s="255" t="s">
        <v>25</v>
      </c>
      <c r="V22" s="255" t="s">
        <v>25</v>
      </c>
      <c r="W22" s="255">
        <v>16</v>
      </c>
      <c r="X22" s="255">
        <v>2</v>
      </c>
      <c r="Y22" s="255">
        <v>1</v>
      </c>
      <c r="Z22" s="255">
        <v>1</v>
      </c>
      <c r="AA22" s="252"/>
      <c r="AB22" s="252"/>
      <c r="AC22" s="252"/>
    </row>
    <row r="23" spans="1:32" s="262" customFormat="1">
      <c r="A23" s="263" t="s">
        <v>47</v>
      </c>
      <c r="B23" s="267" t="s">
        <v>48</v>
      </c>
      <c r="C23" s="268">
        <v>43384</v>
      </c>
      <c r="D23" s="264">
        <v>1005000</v>
      </c>
      <c r="E23" s="265" t="s">
        <v>24</v>
      </c>
      <c r="F23" s="255" t="s">
        <v>24</v>
      </c>
      <c r="G23" s="280" t="s">
        <v>354</v>
      </c>
      <c r="H23" s="256" t="s">
        <v>355</v>
      </c>
      <c r="I23" s="256" t="s">
        <v>305</v>
      </c>
      <c r="J23" s="257" t="s">
        <v>306</v>
      </c>
      <c r="K23" s="258" t="s">
        <v>307</v>
      </c>
      <c r="L23" s="259">
        <v>43384</v>
      </c>
      <c r="M23" s="255">
        <v>59</v>
      </c>
      <c r="N23" s="255">
        <v>85</v>
      </c>
      <c r="O23" s="266" t="s">
        <v>25</v>
      </c>
      <c r="P23" s="261" t="s">
        <v>25</v>
      </c>
      <c r="Q23" s="260">
        <v>43410</v>
      </c>
      <c r="R23" s="255"/>
      <c r="S23" s="261" t="s">
        <v>25</v>
      </c>
      <c r="T23" s="255"/>
      <c r="U23" s="261" t="s">
        <v>25</v>
      </c>
      <c r="V23" s="261" t="s">
        <v>25</v>
      </c>
      <c r="W23" s="255">
        <v>1</v>
      </c>
      <c r="X23" s="255">
        <v>0</v>
      </c>
      <c r="Y23" s="255">
        <v>3</v>
      </c>
      <c r="Z23" s="255">
        <v>0</v>
      </c>
      <c r="AA23" s="252"/>
      <c r="AB23" s="252"/>
      <c r="AC23" s="252"/>
    </row>
    <row r="24" spans="1:32" s="262" customFormat="1">
      <c r="A24" s="263" t="s">
        <v>99</v>
      </c>
      <c r="B24" s="267" t="s">
        <v>100</v>
      </c>
      <c r="C24" s="268">
        <v>43292</v>
      </c>
      <c r="D24" s="264">
        <v>2064000</v>
      </c>
      <c r="E24" s="255" t="s">
        <v>24</v>
      </c>
      <c r="F24" s="255" t="s">
        <v>25</v>
      </c>
      <c r="G24" s="354" t="s">
        <v>356</v>
      </c>
      <c r="H24" s="256" t="s">
        <v>357</v>
      </c>
      <c r="I24" s="256" t="s">
        <v>305</v>
      </c>
      <c r="J24" s="257" t="s">
        <v>306</v>
      </c>
      <c r="K24" s="258" t="s">
        <v>307</v>
      </c>
      <c r="L24" s="355">
        <v>43204</v>
      </c>
      <c r="M24" s="255">
        <v>140</v>
      </c>
      <c r="N24" s="255">
        <v>214</v>
      </c>
      <c r="O24" s="258" t="s">
        <v>25</v>
      </c>
      <c r="P24" s="258" t="s">
        <v>25</v>
      </c>
      <c r="Q24" s="260">
        <v>43243</v>
      </c>
      <c r="R24" s="255"/>
      <c r="S24" s="261" t="s">
        <v>25</v>
      </c>
      <c r="T24" s="255"/>
      <c r="U24" s="261" t="s">
        <v>24</v>
      </c>
      <c r="V24" s="261" t="s">
        <v>24</v>
      </c>
      <c r="W24" s="255">
        <v>0</v>
      </c>
      <c r="X24" s="255">
        <v>0</v>
      </c>
      <c r="Y24" s="255">
        <v>0</v>
      </c>
      <c r="Z24" s="255">
        <v>0</v>
      </c>
      <c r="AA24" s="252"/>
      <c r="AB24" s="252"/>
      <c r="AC24" s="252"/>
    </row>
    <row r="25" spans="1:32" s="262" customFormat="1">
      <c r="A25" s="263" t="s">
        <v>99</v>
      </c>
      <c r="B25" s="267" t="s">
        <v>100</v>
      </c>
      <c r="C25" s="268">
        <v>43292</v>
      </c>
      <c r="D25" s="264">
        <v>2064000</v>
      </c>
      <c r="E25" s="255" t="s">
        <v>24</v>
      </c>
      <c r="F25" s="255" t="s">
        <v>25</v>
      </c>
      <c r="G25" s="354" t="s">
        <v>358</v>
      </c>
      <c r="H25" s="256" t="s">
        <v>359</v>
      </c>
      <c r="I25" s="256" t="s">
        <v>305</v>
      </c>
      <c r="J25" s="257" t="s">
        <v>306</v>
      </c>
      <c r="K25" s="258" t="s">
        <v>307</v>
      </c>
      <c r="L25" s="355">
        <v>43204</v>
      </c>
      <c r="M25" s="255">
        <v>42</v>
      </c>
      <c r="N25" s="255">
        <v>41</v>
      </c>
      <c r="O25" s="258" t="s">
        <v>25</v>
      </c>
      <c r="P25" s="258" t="s">
        <v>25</v>
      </c>
      <c r="Q25" s="260">
        <v>43243</v>
      </c>
      <c r="R25" s="255"/>
      <c r="S25" s="261" t="s">
        <v>25</v>
      </c>
      <c r="T25" s="255"/>
      <c r="U25" s="261" t="s">
        <v>25</v>
      </c>
      <c r="V25" s="261" t="s">
        <v>24</v>
      </c>
      <c r="W25" s="255">
        <v>2</v>
      </c>
      <c r="X25" s="255">
        <v>0</v>
      </c>
      <c r="Y25" s="255">
        <v>0</v>
      </c>
      <c r="Z25" s="255">
        <v>0</v>
      </c>
      <c r="AA25" s="252"/>
      <c r="AB25" s="252"/>
      <c r="AC25" s="252"/>
    </row>
    <row r="26" spans="1:32" s="262" customFormat="1">
      <c r="A26" s="263" t="s">
        <v>99</v>
      </c>
      <c r="B26" s="267" t="s">
        <v>100</v>
      </c>
      <c r="C26" s="268">
        <v>43292</v>
      </c>
      <c r="D26" s="264">
        <v>2064000</v>
      </c>
      <c r="E26" s="255" t="s">
        <v>24</v>
      </c>
      <c r="F26" s="255" t="s">
        <v>25</v>
      </c>
      <c r="G26" s="354" t="s">
        <v>360</v>
      </c>
      <c r="H26" s="256" t="s">
        <v>361</v>
      </c>
      <c r="I26" s="256" t="s">
        <v>305</v>
      </c>
      <c r="J26" s="257" t="s">
        <v>306</v>
      </c>
      <c r="K26" s="258" t="s">
        <v>307</v>
      </c>
      <c r="L26" s="355">
        <v>43214</v>
      </c>
      <c r="M26" s="255">
        <v>37</v>
      </c>
      <c r="N26" s="255">
        <v>59</v>
      </c>
      <c r="O26" s="258" t="s">
        <v>25</v>
      </c>
      <c r="P26" s="258" t="s">
        <v>25</v>
      </c>
      <c r="Q26" s="260">
        <v>43243</v>
      </c>
      <c r="R26" s="255">
        <f>SUMIF(A:A,"ClintonPS",N:N)</f>
        <v>314</v>
      </c>
      <c r="S26" s="261" t="s">
        <v>25</v>
      </c>
      <c r="T26" s="255"/>
      <c r="U26" s="261" t="s">
        <v>24</v>
      </c>
      <c r="V26" s="261" t="s">
        <v>24</v>
      </c>
      <c r="W26" s="255">
        <v>0</v>
      </c>
      <c r="X26" s="255">
        <v>0</v>
      </c>
      <c r="Y26" s="255">
        <v>0</v>
      </c>
      <c r="Z26" s="255">
        <v>0</v>
      </c>
      <c r="AA26" s="252"/>
      <c r="AB26" s="252"/>
      <c r="AC26" s="252"/>
    </row>
    <row r="27" spans="1:32" s="262" customFormat="1">
      <c r="A27" s="5" t="s">
        <v>209</v>
      </c>
      <c r="B27" s="65" t="s">
        <v>207</v>
      </c>
      <c r="C27" s="63">
        <v>43182</v>
      </c>
      <c r="D27" s="72">
        <v>3330000</v>
      </c>
      <c r="E27" s="64" t="s">
        <v>24</v>
      </c>
      <c r="F27" s="64" t="s">
        <v>24</v>
      </c>
      <c r="G27" s="282" t="s">
        <v>362</v>
      </c>
      <c r="H27" s="72" t="s">
        <v>363</v>
      </c>
      <c r="I27" s="103" t="s">
        <v>305</v>
      </c>
      <c r="J27" s="48" t="s">
        <v>306</v>
      </c>
      <c r="K27" s="67" t="s">
        <v>307</v>
      </c>
      <c r="L27" s="66">
        <v>43124</v>
      </c>
      <c r="M27" s="64">
        <v>53</v>
      </c>
      <c r="N27" s="64">
        <v>74</v>
      </c>
      <c r="O27" s="64" t="s">
        <v>25</v>
      </c>
      <c r="P27" s="64" t="s">
        <v>25</v>
      </c>
      <c r="Q27" s="63">
        <v>43160</v>
      </c>
      <c r="R27" s="64"/>
      <c r="S27" s="64" t="s">
        <v>25</v>
      </c>
      <c r="T27" s="64"/>
      <c r="U27" s="64" t="s">
        <v>25</v>
      </c>
      <c r="V27" s="64" t="s">
        <v>24</v>
      </c>
      <c r="W27" s="64">
        <v>6</v>
      </c>
      <c r="X27" s="64">
        <v>0</v>
      </c>
      <c r="Y27" s="64">
        <v>0</v>
      </c>
      <c r="Z27" s="64">
        <v>0</v>
      </c>
      <c r="AA27" s="62"/>
      <c r="AB27" s="62"/>
      <c r="AC27" s="62"/>
      <c r="AD27" s="65"/>
      <c r="AE27" s="65"/>
    </row>
    <row r="28" spans="1:32" s="262" customFormat="1">
      <c r="A28" s="251" t="s">
        <v>127</v>
      </c>
      <c r="B28" s="274" t="s">
        <v>364</v>
      </c>
      <c r="C28" s="253">
        <v>43266</v>
      </c>
      <c r="D28" s="273">
        <v>3206000</v>
      </c>
      <c r="E28" s="255" t="s">
        <v>24</v>
      </c>
      <c r="F28" s="255" t="s">
        <v>24</v>
      </c>
      <c r="G28" s="356" t="s">
        <v>365</v>
      </c>
      <c r="H28" s="115" t="s">
        <v>366</v>
      </c>
      <c r="I28" s="273" t="s">
        <v>341</v>
      </c>
      <c r="J28" s="257" t="s">
        <v>306</v>
      </c>
      <c r="K28" s="266" t="s">
        <v>307</v>
      </c>
      <c r="L28" s="271">
        <v>43242</v>
      </c>
      <c r="M28" s="255">
        <v>6</v>
      </c>
      <c r="N28" s="255">
        <v>11</v>
      </c>
      <c r="O28" s="261" t="s">
        <v>25</v>
      </c>
      <c r="P28" s="255" t="s">
        <v>25</v>
      </c>
      <c r="Q28" s="260">
        <v>43265</v>
      </c>
      <c r="R28" s="255">
        <f>SUMIF(A:A,"HaverhillComAct",N:N)</f>
        <v>59</v>
      </c>
      <c r="S28" s="261" t="s">
        <v>25</v>
      </c>
      <c r="T28" s="255"/>
      <c r="U28" s="261" t="s">
        <v>24</v>
      </c>
      <c r="V28" s="261" t="s">
        <v>24</v>
      </c>
      <c r="W28" s="255">
        <v>0</v>
      </c>
      <c r="X28" s="255">
        <v>0</v>
      </c>
      <c r="Y28" s="255">
        <v>0</v>
      </c>
      <c r="Z28" s="255">
        <v>0</v>
      </c>
      <c r="AA28" s="252"/>
      <c r="AB28" s="252"/>
      <c r="AC28" s="252"/>
    </row>
    <row r="29" spans="1:32" s="262" customFormat="1">
      <c r="A29" s="251" t="s">
        <v>127</v>
      </c>
      <c r="B29" s="252" t="s">
        <v>128</v>
      </c>
      <c r="C29" s="253">
        <v>43266</v>
      </c>
      <c r="D29" s="273">
        <v>3128000</v>
      </c>
      <c r="E29" s="255" t="s">
        <v>24</v>
      </c>
      <c r="F29" s="255" t="s">
        <v>24</v>
      </c>
      <c r="G29" s="356" t="s">
        <v>367</v>
      </c>
      <c r="H29" s="273" t="s">
        <v>368</v>
      </c>
      <c r="I29" s="273" t="s">
        <v>341</v>
      </c>
      <c r="J29" s="257" t="s">
        <v>306</v>
      </c>
      <c r="K29" s="266" t="s">
        <v>307</v>
      </c>
      <c r="L29" s="271">
        <v>43242</v>
      </c>
      <c r="M29" s="255">
        <v>20</v>
      </c>
      <c r="N29" s="255">
        <v>36</v>
      </c>
      <c r="O29" s="261" t="s">
        <v>25</v>
      </c>
      <c r="P29" s="255" t="s">
        <v>25</v>
      </c>
      <c r="Q29" s="260">
        <v>43265</v>
      </c>
      <c r="R29" s="255"/>
      <c r="S29" s="261" t="s">
        <v>25</v>
      </c>
      <c r="T29" s="255"/>
      <c r="U29" s="261" t="s">
        <v>24</v>
      </c>
      <c r="V29" s="261" t="s">
        <v>24</v>
      </c>
      <c r="W29" s="255">
        <v>0</v>
      </c>
      <c r="X29" s="255">
        <v>0</v>
      </c>
      <c r="Y29" s="255">
        <v>0</v>
      </c>
      <c r="Z29" s="255">
        <v>0</v>
      </c>
      <c r="AA29" s="252"/>
      <c r="AB29" s="252"/>
      <c r="AC29" s="252"/>
    </row>
    <row r="30" spans="1:32" s="262" customFormat="1">
      <c r="A30" s="251" t="s">
        <v>127</v>
      </c>
      <c r="B30" s="252" t="s">
        <v>128</v>
      </c>
      <c r="C30" s="253">
        <v>43266</v>
      </c>
      <c r="D30" s="273">
        <v>3128000</v>
      </c>
      <c r="E30" s="255" t="s">
        <v>24</v>
      </c>
      <c r="F30" s="255" t="s">
        <v>24</v>
      </c>
      <c r="G30" s="356" t="s">
        <v>369</v>
      </c>
      <c r="H30" s="115" t="s">
        <v>370</v>
      </c>
      <c r="I30" s="273" t="s">
        <v>341</v>
      </c>
      <c r="J30" s="257" t="s">
        <v>306</v>
      </c>
      <c r="K30" s="266" t="s">
        <v>307</v>
      </c>
      <c r="L30" s="271">
        <v>43242</v>
      </c>
      <c r="M30" s="255">
        <v>6</v>
      </c>
      <c r="N30" s="255">
        <f>M30*2</f>
        <v>12</v>
      </c>
      <c r="O30" s="261" t="s">
        <v>25</v>
      </c>
      <c r="P30" s="255" t="s">
        <v>25</v>
      </c>
      <c r="Q30" s="260">
        <v>43265</v>
      </c>
      <c r="R30" s="255"/>
      <c r="S30" s="261" t="s">
        <v>25</v>
      </c>
      <c r="T30" s="255"/>
      <c r="U30" s="261" t="s">
        <v>24</v>
      </c>
      <c r="V30" s="261" t="s">
        <v>24</v>
      </c>
      <c r="W30" s="255">
        <v>0</v>
      </c>
      <c r="X30" s="255">
        <v>0</v>
      </c>
      <c r="Y30" s="255">
        <v>0</v>
      </c>
      <c r="Z30" s="255">
        <v>0</v>
      </c>
      <c r="AA30" s="252"/>
      <c r="AB30" s="252"/>
      <c r="AC30" s="252"/>
    </row>
    <row r="31" spans="1:32" s="262" customFormat="1">
      <c r="A31" s="263" t="s">
        <v>174</v>
      </c>
      <c r="B31" s="267" t="s">
        <v>175</v>
      </c>
      <c r="C31" s="268">
        <v>43280</v>
      </c>
      <c r="D31" s="264">
        <v>1236000</v>
      </c>
      <c r="E31" s="254" t="s">
        <v>24</v>
      </c>
      <c r="F31" s="255" t="s">
        <v>24</v>
      </c>
      <c r="G31" s="287" t="s">
        <v>371</v>
      </c>
      <c r="H31" s="256" t="s">
        <v>372</v>
      </c>
      <c r="I31" s="256" t="s">
        <v>305</v>
      </c>
      <c r="J31" s="257" t="s">
        <v>306</v>
      </c>
      <c r="K31" s="258" t="s">
        <v>307</v>
      </c>
      <c r="L31" s="259">
        <v>43246</v>
      </c>
      <c r="M31" s="261">
        <v>23</v>
      </c>
      <c r="N31" s="261">
        <v>46</v>
      </c>
      <c r="O31" s="258" t="s">
        <v>25</v>
      </c>
      <c r="P31" s="261" t="s">
        <v>25</v>
      </c>
      <c r="Q31" s="260">
        <v>43280</v>
      </c>
      <c r="R31" s="255"/>
      <c r="S31" s="261" t="s">
        <v>25</v>
      </c>
      <c r="T31" s="255"/>
      <c r="U31" s="261" t="s">
        <v>25</v>
      </c>
      <c r="V31" s="261" t="s">
        <v>24</v>
      </c>
      <c r="W31" s="255">
        <v>2</v>
      </c>
      <c r="X31" s="255">
        <v>0</v>
      </c>
      <c r="Y31" s="255">
        <v>0</v>
      </c>
      <c r="Z31" s="255">
        <v>0</v>
      </c>
      <c r="AA31" s="252"/>
      <c r="AB31" s="252"/>
      <c r="AC31" s="252"/>
    </row>
    <row r="32" spans="1:32" s="262" customFormat="1">
      <c r="A32" s="13" t="s">
        <v>189</v>
      </c>
      <c r="B32" s="28" t="s">
        <v>190</v>
      </c>
      <c r="C32" s="31">
        <v>43259</v>
      </c>
      <c r="D32" s="70">
        <v>2280000</v>
      </c>
      <c r="E32" s="73" t="s">
        <v>24</v>
      </c>
      <c r="F32" s="64" t="s">
        <v>24</v>
      </c>
      <c r="G32" s="279" t="s">
        <v>373</v>
      </c>
      <c r="H32" s="74" t="s">
        <v>374</v>
      </c>
      <c r="I32" s="74" t="s">
        <v>305</v>
      </c>
      <c r="J32" s="48" t="s">
        <v>306</v>
      </c>
      <c r="K32" s="219" t="s">
        <v>307</v>
      </c>
      <c r="L32" s="66">
        <v>43241</v>
      </c>
      <c r="M32" s="64">
        <v>14</v>
      </c>
      <c r="N32" s="64">
        <v>21</v>
      </c>
      <c r="O32" s="67" t="s">
        <v>25</v>
      </c>
      <c r="P32" s="47" t="s">
        <v>25</v>
      </c>
      <c r="Q32" s="63">
        <v>43259</v>
      </c>
      <c r="R32" s="64"/>
      <c r="S32" s="47" t="s">
        <v>25</v>
      </c>
      <c r="T32" s="64"/>
      <c r="U32" s="47" t="s">
        <v>24</v>
      </c>
      <c r="V32" s="47" t="s">
        <v>25</v>
      </c>
      <c r="W32" s="64">
        <v>0</v>
      </c>
      <c r="X32" s="64">
        <v>0</v>
      </c>
      <c r="Y32" s="64">
        <v>1</v>
      </c>
      <c r="Z32" s="64">
        <v>0</v>
      </c>
      <c r="AA32" s="62"/>
      <c r="AB32" s="62"/>
      <c r="AC32" s="62"/>
      <c r="AD32" s="65"/>
      <c r="AE32" s="65"/>
    </row>
    <row r="33" spans="1:46" s="262" customFormat="1">
      <c r="A33" s="263" t="s">
        <v>136</v>
      </c>
      <c r="B33" s="267" t="s">
        <v>375</v>
      </c>
      <c r="C33" s="260">
        <v>43137</v>
      </c>
      <c r="D33" s="264">
        <v>2134000</v>
      </c>
      <c r="E33" s="265" t="s">
        <v>24</v>
      </c>
      <c r="F33" s="255" t="s">
        <v>24</v>
      </c>
      <c r="G33" s="280" t="s">
        <v>376</v>
      </c>
      <c r="H33" s="256" t="s">
        <v>377</v>
      </c>
      <c r="I33" s="256" t="s">
        <v>305</v>
      </c>
      <c r="J33" s="257" t="s">
        <v>306</v>
      </c>
      <c r="K33" s="258" t="s">
        <v>307</v>
      </c>
      <c r="L33" s="259">
        <v>43137</v>
      </c>
      <c r="M33" s="255">
        <v>84</v>
      </c>
      <c r="N33" s="255">
        <v>133</v>
      </c>
      <c r="O33" s="258" t="s">
        <v>25</v>
      </c>
      <c r="P33" s="255" t="s">
        <v>25</v>
      </c>
      <c r="Q33" s="260">
        <v>43160</v>
      </c>
      <c r="R33" s="255"/>
      <c r="S33" s="255" t="s">
        <v>25</v>
      </c>
      <c r="T33" s="255" t="s">
        <v>378</v>
      </c>
      <c r="U33" s="255" t="s">
        <v>25</v>
      </c>
      <c r="V33" s="255" t="s">
        <v>25</v>
      </c>
      <c r="W33" s="255">
        <v>7</v>
      </c>
      <c r="X33" s="255">
        <v>0</v>
      </c>
      <c r="Y33" s="255">
        <v>14</v>
      </c>
      <c r="Z33" s="255">
        <v>2</v>
      </c>
      <c r="AA33" s="252" t="s">
        <v>379</v>
      </c>
      <c r="AB33" s="252"/>
      <c r="AC33" s="252"/>
    </row>
    <row r="34" spans="1:46" s="262" customFormat="1">
      <c r="A34" s="263" t="s">
        <v>136</v>
      </c>
      <c r="B34" s="267" t="s">
        <v>375</v>
      </c>
      <c r="C34" s="260">
        <v>43160</v>
      </c>
      <c r="D34" s="264">
        <v>2134000</v>
      </c>
      <c r="E34" s="265" t="s">
        <v>24</v>
      </c>
      <c r="F34" s="255" t="s">
        <v>24</v>
      </c>
      <c r="G34" s="280" t="s">
        <v>380</v>
      </c>
      <c r="H34" s="256" t="s">
        <v>381</v>
      </c>
      <c r="I34" s="256" t="s">
        <v>305</v>
      </c>
      <c r="J34" s="257" t="s">
        <v>306</v>
      </c>
      <c r="K34" s="258" t="s">
        <v>307</v>
      </c>
      <c r="L34" s="259">
        <v>43133</v>
      </c>
      <c r="M34" s="255">
        <v>69</v>
      </c>
      <c r="N34" s="255">
        <v>104</v>
      </c>
      <c r="O34" s="258" t="s">
        <v>25</v>
      </c>
      <c r="P34" s="255" t="s">
        <v>25</v>
      </c>
      <c r="Q34" s="260">
        <v>43146</v>
      </c>
      <c r="R34" s="255"/>
      <c r="S34" s="255" t="s">
        <v>25</v>
      </c>
      <c r="T34" s="255"/>
      <c r="U34" s="255" t="s">
        <v>25</v>
      </c>
      <c r="V34" s="255" t="s">
        <v>24</v>
      </c>
      <c r="W34" s="255">
        <v>3</v>
      </c>
      <c r="X34" s="255">
        <v>0</v>
      </c>
      <c r="Y34" s="255">
        <v>0</v>
      </c>
      <c r="Z34" s="255">
        <v>0</v>
      </c>
      <c r="AA34" s="252"/>
      <c r="AB34" s="252"/>
      <c r="AC34" s="252"/>
    </row>
    <row r="35" spans="1:46" s="262" customFormat="1">
      <c r="A35" s="251" t="s">
        <v>77</v>
      </c>
      <c r="B35" s="252" t="s">
        <v>78</v>
      </c>
      <c r="C35" s="260">
        <v>43266</v>
      </c>
      <c r="D35" s="269">
        <v>4040000</v>
      </c>
      <c r="E35" s="255" t="s">
        <v>24</v>
      </c>
      <c r="F35" s="255" t="s">
        <v>24</v>
      </c>
      <c r="G35" s="280" t="s">
        <v>382</v>
      </c>
      <c r="H35" s="270" t="s">
        <v>383</v>
      </c>
      <c r="I35" s="270" t="s">
        <v>305</v>
      </c>
      <c r="J35" s="257" t="s">
        <v>306</v>
      </c>
      <c r="K35" s="266" t="s">
        <v>307</v>
      </c>
      <c r="L35" s="260">
        <v>43265</v>
      </c>
      <c r="M35" s="255">
        <v>38</v>
      </c>
      <c r="N35" s="255">
        <v>59</v>
      </c>
      <c r="O35" s="266" t="s">
        <v>25</v>
      </c>
      <c r="P35" s="261" t="s">
        <v>25</v>
      </c>
      <c r="Q35" s="260">
        <v>43305</v>
      </c>
      <c r="R35" s="255"/>
      <c r="S35" s="261" t="s">
        <v>25</v>
      </c>
      <c r="T35" s="255"/>
      <c r="U35" s="261" t="s">
        <v>25</v>
      </c>
      <c r="V35" s="261" t="s">
        <v>24</v>
      </c>
      <c r="W35" s="255">
        <v>4</v>
      </c>
      <c r="X35" s="255">
        <v>0</v>
      </c>
      <c r="Y35" s="255">
        <v>0</v>
      </c>
      <c r="Z35" s="255">
        <v>0</v>
      </c>
      <c r="AA35" s="274"/>
      <c r="AB35" s="274"/>
      <c r="AC35" s="252"/>
    </row>
    <row r="36" spans="1:46" s="262" customFormat="1">
      <c r="A36" s="251" t="s">
        <v>167</v>
      </c>
      <c r="B36" s="252" t="s">
        <v>168</v>
      </c>
      <c r="C36" s="260">
        <v>43292</v>
      </c>
      <c r="D36" s="264">
        <v>3213000</v>
      </c>
      <c r="E36" s="265" t="s">
        <v>24</v>
      </c>
      <c r="F36" s="255" t="s">
        <v>24</v>
      </c>
      <c r="G36" s="280" t="s">
        <v>384</v>
      </c>
      <c r="H36" s="256" t="s">
        <v>385</v>
      </c>
      <c r="I36" s="256" t="s">
        <v>305</v>
      </c>
      <c r="J36" s="257" t="s">
        <v>306</v>
      </c>
      <c r="K36" s="266" t="s">
        <v>307</v>
      </c>
      <c r="L36" s="259">
        <v>43252</v>
      </c>
      <c r="M36" s="255">
        <v>39</v>
      </c>
      <c r="N36" s="255">
        <v>75</v>
      </c>
      <c r="O36" s="255" t="s">
        <v>25</v>
      </c>
      <c r="P36" s="261" t="s">
        <v>25</v>
      </c>
      <c r="Q36" s="260">
        <v>43273</v>
      </c>
      <c r="R36" s="255"/>
      <c r="S36" s="261" t="s">
        <v>25</v>
      </c>
      <c r="T36" s="255"/>
      <c r="U36" s="261" t="s">
        <v>25</v>
      </c>
      <c r="V36" s="261" t="s">
        <v>24</v>
      </c>
      <c r="W36" s="255">
        <v>1</v>
      </c>
      <c r="X36" s="255">
        <v>0</v>
      </c>
      <c r="Y36" s="255">
        <v>0</v>
      </c>
      <c r="Z36" s="255">
        <v>0</v>
      </c>
      <c r="AA36" s="252"/>
      <c r="AB36" s="252"/>
      <c r="AC36" s="252"/>
    </row>
    <row r="37" spans="1:46" s="262" customFormat="1">
      <c r="A37" s="263" t="s">
        <v>136</v>
      </c>
      <c r="B37" s="267" t="s">
        <v>137</v>
      </c>
      <c r="C37" s="260">
        <v>43174</v>
      </c>
      <c r="D37" s="264">
        <v>2134000</v>
      </c>
      <c r="E37" s="265" t="s">
        <v>24</v>
      </c>
      <c r="F37" s="255" t="s">
        <v>24</v>
      </c>
      <c r="G37" s="280" t="s">
        <v>386</v>
      </c>
      <c r="H37" s="256" t="s">
        <v>387</v>
      </c>
      <c r="I37" s="256" t="s">
        <v>341</v>
      </c>
      <c r="J37" s="257" t="s">
        <v>306</v>
      </c>
      <c r="K37" s="258" t="s">
        <v>307</v>
      </c>
      <c r="L37" s="259">
        <v>43132</v>
      </c>
      <c r="M37" s="255">
        <v>18</v>
      </c>
      <c r="N37" s="255">
        <v>29</v>
      </c>
      <c r="O37" s="266" t="s">
        <v>25</v>
      </c>
      <c r="P37" s="261" t="s">
        <v>25</v>
      </c>
      <c r="Q37" s="260">
        <v>43146</v>
      </c>
      <c r="R37" s="255"/>
      <c r="S37" s="255" t="s">
        <v>25</v>
      </c>
      <c r="T37" s="255"/>
      <c r="U37" s="255" t="s">
        <v>25</v>
      </c>
      <c r="V37" s="255" t="s">
        <v>25</v>
      </c>
      <c r="W37" s="255">
        <v>5</v>
      </c>
      <c r="X37" s="255">
        <v>0</v>
      </c>
      <c r="Y37" s="255">
        <v>5</v>
      </c>
      <c r="Z37" s="255">
        <v>1</v>
      </c>
      <c r="AA37" s="252"/>
      <c r="AB37" s="252"/>
      <c r="AC37" s="252"/>
    </row>
    <row r="38" spans="1:46" s="262" customFormat="1">
      <c r="A38" s="13" t="s">
        <v>189</v>
      </c>
      <c r="B38" s="28" t="s">
        <v>190</v>
      </c>
      <c r="C38" s="31">
        <v>43273</v>
      </c>
      <c r="D38" s="70">
        <v>2280000</v>
      </c>
      <c r="E38" s="73" t="s">
        <v>24</v>
      </c>
      <c r="F38" s="64" t="s">
        <v>24</v>
      </c>
      <c r="G38" s="279" t="s">
        <v>388</v>
      </c>
      <c r="H38" s="74" t="s">
        <v>389</v>
      </c>
      <c r="I38" s="74" t="s">
        <v>305</v>
      </c>
      <c r="J38" s="48" t="s">
        <v>306</v>
      </c>
      <c r="K38" s="219" t="s">
        <v>307</v>
      </c>
      <c r="L38" s="66">
        <v>43244</v>
      </c>
      <c r="M38" s="64">
        <v>52</v>
      </c>
      <c r="N38" s="64">
        <v>84</v>
      </c>
      <c r="O38" s="219" t="s">
        <v>25</v>
      </c>
      <c r="P38" s="47" t="s">
        <v>25</v>
      </c>
      <c r="Q38" s="63">
        <v>43273</v>
      </c>
      <c r="R38" s="64"/>
      <c r="S38" s="47" t="s">
        <v>25</v>
      </c>
      <c r="T38" s="64"/>
      <c r="U38" s="47" t="s">
        <v>24</v>
      </c>
      <c r="V38" s="47" t="s">
        <v>24</v>
      </c>
      <c r="W38" s="64">
        <v>0</v>
      </c>
      <c r="X38" s="64">
        <v>0</v>
      </c>
      <c r="Y38" s="64">
        <v>0</v>
      </c>
      <c r="Z38" s="64">
        <v>0</v>
      </c>
      <c r="AA38" s="62"/>
      <c r="AB38" s="62"/>
      <c r="AC38" s="62"/>
      <c r="AD38" s="65"/>
      <c r="AE38" s="65"/>
    </row>
    <row r="39" spans="1:46" s="262" customFormat="1">
      <c r="A39" s="251" t="s">
        <v>77</v>
      </c>
      <c r="B39" s="252" t="s">
        <v>78</v>
      </c>
      <c r="C39" s="260">
        <v>43266</v>
      </c>
      <c r="D39" s="269">
        <v>4040000</v>
      </c>
      <c r="E39" s="255" t="s">
        <v>24</v>
      </c>
      <c r="F39" s="255" t="s">
        <v>24</v>
      </c>
      <c r="G39" s="280" t="s">
        <v>390</v>
      </c>
      <c r="H39" s="270" t="s">
        <v>391</v>
      </c>
      <c r="I39" s="270" t="s">
        <v>305</v>
      </c>
      <c r="J39" s="257" t="s">
        <v>306</v>
      </c>
      <c r="K39" s="266" t="s">
        <v>307</v>
      </c>
      <c r="L39" s="260">
        <v>43264</v>
      </c>
      <c r="M39" s="255">
        <v>19</v>
      </c>
      <c r="N39" s="255">
        <v>28</v>
      </c>
      <c r="O39" s="266" t="s">
        <v>25</v>
      </c>
      <c r="P39" s="261" t="s">
        <v>25</v>
      </c>
      <c r="Q39" s="260">
        <v>43305</v>
      </c>
      <c r="R39" s="255"/>
      <c r="S39" s="261" t="s">
        <v>25</v>
      </c>
      <c r="T39" s="255"/>
      <c r="U39" s="261" t="s">
        <v>24</v>
      </c>
      <c r="V39" s="261" t="s">
        <v>24</v>
      </c>
      <c r="W39" s="255">
        <v>0</v>
      </c>
      <c r="X39" s="255">
        <v>0</v>
      </c>
      <c r="Y39" s="255">
        <v>0</v>
      </c>
      <c r="Z39" s="255">
        <v>0</v>
      </c>
      <c r="AA39" s="274"/>
      <c r="AB39" s="274"/>
      <c r="AC39" s="252"/>
    </row>
    <row r="40" spans="1:46" s="262" customFormat="1">
      <c r="A40" s="263" t="s">
        <v>144</v>
      </c>
      <c r="B40" s="29" t="s">
        <v>145</v>
      </c>
      <c r="C40" s="260">
        <v>43273</v>
      </c>
      <c r="D40" s="264">
        <v>1281000</v>
      </c>
      <c r="E40" s="265" t="s">
        <v>24</v>
      </c>
      <c r="F40" s="255" t="s">
        <v>24</v>
      </c>
      <c r="G40" s="280" t="s">
        <v>392</v>
      </c>
      <c r="H40" s="256" t="s">
        <v>393</v>
      </c>
      <c r="I40" s="256" t="s">
        <v>305</v>
      </c>
      <c r="J40" s="257" t="s">
        <v>306</v>
      </c>
      <c r="K40" s="258" t="s">
        <v>307</v>
      </c>
      <c r="L40" s="259">
        <v>43218</v>
      </c>
      <c r="M40" s="255">
        <v>86</v>
      </c>
      <c r="N40" s="255">
        <v>131</v>
      </c>
      <c r="O40" s="258" t="s">
        <v>25</v>
      </c>
      <c r="P40" s="261" t="s">
        <v>25</v>
      </c>
      <c r="Q40" s="260">
        <v>43273</v>
      </c>
      <c r="R40" s="255"/>
      <c r="S40" s="261" t="s">
        <v>25</v>
      </c>
      <c r="T40" s="255"/>
      <c r="U40" s="261" t="s">
        <v>25</v>
      </c>
      <c r="V40" s="261" t="s">
        <v>25</v>
      </c>
      <c r="W40" s="255">
        <v>2</v>
      </c>
      <c r="X40" s="255">
        <v>0</v>
      </c>
      <c r="Y40" s="255">
        <v>2</v>
      </c>
      <c r="Z40" s="255">
        <v>0</v>
      </c>
      <c r="AA40" s="252"/>
      <c r="AB40" s="252"/>
      <c r="AC40" s="252"/>
    </row>
    <row r="41" spans="1:46" s="262" customFormat="1">
      <c r="A41" s="263" t="s">
        <v>195</v>
      </c>
      <c r="B41" s="267" t="s">
        <v>196</v>
      </c>
      <c r="C41" s="260">
        <v>43032</v>
      </c>
      <c r="D41" s="264">
        <v>4285000</v>
      </c>
      <c r="E41" s="265" t="s">
        <v>24</v>
      </c>
      <c r="F41" s="255" t="s">
        <v>24</v>
      </c>
      <c r="G41" s="357" t="s">
        <v>394</v>
      </c>
      <c r="H41" s="364" t="s">
        <v>395</v>
      </c>
      <c r="I41" s="256" t="s">
        <v>305</v>
      </c>
      <c r="J41" s="257" t="s">
        <v>306</v>
      </c>
      <c r="K41" s="258" t="s">
        <v>307</v>
      </c>
      <c r="L41" s="259">
        <v>43159</v>
      </c>
      <c r="M41" s="255">
        <v>4</v>
      </c>
      <c r="N41" s="255">
        <f>M41*2</f>
        <v>8</v>
      </c>
      <c r="O41" s="258" t="s">
        <v>25</v>
      </c>
      <c r="P41" s="258" t="s">
        <v>25</v>
      </c>
      <c r="Q41" s="260">
        <v>43180</v>
      </c>
      <c r="R41" s="255"/>
      <c r="S41" s="255" t="s">
        <v>25</v>
      </c>
      <c r="T41" s="255"/>
      <c r="U41" s="255" t="s">
        <v>25</v>
      </c>
      <c r="V41" s="255" t="s">
        <v>25</v>
      </c>
      <c r="W41" s="255">
        <v>1</v>
      </c>
      <c r="X41" s="255">
        <v>1</v>
      </c>
      <c r="Y41" s="255">
        <v>3</v>
      </c>
      <c r="Z41" s="255">
        <v>0</v>
      </c>
      <c r="AA41" s="252"/>
      <c r="AB41" s="252"/>
      <c r="AC41" s="252"/>
    </row>
    <row r="42" spans="1:46" s="262" customFormat="1">
      <c r="A42" s="263" t="s">
        <v>174</v>
      </c>
      <c r="B42" s="267" t="s">
        <v>175</v>
      </c>
      <c r="C42" s="268">
        <v>43258</v>
      </c>
      <c r="D42" s="264">
        <v>1236000</v>
      </c>
      <c r="E42" s="254" t="s">
        <v>24</v>
      </c>
      <c r="F42" s="255" t="s">
        <v>24</v>
      </c>
      <c r="G42" s="287" t="s">
        <v>396</v>
      </c>
      <c r="H42" s="256" t="s">
        <v>397</v>
      </c>
      <c r="I42" s="256" t="s">
        <v>305</v>
      </c>
      <c r="J42" s="257" t="s">
        <v>306</v>
      </c>
      <c r="K42" s="258" t="s">
        <v>307</v>
      </c>
      <c r="L42" s="259">
        <v>43253</v>
      </c>
      <c r="M42" s="261">
        <v>53</v>
      </c>
      <c r="N42" s="261">
        <v>84</v>
      </c>
      <c r="O42" s="258" t="s">
        <v>25</v>
      </c>
      <c r="P42" s="261" t="s">
        <v>25</v>
      </c>
      <c r="Q42" s="260">
        <v>43299</v>
      </c>
      <c r="R42" s="255"/>
      <c r="S42" s="261" t="s">
        <v>25</v>
      </c>
      <c r="T42" s="255"/>
      <c r="U42" s="261" t="s">
        <v>25</v>
      </c>
      <c r="V42" s="261" t="s">
        <v>24</v>
      </c>
      <c r="W42" s="255">
        <v>5</v>
      </c>
      <c r="X42" s="255">
        <v>0</v>
      </c>
      <c r="Y42" s="255">
        <v>0</v>
      </c>
      <c r="Z42" s="255">
        <v>0</v>
      </c>
      <c r="AA42" s="252"/>
      <c r="AB42" s="252"/>
      <c r="AC42" s="252"/>
    </row>
    <row r="43" spans="1:46" s="262" customFormat="1">
      <c r="A43" s="366" t="s">
        <v>198</v>
      </c>
      <c r="B43" s="367" t="s">
        <v>199</v>
      </c>
      <c r="C43" s="268">
        <v>43292</v>
      </c>
      <c r="D43" s="273">
        <v>3288000</v>
      </c>
      <c r="E43" s="255" t="s">
        <v>24</v>
      </c>
      <c r="F43" s="255" t="s">
        <v>24</v>
      </c>
      <c r="G43" s="356" t="s">
        <v>398</v>
      </c>
      <c r="H43" s="273" t="s">
        <v>399</v>
      </c>
      <c r="I43" s="273" t="s">
        <v>305</v>
      </c>
      <c r="J43" s="257" t="s">
        <v>306</v>
      </c>
      <c r="K43" s="258" t="s">
        <v>307</v>
      </c>
      <c r="L43" s="259">
        <v>43267</v>
      </c>
      <c r="M43" s="255">
        <v>72</v>
      </c>
      <c r="N43" s="368">
        <v>92</v>
      </c>
      <c r="O43" s="266" t="s">
        <v>25</v>
      </c>
      <c r="P43" s="261" t="s">
        <v>25</v>
      </c>
      <c r="Q43" s="260">
        <v>43294</v>
      </c>
      <c r="R43" s="255"/>
      <c r="S43" s="369" t="s">
        <v>25</v>
      </c>
      <c r="T43" s="370"/>
      <c r="U43" s="261" t="s">
        <v>24</v>
      </c>
      <c r="V43" s="261" t="s">
        <v>24</v>
      </c>
      <c r="W43" s="255">
        <v>0</v>
      </c>
      <c r="X43" s="255">
        <v>0</v>
      </c>
      <c r="Y43" s="255">
        <v>0</v>
      </c>
      <c r="Z43" s="255">
        <v>0</v>
      </c>
      <c r="AA43" s="251"/>
      <c r="AB43" s="251"/>
      <c r="AC43" s="251"/>
    </row>
    <row r="44" spans="1:46" s="262" customFormat="1">
      <c r="A44" s="263" t="s">
        <v>140</v>
      </c>
      <c r="B44" s="29" t="s">
        <v>141</v>
      </c>
      <c r="C44" s="260">
        <v>43132</v>
      </c>
      <c r="D44" s="264">
        <v>2153000</v>
      </c>
      <c r="E44" s="265" t="s">
        <v>24</v>
      </c>
      <c r="F44" s="255" t="s">
        <v>24</v>
      </c>
      <c r="G44" s="280" t="s">
        <v>400</v>
      </c>
      <c r="H44" s="256" t="s">
        <v>401</v>
      </c>
      <c r="I44" s="256" t="s">
        <v>305</v>
      </c>
      <c r="J44" s="257" t="s">
        <v>306</v>
      </c>
      <c r="K44" s="258" t="s">
        <v>307</v>
      </c>
      <c r="L44" s="355">
        <v>43112</v>
      </c>
      <c r="M44" s="258">
        <v>15</v>
      </c>
      <c r="N44" s="258">
        <v>25</v>
      </c>
      <c r="O44" s="258" t="s">
        <v>25</v>
      </c>
      <c r="P44" s="258" t="s">
        <v>25</v>
      </c>
      <c r="Q44" s="271">
        <v>43129</v>
      </c>
      <c r="R44" s="255"/>
      <c r="S44" s="255" t="s">
        <v>25</v>
      </c>
      <c r="T44" s="255"/>
      <c r="U44" s="255" t="s">
        <v>24</v>
      </c>
      <c r="V44" s="255" t="s">
        <v>25</v>
      </c>
      <c r="W44" s="255">
        <v>0</v>
      </c>
      <c r="X44" s="255">
        <v>0</v>
      </c>
      <c r="Y44" s="255">
        <v>1</v>
      </c>
      <c r="Z44" s="255">
        <v>0</v>
      </c>
      <c r="AA44" s="252"/>
      <c r="AB44" s="252"/>
      <c r="AC44" s="252"/>
    </row>
    <row r="45" spans="1:46" s="262" customFormat="1">
      <c r="A45" s="251" t="s">
        <v>63</v>
      </c>
      <c r="B45" s="252" t="s">
        <v>64</v>
      </c>
      <c r="C45" s="260">
        <v>43034</v>
      </c>
      <c r="D45" s="264">
        <v>2034024</v>
      </c>
      <c r="E45" s="255" t="s">
        <v>25</v>
      </c>
      <c r="F45" s="265" t="s">
        <v>24</v>
      </c>
      <c r="G45" s="280" t="s">
        <v>402</v>
      </c>
      <c r="H45" s="256" t="s">
        <v>403</v>
      </c>
      <c r="I45" s="358" t="s">
        <v>305</v>
      </c>
      <c r="J45" s="257" t="s">
        <v>306</v>
      </c>
      <c r="K45" s="265" t="s">
        <v>307</v>
      </c>
      <c r="L45" s="259">
        <v>43147</v>
      </c>
      <c r="M45" s="255">
        <v>75</v>
      </c>
      <c r="N45" s="255">
        <v>139</v>
      </c>
      <c r="O45" s="258" t="s">
        <v>25</v>
      </c>
      <c r="P45" s="255" t="s">
        <v>25</v>
      </c>
      <c r="Q45" s="260">
        <v>43180</v>
      </c>
      <c r="R45" s="255"/>
      <c r="S45" s="255" t="s">
        <v>25</v>
      </c>
      <c r="T45" s="255"/>
      <c r="U45" s="255" t="s">
        <v>25</v>
      </c>
      <c r="V45" s="255" t="s">
        <v>24</v>
      </c>
      <c r="W45" s="255">
        <v>4</v>
      </c>
      <c r="X45" s="255">
        <v>0</v>
      </c>
      <c r="Y45" s="255">
        <v>0</v>
      </c>
      <c r="Z45" s="255">
        <v>0</v>
      </c>
      <c r="AA45" s="252"/>
      <c r="AB45" s="252"/>
      <c r="AC45" s="252"/>
    </row>
    <row r="46" spans="1:46" s="262" customFormat="1">
      <c r="A46" s="263" t="s">
        <v>159</v>
      </c>
      <c r="B46" s="267" t="s">
        <v>160</v>
      </c>
      <c r="C46" s="268">
        <v>43403</v>
      </c>
      <c r="D46" s="264">
        <v>2174000</v>
      </c>
      <c r="E46" s="255" t="s">
        <v>24</v>
      </c>
      <c r="F46" s="255" t="s">
        <v>24</v>
      </c>
      <c r="G46" s="287" t="s">
        <v>404</v>
      </c>
      <c r="H46" s="256" t="s">
        <v>405</v>
      </c>
      <c r="I46" s="256" t="s">
        <v>305</v>
      </c>
      <c r="J46" s="257" t="s">
        <v>306</v>
      </c>
      <c r="K46" s="266" t="s">
        <v>307</v>
      </c>
      <c r="L46" s="341">
        <v>43411</v>
      </c>
      <c r="M46" s="255">
        <v>40</v>
      </c>
      <c r="N46" s="255">
        <v>79</v>
      </c>
      <c r="O46" s="266" t="s">
        <v>25</v>
      </c>
      <c r="P46" s="261" t="s">
        <v>25</v>
      </c>
      <c r="Q46" s="260">
        <v>43424</v>
      </c>
      <c r="R46" s="255"/>
      <c r="S46" s="261" t="s">
        <v>25</v>
      </c>
      <c r="T46" s="255"/>
      <c r="U46" s="261" t="s">
        <v>25</v>
      </c>
      <c r="V46" s="261" t="s">
        <v>24</v>
      </c>
      <c r="W46" s="255">
        <v>1</v>
      </c>
      <c r="X46" s="255">
        <v>0</v>
      </c>
      <c r="Y46" s="255">
        <v>0</v>
      </c>
      <c r="Z46" s="255">
        <v>0</v>
      </c>
      <c r="AA46" s="252"/>
      <c r="AB46" s="252"/>
      <c r="AC46" s="252"/>
    </row>
    <row r="47" spans="1:46" s="262" customFormat="1">
      <c r="A47" s="263" t="s">
        <v>140</v>
      </c>
      <c r="B47" s="29" t="s">
        <v>141</v>
      </c>
      <c r="C47" s="260">
        <v>43132</v>
      </c>
      <c r="D47" s="264">
        <v>2153000</v>
      </c>
      <c r="E47" s="265" t="s">
        <v>24</v>
      </c>
      <c r="F47" s="255" t="s">
        <v>24</v>
      </c>
      <c r="G47" s="280" t="s">
        <v>406</v>
      </c>
      <c r="H47" s="256" t="s">
        <v>407</v>
      </c>
      <c r="I47" s="256" t="s">
        <v>305</v>
      </c>
      <c r="J47" s="257" t="s">
        <v>306</v>
      </c>
      <c r="K47" s="258" t="s">
        <v>307</v>
      </c>
      <c r="L47" s="355">
        <v>43111</v>
      </c>
      <c r="M47" s="258">
        <v>9</v>
      </c>
      <c r="N47" s="258">
        <v>18</v>
      </c>
      <c r="O47" s="258" t="s">
        <v>25</v>
      </c>
      <c r="P47" s="258" t="s">
        <v>25</v>
      </c>
      <c r="Q47" s="271">
        <v>43129</v>
      </c>
      <c r="R47" s="255"/>
      <c r="S47" s="255" t="s">
        <v>25</v>
      </c>
      <c r="T47" s="255"/>
      <c r="U47" s="255" t="s">
        <v>25</v>
      </c>
      <c r="V47" s="255" t="s">
        <v>24</v>
      </c>
      <c r="W47" s="255">
        <v>1</v>
      </c>
      <c r="X47" s="255">
        <v>0</v>
      </c>
      <c r="Y47" s="255">
        <v>0</v>
      </c>
      <c r="Z47" s="255">
        <v>0</v>
      </c>
      <c r="AA47" s="252"/>
      <c r="AB47" s="252"/>
      <c r="AC47" s="252"/>
      <c r="AG47" s="273"/>
      <c r="AH47" s="273"/>
      <c r="AI47" s="273"/>
      <c r="AJ47" s="273"/>
      <c r="AK47" s="273"/>
      <c r="AL47" s="273"/>
      <c r="AM47" s="273"/>
      <c r="AN47" s="273"/>
      <c r="AO47" s="273"/>
      <c r="AP47" s="273"/>
      <c r="AQ47" s="273"/>
      <c r="AR47" s="273"/>
      <c r="AS47" s="273"/>
      <c r="AT47" s="273"/>
    </row>
    <row r="48" spans="1:46" s="262" customFormat="1">
      <c r="A48" s="263" t="s">
        <v>74</v>
      </c>
      <c r="B48" s="362" t="s">
        <v>408</v>
      </c>
      <c r="C48" s="268">
        <v>43307</v>
      </c>
      <c r="D48" s="264">
        <v>3184000</v>
      </c>
      <c r="E48" s="255" t="s">
        <v>24</v>
      </c>
      <c r="F48" s="255" t="s">
        <v>24</v>
      </c>
      <c r="G48" s="287" t="s">
        <v>409</v>
      </c>
      <c r="H48" s="256" t="s">
        <v>410</v>
      </c>
      <c r="I48" s="256" t="s">
        <v>305</v>
      </c>
      <c r="J48" s="257" t="s">
        <v>306</v>
      </c>
      <c r="K48" s="258" t="s">
        <v>307</v>
      </c>
      <c r="L48" s="259">
        <v>43273</v>
      </c>
      <c r="M48" s="255">
        <v>43</v>
      </c>
      <c r="N48" s="255">
        <v>80</v>
      </c>
      <c r="O48" s="266" t="s">
        <v>25</v>
      </c>
      <c r="P48" s="261" t="s">
        <v>25</v>
      </c>
      <c r="Q48" s="260">
        <v>43307</v>
      </c>
      <c r="R48" s="255"/>
      <c r="S48" s="261" t="s">
        <v>25</v>
      </c>
      <c r="T48" s="255"/>
      <c r="U48" s="261" t="s">
        <v>25</v>
      </c>
      <c r="V48" s="261" t="s">
        <v>25</v>
      </c>
      <c r="W48" s="255">
        <v>5</v>
      </c>
      <c r="X48" s="255">
        <v>5</v>
      </c>
      <c r="Y48" s="255">
        <v>1</v>
      </c>
      <c r="Z48" s="255">
        <v>1</v>
      </c>
      <c r="AA48" s="252"/>
      <c r="AB48" s="252"/>
      <c r="AC48" s="252"/>
    </row>
    <row r="49" spans="1:46" s="262" customFormat="1">
      <c r="A49" s="366" t="s">
        <v>198</v>
      </c>
      <c r="B49" s="367" t="s">
        <v>199</v>
      </c>
      <c r="C49" s="268">
        <v>43320</v>
      </c>
      <c r="D49" s="273">
        <v>3288000</v>
      </c>
      <c r="E49" s="255" t="s">
        <v>24</v>
      </c>
      <c r="F49" s="255" t="s">
        <v>24</v>
      </c>
      <c r="G49" s="356" t="s">
        <v>411</v>
      </c>
      <c r="H49" s="273" t="s">
        <v>412</v>
      </c>
      <c r="I49" s="273" t="s">
        <v>305</v>
      </c>
      <c r="J49" s="257" t="s">
        <v>306</v>
      </c>
      <c r="K49" s="258" t="s">
        <v>307</v>
      </c>
      <c r="L49" s="253">
        <v>43251</v>
      </c>
      <c r="M49" s="255">
        <v>59</v>
      </c>
      <c r="N49" s="371">
        <v>92</v>
      </c>
      <c r="O49" s="266" t="s">
        <v>25</v>
      </c>
      <c r="P49" s="372" t="s">
        <v>25</v>
      </c>
      <c r="Q49" s="260">
        <v>43319</v>
      </c>
      <c r="R49" s="255"/>
      <c r="S49" s="261" t="s">
        <v>25</v>
      </c>
      <c r="T49" s="255"/>
      <c r="U49" s="261" t="s">
        <v>25</v>
      </c>
      <c r="V49" s="261" t="s">
        <v>24</v>
      </c>
      <c r="W49" s="255">
        <v>5</v>
      </c>
      <c r="X49" s="255">
        <v>0</v>
      </c>
      <c r="Y49" s="255">
        <v>0</v>
      </c>
      <c r="Z49" s="255">
        <v>0</v>
      </c>
      <c r="AA49" s="373"/>
      <c r="AB49" s="373"/>
      <c r="AC49" s="373"/>
    </row>
    <row r="50" spans="1:46" s="262" customFormat="1">
      <c r="A50" s="263" t="s">
        <v>136</v>
      </c>
      <c r="B50" s="267" t="s">
        <v>346</v>
      </c>
      <c r="C50" s="260">
        <v>43174</v>
      </c>
      <c r="D50" s="264">
        <v>2257000</v>
      </c>
      <c r="E50" s="265" t="s">
        <v>24</v>
      </c>
      <c r="F50" s="255" t="s">
        <v>24</v>
      </c>
      <c r="G50" s="280" t="s">
        <v>413</v>
      </c>
      <c r="H50" s="256" t="s">
        <v>414</v>
      </c>
      <c r="I50" s="256" t="s">
        <v>305</v>
      </c>
      <c r="J50" s="257" t="s">
        <v>306</v>
      </c>
      <c r="K50" s="258" t="s">
        <v>307</v>
      </c>
      <c r="L50" s="259">
        <v>43126</v>
      </c>
      <c r="M50" s="255">
        <v>90</v>
      </c>
      <c r="N50" s="255">
        <v>137</v>
      </c>
      <c r="O50" s="258" t="s">
        <v>25</v>
      </c>
      <c r="P50" s="255" t="s">
        <v>25</v>
      </c>
      <c r="Q50" s="260">
        <v>43168</v>
      </c>
      <c r="R50" s="255"/>
      <c r="S50" s="255" t="s">
        <v>25</v>
      </c>
      <c r="T50" s="255" t="s">
        <v>415</v>
      </c>
      <c r="U50" s="255" t="s">
        <v>25</v>
      </c>
      <c r="V50" s="255" t="s">
        <v>25</v>
      </c>
      <c r="W50" s="255">
        <v>1</v>
      </c>
      <c r="X50" s="255">
        <v>0</v>
      </c>
      <c r="Y50" s="255">
        <v>5</v>
      </c>
      <c r="Z50" s="255">
        <v>1</v>
      </c>
      <c r="AA50" s="252"/>
      <c r="AB50" s="252"/>
      <c r="AC50" s="252"/>
    </row>
    <row r="51" spans="1:46">
      <c r="A51" s="263" t="s">
        <v>123</v>
      </c>
      <c r="B51" s="29" t="s">
        <v>124</v>
      </c>
      <c r="C51" s="260">
        <v>43187</v>
      </c>
      <c r="D51" s="264">
        <v>2110000</v>
      </c>
      <c r="E51" s="265" t="s">
        <v>24</v>
      </c>
      <c r="F51" s="255" t="s">
        <v>24</v>
      </c>
      <c r="G51" s="280" t="s">
        <v>416</v>
      </c>
      <c r="H51" s="256" t="s">
        <v>417</v>
      </c>
      <c r="I51" s="256" t="s">
        <v>305</v>
      </c>
      <c r="J51" s="257" t="s">
        <v>306</v>
      </c>
      <c r="K51" s="258" t="s">
        <v>307</v>
      </c>
      <c r="L51" s="355">
        <v>43166</v>
      </c>
      <c r="M51" s="255">
        <v>46</v>
      </c>
      <c r="N51" s="255">
        <v>73</v>
      </c>
      <c r="O51" s="258" t="s">
        <v>25</v>
      </c>
      <c r="P51" s="255" t="s">
        <v>25</v>
      </c>
      <c r="Q51" s="260">
        <v>43187</v>
      </c>
      <c r="R51" s="255"/>
      <c r="S51" s="255" t="s">
        <v>25</v>
      </c>
      <c r="T51" s="255"/>
      <c r="U51" s="255" t="s">
        <v>25</v>
      </c>
      <c r="V51" s="255" t="s">
        <v>25</v>
      </c>
      <c r="W51" s="255">
        <v>1</v>
      </c>
      <c r="X51" s="255">
        <v>0</v>
      </c>
      <c r="Y51" s="255">
        <v>4</v>
      </c>
      <c r="Z51" s="255">
        <v>8</v>
      </c>
      <c r="AA51" s="252"/>
      <c r="AB51" s="252"/>
      <c r="AC51" s="252"/>
      <c r="AD51" s="262"/>
      <c r="AE51" s="26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</row>
    <row r="52" spans="1:46">
      <c r="A52" s="263" t="s">
        <v>123</v>
      </c>
      <c r="B52" s="29" t="s">
        <v>124</v>
      </c>
      <c r="C52" s="260">
        <v>43180</v>
      </c>
      <c r="D52" s="264">
        <v>2110000</v>
      </c>
      <c r="E52" s="265" t="s">
        <v>24</v>
      </c>
      <c r="F52" s="255" t="s">
        <v>24</v>
      </c>
      <c r="G52" s="280" t="s">
        <v>418</v>
      </c>
      <c r="H52" s="256" t="s">
        <v>419</v>
      </c>
      <c r="I52" s="256" t="s">
        <v>305</v>
      </c>
      <c r="J52" s="257" t="s">
        <v>306</v>
      </c>
      <c r="K52" s="258" t="s">
        <v>307</v>
      </c>
      <c r="L52" s="355">
        <v>43158</v>
      </c>
      <c r="M52" s="255">
        <v>19</v>
      </c>
      <c r="N52" s="255">
        <v>28</v>
      </c>
      <c r="O52" s="258" t="s">
        <v>25</v>
      </c>
      <c r="P52" s="255" t="s">
        <v>25</v>
      </c>
      <c r="Q52" s="260">
        <v>43180</v>
      </c>
      <c r="R52" s="255"/>
      <c r="S52" s="255" t="s">
        <v>25</v>
      </c>
      <c r="T52" s="255"/>
      <c r="U52" s="255" t="s">
        <v>25</v>
      </c>
      <c r="V52" s="255" t="s">
        <v>25</v>
      </c>
      <c r="W52" s="255">
        <v>1</v>
      </c>
      <c r="X52" s="255">
        <v>0</v>
      </c>
      <c r="Y52" s="255">
        <v>4</v>
      </c>
      <c r="Z52" s="255">
        <v>1</v>
      </c>
      <c r="AA52" s="252"/>
      <c r="AB52" s="252"/>
      <c r="AC52" s="252"/>
      <c r="AD52" s="262"/>
      <c r="AE52" s="26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</row>
    <row r="53" spans="1:46">
      <c r="A53" s="263" t="s">
        <v>159</v>
      </c>
      <c r="B53" s="267" t="s">
        <v>160</v>
      </c>
      <c r="C53" s="268">
        <v>43393</v>
      </c>
      <c r="D53" s="264">
        <v>2174000</v>
      </c>
      <c r="E53" s="255" t="s">
        <v>24</v>
      </c>
      <c r="F53" s="255" t="s">
        <v>24</v>
      </c>
      <c r="G53" s="287" t="s">
        <v>420</v>
      </c>
      <c r="H53" s="256" t="s">
        <v>421</v>
      </c>
      <c r="I53" s="256" t="s">
        <v>305</v>
      </c>
      <c r="J53" s="48" t="s">
        <v>306</v>
      </c>
      <c r="K53" s="266" t="s">
        <v>307</v>
      </c>
      <c r="L53" s="341">
        <v>43418</v>
      </c>
      <c r="M53" s="255">
        <v>59</v>
      </c>
      <c r="N53" s="255">
        <v>118</v>
      </c>
      <c r="O53" s="266" t="s">
        <v>25</v>
      </c>
      <c r="P53" s="261" t="s">
        <v>25</v>
      </c>
      <c r="Q53" s="260">
        <v>43445</v>
      </c>
      <c r="R53" s="255"/>
      <c r="S53" s="261" t="s">
        <v>25</v>
      </c>
      <c r="T53" s="261" t="s">
        <v>25</v>
      </c>
      <c r="U53" s="261" t="s">
        <v>24</v>
      </c>
      <c r="V53" s="261" t="s">
        <v>24</v>
      </c>
      <c r="W53" s="255">
        <v>0</v>
      </c>
      <c r="X53" s="255">
        <v>0</v>
      </c>
      <c r="Y53" s="255">
        <v>0</v>
      </c>
      <c r="Z53" s="255">
        <v>0</v>
      </c>
      <c r="AA53" s="252"/>
      <c r="AB53" s="252"/>
      <c r="AC53" s="252"/>
      <c r="AD53" s="262"/>
      <c r="AE53" s="26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</row>
    <row r="54" spans="1:46">
      <c r="A54" s="251" t="s">
        <v>63</v>
      </c>
      <c r="B54" s="252" t="s">
        <v>344</v>
      </c>
      <c r="C54" s="260">
        <v>43034</v>
      </c>
      <c r="D54" s="264">
        <v>2034025</v>
      </c>
      <c r="E54" s="255" t="s">
        <v>25</v>
      </c>
      <c r="F54" s="265" t="s">
        <v>24</v>
      </c>
      <c r="G54" s="357" t="s">
        <v>422</v>
      </c>
      <c r="H54" s="256" t="s">
        <v>423</v>
      </c>
      <c r="I54" s="358" t="s">
        <v>305</v>
      </c>
      <c r="J54" s="257" t="s">
        <v>306</v>
      </c>
      <c r="K54" s="265" t="s">
        <v>307</v>
      </c>
      <c r="L54" s="259">
        <v>43148</v>
      </c>
      <c r="M54" s="255">
        <v>29</v>
      </c>
      <c r="N54" s="255">
        <v>49</v>
      </c>
      <c r="O54" s="258" t="s">
        <v>25</v>
      </c>
      <c r="P54" s="255" t="s">
        <v>25</v>
      </c>
      <c r="Q54" s="260">
        <v>43175</v>
      </c>
      <c r="R54" s="255"/>
      <c r="S54" s="255" t="s">
        <v>25</v>
      </c>
      <c r="T54" s="255"/>
      <c r="U54" s="255" t="s">
        <v>25</v>
      </c>
      <c r="V54" s="255" t="s">
        <v>24</v>
      </c>
      <c r="W54" s="255">
        <v>3</v>
      </c>
      <c r="X54" s="255">
        <v>1</v>
      </c>
      <c r="Y54" s="255">
        <v>0</v>
      </c>
      <c r="Z54" s="255">
        <v>0</v>
      </c>
      <c r="AA54" s="252"/>
      <c r="AB54" s="252"/>
      <c r="AC54" s="252"/>
      <c r="AD54" s="262"/>
      <c r="AE54" s="26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</row>
    <row r="55" spans="1:46" s="262" customFormat="1">
      <c r="A55" s="263" t="s">
        <v>155</v>
      </c>
      <c r="B55" s="29" t="s">
        <v>156</v>
      </c>
      <c r="C55" s="260">
        <v>43157</v>
      </c>
      <c r="D55" s="264">
        <v>4167000</v>
      </c>
      <c r="E55" s="265" t="s">
        <v>24</v>
      </c>
      <c r="F55" s="255" t="s">
        <v>24</v>
      </c>
      <c r="G55" s="280" t="s">
        <v>424</v>
      </c>
      <c r="H55" s="256" t="s">
        <v>425</v>
      </c>
      <c r="I55" s="256" t="s">
        <v>305</v>
      </c>
      <c r="J55" s="257" t="s">
        <v>306</v>
      </c>
      <c r="K55" s="258" t="s">
        <v>307</v>
      </c>
      <c r="L55" s="259">
        <v>43141</v>
      </c>
      <c r="M55" s="255">
        <v>38</v>
      </c>
      <c r="N55" s="255">
        <v>63</v>
      </c>
      <c r="O55" s="258" t="s">
        <v>25</v>
      </c>
      <c r="P55" s="255" t="s">
        <v>25</v>
      </c>
      <c r="Q55" s="260">
        <v>43157</v>
      </c>
      <c r="R55" s="255"/>
      <c r="S55" s="255" t="s">
        <v>25</v>
      </c>
      <c r="T55" s="255"/>
      <c r="U55" s="255" t="s">
        <v>25</v>
      </c>
      <c r="V55" s="255" t="s">
        <v>25</v>
      </c>
      <c r="W55" s="255">
        <v>8</v>
      </c>
      <c r="X55" s="255">
        <v>2</v>
      </c>
      <c r="Y55" s="255">
        <v>14</v>
      </c>
      <c r="Z55" s="255">
        <v>9</v>
      </c>
      <c r="AA55" s="252"/>
      <c r="AB55" s="252"/>
      <c r="AC55" s="252"/>
    </row>
    <row r="56" spans="1:46" s="262" customFormat="1">
      <c r="A56" s="263" t="s">
        <v>74</v>
      </c>
      <c r="B56" s="267" t="s">
        <v>71</v>
      </c>
      <c r="C56" s="268">
        <v>43307</v>
      </c>
      <c r="D56" s="264">
        <v>3038009</v>
      </c>
      <c r="E56" s="255" t="s">
        <v>25</v>
      </c>
      <c r="F56" s="255" t="s">
        <v>24</v>
      </c>
      <c r="G56" s="287" t="s">
        <v>426</v>
      </c>
      <c r="H56" s="256" t="s">
        <v>427</v>
      </c>
      <c r="I56" s="256" t="s">
        <v>305</v>
      </c>
      <c r="J56" s="257" t="s">
        <v>306</v>
      </c>
      <c r="K56" s="258" t="s">
        <v>307</v>
      </c>
      <c r="L56" s="259">
        <v>43272</v>
      </c>
      <c r="M56" s="255">
        <v>76</v>
      </c>
      <c r="N56" s="255">
        <v>111</v>
      </c>
      <c r="O56" s="266" t="s">
        <v>25</v>
      </c>
      <c r="P56" s="261" t="s">
        <v>25</v>
      </c>
      <c r="Q56" s="260">
        <v>43307</v>
      </c>
      <c r="R56" s="255"/>
      <c r="S56" s="261" t="s">
        <v>25</v>
      </c>
      <c r="T56" s="255"/>
      <c r="U56" s="261" t="s">
        <v>25</v>
      </c>
      <c r="V56" s="261" t="s">
        <v>24</v>
      </c>
      <c r="W56" s="255">
        <v>3</v>
      </c>
      <c r="X56" s="255">
        <v>0</v>
      </c>
      <c r="Y56" s="255">
        <v>0</v>
      </c>
      <c r="Z56" s="255">
        <v>0</v>
      </c>
      <c r="AA56" s="252"/>
      <c r="AB56" s="252"/>
      <c r="AC56" s="252"/>
    </row>
    <row r="57" spans="1:46" s="262" customFormat="1">
      <c r="A57" s="263" t="s">
        <v>195</v>
      </c>
      <c r="B57" s="267" t="s">
        <v>196</v>
      </c>
      <c r="C57" s="260">
        <v>43032</v>
      </c>
      <c r="D57" s="264">
        <v>4285000</v>
      </c>
      <c r="E57" s="265" t="s">
        <v>24</v>
      </c>
      <c r="F57" s="255" t="s">
        <v>24</v>
      </c>
      <c r="G57" s="365" t="s">
        <v>428</v>
      </c>
      <c r="H57" s="256" t="s">
        <v>429</v>
      </c>
      <c r="I57" s="256" t="s">
        <v>305</v>
      </c>
      <c r="J57" s="257" t="s">
        <v>306</v>
      </c>
      <c r="K57" s="258" t="s">
        <v>307</v>
      </c>
      <c r="L57" s="259">
        <v>43159</v>
      </c>
      <c r="M57" s="255">
        <v>10</v>
      </c>
      <c r="N57" s="255">
        <v>16</v>
      </c>
      <c r="O57" s="258" t="s">
        <v>25</v>
      </c>
      <c r="P57" s="258" t="s">
        <v>25</v>
      </c>
      <c r="Q57" s="260">
        <v>43180</v>
      </c>
      <c r="R57" s="255"/>
      <c r="S57" s="255" t="s">
        <v>25</v>
      </c>
      <c r="T57" s="255"/>
      <c r="U57" s="255" t="s">
        <v>24</v>
      </c>
      <c r="V57" s="255" t="s">
        <v>25</v>
      </c>
      <c r="W57" s="255">
        <v>0</v>
      </c>
      <c r="X57" s="255">
        <v>0</v>
      </c>
      <c r="Y57" s="255">
        <v>1</v>
      </c>
      <c r="Z57" s="255">
        <v>0</v>
      </c>
      <c r="AA57" s="252"/>
      <c r="AB57" s="252"/>
      <c r="AC57" s="252"/>
    </row>
    <row r="58" spans="1:46" s="262" customFormat="1">
      <c r="A58" s="251" t="s">
        <v>77</v>
      </c>
      <c r="B58" s="252" t="s">
        <v>78</v>
      </c>
      <c r="C58" s="260">
        <v>43266</v>
      </c>
      <c r="D58" s="269">
        <v>4040000</v>
      </c>
      <c r="E58" s="255" t="s">
        <v>24</v>
      </c>
      <c r="F58" s="255" t="s">
        <v>24</v>
      </c>
      <c r="G58" s="280" t="s">
        <v>430</v>
      </c>
      <c r="H58" s="270" t="s">
        <v>431</v>
      </c>
      <c r="I58" s="270" t="s">
        <v>305</v>
      </c>
      <c r="J58" s="257" t="s">
        <v>306</v>
      </c>
      <c r="K58" s="266" t="s">
        <v>307</v>
      </c>
      <c r="L58" s="260">
        <v>43264</v>
      </c>
      <c r="M58" s="255">
        <v>35</v>
      </c>
      <c r="N58" s="255">
        <v>52</v>
      </c>
      <c r="O58" s="266" t="s">
        <v>25</v>
      </c>
      <c r="P58" s="261" t="s">
        <v>25</v>
      </c>
      <c r="Q58" s="260">
        <v>43305</v>
      </c>
      <c r="R58" s="255"/>
      <c r="S58" s="261" t="s">
        <v>25</v>
      </c>
      <c r="T58" s="255"/>
      <c r="U58" s="261" t="s">
        <v>24</v>
      </c>
      <c r="V58" s="261" t="s">
        <v>24</v>
      </c>
      <c r="W58" s="255">
        <v>0</v>
      </c>
      <c r="X58" s="255">
        <v>0</v>
      </c>
      <c r="Y58" s="255">
        <v>0</v>
      </c>
      <c r="Z58" s="255">
        <v>0</v>
      </c>
      <c r="AA58" s="274"/>
      <c r="AB58" s="274"/>
      <c r="AC58" s="252"/>
    </row>
    <row r="59" spans="1:46" s="262" customFormat="1">
      <c r="A59" s="263" t="s">
        <v>119</v>
      </c>
      <c r="B59" s="267" t="s">
        <v>432</v>
      </c>
      <c r="C59" s="268">
        <v>43328</v>
      </c>
      <c r="D59" s="264">
        <v>1135003</v>
      </c>
      <c r="E59" s="255" t="s">
        <v>25</v>
      </c>
      <c r="F59" s="255" t="s">
        <v>24</v>
      </c>
      <c r="G59" s="374" t="s">
        <v>433</v>
      </c>
      <c r="H59" s="256" t="s">
        <v>434</v>
      </c>
      <c r="I59" s="256" t="s">
        <v>305</v>
      </c>
      <c r="J59" s="257" t="s">
        <v>306</v>
      </c>
      <c r="K59" s="258" t="s">
        <v>307</v>
      </c>
      <c r="L59" s="259">
        <v>43258</v>
      </c>
      <c r="M59" s="255">
        <v>23</v>
      </c>
      <c r="N59" s="255">
        <v>42</v>
      </c>
      <c r="O59" s="266" t="s">
        <v>25</v>
      </c>
      <c r="P59" s="261" t="s">
        <v>25</v>
      </c>
      <c r="Q59" s="260">
        <v>43328</v>
      </c>
      <c r="R59" s="255">
        <f>SUMIF(A:A,"TantasquaRSD",N:N)</f>
        <v>134</v>
      </c>
      <c r="S59" s="261" t="s">
        <v>25</v>
      </c>
      <c r="T59" s="255"/>
      <c r="U59" s="261" t="s">
        <v>24</v>
      </c>
      <c r="V59" s="261" t="s">
        <v>24</v>
      </c>
      <c r="W59" s="255">
        <v>0</v>
      </c>
      <c r="X59" s="255">
        <v>0</v>
      </c>
      <c r="Y59" s="255">
        <v>0</v>
      </c>
      <c r="Z59" s="255">
        <v>0</v>
      </c>
      <c r="AA59" s="274"/>
      <c r="AB59" s="274"/>
      <c r="AC59" s="252"/>
    </row>
    <row r="60" spans="1:46" s="252" customFormat="1">
      <c r="A60" s="251" t="s">
        <v>77</v>
      </c>
      <c r="B60" s="252" t="s">
        <v>78</v>
      </c>
      <c r="C60" s="260">
        <v>43266</v>
      </c>
      <c r="D60" s="269">
        <v>4040000</v>
      </c>
      <c r="E60" s="255" t="s">
        <v>24</v>
      </c>
      <c r="F60" s="255" t="s">
        <v>24</v>
      </c>
      <c r="G60" s="280" t="s">
        <v>435</v>
      </c>
      <c r="H60" s="270" t="s">
        <v>436</v>
      </c>
      <c r="I60" s="270" t="s">
        <v>305</v>
      </c>
      <c r="J60" s="257" t="s">
        <v>306</v>
      </c>
      <c r="K60" s="266" t="s">
        <v>307</v>
      </c>
      <c r="L60" s="260">
        <v>43264</v>
      </c>
      <c r="M60" s="255">
        <v>25</v>
      </c>
      <c r="N60" s="255">
        <v>47</v>
      </c>
      <c r="O60" s="266" t="s">
        <v>25</v>
      </c>
      <c r="P60" s="261" t="s">
        <v>25</v>
      </c>
      <c r="Q60" s="260">
        <v>43305</v>
      </c>
      <c r="R60" s="255"/>
      <c r="S60" s="261" t="s">
        <v>25</v>
      </c>
      <c r="T60" s="255"/>
      <c r="U60" s="261" t="s">
        <v>25</v>
      </c>
      <c r="V60" s="261" t="s">
        <v>24</v>
      </c>
      <c r="W60" s="255">
        <v>2</v>
      </c>
      <c r="X60" s="255">
        <v>1</v>
      </c>
      <c r="Y60" s="255">
        <v>0</v>
      </c>
      <c r="Z60" s="255">
        <v>0</v>
      </c>
      <c r="AA60" s="274"/>
      <c r="AB60" s="274"/>
      <c r="AD60" s="262"/>
      <c r="AE60" s="262"/>
      <c r="AF60" s="262"/>
      <c r="AG60" s="262"/>
      <c r="AH60" s="262"/>
      <c r="AI60" s="262"/>
      <c r="AJ60" s="262"/>
      <c r="AK60" s="262"/>
      <c r="AL60" s="262"/>
      <c r="AM60" s="262"/>
      <c r="AN60" s="262"/>
      <c r="AO60" s="262"/>
      <c r="AP60" s="262"/>
      <c r="AQ60" s="262"/>
      <c r="AR60" s="262"/>
      <c r="AS60" s="262"/>
      <c r="AT60" s="262"/>
    </row>
    <row r="61" spans="1:46">
      <c r="A61" s="263" t="s">
        <v>136</v>
      </c>
      <c r="B61" s="267" t="s">
        <v>351</v>
      </c>
      <c r="C61" s="260">
        <v>43174</v>
      </c>
      <c r="D61" s="264">
        <v>2282000</v>
      </c>
      <c r="E61" s="265" t="s">
        <v>24</v>
      </c>
      <c r="F61" s="255" t="s">
        <v>24</v>
      </c>
      <c r="G61" s="280" t="s">
        <v>437</v>
      </c>
      <c r="H61" s="256" t="s">
        <v>438</v>
      </c>
      <c r="I61" s="256" t="s">
        <v>305</v>
      </c>
      <c r="J61" s="257" t="s">
        <v>306</v>
      </c>
      <c r="K61" s="258" t="s">
        <v>307</v>
      </c>
      <c r="L61" s="259">
        <v>43131</v>
      </c>
      <c r="M61" s="255">
        <v>55</v>
      </c>
      <c r="N61" s="255">
        <v>106</v>
      </c>
      <c r="O61" s="258" t="s">
        <v>25</v>
      </c>
      <c r="P61" s="255" t="s">
        <v>25</v>
      </c>
      <c r="Q61" s="260">
        <v>43168</v>
      </c>
      <c r="R61" s="255"/>
      <c r="S61" s="255" t="s">
        <v>25</v>
      </c>
      <c r="T61" s="255"/>
      <c r="U61" s="255" t="s">
        <v>25</v>
      </c>
      <c r="V61" s="255" t="s">
        <v>25</v>
      </c>
      <c r="W61" s="255">
        <v>9</v>
      </c>
      <c r="X61" s="255">
        <v>1</v>
      </c>
      <c r="Y61" s="255">
        <v>0</v>
      </c>
      <c r="Z61" s="255">
        <v>1</v>
      </c>
      <c r="AA61" s="252"/>
      <c r="AB61" s="252"/>
      <c r="AC61" s="252"/>
      <c r="AD61" s="262"/>
      <c r="AE61" s="262"/>
    </row>
    <row r="62" spans="1:46">
      <c r="A62" s="263" t="s">
        <v>74</v>
      </c>
      <c r="B62" s="362" t="s">
        <v>408</v>
      </c>
      <c r="C62" s="268">
        <v>43307</v>
      </c>
      <c r="D62" s="264">
        <v>3184000</v>
      </c>
      <c r="E62" s="255" t="s">
        <v>24</v>
      </c>
      <c r="F62" s="255" t="s">
        <v>24</v>
      </c>
      <c r="G62" s="287" t="s">
        <v>439</v>
      </c>
      <c r="H62" s="256" t="s">
        <v>440</v>
      </c>
      <c r="I62" s="256" t="s">
        <v>305</v>
      </c>
      <c r="J62" s="257" t="s">
        <v>306</v>
      </c>
      <c r="K62" s="258" t="s">
        <v>307</v>
      </c>
      <c r="L62" s="259">
        <v>43273</v>
      </c>
      <c r="M62" s="255">
        <v>62</v>
      </c>
      <c r="N62" s="255">
        <v>111</v>
      </c>
      <c r="O62" s="266" t="s">
        <v>25</v>
      </c>
      <c r="P62" s="261" t="s">
        <v>25</v>
      </c>
      <c r="Q62" s="260">
        <v>43307</v>
      </c>
      <c r="R62" s="255"/>
      <c r="S62" s="261" t="s">
        <v>25</v>
      </c>
      <c r="T62" s="255"/>
      <c r="U62" s="261" t="s">
        <v>24</v>
      </c>
      <c r="V62" s="261" t="s">
        <v>24</v>
      </c>
      <c r="W62" s="255">
        <v>0</v>
      </c>
      <c r="X62" s="255">
        <v>0</v>
      </c>
      <c r="Y62" s="255">
        <v>0</v>
      </c>
      <c r="Z62" s="255">
        <v>0</v>
      </c>
      <c r="AA62" s="252"/>
      <c r="AB62" s="252"/>
      <c r="AC62" s="252"/>
      <c r="AD62" s="262"/>
      <c r="AE62" s="262"/>
    </row>
    <row r="63" spans="1:46">
      <c r="A63" s="13" t="s">
        <v>152</v>
      </c>
      <c r="B63" s="68" t="s">
        <v>153</v>
      </c>
      <c r="C63" s="69">
        <v>43271</v>
      </c>
      <c r="D63" s="72">
        <v>3164004</v>
      </c>
      <c r="E63" s="87" t="s">
        <v>24</v>
      </c>
      <c r="F63" s="255" t="s">
        <v>24</v>
      </c>
      <c r="G63" s="285" t="s">
        <v>441</v>
      </c>
      <c r="H63" s="74" t="s">
        <v>442</v>
      </c>
      <c r="I63" s="74" t="s">
        <v>305</v>
      </c>
      <c r="J63" s="48" t="s">
        <v>306</v>
      </c>
      <c r="K63" s="219" t="s">
        <v>307</v>
      </c>
      <c r="L63" s="66">
        <v>43246</v>
      </c>
      <c r="M63" s="64">
        <v>72</v>
      </c>
      <c r="N63" s="64">
        <v>111</v>
      </c>
      <c r="O63" s="219" t="s">
        <v>25</v>
      </c>
      <c r="P63" s="47" t="s">
        <v>25</v>
      </c>
      <c r="Q63" s="63">
        <v>43271</v>
      </c>
      <c r="S63" s="47" t="s">
        <v>25</v>
      </c>
      <c r="U63" s="47" t="s">
        <v>25</v>
      </c>
      <c r="V63" s="47" t="s">
        <v>25</v>
      </c>
      <c r="W63" s="64">
        <v>4</v>
      </c>
      <c r="X63" s="64">
        <v>0</v>
      </c>
      <c r="Y63" s="64">
        <v>2</v>
      </c>
      <c r="Z63" s="64">
        <v>1</v>
      </c>
    </row>
    <row r="64" spans="1:46">
      <c r="A64" s="366" t="s">
        <v>198</v>
      </c>
      <c r="B64" s="367" t="s">
        <v>199</v>
      </c>
      <c r="C64" s="268">
        <v>43292</v>
      </c>
      <c r="D64" s="273">
        <v>3288000</v>
      </c>
      <c r="E64" s="255" t="s">
        <v>24</v>
      </c>
      <c r="F64" s="255" t="s">
        <v>24</v>
      </c>
      <c r="G64" s="356" t="s">
        <v>443</v>
      </c>
      <c r="H64" s="115" t="s">
        <v>444</v>
      </c>
      <c r="I64" s="273" t="s">
        <v>305</v>
      </c>
      <c r="J64" s="257" t="s">
        <v>306</v>
      </c>
      <c r="K64" s="258" t="s">
        <v>307</v>
      </c>
      <c r="L64" s="253">
        <v>43267</v>
      </c>
      <c r="M64" s="255">
        <v>81</v>
      </c>
      <c r="N64" s="371">
        <v>126</v>
      </c>
      <c r="O64" s="266" t="s">
        <v>25</v>
      </c>
      <c r="P64" s="372" t="s">
        <v>25</v>
      </c>
      <c r="Q64" s="260">
        <v>43294</v>
      </c>
      <c r="R64" s="255"/>
      <c r="S64" s="261" t="s">
        <v>25</v>
      </c>
      <c r="T64" s="255"/>
      <c r="U64" s="261" t="s">
        <v>24</v>
      </c>
      <c r="V64" s="261" t="s">
        <v>24</v>
      </c>
      <c r="W64" s="255">
        <v>0</v>
      </c>
      <c r="X64" s="255">
        <v>0</v>
      </c>
      <c r="Y64" s="255">
        <v>0</v>
      </c>
      <c r="Z64" s="255">
        <v>0</v>
      </c>
      <c r="AA64" s="373"/>
      <c r="AB64" s="373"/>
      <c r="AC64" s="373"/>
      <c r="AD64" s="262"/>
      <c r="AE64" s="262"/>
    </row>
    <row r="65" spans="1:46">
      <c r="A65" s="251" t="s">
        <v>167</v>
      </c>
      <c r="B65" s="252" t="s">
        <v>168</v>
      </c>
      <c r="C65" s="260">
        <v>43292</v>
      </c>
      <c r="D65" s="264">
        <v>3213000</v>
      </c>
      <c r="E65" s="265" t="s">
        <v>24</v>
      </c>
      <c r="F65" s="255" t="s">
        <v>24</v>
      </c>
      <c r="G65" s="280" t="s">
        <v>445</v>
      </c>
      <c r="H65" s="256" t="s">
        <v>446</v>
      </c>
      <c r="I65" s="256" t="s">
        <v>305</v>
      </c>
      <c r="J65" s="257" t="s">
        <v>306</v>
      </c>
      <c r="K65" s="266" t="s">
        <v>307</v>
      </c>
      <c r="L65" s="259">
        <v>43251</v>
      </c>
      <c r="M65" s="255">
        <v>66</v>
      </c>
      <c r="N65" s="255">
        <v>86</v>
      </c>
      <c r="O65" s="255" t="s">
        <v>25</v>
      </c>
      <c r="P65" s="261" t="s">
        <v>25</v>
      </c>
      <c r="Q65" s="260">
        <v>43277</v>
      </c>
      <c r="R65" s="255"/>
      <c r="S65" s="261" t="s">
        <v>25</v>
      </c>
      <c r="T65" s="255"/>
      <c r="U65" s="261" t="s">
        <v>25</v>
      </c>
      <c r="V65" s="261" t="s">
        <v>25</v>
      </c>
      <c r="W65" s="255">
        <v>3</v>
      </c>
      <c r="X65" s="255">
        <v>0</v>
      </c>
      <c r="Y65" s="255">
        <v>1</v>
      </c>
      <c r="Z65" s="255">
        <v>0</v>
      </c>
      <c r="AA65" s="252"/>
      <c r="AB65" s="252"/>
      <c r="AC65" s="252"/>
      <c r="AD65" s="262"/>
      <c r="AE65" s="262"/>
      <c r="AF65" s="72"/>
    </row>
    <row r="66" spans="1:46">
      <c r="A66" s="263" t="s">
        <v>47</v>
      </c>
      <c r="B66" s="267" t="s">
        <v>48</v>
      </c>
      <c r="C66" s="268">
        <v>43392</v>
      </c>
      <c r="D66" s="264">
        <v>1005000</v>
      </c>
      <c r="E66" s="265" t="s">
        <v>24</v>
      </c>
      <c r="F66" s="255" t="s">
        <v>24</v>
      </c>
      <c r="G66" s="280" t="s">
        <v>447</v>
      </c>
      <c r="H66" s="256" t="s">
        <v>448</v>
      </c>
      <c r="I66" s="256" t="s">
        <v>305</v>
      </c>
      <c r="J66" s="257" t="s">
        <v>306</v>
      </c>
      <c r="K66" s="258" t="s">
        <v>307</v>
      </c>
      <c r="L66" s="259">
        <v>43390</v>
      </c>
      <c r="M66" s="255">
        <v>56</v>
      </c>
      <c r="N66" s="255">
        <v>82</v>
      </c>
      <c r="O66" s="266" t="s">
        <v>25</v>
      </c>
      <c r="P66" s="261" t="s">
        <v>25</v>
      </c>
      <c r="Q66" s="260">
        <v>43410</v>
      </c>
      <c r="R66" s="255"/>
      <c r="S66" s="261" t="s">
        <v>25</v>
      </c>
      <c r="T66" s="255"/>
      <c r="U66" s="261" t="s">
        <v>25</v>
      </c>
      <c r="V66" s="261" t="s">
        <v>25</v>
      </c>
      <c r="W66" s="255">
        <v>2</v>
      </c>
      <c r="X66" s="255">
        <v>0</v>
      </c>
      <c r="Y66" s="255">
        <v>9</v>
      </c>
      <c r="Z66" s="255">
        <v>0</v>
      </c>
      <c r="AA66" s="252"/>
      <c r="AB66" s="252"/>
      <c r="AC66" s="252"/>
      <c r="AD66" s="262"/>
      <c r="AE66" s="262"/>
      <c r="AF66" s="72"/>
    </row>
    <row r="67" spans="1:46">
      <c r="A67" s="5" t="s">
        <v>209</v>
      </c>
      <c r="B67" s="65" t="s">
        <v>207</v>
      </c>
      <c r="C67" s="31">
        <v>43187</v>
      </c>
      <c r="D67" s="72">
        <v>3330000</v>
      </c>
      <c r="E67" s="64" t="s">
        <v>24</v>
      </c>
      <c r="F67" s="64" t="s">
        <v>24</v>
      </c>
      <c r="G67" s="282" t="s">
        <v>449</v>
      </c>
      <c r="H67" s="72" t="s">
        <v>450</v>
      </c>
      <c r="I67" s="72" t="s">
        <v>305</v>
      </c>
      <c r="J67" s="48" t="s">
        <v>306</v>
      </c>
      <c r="K67" s="67" t="s">
        <v>307</v>
      </c>
      <c r="L67" s="66">
        <v>43120</v>
      </c>
      <c r="M67" s="64">
        <v>72</v>
      </c>
      <c r="N67" s="64">
        <v>113</v>
      </c>
      <c r="O67" s="64" t="s">
        <v>25</v>
      </c>
      <c r="P67" s="64" t="s">
        <v>25</v>
      </c>
      <c r="Q67" s="63">
        <v>43172</v>
      </c>
      <c r="S67" s="64" t="s">
        <v>25</v>
      </c>
      <c r="U67" s="64" t="s">
        <v>25</v>
      </c>
      <c r="V67" s="64" t="s">
        <v>24</v>
      </c>
      <c r="W67" s="64">
        <v>0</v>
      </c>
      <c r="X67" s="64">
        <v>1</v>
      </c>
      <c r="Y67" s="64">
        <v>0</v>
      </c>
      <c r="Z67" s="64">
        <v>0</v>
      </c>
    </row>
    <row r="68" spans="1:46">
      <c r="A68" s="263" t="s">
        <v>174</v>
      </c>
      <c r="B68" s="267" t="s">
        <v>175</v>
      </c>
      <c r="C68" s="268">
        <v>43280</v>
      </c>
      <c r="D68" s="264">
        <v>1236000</v>
      </c>
      <c r="E68" s="254" t="s">
        <v>24</v>
      </c>
      <c r="F68" s="255" t="s">
        <v>24</v>
      </c>
      <c r="G68" s="287" t="s">
        <v>451</v>
      </c>
      <c r="H68" s="256" t="s">
        <v>452</v>
      </c>
      <c r="I68" s="256" t="s">
        <v>305</v>
      </c>
      <c r="J68" s="257" t="s">
        <v>306</v>
      </c>
      <c r="K68" s="258" t="s">
        <v>307</v>
      </c>
      <c r="L68" s="259">
        <v>43246</v>
      </c>
      <c r="M68" s="261">
        <v>17</v>
      </c>
      <c r="N68" s="261">
        <v>34</v>
      </c>
      <c r="O68" s="258" t="s">
        <v>25</v>
      </c>
      <c r="P68" s="261" t="s">
        <v>25</v>
      </c>
      <c r="Q68" s="260">
        <v>43280</v>
      </c>
      <c r="R68" s="255"/>
      <c r="S68" s="261" t="s">
        <v>25</v>
      </c>
      <c r="T68" s="255"/>
      <c r="U68" s="261" t="s">
        <v>24</v>
      </c>
      <c r="V68" s="261" t="s">
        <v>24</v>
      </c>
      <c r="W68" s="255">
        <v>0</v>
      </c>
      <c r="X68" s="255">
        <v>0</v>
      </c>
      <c r="Y68" s="255">
        <v>0</v>
      </c>
      <c r="Z68" s="255">
        <v>0</v>
      </c>
      <c r="AA68" s="252"/>
      <c r="AB68" s="252"/>
      <c r="AC68" s="252"/>
      <c r="AD68" s="262"/>
      <c r="AE68" s="262"/>
    </row>
    <row r="69" spans="1:46" s="262" customFormat="1">
      <c r="A69" s="263" t="s">
        <v>140</v>
      </c>
      <c r="B69" s="29" t="s">
        <v>141</v>
      </c>
      <c r="C69" s="260">
        <v>43132</v>
      </c>
      <c r="D69" s="264">
        <v>2153000</v>
      </c>
      <c r="E69" s="265" t="s">
        <v>24</v>
      </c>
      <c r="F69" s="255" t="s">
        <v>24</v>
      </c>
      <c r="G69" s="280" t="s">
        <v>453</v>
      </c>
      <c r="H69" s="256" t="s">
        <v>454</v>
      </c>
      <c r="I69" s="256" t="s">
        <v>305</v>
      </c>
      <c r="J69" s="257" t="s">
        <v>306</v>
      </c>
      <c r="K69" s="258" t="s">
        <v>307</v>
      </c>
      <c r="L69" s="355">
        <v>43111</v>
      </c>
      <c r="M69" s="258">
        <v>11</v>
      </c>
      <c r="N69" s="258">
        <v>21</v>
      </c>
      <c r="O69" s="258" t="s">
        <v>25</v>
      </c>
      <c r="P69" s="258" t="s">
        <v>25</v>
      </c>
      <c r="Q69" s="271">
        <v>43129</v>
      </c>
      <c r="R69" s="255"/>
      <c r="S69" s="255" t="s">
        <v>25</v>
      </c>
      <c r="T69" s="255" t="s">
        <v>415</v>
      </c>
      <c r="U69" s="255" t="s">
        <v>25</v>
      </c>
      <c r="V69" s="255" t="s">
        <v>24</v>
      </c>
      <c r="W69" s="255">
        <v>3</v>
      </c>
      <c r="X69" s="255">
        <v>0</v>
      </c>
      <c r="Y69" s="255">
        <v>2</v>
      </c>
      <c r="Z69" s="255">
        <v>0</v>
      </c>
      <c r="AA69" s="252"/>
      <c r="AB69" s="252"/>
      <c r="AC69" s="252"/>
    </row>
    <row r="70" spans="1:46" s="262" customFormat="1">
      <c r="A70" s="263" t="s">
        <v>155</v>
      </c>
      <c r="B70" s="29" t="s">
        <v>156</v>
      </c>
      <c r="C70" s="260">
        <v>43157</v>
      </c>
      <c r="D70" s="264">
        <v>4167000</v>
      </c>
      <c r="E70" s="265" t="s">
        <v>24</v>
      </c>
      <c r="F70" s="255" t="s">
        <v>24</v>
      </c>
      <c r="G70" s="280" t="s">
        <v>455</v>
      </c>
      <c r="H70" s="256" t="s">
        <v>456</v>
      </c>
      <c r="I70" s="256" t="s">
        <v>305</v>
      </c>
      <c r="J70" s="257" t="s">
        <v>306</v>
      </c>
      <c r="K70" s="258" t="s">
        <v>307</v>
      </c>
      <c r="L70" s="259">
        <v>43139</v>
      </c>
      <c r="M70" s="255">
        <v>140</v>
      </c>
      <c r="N70" s="255">
        <v>209</v>
      </c>
      <c r="O70" s="258" t="s">
        <v>25</v>
      </c>
      <c r="P70" s="255" t="s">
        <v>25</v>
      </c>
      <c r="Q70" s="260">
        <v>43160</v>
      </c>
      <c r="R70" s="255"/>
      <c r="S70" s="255" t="s">
        <v>25</v>
      </c>
      <c r="T70" s="255"/>
      <c r="U70" s="255" t="s">
        <v>25</v>
      </c>
      <c r="V70" s="255" t="s">
        <v>25</v>
      </c>
      <c r="W70" s="255">
        <v>29</v>
      </c>
      <c r="X70" s="255">
        <v>0</v>
      </c>
      <c r="Y70" s="255">
        <v>10</v>
      </c>
      <c r="Z70" s="255">
        <v>0</v>
      </c>
      <c r="AA70" s="252" t="s">
        <v>379</v>
      </c>
      <c r="AB70" s="252"/>
      <c r="AC70" s="252"/>
    </row>
    <row r="71" spans="1:46" s="262" customFormat="1">
      <c r="A71" s="263" t="s">
        <v>195</v>
      </c>
      <c r="B71" s="267" t="s">
        <v>196</v>
      </c>
      <c r="C71" s="268">
        <v>43187</v>
      </c>
      <c r="D71" s="264">
        <v>4285000</v>
      </c>
      <c r="E71" s="265" t="s">
        <v>24</v>
      </c>
      <c r="F71" s="255" t="s">
        <v>24</v>
      </c>
      <c r="G71" s="357" t="s">
        <v>457</v>
      </c>
      <c r="H71" s="256" t="s">
        <v>458</v>
      </c>
      <c r="I71" s="256" t="s">
        <v>305</v>
      </c>
      <c r="J71" s="257" t="s">
        <v>306</v>
      </c>
      <c r="K71" s="258" t="s">
        <v>307</v>
      </c>
      <c r="L71" s="259">
        <v>43160</v>
      </c>
      <c r="M71" s="255">
        <v>10</v>
      </c>
      <c r="N71" s="255">
        <v>19</v>
      </c>
      <c r="O71" s="258" t="s">
        <v>25</v>
      </c>
      <c r="P71" s="258" t="s">
        <v>25</v>
      </c>
      <c r="Q71" s="260">
        <v>43180</v>
      </c>
      <c r="R71" s="255"/>
      <c r="S71" s="255" t="s">
        <v>25</v>
      </c>
      <c r="T71" s="255"/>
      <c r="U71" s="255" t="s">
        <v>24</v>
      </c>
      <c r="V71" s="255" t="s">
        <v>24</v>
      </c>
      <c r="W71" s="255">
        <v>0</v>
      </c>
      <c r="X71" s="255">
        <v>0</v>
      </c>
      <c r="Y71" s="255">
        <v>0</v>
      </c>
      <c r="Z71" s="255">
        <v>0</v>
      </c>
      <c r="AA71" s="252"/>
      <c r="AB71" s="252"/>
      <c r="AC71" s="252"/>
    </row>
    <row r="72" spans="1:46" s="262" customFormat="1">
      <c r="A72" s="263" t="s">
        <v>195</v>
      </c>
      <c r="B72" s="267" t="s">
        <v>196</v>
      </c>
      <c r="C72" s="260">
        <v>43145</v>
      </c>
      <c r="D72" s="264">
        <v>4285000</v>
      </c>
      <c r="E72" s="265" t="s">
        <v>24</v>
      </c>
      <c r="F72" s="255" t="s">
        <v>24</v>
      </c>
      <c r="G72" s="357" t="s">
        <v>459</v>
      </c>
      <c r="H72" s="364" t="s">
        <v>460</v>
      </c>
      <c r="I72" s="256" t="s">
        <v>305</v>
      </c>
      <c r="J72" s="257" t="s">
        <v>306</v>
      </c>
      <c r="K72" s="258" t="s">
        <v>307</v>
      </c>
      <c r="L72" s="259">
        <v>43160</v>
      </c>
      <c r="M72" s="255">
        <v>10</v>
      </c>
      <c r="N72" s="255">
        <v>19</v>
      </c>
      <c r="O72" s="258" t="s">
        <v>25</v>
      </c>
      <c r="P72" s="258" t="s">
        <v>25</v>
      </c>
      <c r="Q72" s="260">
        <v>43180</v>
      </c>
      <c r="R72" s="255"/>
      <c r="S72" s="255" t="s">
        <v>25</v>
      </c>
      <c r="T72" s="255"/>
      <c r="U72" s="255" t="s">
        <v>25</v>
      </c>
      <c r="V72" s="255" t="s">
        <v>25</v>
      </c>
      <c r="W72" s="255">
        <v>2</v>
      </c>
      <c r="X72" s="255">
        <v>1</v>
      </c>
      <c r="Y72" s="255">
        <v>4</v>
      </c>
      <c r="Z72" s="255">
        <v>0</v>
      </c>
      <c r="AA72" s="252"/>
      <c r="AB72" s="252"/>
      <c r="AC72" s="252"/>
    </row>
    <row r="73" spans="1:46" s="262" customFormat="1">
      <c r="A73" s="366" t="s">
        <v>198</v>
      </c>
      <c r="B73" s="367" t="s">
        <v>199</v>
      </c>
      <c r="C73" s="268">
        <v>43283</v>
      </c>
      <c r="D73" s="273">
        <v>3288000</v>
      </c>
      <c r="E73" s="255" t="s">
        <v>24</v>
      </c>
      <c r="F73" s="255" t="s">
        <v>24</v>
      </c>
      <c r="G73" s="356" t="s">
        <v>461</v>
      </c>
      <c r="H73" s="115" t="s">
        <v>462</v>
      </c>
      <c r="I73" s="273" t="s">
        <v>305</v>
      </c>
      <c r="J73" s="257" t="s">
        <v>306</v>
      </c>
      <c r="K73" s="258" t="s">
        <v>307</v>
      </c>
      <c r="L73" s="253">
        <v>43260</v>
      </c>
      <c r="M73" s="255">
        <v>61</v>
      </c>
      <c r="N73" s="371">
        <v>96</v>
      </c>
      <c r="O73" s="266" t="s">
        <v>25</v>
      </c>
      <c r="P73" s="372" t="s">
        <v>25</v>
      </c>
      <c r="Q73" s="260">
        <v>43283</v>
      </c>
      <c r="R73" s="255"/>
      <c r="S73" s="261" t="s">
        <v>25</v>
      </c>
      <c r="T73" s="255"/>
      <c r="U73" s="261" t="s">
        <v>25</v>
      </c>
      <c r="V73" s="261" t="s">
        <v>24</v>
      </c>
      <c r="W73" s="255">
        <v>1</v>
      </c>
      <c r="X73" s="255">
        <v>0</v>
      </c>
      <c r="Y73" s="255">
        <v>0</v>
      </c>
      <c r="Z73" s="255">
        <v>0</v>
      </c>
      <c r="AA73" s="373"/>
      <c r="AB73" s="373"/>
      <c r="AC73" s="373"/>
    </row>
    <row r="74" spans="1:46" s="262" customFormat="1">
      <c r="A74" s="13" t="s">
        <v>189</v>
      </c>
      <c r="B74" s="28" t="s">
        <v>190</v>
      </c>
      <c r="C74" s="31">
        <v>43259</v>
      </c>
      <c r="D74" s="70">
        <v>2280000</v>
      </c>
      <c r="E74" s="73" t="s">
        <v>24</v>
      </c>
      <c r="F74" s="64" t="s">
        <v>24</v>
      </c>
      <c r="G74" s="279" t="s">
        <v>463</v>
      </c>
      <c r="H74" s="74" t="s">
        <v>464</v>
      </c>
      <c r="I74" s="74" t="s">
        <v>305</v>
      </c>
      <c r="J74" s="48" t="s">
        <v>306</v>
      </c>
      <c r="K74" s="219" t="s">
        <v>307</v>
      </c>
      <c r="L74" s="66">
        <v>43243</v>
      </c>
      <c r="M74" s="64">
        <v>18</v>
      </c>
      <c r="N74" s="64">
        <v>34</v>
      </c>
      <c r="O74" s="219" t="s">
        <v>25</v>
      </c>
      <c r="P74" s="47" t="s">
        <v>25</v>
      </c>
      <c r="Q74" s="63">
        <v>43259</v>
      </c>
      <c r="R74" s="64"/>
      <c r="S74" s="47" t="s">
        <v>25</v>
      </c>
      <c r="T74" s="64"/>
      <c r="U74" s="47" t="s">
        <v>24</v>
      </c>
      <c r="V74" s="47" t="s">
        <v>24</v>
      </c>
      <c r="W74" s="64">
        <v>0</v>
      </c>
      <c r="X74" s="64">
        <v>0</v>
      </c>
      <c r="Y74" s="64">
        <v>0</v>
      </c>
      <c r="Z74" s="64">
        <v>0</v>
      </c>
      <c r="AA74" s="62"/>
      <c r="AB74" s="62"/>
      <c r="AC74" s="62"/>
      <c r="AD74" s="65"/>
      <c r="AE74" s="65"/>
    </row>
    <row r="75" spans="1:46" s="262" customFormat="1">
      <c r="A75" s="251" t="s">
        <v>167</v>
      </c>
      <c r="B75" s="252" t="s">
        <v>168</v>
      </c>
      <c r="C75" s="260">
        <v>43292</v>
      </c>
      <c r="D75" s="264">
        <v>3213000</v>
      </c>
      <c r="E75" s="265" t="s">
        <v>24</v>
      </c>
      <c r="F75" s="255" t="s">
        <v>24</v>
      </c>
      <c r="G75" s="280" t="s">
        <v>465</v>
      </c>
      <c r="H75" s="256" t="s">
        <v>466</v>
      </c>
      <c r="I75" s="256" t="s">
        <v>305</v>
      </c>
      <c r="J75" s="257" t="s">
        <v>306</v>
      </c>
      <c r="K75" s="266" t="s">
        <v>307</v>
      </c>
      <c r="L75" s="259">
        <v>43252</v>
      </c>
      <c r="M75" s="255">
        <v>62</v>
      </c>
      <c r="N75" s="255">
        <v>108</v>
      </c>
      <c r="O75" s="255" t="s">
        <v>25</v>
      </c>
      <c r="P75" s="261" t="s">
        <v>25</v>
      </c>
      <c r="Q75" s="260">
        <v>43277</v>
      </c>
      <c r="R75" s="255"/>
      <c r="S75" s="261" t="s">
        <v>25</v>
      </c>
      <c r="T75" s="255"/>
      <c r="U75" s="261" t="s">
        <v>25</v>
      </c>
      <c r="V75" s="261" t="s">
        <v>25</v>
      </c>
      <c r="W75" s="255">
        <v>1</v>
      </c>
      <c r="X75" s="255">
        <v>1</v>
      </c>
      <c r="Y75" s="255">
        <v>2</v>
      </c>
      <c r="Z75" s="255">
        <v>0</v>
      </c>
      <c r="AA75" s="252"/>
      <c r="AB75" s="252"/>
      <c r="AC75" s="252"/>
    </row>
    <row r="76" spans="1:46" s="262" customFormat="1">
      <c r="A76" s="251" t="s">
        <v>83</v>
      </c>
      <c r="B76" s="252" t="s">
        <v>84</v>
      </c>
      <c r="C76" s="260">
        <v>43307</v>
      </c>
      <c r="D76" s="264">
        <v>4245000</v>
      </c>
      <c r="E76" s="254" t="s">
        <v>24</v>
      </c>
      <c r="F76" s="255" t="s">
        <v>24</v>
      </c>
      <c r="G76" s="280" t="s">
        <v>467</v>
      </c>
      <c r="H76" s="350" t="s">
        <v>468</v>
      </c>
      <c r="I76" s="256" t="s">
        <v>305</v>
      </c>
      <c r="J76" s="257" t="s">
        <v>306</v>
      </c>
      <c r="K76" s="265" t="s">
        <v>307</v>
      </c>
      <c r="L76" s="351">
        <v>43259</v>
      </c>
      <c r="M76" s="265">
        <v>72</v>
      </c>
      <c r="N76" s="265">
        <v>106</v>
      </c>
      <c r="O76" s="265" t="s">
        <v>25</v>
      </c>
      <c r="P76" s="265" t="s">
        <v>25</v>
      </c>
      <c r="Q76" s="259">
        <v>43307</v>
      </c>
      <c r="R76" s="255"/>
      <c r="S76" s="261" t="s">
        <v>25</v>
      </c>
      <c r="T76" s="255"/>
      <c r="U76" s="261" t="s">
        <v>25</v>
      </c>
      <c r="V76" s="261" t="s">
        <v>24</v>
      </c>
      <c r="W76" s="255">
        <v>1</v>
      </c>
      <c r="X76" s="255">
        <v>0</v>
      </c>
      <c r="Y76" s="255">
        <v>0</v>
      </c>
      <c r="Z76" s="255">
        <v>0</v>
      </c>
      <c r="AA76" s="252"/>
      <c r="AB76" s="252"/>
      <c r="AC76" s="252"/>
    </row>
    <row r="77" spans="1:46">
      <c r="A77" s="5" t="s">
        <v>211</v>
      </c>
      <c r="B77" s="62" t="s">
        <v>469</v>
      </c>
      <c r="C77" s="63">
        <v>43130</v>
      </c>
      <c r="D77" s="70">
        <v>1148000</v>
      </c>
      <c r="E77" s="87" t="s">
        <v>24</v>
      </c>
      <c r="F77" s="64" t="s">
        <v>24</v>
      </c>
      <c r="G77" s="279" t="s">
        <v>470</v>
      </c>
      <c r="H77" s="74" t="s">
        <v>471</v>
      </c>
      <c r="I77" s="74" t="s">
        <v>305</v>
      </c>
      <c r="J77" s="48" t="s">
        <v>306</v>
      </c>
      <c r="K77" s="67" t="s">
        <v>307</v>
      </c>
      <c r="L77" s="66">
        <v>43127</v>
      </c>
      <c r="M77" s="64">
        <v>47</v>
      </c>
      <c r="N77" s="64">
        <v>77</v>
      </c>
      <c r="O77" s="67" t="s">
        <v>25</v>
      </c>
      <c r="P77" s="64" t="s">
        <v>25</v>
      </c>
      <c r="Q77" s="63">
        <v>43146</v>
      </c>
      <c r="R77" s="72"/>
      <c r="S77" s="64" t="s">
        <v>25</v>
      </c>
      <c r="U77" s="64" t="s">
        <v>24</v>
      </c>
      <c r="V77" s="64" t="s">
        <v>24</v>
      </c>
      <c r="W77" s="64">
        <v>0</v>
      </c>
      <c r="X77" s="64">
        <v>0</v>
      </c>
      <c r="Y77" s="64">
        <v>0</v>
      </c>
      <c r="Z77" s="64">
        <v>0</v>
      </c>
    </row>
    <row r="78" spans="1:46" ht="15" customHeight="1">
      <c r="A78" s="251" t="s">
        <v>83</v>
      </c>
      <c r="B78" s="252" t="s">
        <v>84</v>
      </c>
      <c r="C78" s="260">
        <v>43307</v>
      </c>
      <c r="D78" s="264">
        <v>4245000</v>
      </c>
      <c r="E78" s="254" t="s">
        <v>24</v>
      </c>
      <c r="F78" s="255" t="s">
        <v>24</v>
      </c>
      <c r="G78" s="280" t="s">
        <v>472</v>
      </c>
      <c r="H78" s="350" t="s">
        <v>473</v>
      </c>
      <c r="I78" s="256" t="s">
        <v>305</v>
      </c>
      <c r="J78" s="257" t="s">
        <v>306</v>
      </c>
      <c r="K78" s="265" t="s">
        <v>307</v>
      </c>
      <c r="L78" s="351">
        <v>43259</v>
      </c>
      <c r="M78" s="265">
        <v>54</v>
      </c>
      <c r="N78" s="265">
        <v>79</v>
      </c>
      <c r="O78" s="265" t="s">
        <v>25</v>
      </c>
      <c r="P78" s="265" t="s">
        <v>25</v>
      </c>
      <c r="Q78" s="259">
        <v>43307</v>
      </c>
      <c r="R78" s="255"/>
      <c r="S78" s="261" t="s">
        <v>25</v>
      </c>
      <c r="T78" s="255"/>
      <c r="U78" s="261" t="s">
        <v>25</v>
      </c>
      <c r="V78" s="261" t="s">
        <v>24</v>
      </c>
      <c r="W78" s="255">
        <v>1</v>
      </c>
      <c r="X78" s="255">
        <v>0</v>
      </c>
      <c r="Y78" s="255">
        <v>0</v>
      </c>
      <c r="Z78" s="255">
        <v>0</v>
      </c>
      <c r="AA78" s="252"/>
      <c r="AB78" s="252"/>
      <c r="AC78" s="252"/>
      <c r="AD78" s="262"/>
      <c r="AE78" s="262"/>
    </row>
    <row r="79" spans="1:46" ht="15" customHeight="1">
      <c r="A79" s="13" t="s">
        <v>140</v>
      </c>
      <c r="B79" s="28" t="s">
        <v>141</v>
      </c>
      <c r="C79" s="63">
        <v>43132</v>
      </c>
      <c r="D79" s="70">
        <v>2153000</v>
      </c>
      <c r="E79" s="73" t="s">
        <v>24</v>
      </c>
      <c r="F79" s="64" t="s">
        <v>24</v>
      </c>
      <c r="G79" s="279" t="s">
        <v>474</v>
      </c>
      <c r="H79" s="74" t="s">
        <v>475</v>
      </c>
      <c r="I79" s="74" t="s">
        <v>305</v>
      </c>
      <c r="J79" s="48" t="s">
        <v>306</v>
      </c>
      <c r="K79" s="67" t="s">
        <v>307</v>
      </c>
      <c r="L79" s="66">
        <v>43109</v>
      </c>
      <c r="M79" s="64">
        <v>32</v>
      </c>
      <c r="N79" s="64">
        <v>61</v>
      </c>
      <c r="O79" s="67" t="s">
        <v>25</v>
      </c>
      <c r="P79" s="64" t="s">
        <v>25</v>
      </c>
      <c r="Q79" s="63">
        <v>43129</v>
      </c>
      <c r="S79" s="64" t="s">
        <v>25</v>
      </c>
      <c r="U79" s="64" t="s">
        <v>25</v>
      </c>
      <c r="V79" s="64" t="s">
        <v>25</v>
      </c>
      <c r="W79" s="64">
        <v>3</v>
      </c>
      <c r="X79" s="64">
        <v>0</v>
      </c>
      <c r="Y79" s="64">
        <v>3</v>
      </c>
      <c r="Z79" s="64">
        <v>2</v>
      </c>
      <c r="AF79" s="262"/>
      <c r="AG79" s="262"/>
      <c r="AH79" s="262"/>
      <c r="AI79" s="262"/>
      <c r="AJ79" s="262"/>
      <c r="AK79" s="262"/>
      <c r="AL79" s="262"/>
      <c r="AM79" s="262"/>
      <c r="AN79" s="262"/>
      <c r="AO79" s="262"/>
      <c r="AP79" s="262"/>
      <c r="AQ79" s="262"/>
      <c r="AR79" s="262"/>
      <c r="AS79" s="262"/>
      <c r="AT79" s="262"/>
    </row>
    <row r="80" spans="1:46">
      <c r="A80" s="263" t="s">
        <v>136</v>
      </c>
      <c r="B80" s="267" t="s">
        <v>137</v>
      </c>
      <c r="C80" s="260">
        <v>43174</v>
      </c>
      <c r="D80" s="264">
        <v>2134000</v>
      </c>
      <c r="E80" s="265" t="s">
        <v>24</v>
      </c>
      <c r="F80" s="255" t="s">
        <v>24</v>
      </c>
      <c r="G80" s="280" t="s">
        <v>476</v>
      </c>
      <c r="H80" s="256" t="s">
        <v>477</v>
      </c>
      <c r="I80" s="256" t="s">
        <v>305</v>
      </c>
      <c r="J80" s="257" t="s">
        <v>306</v>
      </c>
      <c r="K80" s="258" t="s">
        <v>307</v>
      </c>
      <c r="L80" s="259">
        <v>43138</v>
      </c>
      <c r="M80" s="255">
        <v>77</v>
      </c>
      <c r="N80" s="255">
        <v>116</v>
      </c>
      <c r="O80" s="258" t="s">
        <v>25</v>
      </c>
      <c r="P80" s="255" t="s">
        <v>25</v>
      </c>
      <c r="Q80" s="260">
        <v>43160</v>
      </c>
      <c r="R80" s="255"/>
      <c r="S80" s="255" t="s">
        <v>25</v>
      </c>
      <c r="T80" s="255"/>
      <c r="U80" s="255" t="s">
        <v>25</v>
      </c>
      <c r="V80" s="255" t="s">
        <v>25</v>
      </c>
      <c r="W80" s="255">
        <v>7</v>
      </c>
      <c r="X80" s="255">
        <v>0</v>
      </c>
      <c r="Y80" s="255">
        <v>5</v>
      </c>
      <c r="Z80" s="255">
        <v>1</v>
      </c>
      <c r="AA80" s="252" t="s">
        <v>379</v>
      </c>
      <c r="AB80" s="252"/>
      <c r="AC80" s="252"/>
      <c r="AD80" s="262"/>
      <c r="AE80" s="262"/>
      <c r="AF80" s="262"/>
      <c r="AG80" s="262"/>
      <c r="AH80" s="262"/>
      <c r="AI80" s="262"/>
      <c r="AJ80" s="262"/>
      <c r="AK80" s="262"/>
      <c r="AL80" s="262"/>
      <c r="AM80" s="262"/>
      <c r="AN80" s="262"/>
      <c r="AO80" s="262"/>
      <c r="AP80" s="262"/>
      <c r="AQ80" s="262"/>
      <c r="AR80" s="262"/>
      <c r="AS80" s="262"/>
      <c r="AT80" s="262"/>
    </row>
    <row r="81" spans="1:32" s="262" customFormat="1">
      <c r="A81" s="251" t="s">
        <v>77</v>
      </c>
      <c r="B81" s="252" t="s">
        <v>78</v>
      </c>
      <c r="C81" s="260">
        <v>43272</v>
      </c>
      <c r="D81" s="269">
        <v>4040000</v>
      </c>
      <c r="E81" s="255" t="s">
        <v>24</v>
      </c>
      <c r="F81" s="255" t="s">
        <v>24</v>
      </c>
      <c r="G81" s="280" t="s">
        <v>478</v>
      </c>
      <c r="H81" s="270" t="s">
        <v>479</v>
      </c>
      <c r="I81" s="270" t="s">
        <v>305</v>
      </c>
      <c r="J81" s="257" t="s">
        <v>306</v>
      </c>
      <c r="K81" s="266" t="s">
        <v>307</v>
      </c>
      <c r="L81" s="260">
        <v>43271</v>
      </c>
      <c r="M81" s="255">
        <v>45</v>
      </c>
      <c r="N81" s="255">
        <v>63</v>
      </c>
      <c r="O81" s="266" t="s">
        <v>25</v>
      </c>
      <c r="P81" s="261" t="s">
        <v>25</v>
      </c>
      <c r="Q81" s="260">
        <v>43305</v>
      </c>
      <c r="R81" s="64"/>
      <c r="S81" s="261" t="s">
        <v>25</v>
      </c>
      <c r="T81" s="255"/>
      <c r="U81" s="261" t="s">
        <v>25</v>
      </c>
      <c r="V81" s="261" t="s">
        <v>24</v>
      </c>
      <c r="W81" s="255">
        <v>8</v>
      </c>
      <c r="X81" s="255">
        <v>3</v>
      </c>
      <c r="Y81" s="255">
        <v>0</v>
      </c>
      <c r="Z81" s="255">
        <v>0</v>
      </c>
      <c r="AA81" s="274"/>
      <c r="AB81" s="274"/>
      <c r="AC81" s="252"/>
    </row>
    <row r="82" spans="1:32" s="262" customFormat="1" ht="30">
      <c r="A82" s="251" t="s">
        <v>112</v>
      </c>
      <c r="B82" s="252" t="s">
        <v>113</v>
      </c>
      <c r="C82" s="260">
        <v>43292</v>
      </c>
      <c r="D82" s="269">
        <v>3035000</v>
      </c>
      <c r="E82" s="255" t="s">
        <v>24</v>
      </c>
      <c r="F82" s="255" t="s">
        <v>25</v>
      </c>
      <c r="G82" s="280" t="s">
        <v>480</v>
      </c>
      <c r="H82" s="270" t="s">
        <v>481</v>
      </c>
      <c r="I82" s="270" t="s">
        <v>341</v>
      </c>
      <c r="J82" s="257" t="s">
        <v>306</v>
      </c>
      <c r="K82" s="258" t="s">
        <v>307</v>
      </c>
      <c r="L82" s="260">
        <v>43257</v>
      </c>
      <c r="M82" s="255">
        <v>11</v>
      </c>
      <c r="N82" s="255">
        <v>22</v>
      </c>
      <c r="O82" s="266" t="s">
        <v>25</v>
      </c>
      <c r="P82" s="261" t="s">
        <v>25</v>
      </c>
      <c r="Q82" s="260">
        <v>43294</v>
      </c>
      <c r="R82" s="255"/>
      <c r="S82" s="261" t="s">
        <v>25</v>
      </c>
      <c r="T82" s="255"/>
      <c r="U82" s="261" t="s">
        <v>25</v>
      </c>
      <c r="V82" s="261" t="s">
        <v>24</v>
      </c>
      <c r="W82" s="255">
        <v>1</v>
      </c>
      <c r="X82" s="255">
        <v>0</v>
      </c>
      <c r="Y82" s="255">
        <v>0</v>
      </c>
      <c r="Z82" s="255">
        <v>0</v>
      </c>
      <c r="AA82" s="349"/>
      <c r="AB82" s="349"/>
      <c r="AC82" s="349"/>
      <c r="AD82" s="262" t="s">
        <v>29</v>
      </c>
    </row>
    <row r="83" spans="1:32" s="262" customFormat="1">
      <c r="A83" s="263" t="s">
        <v>144</v>
      </c>
      <c r="B83" s="29" t="s">
        <v>145</v>
      </c>
      <c r="C83" s="260">
        <v>43220</v>
      </c>
      <c r="D83" s="264">
        <v>1281000</v>
      </c>
      <c r="E83" s="265" t="s">
        <v>24</v>
      </c>
      <c r="F83" s="255" t="s">
        <v>24</v>
      </c>
      <c r="G83" s="280" t="s">
        <v>482</v>
      </c>
      <c r="H83" s="256" t="s">
        <v>483</v>
      </c>
      <c r="I83" s="256" t="s">
        <v>305</v>
      </c>
      <c r="J83" s="257" t="s">
        <v>306</v>
      </c>
      <c r="K83" s="258" t="s">
        <v>307</v>
      </c>
      <c r="L83" s="259">
        <v>43218</v>
      </c>
      <c r="M83" s="255">
        <v>56</v>
      </c>
      <c r="N83" s="255">
        <v>88</v>
      </c>
      <c r="O83" s="258" t="s">
        <v>25</v>
      </c>
      <c r="P83" s="261" t="s">
        <v>25</v>
      </c>
      <c r="Q83" s="260">
        <v>43294</v>
      </c>
      <c r="R83" s="255"/>
      <c r="S83" s="261" t="s">
        <v>25</v>
      </c>
      <c r="T83" s="255"/>
      <c r="U83" s="261" t="s">
        <v>25</v>
      </c>
      <c r="V83" s="261" t="s">
        <v>25</v>
      </c>
      <c r="W83" s="255">
        <v>1</v>
      </c>
      <c r="X83" s="255">
        <v>0</v>
      </c>
      <c r="Y83" s="255">
        <v>12</v>
      </c>
      <c r="Z83" s="255">
        <v>1</v>
      </c>
      <c r="AA83" s="252"/>
      <c r="AB83" s="252"/>
      <c r="AC83" s="252"/>
    </row>
    <row r="84" spans="1:32" s="262" customFormat="1">
      <c r="A84" s="5" t="s">
        <v>148</v>
      </c>
      <c r="B84" s="62" t="s">
        <v>149</v>
      </c>
      <c r="C84" s="63">
        <v>43292</v>
      </c>
      <c r="D84" s="140">
        <v>2162000</v>
      </c>
      <c r="E84" s="64" t="s">
        <v>24</v>
      </c>
      <c r="F84" s="64" t="s">
        <v>24</v>
      </c>
      <c r="G84" s="279" t="s">
        <v>484</v>
      </c>
      <c r="H84" s="98" t="s">
        <v>485</v>
      </c>
      <c r="I84" s="98" t="s">
        <v>305</v>
      </c>
      <c r="J84" s="48" t="s">
        <v>306</v>
      </c>
      <c r="K84" s="219" t="s">
        <v>307</v>
      </c>
      <c r="L84" s="63">
        <v>43253</v>
      </c>
      <c r="M84" s="64">
        <v>60</v>
      </c>
      <c r="N84" s="64">
        <v>97</v>
      </c>
      <c r="O84" s="67" t="s">
        <v>25</v>
      </c>
      <c r="P84" s="47" t="s">
        <v>25</v>
      </c>
      <c r="Q84" s="63">
        <v>43294</v>
      </c>
      <c r="R84" s="64"/>
      <c r="S84" s="47" t="s">
        <v>25</v>
      </c>
      <c r="T84" s="64"/>
      <c r="U84" s="47" t="s">
        <v>24</v>
      </c>
      <c r="V84" s="47" t="s">
        <v>24</v>
      </c>
      <c r="W84" s="64">
        <v>0</v>
      </c>
      <c r="X84" s="64">
        <v>0</v>
      </c>
      <c r="Y84" s="64">
        <v>0</v>
      </c>
      <c r="Z84" s="64">
        <v>0</v>
      </c>
      <c r="AA84" s="62"/>
      <c r="AB84" s="62"/>
      <c r="AC84" s="62"/>
      <c r="AD84" s="65"/>
      <c r="AE84" s="65"/>
    </row>
    <row r="85" spans="1:32" s="262" customFormat="1">
      <c r="A85" s="251" t="s">
        <v>148</v>
      </c>
      <c r="B85" s="252" t="s">
        <v>149</v>
      </c>
      <c r="C85" s="260">
        <v>43292</v>
      </c>
      <c r="D85" s="269">
        <v>2162000</v>
      </c>
      <c r="E85" s="255" t="s">
        <v>24</v>
      </c>
      <c r="F85" s="255" t="s">
        <v>24</v>
      </c>
      <c r="G85" s="280" t="s">
        <v>486</v>
      </c>
      <c r="H85" s="270" t="s">
        <v>487</v>
      </c>
      <c r="I85" s="270" t="s">
        <v>305</v>
      </c>
      <c r="J85" s="48" t="s">
        <v>306</v>
      </c>
      <c r="K85" s="266" t="s">
        <v>307</v>
      </c>
      <c r="L85" s="260">
        <v>43253</v>
      </c>
      <c r="M85" s="255">
        <v>67</v>
      </c>
      <c r="N85" s="255">
        <v>97</v>
      </c>
      <c r="O85" s="258" t="s">
        <v>25</v>
      </c>
      <c r="P85" s="261" t="s">
        <v>25</v>
      </c>
      <c r="Q85" s="260">
        <v>43300</v>
      </c>
      <c r="R85" s="255"/>
      <c r="S85" s="261" t="s">
        <v>25</v>
      </c>
      <c r="T85" s="255"/>
      <c r="U85" s="261" t="s">
        <v>24</v>
      </c>
      <c r="V85" s="261" t="s">
        <v>24</v>
      </c>
      <c r="W85" s="255">
        <v>0</v>
      </c>
      <c r="X85" s="255">
        <v>0</v>
      </c>
      <c r="Y85" s="255">
        <v>0</v>
      </c>
      <c r="Z85" s="255">
        <v>0</v>
      </c>
      <c r="AA85" s="252"/>
      <c r="AB85" s="252"/>
      <c r="AC85" s="252"/>
    </row>
    <row r="86" spans="1:32" s="262" customFormat="1">
      <c r="A86" s="251" t="s">
        <v>63</v>
      </c>
      <c r="B86" s="252" t="s">
        <v>488</v>
      </c>
      <c r="C86" s="253">
        <v>43132</v>
      </c>
      <c r="D86" s="264">
        <v>2034029</v>
      </c>
      <c r="E86" s="255" t="s">
        <v>25</v>
      </c>
      <c r="F86" s="265" t="s">
        <v>24</v>
      </c>
      <c r="G86" s="357" t="s">
        <v>489</v>
      </c>
      <c r="H86" s="256" t="s">
        <v>490</v>
      </c>
      <c r="I86" s="358" t="s">
        <v>305</v>
      </c>
      <c r="J86" s="257" t="s">
        <v>306</v>
      </c>
      <c r="K86" s="265" t="s">
        <v>307</v>
      </c>
      <c r="L86" s="259">
        <v>43146</v>
      </c>
      <c r="M86" s="255">
        <v>20</v>
      </c>
      <c r="N86" s="255">
        <v>36</v>
      </c>
      <c r="O86" s="258" t="s">
        <v>25</v>
      </c>
      <c r="P86" s="255" t="s">
        <v>25</v>
      </c>
      <c r="Q86" s="260">
        <v>43175</v>
      </c>
      <c r="R86" s="255"/>
      <c r="S86" s="255" t="s">
        <v>25</v>
      </c>
      <c r="T86" s="255"/>
      <c r="U86" s="255" t="s">
        <v>25</v>
      </c>
      <c r="V86" s="255" t="s">
        <v>25</v>
      </c>
      <c r="W86" s="255">
        <v>3</v>
      </c>
      <c r="X86" s="255">
        <v>2</v>
      </c>
      <c r="Y86" s="255">
        <v>1</v>
      </c>
      <c r="Z86" s="255">
        <v>0</v>
      </c>
      <c r="AA86" s="252"/>
      <c r="AB86" s="252"/>
      <c r="AC86" s="252"/>
    </row>
    <row r="87" spans="1:32" s="262" customFormat="1">
      <c r="A87" s="263" t="s">
        <v>152</v>
      </c>
      <c r="B87" s="267" t="s">
        <v>153</v>
      </c>
      <c r="C87" s="268">
        <v>43265</v>
      </c>
      <c r="D87" s="273">
        <v>3164001</v>
      </c>
      <c r="E87" s="254" t="s">
        <v>24</v>
      </c>
      <c r="F87" s="255" t="s">
        <v>24</v>
      </c>
      <c r="G87" s="287" t="s">
        <v>491</v>
      </c>
      <c r="H87" s="256" t="s">
        <v>492</v>
      </c>
      <c r="I87" s="256" t="s">
        <v>305</v>
      </c>
      <c r="J87" s="257" t="s">
        <v>306</v>
      </c>
      <c r="K87" s="266" t="s">
        <v>307</v>
      </c>
      <c r="L87" s="259">
        <v>43246</v>
      </c>
      <c r="M87" s="255">
        <v>31</v>
      </c>
      <c r="N87" s="255">
        <v>54</v>
      </c>
      <c r="O87" s="266" t="s">
        <v>25</v>
      </c>
      <c r="P87" s="261" t="s">
        <v>25</v>
      </c>
      <c r="Q87" s="260">
        <v>43265</v>
      </c>
      <c r="R87" s="255"/>
      <c r="S87" s="261" t="s">
        <v>25</v>
      </c>
      <c r="T87" s="255"/>
      <c r="U87" s="261" t="s">
        <v>25</v>
      </c>
      <c r="V87" s="261" t="s">
        <v>24</v>
      </c>
      <c r="W87" s="255">
        <v>1</v>
      </c>
      <c r="X87" s="255">
        <v>0</v>
      </c>
      <c r="Y87" s="255">
        <v>0</v>
      </c>
      <c r="Z87" s="255">
        <v>0</v>
      </c>
      <c r="AA87" s="252"/>
      <c r="AB87" s="252"/>
      <c r="AC87" s="252"/>
    </row>
    <row r="88" spans="1:32" s="262" customFormat="1">
      <c r="A88" s="263" t="s">
        <v>152</v>
      </c>
      <c r="B88" s="267" t="s">
        <v>153</v>
      </c>
      <c r="C88" s="268">
        <v>43328</v>
      </c>
      <c r="D88" s="273">
        <v>3164002</v>
      </c>
      <c r="E88" s="254" t="s">
        <v>24</v>
      </c>
      <c r="F88" s="255" t="s">
        <v>24</v>
      </c>
      <c r="G88" s="287" t="s">
        <v>493</v>
      </c>
      <c r="H88" s="256" t="s">
        <v>494</v>
      </c>
      <c r="I88" s="256" t="s">
        <v>305</v>
      </c>
      <c r="J88" s="257" t="s">
        <v>306</v>
      </c>
      <c r="K88" s="266" t="s">
        <v>307</v>
      </c>
      <c r="L88" s="259">
        <v>43246</v>
      </c>
      <c r="M88" s="255">
        <v>84</v>
      </c>
      <c r="N88" s="255">
        <v>133</v>
      </c>
      <c r="O88" s="266" t="s">
        <v>25</v>
      </c>
      <c r="P88" s="261" t="s">
        <v>25</v>
      </c>
      <c r="Q88" s="260">
        <v>43328</v>
      </c>
      <c r="R88" s="255"/>
      <c r="S88" s="261" t="s">
        <v>25</v>
      </c>
      <c r="T88" s="255"/>
      <c r="U88" s="261" t="s">
        <v>25</v>
      </c>
      <c r="V88" s="261" t="s">
        <v>24</v>
      </c>
      <c r="W88" s="255">
        <v>20</v>
      </c>
      <c r="X88" s="255">
        <v>0</v>
      </c>
      <c r="Y88" s="255">
        <v>0</v>
      </c>
      <c r="Z88" s="255">
        <v>0</v>
      </c>
      <c r="AA88" s="252"/>
      <c r="AB88" s="252"/>
      <c r="AC88" s="252"/>
    </row>
    <row r="89" spans="1:32" s="262" customFormat="1">
      <c r="A89" s="263" t="s">
        <v>155</v>
      </c>
      <c r="B89" s="29" t="s">
        <v>156</v>
      </c>
      <c r="C89" s="260">
        <v>43157</v>
      </c>
      <c r="D89" s="264">
        <v>4167000</v>
      </c>
      <c r="E89" s="265" t="s">
        <v>24</v>
      </c>
      <c r="F89" s="255" t="s">
        <v>24</v>
      </c>
      <c r="G89" s="280" t="s">
        <v>495</v>
      </c>
      <c r="H89" s="256" t="s">
        <v>496</v>
      </c>
      <c r="I89" s="256" t="s">
        <v>305</v>
      </c>
      <c r="J89" s="257" t="s">
        <v>306</v>
      </c>
      <c r="K89" s="258" t="s">
        <v>307</v>
      </c>
      <c r="L89" s="259">
        <v>43141</v>
      </c>
      <c r="M89" s="255">
        <v>41</v>
      </c>
      <c r="N89" s="255">
        <v>58</v>
      </c>
      <c r="O89" s="258" t="s">
        <v>25</v>
      </c>
      <c r="P89" s="255" t="s">
        <v>25</v>
      </c>
      <c r="Q89" s="260">
        <v>43157</v>
      </c>
      <c r="R89" s="255"/>
      <c r="S89" s="255" t="s">
        <v>25</v>
      </c>
      <c r="T89" s="255"/>
      <c r="U89" s="255" t="s">
        <v>25</v>
      </c>
      <c r="V89" s="255" t="s">
        <v>25</v>
      </c>
      <c r="W89" s="255">
        <v>9</v>
      </c>
      <c r="X89" s="255">
        <v>0</v>
      </c>
      <c r="Y89" s="255">
        <v>5</v>
      </c>
      <c r="Z89" s="255">
        <v>3</v>
      </c>
      <c r="AA89" s="252"/>
      <c r="AB89" s="252"/>
      <c r="AC89" s="252"/>
      <c r="AF89" s="273"/>
    </row>
    <row r="90" spans="1:32" s="262" customFormat="1">
      <c r="A90" s="251" t="s">
        <v>77</v>
      </c>
      <c r="B90" s="252" t="s">
        <v>78</v>
      </c>
      <c r="C90" s="260">
        <v>43272</v>
      </c>
      <c r="D90" s="269">
        <v>4040000</v>
      </c>
      <c r="E90" s="255" t="s">
        <v>24</v>
      </c>
      <c r="F90" s="255" t="s">
        <v>24</v>
      </c>
      <c r="G90" s="280" t="s">
        <v>497</v>
      </c>
      <c r="H90" s="270" t="s">
        <v>498</v>
      </c>
      <c r="I90" s="270" t="s">
        <v>305</v>
      </c>
      <c r="J90" s="257" t="s">
        <v>306</v>
      </c>
      <c r="K90" s="266" t="s">
        <v>307</v>
      </c>
      <c r="L90" s="260">
        <v>43271</v>
      </c>
      <c r="M90" s="255">
        <v>39</v>
      </c>
      <c r="N90" s="255">
        <v>64</v>
      </c>
      <c r="O90" s="266" t="s">
        <v>25</v>
      </c>
      <c r="P90" s="261" t="s">
        <v>25</v>
      </c>
      <c r="Q90" s="260">
        <v>43305</v>
      </c>
      <c r="S90" s="261" t="s">
        <v>25</v>
      </c>
      <c r="T90" s="255"/>
      <c r="U90" s="261" t="s">
        <v>25</v>
      </c>
      <c r="V90" s="261" t="s">
        <v>24</v>
      </c>
      <c r="W90" s="255">
        <v>1</v>
      </c>
      <c r="X90" s="255">
        <v>0</v>
      </c>
      <c r="Y90" s="255">
        <v>0</v>
      </c>
      <c r="Z90" s="255">
        <v>0</v>
      </c>
      <c r="AA90" s="274"/>
      <c r="AB90" s="274"/>
      <c r="AC90" s="252"/>
    </row>
    <row r="91" spans="1:32" s="262" customFormat="1">
      <c r="A91" s="251" t="s">
        <v>63</v>
      </c>
      <c r="B91" s="252" t="s">
        <v>488</v>
      </c>
      <c r="C91" s="260">
        <v>43175</v>
      </c>
      <c r="D91" s="264">
        <v>2034026</v>
      </c>
      <c r="E91" s="255" t="s">
        <v>25</v>
      </c>
      <c r="F91" s="265" t="s">
        <v>24</v>
      </c>
      <c r="G91" s="357" t="s">
        <v>499</v>
      </c>
      <c r="H91" s="256" t="s">
        <v>500</v>
      </c>
      <c r="I91" s="358" t="s">
        <v>305</v>
      </c>
      <c r="J91" s="257" t="s">
        <v>306</v>
      </c>
      <c r="K91" s="265" t="s">
        <v>307</v>
      </c>
      <c r="L91" s="259">
        <v>43146</v>
      </c>
      <c r="M91" s="255">
        <v>81</v>
      </c>
      <c r="N91" s="255">
        <v>128</v>
      </c>
      <c r="O91" s="258" t="s">
        <v>25</v>
      </c>
      <c r="P91" s="255" t="s">
        <v>25</v>
      </c>
      <c r="Q91" s="260">
        <v>43175</v>
      </c>
      <c r="R91" s="255"/>
      <c r="S91" s="255" t="s">
        <v>25</v>
      </c>
      <c r="T91" s="255"/>
      <c r="U91" s="255" t="s">
        <v>25</v>
      </c>
      <c r="V91" s="255" t="s">
        <v>24</v>
      </c>
      <c r="W91" s="255">
        <v>2</v>
      </c>
      <c r="X91" s="255">
        <v>0</v>
      </c>
      <c r="Y91" s="255">
        <v>0</v>
      </c>
      <c r="Z91" s="255">
        <v>0</v>
      </c>
      <c r="AA91" s="252"/>
      <c r="AB91" s="252"/>
      <c r="AC91" s="252"/>
    </row>
    <row r="92" spans="1:32" s="262" customFormat="1" ht="27" customHeight="1">
      <c r="A92" s="5" t="s">
        <v>70</v>
      </c>
      <c r="B92" s="98" t="s">
        <v>71</v>
      </c>
      <c r="C92" s="63">
        <v>43308</v>
      </c>
      <c r="D92" s="140">
        <v>3298000</v>
      </c>
      <c r="E92" s="275" t="s">
        <v>25</v>
      </c>
      <c r="F92" s="64" t="s">
        <v>24</v>
      </c>
      <c r="G92" s="286" t="s">
        <v>501</v>
      </c>
      <c r="H92" s="98" t="s">
        <v>502</v>
      </c>
      <c r="I92" s="98" t="s">
        <v>305</v>
      </c>
      <c r="J92" s="48" t="s">
        <v>306</v>
      </c>
      <c r="K92" s="67" t="s">
        <v>307</v>
      </c>
      <c r="L92" s="63">
        <v>43267</v>
      </c>
      <c r="M92" s="64">
        <v>58</v>
      </c>
      <c r="N92" s="64">
        <v>91</v>
      </c>
      <c r="O92" s="219" t="s">
        <v>25</v>
      </c>
      <c r="P92" s="47" t="s">
        <v>25</v>
      </c>
      <c r="Q92" s="63">
        <v>43308</v>
      </c>
      <c r="R92" s="64">
        <f>SUMIF(A:A,"MasconometRSD",N:N)</f>
        <v>91</v>
      </c>
      <c r="S92" s="47" t="s">
        <v>25</v>
      </c>
      <c r="T92" s="64"/>
      <c r="U92" s="47" t="s">
        <v>25</v>
      </c>
      <c r="V92" s="47" t="s">
        <v>25</v>
      </c>
      <c r="W92" s="64">
        <v>2</v>
      </c>
      <c r="X92" s="64">
        <v>0</v>
      </c>
      <c r="Y92" s="64">
        <v>4</v>
      </c>
      <c r="Z92" s="64">
        <v>0</v>
      </c>
      <c r="AA92" s="62"/>
      <c r="AB92" s="62"/>
      <c r="AC92" s="62"/>
      <c r="AD92" s="65"/>
      <c r="AE92" s="65"/>
    </row>
    <row r="93" spans="1:32" s="262" customFormat="1">
      <c r="A93" s="263" t="s">
        <v>159</v>
      </c>
      <c r="B93" s="267" t="s">
        <v>160</v>
      </c>
      <c r="C93" s="268">
        <v>43403</v>
      </c>
      <c r="D93" s="264">
        <v>2174000</v>
      </c>
      <c r="E93" s="255" t="s">
        <v>24</v>
      </c>
      <c r="F93" s="255" t="s">
        <v>24</v>
      </c>
      <c r="G93" s="287" t="s">
        <v>503</v>
      </c>
      <c r="H93" s="256" t="s">
        <v>504</v>
      </c>
      <c r="I93" s="256" t="s">
        <v>305</v>
      </c>
      <c r="J93" s="257" t="s">
        <v>306</v>
      </c>
      <c r="K93" s="266" t="s">
        <v>307</v>
      </c>
      <c r="L93" s="259">
        <v>43404</v>
      </c>
      <c r="M93" s="255">
        <v>29</v>
      </c>
      <c r="N93" s="255">
        <v>57</v>
      </c>
      <c r="O93" s="266" t="s">
        <v>25</v>
      </c>
      <c r="P93" s="261" t="s">
        <v>25</v>
      </c>
      <c r="Q93" s="260">
        <v>43420</v>
      </c>
      <c r="R93" s="255">
        <f>SUMIF(A:A,"MaynardPS",N:N)</f>
        <v>254</v>
      </c>
      <c r="S93" s="261" t="s">
        <v>25</v>
      </c>
      <c r="T93" s="255"/>
      <c r="U93" s="261" t="s">
        <v>24</v>
      </c>
      <c r="V93" s="261" t="s">
        <v>24</v>
      </c>
      <c r="W93" s="255">
        <v>0</v>
      </c>
      <c r="X93" s="255">
        <v>0</v>
      </c>
      <c r="Y93" s="255">
        <v>0</v>
      </c>
      <c r="Z93" s="255">
        <v>0</v>
      </c>
      <c r="AA93" s="252"/>
      <c r="AB93" s="252"/>
      <c r="AC93" s="252"/>
    </row>
    <row r="94" spans="1:32" s="262" customFormat="1">
      <c r="A94" s="263" t="s">
        <v>185</v>
      </c>
      <c r="B94" s="267" t="s">
        <v>186</v>
      </c>
      <c r="C94" s="268">
        <v>43315</v>
      </c>
      <c r="D94" s="264">
        <v>1275001</v>
      </c>
      <c r="E94" s="261" t="s">
        <v>24</v>
      </c>
      <c r="F94" s="261" t="s">
        <v>25</v>
      </c>
      <c r="G94" s="287" t="s">
        <v>505</v>
      </c>
      <c r="H94" s="256" t="s">
        <v>506</v>
      </c>
      <c r="I94" s="256" t="s">
        <v>305</v>
      </c>
      <c r="J94" s="257" t="s">
        <v>306</v>
      </c>
      <c r="K94" s="266" t="s">
        <v>307</v>
      </c>
      <c r="L94" s="259">
        <v>43267</v>
      </c>
      <c r="M94" s="255">
        <v>24</v>
      </c>
      <c r="N94" s="255">
        <v>30</v>
      </c>
      <c r="O94" s="266" t="s">
        <v>25</v>
      </c>
      <c r="P94" s="261" t="s">
        <v>25</v>
      </c>
      <c r="Q94" s="260">
        <v>43315</v>
      </c>
      <c r="R94" s="255"/>
      <c r="S94" s="261" t="s">
        <v>25</v>
      </c>
      <c r="T94" s="255"/>
      <c r="U94" s="261" t="s">
        <v>25</v>
      </c>
      <c r="V94" s="261" t="s">
        <v>24</v>
      </c>
      <c r="W94" s="255">
        <v>1</v>
      </c>
      <c r="X94" s="255">
        <v>0</v>
      </c>
      <c r="Y94" s="255">
        <v>0</v>
      </c>
      <c r="Z94" s="255">
        <v>0</v>
      </c>
      <c r="AA94" s="252"/>
      <c r="AB94" s="252"/>
      <c r="AC94" s="252"/>
    </row>
    <row r="95" spans="1:32" s="262" customFormat="1">
      <c r="A95" s="263" t="s">
        <v>123</v>
      </c>
      <c r="B95" s="29" t="s">
        <v>124</v>
      </c>
      <c r="C95" s="260">
        <v>43180</v>
      </c>
      <c r="D95" s="264">
        <v>2110000</v>
      </c>
      <c r="E95" s="265" t="s">
        <v>24</v>
      </c>
      <c r="F95" s="255" t="s">
        <v>24</v>
      </c>
      <c r="G95" s="280" t="s">
        <v>507</v>
      </c>
      <c r="H95" s="256" t="s">
        <v>508</v>
      </c>
      <c r="I95" s="256" t="s">
        <v>305</v>
      </c>
      <c r="J95" s="257" t="s">
        <v>306</v>
      </c>
      <c r="K95" s="258" t="s">
        <v>307</v>
      </c>
      <c r="L95" s="355">
        <v>43159</v>
      </c>
      <c r="M95" s="255">
        <v>95</v>
      </c>
      <c r="N95" s="255">
        <v>137</v>
      </c>
      <c r="O95" s="258" t="s">
        <v>25</v>
      </c>
      <c r="P95" s="255" t="s">
        <v>25</v>
      </c>
      <c r="Q95" s="260">
        <v>43180</v>
      </c>
      <c r="R95" s="255"/>
      <c r="S95" s="255" t="s">
        <v>25</v>
      </c>
      <c r="T95" s="255"/>
      <c r="U95" s="255" t="s">
        <v>25</v>
      </c>
      <c r="V95" s="255" t="s">
        <v>24</v>
      </c>
      <c r="W95" s="255">
        <v>2</v>
      </c>
      <c r="X95" s="255">
        <v>0</v>
      </c>
      <c r="Y95" s="255">
        <v>0</v>
      </c>
      <c r="Z95" s="255">
        <v>0</v>
      </c>
      <c r="AA95" s="252"/>
      <c r="AB95" s="252"/>
      <c r="AC95" s="252"/>
    </row>
    <row r="96" spans="1:32" s="262" customFormat="1">
      <c r="A96" s="5" t="s">
        <v>209</v>
      </c>
      <c r="B96" s="65" t="s">
        <v>207</v>
      </c>
      <c r="C96" s="31">
        <v>43160</v>
      </c>
      <c r="D96" s="72">
        <v>3330000</v>
      </c>
      <c r="E96" s="64" t="s">
        <v>24</v>
      </c>
      <c r="F96" s="64" t="s">
        <v>24</v>
      </c>
      <c r="G96" s="282" t="s">
        <v>509</v>
      </c>
      <c r="H96" s="72" t="s">
        <v>510</v>
      </c>
      <c r="I96" s="72" t="s">
        <v>305</v>
      </c>
      <c r="J96" s="48" t="s">
        <v>306</v>
      </c>
      <c r="K96" s="67" t="s">
        <v>307</v>
      </c>
      <c r="L96" s="66">
        <v>43123</v>
      </c>
      <c r="M96" s="64">
        <v>13</v>
      </c>
      <c r="N96" s="64">
        <v>21</v>
      </c>
      <c r="O96" s="64" t="s">
        <v>25</v>
      </c>
      <c r="P96" s="64" t="s">
        <v>25</v>
      </c>
      <c r="Q96" s="63">
        <v>43160</v>
      </c>
      <c r="R96" s="64"/>
      <c r="S96" s="64" t="s">
        <v>25</v>
      </c>
      <c r="T96" s="64"/>
      <c r="U96" s="64" t="s">
        <v>25</v>
      </c>
      <c r="V96" s="64" t="s">
        <v>24</v>
      </c>
      <c r="W96" s="64">
        <v>1</v>
      </c>
      <c r="X96" s="64">
        <v>0</v>
      </c>
      <c r="Y96" s="64">
        <v>0</v>
      </c>
      <c r="Z96" s="64">
        <v>0</v>
      </c>
      <c r="AA96" s="62"/>
      <c r="AB96" s="62"/>
      <c r="AC96" s="62"/>
      <c r="AD96" s="65"/>
      <c r="AE96" s="65"/>
    </row>
    <row r="97" spans="1:46" s="262" customFormat="1">
      <c r="A97" s="251" t="s">
        <v>77</v>
      </c>
      <c r="B97" s="252" t="s">
        <v>78</v>
      </c>
      <c r="C97" s="260">
        <v>43266</v>
      </c>
      <c r="D97" s="269">
        <v>4040000</v>
      </c>
      <c r="E97" s="255" t="s">
        <v>24</v>
      </c>
      <c r="F97" s="255" t="s">
        <v>24</v>
      </c>
      <c r="G97" s="280" t="s">
        <v>511</v>
      </c>
      <c r="H97" s="270" t="s">
        <v>512</v>
      </c>
      <c r="I97" s="270" t="s">
        <v>305</v>
      </c>
      <c r="J97" s="257" t="s">
        <v>306</v>
      </c>
      <c r="K97" s="266" t="s">
        <v>307</v>
      </c>
      <c r="L97" s="260">
        <v>43263</v>
      </c>
      <c r="M97" s="255">
        <v>41</v>
      </c>
      <c r="N97" s="255">
        <v>59</v>
      </c>
      <c r="O97" s="266" t="s">
        <v>25</v>
      </c>
      <c r="P97" s="261" t="s">
        <v>25</v>
      </c>
      <c r="Q97" s="260">
        <v>43306</v>
      </c>
      <c r="R97" s="255"/>
      <c r="S97" s="261" t="s">
        <v>25</v>
      </c>
      <c r="T97" s="255"/>
      <c r="U97" s="261" t="s">
        <v>25</v>
      </c>
      <c r="V97" s="261" t="s">
        <v>24</v>
      </c>
      <c r="W97" s="255">
        <v>3</v>
      </c>
      <c r="X97" s="255">
        <v>0</v>
      </c>
      <c r="Y97" s="255">
        <v>0</v>
      </c>
      <c r="Z97" s="255">
        <v>0</v>
      </c>
      <c r="AA97" s="274"/>
      <c r="AB97" s="274"/>
      <c r="AC97" s="252"/>
    </row>
    <row r="98" spans="1:46" s="262" customFormat="1">
      <c r="A98" s="263" t="s">
        <v>174</v>
      </c>
      <c r="B98" s="267" t="s">
        <v>175</v>
      </c>
      <c r="C98" s="268">
        <v>43258</v>
      </c>
      <c r="D98" s="264">
        <v>1236000</v>
      </c>
      <c r="E98" s="254" t="s">
        <v>24</v>
      </c>
      <c r="F98" s="255" t="s">
        <v>24</v>
      </c>
      <c r="G98" s="287" t="s">
        <v>513</v>
      </c>
      <c r="H98" s="256" t="s">
        <v>514</v>
      </c>
      <c r="I98" s="256" t="s">
        <v>305</v>
      </c>
      <c r="J98" s="257" t="s">
        <v>306</v>
      </c>
      <c r="K98" s="258" t="s">
        <v>307</v>
      </c>
      <c r="L98" s="259">
        <v>43253</v>
      </c>
      <c r="M98" s="261">
        <v>44</v>
      </c>
      <c r="N98" s="261">
        <v>78</v>
      </c>
      <c r="O98" s="258" t="s">
        <v>25</v>
      </c>
      <c r="P98" s="261" t="s">
        <v>25</v>
      </c>
      <c r="Q98" s="260">
        <v>43299</v>
      </c>
      <c r="R98" s="255"/>
      <c r="S98" s="261" t="s">
        <v>25</v>
      </c>
      <c r="T98" s="255"/>
      <c r="U98" s="261" t="s">
        <v>25</v>
      </c>
      <c r="V98" s="261" t="s">
        <v>24</v>
      </c>
      <c r="W98" s="255">
        <v>1</v>
      </c>
      <c r="X98" s="255">
        <v>0</v>
      </c>
      <c r="Y98" s="255">
        <v>0</v>
      </c>
      <c r="Z98" s="255">
        <v>0</v>
      </c>
      <c r="AA98" s="252"/>
      <c r="AB98" s="252"/>
      <c r="AC98" s="252"/>
    </row>
    <row r="99" spans="1:46">
      <c r="A99" s="263" t="s">
        <v>185</v>
      </c>
      <c r="B99" s="267" t="s">
        <v>186</v>
      </c>
      <c r="C99" s="268">
        <v>43315</v>
      </c>
      <c r="D99" s="264">
        <v>1275001</v>
      </c>
      <c r="E99" s="261" t="s">
        <v>24</v>
      </c>
      <c r="F99" s="261" t="s">
        <v>25</v>
      </c>
      <c r="G99" s="287" t="s">
        <v>515</v>
      </c>
      <c r="H99" s="256" t="s">
        <v>516</v>
      </c>
      <c r="I99" s="256" t="s">
        <v>305</v>
      </c>
      <c r="J99" s="257" t="s">
        <v>306</v>
      </c>
      <c r="K99" s="266" t="s">
        <v>307</v>
      </c>
      <c r="L99" s="259">
        <v>43267</v>
      </c>
      <c r="M99" s="255">
        <v>56</v>
      </c>
      <c r="N99" s="255">
        <v>89</v>
      </c>
      <c r="O99" s="266" t="s">
        <v>25</v>
      </c>
      <c r="P99" s="261" t="s">
        <v>25</v>
      </c>
      <c r="Q99" s="260">
        <v>43315</v>
      </c>
      <c r="R99" s="255"/>
      <c r="S99" s="261" t="s">
        <v>25</v>
      </c>
      <c r="T99" s="255"/>
      <c r="U99" s="261" t="s">
        <v>25</v>
      </c>
      <c r="V99" s="261" t="s">
        <v>24</v>
      </c>
      <c r="W99" s="255">
        <v>2</v>
      </c>
      <c r="X99" s="255">
        <v>0</v>
      </c>
      <c r="Y99" s="255">
        <v>0</v>
      </c>
      <c r="Z99" s="255">
        <v>0</v>
      </c>
      <c r="AA99" s="252"/>
      <c r="AB99" s="252"/>
      <c r="AC99" s="252"/>
      <c r="AD99" s="262"/>
      <c r="AE99" s="262"/>
    </row>
    <row r="100" spans="1:46">
      <c r="A100" s="13" t="s">
        <v>136</v>
      </c>
      <c r="B100" s="68" t="s">
        <v>375</v>
      </c>
      <c r="C100" s="63">
        <v>43145</v>
      </c>
      <c r="D100" s="70">
        <v>2134000</v>
      </c>
      <c r="E100" s="73" t="s">
        <v>24</v>
      </c>
      <c r="F100" s="64" t="s">
        <v>24</v>
      </c>
      <c r="G100" s="279" t="s">
        <v>517</v>
      </c>
      <c r="H100" s="74" t="s">
        <v>518</v>
      </c>
      <c r="I100" s="74" t="s">
        <v>305</v>
      </c>
      <c r="J100" s="48" t="s">
        <v>306</v>
      </c>
      <c r="K100" s="67" t="s">
        <v>307</v>
      </c>
      <c r="L100" s="66">
        <v>43134</v>
      </c>
      <c r="M100" s="64">
        <v>54</v>
      </c>
      <c r="N100" s="64">
        <v>85</v>
      </c>
      <c r="O100" s="67" t="s">
        <v>25</v>
      </c>
      <c r="P100" s="64" t="s">
        <v>25</v>
      </c>
      <c r="Q100" s="63">
        <v>43160</v>
      </c>
      <c r="S100" s="64" t="s">
        <v>25</v>
      </c>
      <c r="T100" s="64" t="s">
        <v>308</v>
      </c>
      <c r="U100" s="64" t="s">
        <v>25</v>
      </c>
      <c r="V100" s="64" t="s">
        <v>24</v>
      </c>
      <c r="W100" s="64">
        <v>1</v>
      </c>
      <c r="X100" s="64">
        <v>0</v>
      </c>
      <c r="Y100" s="64">
        <v>0</v>
      </c>
      <c r="Z100" s="64">
        <v>0</v>
      </c>
      <c r="AA100" s="62" t="s">
        <v>379</v>
      </c>
    </row>
    <row r="101" spans="1:46">
      <c r="A101" s="13" t="s">
        <v>178</v>
      </c>
      <c r="B101" s="68" t="s">
        <v>179</v>
      </c>
      <c r="C101" s="4">
        <v>43313</v>
      </c>
      <c r="D101" s="70">
        <v>1267000</v>
      </c>
      <c r="E101" s="64" t="s">
        <v>24</v>
      </c>
      <c r="F101" s="64" t="s">
        <v>24</v>
      </c>
      <c r="G101" s="285" t="s">
        <v>519</v>
      </c>
      <c r="H101" s="74" t="s">
        <v>520</v>
      </c>
      <c r="I101" s="74" t="s">
        <v>305</v>
      </c>
      <c r="J101" s="48" t="s">
        <v>306</v>
      </c>
      <c r="K101" s="219" t="s">
        <v>307</v>
      </c>
      <c r="L101" s="66">
        <v>43266</v>
      </c>
      <c r="M101" s="64">
        <v>80</v>
      </c>
      <c r="N101" s="64">
        <v>130</v>
      </c>
      <c r="O101" s="219" t="s">
        <v>25</v>
      </c>
      <c r="P101" s="47" t="s">
        <v>25</v>
      </c>
      <c r="Q101" s="63">
        <v>43313</v>
      </c>
      <c r="S101" s="47" t="s">
        <v>25</v>
      </c>
      <c r="U101" s="47" t="s">
        <v>24</v>
      </c>
      <c r="V101" s="47" t="s">
        <v>24</v>
      </c>
      <c r="W101" s="64">
        <v>0</v>
      </c>
      <c r="X101" s="64">
        <v>0</v>
      </c>
      <c r="Y101" s="64">
        <v>0</v>
      </c>
      <c r="Z101" s="64">
        <v>0</v>
      </c>
    </row>
    <row r="102" spans="1:46">
      <c r="A102" s="5" t="s">
        <v>209</v>
      </c>
      <c r="B102" s="65" t="s">
        <v>207</v>
      </c>
      <c r="C102" s="31">
        <v>43160</v>
      </c>
      <c r="D102" s="72">
        <v>3330000</v>
      </c>
      <c r="E102" s="64" t="s">
        <v>24</v>
      </c>
      <c r="F102" s="64" t="s">
        <v>24</v>
      </c>
      <c r="G102" s="282" t="s">
        <v>521</v>
      </c>
      <c r="H102" s="72" t="s">
        <v>522</v>
      </c>
      <c r="I102" s="72" t="s">
        <v>305</v>
      </c>
      <c r="J102" s="48" t="s">
        <v>306</v>
      </c>
      <c r="K102" s="67" t="s">
        <v>307</v>
      </c>
      <c r="L102" s="66">
        <v>43120</v>
      </c>
      <c r="M102" s="64">
        <v>66</v>
      </c>
      <c r="N102" s="64">
        <v>104</v>
      </c>
      <c r="O102" s="64" t="s">
        <v>25</v>
      </c>
      <c r="P102" s="64" t="s">
        <v>25</v>
      </c>
      <c r="Q102" s="63">
        <v>43160</v>
      </c>
      <c r="S102" s="64" t="s">
        <v>25</v>
      </c>
      <c r="U102" s="64" t="s">
        <v>25</v>
      </c>
      <c r="V102" s="64" t="s">
        <v>25</v>
      </c>
      <c r="W102" s="64">
        <v>8</v>
      </c>
      <c r="X102" s="64">
        <v>0</v>
      </c>
      <c r="Y102" s="64">
        <v>1</v>
      </c>
      <c r="Z102" s="64">
        <v>0</v>
      </c>
      <c r="AA102" s="62" t="s">
        <v>379</v>
      </c>
    </row>
    <row r="103" spans="1:46" s="262" customFormat="1">
      <c r="A103" s="13" t="s">
        <v>136</v>
      </c>
      <c r="B103" s="68" t="s">
        <v>346</v>
      </c>
      <c r="C103" s="63">
        <v>43174</v>
      </c>
      <c r="D103" s="70">
        <v>2257000</v>
      </c>
      <c r="E103" s="73" t="s">
        <v>24</v>
      </c>
      <c r="F103" s="64" t="s">
        <v>24</v>
      </c>
      <c r="G103" s="279" t="s">
        <v>523</v>
      </c>
      <c r="H103" s="74" t="s">
        <v>524</v>
      </c>
      <c r="I103" s="74" t="s">
        <v>305</v>
      </c>
      <c r="J103" s="48" t="s">
        <v>306</v>
      </c>
      <c r="K103" s="67" t="s">
        <v>307</v>
      </c>
      <c r="L103" s="66">
        <v>43125</v>
      </c>
      <c r="M103" s="64">
        <v>72</v>
      </c>
      <c r="N103" s="64">
        <v>106</v>
      </c>
      <c r="O103" s="67" t="s">
        <v>25</v>
      </c>
      <c r="P103" s="64" t="s">
        <v>25</v>
      </c>
      <c r="Q103" s="63">
        <v>43146</v>
      </c>
      <c r="R103" s="64"/>
      <c r="S103" s="64" t="s">
        <v>25</v>
      </c>
      <c r="T103" s="64"/>
      <c r="U103" s="64" t="s">
        <v>25</v>
      </c>
      <c r="V103" s="64" t="s">
        <v>25</v>
      </c>
      <c r="W103" s="64">
        <v>4</v>
      </c>
      <c r="X103" s="64">
        <v>0</v>
      </c>
      <c r="Y103" s="64">
        <v>2</v>
      </c>
      <c r="Z103" s="64">
        <v>0</v>
      </c>
      <c r="AA103" s="62"/>
      <c r="AB103" s="62"/>
      <c r="AC103" s="62"/>
      <c r="AD103" s="65"/>
      <c r="AE103" s="65"/>
      <c r="AF103" s="61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</row>
    <row r="104" spans="1:46" s="262" customFormat="1">
      <c r="A104" s="251" t="s">
        <v>63</v>
      </c>
      <c r="B104" s="252" t="s">
        <v>64</v>
      </c>
      <c r="C104" s="260">
        <v>43180</v>
      </c>
      <c r="D104" s="264">
        <v>2034027</v>
      </c>
      <c r="E104" s="255" t="s">
        <v>25</v>
      </c>
      <c r="F104" s="265" t="s">
        <v>24</v>
      </c>
      <c r="G104" s="357" t="s">
        <v>525</v>
      </c>
      <c r="H104" s="256" t="s">
        <v>526</v>
      </c>
      <c r="I104" s="358" t="s">
        <v>305</v>
      </c>
      <c r="J104" s="257" t="s">
        <v>306</v>
      </c>
      <c r="K104" s="265" t="s">
        <v>307</v>
      </c>
      <c r="L104" s="259">
        <v>43148</v>
      </c>
      <c r="M104" s="255">
        <v>48</v>
      </c>
      <c r="N104" s="255">
        <v>78</v>
      </c>
      <c r="O104" s="258" t="s">
        <v>25</v>
      </c>
      <c r="P104" s="255" t="s">
        <v>25</v>
      </c>
      <c r="Q104" s="260">
        <v>43175</v>
      </c>
      <c r="R104" s="255">
        <f>SUMIF(A:A,"NRSD",N:N)</f>
        <v>566</v>
      </c>
      <c r="S104" s="255" t="s">
        <v>25</v>
      </c>
      <c r="T104" s="255"/>
      <c r="U104" s="255" t="s">
        <v>24</v>
      </c>
      <c r="V104" s="255" t="s">
        <v>24</v>
      </c>
      <c r="W104" s="255">
        <v>0</v>
      </c>
      <c r="X104" s="255">
        <v>0</v>
      </c>
      <c r="Y104" s="255">
        <v>0</v>
      </c>
      <c r="Z104" s="255">
        <v>0</v>
      </c>
      <c r="AA104" s="252"/>
      <c r="AB104" s="252"/>
      <c r="AC104" s="252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</row>
    <row r="105" spans="1:46" s="262" customFormat="1">
      <c r="A105" s="251" t="s">
        <v>206</v>
      </c>
      <c r="B105" s="252" t="s">
        <v>207</v>
      </c>
      <c r="C105" s="260">
        <v>43110</v>
      </c>
      <c r="D105" s="273">
        <v>3330000</v>
      </c>
      <c r="E105" s="255" t="s">
        <v>24</v>
      </c>
      <c r="F105" s="255" t="s">
        <v>24</v>
      </c>
      <c r="G105" s="356" t="s">
        <v>527</v>
      </c>
      <c r="H105" s="273" t="s">
        <v>528</v>
      </c>
      <c r="I105" s="273" t="s">
        <v>305</v>
      </c>
      <c r="J105" s="257" t="s">
        <v>306</v>
      </c>
      <c r="K105" s="258" t="s">
        <v>307</v>
      </c>
      <c r="L105" s="259">
        <v>43041</v>
      </c>
      <c r="M105" s="255">
        <v>43</v>
      </c>
      <c r="N105" s="255">
        <v>81</v>
      </c>
      <c r="O105" s="255" t="s">
        <v>25</v>
      </c>
      <c r="P105" s="255" t="s">
        <v>25</v>
      </c>
      <c r="Q105" s="260">
        <v>43067</v>
      </c>
      <c r="R105" s="255">
        <f>SUMIF(A:A,"NashValTSD",N:N)</f>
        <v>81</v>
      </c>
      <c r="S105" s="258" t="s">
        <v>25</v>
      </c>
      <c r="T105" s="255" t="s">
        <v>24</v>
      </c>
      <c r="U105" s="255" t="s">
        <v>25</v>
      </c>
      <c r="V105" s="255" t="s">
        <v>25</v>
      </c>
      <c r="W105" s="255">
        <v>2</v>
      </c>
      <c r="X105" s="255">
        <v>0</v>
      </c>
      <c r="Y105" s="255">
        <v>1</v>
      </c>
      <c r="Z105" s="255">
        <v>0</v>
      </c>
      <c r="AA105" s="252"/>
      <c r="AB105" s="252"/>
      <c r="AC105" s="252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</row>
    <row r="106" spans="1:46" s="262" customFormat="1">
      <c r="A106" s="263" t="s">
        <v>92</v>
      </c>
      <c r="B106" s="29" t="s">
        <v>529</v>
      </c>
      <c r="C106" s="253">
        <v>42990</v>
      </c>
      <c r="D106" s="264">
        <v>3205001</v>
      </c>
      <c r="E106" s="265" t="s">
        <v>24</v>
      </c>
      <c r="F106" s="255" t="s">
        <v>24</v>
      </c>
      <c r="G106" s="280" t="s">
        <v>530</v>
      </c>
      <c r="H106" s="256" t="s">
        <v>531</v>
      </c>
      <c r="I106" s="256" t="s">
        <v>305</v>
      </c>
      <c r="J106" s="257" t="s">
        <v>306</v>
      </c>
      <c r="K106" s="258" t="s">
        <v>307</v>
      </c>
      <c r="L106" s="259">
        <v>43127</v>
      </c>
      <c r="M106" s="255">
        <v>124</v>
      </c>
      <c r="N106" s="258">
        <v>178</v>
      </c>
      <c r="O106" s="258" t="s">
        <v>25</v>
      </c>
      <c r="P106" s="255" t="s">
        <v>25</v>
      </c>
      <c r="Q106" s="260">
        <v>43175</v>
      </c>
      <c r="R106" s="255"/>
      <c r="S106" s="255" t="s">
        <v>25</v>
      </c>
      <c r="T106" s="255"/>
      <c r="U106" s="255" t="s">
        <v>25</v>
      </c>
      <c r="V106" s="255" t="s">
        <v>25</v>
      </c>
      <c r="W106" s="255">
        <v>5</v>
      </c>
      <c r="X106" s="255">
        <v>1</v>
      </c>
      <c r="Y106" s="255">
        <v>1</v>
      </c>
      <c r="Z106" s="255">
        <v>0</v>
      </c>
      <c r="AA106" s="252"/>
      <c r="AB106" s="252"/>
      <c r="AC106" s="252"/>
    </row>
    <row r="107" spans="1:46" s="262" customFormat="1">
      <c r="A107" s="5" t="s">
        <v>209</v>
      </c>
      <c r="B107" s="65" t="s">
        <v>207</v>
      </c>
      <c r="C107" s="31">
        <v>43160</v>
      </c>
      <c r="D107" s="72">
        <v>3330000</v>
      </c>
      <c r="E107" s="64" t="s">
        <v>24</v>
      </c>
      <c r="F107" s="64" t="s">
        <v>24</v>
      </c>
      <c r="G107" s="282" t="s">
        <v>532</v>
      </c>
      <c r="H107" s="72" t="s">
        <v>533</v>
      </c>
      <c r="I107" s="72" t="s">
        <v>305</v>
      </c>
      <c r="J107" s="48" t="s">
        <v>306</v>
      </c>
      <c r="K107" s="67" t="s">
        <v>307</v>
      </c>
      <c r="L107" s="66">
        <v>43124</v>
      </c>
      <c r="M107" s="64">
        <v>30</v>
      </c>
      <c r="N107" s="64">
        <v>54</v>
      </c>
      <c r="O107" s="64" t="s">
        <v>25</v>
      </c>
      <c r="P107" s="64" t="s">
        <v>25</v>
      </c>
      <c r="Q107" s="63">
        <v>43160</v>
      </c>
      <c r="R107" s="64"/>
      <c r="S107" s="64" t="s">
        <v>25</v>
      </c>
      <c r="T107" s="64" t="s">
        <v>308</v>
      </c>
      <c r="U107" s="64" t="s">
        <v>25</v>
      </c>
      <c r="V107" s="64" t="s">
        <v>24</v>
      </c>
      <c r="W107" s="64">
        <v>2</v>
      </c>
      <c r="X107" s="64">
        <v>0</v>
      </c>
      <c r="Y107" s="64">
        <v>0</v>
      </c>
      <c r="Z107" s="64">
        <v>0</v>
      </c>
      <c r="AA107" s="62"/>
      <c r="AB107" s="62"/>
      <c r="AC107" s="62"/>
      <c r="AD107" s="65"/>
      <c r="AE107" s="65"/>
      <c r="AG107" s="273"/>
      <c r="AH107" s="273"/>
      <c r="AI107" s="273"/>
      <c r="AJ107" s="273"/>
      <c r="AK107" s="273"/>
      <c r="AL107" s="273"/>
      <c r="AM107" s="273"/>
      <c r="AN107" s="273"/>
      <c r="AO107" s="273"/>
      <c r="AP107" s="273"/>
      <c r="AQ107" s="273"/>
      <c r="AR107" s="273"/>
      <c r="AS107" s="273"/>
      <c r="AT107" s="273"/>
    </row>
    <row r="108" spans="1:46" s="262" customFormat="1">
      <c r="A108" s="263" t="s">
        <v>123</v>
      </c>
      <c r="B108" s="29" t="s">
        <v>124</v>
      </c>
      <c r="C108" s="260">
        <v>43180</v>
      </c>
      <c r="D108" s="264">
        <v>2110000</v>
      </c>
      <c r="E108" s="265" t="s">
        <v>24</v>
      </c>
      <c r="F108" s="255" t="s">
        <v>24</v>
      </c>
      <c r="G108" s="280" t="s">
        <v>534</v>
      </c>
      <c r="H108" s="256" t="s">
        <v>535</v>
      </c>
      <c r="I108" s="256" t="s">
        <v>305</v>
      </c>
      <c r="J108" s="257" t="s">
        <v>306</v>
      </c>
      <c r="K108" s="258" t="s">
        <v>307</v>
      </c>
      <c r="L108" s="355">
        <v>43158</v>
      </c>
      <c r="M108" s="255">
        <v>41</v>
      </c>
      <c r="N108" s="255">
        <v>61</v>
      </c>
      <c r="O108" s="258" t="s">
        <v>25</v>
      </c>
      <c r="P108" s="255" t="s">
        <v>25</v>
      </c>
      <c r="Q108" s="260">
        <v>43180</v>
      </c>
      <c r="R108" s="255"/>
      <c r="S108" s="255" t="s">
        <v>25</v>
      </c>
      <c r="T108" s="255"/>
      <c r="U108" s="255" t="s">
        <v>25</v>
      </c>
      <c r="V108" s="255" t="s">
        <v>25</v>
      </c>
      <c r="W108" s="255">
        <v>25</v>
      </c>
      <c r="X108" s="255">
        <v>0</v>
      </c>
      <c r="Y108" s="255">
        <v>1</v>
      </c>
      <c r="Z108" s="255">
        <v>0</v>
      </c>
      <c r="AA108" s="252"/>
      <c r="AB108" s="252"/>
      <c r="AC108" s="252"/>
      <c r="AG108" s="273"/>
      <c r="AH108" s="273"/>
      <c r="AI108" s="273"/>
      <c r="AJ108" s="273"/>
      <c r="AK108" s="273"/>
      <c r="AL108" s="273"/>
      <c r="AM108" s="273"/>
      <c r="AN108" s="273"/>
      <c r="AO108" s="273"/>
      <c r="AP108" s="273"/>
      <c r="AQ108" s="273"/>
      <c r="AR108" s="273"/>
      <c r="AS108" s="273"/>
      <c r="AT108" s="273"/>
    </row>
    <row r="109" spans="1:46" s="262" customFormat="1">
      <c r="A109" s="263" t="s">
        <v>261</v>
      </c>
      <c r="B109" s="267" t="s">
        <v>262</v>
      </c>
      <c r="C109" s="260">
        <v>43403</v>
      </c>
      <c r="D109" s="269">
        <v>2299000</v>
      </c>
      <c r="E109" s="255" t="s">
        <v>24</v>
      </c>
      <c r="F109" s="255" t="s">
        <v>24</v>
      </c>
      <c r="G109" s="342" t="s">
        <v>536</v>
      </c>
      <c r="H109" s="270" t="s">
        <v>537</v>
      </c>
      <c r="I109" s="270" t="s">
        <v>305</v>
      </c>
      <c r="J109" s="257" t="s">
        <v>306</v>
      </c>
      <c r="K109" s="266" t="s">
        <v>307</v>
      </c>
      <c r="L109" s="259">
        <v>43400</v>
      </c>
      <c r="M109" s="255">
        <v>50</v>
      </c>
      <c r="N109" s="255">
        <v>74</v>
      </c>
      <c r="O109" s="266" t="s">
        <v>25</v>
      </c>
      <c r="P109" s="261" t="s">
        <v>25</v>
      </c>
      <c r="Q109" s="260">
        <v>43420</v>
      </c>
      <c r="R109" s="255">
        <f>SUMIF(A:A,"NMRSD",N:N)</f>
        <v>74</v>
      </c>
      <c r="S109" s="261" t="s">
        <v>25</v>
      </c>
      <c r="T109" s="255"/>
      <c r="U109" s="261" t="s">
        <v>24</v>
      </c>
      <c r="V109" s="261" t="s">
        <v>24</v>
      </c>
      <c r="W109" s="255">
        <v>0</v>
      </c>
      <c r="X109" s="255">
        <v>0</v>
      </c>
      <c r="Y109" s="255">
        <v>0</v>
      </c>
      <c r="Z109" s="255">
        <v>0</v>
      </c>
      <c r="AA109" s="252"/>
      <c r="AB109" s="252"/>
      <c r="AC109" s="252"/>
      <c r="AG109" s="273"/>
      <c r="AH109" s="273"/>
      <c r="AI109" s="273"/>
      <c r="AJ109" s="273"/>
      <c r="AK109" s="273"/>
      <c r="AL109" s="273"/>
      <c r="AM109" s="273"/>
      <c r="AN109" s="273"/>
      <c r="AO109" s="273"/>
      <c r="AP109" s="273"/>
      <c r="AQ109" s="273"/>
      <c r="AR109" s="273"/>
      <c r="AS109" s="273"/>
      <c r="AT109" s="273"/>
    </row>
    <row r="110" spans="1:46" s="262" customFormat="1">
      <c r="A110" s="251" t="s">
        <v>167</v>
      </c>
      <c r="B110" s="252" t="s">
        <v>168</v>
      </c>
      <c r="C110" s="260">
        <v>43292</v>
      </c>
      <c r="D110" s="264">
        <v>3213000</v>
      </c>
      <c r="E110" s="265" t="s">
        <v>24</v>
      </c>
      <c r="F110" s="255" t="s">
        <v>24</v>
      </c>
      <c r="G110" s="280" t="s">
        <v>538</v>
      </c>
      <c r="H110" s="256" t="s">
        <v>539</v>
      </c>
      <c r="I110" s="256" t="s">
        <v>305</v>
      </c>
      <c r="J110" s="257" t="s">
        <v>306</v>
      </c>
      <c r="K110" s="266" t="s">
        <v>307</v>
      </c>
      <c r="L110" s="259">
        <v>43250</v>
      </c>
      <c r="M110" s="255">
        <v>46</v>
      </c>
      <c r="N110" s="255">
        <v>72</v>
      </c>
      <c r="O110" s="255" t="s">
        <v>25</v>
      </c>
      <c r="P110" s="261" t="s">
        <v>25</v>
      </c>
      <c r="Q110" s="260">
        <v>43280</v>
      </c>
      <c r="R110" s="255"/>
      <c r="S110" s="261" t="s">
        <v>25</v>
      </c>
      <c r="T110" s="255"/>
      <c r="U110" s="261" t="s">
        <v>24</v>
      </c>
      <c r="V110" s="261" t="s">
        <v>25</v>
      </c>
      <c r="W110" s="255">
        <v>0</v>
      </c>
      <c r="X110" s="255">
        <v>0</v>
      </c>
      <c r="Y110" s="255">
        <v>1</v>
      </c>
      <c r="Z110" s="255">
        <v>0</v>
      </c>
      <c r="AA110" s="252"/>
      <c r="AB110" s="252"/>
      <c r="AC110" s="252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</row>
    <row r="111" spans="1:46" s="262" customFormat="1">
      <c r="A111" s="251" t="s">
        <v>167</v>
      </c>
      <c r="B111" s="252" t="s">
        <v>168</v>
      </c>
      <c r="C111" s="260">
        <v>43292</v>
      </c>
      <c r="D111" s="264">
        <v>3213000</v>
      </c>
      <c r="E111" s="265" t="s">
        <v>24</v>
      </c>
      <c r="F111" s="255" t="s">
        <v>24</v>
      </c>
      <c r="G111" s="280" t="s">
        <v>540</v>
      </c>
      <c r="H111" s="256" t="s">
        <v>541</v>
      </c>
      <c r="I111" s="256" t="s">
        <v>305</v>
      </c>
      <c r="J111" s="257" t="s">
        <v>306</v>
      </c>
      <c r="K111" s="266" t="s">
        <v>307</v>
      </c>
      <c r="L111" s="259">
        <v>43250</v>
      </c>
      <c r="M111" s="255">
        <v>27</v>
      </c>
      <c r="N111" s="255">
        <v>44</v>
      </c>
      <c r="O111" s="255" t="s">
        <v>25</v>
      </c>
      <c r="P111" s="261" t="s">
        <v>25</v>
      </c>
      <c r="Q111" s="260">
        <v>43273</v>
      </c>
      <c r="R111" s="255">
        <f>SUMIF(A:A,"North ReadingPS",N:N)</f>
        <v>385</v>
      </c>
      <c r="S111" s="261" t="s">
        <v>25</v>
      </c>
      <c r="T111" s="255"/>
      <c r="U111" s="261" t="s">
        <v>24</v>
      </c>
      <c r="V111" s="261" t="s">
        <v>24</v>
      </c>
      <c r="W111" s="255">
        <v>0</v>
      </c>
      <c r="X111" s="255">
        <v>0</v>
      </c>
      <c r="Y111" s="255">
        <v>0</v>
      </c>
      <c r="Z111" s="255">
        <v>0</v>
      </c>
      <c r="AA111" s="252"/>
      <c r="AB111" s="252"/>
      <c r="AC111" s="252"/>
      <c r="AF111" s="65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</row>
    <row r="112" spans="1:46" s="262" customFormat="1">
      <c r="A112" s="263" t="s">
        <v>123</v>
      </c>
      <c r="B112" s="29" t="s">
        <v>124</v>
      </c>
      <c r="C112" s="260">
        <v>43187</v>
      </c>
      <c r="D112" s="264">
        <v>2110000</v>
      </c>
      <c r="E112" s="265" t="s">
        <v>24</v>
      </c>
      <c r="F112" s="255" t="s">
        <v>24</v>
      </c>
      <c r="G112" s="280" t="s">
        <v>542</v>
      </c>
      <c r="H112" s="256" t="s">
        <v>543</v>
      </c>
      <c r="I112" s="256" t="s">
        <v>305</v>
      </c>
      <c r="J112" s="257" t="s">
        <v>306</v>
      </c>
      <c r="K112" s="258" t="s">
        <v>307</v>
      </c>
      <c r="L112" s="355">
        <v>43161</v>
      </c>
      <c r="M112" s="255">
        <v>17</v>
      </c>
      <c r="N112" s="255">
        <v>20</v>
      </c>
      <c r="O112" s="258" t="s">
        <v>25</v>
      </c>
      <c r="P112" s="255" t="s">
        <v>25</v>
      </c>
      <c r="Q112" s="260">
        <v>43187</v>
      </c>
      <c r="R112" s="255"/>
      <c r="S112" s="255" t="s">
        <v>25</v>
      </c>
      <c r="T112" s="255"/>
      <c r="U112" s="255" t="s">
        <v>25</v>
      </c>
      <c r="V112" s="255" t="s">
        <v>25</v>
      </c>
      <c r="W112" s="255">
        <v>1</v>
      </c>
      <c r="X112" s="255">
        <v>0</v>
      </c>
      <c r="Y112" s="255">
        <v>6</v>
      </c>
      <c r="Z112" s="255">
        <v>2</v>
      </c>
      <c r="AA112" s="252"/>
      <c r="AB112" s="252"/>
      <c r="AC112" s="252"/>
      <c r="AF112" s="65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</row>
    <row r="113" spans="1:46" s="262" customFormat="1">
      <c r="A113" s="13" t="s">
        <v>140</v>
      </c>
      <c r="B113" s="28" t="s">
        <v>141</v>
      </c>
      <c r="C113" s="63">
        <v>43132</v>
      </c>
      <c r="D113" s="70">
        <v>2153000</v>
      </c>
      <c r="E113" s="73" t="s">
        <v>24</v>
      </c>
      <c r="F113" s="64" t="s">
        <v>24</v>
      </c>
      <c r="G113" s="279" t="s">
        <v>544</v>
      </c>
      <c r="H113" s="74" t="s">
        <v>545</v>
      </c>
      <c r="I113" s="74" t="s">
        <v>305</v>
      </c>
      <c r="J113" s="48" t="s">
        <v>306</v>
      </c>
      <c r="K113" s="67" t="s">
        <v>307</v>
      </c>
      <c r="L113" s="66">
        <v>43110</v>
      </c>
      <c r="M113" s="64">
        <v>11</v>
      </c>
      <c r="N113" s="64">
        <v>19</v>
      </c>
      <c r="O113" s="67" t="s">
        <v>25</v>
      </c>
      <c r="P113" s="64" t="s">
        <v>25</v>
      </c>
      <c r="Q113" s="63">
        <v>43129</v>
      </c>
      <c r="R113" s="64"/>
      <c r="S113" s="64" t="s">
        <v>25</v>
      </c>
      <c r="T113" s="64"/>
      <c r="U113" s="64" t="s">
        <v>25</v>
      </c>
      <c r="V113" s="64" t="s">
        <v>24</v>
      </c>
      <c r="W113" s="64">
        <v>1</v>
      </c>
      <c r="X113" s="64">
        <v>0</v>
      </c>
      <c r="Y113" s="64">
        <v>0</v>
      </c>
      <c r="Z113" s="64">
        <v>0</v>
      </c>
      <c r="AA113" s="62"/>
      <c r="AB113" s="62"/>
      <c r="AC113" s="62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</row>
    <row r="114" spans="1:46" s="262" customFormat="1">
      <c r="A114" s="263" t="s">
        <v>144</v>
      </c>
      <c r="B114" s="29" t="s">
        <v>145</v>
      </c>
      <c r="C114" s="260">
        <v>43252</v>
      </c>
      <c r="D114" s="264">
        <v>1281001</v>
      </c>
      <c r="E114" s="265" t="s">
        <v>24</v>
      </c>
      <c r="F114" s="255" t="s">
        <v>24</v>
      </c>
      <c r="G114" s="283" t="s">
        <v>546</v>
      </c>
      <c r="H114" s="256" t="s">
        <v>547</v>
      </c>
      <c r="I114" s="256" t="s">
        <v>341</v>
      </c>
      <c r="J114" s="257" t="s">
        <v>306</v>
      </c>
      <c r="K114" s="266" t="s">
        <v>307</v>
      </c>
      <c r="L114" s="260">
        <v>43232</v>
      </c>
      <c r="M114" s="255">
        <v>3</v>
      </c>
      <c r="N114" s="255">
        <v>6</v>
      </c>
      <c r="O114" s="258" t="s">
        <v>25</v>
      </c>
      <c r="P114" s="261" t="s">
        <v>25</v>
      </c>
      <c r="Q114" s="260">
        <v>43294</v>
      </c>
      <c r="R114" s="255"/>
      <c r="S114" s="261" t="s">
        <v>25</v>
      </c>
      <c r="T114" s="255"/>
      <c r="U114" s="261" t="s">
        <v>24</v>
      </c>
      <c r="V114" s="261" t="s">
        <v>25</v>
      </c>
      <c r="W114" s="255">
        <v>0</v>
      </c>
      <c r="X114" s="255">
        <v>0</v>
      </c>
      <c r="Y114" s="255">
        <v>1</v>
      </c>
      <c r="Z114" s="255">
        <v>1</v>
      </c>
      <c r="AA114" s="252"/>
      <c r="AB114" s="252"/>
      <c r="AC114" s="252"/>
      <c r="AF114" s="65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</row>
    <row r="115" spans="1:46" s="262" customFormat="1">
      <c r="A115" s="263" t="s">
        <v>144</v>
      </c>
      <c r="B115" s="29" t="s">
        <v>145</v>
      </c>
      <c r="C115" s="260">
        <v>43252</v>
      </c>
      <c r="D115" s="264">
        <v>1281000</v>
      </c>
      <c r="E115" s="265" t="s">
        <v>24</v>
      </c>
      <c r="F115" s="255" t="s">
        <v>24</v>
      </c>
      <c r="G115" s="280" t="s">
        <v>548</v>
      </c>
      <c r="H115" s="256" t="s">
        <v>549</v>
      </c>
      <c r="I115" s="256" t="s">
        <v>305</v>
      </c>
      <c r="J115" s="257" t="s">
        <v>306</v>
      </c>
      <c r="K115" s="258" t="s">
        <v>307</v>
      </c>
      <c r="L115" s="259">
        <v>43218</v>
      </c>
      <c r="M115" s="255">
        <v>32</v>
      </c>
      <c r="N115" s="255">
        <v>64</v>
      </c>
      <c r="O115" s="258" t="s">
        <v>25</v>
      </c>
      <c r="P115" s="261" t="s">
        <v>25</v>
      </c>
      <c r="Q115" s="260">
        <v>43294</v>
      </c>
      <c r="R115" s="255"/>
      <c r="S115" s="261" t="s">
        <v>25</v>
      </c>
      <c r="T115" s="255"/>
      <c r="U115" s="261" t="s">
        <v>24</v>
      </c>
      <c r="V115" s="261" t="s">
        <v>25</v>
      </c>
      <c r="W115" s="255">
        <v>0</v>
      </c>
      <c r="X115" s="255">
        <v>0</v>
      </c>
      <c r="Y115" s="255">
        <v>2</v>
      </c>
      <c r="Z115" s="255">
        <v>0</v>
      </c>
      <c r="AA115" s="252"/>
      <c r="AB115" s="252"/>
      <c r="AC115" s="252"/>
    </row>
    <row r="116" spans="1:46" s="262" customFormat="1">
      <c r="A116" s="13" t="s">
        <v>136</v>
      </c>
      <c r="B116" s="68" t="s">
        <v>550</v>
      </c>
      <c r="C116" s="63">
        <v>43174</v>
      </c>
      <c r="D116" s="70">
        <v>2228000</v>
      </c>
      <c r="E116" s="73" t="s">
        <v>24</v>
      </c>
      <c r="F116" s="64" t="s">
        <v>24</v>
      </c>
      <c r="G116" s="279" t="s">
        <v>551</v>
      </c>
      <c r="H116" s="74" t="s">
        <v>552</v>
      </c>
      <c r="I116" s="74" t="s">
        <v>305</v>
      </c>
      <c r="J116" s="48" t="s">
        <v>306</v>
      </c>
      <c r="K116" s="67" t="s">
        <v>307</v>
      </c>
      <c r="L116" s="66">
        <v>43130</v>
      </c>
      <c r="M116" s="64">
        <v>66</v>
      </c>
      <c r="N116" s="64">
        <v>103</v>
      </c>
      <c r="O116" s="67" t="s">
        <v>25</v>
      </c>
      <c r="P116" s="64" t="s">
        <v>25</v>
      </c>
      <c r="Q116" s="63">
        <v>43168</v>
      </c>
      <c r="R116" s="64"/>
      <c r="S116" s="64" t="s">
        <v>25</v>
      </c>
      <c r="T116" s="64" t="s">
        <v>308</v>
      </c>
      <c r="U116" s="64" t="s">
        <v>24</v>
      </c>
      <c r="V116" s="64" t="s">
        <v>25</v>
      </c>
      <c r="W116" s="64">
        <v>0</v>
      </c>
      <c r="X116" s="64">
        <v>0</v>
      </c>
      <c r="Y116" s="64">
        <v>2</v>
      </c>
      <c r="Z116" s="64">
        <v>0</v>
      </c>
      <c r="AA116" s="62"/>
      <c r="AB116" s="62"/>
      <c r="AC116" s="62"/>
      <c r="AD116" s="65"/>
      <c r="AE116" s="65"/>
    </row>
    <row r="117" spans="1:46" s="262" customFormat="1">
      <c r="A117" s="366" t="s">
        <v>198</v>
      </c>
      <c r="B117" s="367" t="s">
        <v>199</v>
      </c>
      <c r="C117" s="268">
        <v>43307</v>
      </c>
      <c r="D117" s="273">
        <v>3288000</v>
      </c>
      <c r="E117" s="255" t="s">
        <v>24</v>
      </c>
      <c r="F117" s="255" t="s">
        <v>24</v>
      </c>
      <c r="G117" s="356" t="s">
        <v>553</v>
      </c>
      <c r="H117" s="273" t="s">
        <v>554</v>
      </c>
      <c r="I117" s="273" t="s">
        <v>305</v>
      </c>
      <c r="J117" s="257" t="s">
        <v>306</v>
      </c>
      <c r="K117" s="258" t="s">
        <v>307</v>
      </c>
      <c r="L117" s="253">
        <v>43274</v>
      </c>
      <c r="M117" s="255">
        <v>75</v>
      </c>
      <c r="N117" s="371">
        <v>107</v>
      </c>
      <c r="O117" s="266" t="s">
        <v>25</v>
      </c>
      <c r="P117" s="372" t="s">
        <v>25</v>
      </c>
      <c r="Q117" s="260">
        <v>43307</v>
      </c>
      <c r="R117" s="255">
        <f>SUMIF(A:A,"SudburyPS",N:N)</f>
        <v>513</v>
      </c>
      <c r="S117" s="261" t="s">
        <v>25</v>
      </c>
      <c r="T117" s="368"/>
      <c r="U117" s="261" t="s">
        <v>25</v>
      </c>
      <c r="V117" s="261" t="s">
        <v>25</v>
      </c>
      <c r="W117" s="255">
        <v>6</v>
      </c>
      <c r="X117" s="255">
        <v>1</v>
      </c>
      <c r="Y117" s="255">
        <v>0</v>
      </c>
      <c r="Z117" s="255">
        <v>0</v>
      </c>
      <c r="AA117" s="373"/>
      <c r="AB117" s="373"/>
      <c r="AC117" s="373"/>
    </row>
    <row r="118" spans="1:46" s="262" customFormat="1">
      <c r="A118" s="263" t="s">
        <v>92</v>
      </c>
      <c r="B118" s="29" t="s">
        <v>555</v>
      </c>
      <c r="C118" s="253">
        <v>42990</v>
      </c>
      <c r="D118" s="264">
        <v>3254000</v>
      </c>
      <c r="E118" s="265" t="s">
        <v>24</v>
      </c>
      <c r="F118" s="255" t="s">
        <v>24</v>
      </c>
      <c r="G118" s="280" t="s">
        <v>556</v>
      </c>
      <c r="H118" s="256" t="s">
        <v>557</v>
      </c>
      <c r="I118" s="256" t="s">
        <v>305</v>
      </c>
      <c r="J118" s="257" t="s">
        <v>306</v>
      </c>
      <c r="K118" s="258" t="s">
        <v>307</v>
      </c>
      <c r="L118" s="259">
        <v>43127</v>
      </c>
      <c r="M118" s="255">
        <v>95</v>
      </c>
      <c r="N118" s="258">
        <v>161</v>
      </c>
      <c r="O118" s="258" t="s">
        <v>25</v>
      </c>
      <c r="P118" s="255" t="s">
        <v>25</v>
      </c>
      <c r="Q118" s="260">
        <v>43146</v>
      </c>
      <c r="R118" s="255"/>
      <c r="S118" s="255" t="s">
        <v>25</v>
      </c>
      <c r="T118" s="255" t="s">
        <v>558</v>
      </c>
      <c r="U118" s="255" t="s">
        <v>25</v>
      </c>
      <c r="V118" s="255" t="s">
        <v>25</v>
      </c>
      <c r="W118" s="255">
        <v>11</v>
      </c>
      <c r="X118" s="255">
        <v>1</v>
      </c>
      <c r="Y118" s="255">
        <v>2</v>
      </c>
      <c r="Z118" s="255">
        <v>1</v>
      </c>
      <c r="AA118" s="252"/>
      <c r="AB118" s="252"/>
      <c r="AC118" s="252"/>
    </row>
    <row r="119" spans="1:46" s="262" customFormat="1" ht="14.25" customHeight="1">
      <c r="A119" s="13" t="s">
        <v>174</v>
      </c>
      <c r="B119" s="68" t="s">
        <v>175</v>
      </c>
      <c r="C119" s="69">
        <v>43280</v>
      </c>
      <c r="D119" s="70">
        <v>1236000</v>
      </c>
      <c r="E119" s="87" t="s">
        <v>24</v>
      </c>
      <c r="F119" s="64" t="s">
        <v>24</v>
      </c>
      <c r="G119" s="285" t="s">
        <v>559</v>
      </c>
      <c r="H119" s="74" t="s">
        <v>560</v>
      </c>
      <c r="I119" s="74" t="s">
        <v>305</v>
      </c>
      <c r="J119" s="48" t="s">
        <v>306</v>
      </c>
      <c r="K119" s="67" t="s">
        <v>307</v>
      </c>
      <c r="L119" s="66">
        <v>43246</v>
      </c>
      <c r="M119" s="47">
        <v>17</v>
      </c>
      <c r="N119" s="47">
        <v>34</v>
      </c>
      <c r="O119" s="67" t="s">
        <v>25</v>
      </c>
      <c r="P119" s="47" t="s">
        <v>25</v>
      </c>
      <c r="Q119" s="63">
        <v>43280</v>
      </c>
      <c r="R119" s="64"/>
      <c r="S119" s="47" t="s">
        <v>25</v>
      </c>
      <c r="T119" s="64"/>
      <c r="U119" s="47" t="s">
        <v>25</v>
      </c>
      <c r="V119" s="47" t="s">
        <v>25</v>
      </c>
      <c r="W119" s="64">
        <v>2</v>
      </c>
      <c r="X119" s="64">
        <v>0</v>
      </c>
      <c r="Y119" s="64">
        <v>0</v>
      </c>
      <c r="Z119" s="64">
        <v>1</v>
      </c>
      <c r="AA119" s="62"/>
      <c r="AB119" s="62"/>
      <c r="AC119" s="62"/>
      <c r="AD119" s="65"/>
      <c r="AE119" s="65"/>
    </row>
    <row r="120" spans="1:46" s="262" customFormat="1">
      <c r="A120" s="263" t="s">
        <v>185</v>
      </c>
      <c r="B120" s="267" t="s">
        <v>186</v>
      </c>
      <c r="C120" s="268">
        <v>43315</v>
      </c>
      <c r="D120" s="264">
        <v>1275000</v>
      </c>
      <c r="E120" s="261" t="s">
        <v>24</v>
      </c>
      <c r="F120" s="261" t="s">
        <v>25</v>
      </c>
      <c r="G120" s="287" t="s">
        <v>561</v>
      </c>
      <c r="H120" s="256" t="s">
        <v>562</v>
      </c>
      <c r="I120" s="256" t="s">
        <v>305</v>
      </c>
      <c r="J120" s="257" t="s">
        <v>306</v>
      </c>
      <c r="K120" s="266" t="s">
        <v>307</v>
      </c>
      <c r="L120" s="259">
        <v>43267</v>
      </c>
      <c r="M120" s="255">
        <v>62</v>
      </c>
      <c r="N120" s="255">
        <v>97</v>
      </c>
      <c r="O120" s="266" t="s">
        <v>25</v>
      </c>
      <c r="P120" s="261" t="s">
        <v>25</v>
      </c>
      <c r="Q120" s="260">
        <v>43315</v>
      </c>
      <c r="R120" s="255"/>
      <c r="S120" s="261" t="s">
        <v>25</v>
      </c>
      <c r="T120" s="255"/>
      <c r="U120" s="261" t="s">
        <v>24</v>
      </c>
      <c r="V120" s="261" t="s">
        <v>24</v>
      </c>
      <c r="W120" s="255">
        <v>0</v>
      </c>
      <c r="X120" s="255">
        <v>0</v>
      </c>
      <c r="Y120" s="255">
        <v>0</v>
      </c>
      <c r="Z120" s="255">
        <v>0</v>
      </c>
      <c r="AA120" s="252"/>
      <c r="AB120" s="252"/>
      <c r="AC120" s="252"/>
    </row>
    <row r="121" spans="1:46" s="262" customFormat="1">
      <c r="A121" s="13" t="s">
        <v>140</v>
      </c>
      <c r="B121" s="28" t="s">
        <v>141</v>
      </c>
      <c r="C121" s="63">
        <v>43132</v>
      </c>
      <c r="D121" s="70">
        <v>2153000</v>
      </c>
      <c r="E121" s="73" t="s">
        <v>24</v>
      </c>
      <c r="F121" s="64" t="s">
        <v>24</v>
      </c>
      <c r="G121" s="279" t="s">
        <v>563</v>
      </c>
      <c r="H121" s="74" t="s">
        <v>564</v>
      </c>
      <c r="I121" s="74" t="s">
        <v>305</v>
      </c>
      <c r="J121" s="48" t="s">
        <v>306</v>
      </c>
      <c r="K121" s="67" t="s">
        <v>307</v>
      </c>
      <c r="L121" s="66">
        <v>43112</v>
      </c>
      <c r="M121" s="64">
        <v>3</v>
      </c>
      <c r="N121" s="64">
        <v>6</v>
      </c>
      <c r="O121" s="67" t="s">
        <v>25</v>
      </c>
      <c r="P121" s="64" t="s">
        <v>25</v>
      </c>
      <c r="Q121" s="63">
        <v>43129</v>
      </c>
      <c r="R121" s="64"/>
      <c r="S121" s="64" t="s">
        <v>25</v>
      </c>
      <c r="T121" s="64"/>
      <c r="U121" s="64" t="s">
        <v>24</v>
      </c>
      <c r="V121" s="64" t="s">
        <v>24</v>
      </c>
      <c r="W121" s="64">
        <v>0</v>
      </c>
      <c r="X121" s="64">
        <v>0</v>
      </c>
      <c r="Y121" s="64">
        <v>0</v>
      </c>
      <c r="Z121" s="64">
        <v>0</v>
      </c>
      <c r="AA121" s="62"/>
      <c r="AB121" s="62"/>
      <c r="AC121" s="62"/>
      <c r="AD121" s="65"/>
      <c r="AE121" s="65"/>
    </row>
    <row r="122" spans="1:46" s="262" customFormat="1">
      <c r="A122" s="263" t="s">
        <v>74</v>
      </c>
      <c r="B122" s="362" t="s">
        <v>565</v>
      </c>
      <c r="C122" s="268">
        <v>43307</v>
      </c>
      <c r="D122" s="264">
        <v>3298000</v>
      </c>
      <c r="E122" s="255" t="s">
        <v>24</v>
      </c>
      <c r="F122" s="255" t="s">
        <v>24</v>
      </c>
      <c r="G122" s="287" t="s">
        <v>566</v>
      </c>
      <c r="H122" s="256" t="s">
        <v>567</v>
      </c>
      <c r="I122" s="256" t="s">
        <v>305</v>
      </c>
      <c r="J122" s="257" t="s">
        <v>306</v>
      </c>
      <c r="K122" s="258" t="s">
        <v>307</v>
      </c>
      <c r="L122" s="259">
        <v>43270</v>
      </c>
      <c r="M122" s="255">
        <v>64</v>
      </c>
      <c r="N122" s="255">
        <v>103</v>
      </c>
      <c r="O122" s="266" t="s">
        <v>25</v>
      </c>
      <c r="P122" s="261" t="s">
        <v>25</v>
      </c>
      <c r="Q122" s="260">
        <v>43307</v>
      </c>
      <c r="R122" s="255"/>
      <c r="S122" s="261" t="s">
        <v>25</v>
      </c>
      <c r="T122" s="255"/>
      <c r="U122" s="261" t="s">
        <v>25</v>
      </c>
      <c r="V122" s="261" t="s">
        <v>24</v>
      </c>
      <c r="W122" s="255">
        <v>2</v>
      </c>
      <c r="X122" s="255">
        <v>0</v>
      </c>
      <c r="Y122" s="255">
        <v>0</v>
      </c>
      <c r="Z122" s="255">
        <v>0</v>
      </c>
      <c r="AA122" s="252"/>
      <c r="AB122" s="252"/>
      <c r="AC122" s="252"/>
    </row>
    <row r="123" spans="1:46" s="262" customFormat="1">
      <c r="A123" s="251" t="s">
        <v>83</v>
      </c>
      <c r="B123" s="252" t="s">
        <v>568</v>
      </c>
      <c r="C123" s="260">
        <v>43313</v>
      </c>
      <c r="D123" s="264">
        <v>4245000</v>
      </c>
      <c r="E123" s="254" t="s">
        <v>24</v>
      </c>
      <c r="F123" s="255" t="s">
        <v>24</v>
      </c>
      <c r="G123" s="280" t="s">
        <v>569</v>
      </c>
      <c r="H123" s="350" t="s">
        <v>570</v>
      </c>
      <c r="I123" s="256" t="s">
        <v>305</v>
      </c>
      <c r="J123" s="257" t="s">
        <v>306</v>
      </c>
      <c r="K123" s="265" t="s">
        <v>307</v>
      </c>
      <c r="L123" s="351">
        <v>43258</v>
      </c>
      <c r="M123" s="265">
        <v>112</v>
      </c>
      <c r="N123" s="265">
        <v>166</v>
      </c>
      <c r="O123" s="265" t="s">
        <v>25</v>
      </c>
      <c r="P123" s="265" t="s">
        <v>25</v>
      </c>
      <c r="Q123" s="259">
        <v>43313</v>
      </c>
      <c r="R123" s="255"/>
      <c r="S123" s="261" t="s">
        <v>25</v>
      </c>
      <c r="T123" s="255"/>
      <c r="U123" s="261" t="s">
        <v>25</v>
      </c>
      <c r="V123" s="261" t="s">
        <v>25</v>
      </c>
      <c r="W123" s="255">
        <v>7</v>
      </c>
      <c r="X123" s="255">
        <v>1</v>
      </c>
      <c r="Y123" s="255">
        <v>2</v>
      </c>
      <c r="Z123" s="255">
        <v>0</v>
      </c>
      <c r="AA123" s="252"/>
      <c r="AB123" s="252"/>
      <c r="AC123" s="252"/>
    </row>
    <row r="124" spans="1:46" s="262" customFormat="1">
      <c r="A124" s="5" t="s">
        <v>209</v>
      </c>
      <c r="B124" s="65" t="s">
        <v>207</v>
      </c>
      <c r="C124" s="31">
        <v>43174</v>
      </c>
      <c r="D124" s="72">
        <v>3330000</v>
      </c>
      <c r="E124" s="64" t="s">
        <v>24</v>
      </c>
      <c r="F124" s="64" t="s">
        <v>24</v>
      </c>
      <c r="G124" s="282" t="s">
        <v>571</v>
      </c>
      <c r="H124" s="72" t="s">
        <v>572</v>
      </c>
      <c r="I124" s="72" t="s">
        <v>305</v>
      </c>
      <c r="J124" s="48" t="s">
        <v>306</v>
      </c>
      <c r="K124" s="67" t="s">
        <v>307</v>
      </c>
      <c r="L124" s="66">
        <v>43119</v>
      </c>
      <c r="M124" s="64">
        <v>88</v>
      </c>
      <c r="N124" s="64">
        <v>142</v>
      </c>
      <c r="O124" s="64" t="s">
        <v>25</v>
      </c>
      <c r="P124" s="64" t="s">
        <v>25</v>
      </c>
      <c r="Q124" s="63">
        <v>43160</v>
      </c>
      <c r="R124" s="64"/>
      <c r="S124" s="64" t="s">
        <v>25</v>
      </c>
      <c r="T124" s="64"/>
      <c r="U124" s="64" t="s">
        <v>25</v>
      </c>
      <c r="V124" s="64" t="s">
        <v>25</v>
      </c>
      <c r="W124" s="64">
        <v>3</v>
      </c>
      <c r="X124" s="64">
        <v>0</v>
      </c>
      <c r="Y124" s="64">
        <v>1</v>
      </c>
      <c r="Z124" s="64">
        <v>0</v>
      </c>
      <c r="AA124" s="62" t="s">
        <v>379</v>
      </c>
      <c r="AB124" s="62"/>
      <c r="AC124" s="62"/>
      <c r="AD124" s="65"/>
      <c r="AE124" s="65"/>
    </row>
    <row r="125" spans="1:46" s="262" customFormat="1">
      <c r="A125" s="263" t="s">
        <v>195</v>
      </c>
      <c r="B125" s="267" t="s">
        <v>196</v>
      </c>
      <c r="C125" s="268">
        <v>43180</v>
      </c>
      <c r="D125" s="264">
        <v>4285000</v>
      </c>
      <c r="E125" s="265" t="s">
        <v>24</v>
      </c>
      <c r="F125" s="255" t="s">
        <v>24</v>
      </c>
      <c r="G125" s="365" t="s">
        <v>573</v>
      </c>
      <c r="H125" s="256" t="s">
        <v>574</v>
      </c>
      <c r="I125" s="256" t="s">
        <v>305</v>
      </c>
      <c r="J125" s="257" t="s">
        <v>306</v>
      </c>
      <c r="K125" s="258" t="s">
        <v>307</v>
      </c>
      <c r="L125" s="259">
        <v>43159</v>
      </c>
      <c r="M125" s="255">
        <v>14</v>
      </c>
      <c r="N125" s="255">
        <v>26</v>
      </c>
      <c r="O125" s="258" t="s">
        <v>25</v>
      </c>
      <c r="P125" s="255" t="s">
        <v>25</v>
      </c>
      <c r="Q125" s="260">
        <v>43180</v>
      </c>
      <c r="R125" s="255"/>
      <c r="S125" s="255" t="s">
        <v>25</v>
      </c>
      <c r="T125" s="255"/>
      <c r="U125" s="255" t="s">
        <v>24</v>
      </c>
      <c r="V125" s="255" t="s">
        <v>24</v>
      </c>
      <c r="W125" s="255">
        <v>0</v>
      </c>
      <c r="X125" s="255">
        <v>0</v>
      </c>
      <c r="Y125" s="255">
        <v>0</v>
      </c>
      <c r="Z125" s="255">
        <v>0</v>
      </c>
      <c r="AA125" s="252"/>
      <c r="AB125" s="252"/>
      <c r="AC125" s="252"/>
    </row>
    <row r="126" spans="1:46" s="262" customFormat="1">
      <c r="A126" s="263" t="s">
        <v>174</v>
      </c>
      <c r="B126" s="267" t="s">
        <v>175</v>
      </c>
      <c r="C126" s="268">
        <v>43258</v>
      </c>
      <c r="D126" s="264">
        <v>1236000</v>
      </c>
      <c r="E126" s="254" t="s">
        <v>24</v>
      </c>
      <c r="F126" s="255" t="s">
        <v>24</v>
      </c>
      <c r="G126" s="287" t="s">
        <v>575</v>
      </c>
      <c r="H126" s="256" t="s">
        <v>576</v>
      </c>
      <c r="I126" s="256" t="s">
        <v>305</v>
      </c>
      <c r="J126" s="257" t="s">
        <v>306</v>
      </c>
      <c r="K126" s="258" t="s">
        <v>307</v>
      </c>
      <c r="L126" s="259">
        <v>43253</v>
      </c>
      <c r="M126" s="261">
        <v>46</v>
      </c>
      <c r="N126" s="261">
        <v>65</v>
      </c>
      <c r="O126" s="258" t="s">
        <v>25</v>
      </c>
      <c r="P126" s="261" t="s">
        <v>25</v>
      </c>
      <c r="Q126" s="260">
        <v>43299</v>
      </c>
      <c r="R126" s="255"/>
      <c r="S126" s="261" t="s">
        <v>25</v>
      </c>
      <c r="T126" s="255"/>
      <c r="U126" s="261" t="s">
        <v>24</v>
      </c>
      <c r="V126" s="261" t="s">
        <v>24</v>
      </c>
      <c r="W126" s="255">
        <v>0</v>
      </c>
      <c r="X126" s="255">
        <v>0</v>
      </c>
      <c r="Y126" s="255">
        <v>0</v>
      </c>
      <c r="Z126" s="255">
        <v>0</v>
      </c>
      <c r="AA126" s="252"/>
      <c r="AB126" s="252"/>
      <c r="AC126" s="252"/>
    </row>
    <row r="127" spans="1:46" s="262" customFormat="1">
      <c r="A127" s="263" t="s">
        <v>47</v>
      </c>
      <c r="B127" s="267" t="s">
        <v>48</v>
      </c>
      <c r="C127" s="268">
        <v>43384</v>
      </c>
      <c r="D127" s="264">
        <v>1005000</v>
      </c>
      <c r="E127" s="265" t="s">
        <v>24</v>
      </c>
      <c r="F127" s="255" t="s">
        <v>24</v>
      </c>
      <c r="G127" s="280" t="s">
        <v>577</v>
      </c>
      <c r="H127" s="256" t="s">
        <v>578</v>
      </c>
      <c r="I127" s="256" t="s">
        <v>305</v>
      </c>
      <c r="J127" s="257" t="s">
        <v>306</v>
      </c>
      <c r="K127" s="258" t="s">
        <v>307</v>
      </c>
      <c r="L127" s="259">
        <v>43384</v>
      </c>
      <c r="M127" s="255">
        <v>24</v>
      </c>
      <c r="N127" s="255">
        <f>M127*2</f>
        <v>48</v>
      </c>
      <c r="O127" s="266" t="s">
        <v>25</v>
      </c>
      <c r="P127" s="261" t="s">
        <v>25</v>
      </c>
      <c r="Q127" s="260">
        <v>43410</v>
      </c>
      <c r="R127" s="255"/>
      <c r="S127" s="261" t="s">
        <v>25</v>
      </c>
      <c r="T127" s="255"/>
      <c r="U127" s="261" t="s">
        <v>25</v>
      </c>
      <c r="V127" s="261" t="s">
        <v>24</v>
      </c>
      <c r="W127" s="255">
        <v>1</v>
      </c>
      <c r="X127" s="255">
        <v>0</v>
      </c>
      <c r="Y127" s="255">
        <v>0</v>
      </c>
      <c r="Z127" s="255">
        <v>0</v>
      </c>
      <c r="AA127" s="252"/>
      <c r="AB127" s="252"/>
      <c r="AC127" s="252"/>
    </row>
    <row r="128" spans="1:46" s="262" customFormat="1">
      <c r="A128" s="263" t="s">
        <v>155</v>
      </c>
      <c r="B128" s="29" t="s">
        <v>156</v>
      </c>
      <c r="C128" s="260">
        <v>43032</v>
      </c>
      <c r="D128" s="264">
        <v>4167000</v>
      </c>
      <c r="E128" s="265" t="s">
        <v>24</v>
      </c>
      <c r="F128" s="255" t="s">
        <v>24</v>
      </c>
      <c r="G128" s="280" t="s">
        <v>579</v>
      </c>
      <c r="H128" s="256" t="s">
        <v>580</v>
      </c>
      <c r="I128" s="256" t="s">
        <v>305</v>
      </c>
      <c r="J128" s="257" t="s">
        <v>306</v>
      </c>
      <c r="K128" s="258" t="s">
        <v>307</v>
      </c>
      <c r="L128" s="259">
        <v>43141</v>
      </c>
      <c r="M128" s="255">
        <v>96</v>
      </c>
      <c r="N128" s="255">
        <v>164</v>
      </c>
      <c r="O128" s="258" t="s">
        <v>25</v>
      </c>
      <c r="P128" s="255" t="s">
        <v>25</v>
      </c>
      <c r="Q128" s="260">
        <v>43160</v>
      </c>
      <c r="R128" s="255"/>
      <c r="S128" s="255" t="s">
        <v>25</v>
      </c>
      <c r="T128" s="255"/>
      <c r="U128" s="255" t="s">
        <v>25</v>
      </c>
      <c r="V128" s="255" t="s">
        <v>25</v>
      </c>
      <c r="W128" s="255">
        <v>39</v>
      </c>
      <c r="X128" s="255">
        <v>1</v>
      </c>
      <c r="Y128" s="255">
        <v>20</v>
      </c>
      <c r="Z128" s="255">
        <v>21</v>
      </c>
      <c r="AA128" s="252" t="s">
        <v>379</v>
      </c>
      <c r="AB128" s="252"/>
      <c r="AC128" s="252"/>
    </row>
    <row r="129" spans="1:32" s="262" customFormat="1">
      <c r="A129" s="263" t="s">
        <v>47</v>
      </c>
      <c r="B129" s="267" t="s">
        <v>48</v>
      </c>
      <c r="C129" s="268">
        <v>43389</v>
      </c>
      <c r="D129" s="264">
        <v>1005000</v>
      </c>
      <c r="E129" s="265" t="s">
        <v>24</v>
      </c>
      <c r="F129" s="255" t="s">
        <v>24</v>
      </c>
      <c r="G129" s="280" t="s">
        <v>581</v>
      </c>
      <c r="H129" s="256" t="s">
        <v>582</v>
      </c>
      <c r="I129" s="256" t="s">
        <v>305</v>
      </c>
      <c r="J129" s="257" t="s">
        <v>306</v>
      </c>
      <c r="K129" s="258" t="s">
        <v>307</v>
      </c>
      <c r="L129" s="259">
        <v>43389</v>
      </c>
      <c r="M129" s="255">
        <v>60</v>
      </c>
      <c r="N129" s="255">
        <v>86</v>
      </c>
      <c r="O129" s="266" t="s">
        <v>25</v>
      </c>
      <c r="P129" s="261" t="s">
        <v>25</v>
      </c>
      <c r="Q129" s="260">
        <v>43410</v>
      </c>
      <c r="R129" s="255">
        <f>SUMIF(A:A,"AgawamPS",N:N)</f>
        <v>535</v>
      </c>
      <c r="S129" s="261" t="s">
        <v>25</v>
      </c>
      <c r="T129" s="255"/>
      <c r="U129" s="261" t="s">
        <v>24</v>
      </c>
      <c r="V129" s="261" t="s">
        <v>25</v>
      </c>
      <c r="W129" s="255">
        <v>0</v>
      </c>
      <c r="X129" s="255">
        <v>0</v>
      </c>
      <c r="Y129" s="255">
        <v>1</v>
      </c>
      <c r="Z129" s="255">
        <v>0</v>
      </c>
      <c r="AA129" s="252"/>
      <c r="AB129" s="252"/>
      <c r="AC129" s="252"/>
    </row>
    <row r="130" spans="1:32" s="262" customFormat="1">
      <c r="A130" s="263" t="s">
        <v>155</v>
      </c>
      <c r="B130" s="29" t="s">
        <v>156</v>
      </c>
      <c r="C130" s="260">
        <v>43157</v>
      </c>
      <c r="D130" s="264">
        <v>4167000</v>
      </c>
      <c r="E130" s="265" t="s">
        <v>24</v>
      </c>
      <c r="F130" s="255" t="s">
        <v>24</v>
      </c>
      <c r="G130" s="280" t="s">
        <v>583</v>
      </c>
      <c r="H130" s="256" t="s">
        <v>584</v>
      </c>
      <c r="I130" s="256" t="s">
        <v>305</v>
      </c>
      <c r="J130" s="257" t="s">
        <v>306</v>
      </c>
      <c r="K130" s="258" t="s">
        <v>307</v>
      </c>
      <c r="L130" s="259">
        <v>43141</v>
      </c>
      <c r="M130" s="255">
        <v>5</v>
      </c>
      <c r="N130" s="255">
        <f>M130*2</f>
        <v>10</v>
      </c>
      <c r="O130" s="258" t="s">
        <v>25</v>
      </c>
      <c r="P130" s="255" t="s">
        <v>25</v>
      </c>
      <c r="Q130" s="260">
        <v>43157</v>
      </c>
      <c r="R130" s="255">
        <f>SUMIF(A:A,"MansfieldPS",N:N)</f>
        <v>504</v>
      </c>
      <c r="S130" s="255" t="s">
        <v>25</v>
      </c>
      <c r="T130" s="255"/>
      <c r="U130" s="255" t="s">
        <v>24</v>
      </c>
      <c r="V130" s="255" t="s">
        <v>24</v>
      </c>
      <c r="W130" s="255">
        <v>0</v>
      </c>
      <c r="X130" s="255">
        <v>0</v>
      </c>
      <c r="Y130" s="255">
        <v>0</v>
      </c>
      <c r="Z130" s="255">
        <v>0</v>
      </c>
      <c r="AA130" s="252"/>
      <c r="AB130" s="252"/>
      <c r="AC130" s="252"/>
    </row>
    <row r="131" spans="1:32" s="262" customFormat="1">
      <c r="A131" s="263" t="s">
        <v>92</v>
      </c>
      <c r="B131" s="29" t="s">
        <v>585</v>
      </c>
      <c r="C131" s="253">
        <v>43210</v>
      </c>
      <c r="D131" s="264">
        <v>3259000</v>
      </c>
      <c r="E131" s="265" t="s">
        <v>24</v>
      </c>
      <c r="F131" s="255" t="s">
        <v>24</v>
      </c>
      <c r="G131" s="280" t="s">
        <v>586</v>
      </c>
      <c r="H131" s="256" t="s">
        <v>587</v>
      </c>
      <c r="I131" s="256" t="s">
        <v>305</v>
      </c>
      <c r="J131" s="257" t="s">
        <v>306</v>
      </c>
      <c r="K131" s="258" t="s">
        <v>307</v>
      </c>
      <c r="L131" s="259">
        <v>43127</v>
      </c>
      <c r="M131" s="255">
        <v>121</v>
      </c>
      <c r="N131" s="258">
        <v>176</v>
      </c>
      <c r="O131" s="258" t="s">
        <v>25</v>
      </c>
      <c r="P131" s="255" t="s">
        <v>25</v>
      </c>
      <c r="Q131" s="260">
        <v>43210</v>
      </c>
      <c r="R131" s="255"/>
      <c r="S131" s="255" t="s">
        <v>25</v>
      </c>
      <c r="T131" s="255"/>
      <c r="U131" s="255" t="s">
        <v>25</v>
      </c>
      <c r="V131" s="255" t="s">
        <v>25</v>
      </c>
      <c r="W131" s="255">
        <v>5</v>
      </c>
      <c r="X131" s="255">
        <v>0</v>
      </c>
      <c r="Y131" s="255">
        <v>61</v>
      </c>
      <c r="Z131" s="255">
        <v>0</v>
      </c>
      <c r="AA131" s="252"/>
      <c r="AB131" s="252"/>
      <c r="AC131" s="252"/>
    </row>
    <row r="132" spans="1:32" s="262" customFormat="1">
      <c r="A132" s="13" t="s">
        <v>140</v>
      </c>
      <c r="B132" s="28" t="s">
        <v>141</v>
      </c>
      <c r="C132" s="63">
        <v>43132</v>
      </c>
      <c r="D132" s="70">
        <v>2153000</v>
      </c>
      <c r="E132" s="73" t="s">
        <v>24</v>
      </c>
      <c r="F132" s="64" t="s">
        <v>24</v>
      </c>
      <c r="G132" s="279" t="s">
        <v>588</v>
      </c>
      <c r="H132" s="74" t="s">
        <v>589</v>
      </c>
      <c r="I132" s="74" t="s">
        <v>305</v>
      </c>
      <c r="J132" s="48" t="s">
        <v>306</v>
      </c>
      <c r="K132" s="67" t="s">
        <v>307</v>
      </c>
      <c r="L132" s="66">
        <v>43112</v>
      </c>
      <c r="M132" s="64">
        <v>11</v>
      </c>
      <c r="N132" s="64">
        <v>21</v>
      </c>
      <c r="O132" s="67" t="s">
        <v>25</v>
      </c>
      <c r="P132" s="64" t="s">
        <v>25</v>
      </c>
      <c r="Q132" s="63">
        <v>43129</v>
      </c>
      <c r="R132" s="64"/>
      <c r="S132" s="64" t="s">
        <v>25</v>
      </c>
      <c r="T132" s="64"/>
      <c r="U132" s="64" t="s">
        <v>25</v>
      </c>
      <c r="V132" s="64" t="s">
        <v>24</v>
      </c>
      <c r="W132" s="64">
        <v>1</v>
      </c>
      <c r="X132" s="64">
        <v>0</v>
      </c>
      <c r="Y132" s="64">
        <v>0</v>
      </c>
      <c r="Z132" s="64">
        <v>0</v>
      </c>
      <c r="AA132" s="62"/>
      <c r="AB132" s="62"/>
      <c r="AC132" s="62"/>
      <c r="AD132" s="65"/>
      <c r="AE132" s="65"/>
    </row>
    <row r="133" spans="1:32" s="262" customFormat="1">
      <c r="A133" s="349" t="s">
        <v>201</v>
      </c>
      <c r="B133" s="367" t="s">
        <v>202</v>
      </c>
      <c r="C133" s="260">
        <v>43146</v>
      </c>
      <c r="D133" s="262">
        <v>2328000</v>
      </c>
      <c r="E133" s="255" t="s">
        <v>24</v>
      </c>
      <c r="F133" s="255" t="s">
        <v>24</v>
      </c>
      <c r="G133" s="376" t="s">
        <v>590</v>
      </c>
      <c r="H133" s="377" t="s">
        <v>591</v>
      </c>
      <c r="I133" s="270" t="s">
        <v>305</v>
      </c>
      <c r="J133" s="257" t="s">
        <v>306</v>
      </c>
      <c r="K133" s="378" t="s">
        <v>307</v>
      </c>
      <c r="L133" s="253">
        <v>43132</v>
      </c>
      <c r="M133" s="379">
        <v>26</v>
      </c>
      <c r="N133" s="379">
        <v>52</v>
      </c>
      <c r="O133" s="255" t="s">
        <v>25</v>
      </c>
      <c r="P133" s="255" t="s">
        <v>25</v>
      </c>
      <c r="Q133" s="260">
        <v>43187</v>
      </c>
      <c r="R133" s="255">
        <f>SUMIF(A:A,"WestboroughPS",N:N)</f>
        <v>52</v>
      </c>
      <c r="S133" s="260" t="s">
        <v>25</v>
      </c>
      <c r="T133" s="260"/>
      <c r="U133" s="255" t="s">
        <v>24</v>
      </c>
      <c r="V133" s="255" t="s">
        <v>24</v>
      </c>
      <c r="W133" s="255">
        <v>0</v>
      </c>
      <c r="X133" s="255">
        <v>0</v>
      </c>
      <c r="Y133" s="258">
        <v>0</v>
      </c>
      <c r="Z133" s="255">
        <v>0</v>
      </c>
      <c r="AD133" s="380"/>
      <c r="AE133" s="380"/>
    </row>
    <row r="134" spans="1:32" s="262" customFormat="1">
      <c r="A134" s="13" t="s">
        <v>88</v>
      </c>
      <c r="B134" s="2" t="s">
        <v>592</v>
      </c>
      <c r="C134" s="63">
        <v>43325</v>
      </c>
      <c r="D134" s="70">
        <v>290181</v>
      </c>
      <c r="E134" s="73" t="s">
        <v>24</v>
      </c>
      <c r="F134" s="64" t="s">
        <v>24</v>
      </c>
      <c r="G134" s="288" t="s">
        <v>593</v>
      </c>
      <c r="H134" s="65" t="s">
        <v>594</v>
      </c>
      <c r="I134" s="65" t="s">
        <v>341</v>
      </c>
      <c r="J134" s="1" t="s">
        <v>306</v>
      </c>
      <c r="K134" s="219" t="s">
        <v>307</v>
      </c>
      <c r="L134" s="66">
        <v>43257</v>
      </c>
      <c r="M134" s="64">
        <v>10</v>
      </c>
      <c r="N134" s="64">
        <v>17</v>
      </c>
      <c r="O134" s="219" t="s">
        <v>25</v>
      </c>
      <c r="P134" s="47" t="s">
        <v>25</v>
      </c>
      <c r="Q134" s="63">
        <v>43325</v>
      </c>
      <c r="R134" s="64"/>
      <c r="S134" s="47" t="s">
        <v>25</v>
      </c>
      <c r="T134" s="64"/>
      <c r="U134" s="47" t="s">
        <v>25</v>
      </c>
      <c r="V134" s="47" t="s">
        <v>24</v>
      </c>
      <c r="W134" s="64">
        <v>1</v>
      </c>
      <c r="X134" s="64">
        <v>0</v>
      </c>
      <c r="Y134" s="64">
        <v>0</v>
      </c>
      <c r="Z134" s="64">
        <v>0</v>
      </c>
      <c r="AA134" s="1"/>
      <c r="AB134" s="1"/>
      <c r="AC134" s="62"/>
      <c r="AD134" s="65"/>
      <c r="AE134" s="65"/>
    </row>
    <row r="135" spans="1:32" s="262" customFormat="1">
      <c r="A135" s="263" t="s">
        <v>88</v>
      </c>
      <c r="B135" s="362" t="s">
        <v>595</v>
      </c>
      <c r="C135" s="260">
        <v>43325</v>
      </c>
      <c r="D135" s="264">
        <v>290161</v>
      </c>
      <c r="E135" s="265" t="s">
        <v>24</v>
      </c>
      <c r="F135" s="255" t="s">
        <v>24</v>
      </c>
      <c r="G135" s="363" t="s">
        <v>596</v>
      </c>
      <c r="H135" s="262" t="s">
        <v>594</v>
      </c>
      <c r="I135" s="262" t="s">
        <v>341</v>
      </c>
      <c r="J135" s="274" t="s">
        <v>306</v>
      </c>
      <c r="K135" s="266" t="s">
        <v>307</v>
      </c>
      <c r="L135" s="259">
        <v>43257</v>
      </c>
      <c r="M135" s="255">
        <v>8</v>
      </c>
      <c r="N135" s="255">
        <v>15</v>
      </c>
      <c r="O135" s="266" t="s">
        <v>25</v>
      </c>
      <c r="P135" s="261" t="s">
        <v>25</v>
      </c>
      <c r="Q135" s="260">
        <v>43325</v>
      </c>
      <c r="R135" s="255">
        <f>SUMIF(A:A,"SelfHelp",N:N)</f>
        <v>117</v>
      </c>
      <c r="S135" s="261" t="s">
        <v>25</v>
      </c>
      <c r="T135" s="255"/>
      <c r="U135" s="261" t="s">
        <v>24</v>
      </c>
      <c r="V135" s="261" t="s">
        <v>24</v>
      </c>
      <c r="W135" s="255">
        <v>0</v>
      </c>
      <c r="X135" s="255">
        <v>0</v>
      </c>
      <c r="Y135" s="255">
        <v>0</v>
      </c>
      <c r="Z135" s="255">
        <v>0</v>
      </c>
      <c r="AA135" s="274"/>
      <c r="AB135" s="274"/>
      <c r="AC135" s="252"/>
    </row>
    <row r="136" spans="1:32" s="262" customFormat="1">
      <c r="A136" s="263" t="s">
        <v>181</v>
      </c>
      <c r="B136" s="267" t="s">
        <v>182</v>
      </c>
      <c r="C136" s="260">
        <v>43313</v>
      </c>
      <c r="D136" s="264">
        <v>1272002</v>
      </c>
      <c r="E136" s="255" t="s">
        <v>25</v>
      </c>
      <c r="F136" s="255" t="s">
        <v>24</v>
      </c>
      <c r="G136" s="287" t="s">
        <v>597</v>
      </c>
      <c r="H136" s="256" t="s">
        <v>598</v>
      </c>
      <c r="I136" s="256" t="s">
        <v>305</v>
      </c>
      <c r="J136" s="257" t="s">
        <v>306</v>
      </c>
      <c r="K136" s="266" t="s">
        <v>307</v>
      </c>
      <c r="L136" s="259">
        <v>43271</v>
      </c>
      <c r="M136" s="254">
        <v>20</v>
      </c>
      <c r="N136" s="254">
        <v>40</v>
      </c>
      <c r="O136" s="266" t="s">
        <v>25</v>
      </c>
      <c r="P136" s="261" t="s">
        <v>25</v>
      </c>
      <c r="Q136" s="260">
        <v>43313</v>
      </c>
      <c r="R136" s="255">
        <f>SUMIF(A:A,"Shutesbury ES",N:N)</f>
        <v>40</v>
      </c>
      <c r="S136" s="261" t="s">
        <v>25</v>
      </c>
      <c r="T136" s="255"/>
      <c r="U136" s="261" t="s">
        <v>25</v>
      </c>
      <c r="V136" s="261" t="s">
        <v>24</v>
      </c>
      <c r="W136" s="255">
        <v>2</v>
      </c>
      <c r="X136" s="255">
        <v>0</v>
      </c>
      <c r="Y136" s="255">
        <v>0</v>
      </c>
      <c r="Z136" s="255">
        <v>0</v>
      </c>
      <c r="AA136" s="252"/>
      <c r="AB136" s="252"/>
      <c r="AC136" s="252"/>
      <c r="AF136" s="273"/>
    </row>
    <row r="137" spans="1:32" s="262" customFormat="1">
      <c r="A137" s="13" t="s">
        <v>174</v>
      </c>
      <c r="B137" s="68" t="s">
        <v>175</v>
      </c>
      <c r="C137" s="69">
        <v>43280</v>
      </c>
      <c r="D137" s="70">
        <v>1236000</v>
      </c>
      <c r="E137" s="87" t="s">
        <v>24</v>
      </c>
      <c r="F137" s="64" t="s">
        <v>24</v>
      </c>
      <c r="G137" s="285" t="s">
        <v>599</v>
      </c>
      <c r="H137" s="74" t="s">
        <v>600</v>
      </c>
      <c r="I137" s="74" t="s">
        <v>305</v>
      </c>
      <c r="J137" s="48" t="s">
        <v>306</v>
      </c>
      <c r="K137" s="67" t="s">
        <v>307</v>
      </c>
      <c r="L137" s="66">
        <v>43246</v>
      </c>
      <c r="M137" s="47">
        <v>40</v>
      </c>
      <c r="N137" s="47">
        <v>74</v>
      </c>
      <c r="O137" s="67" t="s">
        <v>25</v>
      </c>
      <c r="P137" s="47" t="s">
        <v>25</v>
      </c>
      <c r="Q137" s="63">
        <v>43280</v>
      </c>
      <c r="R137" s="64"/>
      <c r="S137" s="47" t="s">
        <v>25</v>
      </c>
      <c r="T137" s="64"/>
      <c r="U137" s="47" t="s">
        <v>25</v>
      </c>
      <c r="V137" s="47" t="s">
        <v>24</v>
      </c>
      <c r="W137" s="64">
        <v>3</v>
      </c>
      <c r="X137" s="64">
        <v>0</v>
      </c>
      <c r="Y137" s="64">
        <v>0</v>
      </c>
      <c r="Z137" s="64">
        <v>0</v>
      </c>
      <c r="AA137" s="62"/>
      <c r="AB137" s="62"/>
      <c r="AC137" s="62"/>
      <c r="AD137" s="65"/>
      <c r="AE137" s="65"/>
      <c r="AF137" s="273"/>
    </row>
    <row r="138" spans="1:32" s="262" customFormat="1">
      <c r="A138" s="263" t="s">
        <v>140</v>
      </c>
      <c r="B138" s="29" t="s">
        <v>141</v>
      </c>
      <c r="C138" s="260">
        <v>43174</v>
      </c>
      <c r="D138" s="264">
        <v>2153000</v>
      </c>
      <c r="E138" s="265" t="s">
        <v>24</v>
      </c>
      <c r="F138" s="255" t="s">
        <v>24</v>
      </c>
      <c r="G138" s="280" t="s">
        <v>601</v>
      </c>
      <c r="H138" s="256" t="s">
        <v>602</v>
      </c>
      <c r="I138" s="256" t="s">
        <v>305</v>
      </c>
      <c r="J138" s="257" t="s">
        <v>306</v>
      </c>
      <c r="K138" s="258" t="s">
        <v>307</v>
      </c>
      <c r="L138" s="259">
        <v>43110</v>
      </c>
      <c r="M138" s="255">
        <v>25</v>
      </c>
      <c r="N138" s="255">
        <v>39</v>
      </c>
      <c r="O138" s="258" t="s">
        <v>25</v>
      </c>
      <c r="P138" s="255" t="s">
        <v>25</v>
      </c>
      <c r="Q138" s="260">
        <v>43129</v>
      </c>
      <c r="R138" s="255">
        <f>SUMIF(A:A,"LeominsterPS",N:N)</f>
        <v>216</v>
      </c>
      <c r="S138" s="255" t="s">
        <v>25</v>
      </c>
      <c r="T138" s="255"/>
      <c r="U138" s="255" t="s">
        <v>24</v>
      </c>
      <c r="V138" s="255" t="s">
        <v>24</v>
      </c>
      <c r="W138" s="255">
        <v>0</v>
      </c>
      <c r="X138" s="255">
        <v>0</v>
      </c>
      <c r="Y138" s="255">
        <v>0</v>
      </c>
      <c r="Z138" s="255">
        <v>0</v>
      </c>
      <c r="AA138" s="252" t="s">
        <v>379</v>
      </c>
      <c r="AB138" s="252"/>
      <c r="AC138" s="252"/>
    </row>
    <row r="139" spans="1:32" s="262" customFormat="1">
      <c r="A139" s="263" t="s">
        <v>195</v>
      </c>
      <c r="B139" s="267" t="s">
        <v>196</v>
      </c>
      <c r="C139" s="268">
        <v>43180</v>
      </c>
      <c r="D139" s="264">
        <v>4285000</v>
      </c>
      <c r="E139" s="265" t="s">
        <v>24</v>
      </c>
      <c r="F139" s="255" t="s">
        <v>24</v>
      </c>
      <c r="G139" s="365" t="s">
        <v>603</v>
      </c>
      <c r="H139" s="256" t="s">
        <v>604</v>
      </c>
      <c r="I139" s="256" t="s">
        <v>305</v>
      </c>
      <c r="J139" s="257" t="s">
        <v>306</v>
      </c>
      <c r="K139" s="258" t="s">
        <v>307</v>
      </c>
      <c r="L139" s="259">
        <v>43160</v>
      </c>
      <c r="M139" s="255">
        <v>8</v>
      </c>
      <c r="N139" s="255">
        <f>M139*2</f>
        <v>16</v>
      </c>
      <c r="O139" s="258" t="s">
        <v>25</v>
      </c>
      <c r="P139" s="258" t="s">
        <v>25</v>
      </c>
      <c r="Q139" s="260">
        <v>43180</v>
      </c>
      <c r="R139" s="255"/>
      <c r="S139" s="255" t="s">
        <v>25</v>
      </c>
      <c r="T139" s="255"/>
      <c r="U139" s="255" t="s">
        <v>25</v>
      </c>
      <c r="V139" s="255" t="s">
        <v>25</v>
      </c>
      <c r="W139" s="255">
        <v>2</v>
      </c>
      <c r="X139" s="255">
        <v>0</v>
      </c>
      <c r="Y139" s="255">
        <v>3</v>
      </c>
      <c r="Z139" s="255">
        <v>3</v>
      </c>
      <c r="AA139" s="252"/>
      <c r="AB139" s="252"/>
      <c r="AC139" s="252"/>
    </row>
    <row r="140" spans="1:32" s="262" customFormat="1">
      <c r="A140" s="263" t="s">
        <v>123</v>
      </c>
      <c r="B140" s="29" t="s">
        <v>124</v>
      </c>
      <c r="C140" s="260">
        <v>43187</v>
      </c>
      <c r="D140" s="264">
        <v>2110001</v>
      </c>
      <c r="E140" s="265" t="s">
        <v>24</v>
      </c>
      <c r="F140" s="255" t="s">
        <v>24</v>
      </c>
      <c r="G140" s="280" t="s">
        <v>605</v>
      </c>
      <c r="H140" s="256" t="s">
        <v>606</v>
      </c>
      <c r="I140" s="256" t="s">
        <v>305</v>
      </c>
      <c r="J140" s="257" t="s">
        <v>306</v>
      </c>
      <c r="K140" s="258" t="s">
        <v>307</v>
      </c>
      <c r="L140" s="355">
        <v>43161</v>
      </c>
      <c r="M140" s="255">
        <v>44</v>
      </c>
      <c r="N140" s="255">
        <v>68</v>
      </c>
      <c r="O140" s="258" t="s">
        <v>25</v>
      </c>
      <c r="P140" s="255" t="s">
        <v>25</v>
      </c>
      <c r="Q140" s="260">
        <v>43187</v>
      </c>
      <c r="R140" s="255">
        <f>SUMIF(A:A,"GraftonPS",N:N)</f>
        <v>387</v>
      </c>
      <c r="S140" s="255" t="s">
        <v>25</v>
      </c>
      <c r="T140" s="255"/>
      <c r="U140" s="255" t="s">
        <v>25</v>
      </c>
      <c r="V140" s="255" t="s">
        <v>24</v>
      </c>
      <c r="W140" s="255">
        <v>1</v>
      </c>
      <c r="X140" s="255">
        <v>0</v>
      </c>
      <c r="Y140" s="255">
        <v>0</v>
      </c>
      <c r="Z140" s="255">
        <v>0</v>
      </c>
      <c r="AA140" s="252"/>
      <c r="AB140" s="252"/>
      <c r="AC140" s="252"/>
    </row>
    <row r="141" spans="1:32" s="262" customFormat="1">
      <c r="A141" s="263" t="s">
        <v>185</v>
      </c>
      <c r="B141" s="267" t="s">
        <v>186</v>
      </c>
      <c r="C141" s="268">
        <v>43315</v>
      </c>
      <c r="D141" s="264">
        <v>1275000</v>
      </c>
      <c r="E141" s="261" t="s">
        <v>24</v>
      </c>
      <c r="F141" s="261" t="s">
        <v>25</v>
      </c>
      <c r="G141" s="287" t="s">
        <v>607</v>
      </c>
      <c r="H141" s="256" t="s">
        <v>608</v>
      </c>
      <c r="I141" s="256" t="s">
        <v>305</v>
      </c>
      <c r="J141" s="257" t="s">
        <v>306</v>
      </c>
      <c r="K141" s="266" t="s">
        <v>307</v>
      </c>
      <c r="L141" s="259">
        <v>43269</v>
      </c>
      <c r="M141" s="255">
        <v>26</v>
      </c>
      <c r="N141" s="255">
        <v>47</v>
      </c>
      <c r="O141" s="266" t="s">
        <v>25</v>
      </c>
      <c r="P141" s="261" t="s">
        <v>25</v>
      </c>
      <c r="Q141" s="260">
        <v>43315</v>
      </c>
      <c r="R141" s="255">
        <f>SUMIF(A:A,"South Hadley PS",N:N)</f>
        <v>263</v>
      </c>
      <c r="S141" s="261" t="s">
        <v>25</v>
      </c>
      <c r="T141" s="255"/>
      <c r="U141" s="261" t="s">
        <v>25</v>
      </c>
      <c r="V141" s="261" t="s">
        <v>25</v>
      </c>
      <c r="W141" s="255">
        <v>1</v>
      </c>
      <c r="X141" s="255">
        <v>2</v>
      </c>
      <c r="Y141" s="255">
        <v>2</v>
      </c>
      <c r="Z141" s="255">
        <v>3</v>
      </c>
      <c r="AA141" s="252"/>
      <c r="AB141" s="252"/>
      <c r="AC141" s="252"/>
    </row>
    <row r="142" spans="1:32" s="262" customFormat="1">
      <c r="A142" s="251" t="s">
        <v>77</v>
      </c>
      <c r="B142" s="252" t="s">
        <v>78</v>
      </c>
      <c r="C142" s="260">
        <v>43266</v>
      </c>
      <c r="D142" s="269">
        <v>4040000</v>
      </c>
      <c r="E142" s="255" t="s">
        <v>24</v>
      </c>
      <c r="F142" s="255" t="s">
        <v>24</v>
      </c>
      <c r="G142" s="280" t="s">
        <v>609</v>
      </c>
      <c r="H142" s="270" t="s">
        <v>610</v>
      </c>
      <c r="I142" s="270" t="s">
        <v>305</v>
      </c>
      <c r="J142" s="257" t="s">
        <v>306</v>
      </c>
      <c r="K142" s="266" t="s">
        <v>307</v>
      </c>
      <c r="L142" s="260">
        <v>43264</v>
      </c>
      <c r="M142" s="255">
        <v>16</v>
      </c>
      <c r="N142" s="255">
        <v>28</v>
      </c>
      <c r="O142" s="266" t="s">
        <v>25</v>
      </c>
      <c r="P142" s="261" t="s">
        <v>25</v>
      </c>
      <c r="Q142" s="260">
        <v>43305</v>
      </c>
      <c r="R142" s="255">
        <f>SUMIF(A:A,"BraintreePS",N:N)</f>
        <v>593</v>
      </c>
      <c r="S142" s="261" t="s">
        <v>25</v>
      </c>
      <c r="T142" s="261"/>
      <c r="U142" s="261" t="s">
        <v>24</v>
      </c>
      <c r="V142" s="261" t="s">
        <v>24</v>
      </c>
      <c r="W142" s="255">
        <v>0</v>
      </c>
      <c r="X142" s="255">
        <v>0</v>
      </c>
      <c r="Y142" s="255">
        <v>0</v>
      </c>
      <c r="Z142" s="255">
        <v>0</v>
      </c>
      <c r="AA142" s="274"/>
      <c r="AB142" s="274"/>
      <c r="AC142" s="252"/>
    </row>
    <row r="143" spans="1:32" s="262" customFormat="1">
      <c r="A143" s="251" t="s">
        <v>170</v>
      </c>
      <c r="B143" s="252" t="s">
        <v>171</v>
      </c>
      <c r="C143" s="268">
        <v>43255</v>
      </c>
      <c r="D143" s="273">
        <v>4219000</v>
      </c>
      <c r="E143" s="254" t="s">
        <v>24</v>
      </c>
      <c r="F143" s="255" t="s">
        <v>24</v>
      </c>
      <c r="G143" s="280" t="s">
        <v>611</v>
      </c>
      <c r="H143" s="358" t="s">
        <v>612</v>
      </c>
      <c r="I143" s="358" t="s">
        <v>305</v>
      </c>
      <c r="J143" s="257" t="s">
        <v>306</v>
      </c>
      <c r="K143" s="258" t="s">
        <v>307</v>
      </c>
      <c r="L143" s="259">
        <v>43231</v>
      </c>
      <c r="M143" s="255">
        <v>17</v>
      </c>
      <c r="N143" s="255">
        <v>26</v>
      </c>
      <c r="O143" s="266" t="s">
        <v>25</v>
      </c>
      <c r="P143" s="261" t="s">
        <v>25</v>
      </c>
      <c r="Q143" s="260">
        <v>43255</v>
      </c>
      <c r="R143" s="255">
        <f>SUMIF(A:A,"SouthShoreCPS",N:N)</f>
        <v>26</v>
      </c>
      <c r="S143" s="261" t="s">
        <v>25</v>
      </c>
      <c r="T143" s="255"/>
      <c r="U143" s="261" t="s">
        <v>24</v>
      </c>
      <c r="V143" s="261" t="s">
        <v>25</v>
      </c>
      <c r="W143" s="255">
        <v>0</v>
      </c>
      <c r="X143" s="255">
        <v>0</v>
      </c>
      <c r="Y143" s="255">
        <v>1</v>
      </c>
      <c r="Z143" s="255">
        <v>0</v>
      </c>
      <c r="AA143" s="252"/>
      <c r="AB143" s="252"/>
      <c r="AC143" s="252"/>
    </row>
    <row r="144" spans="1:32" s="262" customFormat="1">
      <c r="A144" s="263" t="s">
        <v>74</v>
      </c>
      <c r="B144" s="267" t="s">
        <v>71</v>
      </c>
      <c r="C144" s="268">
        <v>43307</v>
      </c>
      <c r="D144" s="264">
        <v>3038008</v>
      </c>
      <c r="E144" s="255" t="s">
        <v>25</v>
      </c>
      <c r="F144" s="255" t="s">
        <v>24</v>
      </c>
      <c r="G144" s="287" t="s">
        <v>613</v>
      </c>
      <c r="H144" s="256" t="s">
        <v>614</v>
      </c>
      <c r="I144" s="256" t="s">
        <v>305</v>
      </c>
      <c r="J144" s="257" t="s">
        <v>306</v>
      </c>
      <c r="K144" s="258" t="s">
        <v>307</v>
      </c>
      <c r="L144" s="259">
        <v>43272</v>
      </c>
      <c r="M144" s="255">
        <v>74</v>
      </c>
      <c r="N144" s="255">
        <v>107</v>
      </c>
      <c r="O144" s="266" t="s">
        <v>25</v>
      </c>
      <c r="P144" s="261" t="s">
        <v>25</v>
      </c>
      <c r="Q144" s="259">
        <v>43307</v>
      </c>
      <c r="R144" s="255"/>
      <c r="S144" s="261" t="s">
        <v>25</v>
      </c>
      <c r="T144" s="255"/>
      <c r="U144" s="261" t="s">
        <v>25</v>
      </c>
      <c r="V144" s="261" t="s">
        <v>24</v>
      </c>
      <c r="W144" s="255">
        <v>10</v>
      </c>
      <c r="X144" s="255">
        <v>0</v>
      </c>
      <c r="Y144" s="255">
        <v>0</v>
      </c>
      <c r="Z144" s="255">
        <v>0</v>
      </c>
      <c r="AA144" s="252"/>
      <c r="AB144" s="252"/>
      <c r="AC144" s="252"/>
    </row>
    <row r="145" spans="1:46" s="262" customFormat="1">
      <c r="A145" s="13" t="s">
        <v>130</v>
      </c>
      <c r="B145" s="68" t="s">
        <v>131</v>
      </c>
      <c r="C145" s="63">
        <v>43292</v>
      </c>
      <c r="D145" s="70">
        <v>1137000</v>
      </c>
      <c r="E145" s="87" t="s">
        <v>24</v>
      </c>
      <c r="F145" s="64" t="s">
        <v>24</v>
      </c>
      <c r="G145" s="281" t="s">
        <v>615</v>
      </c>
      <c r="H145" s="74" t="s">
        <v>616</v>
      </c>
      <c r="I145" s="74" t="s">
        <v>305</v>
      </c>
      <c r="J145" s="48" t="s">
        <v>306</v>
      </c>
      <c r="K145" s="219" t="s">
        <v>307</v>
      </c>
      <c r="L145" s="66">
        <v>43239</v>
      </c>
      <c r="M145" s="64">
        <v>7</v>
      </c>
      <c r="N145" s="64">
        <v>14</v>
      </c>
      <c r="O145" s="67" t="s">
        <v>25</v>
      </c>
      <c r="P145" s="47" t="s">
        <v>25</v>
      </c>
      <c r="Q145" s="63">
        <v>43277</v>
      </c>
      <c r="R145" s="64">
        <f>SUMIF(A:A,"PositiveRegard",N:N)</f>
        <v>31</v>
      </c>
      <c r="S145" s="47" t="s">
        <v>25</v>
      </c>
      <c r="T145" s="64"/>
      <c r="U145" s="47" t="s">
        <v>25</v>
      </c>
      <c r="V145" s="47" t="s">
        <v>24</v>
      </c>
      <c r="W145" s="64">
        <v>1</v>
      </c>
      <c r="X145" s="64">
        <v>0</v>
      </c>
      <c r="Y145" s="64">
        <v>0</v>
      </c>
      <c r="Z145" s="64">
        <v>0</v>
      </c>
      <c r="AA145" s="62"/>
      <c r="AB145" s="62"/>
      <c r="AC145" s="62"/>
      <c r="AD145" s="65"/>
      <c r="AE145" s="65"/>
    </row>
    <row r="146" spans="1:46" s="262" customFormat="1">
      <c r="A146" s="13" t="s">
        <v>174</v>
      </c>
      <c r="B146" s="68" t="s">
        <v>175</v>
      </c>
      <c r="C146" s="69">
        <v>43277</v>
      </c>
      <c r="D146" s="70">
        <v>1236000</v>
      </c>
      <c r="E146" s="87" t="s">
        <v>24</v>
      </c>
      <c r="F146" s="64" t="s">
        <v>24</v>
      </c>
      <c r="G146" s="285" t="s">
        <v>617</v>
      </c>
      <c r="H146" s="74" t="s">
        <v>618</v>
      </c>
      <c r="I146" s="74" t="s">
        <v>305</v>
      </c>
      <c r="J146" s="48" t="s">
        <v>306</v>
      </c>
      <c r="K146" s="67" t="s">
        <v>307</v>
      </c>
      <c r="L146" s="66">
        <v>43246</v>
      </c>
      <c r="M146" s="47">
        <v>39</v>
      </c>
      <c r="N146" s="47">
        <v>62</v>
      </c>
      <c r="O146" s="67" t="s">
        <v>25</v>
      </c>
      <c r="P146" s="47" t="s">
        <v>25</v>
      </c>
      <c r="Q146" s="63">
        <v>43277</v>
      </c>
      <c r="R146" s="64"/>
      <c r="S146" s="47" t="s">
        <v>25</v>
      </c>
      <c r="T146" s="64"/>
      <c r="U146" s="47" t="s">
        <v>24</v>
      </c>
      <c r="V146" s="47" t="s">
        <v>25</v>
      </c>
      <c r="W146" s="64">
        <v>0</v>
      </c>
      <c r="X146" s="64">
        <v>0</v>
      </c>
      <c r="Y146" s="64">
        <v>1</v>
      </c>
      <c r="Z146" s="64">
        <v>0</v>
      </c>
      <c r="AA146" s="62"/>
      <c r="AB146" s="62"/>
      <c r="AC146" s="62"/>
      <c r="AD146" s="65"/>
      <c r="AE146" s="65"/>
    </row>
    <row r="147" spans="1:46" s="262" customFormat="1">
      <c r="A147" s="263" t="s">
        <v>74</v>
      </c>
      <c r="B147" s="362" t="s">
        <v>565</v>
      </c>
      <c r="C147" s="268">
        <v>43307</v>
      </c>
      <c r="D147" s="264">
        <v>3298000</v>
      </c>
      <c r="E147" s="255" t="s">
        <v>24</v>
      </c>
      <c r="F147" s="255" t="s">
        <v>24</v>
      </c>
      <c r="G147" s="287" t="s">
        <v>619</v>
      </c>
      <c r="H147" s="256" t="s">
        <v>620</v>
      </c>
      <c r="I147" s="256" t="s">
        <v>305</v>
      </c>
      <c r="J147" s="257" t="s">
        <v>306</v>
      </c>
      <c r="K147" s="258" t="s">
        <v>307</v>
      </c>
      <c r="L147" s="259">
        <v>43270</v>
      </c>
      <c r="M147" s="255">
        <v>67</v>
      </c>
      <c r="N147" s="255">
        <v>100</v>
      </c>
      <c r="O147" s="266" t="s">
        <v>25</v>
      </c>
      <c r="P147" s="261" t="s">
        <v>25</v>
      </c>
      <c r="Q147" s="259">
        <v>43307</v>
      </c>
      <c r="R147" s="255">
        <f>SUMIF(A:A,"Tri-Town School Union",N:N)</f>
        <v>612</v>
      </c>
      <c r="S147" s="261" t="s">
        <v>25</v>
      </c>
      <c r="T147" s="255"/>
      <c r="U147" s="261" t="s">
        <v>24</v>
      </c>
      <c r="V147" s="261" t="s">
        <v>24</v>
      </c>
      <c r="W147" s="255">
        <v>0</v>
      </c>
      <c r="X147" s="255">
        <v>0</v>
      </c>
      <c r="Y147" s="255">
        <v>0</v>
      </c>
      <c r="Z147" s="255">
        <v>0</v>
      </c>
      <c r="AA147" s="252"/>
      <c r="AB147" s="252"/>
      <c r="AC147" s="252"/>
    </row>
    <row r="148" spans="1:46" s="262" customFormat="1">
      <c r="A148" s="5" t="s">
        <v>209</v>
      </c>
      <c r="B148" s="65" t="s">
        <v>207</v>
      </c>
      <c r="C148" s="31">
        <v>43160</v>
      </c>
      <c r="D148" s="72">
        <v>3330000</v>
      </c>
      <c r="E148" s="64" t="s">
        <v>24</v>
      </c>
      <c r="F148" s="64" t="s">
        <v>24</v>
      </c>
      <c r="G148" s="282" t="s">
        <v>621</v>
      </c>
      <c r="H148" s="72" t="s">
        <v>622</v>
      </c>
      <c r="I148" s="72" t="s">
        <v>305</v>
      </c>
      <c r="J148" s="48" t="s">
        <v>306</v>
      </c>
      <c r="K148" s="67" t="s">
        <v>307</v>
      </c>
      <c r="L148" s="66">
        <v>43113</v>
      </c>
      <c r="M148" s="64">
        <v>34</v>
      </c>
      <c r="N148" s="64">
        <v>55</v>
      </c>
      <c r="O148" s="64" t="s">
        <v>25</v>
      </c>
      <c r="P148" s="64" t="s">
        <v>25</v>
      </c>
      <c r="Q148" s="63">
        <v>43139</v>
      </c>
      <c r="R148" s="64"/>
      <c r="S148" s="64" t="s">
        <v>25</v>
      </c>
      <c r="T148" s="64"/>
      <c r="U148" s="64" t="s">
        <v>24</v>
      </c>
      <c r="V148" s="64" t="s">
        <v>24</v>
      </c>
      <c r="W148" s="64">
        <v>0</v>
      </c>
      <c r="X148" s="64">
        <v>0</v>
      </c>
      <c r="Y148" s="64">
        <v>0</v>
      </c>
      <c r="Z148" s="64">
        <v>0</v>
      </c>
      <c r="AA148" s="62"/>
      <c r="AB148" s="62"/>
      <c r="AC148" s="62"/>
      <c r="AD148" s="65"/>
      <c r="AE148" s="65"/>
    </row>
    <row r="149" spans="1:46" s="262" customFormat="1">
      <c r="A149" s="263" t="s">
        <v>195</v>
      </c>
      <c r="B149" s="267" t="s">
        <v>196</v>
      </c>
      <c r="C149" s="268">
        <v>43180</v>
      </c>
      <c r="D149" s="264">
        <v>4285000</v>
      </c>
      <c r="E149" s="265" t="s">
        <v>24</v>
      </c>
      <c r="F149" s="255" t="s">
        <v>24</v>
      </c>
      <c r="G149" s="365" t="s">
        <v>623</v>
      </c>
      <c r="H149" s="256" t="s">
        <v>624</v>
      </c>
      <c r="I149" s="256" t="s">
        <v>305</v>
      </c>
      <c r="J149" s="257" t="s">
        <v>306</v>
      </c>
      <c r="K149" s="258" t="s">
        <v>307</v>
      </c>
      <c r="L149" s="259">
        <v>43159</v>
      </c>
      <c r="M149" s="255">
        <v>20</v>
      </c>
      <c r="N149" s="255">
        <f>M149*2</f>
        <v>40</v>
      </c>
      <c r="O149" s="258" t="s">
        <v>25</v>
      </c>
      <c r="P149" s="255" t="s">
        <v>25</v>
      </c>
      <c r="Q149" s="260">
        <v>43180</v>
      </c>
      <c r="R149" s="255"/>
      <c r="S149" s="255" t="s">
        <v>25</v>
      </c>
      <c r="T149" s="255"/>
      <c r="U149" s="255" t="s">
        <v>25</v>
      </c>
      <c r="V149" s="255" t="s">
        <v>25</v>
      </c>
      <c r="W149" s="255">
        <v>9</v>
      </c>
      <c r="X149" s="255">
        <v>1</v>
      </c>
      <c r="Y149" s="255">
        <v>3</v>
      </c>
      <c r="Z149" s="255">
        <v>3</v>
      </c>
      <c r="AA149" s="252"/>
      <c r="AB149" s="252"/>
      <c r="AC149" s="252"/>
    </row>
    <row r="150" spans="1:46" s="262" customFormat="1">
      <c r="A150" s="263" t="s">
        <v>152</v>
      </c>
      <c r="B150" s="267" t="s">
        <v>153</v>
      </c>
      <c r="C150" s="268">
        <v>43276</v>
      </c>
      <c r="D150" s="273">
        <v>3164003</v>
      </c>
      <c r="E150" s="254" t="s">
        <v>24</v>
      </c>
      <c r="F150" s="255" t="s">
        <v>24</v>
      </c>
      <c r="G150" s="287" t="s">
        <v>625</v>
      </c>
      <c r="H150" s="256" t="s">
        <v>626</v>
      </c>
      <c r="I150" s="256" t="s">
        <v>305</v>
      </c>
      <c r="J150" s="257" t="s">
        <v>306</v>
      </c>
      <c r="K150" s="266" t="s">
        <v>307</v>
      </c>
      <c r="L150" s="259">
        <v>43246</v>
      </c>
      <c r="M150" s="255">
        <v>72</v>
      </c>
      <c r="N150" s="255">
        <v>122</v>
      </c>
      <c r="O150" s="266" t="s">
        <v>25</v>
      </c>
      <c r="P150" s="261" t="s">
        <v>25</v>
      </c>
      <c r="Q150" s="260">
        <v>43271</v>
      </c>
      <c r="R150" s="255">
        <f>SUMIF(A:A,"LynnfieldPS",N:N)</f>
        <v>420</v>
      </c>
      <c r="S150" s="261" t="s">
        <v>25</v>
      </c>
      <c r="T150" s="255"/>
      <c r="U150" s="261" t="s">
        <v>25</v>
      </c>
      <c r="V150" s="261" t="s">
        <v>24</v>
      </c>
      <c r="W150" s="255">
        <v>3</v>
      </c>
      <c r="X150" s="255">
        <v>0</v>
      </c>
      <c r="Y150" s="255">
        <v>0</v>
      </c>
      <c r="Z150" s="255">
        <v>0</v>
      </c>
      <c r="AA150" s="252"/>
      <c r="AB150" s="252"/>
      <c r="AC150" s="252"/>
      <c r="AF150" s="375"/>
    </row>
    <row r="151" spans="1:46" s="262" customFormat="1">
      <c r="A151" s="251" t="s">
        <v>164</v>
      </c>
      <c r="B151" s="252" t="s">
        <v>165</v>
      </c>
      <c r="C151" s="260">
        <v>43210</v>
      </c>
      <c r="D151" s="359">
        <v>1204001</v>
      </c>
      <c r="E151" s="255" t="s">
        <v>25</v>
      </c>
      <c r="F151" s="255" t="s">
        <v>24</v>
      </c>
      <c r="G151" s="360" t="s">
        <v>627</v>
      </c>
      <c r="H151" s="361" t="s">
        <v>628</v>
      </c>
      <c r="I151" s="361" t="s">
        <v>305</v>
      </c>
      <c r="J151" s="257" t="s">
        <v>306</v>
      </c>
      <c r="K151" s="258" t="s">
        <v>307</v>
      </c>
      <c r="L151" s="260">
        <v>43161</v>
      </c>
      <c r="M151" s="255">
        <v>35</v>
      </c>
      <c r="N151" s="255">
        <v>56</v>
      </c>
      <c r="O151" s="258" t="s">
        <v>25</v>
      </c>
      <c r="P151" s="255" t="s">
        <v>25</v>
      </c>
      <c r="Q151" s="260">
        <v>43210</v>
      </c>
      <c r="R151" s="255">
        <f>SUMIF(A:A,"NSWSD",N:N)</f>
        <v>56</v>
      </c>
      <c r="S151" s="255" t="s">
        <v>25</v>
      </c>
      <c r="T151" s="252"/>
      <c r="U151" s="255" t="s">
        <v>24</v>
      </c>
      <c r="V151" s="255" t="s">
        <v>24</v>
      </c>
      <c r="W151" s="255">
        <v>0</v>
      </c>
      <c r="X151" s="255">
        <v>0</v>
      </c>
      <c r="Y151" s="255">
        <v>0</v>
      </c>
      <c r="Z151" s="255">
        <v>0</v>
      </c>
      <c r="AA151" s="252"/>
      <c r="AB151" s="252"/>
      <c r="AC151" s="252"/>
      <c r="AD151" s="252"/>
      <c r="AE151" s="252"/>
    </row>
    <row r="152" spans="1:46" s="262" customFormat="1">
      <c r="A152" s="263" t="s">
        <v>112</v>
      </c>
      <c r="B152" s="29" t="s">
        <v>629</v>
      </c>
      <c r="C152" s="260">
        <v>43292</v>
      </c>
      <c r="D152" s="269">
        <v>3035001</v>
      </c>
      <c r="E152" s="265" t="s">
        <v>24</v>
      </c>
      <c r="F152" s="255" t="s">
        <v>25</v>
      </c>
      <c r="G152" s="283" t="s">
        <v>630</v>
      </c>
      <c r="H152" s="256" t="s">
        <v>631</v>
      </c>
      <c r="I152" s="256" t="s">
        <v>341</v>
      </c>
      <c r="J152" s="257" t="s">
        <v>306</v>
      </c>
      <c r="K152" s="258" t="s">
        <v>307</v>
      </c>
      <c r="L152" s="259">
        <v>43257</v>
      </c>
      <c r="M152" s="255">
        <v>4</v>
      </c>
      <c r="N152" s="255">
        <v>8</v>
      </c>
      <c r="O152" s="266" t="s">
        <v>25</v>
      </c>
      <c r="P152" s="261" t="s">
        <v>25</v>
      </c>
      <c r="Q152" s="260">
        <v>43294</v>
      </c>
      <c r="R152" s="255">
        <f>SUMIF(A:A,"Little Folks",N:N)</f>
        <v>30</v>
      </c>
      <c r="S152" s="261" t="s">
        <v>25</v>
      </c>
      <c r="T152" s="255"/>
      <c r="U152" s="261" t="s">
        <v>24</v>
      </c>
      <c r="V152" s="261" t="s">
        <v>24</v>
      </c>
      <c r="W152" s="255">
        <v>0</v>
      </c>
      <c r="X152" s="255">
        <v>0</v>
      </c>
      <c r="Y152" s="255">
        <v>0</v>
      </c>
      <c r="Z152" s="255">
        <v>0</v>
      </c>
      <c r="AA152" s="252"/>
      <c r="AB152" s="252"/>
      <c r="AC152" s="252"/>
    </row>
    <row r="153" spans="1:46" s="262" customFormat="1">
      <c r="A153" s="263" t="s">
        <v>106</v>
      </c>
      <c r="B153" s="252" t="s">
        <v>202</v>
      </c>
      <c r="C153" s="260">
        <v>43308</v>
      </c>
      <c r="D153" s="264">
        <v>2328000</v>
      </c>
      <c r="E153" s="254" t="s">
        <v>24</v>
      </c>
      <c r="F153" s="255" t="s">
        <v>24</v>
      </c>
      <c r="G153" s="280" t="s">
        <v>632</v>
      </c>
      <c r="H153" s="256" t="s">
        <v>633</v>
      </c>
      <c r="I153" s="256" t="s">
        <v>341</v>
      </c>
      <c r="J153" s="257" t="s">
        <v>306</v>
      </c>
      <c r="K153" s="266" t="s">
        <v>307</v>
      </c>
      <c r="L153" s="271">
        <v>43278</v>
      </c>
      <c r="M153" s="255">
        <v>10</v>
      </c>
      <c r="N153" s="255">
        <v>19</v>
      </c>
      <c r="O153" s="266" t="s">
        <v>25</v>
      </c>
      <c r="P153" s="261" t="s">
        <v>25</v>
      </c>
      <c r="Q153" s="260">
        <v>43308</v>
      </c>
      <c r="R153" s="255"/>
      <c r="S153" s="261" t="s">
        <v>25</v>
      </c>
      <c r="T153" s="255"/>
      <c r="U153" s="261" t="s">
        <v>24</v>
      </c>
      <c r="V153" s="261" t="s">
        <v>24</v>
      </c>
      <c r="W153" s="255">
        <v>0</v>
      </c>
      <c r="X153" s="255">
        <v>0</v>
      </c>
      <c r="Y153" s="255">
        <v>0</v>
      </c>
      <c r="Z153" s="255">
        <v>0</v>
      </c>
      <c r="AA153" s="115"/>
      <c r="AB153" s="115"/>
      <c r="AC153" s="272"/>
      <c r="AD153" s="262" t="s">
        <v>45</v>
      </c>
      <c r="AF153" s="273"/>
    </row>
    <row r="154" spans="1:46" s="262" customFormat="1">
      <c r="A154" s="263" t="s">
        <v>106</v>
      </c>
      <c r="B154" s="252" t="s">
        <v>634</v>
      </c>
      <c r="C154" s="260">
        <v>43328</v>
      </c>
      <c r="D154" s="353" t="s">
        <v>635</v>
      </c>
      <c r="E154" s="254" t="s">
        <v>24</v>
      </c>
      <c r="F154" s="255" t="s">
        <v>24</v>
      </c>
      <c r="G154" s="280" t="s">
        <v>636</v>
      </c>
      <c r="H154" s="256" t="s">
        <v>637</v>
      </c>
      <c r="I154" s="256" t="s">
        <v>341</v>
      </c>
      <c r="J154" s="257" t="s">
        <v>306</v>
      </c>
      <c r="K154" s="266" t="s">
        <v>307</v>
      </c>
      <c r="L154" s="271">
        <v>43280</v>
      </c>
      <c r="M154" s="255">
        <v>16</v>
      </c>
      <c r="N154" s="255">
        <v>30</v>
      </c>
      <c r="O154" s="266" t="s">
        <v>25</v>
      </c>
      <c r="P154" s="261" t="s">
        <v>25</v>
      </c>
      <c r="Q154" s="260">
        <v>43328</v>
      </c>
      <c r="R154" s="255">
        <f>SUMIF(A:A,"Children's Workshop",N:N)</f>
        <v>237</v>
      </c>
      <c r="S154" s="255"/>
      <c r="T154" s="255"/>
      <c r="U154" s="261" t="s">
        <v>25</v>
      </c>
      <c r="V154" s="261" t="s">
        <v>24</v>
      </c>
      <c r="W154" s="255">
        <v>0</v>
      </c>
      <c r="X154" s="255">
        <v>0</v>
      </c>
      <c r="Y154" s="255">
        <v>0</v>
      </c>
      <c r="Z154" s="255">
        <v>0</v>
      </c>
      <c r="AA154" s="115"/>
      <c r="AB154" s="115"/>
      <c r="AC154" s="272"/>
      <c r="AD154" s="262" t="s">
        <v>82</v>
      </c>
    </row>
    <row r="155" spans="1:46" s="262" customFormat="1" ht="15" customHeight="1">
      <c r="A155" s="263" t="s">
        <v>106</v>
      </c>
      <c r="B155" s="252" t="s">
        <v>638</v>
      </c>
      <c r="C155" s="260">
        <v>43280</v>
      </c>
      <c r="D155" s="264">
        <v>4075000</v>
      </c>
      <c r="E155" s="254" t="s">
        <v>24</v>
      </c>
      <c r="F155" s="255" t="s">
        <v>24</v>
      </c>
      <c r="G155" s="280" t="s">
        <v>639</v>
      </c>
      <c r="H155" s="256" t="s">
        <v>637</v>
      </c>
      <c r="I155" s="256" t="s">
        <v>341</v>
      </c>
      <c r="J155" s="257" t="s">
        <v>306</v>
      </c>
      <c r="K155" s="266" t="s">
        <v>307</v>
      </c>
      <c r="L155" s="271">
        <v>43279</v>
      </c>
      <c r="M155" s="255">
        <v>10</v>
      </c>
      <c r="N155" s="255">
        <v>18</v>
      </c>
      <c r="O155" s="266" t="s">
        <v>25</v>
      </c>
      <c r="P155" s="261" t="s">
        <v>25</v>
      </c>
      <c r="Q155" s="260">
        <v>43299</v>
      </c>
      <c r="R155" s="255"/>
      <c r="S155" s="261" t="s">
        <v>25</v>
      </c>
      <c r="T155" s="255"/>
      <c r="U155" s="261" t="s">
        <v>24</v>
      </c>
      <c r="V155" s="261" t="s">
        <v>25</v>
      </c>
      <c r="W155" s="255">
        <v>0</v>
      </c>
      <c r="X155" s="255">
        <v>0</v>
      </c>
      <c r="Y155" s="255">
        <v>0</v>
      </c>
      <c r="Z155" s="255">
        <v>1</v>
      </c>
      <c r="AA155" s="115"/>
      <c r="AB155" s="115"/>
      <c r="AC155" s="272"/>
      <c r="AD155" s="262" t="s">
        <v>82</v>
      </c>
    </row>
    <row r="156" spans="1:46" s="262" customFormat="1">
      <c r="A156" s="263" t="s">
        <v>106</v>
      </c>
      <c r="B156" s="252" t="s">
        <v>640</v>
      </c>
      <c r="C156" s="260">
        <v>43308</v>
      </c>
      <c r="D156" s="264">
        <v>4322000</v>
      </c>
      <c r="E156" s="254" t="s">
        <v>24</v>
      </c>
      <c r="F156" s="255" t="s">
        <v>24</v>
      </c>
      <c r="G156" s="280" t="s">
        <v>641</v>
      </c>
      <c r="H156" s="256" t="s">
        <v>637</v>
      </c>
      <c r="I156" s="256" t="s">
        <v>341</v>
      </c>
      <c r="J156" s="257" t="s">
        <v>306</v>
      </c>
      <c r="K156" s="266" t="s">
        <v>307</v>
      </c>
      <c r="L156" s="271">
        <v>43279</v>
      </c>
      <c r="M156" s="255">
        <v>25</v>
      </c>
      <c r="N156" s="255">
        <v>43</v>
      </c>
      <c r="O156" s="266" t="s">
        <v>25</v>
      </c>
      <c r="P156" s="261" t="s">
        <v>25</v>
      </c>
      <c r="Q156" s="260">
        <v>43308</v>
      </c>
      <c r="R156" s="255"/>
      <c r="S156" s="261" t="s">
        <v>25</v>
      </c>
      <c r="T156" s="255"/>
      <c r="U156" s="261" t="s">
        <v>24</v>
      </c>
      <c r="V156" s="261" t="s">
        <v>25</v>
      </c>
      <c r="W156" s="255">
        <v>0</v>
      </c>
      <c r="X156" s="255">
        <v>0</v>
      </c>
      <c r="Y156" s="255">
        <v>2</v>
      </c>
      <c r="Z156" s="255">
        <v>0</v>
      </c>
      <c r="AA156" s="115"/>
      <c r="AB156" s="115"/>
      <c r="AC156" s="352"/>
      <c r="AD156" s="262" t="s">
        <v>82</v>
      </c>
    </row>
    <row r="157" spans="1:46" s="262" customFormat="1">
      <c r="A157" s="263" t="s">
        <v>106</v>
      </c>
      <c r="B157" s="252" t="s">
        <v>642</v>
      </c>
      <c r="C157" s="260">
        <v>43308</v>
      </c>
      <c r="D157" s="264">
        <v>4211000</v>
      </c>
      <c r="E157" s="254" t="s">
        <v>24</v>
      </c>
      <c r="F157" s="255" t="s">
        <v>24</v>
      </c>
      <c r="G157" s="280" t="s">
        <v>643</v>
      </c>
      <c r="H157" s="256" t="s">
        <v>637</v>
      </c>
      <c r="I157" s="256" t="s">
        <v>341</v>
      </c>
      <c r="J157" s="257" t="s">
        <v>306</v>
      </c>
      <c r="K157" s="266" t="s">
        <v>307</v>
      </c>
      <c r="L157" s="271">
        <v>43278</v>
      </c>
      <c r="M157" s="255">
        <v>20</v>
      </c>
      <c r="N157" s="255">
        <v>31</v>
      </c>
      <c r="O157" s="266" t="s">
        <v>25</v>
      </c>
      <c r="P157" s="261" t="s">
        <v>25</v>
      </c>
      <c r="Q157" s="260">
        <v>43308</v>
      </c>
      <c r="R157" s="255"/>
      <c r="S157" s="261" t="s">
        <v>25</v>
      </c>
      <c r="T157" s="255"/>
      <c r="U157" s="261" t="s">
        <v>24</v>
      </c>
      <c r="V157" s="261" t="s">
        <v>24</v>
      </c>
      <c r="W157" s="255">
        <v>0</v>
      </c>
      <c r="X157" s="255">
        <v>0</v>
      </c>
      <c r="Y157" s="255">
        <v>0</v>
      </c>
      <c r="Z157" s="255">
        <v>0</v>
      </c>
      <c r="AA157" s="115"/>
      <c r="AB157" s="115"/>
      <c r="AC157" s="272"/>
      <c r="AD157" s="262" t="s">
        <v>82</v>
      </c>
    </row>
    <row r="158" spans="1:46" s="273" customFormat="1">
      <c r="A158" s="263" t="s">
        <v>106</v>
      </c>
      <c r="B158" s="252" t="s">
        <v>644</v>
      </c>
      <c r="C158" s="260">
        <v>43280</v>
      </c>
      <c r="D158" s="264">
        <v>4265000</v>
      </c>
      <c r="E158" s="254" t="s">
        <v>24</v>
      </c>
      <c r="F158" s="255" t="s">
        <v>24</v>
      </c>
      <c r="G158" s="280" t="s">
        <v>645</v>
      </c>
      <c r="H158" s="256" t="s">
        <v>637</v>
      </c>
      <c r="I158" s="256" t="s">
        <v>341</v>
      </c>
      <c r="J158" s="257" t="s">
        <v>306</v>
      </c>
      <c r="K158" s="266" t="s">
        <v>307</v>
      </c>
      <c r="L158" s="271">
        <v>43279</v>
      </c>
      <c r="M158" s="255">
        <v>13</v>
      </c>
      <c r="N158" s="255">
        <v>25</v>
      </c>
      <c r="O158" s="266" t="s">
        <v>25</v>
      </c>
      <c r="P158" s="261" t="s">
        <v>25</v>
      </c>
      <c r="Q158" s="260">
        <v>43299</v>
      </c>
      <c r="R158" s="255"/>
      <c r="S158" s="261" t="s">
        <v>25</v>
      </c>
      <c r="T158" s="255"/>
      <c r="U158" s="261" t="s">
        <v>24</v>
      </c>
      <c r="V158" s="261" t="s">
        <v>24</v>
      </c>
      <c r="W158" s="255">
        <v>0</v>
      </c>
      <c r="X158" s="255">
        <v>0</v>
      </c>
      <c r="Y158" s="255">
        <v>0</v>
      </c>
      <c r="Z158" s="255">
        <v>0</v>
      </c>
      <c r="AA158" s="115"/>
      <c r="AB158" s="115"/>
      <c r="AC158" s="272"/>
      <c r="AD158" s="262" t="s">
        <v>82</v>
      </c>
      <c r="AE158" s="262"/>
      <c r="AF158" s="262"/>
      <c r="AG158" s="262"/>
      <c r="AH158" s="262"/>
      <c r="AI158" s="262"/>
      <c r="AJ158" s="262"/>
      <c r="AK158" s="262"/>
      <c r="AL158" s="262"/>
      <c r="AM158" s="262"/>
      <c r="AN158" s="262"/>
      <c r="AO158" s="262"/>
      <c r="AP158" s="262"/>
      <c r="AQ158" s="262"/>
      <c r="AR158" s="262"/>
      <c r="AS158" s="262"/>
      <c r="AT158" s="262"/>
    </row>
    <row r="159" spans="1:46" s="72" customFormat="1">
      <c r="A159" s="263" t="s">
        <v>106</v>
      </c>
      <c r="B159" s="252" t="s">
        <v>646</v>
      </c>
      <c r="C159" s="260">
        <v>43308</v>
      </c>
      <c r="D159" s="264">
        <v>4220000</v>
      </c>
      <c r="E159" s="254" t="s">
        <v>24</v>
      </c>
      <c r="F159" s="255" t="s">
        <v>25</v>
      </c>
      <c r="G159" s="280" t="s">
        <v>647</v>
      </c>
      <c r="H159" s="256" t="s">
        <v>637</v>
      </c>
      <c r="I159" s="256" t="s">
        <v>341</v>
      </c>
      <c r="J159" s="257" t="s">
        <v>306</v>
      </c>
      <c r="K159" s="266" t="s">
        <v>307</v>
      </c>
      <c r="L159" s="271">
        <v>43277</v>
      </c>
      <c r="M159" s="255">
        <v>23</v>
      </c>
      <c r="N159" s="255">
        <v>36</v>
      </c>
      <c r="O159" s="266" t="s">
        <v>25</v>
      </c>
      <c r="P159" s="261" t="s">
        <v>25</v>
      </c>
      <c r="Q159" s="260">
        <v>43308</v>
      </c>
      <c r="R159" s="255"/>
      <c r="S159" s="261" t="s">
        <v>25</v>
      </c>
      <c r="T159" s="255"/>
      <c r="U159" s="261" t="s">
        <v>24</v>
      </c>
      <c r="V159" s="261" t="s">
        <v>24</v>
      </c>
      <c r="W159" s="255">
        <v>0</v>
      </c>
      <c r="X159" s="255">
        <v>0</v>
      </c>
      <c r="Y159" s="255">
        <v>0</v>
      </c>
      <c r="Z159" s="255">
        <v>0</v>
      </c>
      <c r="AA159" s="115"/>
      <c r="AB159" s="115"/>
      <c r="AC159" s="272"/>
      <c r="AD159" s="262" t="s">
        <v>82</v>
      </c>
      <c r="AE159" s="262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</row>
    <row r="160" spans="1:46" s="72" customFormat="1">
      <c r="A160" s="263" t="s">
        <v>106</v>
      </c>
      <c r="B160" s="252" t="s">
        <v>239</v>
      </c>
      <c r="C160" s="260">
        <v>43280</v>
      </c>
      <c r="D160" s="264">
        <v>3308000</v>
      </c>
      <c r="E160" s="254" t="s">
        <v>24</v>
      </c>
      <c r="F160" s="255" t="s">
        <v>25</v>
      </c>
      <c r="G160" s="280" t="s">
        <v>648</v>
      </c>
      <c r="H160" s="256" t="s">
        <v>637</v>
      </c>
      <c r="I160" s="256" t="s">
        <v>341</v>
      </c>
      <c r="J160" s="257" t="s">
        <v>306</v>
      </c>
      <c r="K160" s="266" t="s">
        <v>307</v>
      </c>
      <c r="L160" s="271">
        <v>43277</v>
      </c>
      <c r="M160" s="255">
        <v>19</v>
      </c>
      <c r="N160" s="255">
        <v>35</v>
      </c>
      <c r="O160" s="266" t="s">
        <v>25</v>
      </c>
      <c r="P160" s="261" t="s">
        <v>25</v>
      </c>
      <c r="Q160" s="260">
        <v>43299</v>
      </c>
      <c r="R160" s="255"/>
      <c r="S160" s="261" t="s">
        <v>25</v>
      </c>
      <c r="T160" s="255"/>
      <c r="U160" s="261" t="s">
        <v>24</v>
      </c>
      <c r="V160" s="261" t="s">
        <v>24</v>
      </c>
      <c r="W160" s="255">
        <v>0</v>
      </c>
      <c r="X160" s="255">
        <v>0</v>
      </c>
      <c r="Y160" s="255">
        <v>0</v>
      </c>
      <c r="Z160" s="255">
        <v>0</v>
      </c>
      <c r="AA160" s="115"/>
      <c r="AB160" s="115"/>
      <c r="AC160" s="272"/>
      <c r="AD160" s="262" t="s">
        <v>29</v>
      </c>
      <c r="AE160" s="262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</row>
    <row r="161" spans="1:46" s="273" customFormat="1">
      <c r="A161" s="13" t="s">
        <v>174</v>
      </c>
      <c r="B161" s="68" t="s">
        <v>175</v>
      </c>
      <c r="C161" s="69">
        <v>43280</v>
      </c>
      <c r="D161" s="70">
        <v>1236000</v>
      </c>
      <c r="E161" s="87" t="s">
        <v>24</v>
      </c>
      <c r="F161" s="64" t="s">
        <v>24</v>
      </c>
      <c r="G161" s="285" t="s">
        <v>649</v>
      </c>
      <c r="H161" s="74" t="s">
        <v>650</v>
      </c>
      <c r="I161" s="74" t="s">
        <v>305</v>
      </c>
      <c r="J161" s="48" t="s">
        <v>306</v>
      </c>
      <c r="K161" s="67" t="s">
        <v>307</v>
      </c>
      <c r="L161" s="66">
        <v>43246</v>
      </c>
      <c r="M161" s="47">
        <v>15</v>
      </c>
      <c r="N161" s="47">
        <v>28</v>
      </c>
      <c r="O161" s="67" t="s">
        <v>25</v>
      </c>
      <c r="P161" s="47" t="s">
        <v>25</v>
      </c>
      <c r="Q161" s="63">
        <v>43280</v>
      </c>
      <c r="R161" s="64"/>
      <c r="S161" s="47" t="s">
        <v>25</v>
      </c>
      <c r="T161" s="64"/>
      <c r="U161" s="47" t="s">
        <v>24</v>
      </c>
      <c r="V161" s="47" t="s">
        <v>24</v>
      </c>
      <c r="W161" s="64">
        <v>0</v>
      </c>
      <c r="X161" s="64">
        <v>0</v>
      </c>
      <c r="Y161" s="64">
        <v>0</v>
      </c>
      <c r="Z161" s="64">
        <v>0</v>
      </c>
      <c r="AA161" s="62"/>
      <c r="AB161" s="62"/>
      <c r="AC161" s="62"/>
      <c r="AD161" s="65"/>
      <c r="AE161" s="65"/>
      <c r="AF161" s="262"/>
      <c r="AG161" s="262"/>
      <c r="AH161" s="262"/>
      <c r="AI161" s="262"/>
      <c r="AJ161" s="262"/>
      <c r="AK161" s="262"/>
      <c r="AL161" s="262"/>
      <c r="AM161" s="262"/>
      <c r="AN161" s="262"/>
      <c r="AO161" s="262"/>
      <c r="AP161" s="262"/>
      <c r="AQ161" s="262"/>
      <c r="AR161" s="262"/>
      <c r="AS161" s="262"/>
      <c r="AT161" s="262"/>
    </row>
    <row r="162" spans="1:46" s="72" customFormat="1">
      <c r="A162" s="251" t="s">
        <v>148</v>
      </c>
      <c r="B162" s="252" t="s">
        <v>149</v>
      </c>
      <c r="C162" s="260">
        <v>43292</v>
      </c>
      <c r="D162" s="269">
        <v>2162000</v>
      </c>
      <c r="E162" s="255" t="s">
        <v>24</v>
      </c>
      <c r="F162" s="255" t="s">
        <v>24</v>
      </c>
      <c r="G162" s="284" t="s">
        <v>651</v>
      </c>
      <c r="H162" s="270" t="s">
        <v>652</v>
      </c>
      <c r="I162" s="270" t="s">
        <v>341</v>
      </c>
      <c r="J162" s="48" t="s">
        <v>306</v>
      </c>
      <c r="K162" s="266" t="s">
        <v>307</v>
      </c>
      <c r="L162" s="260">
        <v>43253</v>
      </c>
      <c r="M162" s="255">
        <v>39</v>
      </c>
      <c r="N162" s="255">
        <v>59</v>
      </c>
      <c r="O162" s="258" t="s">
        <v>25</v>
      </c>
      <c r="P162" s="261" t="s">
        <v>25</v>
      </c>
      <c r="Q162" s="260">
        <v>43300</v>
      </c>
      <c r="R162" s="255"/>
      <c r="S162" s="261" t="s">
        <v>25</v>
      </c>
      <c r="T162" s="255"/>
      <c r="U162" s="261" t="s">
        <v>25</v>
      </c>
      <c r="V162" s="261" t="s">
        <v>25</v>
      </c>
      <c r="W162" s="255">
        <v>17</v>
      </c>
      <c r="X162" s="255">
        <v>2</v>
      </c>
      <c r="Y162" s="255">
        <v>2</v>
      </c>
      <c r="Z162" s="255">
        <v>1</v>
      </c>
      <c r="AA162" s="252"/>
      <c r="AB162" s="252"/>
      <c r="AC162" s="252"/>
      <c r="AD162" s="262"/>
      <c r="AE162" s="262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</row>
    <row r="163" spans="1:46" s="273" customFormat="1">
      <c r="A163" s="263" t="s">
        <v>92</v>
      </c>
      <c r="B163" s="29" t="s">
        <v>93</v>
      </c>
      <c r="C163" s="260">
        <v>43082</v>
      </c>
      <c r="D163" s="264">
        <v>3205001</v>
      </c>
      <c r="E163" s="265" t="s">
        <v>24</v>
      </c>
      <c r="F163" s="255" t="s">
        <v>24</v>
      </c>
      <c r="G163" s="280" t="s">
        <v>653</v>
      </c>
      <c r="H163" s="256" t="s">
        <v>654</v>
      </c>
      <c r="I163" s="256" t="s">
        <v>305</v>
      </c>
      <c r="J163" s="257" t="s">
        <v>306</v>
      </c>
      <c r="K163" s="258" t="s">
        <v>307</v>
      </c>
      <c r="L163" s="259">
        <v>43127</v>
      </c>
      <c r="M163" s="255">
        <v>42</v>
      </c>
      <c r="N163" s="258">
        <v>79</v>
      </c>
      <c r="O163" s="258" t="s">
        <v>25</v>
      </c>
      <c r="P163" s="255" t="s">
        <v>25</v>
      </c>
      <c r="Q163" s="260">
        <v>43146</v>
      </c>
      <c r="R163" s="255"/>
      <c r="S163" s="255" t="s">
        <v>25</v>
      </c>
      <c r="T163" s="255"/>
      <c r="U163" s="255" t="s">
        <v>25</v>
      </c>
      <c r="V163" s="255" t="s">
        <v>25</v>
      </c>
      <c r="W163" s="255">
        <v>4</v>
      </c>
      <c r="X163" s="255">
        <v>0</v>
      </c>
      <c r="Y163" s="255">
        <v>0</v>
      </c>
      <c r="Z163" s="255">
        <v>1</v>
      </c>
      <c r="AA163" s="252" t="s">
        <v>655</v>
      </c>
      <c r="AB163" s="252"/>
      <c r="AC163" s="252"/>
      <c r="AD163" s="262"/>
      <c r="AE163" s="262"/>
      <c r="AF163" s="262"/>
      <c r="AG163" s="262"/>
      <c r="AH163" s="262"/>
      <c r="AI163" s="262"/>
      <c r="AJ163" s="262"/>
      <c r="AK163" s="262"/>
      <c r="AL163" s="262"/>
      <c r="AM163" s="262"/>
      <c r="AN163" s="262"/>
      <c r="AO163" s="262"/>
      <c r="AP163" s="262"/>
      <c r="AQ163" s="262"/>
      <c r="AR163" s="262"/>
      <c r="AS163" s="262"/>
      <c r="AT163" s="262"/>
    </row>
    <row r="164" spans="1:46" s="273" customFormat="1">
      <c r="A164" s="263" t="s">
        <v>92</v>
      </c>
      <c r="B164" s="29" t="s">
        <v>93</v>
      </c>
      <c r="C164" s="260">
        <v>43175</v>
      </c>
      <c r="D164" s="264">
        <v>3205001</v>
      </c>
      <c r="E164" s="265" t="s">
        <v>24</v>
      </c>
      <c r="F164" s="255" t="s">
        <v>24</v>
      </c>
      <c r="G164" s="280" t="s">
        <v>656</v>
      </c>
      <c r="H164" s="256" t="s">
        <v>657</v>
      </c>
      <c r="I164" s="256" t="s">
        <v>305</v>
      </c>
      <c r="J164" s="257" t="s">
        <v>306</v>
      </c>
      <c r="K164" s="258" t="s">
        <v>307</v>
      </c>
      <c r="L164" s="259">
        <v>43127</v>
      </c>
      <c r="M164" s="255">
        <v>25</v>
      </c>
      <c r="N164" s="258">
        <v>48</v>
      </c>
      <c r="O164" s="258" t="s">
        <v>25</v>
      </c>
      <c r="P164" s="255" t="s">
        <v>25</v>
      </c>
      <c r="Q164" s="260">
        <v>43137</v>
      </c>
      <c r="R164" s="255">
        <f>SUMIF(A:A,"TritonRSD",N:N)</f>
        <v>642</v>
      </c>
      <c r="S164" s="255" t="s">
        <v>25</v>
      </c>
      <c r="T164" s="255" t="s">
        <v>308</v>
      </c>
      <c r="U164" s="255" t="s">
        <v>25</v>
      </c>
      <c r="V164" s="255" t="s">
        <v>24</v>
      </c>
      <c r="W164" s="255">
        <v>3</v>
      </c>
      <c r="X164" s="255">
        <v>0</v>
      </c>
      <c r="Y164" s="255">
        <v>0</v>
      </c>
      <c r="Z164" s="255">
        <v>0</v>
      </c>
      <c r="AA164" s="252"/>
      <c r="AB164" s="252"/>
      <c r="AC164" s="252"/>
      <c r="AD164" s="262"/>
      <c r="AE164" s="262"/>
      <c r="AF164" s="262"/>
      <c r="AG164" s="262"/>
      <c r="AH164" s="262"/>
      <c r="AI164" s="262"/>
      <c r="AJ164" s="262"/>
      <c r="AK164" s="262"/>
      <c r="AL164" s="262"/>
      <c r="AM164" s="262"/>
      <c r="AN164" s="262"/>
      <c r="AO164" s="262"/>
      <c r="AP164" s="262"/>
      <c r="AQ164" s="262"/>
      <c r="AR164" s="262"/>
      <c r="AS164" s="262"/>
      <c r="AT164" s="262"/>
    </row>
    <row r="165" spans="1:46" s="273" customFormat="1">
      <c r="A165" s="251" t="s">
        <v>148</v>
      </c>
      <c r="B165" s="252" t="s">
        <v>149</v>
      </c>
      <c r="C165" s="260">
        <v>43292</v>
      </c>
      <c r="D165" s="269">
        <v>2162000</v>
      </c>
      <c r="E165" s="255" t="s">
        <v>24</v>
      </c>
      <c r="F165" s="255" t="s">
        <v>24</v>
      </c>
      <c r="G165" s="280" t="s">
        <v>658</v>
      </c>
      <c r="H165" s="270" t="s">
        <v>659</v>
      </c>
      <c r="I165" s="270" t="s">
        <v>305</v>
      </c>
      <c r="J165" s="48" t="s">
        <v>306</v>
      </c>
      <c r="K165" s="266" t="s">
        <v>307</v>
      </c>
      <c r="L165" s="260">
        <v>43253</v>
      </c>
      <c r="M165" s="255">
        <v>34</v>
      </c>
      <c r="N165" s="255">
        <v>58</v>
      </c>
      <c r="O165" s="258" t="s">
        <v>25</v>
      </c>
      <c r="P165" s="261" t="s">
        <v>25</v>
      </c>
      <c r="Q165" s="260">
        <v>43300</v>
      </c>
      <c r="R165" s="255">
        <f>SUMIF(A:A,"LunenburgPS",N:N)</f>
        <v>311</v>
      </c>
      <c r="S165" s="261" t="s">
        <v>24</v>
      </c>
      <c r="T165" s="255"/>
      <c r="U165" s="261" t="s">
        <v>25</v>
      </c>
      <c r="V165" s="261" t="s">
        <v>25</v>
      </c>
      <c r="W165" s="255">
        <v>10</v>
      </c>
      <c r="X165" s="255">
        <v>1</v>
      </c>
      <c r="Y165" s="255">
        <v>0</v>
      </c>
      <c r="Z165" s="255">
        <v>1</v>
      </c>
      <c r="AA165" s="252"/>
      <c r="AB165" s="252"/>
      <c r="AC165" s="252"/>
      <c r="AD165" s="262"/>
      <c r="AE165" s="262"/>
      <c r="AF165" s="262"/>
      <c r="AG165" s="262"/>
      <c r="AH165" s="262"/>
      <c r="AI165" s="262"/>
      <c r="AJ165" s="262"/>
      <c r="AK165" s="262"/>
      <c r="AL165" s="262"/>
      <c r="AM165" s="262"/>
      <c r="AN165" s="262"/>
      <c r="AO165" s="262"/>
      <c r="AP165" s="262"/>
      <c r="AQ165" s="262"/>
      <c r="AR165" s="262"/>
      <c r="AS165" s="262"/>
      <c r="AT165" s="262"/>
    </row>
    <row r="166" spans="1:46" s="273" customFormat="1">
      <c r="A166" s="263" t="s">
        <v>88</v>
      </c>
      <c r="B166" s="267" t="s">
        <v>89</v>
      </c>
      <c r="C166" s="260">
        <v>43283</v>
      </c>
      <c r="D166" s="264">
        <v>4044000</v>
      </c>
      <c r="E166" s="265" t="s">
        <v>25</v>
      </c>
      <c r="F166" s="255" t="s">
        <v>24</v>
      </c>
      <c r="G166" s="363" t="s">
        <v>660</v>
      </c>
      <c r="H166" s="257" t="s">
        <v>661</v>
      </c>
      <c r="I166" s="262" t="s">
        <v>341</v>
      </c>
      <c r="J166" s="274" t="s">
        <v>306</v>
      </c>
      <c r="K166" s="266" t="s">
        <v>307</v>
      </c>
      <c r="L166" s="259">
        <v>43256</v>
      </c>
      <c r="M166" s="255">
        <v>56</v>
      </c>
      <c r="N166" s="255">
        <v>85</v>
      </c>
      <c r="O166" s="266" t="s">
        <v>25</v>
      </c>
      <c r="P166" s="261" t="s">
        <v>25</v>
      </c>
      <c r="Q166" s="260">
        <v>43283</v>
      </c>
      <c r="R166" s="255"/>
      <c r="S166" s="261" t="s">
        <v>25</v>
      </c>
      <c r="T166" s="255"/>
      <c r="U166" s="261" t="s">
        <v>24</v>
      </c>
      <c r="V166" s="261" t="s">
        <v>24</v>
      </c>
      <c r="W166" s="255">
        <v>0</v>
      </c>
      <c r="X166" s="255">
        <v>0</v>
      </c>
      <c r="Y166" s="255">
        <v>0</v>
      </c>
      <c r="Z166" s="255">
        <v>0</v>
      </c>
      <c r="AA166" s="274"/>
      <c r="AB166" s="274"/>
      <c r="AC166" s="252"/>
      <c r="AD166" s="262"/>
      <c r="AE166" s="262"/>
      <c r="AF166" s="262"/>
      <c r="AG166" s="262"/>
      <c r="AH166" s="262"/>
      <c r="AI166" s="262"/>
      <c r="AJ166" s="262"/>
      <c r="AK166" s="262"/>
      <c r="AL166" s="262"/>
      <c r="AM166" s="262"/>
      <c r="AN166" s="262"/>
      <c r="AO166" s="262"/>
      <c r="AP166" s="262"/>
      <c r="AQ166" s="262"/>
      <c r="AR166" s="262"/>
      <c r="AS166" s="262"/>
      <c r="AT166" s="262"/>
    </row>
    <row r="167" spans="1:46" s="273" customFormat="1">
      <c r="A167" s="13" t="s">
        <v>178</v>
      </c>
      <c r="B167" s="68" t="s">
        <v>179</v>
      </c>
      <c r="C167" s="69">
        <v>43313</v>
      </c>
      <c r="D167" s="70">
        <v>1267000</v>
      </c>
      <c r="E167" s="64" t="s">
        <v>24</v>
      </c>
      <c r="F167" s="64" t="s">
        <v>24</v>
      </c>
      <c r="G167" s="285" t="s">
        <v>662</v>
      </c>
      <c r="H167" s="74" t="s">
        <v>663</v>
      </c>
      <c r="I167" s="74" t="s">
        <v>305</v>
      </c>
      <c r="J167" s="48" t="s">
        <v>306</v>
      </c>
      <c r="K167" s="219" t="s">
        <v>307</v>
      </c>
      <c r="L167" s="66">
        <v>43266</v>
      </c>
      <c r="M167" s="64">
        <v>20</v>
      </c>
      <c r="N167" s="64">
        <v>38</v>
      </c>
      <c r="O167" s="219" t="s">
        <v>25</v>
      </c>
      <c r="P167" s="47" t="s">
        <v>25</v>
      </c>
      <c r="Q167" s="63">
        <v>43313</v>
      </c>
      <c r="R167" s="64">
        <f>SUMIF(A:A,"SBRSD",N:N)</f>
        <v>168</v>
      </c>
      <c r="S167" s="47" t="s">
        <v>25</v>
      </c>
      <c r="T167" s="64"/>
      <c r="U167" s="47" t="s">
        <v>24</v>
      </c>
      <c r="V167" s="47" t="s">
        <v>24</v>
      </c>
      <c r="W167" s="64">
        <v>0</v>
      </c>
      <c r="X167" s="64">
        <v>0</v>
      </c>
      <c r="Y167" s="64">
        <v>0</v>
      </c>
      <c r="Z167" s="64">
        <v>0</v>
      </c>
      <c r="AA167" s="62"/>
      <c r="AB167" s="62"/>
      <c r="AC167" s="62"/>
      <c r="AD167" s="65"/>
      <c r="AE167" s="65"/>
      <c r="AF167" s="262"/>
      <c r="AG167" s="262"/>
      <c r="AH167" s="262"/>
      <c r="AI167" s="262"/>
      <c r="AJ167" s="262"/>
      <c r="AK167" s="262"/>
      <c r="AL167" s="262"/>
      <c r="AM167" s="262"/>
      <c r="AN167" s="262"/>
      <c r="AO167" s="262"/>
      <c r="AP167" s="262"/>
      <c r="AQ167" s="262"/>
      <c r="AR167" s="262"/>
      <c r="AS167" s="262"/>
      <c r="AT167" s="262"/>
    </row>
    <row r="168" spans="1:46" s="273" customFormat="1">
      <c r="A168" s="13" t="s">
        <v>144</v>
      </c>
      <c r="B168" s="28" t="s">
        <v>145</v>
      </c>
      <c r="C168" s="63">
        <v>43292</v>
      </c>
      <c r="D168" s="70">
        <v>1281000</v>
      </c>
      <c r="E168" s="73" t="s">
        <v>24</v>
      </c>
      <c r="F168" s="64" t="s">
        <v>24</v>
      </c>
      <c r="G168" s="279" t="s">
        <v>664</v>
      </c>
      <c r="H168" s="74" t="s">
        <v>665</v>
      </c>
      <c r="I168" s="74" t="s">
        <v>305</v>
      </c>
      <c r="J168" s="48" t="s">
        <v>306</v>
      </c>
      <c r="K168" s="67" t="s">
        <v>307</v>
      </c>
      <c r="L168" s="63">
        <v>43232</v>
      </c>
      <c r="M168" s="64">
        <v>60</v>
      </c>
      <c r="N168" s="64">
        <v>98</v>
      </c>
      <c r="O168" s="67" t="s">
        <v>25</v>
      </c>
      <c r="P168" s="47" t="s">
        <v>25</v>
      </c>
      <c r="Q168" s="63">
        <v>43277</v>
      </c>
      <c r="R168" s="64">
        <f>SUMIF(A:A,"LudlowPS",N:N)</f>
        <v>463</v>
      </c>
      <c r="S168" s="47" t="s">
        <v>25</v>
      </c>
      <c r="T168" s="64"/>
      <c r="U168" s="47" t="s">
        <v>25</v>
      </c>
      <c r="V168" s="47" t="s">
        <v>25</v>
      </c>
      <c r="W168" s="64">
        <v>4</v>
      </c>
      <c r="X168" s="64">
        <v>1</v>
      </c>
      <c r="Y168" s="64">
        <v>1</v>
      </c>
      <c r="Z168" s="64">
        <v>1</v>
      </c>
      <c r="AA168" s="62"/>
      <c r="AB168" s="62"/>
      <c r="AC168" s="62"/>
      <c r="AD168" s="65"/>
      <c r="AE168" s="65"/>
      <c r="AF168" s="262"/>
      <c r="AG168" s="262"/>
      <c r="AH168" s="262"/>
      <c r="AI168" s="262"/>
      <c r="AJ168" s="262"/>
      <c r="AK168" s="262"/>
      <c r="AL168" s="262"/>
      <c r="AM168" s="262"/>
      <c r="AN168" s="262"/>
      <c r="AO168" s="262"/>
      <c r="AP168" s="262"/>
      <c r="AQ168" s="262"/>
      <c r="AR168" s="262"/>
      <c r="AS168" s="262"/>
      <c r="AT168" s="262"/>
    </row>
    <row r="169" spans="1:46" s="262" customFormat="1">
      <c r="A169" s="13" t="s">
        <v>136</v>
      </c>
      <c r="B169" s="68" t="s">
        <v>375</v>
      </c>
      <c r="C169" s="63">
        <v>43174</v>
      </c>
      <c r="D169" s="70">
        <v>2134000</v>
      </c>
      <c r="E169" s="73" t="s">
        <v>24</v>
      </c>
      <c r="F169" s="64" t="s">
        <v>24</v>
      </c>
      <c r="G169" s="279" t="s">
        <v>666</v>
      </c>
      <c r="H169" s="74" t="s">
        <v>667</v>
      </c>
      <c r="I169" s="74" t="s">
        <v>305</v>
      </c>
      <c r="J169" s="48" t="s">
        <v>306</v>
      </c>
      <c r="K169" s="67" t="s">
        <v>307</v>
      </c>
      <c r="L169" s="66">
        <v>43134</v>
      </c>
      <c r="M169" s="64">
        <v>84</v>
      </c>
      <c r="N169" s="64">
        <v>141</v>
      </c>
      <c r="O169" s="67" t="s">
        <v>25</v>
      </c>
      <c r="P169" s="64" t="s">
        <v>25</v>
      </c>
      <c r="Q169" s="63">
        <v>43160</v>
      </c>
      <c r="R169" s="64">
        <f>SUMIF(A:A,"WachusettRSD",N:N)</f>
        <v>1215</v>
      </c>
      <c r="S169" s="64" t="s">
        <v>25</v>
      </c>
      <c r="T169" s="64" t="s">
        <v>415</v>
      </c>
      <c r="U169" s="64" t="s">
        <v>25</v>
      </c>
      <c r="V169" s="64" t="s">
        <v>25</v>
      </c>
      <c r="W169" s="64">
        <v>1</v>
      </c>
      <c r="X169" s="64">
        <v>0</v>
      </c>
      <c r="Y169" s="64">
        <v>40</v>
      </c>
      <c r="Z169" s="64">
        <v>26</v>
      </c>
      <c r="AA169" s="62" t="s">
        <v>379</v>
      </c>
      <c r="AB169" s="62"/>
      <c r="AC169" s="62"/>
      <c r="AD169" s="65"/>
      <c r="AE169" s="65"/>
    </row>
    <row r="170" spans="1:46" s="262" customFormat="1">
      <c r="A170" s="263" t="s">
        <v>195</v>
      </c>
      <c r="B170" s="267" t="s">
        <v>196</v>
      </c>
      <c r="C170" s="268">
        <v>43180</v>
      </c>
      <c r="D170" s="264">
        <v>4285000</v>
      </c>
      <c r="E170" s="265" t="s">
        <v>24</v>
      </c>
      <c r="F170" s="255" t="s">
        <v>24</v>
      </c>
      <c r="G170" s="365" t="s">
        <v>668</v>
      </c>
      <c r="H170" s="256" t="s">
        <v>669</v>
      </c>
      <c r="I170" s="256" t="s">
        <v>305</v>
      </c>
      <c r="J170" s="257" t="s">
        <v>306</v>
      </c>
      <c r="K170" s="258" t="s">
        <v>307</v>
      </c>
      <c r="L170" s="259">
        <v>43160</v>
      </c>
      <c r="M170" s="255">
        <v>10</v>
      </c>
      <c r="N170" s="255">
        <v>18</v>
      </c>
      <c r="O170" s="258" t="s">
        <v>25</v>
      </c>
      <c r="P170" s="258" t="s">
        <v>25</v>
      </c>
      <c r="Q170" s="260">
        <v>43180</v>
      </c>
      <c r="R170" s="255">
        <f>SUMIF(A:A,"StoughtonPS",N:N)</f>
        <v>162</v>
      </c>
      <c r="S170" s="255" t="s">
        <v>25</v>
      </c>
      <c r="T170" s="255"/>
      <c r="U170" s="255" t="s">
        <v>24</v>
      </c>
      <c r="V170" s="255" t="s">
        <v>24</v>
      </c>
      <c r="W170" s="255">
        <v>0</v>
      </c>
      <c r="X170" s="255">
        <v>0</v>
      </c>
      <c r="Y170" s="255">
        <v>0</v>
      </c>
      <c r="Z170" s="255">
        <v>0</v>
      </c>
      <c r="AA170" s="252"/>
      <c r="AB170" s="252"/>
      <c r="AC170" s="252"/>
    </row>
    <row r="171" spans="1:46" s="262" customFormat="1">
      <c r="A171" s="5" t="s">
        <v>209</v>
      </c>
      <c r="B171" s="65" t="s">
        <v>207</v>
      </c>
      <c r="C171" s="31">
        <v>43174</v>
      </c>
      <c r="D171" s="72">
        <v>3330000</v>
      </c>
      <c r="E171" s="64" t="s">
        <v>24</v>
      </c>
      <c r="F171" s="64" t="s">
        <v>24</v>
      </c>
      <c r="G171" s="282" t="s">
        <v>670</v>
      </c>
      <c r="H171" s="72" t="s">
        <v>671</v>
      </c>
      <c r="I171" s="72" t="s">
        <v>305</v>
      </c>
      <c r="J171" s="48" t="s">
        <v>306</v>
      </c>
      <c r="K171" s="67" t="s">
        <v>307</v>
      </c>
      <c r="L171" s="66">
        <v>43113</v>
      </c>
      <c r="M171" s="64">
        <v>62</v>
      </c>
      <c r="N171" s="64">
        <v>102</v>
      </c>
      <c r="O171" s="64" t="s">
        <v>25</v>
      </c>
      <c r="P171" s="64" t="s">
        <v>25</v>
      </c>
      <c r="Q171" s="63">
        <v>43139</v>
      </c>
      <c r="R171" s="64">
        <f>SUMIF(A:A,"WestfordPS",N:N)</f>
        <v>732</v>
      </c>
      <c r="S171" s="64" t="s">
        <v>25</v>
      </c>
      <c r="T171" s="64"/>
      <c r="U171" s="64" t="s">
        <v>25</v>
      </c>
      <c r="V171" s="64" t="s">
        <v>24</v>
      </c>
      <c r="W171" s="64">
        <v>1</v>
      </c>
      <c r="X171" s="64">
        <v>0</v>
      </c>
      <c r="Y171" s="64">
        <v>0</v>
      </c>
      <c r="Z171" s="64">
        <v>0</v>
      </c>
      <c r="AA171" s="62"/>
      <c r="AB171" s="62"/>
      <c r="AC171" s="62"/>
      <c r="AD171" s="65"/>
      <c r="AE171" s="65"/>
    </row>
    <row r="172" spans="1:46" s="262" customFormat="1">
      <c r="A172" s="263" t="s">
        <v>174</v>
      </c>
      <c r="B172" s="267" t="s">
        <v>175</v>
      </c>
      <c r="C172" s="268">
        <v>43258</v>
      </c>
      <c r="D172" s="264">
        <v>1236000</v>
      </c>
      <c r="E172" s="254" t="s">
        <v>24</v>
      </c>
      <c r="F172" s="255" t="s">
        <v>24</v>
      </c>
      <c r="G172" s="287" t="s">
        <v>672</v>
      </c>
      <c r="H172" s="256" t="s">
        <v>673</v>
      </c>
      <c r="I172" s="256" t="s">
        <v>305</v>
      </c>
      <c r="J172" s="257" t="s">
        <v>306</v>
      </c>
      <c r="K172" s="258" t="s">
        <v>307</v>
      </c>
      <c r="L172" s="259">
        <v>43253</v>
      </c>
      <c r="M172" s="261">
        <v>54</v>
      </c>
      <c r="N172" s="261">
        <v>84</v>
      </c>
      <c r="O172" s="258" t="s">
        <v>25</v>
      </c>
      <c r="P172" s="261" t="s">
        <v>25</v>
      </c>
      <c r="Q172" s="260">
        <v>43300</v>
      </c>
      <c r="R172" s="255">
        <f>SUMIF(A:A,"PittsfieldPS",N:N)</f>
        <v>658</v>
      </c>
      <c r="S172" s="261" t="s">
        <v>25</v>
      </c>
      <c r="T172" s="255"/>
      <c r="U172" s="261" t="s">
        <v>24</v>
      </c>
      <c r="V172" s="261" t="s">
        <v>24</v>
      </c>
      <c r="W172" s="255">
        <v>0</v>
      </c>
      <c r="X172" s="255">
        <v>0</v>
      </c>
      <c r="Y172" s="255">
        <v>0</v>
      </c>
      <c r="Z172" s="255">
        <v>0</v>
      </c>
      <c r="AA172" s="252"/>
      <c r="AB172" s="252"/>
      <c r="AC172" s="252"/>
    </row>
    <row r="173" spans="1:46" s="262" customFormat="1">
      <c r="A173" s="251" t="s">
        <v>83</v>
      </c>
      <c r="B173" s="252" t="s">
        <v>84</v>
      </c>
      <c r="C173" s="260">
        <v>43336</v>
      </c>
      <c r="D173" s="264">
        <v>4042000</v>
      </c>
      <c r="E173" s="254" t="s">
        <v>24</v>
      </c>
      <c r="F173" s="255" t="s">
        <v>24</v>
      </c>
      <c r="G173" s="280" t="s">
        <v>674</v>
      </c>
      <c r="H173" s="350" t="s">
        <v>675</v>
      </c>
      <c r="I173" s="256" t="s">
        <v>305</v>
      </c>
      <c r="J173" s="257" t="s">
        <v>306</v>
      </c>
      <c r="K173" s="265" t="s">
        <v>307</v>
      </c>
      <c r="L173" s="351">
        <v>43271</v>
      </c>
      <c r="M173" s="265">
        <v>26</v>
      </c>
      <c r="N173" s="265">
        <v>43</v>
      </c>
      <c r="O173" s="265" t="s">
        <v>25</v>
      </c>
      <c r="P173" s="265" t="s">
        <v>25</v>
      </c>
      <c r="Q173" s="259">
        <v>43334</v>
      </c>
      <c r="R173" s="255">
        <f>SUMIF(A:A,"BRRSD",N:N)</f>
        <v>499</v>
      </c>
      <c r="S173" s="261" t="s">
        <v>25</v>
      </c>
      <c r="T173" s="255"/>
      <c r="U173" s="261" t="s">
        <v>24</v>
      </c>
      <c r="V173" s="261" t="s">
        <v>25</v>
      </c>
      <c r="W173" s="255">
        <v>0</v>
      </c>
      <c r="X173" s="255">
        <v>0</v>
      </c>
      <c r="Y173" s="255">
        <v>0</v>
      </c>
      <c r="Z173" s="255">
        <v>1</v>
      </c>
      <c r="AA173" s="252"/>
      <c r="AB173" s="252"/>
      <c r="AC173" s="252"/>
    </row>
    <row r="174" spans="1:46" s="262" customFormat="1">
      <c r="A174" s="5" t="s">
        <v>211</v>
      </c>
      <c r="B174" s="62" t="s">
        <v>676</v>
      </c>
      <c r="C174" s="63">
        <v>43128</v>
      </c>
      <c r="D174" s="70">
        <v>1341000</v>
      </c>
      <c r="E174" s="87" t="s">
        <v>24</v>
      </c>
      <c r="F174" s="64" t="s">
        <v>24</v>
      </c>
      <c r="G174" s="289" t="s">
        <v>677</v>
      </c>
      <c r="H174" s="74" t="s">
        <v>678</v>
      </c>
      <c r="I174" s="74" t="s">
        <v>305</v>
      </c>
      <c r="J174" s="48" t="s">
        <v>306</v>
      </c>
      <c r="K174" s="67" t="s">
        <v>307</v>
      </c>
      <c r="L174" s="63">
        <v>43148</v>
      </c>
      <c r="M174" s="64">
        <v>91</v>
      </c>
      <c r="N174" s="64">
        <v>146</v>
      </c>
      <c r="O174" s="67" t="s">
        <v>25</v>
      </c>
      <c r="P174" s="64" t="s">
        <v>25</v>
      </c>
      <c r="Q174" s="63">
        <v>43161</v>
      </c>
      <c r="R174" s="64">
        <f>SUMIF(A:A,"WLPS",N:N)</f>
        <v>223</v>
      </c>
      <c r="S174" s="64" t="s">
        <v>25</v>
      </c>
      <c r="T174" s="64"/>
      <c r="U174" s="64" t="s">
        <v>24</v>
      </c>
      <c r="V174" s="64" t="s">
        <v>24</v>
      </c>
      <c r="W174" s="64">
        <v>0</v>
      </c>
      <c r="X174" s="64">
        <v>0</v>
      </c>
      <c r="Y174" s="64">
        <v>0</v>
      </c>
      <c r="Z174" s="64">
        <v>0</v>
      </c>
      <c r="AA174" s="62"/>
      <c r="AB174" s="62"/>
      <c r="AC174" s="62"/>
      <c r="AD174" s="65"/>
      <c r="AE174" s="65"/>
    </row>
    <row r="175" spans="1:46" s="262" customFormat="1">
      <c r="A175" s="13" t="s">
        <v>189</v>
      </c>
      <c r="B175" s="28" t="s">
        <v>190</v>
      </c>
      <c r="C175" s="31">
        <v>43259</v>
      </c>
      <c r="D175" s="70">
        <v>2280000</v>
      </c>
      <c r="E175" s="73" t="s">
        <v>24</v>
      </c>
      <c r="F175" s="64" t="s">
        <v>24</v>
      </c>
      <c r="G175" s="279" t="s">
        <v>679</v>
      </c>
      <c r="H175" s="74" t="s">
        <v>680</v>
      </c>
      <c r="I175" s="74" t="s">
        <v>305</v>
      </c>
      <c r="J175" s="48" t="s">
        <v>306</v>
      </c>
      <c r="K175" s="219" t="s">
        <v>307</v>
      </c>
      <c r="L175" s="66">
        <v>43235</v>
      </c>
      <c r="M175" s="64">
        <v>93</v>
      </c>
      <c r="N175" s="64">
        <v>118</v>
      </c>
      <c r="O175" s="67" t="s">
        <v>25</v>
      </c>
      <c r="P175" s="47" t="s">
        <v>25</v>
      </c>
      <c r="Q175" s="63">
        <v>43259</v>
      </c>
      <c r="R175" s="64">
        <f>SUMIF(A:A,"SEBRSD",N:N)</f>
        <v>257</v>
      </c>
      <c r="S175" s="47" t="s">
        <v>25</v>
      </c>
      <c r="T175" s="64"/>
      <c r="U175" s="47" t="s">
        <v>25</v>
      </c>
      <c r="V175" s="47" t="s">
        <v>24</v>
      </c>
      <c r="W175" s="64">
        <v>5</v>
      </c>
      <c r="X175" s="64">
        <v>0</v>
      </c>
      <c r="Y175" s="64">
        <v>0</v>
      </c>
      <c r="Z175" s="64">
        <v>0</v>
      </c>
      <c r="AA175" s="62"/>
      <c r="AB175" s="62"/>
      <c r="AC175" s="62"/>
      <c r="AD175" s="65"/>
      <c r="AE175" s="65"/>
      <c r="AG175" s="252"/>
      <c r="AH175" s="252"/>
      <c r="AI175" s="252"/>
      <c r="AJ175" s="252"/>
      <c r="AK175" s="252"/>
      <c r="AL175" s="252"/>
      <c r="AM175" s="252"/>
      <c r="AN175" s="252"/>
      <c r="AO175" s="252"/>
      <c r="AP175" s="252"/>
      <c r="AQ175" s="252"/>
      <c r="AR175" s="252"/>
      <c r="AS175" s="252"/>
      <c r="AT175" s="252"/>
    </row>
    <row r="176" spans="1:46" s="388" customFormat="1" ht="30">
      <c r="A176" s="159" t="s">
        <v>242</v>
      </c>
      <c r="B176" s="160" t="s">
        <v>243</v>
      </c>
      <c r="C176" s="171">
        <v>43160</v>
      </c>
      <c r="D176" s="169">
        <v>4336022</v>
      </c>
      <c r="E176" s="168" t="s">
        <v>24</v>
      </c>
      <c r="F176" s="166" t="s">
        <v>24</v>
      </c>
      <c r="G176" s="290" t="s">
        <v>681</v>
      </c>
      <c r="H176" s="172" t="s">
        <v>682</v>
      </c>
      <c r="I176" s="172" t="s">
        <v>305</v>
      </c>
      <c r="J176" s="184" t="s">
        <v>683</v>
      </c>
      <c r="K176" s="175" t="s">
        <v>216</v>
      </c>
      <c r="L176" s="175" t="s">
        <v>216</v>
      </c>
      <c r="M176" s="175"/>
      <c r="N176" s="175"/>
      <c r="O176" s="175" t="s">
        <v>216</v>
      </c>
      <c r="P176" s="175" t="s">
        <v>216</v>
      </c>
      <c r="Q176" s="175" t="s">
        <v>216</v>
      </c>
      <c r="R176" s="166"/>
      <c r="S176" s="249" t="s">
        <v>684</v>
      </c>
      <c r="T176" s="166"/>
      <c r="U176" s="166"/>
      <c r="V176" s="166"/>
      <c r="W176" s="166"/>
      <c r="X176" s="166"/>
      <c r="Y176" s="166"/>
      <c r="Z176" s="166"/>
      <c r="AA176" s="160"/>
      <c r="AB176" s="160"/>
      <c r="AC176" s="160"/>
      <c r="AD176" s="164"/>
      <c r="AE176" s="164"/>
      <c r="AG176" s="206"/>
      <c r="AH176" s="206"/>
      <c r="AI176" s="206"/>
      <c r="AJ176" s="206"/>
      <c r="AK176" s="206"/>
      <c r="AL176" s="206"/>
      <c r="AM176" s="206"/>
      <c r="AN176" s="206"/>
      <c r="AO176" s="206"/>
      <c r="AP176" s="206"/>
      <c r="AQ176" s="206"/>
      <c r="AR176" s="206"/>
      <c r="AS176" s="206"/>
      <c r="AT176" s="206"/>
    </row>
    <row r="177" spans="1:46" s="388" customFormat="1" ht="30">
      <c r="A177" s="159" t="s">
        <v>242</v>
      </c>
      <c r="B177" s="160" t="s">
        <v>243</v>
      </c>
      <c r="C177" s="171">
        <v>43201</v>
      </c>
      <c r="D177" s="169">
        <v>4336010</v>
      </c>
      <c r="E177" s="168" t="s">
        <v>24</v>
      </c>
      <c r="F177" s="166" t="s">
        <v>24</v>
      </c>
      <c r="G177" s="290"/>
      <c r="H177" s="172" t="s">
        <v>685</v>
      </c>
      <c r="I177" s="172" t="s">
        <v>341</v>
      </c>
      <c r="J177" s="184" t="s">
        <v>683</v>
      </c>
      <c r="K177" s="175" t="s">
        <v>216</v>
      </c>
      <c r="L177" s="175" t="s">
        <v>216</v>
      </c>
      <c r="M177" s="175"/>
      <c r="N177" s="175"/>
      <c r="O177" s="175" t="s">
        <v>216</v>
      </c>
      <c r="P177" s="175" t="s">
        <v>216</v>
      </c>
      <c r="Q177" s="175" t="s">
        <v>216</v>
      </c>
      <c r="R177" s="166"/>
      <c r="S177" s="249" t="s">
        <v>684</v>
      </c>
      <c r="T177" s="166"/>
      <c r="U177" s="166"/>
      <c r="V177" s="166"/>
      <c r="W177" s="166"/>
      <c r="X177" s="166"/>
      <c r="Y177" s="166"/>
      <c r="Z177" s="166"/>
      <c r="AA177" s="160"/>
      <c r="AB177" s="160"/>
      <c r="AC177" s="160"/>
      <c r="AD177" s="164"/>
      <c r="AE177" s="164"/>
    </row>
    <row r="178" spans="1:46" s="388" customFormat="1" ht="30">
      <c r="A178" s="159" t="s">
        <v>242</v>
      </c>
      <c r="B178" s="160" t="s">
        <v>243</v>
      </c>
      <c r="C178" s="171">
        <v>43201</v>
      </c>
      <c r="D178" s="169">
        <v>4336011</v>
      </c>
      <c r="E178" s="168" t="s">
        <v>24</v>
      </c>
      <c r="F178" s="166" t="s">
        <v>24</v>
      </c>
      <c r="G178" s="290"/>
      <c r="H178" s="172" t="s">
        <v>685</v>
      </c>
      <c r="I178" s="172" t="s">
        <v>341</v>
      </c>
      <c r="J178" s="184" t="s">
        <v>683</v>
      </c>
      <c r="K178" s="175" t="s">
        <v>216</v>
      </c>
      <c r="L178" s="175" t="s">
        <v>216</v>
      </c>
      <c r="M178" s="175"/>
      <c r="N178" s="175"/>
      <c r="O178" s="175" t="s">
        <v>216</v>
      </c>
      <c r="P178" s="175" t="s">
        <v>216</v>
      </c>
      <c r="Q178" s="175" t="s">
        <v>216</v>
      </c>
      <c r="R178" s="166"/>
      <c r="S178" s="249" t="s">
        <v>684</v>
      </c>
      <c r="T178" s="166"/>
      <c r="U178" s="166"/>
      <c r="V178" s="166"/>
      <c r="W178" s="166"/>
      <c r="X178" s="166"/>
      <c r="Y178" s="166"/>
      <c r="Z178" s="166"/>
      <c r="AA178" s="160"/>
      <c r="AB178" s="160"/>
      <c r="AC178" s="160"/>
      <c r="AD178" s="164"/>
      <c r="AE178" s="164"/>
    </row>
    <row r="179" spans="1:46" s="388" customFormat="1" ht="30">
      <c r="A179" s="159" t="s">
        <v>99</v>
      </c>
      <c r="B179" s="160" t="s">
        <v>100</v>
      </c>
      <c r="C179" s="161">
        <v>43117</v>
      </c>
      <c r="D179" s="167">
        <v>2064000</v>
      </c>
      <c r="E179" s="166" t="s">
        <v>24</v>
      </c>
      <c r="F179" s="166" t="s">
        <v>25</v>
      </c>
      <c r="G179" s="290"/>
      <c r="H179" s="169" t="s">
        <v>685</v>
      </c>
      <c r="I179" s="169" t="s">
        <v>341</v>
      </c>
      <c r="J179" s="184" t="s">
        <v>683</v>
      </c>
      <c r="K179" s="240" t="s">
        <v>686</v>
      </c>
      <c r="L179" s="247" t="s">
        <v>216</v>
      </c>
      <c r="M179" s="166"/>
      <c r="N179" s="166"/>
      <c r="O179" s="240" t="s">
        <v>216</v>
      </c>
      <c r="P179" s="240" t="s">
        <v>216</v>
      </c>
      <c r="Q179" s="166"/>
      <c r="R179" s="166"/>
      <c r="S179" s="248" t="s">
        <v>684</v>
      </c>
      <c r="T179" s="166"/>
      <c r="U179" s="166"/>
      <c r="V179" s="166"/>
      <c r="W179" s="166"/>
      <c r="X179" s="166"/>
      <c r="Y179" s="166"/>
      <c r="Z179" s="166"/>
      <c r="AA179" s="160"/>
      <c r="AB179" s="160"/>
      <c r="AC179" s="160"/>
      <c r="AD179" s="164"/>
      <c r="AE179" s="164"/>
    </row>
    <row r="180" spans="1:46" s="388" customFormat="1" ht="30">
      <c r="A180" s="241" t="s">
        <v>214</v>
      </c>
      <c r="B180" s="242" t="s">
        <v>634</v>
      </c>
      <c r="C180" s="182">
        <v>43195</v>
      </c>
      <c r="D180" s="162">
        <v>4020014</v>
      </c>
      <c r="E180" s="211" t="s">
        <v>24</v>
      </c>
      <c r="F180" s="211" t="s">
        <v>24</v>
      </c>
      <c r="G180" s="290">
        <v>211758</v>
      </c>
      <c r="H180" s="165" t="s">
        <v>687</v>
      </c>
      <c r="I180" s="165" t="s">
        <v>341</v>
      </c>
      <c r="J180" s="184" t="s">
        <v>683</v>
      </c>
      <c r="K180" s="175" t="s">
        <v>216</v>
      </c>
      <c r="L180" s="175" t="s">
        <v>216</v>
      </c>
      <c r="M180" s="175"/>
      <c r="N180" s="175"/>
      <c r="O180" s="175" t="s">
        <v>216</v>
      </c>
      <c r="P180" s="175" t="s">
        <v>216</v>
      </c>
      <c r="Q180" s="175" t="s">
        <v>216</v>
      </c>
      <c r="R180" s="211"/>
      <c r="S180" s="248" t="s">
        <v>684</v>
      </c>
      <c r="T180" s="211"/>
      <c r="U180" s="211"/>
      <c r="V180" s="211"/>
      <c r="W180" s="211"/>
      <c r="X180" s="211"/>
      <c r="Y180" s="211"/>
      <c r="Z180" s="211"/>
      <c r="AA180" s="242"/>
      <c r="AB180" s="242"/>
      <c r="AC180" s="242"/>
      <c r="AD180" s="181"/>
      <c r="AE180" s="181"/>
    </row>
    <row r="181" spans="1:46" s="388" customFormat="1" ht="30">
      <c r="A181" s="241" t="s">
        <v>214</v>
      </c>
      <c r="B181" s="242" t="s">
        <v>688</v>
      </c>
      <c r="C181" s="182">
        <v>43195</v>
      </c>
      <c r="D181" s="162">
        <v>4020013</v>
      </c>
      <c r="E181" s="211" t="s">
        <v>24</v>
      </c>
      <c r="F181" s="211" t="s">
        <v>24</v>
      </c>
      <c r="G181" s="290"/>
      <c r="H181" s="165" t="s">
        <v>689</v>
      </c>
      <c r="I181" s="165" t="s">
        <v>341</v>
      </c>
      <c r="J181" s="184" t="s">
        <v>683</v>
      </c>
      <c r="K181" s="175" t="s">
        <v>216</v>
      </c>
      <c r="L181" s="175" t="s">
        <v>216</v>
      </c>
      <c r="M181" s="175"/>
      <c r="N181" s="175"/>
      <c r="O181" s="175" t="s">
        <v>216</v>
      </c>
      <c r="P181" s="175" t="s">
        <v>216</v>
      </c>
      <c r="Q181" s="175" t="s">
        <v>216</v>
      </c>
      <c r="R181" s="211"/>
      <c r="S181" s="248" t="s">
        <v>684</v>
      </c>
      <c r="T181" s="211"/>
      <c r="U181" s="211"/>
      <c r="V181" s="211"/>
      <c r="W181" s="211"/>
      <c r="X181" s="211"/>
      <c r="Y181" s="211"/>
      <c r="Z181" s="211"/>
      <c r="AA181" s="242"/>
      <c r="AB181" s="242"/>
      <c r="AC181" s="242"/>
      <c r="AD181" s="181"/>
      <c r="AE181" s="181"/>
      <c r="AG181" s="401"/>
      <c r="AH181" s="401"/>
      <c r="AI181" s="401"/>
      <c r="AJ181" s="401"/>
      <c r="AK181" s="401"/>
      <c r="AL181" s="401"/>
      <c r="AM181" s="401"/>
      <c r="AN181" s="401"/>
      <c r="AO181" s="401"/>
      <c r="AP181" s="401"/>
      <c r="AQ181" s="401"/>
      <c r="AR181" s="401"/>
      <c r="AS181" s="401"/>
      <c r="AT181" s="401"/>
    </row>
    <row r="182" spans="1:46" s="388" customFormat="1" ht="30">
      <c r="A182" s="241" t="s">
        <v>214</v>
      </c>
      <c r="B182" s="242" t="s">
        <v>690</v>
      </c>
      <c r="C182" s="182">
        <v>43195</v>
      </c>
      <c r="D182" s="162">
        <v>4020007</v>
      </c>
      <c r="E182" s="211" t="s">
        <v>24</v>
      </c>
      <c r="F182" s="211" t="s">
        <v>24</v>
      </c>
      <c r="G182" s="290">
        <v>200093</v>
      </c>
      <c r="H182" s="165" t="s">
        <v>691</v>
      </c>
      <c r="I182" s="165" t="s">
        <v>341</v>
      </c>
      <c r="J182" s="184" t="s">
        <v>683</v>
      </c>
      <c r="K182" s="175" t="s">
        <v>216</v>
      </c>
      <c r="L182" s="175" t="s">
        <v>216</v>
      </c>
      <c r="M182" s="175"/>
      <c r="N182" s="175"/>
      <c r="O182" s="175" t="s">
        <v>216</v>
      </c>
      <c r="P182" s="175" t="s">
        <v>216</v>
      </c>
      <c r="Q182" s="175" t="s">
        <v>216</v>
      </c>
      <c r="R182" s="211"/>
      <c r="S182" s="248" t="s">
        <v>684</v>
      </c>
      <c r="T182" s="211"/>
      <c r="U182" s="211"/>
      <c r="V182" s="211"/>
      <c r="W182" s="211"/>
      <c r="X182" s="211"/>
      <c r="Y182" s="211"/>
      <c r="Z182" s="211"/>
      <c r="AA182" s="242"/>
      <c r="AB182" s="242"/>
      <c r="AC182" s="242"/>
      <c r="AD182" s="181"/>
      <c r="AE182" s="181"/>
    </row>
    <row r="183" spans="1:46" s="388" customFormat="1" ht="30">
      <c r="A183" s="241" t="s">
        <v>214</v>
      </c>
      <c r="B183" s="242" t="s">
        <v>692</v>
      </c>
      <c r="C183" s="182">
        <v>43195</v>
      </c>
      <c r="D183" s="162">
        <v>4020012</v>
      </c>
      <c r="E183" s="211" t="s">
        <v>24</v>
      </c>
      <c r="F183" s="211" t="s">
        <v>24</v>
      </c>
      <c r="G183" s="290">
        <v>300660</v>
      </c>
      <c r="H183" s="165" t="s">
        <v>693</v>
      </c>
      <c r="I183" s="165" t="s">
        <v>341</v>
      </c>
      <c r="J183" s="184" t="s">
        <v>683</v>
      </c>
      <c r="K183" s="175" t="s">
        <v>216</v>
      </c>
      <c r="L183" s="175" t="s">
        <v>216</v>
      </c>
      <c r="M183" s="175"/>
      <c r="N183" s="175"/>
      <c r="O183" s="175" t="s">
        <v>216</v>
      </c>
      <c r="P183" s="175" t="s">
        <v>216</v>
      </c>
      <c r="Q183" s="175" t="s">
        <v>216</v>
      </c>
      <c r="R183" s="211"/>
      <c r="S183" s="248" t="s">
        <v>684</v>
      </c>
      <c r="T183" s="211"/>
      <c r="U183" s="211"/>
      <c r="V183" s="211"/>
      <c r="W183" s="211"/>
      <c r="X183" s="211"/>
      <c r="Y183" s="211"/>
      <c r="Z183" s="211"/>
      <c r="AA183" s="242"/>
      <c r="AB183" s="242"/>
      <c r="AC183" s="242"/>
      <c r="AD183" s="181"/>
      <c r="AE183" s="181"/>
      <c r="AF183" s="401"/>
    </row>
    <row r="184" spans="1:46" s="388" customFormat="1" ht="15" customHeight="1">
      <c r="A184" s="241" t="s">
        <v>214</v>
      </c>
      <c r="B184" s="242" t="s">
        <v>215</v>
      </c>
      <c r="C184" s="182">
        <v>43195</v>
      </c>
      <c r="D184" s="162">
        <v>4020011</v>
      </c>
      <c r="E184" s="211" t="s">
        <v>24</v>
      </c>
      <c r="F184" s="211" t="s">
        <v>24</v>
      </c>
      <c r="G184" s="290"/>
      <c r="H184" s="165" t="s">
        <v>694</v>
      </c>
      <c r="I184" s="165" t="s">
        <v>341</v>
      </c>
      <c r="J184" s="184" t="s">
        <v>683</v>
      </c>
      <c r="K184" s="175" t="s">
        <v>216</v>
      </c>
      <c r="L184" s="175" t="s">
        <v>216</v>
      </c>
      <c r="M184" s="175"/>
      <c r="N184" s="175"/>
      <c r="O184" s="175" t="s">
        <v>216</v>
      </c>
      <c r="P184" s="175" t="s">
        <v>216</v>
      </c>
      <c r="Q184" s="175" t="s">
        <v>216</v>
      </c>
      <c r="R184" s="211"/>
      <c r="S184" s="248" t="s">
        <v>684</v>
      </c>
      <c r="T184" s="211"/>
      <c r="U184" s="211"/>
      <c r="V184" s="211"/>
      <c r="W184" s="211"/>
      <c r="X184" s="211"/>
      <c r="Y184" s="211"/>
      <c r="Z184" s="211"/>
      <c r="AA184" s="242"/>
      <c r="AB184" s="242"/>
      <c r="AC184" s="242"/>
      <c r="AD184" s="181"/>
      <c r="AE184" s="181"/>
    </row>
    <row r="185" spans="1:46" s="388" customFormat="1" ht="30">
      <c r="A185" s="241" t="s">
        <v>214</v>
      </c>
      <c r="B185" s="242" t="s">
        <v>692</v>
      </c>
      <c r="C185" s="182">
        <v>43195</v>
      </c>
      <c r="D185" s="162">
        <v>4020009</v>
      </c>
      <c r="E185" s="211" t="s">
        <v>24</v>
      </c>
      <c r="F185" s="211" t="s">
        <v>24</v>
      </c>
      <c r="G185" s="290">
        <v>2912002</v>
      </c>
      <c r="H185" s="165" t="s">
        <v>695</v>
      </c>
      <c r="I185" s="165" t="s">
        <v>341</v>
      </c>
      <c r="J185" s="184" t="s">
        <v>683</v>
      </c>
      <c r="K185" s="175" t="s">
        <v>216</v>
      </c>
      <c r="L185" s="175" t="s">
        <v>216</v>
      </c>
      <c r="M185" s="175"/>
      <c r="N185" s="175"/>
      <c r="O185" s="175" t="s">
        <v>216</v>
      </c>
      <c r="P185" s="175" t="s">
        <v>216</v>
      </c>
      <c r="Q185" s="175" t="s">
        <v>216</v>
      </c>
      <c r="R185" s="211"/>
      <c r="S185" s="248" t="s">
        <v>684</v>
      </c>
      <c r="T185" s="211"/>
      <c r="U185" s="211"/>
      <c r="V185" s="211"/>
      <c r="W185" s="211"/>
      <c r="X185" s="211"/>
      <c r="Y185" s="211"/>
      <c r="Z185" s="211"/>
      <c r="AA185" s="242"/>
      <c r="AB185" s="242"/>
      <c r="AC185" s="242"/>
      <c r="AD185" s="181"/>
      <c r="AE185" s="181"/>
      <c r="AF185" s="206"/>
    </row>
    <row r="186" spans="1:46" s="388" customFormat="1" ht="30">
      <c r="A186" s="241" t="s">
        <v>214</v>
      </c>
      <c r="B186" s="242" t="s">
        <v>696</v>
      </c>
      <c r="C186" s="182">
        <v>43195</v>
      </c>
      <c r="D186" s="162">
        <v>4020008</v>
      </c>
      <c r="E186" s="211" t="s">
        <v>24</v>
      </c>
      <c r="F186" s="211" t="s">
        <v>24</v>
      </c>
      <c r="G186" s="290">
        <v>290671</v>
      </c>
      <c r="H186" s="165" t="s">
        <v>697</v>
      </c>
      <c r="I186" s="165" t="s">
        <v>341</v>
      </c>
      <c r="J186" s="184" t="s">
        <v>683</v>
      </c>
      <c r="K186" s="175" t="s">
        <v>216</v>
      </c>
      <c r="L186" s="175" t="s">
        <v>216</v>
      </c>
      <c r="M186" s="175"/>
      <c r="N186" s="175"/>
      <c r="O186" s="175" t="s">
        <v>216</v>
      </c>
      <c r="P186" s="175" t="s">
        <v>216</v>
      </c>
      <c r="Q186" s="175" t="s">
        <v>216</v>
      </c>
      <c r="R186" s="211"/>
      <c r="S186" s="248" t="s">
        <v>684</v>
      </c>
      <c r="T186" s="211"/>
      <c r="U186" s="211"/>
      <c r="V186" s="211"/>
      <c r="W186" s="211"/>
      <c r="X186" s="211"/>
      <c r="Y186" s="211"/>
      <c r="Z186" s="211"/>
      <c r="AA186" s="242"/>
      <c r="AB186" s="242"/>
      <c r="AC186" s="242"/>
      <c r="AD186" s="181"/>
      <c r="AE186" s="181"/>
    </row>
    <row r="187" spans="1:46" s="388" customFormat="1" ht="30">
      <c r="A187" s="241" t="s">
        <v>214</v>
      </c>
      <c r="B187" s="242" t="s">
        <v>215</v>
      </c>
      <c r="C187" s="182">
        <v>43195</v>
      </c>
      <c r="D187" s="162">
        <v>4020004</v>
      </c>
      <c r="E187" s="211" t="s">
        <v>24</v>
      </c>
      <c r="F187" s="211" t="s">
        <v>24</v>
      </c>
      <c r="G187" s="290">
        <v>200044</v>
      </c>
      <c r="H187" s="165" t="s">
        <v>698</v>
      </c>
      <c r="I187" s="165" t="s">
        <v>341</v>
      </c>
      <c r="J187" s="184" t="s">
        <v>683</v>
      </c>
      <c r="K187" s="175" t="s">
        <v>216</v>
      </c>
      <c r="L187" s="175" t="s">
        <v>216</v>
      </c>
      <c r="M187" s="175"/>
      <c r="N187" s="175"/>
      <c r="O187" s="175" t="s">
        <v>216</v>
      </c>
      <c r="P187" s="175" t="s">
        <v>216</v>
      </c>
      <c r="Q187" s="175" t="s">
        <v>216</v>
      </c>
      <c r="R187" s="211"/>
      <c r="S187" s="248" t="s">
        <v>684</v>
      </c>
      <c r="T187" s="211"/>
      <c r="U187" s="211"/>
      <c r="V187" s="211"/>
      <c r="W187" s="211"/>
      <c r="X187" s="211"/>
      <c r="Y187" s="211"/>
      <c r="Z187" s="211"/>
      <c r="AA187" s="242"/>
      <c r="AB187" s="242"/>
      <c r="AC187" s="242"/>
      <c r="AD187" s="181"/>
      <c r="AE187" s="181"/>
    </row>
    <row r="188" spans="1:46" s="164" customFormat="1" ht="30">
      <c r="A188" s="241" t="s">
        <v>214</v>
      </c>
      <c r="B188" s="242" t="s">
        <v>215</v>
      </c>
      <c r="C188" s="182">
        <v>43195</v>
      </c>
      <c r="D188" s="162">
        <v>4020006</v>
      </c>
      <c r="E188" s="211" t="s">
        <v>24</v>
      </c>
      <c r="F188" s="211" t="s">
        <v>24</v>
      </c>
      <c r="G188" s="290">
        <v>300189</v>
      </c>
      <c r="H188" s="165" t="s">
        <v>699</v>
      </c>
      <c r="I188" s="165" t="s">
        <v>341</v>
      </c>
      <c r="J188" s="184" t="s">
        <v>683</v>
      </c>
      <c r="K188" s="175" t="s">
        <v>216</v>
      </c>
      <c r="L188" s="175" t="s">
        <v>216</v>
      </c>
      <c r="M188" s="175"/>
      <c r="N188" s="175"/>
      <c r="O188" s="175" t="s">
        <v>216</v>
      </c>
      <c r="P188" s="175" t="s">
        <v>216</v>
      </c>
      <c r="Q188" s="175" t="s">
        <v>216</v>
      </c>
      <c r="R188" s="211"/>
      <c r="S188" s="248" t="s">
        <v>684</v>
      </c>
      <c r="T188" s="211"/>
      <c r="U188" s="211"/>
      <c r="V188" s="211"/>
      <c r="W188" s="211"/>
      <c r="X188" s="211"/>
      <c r="Y188" s="211"/>
      <c r="Z188" s="211"/>
      <c r="AA188" s="242"/>
      <c r="AB188" s="242"/>
      <c r="AC188" s="242"/>
      <c r="AD188" s="181"/>
      <c r="AE188" s="181"/>
    </row>
    <row r="189" spans="1:46" s="164" customFormat="1" ht="30">
      <c r="A189" s="241" t="s">
        <v>214</v>
      </c>
      <c r="B189" s="242" t="s">
        <v>215</v>
      </c>
      <c r="C189" s="182">
        <v>43195</v>
      </c>
      <c r="D189" s="162">
        <v>4020005</v>
      </c>
      <c r="E189" s="211" t="s">
        <v>24</v>
      </c>
      <c r="F189" s="211" t="s">
        <v>24</v>
      </c>
      <c r="G189" s="290">
        <v>200047</v>
      </c>
      <c r="H189" s="165" t="s">
        <v>700</v>
      </c>
      <c r="I189" s="165" t="s">
        <v>341</v>
      </c>
      <c r="J189" s="184" t="s">
        <v>683</v>
      </c>
      <c r="K189" s="175" t="s">
        <v>216</v>
      </c>
      <c r="L189" s="175" t="s">
        <v>216</v>
      </c>
      <c r="M189" s="175"/>
      <c r="N189" s="175"/>
      <c r="O189" s="175" t="s">
        <v>216</v>
      </c>
      <c r="P189" s="175" t="s">
        <v>216</v>
      </c>
      <c r="Q189" s="175" t="s">
        <v>216</v>
      </c>
      <c r="R189" s="211"/>
      <c r="S189" s="248" t="s">
        <v>684</v>
      </c>
      <c r="T189" s="211"/>
      <c r="U189" s="211"/>
      <c r="V189" s="211"/>
      <c r="W189" s="211"/>
      <c r="X189" s="211"/>
      <c r="Y189" s="211"/>
      <c r="Z189" s="211"/>
      <c r="AA189" s="242"/>
      <c r="AB189" s="242"/>
      <c r="AC189" s="242"/>
      <c r="AD189" s="181"/>
      <c r="AE189" s="181"/>
    </row>
    <row r="190" spans="1:46" s="164" customFormat="1" ht="30">
      <c r="A190" s="241" t="s">
        <v>214</v>
      </c>
      <c r="B190" s="242" t="s">
        <v>701</v>
      </c>
      <c r="C190" s="182">
        <v>43195</v>
      </c>
      <c r="D190" s="162">
        <v>4020010</v>
      </c>
      <c r="E190" s="211" t="s">
        <v>24</v>
      </c>
      <c r="F190" s="211" t="s">
        <v>24</v>
      </c>
      <c r="G190" s="290">
        <v>200286</v>
      </c>
      <c r="H190" s="165" t="s">
        <v>702</v>
      </c>
      <c r="I190" s="165" t="s">
        <v>341</v>
      </c>
      <c r="J190" s="184" t="s">
        <v>683</v>
      </c>
      <c r="K190" s="175" t="s">
        <v>216</v>
      </c>
      <c r="L190" s="175" t="s">
        <v>216</v>
      </c>
      <c r="M190" s="175"/>
      <c r="N190" s="175"/>
      <c r="O190" s="175" t="s">
        <v>216</v>
      </c>
      <c r="P190" s="175" t="s">
        <v>216</v>
      </c>
      <c r="Q190" s="175" t="s">
        <v>216</v>
      </c>
      <c r="R190" s="211"/>
      <c r="S190" s="248" t="s">
        <v>684</v>
      </c>
      <c r="T190" s="211"/>
      <c r="U190" s="211"/>
      <c r="V190" s="211"/>
      <c r="W190" s="211"/>
      <c r="X190" s="211"/>
      <c r="Y190" s="211"/>
      <c r="Z190" s="211"/>
      <c r="AA190" s="242"/>
      <c r="AB190" s="242"/>
      <c r="AC190" s="242"/>
      <c r="AD190" s="181"/>
      <c r="AE190" s="181"/>
    </row>
    <row r="191" spans="1:46" s="164" customFormat="1" ht="30">
      <c r="A191" s="159" t="s">
        <v>140</v>
      </c>
      <c r="B191" s="169" t="s">
        <v>141</v>
      </c>
      <c r="C191" s="161">
        <v>43131</v>
      </c>
      <c r="D191" s="167">
        <v>2153000</v>
      </c>
      <c r="E191" s="168" t="s">
        <v>703</v>
      </c>
      <c r="F191" s="166" t="s">
        <v>24</v>
      </c>
      <c r="G191" s="290" t="s">
        <v>704</v>
      </c>
      <c r="H191" s="169" t="s">
        <v>705</v>
      </c>
      <c r="I191" s="169" t="s">
        <v>305</v>
      </c>
      <c r="J191" s="184" t="s">
        <v>683</v>
      </c>
      <c r="K191" s="240" t="s">
        <v>216</v>
      </c>
      <c r="L191" s="243" t="s">
        <v>216</v>
      </c>
      <c r="M191" s="175"/>
      <c r="N191" s="175"/>
      <c r="O191" s="175" t="s">
        <v>216</v>
      </c>
      <c r="P191" s="175" t="s">
        <v>216</v>
      </c>
      <c r="Q191" s="175" t="s">
        <v>216</v>
      </c>
      <c r="R191" s="166"/>
      <c r="S191" s="166" t="s">
        <v>684</v>
      </c>
      <c r="T191" s="166"/>
      <c r="U191" s="166"/>
      <c r="V191" s="166"/>
      <c r="W191" s="166"/>
      <c r="X191" s="166"/>
      <c r="Y191" s="166"/>
      <c r="Z191" s="166"/>
      <c r="AA191" s="160"/>
      <c r="AB191" s="160"/>
      <c r="AC191" s="160"/>
      <c r="AE191" s="184" t="s">
        <v>706</v>
      </c>
    </row>
    <row r="192" spans="1:46" s="164" customFormat="1" ht="30">
      <c r="A192" s="159" t="s">
        <v>227</v>
      </c>
      <c r="B192" s="160" t="s">
        <v>228</v>
      </c>
      <c r="C192" s="161">
        <v>43230</v>
      </c>
      <c r="D192" s="167">
        <v>4244000</v>
      </c>
      <c r="E192" s="166" t="s">
        <v>24</v>
      </c>
      <c r="F192" s="166" t="s">
        <v>24</v>
      </c>
      <c r="G192" s="290" t="s">
        <v>707</v>
      </c>
      <c r="H192" s="169" t="s">
        <v>708</v>
      </c>
      <c r="I192" s="169" t="s">
        <v>305</v>
      </c>
      <c r="J192" s="184" t="s">
        <v>683</v>
      </c>
      <c r="K192" s="243" t="s">
        <v>216</v>
      </c>
      <c r="L192" s="243" t="s">
        <v>216</v>
      </c>
      <c r="M192" s="166"/>
      <c r="N192" s="166"/>
      <c r="O192" s="175" t="s">
        <v>216</v>
      </c>
      <c r="P192" s="175" t="s">
        <v>216</v>
      </c>
      <c r="Q192" s="175" t="s">
        <v>686</v>
      </c>
      <c r="R192" s="166"/>
      <c r="S192" s="248" t="s">
        <v>684</v>
      </c>
      <c r="T192" s="166"/>
      <c r="U192" s="166"/>
      <c r="V192" s="166"/>
      <c r="W192" s="166"/>
      <c r="X192" s="166"/>
      <c r="Y192" s="166"/>
      <c r="Z192" s="166"/>
      <c r="AA192" s="160"/>
      <c r="AB192" s="160"/>
      <c r="AC192" s="160"/>
    </row>
    <row r="193" spans="1:32" s="164" customFormat="1" ht="30">
      <c r="A193" s="159" t="s">
        <v>242</v>
      </c>
      <c r="B193" s="160" t="s">
        <v>243</v>
      </c>
      <c r="C193" s="171">
        <v>43201</v>
      </c>
      <c r="D193" s="169">
        <v>4336012</v>
      </c>
      <c r="E193" s="168" t="s">
        <v>24</v>
      </c>
      <c r="F193" s="166" t="s">
        <v>24</v>
      </c>
      <c r="G193" s="290" t="s">
        <v>709</v>
      </c>
      <c r="H193" s="172" t="s">
        <v>710</v>
      </c>
      <c r="I193" s="172" t="s">
        <v>305</v>
      </c>
      <c r="J193" s="184" t="s">
        <v>683</v>
      </c>
      <c r="K193" s="175" t="s">
        <v>216</v>
      </c>
      <c r="L193" s="175" t="s">
        <v>216</v>
      </c>
      <c r="M193" s="175"/>
      <c r="N193" s="175"/>
      <c r="O193" s="175" t="s">
        <v>216</v>
      </c>
      <c r="P193" s="175" t="s">
        <v>216</v>
      </c>
      <c r="Q193" s="175" t="s">
        <v>216</v>
      </c>
      <c r="R193" s="166"/>
      <c r="S193" s="249" t="s">
        <v>684</v>
      </c>
      <c r="T193" s="166"/>
      <c r="U193" s="166"/>
      <c r="V193" s="166"/>
      <c r="W193" s="166"/>
      <c r="X193" s="166"/>
      <c r="Y193" s="166"/>
      <c r="Z193" s="166"/>
      <c r="AA193" s="160"/>
      <c r="AB193" s="160"/>
      <c r="AC193" s="160"/>
      <c r="AF193" s="181"/>
    </row>
    <row r="194" spans="1:32" s="164" customFormat="1" ht="30">
      <c r="A194" s="159" t="s">
        <v>83</v>
      </c>
      <c r="B194" s="160" t="s">
        <v>84</v>
      </c>
      <c r="C194" s="161">
        <v>43144</v>
      </c>
      <c r="D194" s="167">
        <v>4042000</v>
      </c>
      <c r="E194" s="166" t="s">
        <v>24</v>
      </c>
      <c r="F194" s="166" t="s">
        <v>24</v>
      </c>
      <c r="G194" s="290" t="s">
        <v>711</v>
      </c>
      <c r="H194" s="246" t="s">
        <v>712</v>
      </c>
      <c r="I194" s="169" t="s">
        <v>305</v>
      </c>
      <c r="J194" s="184" t="s">
        <v>683</v>
      </c>
      <c r="K194" s="168" t="s">
        <v>216</v>
      </c>
      <c r="L194" s="175" t="s">
        <v>216</v>
      </c>
      <c r="M194" s="168"/>
      <c r="N194" s="168"/>
      <c r="O194" s="175" t="s">
        <v>216</v>
      </c>
      <c r="P194" s="175" t="s">
        <v>216</v>
      </c>
      <c r="Q194" s="175" t="s">
        <v>216</v>
      </c>
      <c r="R194" s="166"/>
      <c r="S194" s="248" t="s">
        <v>684</v>
      </c>
      <c r="T194" s="166"/>
      <c r="U194" s="166"/>
      <c r="V194" s="166"/>
      <c r="W194" s="166"/>
      <c r="X194" s="166"/>
      <c r="Y194" s="166"/>
      <c r="Z194" s="166"/>
      <c r="AA194" s="160"/>
      <c r="AB194" s="160"/>
      <c r="AC194" s="160"/>
    </row>
    <row r="195" spans="1:32" s="164" customFormat="1" ht="30">
      <c r="A195" s="159" t="s">
        <v>227</v>
      </c>
      <c r="B195" s="160" t="s">
        <v>228</v>
      </c>
      <c r="C195" s="161">
        <v>43230</v>
      </c>
      <c r="D195" s="167">
        <v>4244000</v>
      </c>
      <c r="E195" s="166" t="s">
        <v>24</v>
      </c>
      <c r="F195" s="166" t="s">
        <v>24</v>
      </c>
      <c r="G195" s="290" t="s">
        <v>713</v>
      </c>
      <c r="H195" s="169" t="s">
        <v>714</v>
      </c>
      <c r="I195" s="169" t="s">
        <v>305</v>
      </c>
      <c r="J195" s="184" t="s">
        <v>683</v>
      </c>
      <c r="K195" s="243" t="s">
        <v>216</v>
      </c>
      <c r="L195" s="243" t="s">
        <v>216</v>
      </c>
      <c r="M195" s="166"/>
      <c r="N195" s="166"/>
      <c r="O195" s="175" t="s">
        <v>216</v>
      </c>
      <c r="P195" s="175" t="s">
        <v>216</v>
      </c>
      <c r="Q195" s="175" t="s">
        <v>686</v>
      </c>
      <c r="R195" s="166"/>
      <c r="S195" s="248" t="s">
        <v>684</v>
      </c>
      <c r="T195" s="166"/>
      <c r="U195" s="166"/>
      <c r="V195" s="166"/>
      <c r="W195" s="166"/>
      <c r="X195" s="166"/>
      <c r="Y195" s="166"/>
      <c r="Z195" s="166"/>
      <c r="AA195" s="160"/>
      <c r="AB195" s="160"/>
      <c r="AC195" s="160"/>
    </row>
    <row r="196" spans="1:32" s="164" customFormat="1" ht="30">
      <c r="A196" s="159" t="s">
        <v>31</v>
      </c>
      <c r="B196" s="160" t="s">
        <v>32</v>
      </c>
      <c r="C196" s="161">
        <v>43175</v>
      </c>
      <c r="D196" s="181">
        <v>3246000</v>
      </c>
      <c r="E196" s="166" t="s">
        <v>24</v>
      </c>
      <c r="F196" s="166" t="s">
        <v>25</v>
      </c>
      <c r="G196" s="293" t="s">
        <v>715</v>
      </c>
      <c r="H196" s="181" t="s">
        <v>716</v>
      </c>
      <c r="I196" s="181" t="s">
        <v>305</v>
      </c>
      <c r="J196" s="184" t="s">
        <v>683</v>
      </c>
      <c r="K196" s="243" t="s">
        <v>216</v>
      </c>
      <c r="L196" s="243" t="s">
        <v>216</v>
      </c>
      <c r="M196" s="166"/>
      <c r="N196" s="166"/>
      <c r="O196" s="175" t="s">
        <v>216</v>
      </c>
      <c r="P196" s="175" t="s">
        <v>216</v>
      </c>
      <c r="Q196" s="175" t="s">
        <v>686</v>
      </c>
      <c r="R196" s="166"/>
      <c r="S196" s="248" t="s">
        <v>684</v>
      </c>
      <c r="T196" s="166"/>
      <c r="U196" s="166"/>
      <c r="V196" s="166"/>
      <c r="W196" s="166"/>
      <c r="X196" s="166"/>
      <c r="Y196" s="166"/>
      <c r="Z196" s="166"/>
      <c r="AA196" s="160"/>
      <c r="AB196" s="160"/>
      <c r="AC196" s="160"/>
    </row>
    <row r="197" spans="1:32" s="164" customFormat="1" ht="30">
      <c r="A197" s="159" t="s">
        <v>242</v>
      </c>
      <c r="B197" s="160" t="s">
        <v>243</v>
      </c>
      <c r="C197" s="171">
        <v>43201</v>
      </c>
      <c r="D197" s="169">
        <v>4336013</v>
      </c>
      <c r="E197" s="168" t="s">
        <v>24</v>
      </c>
      <c r="F197" s="166" t="s">
        <v>24</v>
      </c>
      <c r="G197" s="290" t="s">
        <v>717</v>
      </c>
      <c r="H197" s="172" t="s">
        <v>718</v>
      </c>
      <c r="I197" s="172" t="s">
        <v>305</v>
      </c>
      <c r="J197" s="184" t="s">
        <v>683</v>
      </c>
      <c r="K197" s="175" t="s">
        <v>216</v>
      </c>
      <c r="L197" s="175" t="s">
        <v>216</v>
      </c>
      <c r="M197" s="175"/>
      <c r="N197" s="175"/>
      <c r="O197" s="175" t="s">
        <v>216</v>
      </c>
      <c r="P197" s="175" t="s">
        <v>216</v>
      </c>
      <c r="Q197" s="175" t="s">
        <v>216</v>
      </c>
      <c r="R197" s="166"/>
      <c r="S197" s="249" t="s">
        <v>684</v>
      </c>
      <c r="T197" s="166"/>
      <c r="U197" s="166"/>
      <c r="V197" s="166"/>
      <c r="W197" s="166"/>
      <c r="X197" s="166"/>
      <c r="Y197" s="166"/>
      <c r="Z197" s="166"/>
      <c r="AA197" s="160"/>
      <c r="AB197" s="160"/>
      <c r="AC197" s="160"/>
    </row>
    <row r="198" spans="1:32" s="164" customFormat="1" ht="30">
      <c r="A198" s="159" t="s">
        <v>242</v>
      </c>
      <c r="B198" s="160" t="s">
        <v>243</v>
      </c>
      <c r="C198" s="171">
        <v>43201</v>
      </c>
      <c r="D198" s="169">
        <v>4336014</v>
      </c>
      <c r="E198" s="168" t="s">
        <v>24</v>
      </c>
      <c r="F198" s="166" t="s">
        <v>24</v>
      </c>
      <c r="G198" s="290" t="s">
        <v>719</v>
      </c>
      <c r="H198" s="172" t="s">
        <v>720</v>
      </c>
      <c r="I198" s="172" t="s">
        <v>305</v>
      </c>
      <c r="J198" s="184" t="s">
        <v>683</v>
      </c>
      <c r="K198" s="175" t="s">
        <v>216</v>
      </c>
      <c r="L198" s="175" t="s">
        <v>216</v>
      </c>
      <c r="M198" s="175"/>
      <c r="N198" s="175"/>
      <c r="O198" s="175" t="s">
        <v>216</v>
      </c>
      <c r="P198" s="175" t="s">
        <v>216</v>
      </c>
      <c r="Q198" s="175" t="s">
        <v>216</v>
      </c>
      <c r="R198" s="166"/>
      <c r="S198" s="249" t="s">
        <v>684</v>
      </c>
      <c r="T198" s="166"/>
      <c r="U198" s="166"/>
      <c r="V198" s="166"/>
      <c r="W198" s="166"/>
      <c r="X198" s="166"/>
      <c r="Y198" s="166"/>
      <c r="Z198" s="166"/>
      <c r="AA198" s="160"/>
      <c r="AB198" s="160"/>
      <c r="AC198" s="160"/>
    </row>
    <row r="199" spans="1:32" s="164" customFormat="1" ht="30">
      <c r="A199" s="159" t="s">
        <v>140</v>
      </c>
      <c r="B199" s="169" t="s">
        <v>141</v>
      </c>
      <c r="C199" s="161">
        <v>43131</v>
      </c>
      <c r="D199" s="167">
        <v>2153000</v>
      </c>
      <c r="E199" s="168" t="s">
        <v>24</v>
      </c>
      <c r="F199" s="166" t="s">
        <v>24</v>
      </c>
      <c r="G199" s="290" t="s">
        <v>721</v>
      </c>
      <c r="H199" s="169" t="s">
        <v>722</v>
      </c>
      <c r="I199" s="169" t="s">
        <v>305</v>
      </c>
      <c r="J199" s="184" t="s">
        <v>683</v>
      </c>
      <c r="K199" s="240" t="s">
        <v>216</v>
      </c>
      <c r="L199" s="243" t="s">
        <v>216</v>
      </c>
      <c r="M199" s="175"/>
      <c r="N199" s="175"/>
      <c r="O199" s="175" t="s">
        <v>216</v>
      </c>
      <c r="P199" s="175" t="s">
        <v>216</v>
      </c>
      <c r="Q199" s="175" t="s">
        <v>216</v>
      </c>
      <c r="R199" s="166"/>
      <c r="S199" s="166" t="s">
        <v>684</v>
      </c>
      <c r="T199" s="166"/>
      <c r="U199" s="166"/>
      <c r="V199" s="166"/>
      <c r="W199" s="166"/>
      <c r="X199" s="166"/>
      <c r="Y199" s="166"/>
      <c r="Z199" s="166"/>
      <c r="AA199" s="160"/>
      <c r="AB199" s="160"/>
      <c r="AC199" s="160"/>
      <c r="AE199" s="164" t="s">
        <v>723</v>
      </c>
    </row>
    <row r="200" spans="1:32" s="164" customFormat="1" ht="30">
      <c r="A200" s="159" t="s">
        <v>227</v>
      </c>
      <c r="B200" s="160" t="s">
        <v>228</v>
      </c>
      <c r="C200" s="161">
        <v>43230</v>
      </c>
      <c r="D200" s="167">
        <v>4244000</v>
      </c>
      <c r="E200" s="166" t="s">
        <v>24</v>
      </c>
      <c r="F200" s="166" t="s">
        <v>24</v>
      </c>
      <c r="G200" s="290" t="s">
        <v>724</v>
      </c>
      <c r="H200" s="169" t="s">
        <v>725</v>
      </c>
      <c r="I200" s="169" t="s">
        <v>305</v>
      </c>
      <c r="J200" s="184" t="s">
        <v>683</v>
      </c>
      <c r="K200" s="243" t="s">
        <v>216</v>
      </c>
      <c r="L200" s="243" t="s">
        <v>216</v>
      </c>
      <c r="M200" s="166"/>
      <c r="N200" s="166"/>
      <c r="O200" s="175" t="s">
        <v>216</v>
      </c>
      <c r="P200" s="175" t="s">
        <v>216</v>
      </c>
      <c r="Q200" s="175" t="s">
        <v>686</v>
      </c>
      <c r="R200" s="166"/>
      <c r="S200" s="248" t="s">
        <v>684</v>
      </c>
      <c r="T200" s="166"/>
      <c r="U200" s="166"/>
      <c r="V200" s="166"/>
      <c r="W200" s="166"/>
      <c r="X200" s="166"/>
      <c r="Y200" s="166"/>
      <c r="Z200" s="166"/>
      <c r="AA200" s="160"/>
      <c r="AB200" s="160"/>
      <c r="AC200" s="160"/>
    </row>
    <row r="201" spans="1:32" s="164" customFormat="1" ht="30">
      <c r="A201" s="159" t="s">
        <v>242</v>
      </c>
      <c r="B201" s="160" t="s">
        <v>243</v>
      </c>
      <c r="C201" s="171">
        <v>43201</v>
      </c>
      <c r="D201" s="169">
        <v>4336015</v>
      </c>
      <c r="E201" s="168" t="s">
        <v>24</v>
      </c>
      <c r="F201" s="166" t="s">
        <v>24</v>
      </c>
      <c r="G201" s="290" t="s">
        <v>726</v>
      </c>
      <c r="H201" s="172" t="s">
        <v>727</v>
      </c>
      <c r="I201" s="172" t="s">
        <v>305</v>
      </c>
      <c r="J201" s="184" t="s">
        <v>683</v>
      </c>
      <c r="K201" s="175" t="s">
        <v>216</v>
      </c>
      <c r="L201" s="175" t="s">
        <v>216</v>
      </c>
      <c r="M201" s="175"/>
      <c r="N201" s="175"/>
      <c r="O201" s="175" t="s">
        <v>216</v>
      </c>
      <c r="P201" s="175" t="s">
        <v>216</v>
      </c>
      <c r="Q201" s="175" t="s">
        <v>216</v>
      </c>
      <c r="R201" s="166"/>
      <c r="S201" s="249" t="s">
        <v>684</v>
      </c>
      <c r="T201" s="166"/>
      <c r="U201" s="166"/>
      <c r="V201" s="166"/>
      <c r="W201" s="166"/>
      <c r="X201" s="166"/>
      <c r="Y201" s="166"/>
      <c r="Z201" s="166"/>
      <c r="AA201" s="160"/>
      <c r="AB201" s="160"/>
      <c r="AC201" s="160"/>
      <c r="AF201" s="405"/>
    </row>
    <row r="202" spans="1:32" s="164" customFormat="1" ht="30">
      <c r="A202" s="159" t="s">
        <v>227</v>
      </c>
      <c r="B202" s="160" t="s">
        <v>228</v>
      </c>
      <c r="C202" s="161">
        <v>43230</v>
      </c>
      <c r="D202" s="167">
        <v>4244000</v>
      </c>
      <c r="E202" s="166" t="s">
        <v>24</v>
      </c>
      <c r="F202" s="166" t="s">
        <v>24</v>
      </c>
      <c r="G202" s="290" t="s">
        <v>728</v>
      </c>
      <c r="H202" s="169" t="s">
        <v>729</v>
      </c>
      <c r="I202" s="169" t="s">
        <v>305</v>
      </c>
      <c r="J202" s="184" t="s">
        <v>683</v>
      </c>
      <c r="K202" s="243" t="s">
        <v>216</v>
      </c>
      <c r="L202" s="243" t="s">
        <v>216</v>
      </c>
      <c r="M202" s="166"/>
      <c r="N202" s="166"/>
      <c r="O202" s="175" t="s">
        <v>216</v>
      </c>
      <c r="P202" s="175" t="s">
        <v>216</v>
      </c>
      <c r="Q202" s="175" t="s">
        <v>686</v>
      </c>
      <c r="R202" s="166"/>
      <c r="S202" s="248" t="s">
        <v>684</v>
      </c>
      <c r="T202" s="166"/>
      <c r="U202" s="166"/>
      <c r="V202" s="166"/>
      <c r="W202" s="166"/>
      <c r="X202" s="166"/>
      <c r="Y202" s="166"/>
      <c r="Z202" s="166"/>
      <c r="AA202" s="160"/>
      <c r="AB202" s="160"/>
      <c r="AC202" s="160"/>
    </row>
    <row r="203" spans="1:32" s="164" customFormat="1" ht="30">
      <c r="A203" s="159" t="s">
        <v>234</v>
      </c>
      <c r="B203" s="160" t="s">
        <v>235</v>
      </c>
      <c r="C203" s="161">
        <v>43174</v>
      </c>
      <c r="D203" s="170">
        <v>2187000</v>
      </c>
      <c r="E203" s="166" t="s">
        <v>24</v>
      </c>
      <c r="F203" s="166" t="s">
        <v>24</v>
      </c>
      <c r="G203" s="292" t="s">
        <v>730</v>
      </c>
      <c r="H203" s="169" t="s">
        <v>731</v>
      </c>
      <c r="I203" s="169" t="s">
        <v>305</v>
      </c>
      <c r="J203" s="184" t="s">
        <v>683</v>
      </c>
      <c r="K203" s="175" t="s">
        <v>732</v>
      </c>
      <c r="L203" s="243" t="s">
        <v>216</v>
      </c>
      <c r="M203" s="175"/>
      <c r="N203" s="175"/>
      <c r="O203" s="175" t="s">
        <v>216</v>
      </c>
      <c r="P203" s="175" t="s">
        <v>216</v>
      </c>
      <c r="Q203" s="175" t="s">
        <v>216</v>
      </c>
      <c r="R203" s="166"/>
      <c r="S203" s="248" t="s">
        <v>684</v>
      </c>
      <c r="T203" s="166"/>
      <c r="U203" s="166"/>
      <c r="V203" s="166"/>
      <c r="W203" s="166"/>
      <c r="X203" s="166"/>
      <c r="Y203" s="166"/>
      <c r="Z203" s="166"/>
      <c r="AA203" s="160"/>
      <c r="AB203" s="160"/>
      <c r="AC203" s="160"/>
    </row>
    <row r="204" spans="1:32" s="164" customFormat="1" ht="30">
      <c r="A204" s="159" t="s">
        <v>242</v>
      </c>
      <c r="B204" s="160" t="s">
        <v>243</v>
      </c>
      <c r="C204" s="171">
        <v>43201</v>
      </c>
      <c r="D204" s="169">
        <v>4336020</v>
      </c>
      <c r="E204" s="168" t="s">
        <v>24</v>
      </c>
      <c r="F204" s="166" t="s">
        <v>24</v>
      </c>
      <c r="G204" s="290" t="s">
        <v>733</v>
      </c>
      <c r="H204" s="172" t="s">
        <v>734</v>
      </c>
      <c r="I204" s="172" t="s">
        <v>305</v>
      </c>
      <c r="J204" s="184" t="s">
        <v>683</v>
      </c>
      <c r="K204" s="175" t="s">
        <v>216</v>
      </c>
      <c r="L204" s="175" t="s">
        <v>216</v>
      </c>
      <c r="M204" s="175"/>
      <c r="N204" s="175"/>
      <c r="O204" s="175" t="s">
        <v>216</v>
      </c>
      <c r="P204" s="175" t="s">
        <v>216</v>
      </c>
      <c r="Q204" s="175" t="s">
        <v>216</v>
      </c>
      <c r="R204" s="166"/>
      <c r="S204" s="249" t="s">
        <v>684</v>
      </c>
      <c r="T204" s="166"/>
      <c r="U204" s="166"/>
      <c r="V204" s="166"/>
      <c r="W204" s="166"/>
      <c r="X204" s="166"/>
      <c r="Y204" s="166"/>
      <c r="Z204" s="166"/>
      <c r="AA204" s="160"/>
      <c r="AB204" s="160"/>
      <c r="AC204" s="160"/>
    </row>
    <row r="205" spans="1:32" s="164" customFormat="1" ht="30">
      <c r="A205" s="159" t="s">
        <v>227</v>
      </c>
      <c r="B205" s="160" t="s">
        <v>228</v>
      </c>
      <c r="C205" s="161">
        <v>43230</v>
      </c>
      <c r="D205" s="167">
        <v>4244000</v>
      </c>
      <c r="E205" s="166" t="s">
        <v>24</v>
      </c>
      <c r="F205" s="166" t="s">
        <v>24</v>
      </c>
      <c r="G205" s="290" t="s">
        <v>735</v>
      </c>
      <c r="H205" s="169" t="s">
        <v>736</v>
      </c>
      <c r="I205" s="169" t="s">
        <v>305</v>
      </c>
      <c r="J205" s="184" t="s">
        <v>683</v>
      </c>
      <c r="K205" s="243" t="s">
        <v>216</v>
      </c>
      <c r="L205" s="243" t="s">
        <v>216</v>
      </c>
      <c r="M205" s="166"/>
      <c r="N205" s="166"/>
      <c r="O205" s="175" t="s">
        <v>216</v>
      </c>
      <c r="P205" s="175" t="s">
        <v>216</v>
      </c>
      <c r="Q205" s="175" t="s">
        <v>686</v>
      </c>
      <c r="R205" s="166"/>
      <c r="S205" s="248" t="s">
        <v>684</v>
      </c>
      <c r="T205" s="166"/>
      <c r="U205" s="166"/>
      <c r="V205" s="166"/>
      <c r="W205" s="166"/>
      <c r="X205" s="166"/>
      <c r="Y205" s="166"/>
      <c r="Z205" s="166"/>
      <c r="AA205" s="160"/>
      <c r="AB205" s="160"/>
      <c r="AC205" s="160"/>
    </row>
    <row r="206" spans="1:32" s="164" customFormat="1" ht="30">
      <c r="A206" s="159" t="s">
        <v>227</v>
      </c>
      <c r="B206" s="160" t="s">
        <v>228</v>
      </c>
      <c r="C206" s="161">
        <v>43230</v>
      </c>
      <c r="D206" s="167">
        <v>4244000</v>
      </c>
      <c r="E206" s="166" t="s">
        <v>24</v>
      </c>
      <c r="F206" s="166" t="s">
        <v>24</v>
      </c>
      <c r="G206" s="290" t="s">
        <v>737</v>
      </c>
      <c r="H206" s="169" t="s">
        <v>738</v>
      </c>
      <c r="I206" s="169" t="s">
        <v>305</v>
      </c>
      <c r="J206" s="184" t="s">
        <v>683</v>
      </c>
      <c r="K206" s="243" t="s">
        <v>216</v>
      </c>
      <c r="L206" s="243" t="s">
        <v>216</v>
      </c>
      <c r="M206" s="166"/>
      <c r="N206" s="166"/>
      <c r="O206" s="175" t="s">
        <v>216</v>
      </c>
      <c r="P206" s="175" t="s">
        <v>216</v>
      </c>
      <c r="Q206" s="175" t="s">
        <v>686</v>
      </c>
      <c r="R206" s="166"/>
      <c r="S206" s="248" t="s">
        <v>684</v>
      </c>
      <c r="T206" s="166"/>
      <c r="U206" s="166"/>
      <c r="V206" s="166"/>
      <c r="W206" s="166"/>
      <c r="X206" s="166"/>
      <c r="Y206" s="166"/>
      <c r="Z206" s="166"/>
      <c r="AA206" s="160"/>
      <c r="AB206" s="160"/>
      <c r="AC206" s="160"/>
    </row>
    <row r="207" spans="1:32" s="164" customFormat="1" ht="30">
      <c r="A207" s="159" t="s">
        <v>230</v>
      </c>
      <c r="B207" s="160" t="s">
        <v>231</v>
      </c>
      <c r="C207" s="161">
        <v>43185</v>
      </c>
      <c r="D207" s="162">
        <v>4050000</v>
      </c>
      <c r="E207" s="163" t="s">
        <v>24</v>
      </c>
      <c r="F207" s="166" t="s">
        <v>24</v>
      </c>
      <c r="G207" s="291" t="s">
        <v>739</v>
      </c>
      <c r="H207" s="164" t="s">
        <v>740</v>
      </c>
      <c r="I207" s="165" t="s">
        <v>341</v>
      </c>
      <c r="J207" s="184" t="s">
        <v>683</v>
      </c>
      <c r="K207" s="175" t="s">
        <v>216</v>
      </c>
      <c r="L207" s="175" t="s">
        <v>216</v>
      </c>
      <c r="M207" s="175"/>
      <c r="N207" s="175"/>
      <c r="O207" s="175" t="s">
        <v>216</v>
      </c>
      <c r="P207" s="175" t="s">
        <v>216</v>
      </c>
      <c r="Q207" s="175" t="s">
        <v>216</v>
      </c>
      <c r="R207" s="166"/>
      <c r="S207" s="248" t="s">
        <v>684</v>
      </c>
      <c r="T207" s="166"/>
      <c r="U207" s="166"/>
      <c r="V207" s="166"/>
      <c r="W207" s="166"/>
      <c r="X207" s="166"/>
      <c r="Y207" s="166"/>
      <c r="Z207" s="166"/>
      <c r="AA207" s="160"/>
      <c r="AB207" s="160"/>
      <c r="AC207" s="160"/>
    </row>
    <row r="208" spans="1:32" s="164" customFormat="1" ht="30">
      <c r="A208" s="159" t="s">
        <v>242</v>
      </c>
      <c r="B208" s="160" t="s">
        <v>243</v>
      </c>
      <c r="C208" s="171">
        <v>43201</v>
      </c>
      <c r="D208" s="169">
        <v>4336016</v>
      </c>
      <c r="E208" s="168" t="s">
        <v>24</v>
      </c>
      <c r="F208" s="166" t="s">
        <v>24</v>
      </c>
      <c r="G208" s="290" t="s">
        <v>741</v>
      </c>
      <c r="H208" s="172" t="s">
        <v>742</v>
      </c>
      <c r="I208" s="172" t="s">
        <v>305</v>
      </c>
      <c r="J208" s="184" t="s">
        <v>683</v>
      </c>
      <c r="K208" s="175" t="s">
        <v>216</v>
      </c>
      <c r="L208" s="175" t="s">
        <v>216</v>
      </c>
      <c r="M208" s="175"/>
      <c r="N208" s="175"/>
      <c r="O208" s="175" t="s">
        <v>216</v>
      </c>
      <c r="P208" s="175" t="s">
        <v>216</v>
      </c>
      <c r="Q208" s="175" t="s">
        <v>216</v>
      </c>
      <c r="R208" s="166"/>
      <c r="S208" s="249" t="s">
        <v>684</v>
      </c>
      <c r="T208" s="166"/>
      <c r="U208" s="166"/>
      <c r="V208" s="166"/>
      <c r="W208" s="166"/>
      <c r="X208" s="166"/>
      <c r="Y208" s="166"/>
      <c r="Z208" s="166"/>
      <c r="AA208" s="160"/>
      <c r="AB208" s="160"/>
      <c r="AC208" s="160"/>
    </row>
    <row r="209" spans="1:32" s="164" customFormat="1" ht="28.5" customHeight="1">
      <c r="A209" s="159" t="s">
        <v>242</v>
      </c>
      <c r="B209" s="160" t="s">
        <v>243</v>
      </c>
      <c r="C209" s="171">
        <v>43201</v>
      </c>
      <c r="D209" s="169">
        <v>4336021</v>
      </c>
      <c r="E209" s="168" t="s">
        <v>24</v>
      </c>
      <c r="F209" s="166" t="s">
        <v>24</v>
      </c>
      <c r="G209" s="290" t="s">
        <v>743</v>
      </c>
      <c r="H209" s="172" t="s">
        <v>744</v>
      </c>
      <c r="I209" s="172" t="s">
        <v>305</v>
      </c>
      <c r="J209" s="184" t="s">
        <v>683</v>
      </c>
      <c r="K209" s="175" t="s">
        <v>216</v>
      </c>
      <c r="L209" s="175" t="s">
        <v>216</v>
      </c>
      <c r="M209" s="175"/>
      <c r="N209" s="175"/>
      <c r="O209" s="175" t="s">
        <v>216</v>
      </c>
      <c r="P209" s="175" t="s">
        <v>216</v>
      </c>
      <c r="Q209" s="175" t="s">
        <v>216</v>
      </c>
      <c r="R209" s="166"/>
      <c r="S209" s="249" t="s">
        <v>684</v>
      </c>
      <c r="T209" s="166"/>
      <c r="U209" s="166"/>
      <c r="V209" s="166"/>
      <c r="W209" s="166"/>
      <c r="X209" s="166"/>
      <c r="Y209" s="166"/>
      <c r="Z209" s="166"/>
      <c r="AA209" s="160"/>
      <c r="AB209" s="160"/>
      <c r="AC209" s="160"/>
    </row>
    <row r="210" spans="1:32" s="164" customFormat="1" ht="30">
      <c r="A210" s="159" t="s">
        <v>238</v>
      </c>
      <c r="B210" s="160" t="s">
        <v>239</v>
      </c>
      <c r="C210" s="161">
        <v>43174</v>
      </c>
      <c r="D210" s="167">
        <v>3308000</v>
      </c>
      <c r="E210" s="168" t="s">
        <v>24</v>
      </c>
      <c r="F210" s="166" t="s">
        <v>25</v>
      </c>
      <c r="G210" s="291" t="s">
        <v>745</v>
      </c>
      <c r="H210" s="164" t="s">
        <v>746</v>
      </c>
      <c r="I210" s="169" t="s">
        <v>341</v>
      </c>
      <c r="J210" s="184" t="s">
        <v>683</v>
      </c>
      <c r="K210" s="175" t="s">
        <v>732</v>
      </c>
      <c r="L210" s="243" t="s">
        <v>216</v>
      </c>
      <c r="M210" s="166"/>
      <c r="N210" s="166"/>
      <c r="O210" s="175" t="s">
        <v>216</v>
      </c>
      <c r="P210" s="175" t="s">
        <v>216</v>
      </c>
      <c r="Q210" s="175" t="s">
        <v>216</v>
      </c>
      <c r="R210" s="166"/>
      <c r="S210" s="249" t="s">
        <v>684</v>
      </c>
      <c r="T210" s="166"/>
      <c r="U210" s="166"/>
      <c r="V210" s="166"/>
      <c r="W210" s="166"/>
      <c r="X210" s="166"/>
      <c r="Y210" s="166"/>
      <c r="Z210" s="166"/>
      <c r="AA210" s="160"/>
      <c r="AB210" s="160"/>
      <c r="AC210" s="160"/>
    </row>
    <row r="211" spans="1:32" s="164" customFormat="1" ht="30">
      <c r="A211" s="159" t="s">
        <v>242</v>
      </c>
      <c r="B211" s="160" t="s">
        <v>243</v>
      </c>
      <c r="C211" s="171">
        <v>43201</v>
      </c>
      <c r="D211" s="169">
        <v>4336019</v>
      </c>
      <c r="E211" s="168" t="s">
        <v>24</v>
      </c>
      <c r="F211" s="166" t="s">
        <v>24</v>
      </c>
      <c r="G211" s="290" t="s">
        <v>747</v>
      </c>
      <c r="H211" s="172" t="s">
        <v>748</v>
      </c>
      <c r="I211" s="172" t="s">
        <v>305</v>
      </c>
      <c r="J211" s="184" t="s">
        <v>683</v>
      </c>
      <c r="K211" s="175" t="s">
        <v>216</v>
      </c>
      <c r="L211" s="175" t="s">
        <v>216</v>
      </c>
      <c r="M211" s="175"/>
      <c r="N211" s="175"/>
      <c r="O211" s="175" t="s">
        <v>216</v>
      </c>
      <c r="P211" s="175" t="s">
        <v>216</v>
      </c>
      <c r="Q211" s="175" t="s">
        <v>216</v>
      </c>
      <c r="R211" s="166"/>
      <c r="S211" s="249" t="s">
        <v>684</v>
      </c>
      <c r="T211" s="166"/>
      <c r="U211" s="166"/>
      <c r="V211" s="166"/>
      <c r="W211" s="166"/>
      <c r="X211" s="166"/>
      <c r="Y211" s="166"/>
      <c r="Z211" s="166"/>
      <c r="AA211" s="160"/>
      <c r="AB211" s="160"/>
      <c r="AC211" s="160"/>
    </row>
    <row r="212" spans="1:32" s="164" customFormat="1" ht="30">
      <c r="A212" s="159" t="s">
        <v>242</v>
      </c>
      <c r="B212" s="160" t="s">
        <v>243</v>
      </c>
      <c r="C212" s="171">
        <v>43201</v>
      </c>
      <c r="D212" s="169">
        <v>4336017</v>
      </c>
      <c r="E212" s="168" t="s">
        <v>24</v>
      </c>
      <c r="F212" s="166" t="s">
        <v>24</v>
      </c>
      <c r="G212" s="290" t="s">
        <v>749</v>
      </c>
      <c r="H212" s="172" t="s">
        <v>750</v>
      </c>
      <c r="I212" s="172" t="s">
        <v>305</v>
      </c>
      <c r="J212" s="184" t="s">
        <v>683</v>
      </c>
      <c r="K212" s="175" t="s">
        <v>216</v>
      </c>
      <c r="L212" s="175" t="s">
        <v>216</v>
      </c>
      <c r="M212" s="175"/>
      <c r="N212" s="175"/>
      <c r="O212" s="175" t="s">
        <v>216</v>
      </c>
      <c r="P212" s="175" t="s">
        <v>216</v>
      </c>
      <c r="Q212" s="175" t="s">
        <v>216</v>
      </c>
      <c r="R212" s="166"/>
      <c r="S212" s="249" t="s">
        <v>684</v>
      </c>
      <c r="T212" s="166"/>
      <c r="U212" s="166"/>
      <c r="V212" s="166"/>
      <c r="W212" s="166"/>
      <c r="X212" s="166"/>
      <c r="Y212" s="166"/>
      <c r="Z212" s="166"/>
      <c r="AA212" s="160"/>
      <c r="AB212" s="160"/>
      <c r="AC212" s="160"/>
    </row>
    <row r="213" spans="1:32" s="164" customFormat="1" ht="30">
      <c r="A213" s="159" t="s">
        <v>242</v>
      </c>
      <c r="B213" s="160" t="s">
        <v>243</v>
      </c>
      <c r="C213" s="171">
        <v>43201</v>
      </c>
      <c r="D213" s="169">
        <v>4336018</v>
      </c>
      <c r="E213" s="168" t="s">
        <v>24</v>
      </c>
      <c r="F213" s="166" t="s">
        <v>24</v>
      </c>
      <c r="G213" s="290" t="s">
        <v>751</v>
      </c>
      <c r="H213" s="172" t="s">
        <v>752</v>
      </c>
      <c r="I213" s="172" t="s">
        <v>305</v>
      </c>
      <c r="J213" s="184" t="s">
        <v>683</v>
      </c>
      <c r="K213" s="175" t="s">
        <v>216</v>
      </c>
      <c r="L213" s="175" t="s">
        <v>216</v>
      </c>
      <c r="M213" s="175"/>
      <c r="N213" s="175"/>
      <c r="O213" s="175" t="s">
        <v>216</v>
      </c>
      <c r="P213" s="175" t="s">
        <v>216</v>
      </c>
      <c r="Q213" s="175" t="s">
        <v>216</v>
      </c>
      <c r="R213" s="166"/>
      <c r="S213" s="249" t="s">
        <v>684</v>
      </c>
      <c r="T213" s="166"/>
      <c r="U213" s="166"/>
      <c r="V213" s="166"/>
      <c r="W213" s="166"/>
      <c r="X213" s="166"/>
      <c r="Y213" s="166"/>
      <c r="Z213" s="166"/>
      <c r="AA213" s="160"/>
      <c r="AB213" s="160"/>
      <c r="AC213" s="160"/>
    </row>
    <row r="214" spans="1:32" s="164" customFormat="1">
      <c r="A214" s="205" t="s">
        <v>250</v>
      </c>
      <c r="B214" s="206" t="s">
        <v>251</v>
      </c>
      <c r="C214" s="203">
        <v>43174</v>
      </c>
      <c r="D214" s="401">
        <v>3248000</v>
      </c>
      <c r="E214" s="210" t="s">
        <v>24</v>
      </c>
      <c r="F214" s="210" t="s">
        <v>25</v>
      </c>
      <c r="G214" s="402" t="s">
        <v>753</v>
      </c>
      <c r="H214" s="401" t="s">
        <v>754</v>
      </c>
      <c r="I214" s="401" t="s">
        <v>305</v>
      </c>
      <c r="J214" s="386" t="s">
        <v>755</v>
      </c>
      <c r="K214" s="396" t="s">
        <v>756</v>
      </c>
      <c r="L214" s="403"/>
      <c r="M214" s="210"/>
      <c r="N214" s="210"/>
      <c r="O214" s="396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  <c r="AA214" s="206"/>
      <c r="AB214" s="206"/>
      <c r="AC214" s="206"/>
      <c r="AD214" s="388"/>
      <c r="AE214" s="388"/>
    </row>
    <row r="215" spans="1:32" s="164" customFormat="1">
      <c r="A215" s="294" t="s">
        <v>254</v>
      </c>
      <c r="B215" s="295" t="s">
        <v>255</v>
      </c>
      <c r="C215" s="296">
        <v>43243</v>
      </c>
      <c r="D215" s="162">
        <v>3007000</v>
      </c>
      <c r="E215" s="166" t="s">
        <v>24</v>
      </c>
      <c r="F215" s="166" t="s">
        <v>24</v>
      </c>
      <c r="G215" s="303" t="s">
        <v>757</v>
      </c>
      <c r="H215" s="165" t="s">
        <v>758</v>
      </c>
      <c r="I215" s="165" t="s">
        <v>305</v>
      </c>
      <c r="J215" s="184" t="s">
        <v>683</v>
      </c>
      <c r="K215" s="175"/>
      <c r="L215" s="304"/>
      <c r="M215" s="166"/>
      <c r="N215" s="166"/>
      <c r="O215" s="175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0"/>
      <c r="AB215" s="160"/>
      <c r="AC215" s="160"/>
    </row>
    <row r="216" spans="1:32" s="164" customFormat="1">
      <c r="A216" s="294" t="s">
        <v>254</v>
      </c>
      <c r="B216" s="295" t="s">
        <v>255</v>
      </c>
      <c r="C216" s="296">
        <v>43243</v>
      </c>
      <c r="D216" s="162">
        <v>3007000</v>
      </c>
      <c r="E216" s="166" t="s">
        <v>24</v>
      </c>
      <c r="F216" s="166" t="s">
        <v>24</v>
      </c>
      <c r="G216" s="303" t="s">
        <v>759</v>
      </c>
      <c r="H216" s="165" t="s">
        <v>760</v>
      </c>
      <c r="I216" s="165" t="s">
        <v>305</v>
      </c>
      <c r="J216" s="184" t="s">
        <v>683</v>
      </c>
      <c r="K216" s="175"/>
      <c r="L216" s="304"/>
      <c r="M216" s="166"/>
      <c r="N216" s="166"/>
      <c r="O216" s="175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0"/>
      <c r="AB216" s="160"/>
      <c r="AC216" s="160"/>
    </row>
    <row r="217" spans="1:32" s="164" customFormat="1">
      <c r="A217" s="294" t="s">
        <v>254</v>
      </c>
      <c r="B217" s="295" t="s">
        <v>255</v>
      </c>
      <c r="C217" s="296">
        <v>43243</v>
      </c>
      <c r="D217" s="162">
        <v>3007000</v>
      </c>
      <c r="E217" s="166" t="s">
        <v>24</v>
      </c>
      <c r="F217" s="166" t="s">
        <v>24</v>
      </c>
      <c r="G217" s="303" t="s">
        <v>761</v>
      </c>
      <c r="H217" s="165" t="s">
        <v>762</v>
      </c>
      <c r="I217" s="165" t="s">
        <v>305</v>
      </c>
      <c r="J217" s="184" t="s">
        <v>683</v>
      </c>
      <c r="K217" s="175"/>
      <c r="L217" s="304"/>
      <c r="M217" s="166"/>
      <c r="N217" s="166"/>
      <c r="O217" s="175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0"/>
      <c r="AB217" s="160"/>
      <c r="AC217" s="160"/>
    </row>
    <row r="218" spans="1:32" s="164" customFormat="1">
      <c r="A218" s="294" t="s">
        <v>254</v>
      </c>
      <c r="B218" s="295" t="s">
        <v>255</v>
      </c>
      <c r="C218" s="296">
        <v>43243</v>
      </c>
      <c r="D218" s="162">
        <v>3007000</v>
      </c>
      <c r="E218" s="166" t="s">
        <v>24</v>
      </c>
      <c r="F218" s="166" t="s">
        <v>24</v>
      </c>
      <c r="G218" s="303" t="s">
        <v>763</v>
      </c>
      <c r="H218" s="165" t="s">
        <v>764</v>
      </c>
      <c r="I218" s="165" t="s">
        <v>305</v>
      </c>
      <c r="J218" s="184" t="s">
        <v>683</v>
      </c>
      <c r="K218" s="175"/>
      <c r="L218" s="304"/>
      <c r="M218" s="166"/>
      <c r="N218" s="166"/>
      <c r="O218" s="175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0"/>
      <c r="AB218" s="160"/>
      <c r="AC218" s="160"/>
    </row>
    <row r="219" spans="1:32" s="164" customFormat="1">
      <c r="A219" s="159" t="s">
        <v>246</v>
      </c>
      <c r="B219" s="160" t="s">
        <v>247</v>
      </c>
      <c r="C219" s="161">
        <v>43368</v>
      </c>
      <c r="D219" s="181">
        <v>2294000</v>
      </c>
      <c r="E219" s="166" t="s">
        <v>24</v>
      </c>
      <c r="F219" s="166" t="s">
        <v>24</v>
      </c>
      <c r="G219" s="290" t="s">
        <v>765</v>
      </c>
      <c r="H219" s="165" t="s">
        <v>766</v>
      </c>
      <c r="I219" s="165" t="s">
        <v>305</v>
      </c>
      <c r="J219" s="184" t="s">
        <v>683</v>
      </c>
      <c r="K219" s="175"/>
      <c r="L219" s="182"/>
      <c r="M219" s="166"/>
      <c r="N219" s="166"/>
      <c r="O219" s="175"/>
      <c r="P219" s="166"/>
      <c r="Q219" s="166"/>
      <c r="R219" s="181"/>
      <c r="S219" s="166"/>
      <c r="T219" s="166"/>
      <c r="U219" s="166"/>
      <c r="V219" s="166"/>
      <c r="W219" s="166"/>
      <c r="X219" s="166"/>
      <c r="Y219" s="166"/>
      <c r="Z219" s="166"/>
      <c r="AA219" s="160"/>
      <c r="AB219" s="160"/>
      <c r="AC219" s="160"/>
    </row>
    <row r="220" spans="1:32" s="164" customFormat="1" ht="26.25">
      <c r="A220" s="216" t="s">
        <v>221</v>
      </c>
      <c r="B220" s="389" t="s">
        <v>222</v>
      </c>
      <c r="C220" s="397">
        <v>43220</v>
      </c>
      <c r="D220" s="398">
        <v>1159000</v>
      </c>
      <c r="E220" s="210" t="s">
        <v>24</v>
      </c>
      <c r="F220" s="210" t="s">
        <v>24</v>
      </c>
      <c r="G220" s="399" t="s">
        <v>767</v>
      </c>
      <c r="H220" s="400" t="s">
        <v>768</v>
      </c>
      <c r="I220" s="400" t="s">
        <v>305</v>
      </c>
      <c r="J220" s="386" t="s">
        <v>755</v>
      </c>
      <c r="K220" s="387" t="s">
        <v>756</v>
      </c>
      <c r="L220" s="395"/>
      <c r="M220" s="210"/>
      <c r="N220" s="210"/>
      <c r="O220" s="396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  <c r="AA220" s="206"/>
      <c r="AB220" s="206"/>
      <c r="AC220" s="206"/>
      <c r="AD220" s="388"/>
      <c r="AE220" s="388"/>
    </row>
    <row r="221" spans="1:32" s="164" customFormat="1" ht="26.25">
      <c r="A221" s="216" t="s">
        <v>221</v>
      </c>
      <c r="B221" s="389" t="s">
        <v>222</v>
      </c>
      <c r="C221" s="397">
        <v>43220</v>
      </c>
      <c r="D221" s="398">
        <v>1159000</v>
      </c>
      <c r="E221" s="210" t="s">
        <v>24</v>
      </c>
      <c r="F221" s="210" t="s">
        <v>24</v>
      </c>
      <c r="G221" s="399" t="s">
        <v>769</v>
      </c>
      <c r="H221" s="400" t="s">
        <v>770</v>
      </c>
      <c r="I221" s="400" t="s">
        <v>305</v>
      </c>
      <c r="J221" s="386" t="s">
        <v>755</v>
      </c>
      <c r="K221" s="387" t="s">
        <v>756</v>
      </c>
      <c r="L221" s="395"/>
      <c r="M221" s="210"/>
      <c r="N221" s="210"/>
      <c r="O221" s="396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  <c r="AA221" s="206"/>
      <c r="AB221" s="206"/>
      <c r="AC221" s="206"/>
      <c r="AD221" s="388"/>
      <c r="AE221" s="388"/>
    </row>
    <row r="222" spans="1:32" s="164" customFormat="1">
      <c r="A222" s="294" t="s">
        <v>254</v>
      </c>
      <c r="B222" s="295" t="s">
        <v>255</v>
      </c>
      <c r="C222" s="296">
        <v>43243</v>
      </c>
      <c r="D222" s="162">
        <v>3007000</v>
      </c>
      <c r="E222" s="166" t="s">
        <v>24</v>
      </c>
      <c r="F222" s="166" t="s">
        <v>24</v>
      </c>
      <c r="G222" s="303" t="s">
        <v>771</v>
      </c>
      <c r="H222" s="165" t="s">
        <v>772</v>
      </c>
      <c r="I222" s="165" t="s">
        <v>305</v>
      </c>
      <c r="J222" s="184" t="s">
        <v>683</v>
      </c>
      <c r="K222" s="175"/>
      <c r="L222" s="182"/>
      <c r="M222" s="166"/>
      <c r="N222" s="166"/>
      <c r="O222" s="175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  <c r="AA222" s="160"/>
      <c r="AB222" s="160"/>
      <c r="AC222" s="160"/>
    </row>
    <row r="223" spans="1:32" s="164" customFormat="1">
      <c r="A223" s="294" t="s">
        <v>265</v>
      </c>
      <c r="B223" s="295" t="s">
        <v>266</v>
      </c>
      <c r="C223" s="296">
        <v>43388</v>
      </c>
      <c r="D223" s="299">
        <v>3333000</v>
      </c>
      <c r="E223" s="166" t="s">
        <v>24</v>
      </c>
      <c r="F223" s="249" t="s">
        <v>25</v>
      </c>
      <c r="G223" s="306" t="s">
        <v>773</v>
      </c>
      <c r="H223" s="299" t="s">
        <v>774</v>
      </c>
      <c r="I223" s="299" t="s">
        <v>305</v>
      </c>
      <c r="J223" s="184" t="s">
        <v>683</v>
      </c>
      <c r="K223" s="175"/>
      <c r="L223" s="182"/>
      <c r="M223" s="166"/>
      <c r="N223" s="166"/>
      <c r="O223" s="175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  <c r="AA223" s="160"/>
      <c r="AB223" s="160"/>
      <c r="AC223" s="160"/>
      <c r="AF223" s="181"/>
    </row>
    <row r="224" spans="1:32" s="164" customFormat="1">
      <c r="A224" s="294" t="s">
        <v>265</v>
      </c>
      <c r="B224" s="295" t="s">
        <v>266</v>
      </c>
      <c r="C224" s="296">
        <v>43388</v>
      </c>
      <c r="D224" s="299">
        <v>3333000</v>
      </c>
      <c r="E224" s="166" t="s">
        <v>24</v>
      </c>
      <c r="F224" s="249" t="s">
        <v>25</v>
      </c>
      <c r="G224" s="307" t="s">
        <v>775</v>
      </c>
      <c r="H224" s="299" t="s">
        <v>776</v>
      </c>
      <c r="I224" s="299" t="s">
        <v>305</v>
      </c>
      <c r="J224" s="184" t="s">
        <v>683</v>
      </c>
      <c r="K224" s="175"/>
      <c r="L224" s="182"/>
      <c r="M224" s="166"/>
      <c r="N224" s="166"/>
      <c r="O224" s="175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  <c r="AA224" s="160"/>
      <c r="AB224" s="160"/>
      <c r="AC224" s="160"/>
      <c r="AF224" s="181"/>
    </row>
    <row r="225" spans="1:31" s="164" customFormat="1">
      <c r="A225" s="205" t="s">
        <v>250</v>
      </c>
      <c r="B225" s="206" t="s">
        <v>251</v>
      </c>
      <c r="C225" s="381">
        <v>43181</v>
      </c>
      <c r="D225" s="401">
        <v>3248000</v>
      </c>
      <c r="E225" s="210" t="s">
        <v>24</v>
      </c>
      <c r="F225" s="210" t="s">
        <v>25</v>
      </c>
      <c r="G225" s="402" t="s">
        <v>777</v>
      </c>
      <c r="H225" s="401" t="s">
        <v>778</v>
      </c>
      <c r="I225" s="401" t="s">
        <v>305</v>
      </c>
      <c r="J225" s="386" t="s">
        <v>755</v>
      </c>
      <c r="K225" s="396" t="s">
        <v>756</v>
      </c>
      <c r="L225" s="395"/>
      <c r="M225" s="210"/>
      <c r="N225" s="210"/>
      <c r="O225" s="396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  <c r="AA225" s="206"/>
      <c r="AB225" s="206"/>
      <c r="AC225" s="206"/>
      <c r="AD225" s="388"/>
      <c r="AE225" s="388"/>
    </row>
    <row r="226" spans="1:31" s="164" customFormat="1">
      <c r="A226" s="205" t="s">
        <v>250</v>
      </c>
      <c r="B226" s="206" t="s">
        <v>251</v>
      </c>
      <c r="C226" s="381">
        <v>43181</v>
      </c>
      <c r="D226" s="401">
        <v>3248000</v>
      </c>
      <c r="E226" s="210" t="s">
        <v>24</v>
      </c>
      <c r="F226" s="210" t="s">
        <v>25</v>
      </c>
      <c r="G226" s="402" t="s">
        <v>779</v>
      </c>
      <c r="H226" s="401" t="s">
        <v>780</v>
      </c>
      <c r="I226" s="401" t="s">
        <v>305</v>
      </c>
      <c r="J226" s="386" t="s">
        <v>755</v>
      </c>
      <c r="K226" s="396" t="s">
        <v>756</v>
      </c>
      <c r="L226" s="395"/>
      <c r="M226" s="210"/>
      <c r="N226" s="210"/>
      <c r="O226" s="396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  <c r="AA226" s="206"/>
      <c r="AB226" s="206"/>
      <c r="AC226" s="206"/>
      <c r="AD226" s="388"/>
      <c r="AE226" s="388"/>
    </row>
    <row r="227" spans="1:31" s="164" customFormat="1" ht="26.25">
      <c r="A227" s="216" t="s">
        <v>221</v>
      </c>
      <c r="B227" s="389" t="s">
        <v>222</v>
      </c>
      <c r="C227" s="397">
        <v>43220</v>
      </c>
      <c r="D227" s="398">
        <v>1159000</v>
      </c>
      <c r="E227" s="210" t="s">
        <v>24</v>
      </c>
      <c r="F227" s="210" t="s">
        <v>24</v>
      </c>
      <c r="G227" s="399" t="s">
        <v>781</v>
      </c>
      <c r="H227" s="400" t="s">
        <v>782</v>
      </c>
      <c r="I227" s="400" t="s">
        <v>305</v>
      </c>
      <c r="J227" s="386" t="s">
        <v>755</v>
      </c>
      <c r="K227" s="387" t="s">
        <v>756</v>
      </c>
      <c r="L227" s="395"/>
      <c r="M227" s="210"/>
      <c r="N227" s="210"/>
      <c r="O227" s="396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  <c r="AA227" s="206"/>
      <c r="AB227" s="206"/>
      <c r="AC227" s="206"/>
      <c r="AD227" s="388"/>
      <c r="AE227" s="388"/>
    </row>
    <row r="228" spans="1:31" s="164" customFormat="1" ht="26.25">
      <c r="A228" s="216" t="s">
        <v>221</v>
      </c>
      <c r="B228" s="389" t="s">
        <v>222</v>
      </c>
      <c r="C228" s="397">
        <v>43220</v>
      </c>
      <c r="D228" s="398">
        <v>1159000</v>
      </c>
      <c r="E228" s="210" t="s">
        <v>24</v>
      </c>
      <c r="F228" s="210" t="s">
        <v>24</v>
      </c>
      <c r="G228" s="399" t="s">
        <v>783</v>
      </c>
      <c r="H228" s="400" t="s">
        <v>784</v>
      </c>
      <c r="I228" s="400" t="s">
        <v>305</v>
      </c>
      <c r="J228" s="386" t="s">
        <v>755</v>
      </c>
      <c r="K228" s="387" t="s">
        <v>756</v>
      </c>
      <c r="L228" s="395"/>
      <c r="M228" s="210"/>
      <c r="N228" s="210"/>
      <c r="O228" s="396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  <c r="AA228" s="206"/>
      <c r="AB228" s="206"/>
      <c r="AC228" s="206"/>
      <c r="AD228" s="388"/>
      <c r="AE228" s="388"/>
    </row>
    <row r="229" spans="1:31" s="164" customFormat="1">
      <c r="A229" s="216" t="s">
        <v>273</v>
      </c>
      <c r="B229" s="389" t="s">
        <v>785</v>
      </c>
      <c r="C229" s="381">
        <v>43403</v>
      </c>
      <c r="D229" s="390">
        <v>2139000</v>
      </c>
      <c r="E229" s="391" t="s">
        <v>24</v>
      </c>
      <c r="F229" s="391" t="s">
        <v>24</v>
      </c>
      <c r="G229" s="392" t="s">
        <v>786</v>
      </c>
      <c r="H229" s="393" t="s">
        <v>787</v>
      </c>
      <c r="I229" s="393" t="s">
        <v>305</v>
      </c>
      <c r="J229" s="386" t="s">
        <v>755</v>
      </c>
      <c r="K229" s="394" t="s">
        <v>756</v>
      </c>
      <c r="L229" s="395"/>
      <c r="M229" s="210"/>
      <c r="N229" s="210"/>
      <c r="O229" s="396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  <c r="AA229" s="206"/>
      <c r="AB229" s="206"/>
      <c r="AC229" s="206"/>
      <c r="AD229" s="388"/>
      <c r="AE229" s="388"/>
    </row>
    <row r="230" spans="1:31" s="164" customFormat="1">
      <c r="A230" s="159" t="s">
        <v>246</v>
      </c>
      <c r="B230" s="160" t="s">
        <v>247</v>
      </c>
      <c r="C230" s="161">
        <v>43368</v>
      </c>
      <c r="D230" s="181">
        <v>2294000</v>
      </c>
      <c r="E230" s="166" t="s">
        <v>24</v>
      </c>
      <c r="F230" s="166" t="s">
        <v>24</v>
      </c>
      <c r="G230" s="290" t="s">
        <v>788</v>
      </c>
      <c r="H230" s="165" t="s">
        <v>789</v>
      </c>
      <c r="I230" s="165" t="s">
        <v>305</v>
      </c>
      <c r="J230" s="184" t="s">
        <v>683</v>
      </c>
      <c r="K230" s="175"/>
      <c r="L230" s="182"/>
      <c r="M230" s="166"/>
      <c r="N230" s="166"/>
      <c r="O230" s="175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  <c r="AA230" s="160"/>
      <c r="AB230" s="160"/>
      <c r="AC230" s="160"/>
    </row>
    <row r="231" spans="1:31" s="164" customFormat="1">
      <c r="A231" s="159" t="s">
        <v>246</v>
      </c>
      <c r="B231" s="160" t="s">
        <v>247</v>
      </c>
      <c r="C231" s="161">
        <v>43368</v>
      </c>
      <c r="D231" s="181">
        <v>2294000</v>
      </c>
      <c r="E231" s="166" t="s">
        <v>24</v>
      </c>
      <c r="F231" s="166" t="s">
        <v>24</v>
      </c>
      <c r="G231" s="290" t="s">
        <v>790</v>
      </c>
      <c r="H231" s="165" t="s">
        <v>791</v>
      </c>
      <c r="I231" s="165" t="s">
        <v>305</v>
      </c>
      <c r="J231" s="184" t="s">
        <v>683</v>
      </c>
      <c r="K231" s="175"/>
      <c r="L231" s="182"/>
      <c r="M231" s="166"/>
      <c r="N231" s="166"/>
      <c r="O231" s="175"/>
      <c r="P231" s="166"/>
      <c r="Q231" s="166"/>
      <c r="R231" s="166">
        <f>SUMIF(A:A,"NarragansetRSD",N:N)</f>
        <v>0</v>
      </c>
      <c r="S231" s="166"/>
      <c r="T231" s="166"/>
      <c r="U231" s="166"/>
      <c r="V231" s="166"/>
      <c r="W231" s="166"/>
      <c r="X231" s="166"/>
      <c r="Y231" s="166"/>
      <c r="Z231" s="166"/>
      <c r="AA231" s="160"/>
      <c r="AB231" s="160"/>
      <c r="AC231" s="160"/>
    </row>
    <row r="232" spans="1:31" s="164" customFormat="1">
      <c r="A232" s="216" t="s">
        <v>268</v>
      </c>
      <c r="B232" s="217" t="s">
        <v>269</v>
      </c>
      <c r="C232" s="381">
        <v>43088</v>
      </c>
      <c r="D232" s="382">
        <v>4001000</v>
      </c>
      <c r="E232" s="383" t="s">
        <v>24</v>
      </c>
      <c r="F232" s="383" t="s">
        <v>24</v>
      </c>
      <c r="G232" s="384"/>
      <c r="H232" s="385" t="s">
        <v>792</v>
      </c>
      <c r="I232" s="385" t="s">
        <v>305</v>
      </c>
      <c r="J232" s="386" t="s">
        <v>755</v>
      </c>
      <c r="K232" s="387" t="s">
        <v>756</v>
      </c>
      <c r="L232" s="381"/>
      <c r="M232" s="383"/>
      <c r="N232" s="383"/>
      <c r="O232" s="387"/>
      <c r="P232" s="383"/>
      <c r="Q232" s="383"/>
      <c r="R232" s="383"/>
      <c r="S232" s="383"/>
      <c r="T232" s="383"/>
      <c r="U232" s="383"/>
      <c r="V232" s="383"/>
      <c r="W232" s="383"/>
      <c r="X232" s="383"/>
      <c r="Y232" s="383"/>
      <c r="Z232" s="383"/>
      <c r="AA232" s="217"/>
      <c r="AB232" s="217"/>
      <c r="AC232" s="217"/>
      <c r="AD232" s="382"/>
      <c r="AE232" s="382"/>
    </row>
    <row r="233" spans="1:31" s="164" customFormat="1">
      <c r="A233" s="205" t="s">
        <v>250</v>
      </c>
      <c r="B233" s="206" t="s">
        <v>251</v>
      </c>
      <c r="C233" s="404">
        <v>42990</v>
      </c>
      <c r="D233" s="401">
        <v>3248000</v>
      </c>
      <c r="E233" s="210" t="s">
        <v>24</v>
      </c>
      <c r="F233" s="210" t="s">
        <v>25</v>
      </c>
      <c r="G233" s="402" t="s">
        <v>793</v>
      </c>
      <c r="H233" s="401" t="s">
        <v>794</v>
      </c>
      <c r="I233" s="401" t="s">
        <v>305</v>
      </c>
      <c r="J233" s="386" t="s">
        <v>755</v>
      </c>
      <c r="K233" s="396" t="s">
        <v>756</v>
      </c>
      <c r="L233" s="395"/>
      <c r="M233" s="210"/>
      <c r="N233" s="210"/>
      <c r="O233" s="396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  <c r="AA233" s="206"/>
      <c r="AB233" s="206"/>
      <c r="AC233" s="206"/>
      <c r="AD233" s="388"/>
      <c r="AE233" s="388"/>
    </row>
    <row r="234" spans="1:31" s="164" customFormat="1">
      <c r="A234" s="294" t="s">
        <v>258</v>
      </c>
      <c r="B234" s="295" t="s">
        <v>259</v>
      </c>
      <c r="C234" s="296">
        <v>43368</v>
      </c>
      <c r="D234" s="297" t="s">
        <v>795</v>
      </c>
      <c r="E234" s="166" t="s">
        <v>24</v>
      </c>
      <c r="F234" s="166" t="s">
        <v>24</v>
      </c>
      <c r="G234" s="298" t="s">
        <v>796</v>
      </c>
      <c r="H234" s="299" t="s">
        <v>797</v>
      </c>
      <c r="I234" s="299" t="s">
        <v>341</v>
      </c>
      <c r="J234" s="184" t="s">
        <v>683</v>
      </c>
      <c r="K234" s="175"/>
      <c r="L234" s="182"/>
      <c r="M234" s="166"/>
      <c r="N234" s="166"/>
      <c r="O234" s="175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  <c r="AA234" s="160"/>
      <c r="AB234" s="160"/>
      <c r="AC234" s="160"/>
    </row>
    <row r="235" spans="1:31" s="164" customFormat="1" ht="30">
      <c r="A235" s="159" t="s">
        <v>174</v>
      </c>
      <c r="B235" s="160" t="s">
        <v>175</v>
      </c>
      <c r="C235" s="161">
        <v>43235</v>
      </c>
      <c r="D235" s="167">
        <v>1236000</v>
      </c>
      <c r="E235" s="166" t="s">
        <v>24</v>
      </c>
      <c r="F235" s="166" t="s">
        <v>24</v>
      </c>
      <c r="G235" s="290" t="s">
        <v>798</v>
      </c>
      <c r="H235" s="169" t="s">
        <v>799</v>
      </c>
      <c r="I235" s="169" t="s">
        <v>305</v>
      </c>
      <c r="J235" s="184" t="s">
        <v>683</v>
      </c>
      <c r="K235" s="243" t="s">
        <v>216</v>
      </c>
      <c r="L235" s="243" t="s">
        <v>216</v>
      </c>
      <c r="M235" s="166"/>
      <c r="N235" s="166"/>
      <c r="O235" s="175"/>
      <c r="P235" s="243" t="s">
        <v>216</v>
      </c>
      <c r="Q235" s="243" t="s">
        <v>216</v>
      </c>
      <c r="R235" s="166"/>
      <c r="S235" s="248" t="s">
        <v>684</v>
      </c>
      <c r="T235" s="166"/>
      <c r="U235" s="166"/>
      <c r="V235" s="166"/>
      <c r="W235" s="166"/>
      <c r="X235" s="166"/>
      <c r="Y235" s="166"/>
      <c r="Z235" s="166"/>
      <c r="AA235" s="218" t="s">
        <v>800</v>
      </c>
      <c r="AB235" s="218"/>
      <c r="AC235" s="218"/>
    </row>
    <row r="236" spans="1:31" s="164" customFormat="1">
      <c r="A236" s="294" t="s">
        <v>265</v>
      </c>
      <c r="B236" s="295" t="s">
        <v>266</v>
      </c>
      <c r="C236" s="296">
        <v>43388</v>
      </c>
      <c r="D236" s="299">
        <v>3333000</v>
      </c>
      <c r="E236" s="166" t="s">
        <v>24</v>
      </c>
      <c r="F236" s="249" t="s">
        <v>25</v>
      </c>
      <c r="G236" s="307" t="s">
        <v>801</v>
      </c>
      <c r="H236" s="299" t="s">
        <v>802</v>
      </c>
      <c r="I236" s="299" t="s">
        <v>305</v>
      </c>
      <c r="J236" s="184" t="s">
        <v>683</v>
      </c>
      <c r="K236" s="175"/>
      <c r="L236" s="182"/>
      <c r="M236" s="166"/>
      <c r="N236" s="166"/>
      <c r="O236" s="175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  <c r="AA236" s="160"/>
      <c r="AB236" s="160"/>
      <c r="AC236" s="160"/>
    </row>
    <row r="237" spans="1:31" s="164" customFormat="1">
      <c r="A237" s="294" t="s">
        <v>265</v>
      </c>
      <c r="B237" s="295" t="s">
        <v>266</v>
      </c>
      <c r="C237" s="296">
        <v>43388</v>
      </c>
      <c r="D237" s="299">
        <v>3333000</v>
      </c>
      <c r="E237" s="166" t="s">
        <v>24</v>
      </c>
      <c r="F237" s="249" t="s">
        <v>25</v>
      </c>
      <c r="G237" s="307" t="s">
        <v>803</v>
      </c>
      <c r="H237" s="299" t="s">
        <v>804</v>
      </c>
      <c r="I237" s="299" t="s">
        <v>305</v>
      </c>
      <c r="J237" s="184" t="s">
        <v>683</v>
      </c>
      <c r="K237" s="175"/>
      <c r="L237" s="182"/>
      <c r="M237" s="166"/>
      <c r="N237" s="166"/>
      <c r="O237" s="175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  <c r="AA237" s="160"/>
      <c r="AB237" s="160"/>
      <c r="AC237" s="160"/>
    </row>
    <row r="238" spans="1:31" s="164" customFormat="1" ht="26.25">
      <c r="A238" s="216" t="s">
        <v>221</v>
      </c>
      <c r="B238" s="389" t="s">
        <v>222</v>
      </c>
      <c r="C238" s="397">
        <v>43220</v>
      </c>
      <c r="D238" s="398">
        <v>1159000</v>
      </c>
      <c r="E238" s="210" t="s">
        <v>24</v>
      </c>
      <c r="F238" s="210" t="s">
        <v>24</v>
      </c>
      <c r="G238" s="399" t="s">
        <v>805</v>
      </c>
      <c r="H238" s="400" t="s">
        <v>806</v>
      </c>
      <c r="I238" s="400" t="s">
        <v>305</v>
      </c>
      <c r="J238" s="386" t="s">
        <v>755</v>
      </c>
      <c r="K238" s="387" t="s">
        <v>756</v>
      </c>
      <c r="L238" s="395"/>
      <c r="M238" s="210"/>
      <c r="N238" s="210"/>
      <c r="O238" s="396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  <c r="AA238" s="206"/>
      <c r="AB238" s="206"/>
      <c r="AC238" s="206"/>
      <c r="AD238" s="388"/>
      <c r="AE238" s="388"/>
    </row>
    <row r="239" spans="1:31" s="164" customFormat="1" ht="26.25">
      <c r="A239" s="216" t="s">
        <v>221</v>
      </c>
      <c r="B239" s="389" t="s">
        <v>222</v>
      </c>
      <c r="C239" s="397">
        <v>43220</v>
      </c>
      <c r="D239" s="398">
        <v>1159000</v>
      </c>
      <c r="E239" s="210" t="s">
        <v>24</v>
      </c>
      <c r="F239" s="210" t="s">
        <v>24</v>
      </c>
      <c r="G239" s="399" t="s">
        <v>807</v>
      </c>
      <c r="H239" s="400" t="s">
        <v>808</v>
      </c>
      <c r="I239" s="400" t="s">
        <v>305</v>
      </c>
      <c r="J239" s="386" t="s">
        <v>755</v>
      </c>
      <c r="K239" s="387" t="s">
        <v>756</v>
      </c>
      <c r="L239" s="395"/>
      <c r="M239" s="210"/>
      <c r="N239" s="210"/>
      <c r="O239" s="396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  <c r="AA239" s="206"/>
      <c r="AB239" s="206"/>
      <c r="AC239" s="206"/>
      <c r="AD239" s="388"/>
      <c r="AE239" s="388"/>
    </row>
    <row r="240" spans="1:31" s="164" customFormat="1">
      <c r="A240" s="294" t="s">
        <v>265</v>
      </c>
      <c r="B240" s="295" t="s">
        <v>266</v>
      </c>
      <c r="C240" s="296">
        <v>43388</v>
      </c>
      <c r="D240" s="299">
        <v>3333000</v>
      </c>
      <c r="E240" s="166" t="s">
        <v>24</v>
      </c>
      <c r="F240" s="249" t="s">
        <v>25</v>
      </c>
      <c r="G240" s="307" t="s">
        <v>809</v>
      </c>
      <c r="H240" s="299" t="s">
        <v>810</v>
      </c>
      <c r="I240" s="299" t="s">
        <v>305</v>
      </c>
      <c r="J240" s="184" t="s">
        <v>683</v>
      </c>
      <c r="K240" s="175"/>
      <c r="L240" s="182"/>
      <c r="M240" s="166"/>
      <c r="N240" s="166"/>
      <c r="O240" s="175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  <c r="AA240" s="160"/>
      <c r="AB240" s="160"/>
      <c r="AC240" s="160"/>
    </row>
    <row r="241" spans="1:3">
      <c r="C241" s="31"/>
    </row>
    <row r="242" spans="1:3">
      <c r="A242" s="244" t="s">
        <v>811</v>
      </c>
      <c r="B242" s="245" t="s">
        <v>812</v>
      </c>
      <c r="C242" s="31"/>
    </row>
    <row r="243" spans="1:3">
      <c r="A243" s="244" t="s">
        <v>813</v>
      </c>
      <c r="B243" s="245" t="s">
        <v>814</v>
      </c>
      <c r="C243" s="31"/>
    </row>
    <row r="244" spans="1:3">
      <c r="A244" s="244" t="s">
        <v>815</v>
      </c>
      <c r="B244" s="245" t="s">
        <v>816</v>
      </c>
    </row>
    <row r="245" spans="1:3">
      <c r="A245" s="244" t="s">
        <v>817</v>
      </c>
      <c r="B245" s="245" t="s">
        <v>818</v>
      </c>
    </row>
    <row r="246" spans="1:3">
      <c r="A246" s="244" t="s">
        <v>819</v>
      </c>
      <c r="B246" s="245" t="s">
        <v>820</v>
      </c>
    </row>
    <row r="247" spans="1:3">
      <c r="A247" s="244" t="s">
        <v>821</v>
      </c>
      <c r="B247" s="245" t="s">
        <v>822</v>
      </c>
    </row>
    <row r="248" spans="1:3">
      <c r="A248" s="244" t="s">
        <v>823</v>
      </c>
      <c r="B248" s="245" t="s">
        <v>824</v>
      </c>
    </row>
    <row r="249" spans="1:3">
      <c r="A249" s="244" t="s">
        <v>249</v>
      </c>
      <c r="B249" s="245" t="s">
        <v>825</v>
      </c>
    </row>
    <row r="250" spans="1:3">
      <c r="A250" s="244" t="s">
        <v>826</v>
      </c>
      <c r="B250" s="245" t="s">
        <v>827</v>
      </c>
    </row>
    <row r="251" spans="1:3">
      <c r="A251" s="244" t="s">
        <v>828</v>
      </c>
      <c r="B251" s="245" t="s">
        <v>829</v>
      </c>
    </row>
    <row r="252" spans="1:3">
      <c r="A252" s="244" t="s">
        <v>223</v>
      </c>
      <c r="B252" s="245" t="s">
        <v>830</v>
      </c>
    </row>
    <row r="253" spans="1:3">
      <c r="A253" s="244" t="s">
        <v>732</v>
      </c>
      <c r="B253" s="245" t="s">
        <v>831</v>
      </c>
    </row>
    <row r="255" spans="1:3">
      <c r="A255" s="5" t="s">
        <v>832</v>
      </c>
      <c r="B255" s="62">
        <f>SUM(M2:M175)</f>
        <v>7493</v>
      </c>
    </row>
    <row r="256" spans="1:3">
      <c r="A256" s="5" t="s">
        <v>833</v>
      </c>
      <c r="B256" s="62">
        <f>MAX(M2:M175)</f>
        <v>140</v>
      </c>
    </row>
    <row r="257" spans="1:2">
      <c r="A257" s="5" t="s">
        <v>834</v>
      </c>
      <c r="B257" s="62">
        <f>MIN(M2:M175)</f>
        <v>3</v>
      </c>
    </row>
    <row r="258" spans="1:2">
      <c r="A258" s="5" t="s">
        <v>835</v>
      </c>
      <c r="B258" s="5">
        <f>AVERAGE(M1:M175)</f>
        <v>43.0632183908046</v>
      </c>
    </row>
  </sheetData>
  <sortState xmlns:xlrd2="http://schemas.microsoft.com/office/spreadsheetml/2017/richdata2" ref="A2:AE240">
    <sortCondition descending="1" ref="O2:O240"/>
    <sortCondition ref="H2:H240"/>
  </sortState>
  <pageMargins left="0.7" right="0.7" top="0.75" bottom="0.75" header="0.3" footer="0.3"/>
  <pageSetup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3"/>
  <sheetViews>
    <sheetView zoomScale="110" zoomScaleNormal="110" workbookViewId="0">
      <pane ySplit="1" topLeftCell="A53" activePane="bottomLeft" state="frozen"/>
      <selection pane="bottomLeft" activeCell="B65" sqref="B65"/>
    </sheetView>
  </sheetViews>
  <sheetFormatPr defaultColWidth="9.140625" defaultRowHeight="15"/>
  <cols>
    <col min="1" max="1" width="11.85546875" style="63" customWidth="1"/>
    <col min="2" max="2" width="24.85546875" style="62" customWidth="1"/>
    <col min="3" max="3" width="16.140625" style="5" customWidth="1"/>
    <col min="4" max="4" width="14.85546875" style="62" customWidth="1"/>
    <col min="5" max="5" width="12.140625" style="62" customWidth="1"/>
    <col min="6" max="6" width="13.5703125" style="62" customWidth="1"/>
    <col min="7" max="7" width="35.140625" style="62" customWidth="1"/>
    <col min="8" max="8" width="17.5703125" style="62" customWidth="1"/>
    <col min="9" max="9" width="37" style="62" customWidth="1"/>
    <col min="10" max="12" width="31.42578125" style="62" customWidth="1"/>
    <col min="13" max="13" width="26.7109375" style="62" customWidth="1"/>
    <col min="14" max="14" width="17.42578125" style="62" customWidth="1"/>
    <col min="15" max="15" width="174.42578125" style="79" customWidth="1"/>
    <col min="16" max="26" width="9.140625" style="62"/>
    <col min="27" max="16384" width="9.140625" style="64"/>
  </cols>
  <sheetData>
    <row r="1" spans="1:26" ht="30">
      <c r="A1" s="99" t="s">
        <v>2</v>
      </c>
      <c r="B1" s="5" t="s">
        <v>836</v>
      </c>
      <c r="C1" s="100" t="s">
        <v>277</v>
      </c>
      <c r="D1" s="75" t="s">
        <v>1</v>
      </c>
      <c r="E1" s="5" t="s">
        <v>837</v>
      </c>
      <c r="F1" s="5" t="s">
        <v>838</v>
      </c>
      <c r="G1" s="5" t="s">
        <v>839</v>
      </c>
      <c r="H1" s="5" t="s">
        <v>840</v>
      </c>
      <c r="I1" s="5" t="s">
        <v>841</v>
      </c>
      <c r="J1" s="5" t="s">
        <v>842</v>
      </c>
      <c r="K1" s="5" t="s">
        <v>843</v>
      </c>
      <c r="L1" s="5" t="s">
        <v>844</v>
      </c>
      <c r="M1" s="101" t="s">
        <v>845</v>
      </c>
      <c r="N1" s="101" t="s">
        <v>846</v>
      </c>
      <c r="O1" s="101" t="s">
        <v>847</v>
      </c>
    </row>
    <row r="2" spans="1:26" ht="17.100000000000001" customHeight="1">
      <c r="A2" s="63">
        <v>43088</v>
      </c>
      <c r="B2" s="62" t="s">
        <v>848</v>
      </c>
      <c r="C2" s="5" t="s">
        <v>268</v>
      </c>
      <c r="D2" s="62" t="s">
        <v>269</v>
      </c>
      <c r="E2" s="3" t="s">
        <v>849</v>
      </c>
      <c r="F2" s="3" t="s">
        <v>850</v>
      </c>
      <c r="G2" s="3" t="s">
        <v>851</v>
      </c>
      <c r="H2" s="3" t="s">
        <v>852</v>
      </c>
      <c r="I2" s="62" t="s">
        <v>853</v>
      </c>
      <c r="J2" s="3" t="s">
        <v>854</v>
      </c>
      <c r="K2" s="62" t="s">
        <v>855</v>
      </c>
      <c r="L2" s="62" t="s">
        <v>856</v>
      </c>
      <c r="M2" s="62" t="s">
        <v>857</v>
      </c>
      <c r="N2" t="s">
        <v>858</v>
      </c>
    </row>
    <row r="3" spans="1:26" ht="17.100000000000001" customHeight="1">
      <c r="A3" s="63">
        <v>43259</v>
      </c>
      <c r="B3" s="1" t="s">
        <v>859</v>
      </c>
      <c r="C3" s="5" t="s">
        <v>47</v>
      </c>
      <c r="D3" s="62" t="s">
        <v>48</v>
      </c>
      <c r="E3" s="62" t="s">
        <v>860</v>
      </c>
      <c r="F3" s="78" t="s">
        <v>861</v>
      </c>
      <c r="G3" s="78" t="s">
        <v>862</v>
      </c>
      <c r="H3" s="78" t="s">
        <v>863</v>
      </c>
      <c r="I3" s="89" t="s">
        <v>864</v>
      </c>
      <c r="J3" s="78" t="s">
        <v>865</v>
      </c>
      <c r="K3" s="62" t="s">
        <v>866</v>
      </c>
      <c r="L3" s="62" t="s">
        <v>867</v>
      </c>
      <c r="M3" t="s">
        <v>868</v>
      </c>
      <c r="N3" s="62" t="s">
        <v>869</v>
      </c>
      <c r="O3" s="89" t="s">
        <v>870</v>
      </c>
    </row>
    <row r="4" spans="1:26" ht="17.100000000000001" customHeight="1">
      <c r="A4" s="153">
        <v>43243</v>
      </c>
      <c r="B4" s="157" t="s">
        <v>828</v>
      </c>
      <c r="C4" s="155" t="s">
        <v>254</v>
      </c>
      <c r="D4" s="154" t="s">
        <v>255</v>
      </c>
      <c r="E4" s="310" t="s">
        <v>871</v>
      </c>
      <c r="F4" s="310" t="s">
        <v>872</v>
      </c>
      <c r="G4" s="310" t="s">
        <v>873</v>
      </c>
      <c r="H4" s="310" t="s">
        <v>874</v>
      </c>
      <c r="I4" s="310" t="s">
        <v>875</v>
      </c>
      <c r="J4" s="326" t="s">
        <v>876</v>
      </c>
      <c r="K4" s="328" t="s">
        <v>877</v>
      </c>
      <c r="L4" s="317" t="s">
        <v>878</v>
      </c>
      <c r="M4" s="336" t="s">
        <v>879</v>
      </c>
      <c r="N4" s="336"/>
      <c r="O4" s="308" t="s">
        <v>880</v>
      </c>
      <c r="P4" s="78"/>
      <c r="Q4" s="78"/>
    </row>
    <row r="5" spans="1:26" ht="17.100000000000001" customHeight="1">
      <c r="A5" s="63">
        <v>43237</v>
      </c>
      <c r="B5" s="1" t="s">
        <v>54</v>
      </c>
      <c r="C5" s="5" t="s">
        <v>192</v>
      </c>
      <c r="D5" s="62" t="s">
        <v>35</v>
      </c>
      <c r="E5" s="78" t="s">
        <v>881</v>
      </c>
      <c r="F5" s="78" t="s">
        <v>882</v>
      </c>
      <c r="G5" s="78" t="s">
        <v>883</v>
      </c>
      <c r="H5" s="78" t="s">
        <v>884</v>
      </c>
      <c r="I5" s="62" t="s">
        <v>885</v>
      </c>
      <c r="J5" t="s">
        <v>886</v>
      </c>
      <c r="K5" s="115" t="s">
        <v>887</v>
      </c>
      <c r="L5" s="115" t="s">
        <v>888</v>
      </c>
      <c r="M5" s="115" t="s">
        <v>868</v>
      </c>
      <c r="N5" s="115" t="s">
        <v>858</v>
      </c>
      <c r="O5" s="78" t="s">
        <v>889</v>
      </c>
    </row>
    <row r="6" spans="1:26" ht="17.100000000000001" customHeight="1">
      <c r="A6" s="63">
        <v>43229</v>
      </c>
      <c r="B6" s="1" t="s">
        <v>219</v>
      </c>
      <c r="C6" s="13" t="s">
        <v>77</v>
      </c>
      <c r="D6" s="68" t="s">
        <v>78</v>
      </c>
      <c r="E6" s="78" t="s">
        <v>890</v>
      </c>
      <c r="F6" s="78" t="s">
        <v>891</v>
      </c>
      <c r="G6" s="78" t="s">
        <v>873</v>
      </c>
      <c r="H6" s="78" t="s">
        <v>892</v>
      </c>
      <c r="I6" s="62" t="s">
        <v>893</v>
      </c>
      <c r="J6" s="115" t="s">
        <v>894</v>
      </c>
      <c r="K6" s="148" t="s">
        <v>895</v>
      </c>
      <c r="L6" s="62" t="s">
        <v>896</v>
      </c>
      <c r="M6" s="62" t="s">
        <v>857</v>
      </c>
      <c r="N6" s="227" t="s">
        <v>897</v>
      </c>
      <c r="O6" s="71" t="s">
        <v>898</v>
      </c>
    </row>
    <row r="7" spans="1:26" s="200" customFormat="1" ht="17.100000000000001" customHeight="1">
      <c r="A7" s="63">
        <v>43209</v>
      </c>
      <c r="B7" s="62" t="s">
        <v>219</v>
      </c>
      <c r="C7" s="5" t="s">
        <v>83</v>
      </c>
      <c r="D7" s="62" t="s">
        <v>84</v>
      </c>
      <c r="E7" s="78" t="s">
        <v>899</v>
      </c>
      <c r="F7" s="78" t="s">
        <v>900</v>
      </c>
      <c r="G7" s="78" t="s">
        <v>901</v>
      </c>
      <c r="H7" s="78" t="s">
        <v>902</v>
      </c>
      <c r="I7" s="89" t="s">
        <v>903</v>
      </c>
      <c r="J7" s="62" t="s">
        <v>904</v>
      </c>
      <c r="K7" s="62" t="s">
        <v>905</v>
      </c>
      <c r="L7" s="62" t="s">
        <v>906</v>
      </c>
      <c r="M7" s="62" t="s">
        <v>857</v>
      </c>
      <c r="N7" s="115" t="s">
        <v>907</v>
      </c>
      <c r="O7" s="78" t="s">
        <v>908</v>
      </c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</row>
    <row r="8" spans="1:26" s="200" customFormat="1" ht="17.100000000000001" customHeight="1">
      <c r="A8" s="194">
        <v>43217</v>
      </c>
      <c r="B8" s="193" t="s">
        <v>216</v>
      </c>
      <c r="C8" s="197" t="s">
        <v>230</v>
      </c>
      <c r="D8" s="198" t="s">
        <v>231</v>
      </c>
      <c r="E8" s="199" t="s">
        <v>909</v>
      </c>
      <c r="F8" s="199" t="s">
        <v>910</v>
      </c>
      <c r="G8" s="199" t="s">
        <v>911</v>
      </c>
      <c r="H8" s="199" t="s">
        <v>912</v>
      </c>
      <c r="I8" s="199" t="s">
        <v>913</v>
      </c>
      <c r="J8" s="198" t="s">
        <v>914</v>
      </c>
      <c r="K8" s="198" t="s">
        <v>915</v>
      </c>
      <c r="L8" s="198" t="s">
        <v>916</v>
      </c>
      <c r="M8" s="198" t="s">
        <v>857</v>
      </c>
      <c r="N8" s="337" t="s">
        <v>686</v>
      </c>
      <c r="O8" s="199" t="s">
        <v>917</v>
      </c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</row>
    <row r="9" spans="1:26" ht="17.100000000000001" customHeight="1">
      <c r="A9" s="194">
        <v>43230</v>
      </c>
      <c r="B9" s="193" t="s">
        <v>216</v>
      </c>
      <c r="C9" s="197" t="s">
        <v>214</v>
      </c>
      <c r="D9" s="198" t="s">
        <v>215</v>
      </c>
      <c r="E9" s="199" t="s">
        <v>918</v>
      </c>
      <c r="F9" s="199" t="s">
        <v>919</v>
      </c>
      <c r="G9" s="199" t="s">
        <v>920</v>
      </c>
      <c r="H9" s="199" t="s">
        <v>921</v>
      </c>
      <c r="I9" s="198" t="s">
        <v>922</v>
      </c>
      <c r="J9" s="226" t="s">
        <v>923</v>
      </c>
      <c r="K9" s="201" t="s">
        <v>924</v>
      </c>
      <c r="L9" s="214" t="s">
        <v>925</v>
      </c>
      <c r="M9" s="198" t="s">
        <v>857</v>
      </c>
      <c r="N9" s="338" t="s">
        <v>907</v>
      </c>
      <c r="O9" s="199" t="s">
        <v>926</v>
      </c>
    </row>
    <row r="10" spans="1:26" ht="17.100000000000001" customHeight="1">
      <c r="A10" s="63">
        <v>43220</v>
      </c>
      <c r="B10" s="1" t="s">
        <v>927</v>
      </c>
      <c r="C10" s="5" t="s">
        <v>106</v>
      </c>
      <c r="D10" s="62" t="s">
        <v>107</v>
      </c>
      <c r="E10" s="78" t="s">
        <v>928</v>
      </c>
      <c r="F10" s="78" t="s">
        <v>929</v>
      </c>
      <c r="G10" s="78" t="s">
        <v>930</v>
      </c>
      <c r="H10" s="78" t="s">
        <v>931</v>
      </c>
      <c r="I10" s="78" t="s">
        <v>932</v>
      </c>
      <c r="J10" t="s">
        <v>933</v>
      </c>
      <c r="K10" s="151" t="s">
        <v>934</v>
      </c>
      <c r="L10" s="312" t="s">
        <v>935</v>
      </c>
      <c r="M10" s="62" t="s">
        <v>857</v>
      </c>
      <c r="N10" s="227" t="s">
        <v>936</v>
      </c>
      <c r="O10" s="78" t="s">
        <v>937</v>
      </c>
    </row>
    <row r="11" spans="1:26" ht="17.100000000000001" customHeight="1">
      <c r="A11" s="63">
        <v>43243</v>
      </c>
      <c r="B11" s="1" t="s">
        <v>54</v>
      </c>
      <c r="C11" s="5" t="s">
        <v>99</v>
      </c>
      <c r="D11" s="62" t="s">
        <v>100</v>
      </c>
      <c r="E11" s="78" t="s">
        <v>938</v>
      </c>
      <c r="F11" s="78" t="s">
        <v>939</v>
      </c>
      <c r="G11" s="78" t="s">
        <v>940</v>
      </c>
      <c r="H11" s="78" t="s">
        <v>941</v>
      </c>
      <c r="I11" s="62" t="s">
        <v>942</v>
      </c>
      <c r="J11" s="115" t="s">
        <v>943</v>
      </c>
      <c r="K11" s="115" t="s">
        <v>944</v>
      </c>
      <c r="L11" s="115" t="s">
        <v>945</v>
      </c>
      <c r="M11" s="62" t="s">
        <v>946</v>
      </c>
      <c r="N11" t="s">
        <v>947</v>
      </c>
      <c r="O11" s="78" t="s">
        <v>948</v>
      </c>
    </row>
    <row r="12" spans="1:26" ht="17.100000000000001" customHeight="1">
      <c r="A12" s="63">
        <v>43102</v>
      </c>
      <c r="B12" s="1" t="s">
        <v>949</v>
      </c>
      <c r="C12" s="5" t="s">
        <v>20</v>
      </c>
      <c r="D12" s="1" t="s">
        <v>21</v>
      </c>
      <c r="J12" s="151"/>
      <c r="K12" s="151"/>
      <c r="L12" s="151"/>
      <c r="N12" s="151"/>
    </row>
    <row r="13" spans="1:26" ht="17.100000000000001" customHeight="1">
      <c r="A13" s="63">
        <v>43186</v>
      </c>
      <c r="B13" s="62" t="s">
        <v>54</v>
      </c>
      <c r="C13" s="5" t="s">
        <v>123</v>
      </c>
      <c r="D13" s="78" t="s">
        <v>124</v>
      </c>
      <c r="E13" s="78" t="s">
        <v>950</v>
      </c>
      <c r="F13" s="78" t="s">
        <v>951</v>
      </c>
      <c r="G13" s="78" t="s">
        <v>952</v>
      </c>
      <c r="H13" s="78" t="s">
        <v>953</v>
      </c>
      <c r="I13" s="89" t="s">
        <v>954</v>
      </c>
      <c r="J13" s="151" t="s">
        <v>955</v>
      </c>
      <c r="K13" s="151" t="s">
        <v>956</v>
      </c>
      <c r="L13" s="151" t="s">
        <v>957</v>
      </c>
      <c r="M13" s="62" t="s">
        <v>946</v>
      </c>
      <c r="N13" t="s">
        <v>947</v>
      </c>
      <c r="O13" s="78" t="s">
        <v>958</v>
      </c>
    </row>
    <row r="14" spans="1:26" ht="17.100000000000001" customHeight="1">
      <c r="A14" s="63">
        <v>43243</v>
      </c>
      <c r="B14" s="1" t="s">
        <v>959</v>
      </c>
      <c r="C14" s="5" t="s">
        <v>127</v>
      </c>
      <c r="D14" s="62" t="s">
        <v>128</v>
      </c>
      <c r="E14" s="62" t="s">
        <v>960</v>
      </c>
      <c r="F14" s="62" t="s">
        <v>961</v>
      </c>
      <c r="G14" s="62" t="s">
        <v>962</v>
      </c>
      <c r="H14" s="1" t="s">
        <v>963</v>
      </c>
      <c r="I14" s="62" t="s">
        <v>964</v>
      </c>
      <c r="J14" t="s">
        <v>965</v>
      </c>
      <c r="K14" t="s">
        <v>966</v>
      </c>
      <c r="L14" t="s">
        <v>967</v>
      </c>
      <c r="M14" s="62" t="s">
        <v>879</v>
      </c>
      <c r="N14" t="s">
        <v>897</v>
      </c>
      <c r="O14" s="1" t="s">
        <v>968</v>
      </c>
    </row>
    <row r="15" spans="1:26" ht="17.100000000000001" customHeight="1">
      <c r="A15" s="63">
        <v>43403</v>
      </c>
      <c r="B15" s="1" t="s">
        <v>969</v>
      </c>
      <c r="C15" s="5" t="s">
        <v>273</v>
      </c>
      <c r="D15" s="1" t="s">
        <v>274</v>
      </c>
      <c r="E15" s="1" t="s">
        <v>970</v>
      </c>
      <c r="F15" s="1" t="s">
        <v>971</v>
      </c>
      <c r="G15" s="1" t="s">
        <v>873</v>
      </c>
      <c r="H15" s="1" t="s">
        <v>972</v>
      </c>
      <c r="I15" s="1" t="s">
        <v>973</v>
      </c>
      <c r="J15" s="250" t="s">
        <v>974</v>
      </c>
      <c r="K15" s="115"/>
      <c r="L15" s="115"/>
      <c r="N15" s="115"/>
      <c r="O15" s="1"/>
    </row>
    <row r="16" spans="1:26" ht="15" customHeight="1">
      <c r="A16" s="63">
        <v>43052</v>
      </c>
      <c r="B16" s="62" t="s">
        <v>54</v>
      </c>
      <c r="C16" s="5" t="s">
        <v>140</v>
      </c>
      <c r="D16" s="78" t="s">
        <v>141</v>
      </c>
      <c r="E16" s="78" t="s">
        <v>950</v>
      </c>
      <c r="F16" s="78" t="s">
        <v>975</v>
      </c>
      <c r="G16" s="78" t="s">
        <v>976</v>
      </c>
      <c r="H16" s="78" t="s">
        <v>977</v>
      </c>
      <c r="I16" s="89" t="s">
        <v>978</v>
      </c>
      <c r="J16" s="62" t="s">
        <v>979</v>
      </c>
      <c r="K16" s="62" t="s">
        <v>980</v>
      </c>
      <c r="L16" s="62" t="s">
        <v>981</v>
      </c>
      <c r="M16" s="62" t="s">
        <v>946</v>
      </c>
      <c r="N16" s="148" t="s">
        <v>897</v>
      </c>
      <c r="O16" s="78" t="s">
        <v>982</v>
      </c>
    </row>
    <row r="17" spans="1:26" ht="15" customHeight="1">
      <c r="A17" s="63">
        <v>43243</v>
      </c>
      <c r="B17" s="1" t="s">
        <v>983</v>
      </c>
      <c r="C17" s="5" t="s">
        <v>112</v>
      </c>
      <c r="D17" s="1" t="s">
        <v>113</v>
      </c>
      <c r="E17" s="78" t="s">
        <v>984</v>
      </c>
      <c r="F17" s="78" t="s">
        <v>985</v>
      </c>
      <c r="G17" s="78" t="s">
        <v>883</v>
      </c>
      <c r="H17" s="78" t="s">
        <v>986</v>
      </c>
      <c r="I17" s="78" t="s">
        <v>987</v>
      </c>
      <c r="J17" s="148" t="s">
        <v>988</v>
      </c>
      <c r="K17" s="148" t="s">
        <v>989</v>
      </c>
      <c r="L17" s="3" t="s">
        <v>990</v>
      </c>
      <c r="M17" s="62" t="s">
        <v>879</v>
      </c>
      <c r="N17" s="62" t="s">
        <v>869</v>
      </c>
      <c r="O17" s="78" t="s">
        <v>991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30">
        <v>43222</v>
      </c>
      <c r="B18" s="1" t="s">
        <v>992</v>
      </c>
      <c r="C18" s="5" t="s">
        <v>221</v>
      </c>
      <c r="D18" s="1" t="s">
        <v>222</v>
      </c>
      <c r="E18" s="98" t="s">
        <v>993</v>
      </c>
      <c r="F18" s="98" t="s">
        <v>994</v>
      </c>
      <c r="G18" s="98" t="s">
        <v>995</v>
      </c>
      <c r="H18" s="98" t="s">
        <v>996</v>
      </c>
      <c r="I18" s="98" t="s">
        <v>997</v>
      </c>
      <c r="J18" s="311" t="s">
        <v>998</v>
      </c>
      <c r="K18" s="330" t="s">
        <v>999</v>
      </c>
      <c r="L18" s="335" t="s">
        <v>1000</v>
      </c>
      <c r="M18" s="48" t="s">
        <v>868</v>
      </c>
      <c r="N18" s="339"/>
      <c r="O18" s="98" t="s">
        <v>1001</v>
      </c>
    </row>
    <row r="19" spans="1:26" ht="15" customHeight="1">
      <c r="A19" s="63">
        <v>43234</v>
      </c>
      <c r="B19" s="1" t="s">
        <v>959</v>
      </c>
      <c r="C19" s="5" t="s">
        <v>144</v>
      </c>
      <c r="D19" s="78" t="s">
        <v>145</v>
      </c>
      <c r="E19" s="78" t="s">
        <v>1002</v>
      </c>
      <c r="F19" s="78" t="s">
        <v>1003</v>
      </c>
      <c r="G19" s="78" t="s">
        <v>1004</v>
      </c>
      <c r="H19" s="89" t="s">
        <v>1005</v>
      </c>
      <c r="I19" s="89" t="s">
        <v>1006</v>
      </c>
      <c r="J19" s="115" t="s">
        <v>1007</v>
      </c>
      <c r="K19" s="115" t="s">
        <v>1008</v>
      </c>
      <c r="L19" s="115" t="s">
        <v>888</v>
      </c>
      <c r="M19" s="62" t="s">
        <v>868</v>
      </c>
      <c r="N19" s="115" t="s">
        <v>1009</v>
      </c>
      <c r="O19" s="78" t="s">
        <v>1010</v>
      </c>
      <c r="P19" s="148"/>
      <c r="Q19" s="148"/>
      <c r="R19" s="148"/>
      <c r="S19" s="148"/>
      <c r="T19" s="148"/>
      <c r="U19" s="148"/>
      <c r="V19" s="148"/>
      <c r="W19" s="148"/>
      <c r="X19" s="148"/>
      <c r="Y19" s="148"/>
    </row>
    <row r="20" spans="1:26" ht="15" customHeight="1">
      <c r="A20" s="63">
        <v>43255</v>
      </c>
      <c r="B20" s="130" t="s">
        <v>959</v>
      </c>
      <c r="C20" s="129" t="s">
        <v>148</v>
      </c>
      <c r="D20" s="148" t="s">
        <v>149</v>
      </c>
      <c r="E20" s="71" t="s">
        <v>993</v>
      </c>
      <c r="F20" s="71" t="s">
        <v>1011</v>
      </c>
      <c r="G20" s="71" t="s">
        <v>901</v>
      </c>
      <c r="H20" s="71" t="s">
        <v>1012</v>
      </c>
      <c r="I20" s="130" t="s">
        <v>1013</v>
      </c>
      <c r="J20" t="s">
        <v>1014</v>
      </c>
      <c r="K20" s="148" t="s">
        <v>1015</v>
      </c>
      <c r="L20" s="334" t="s">
        <v>1016</v>
      </c>
      <c r="M20" s="148" t="s">
        <v>946</v>
      </c>
      <c r="N20" s="227" t="s">
        <v>897</v>
      </c>
      <c r="O20" s="71" t="s">
        <v>1017</v>
      </c>
    </row>
    <row r="21" spans="1:26" ht="15" customHeight="1">
      <c r="A21" s="63">
        <v>43230</v>
      </c>
      <c r="B21" s="1" t="s">
        <v>1018</v>
      </c>
      <c r="C21" s="5" t="s">
        <v>152</v>
      </c>
      <c r="D21" s="62" t="s">
        <v>153</v>
      </c>
      <c r="E21" s="78" t="s">
        <v>950</v>
      </c>
      <c r="F21" s="78" t="s">
        <v>1019</v>
      </c>
      <c r="G21" s="78" t="s">
        <v>1020</v>
      </c>
      <c r="H21" s="78" t="s">
        <v>1021</v>
      </c>
      <c r="I21" s="62" t="s">
        <v>1022</v>
      </c>
      <c r="J21" t="s">
        <v>1023</v>
      </c>
      <c r="K21" s="62" t="s">
        <v>1024</v>
      </c>
      <c r="L21" s="115" t="s">
        <v>1025</v>
      </c>
      <c r="M21" s="62" t="s">
        <v>879</v>
      </c>
      <c r="N21" s="115" t="s">
        <v>897</v>
      </c>
      <c r="O21" s="78" t="s">
        <v>1026</v>
      </c>
    </row>
    <row r="22" spans="1:26" s="200" customFormat="1" ht="15" customHeight="1">
      <c r="A22" s="63">
        <v>43048</v>
      </c>
      <c r="B22" s="1" t="s">
        <v>54</v>
      </c>
      <c r="C22" s="5" t="s">
        <v>155</v>
      </c>
      <c r="D22" s="78" t="s">
        <v>156</v>
      </c>
      <c r="E22" s="78" t="s">
        <v>890</v>
      </c>
      <c r="F22" s="78" t="s">
        <v>1027</v>
      </c>
      <c r="G22" s="78" t="s">
        <v>1028</v>
      </c>
      <c r="H22" s="78" t="s">
        <v>1029</v>
      </c>
      <c r="I22" s="89" t="s">
        <v>1030</v>
      </c>
      <c r="J22" s="151" t="s">
        <v>1031</v>
      </c>
      <c r="K22" s="62" t="s">
        <v>1032</v>
      </c>
      <c r="L22" s="62" t="s">
        <v>1033</v>
      </c>
      <c r="M22" s="62" t="s">
        <v>857</v>
      </c>
      <c r="N22" s="148" t="s">
        <v>897</v>
      </c>
      <c r="O22" s="78" t="s">
        <v>1034</v>
      </c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spans="1:26" ht="15" customHeight="1">
      <c r="A23" s="63">
        <v>43241</v>
      </c>
      <c r="B23" s="1" t="s">
        <v>927</v>
      </c>
      <c r="C23" s="5" t="s">
        <v>70</v>
      </c>
      <c r="D23" s="78" t="s">
        <v>71</v>
      </c>
      <c r="E23" s="78" t="s">
        <v>1035</v>
      </c>
      <c r="F23" s="78" t="s">
        <v>1036</v>
      </c>
      <c r="G23" s="78" t="s">
        <v>1037</v>
      </c>
      <c r="H23" s="78" t="s">
        <v>1038</v>
      </c>
      <c r="I23" s="89" t="s">
        <v>1039</v>
      </c>
      <c r="J23" t="s">
        <v>1040</v>
      </c>
      <c r="K23" s="62" t="s">
        <v>1041</v>
      </c>
      <c r="L23" s="62" t="s">
        <v>1042</v>
      </c>
      <c r="M23" s="62" t="s">
        <v>879</v>
      </c>
      <c r="N23" s="62" t="s">
        <v>869</v>
      </c>
      <c r="O23" s="78" t="s">
        <v>1043</v>
      </c>
    </row>
    <row r="24" spans="1:26" ht="15" customHeight="1">
      <c r="A24" s="63">
        <v>43336</v>
      </c>
      <c r="B24" s="1" t="s">
        <v>1044</v>
      </c>
      <c r="C24" s="13" t="s">
        <v>159</v>
      </c>
      <c r="D24" s="68" t="s">
        <v>160</v>
      </c>
      <c r="E24" s="71" t="s">
        <v>1045</v>
      </c>
      <c r="F24" s="71" t="s">
        <v>1046</v>
      </c>
      <c r="G24" s="71" t="s">
        <v>1047</v>
      </c>
      <c r="H24" s="71" t="s">
        <v>1048</v>
      </c>
      <c r="I24" s="62" t="s">
        <v>1049</v>
      </c>
      <c r="J24" s="115" t="s">
        <v>1050</v>
      </c>
      <c r="K24" s="62" t="s">
        <v>1051</v>
      </c>
      <c r="L24" s="150" t="s">
        <v>1050</v>
      </c>
      <c r="M24" s="62" t="s">
        <v>946</v>
      </c>
      <c r="O24" s="71" t="s">
        <v>1052</v>
      </c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</row>
    <row r="25" spans="1:26" ht="15" customHeight="1">
      <c r="A25" s="194">
        <v>43217</v>
      </c>
      <c r="B25" s="193" t="s">
        <v>216</v>
      </c>
      <c r="C25" s="197" t="s">
        <v>234</v>
      </c>
      <c r="D25" s="198" t="s">
        <v>235</v>
      </c>
      <c r="E25" s="199" t="s">
        <v>993</v>
      </c>
      <c r="F25" s="199" t="s">
        <v>1053</v>
      </c>
      <c r="G25" s="199" t="s">
        <v>1037</v>
      </c>
      <c r="H25" s="199" t="s">
        <v>1054</v>
      </c>
      <c r="I25" s="199" t="s">
        <v>1055</v>
      </c>
      <c r="J25" s="226" t="s">
        <v>1056</v>
      </c>
      <c r="K25" s="198" t="s">
        <v>1057</v>
      </c>
      <c r="L25" s="199" t="s">
        <v>1058</v>
      </c>
      <c r="M25" s="198" t="s">
        <v>946</v>
      </c>
      <c r="N25" s="198"/>
      <c r="O25" s="202" t="s">
        <v>1059</v>
      </c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</row>
    <row r="26" spans="1:26" ht="15" customHeight="1">
      <c r="A26" s="203">
        <v>43249</v>
      </c>
      <c r="B26" s="204" t="s">
        <v>1060</v>
      </c>
      <c r="C26" s="205" t="s">
        <v>246</v>
      </c>
      <c r="D26" s="206" t="s">
        <v>247</v>
      </c>
      <c r="E26" s="207" t="s">
        <v>1061</v>
      </c>
      <c r="F26" s="207" t="s">
        <v>1062</v>
      </c>
      <c r="G26" s="207" t="s">
        <v>952</v>
      </c>
      <c r="H26" s="207" t="s">
        <v>1063</v>
      </c>
      <c r="I26" s="208" t="s">
        <v>1064</v>
      </c>
      <c r="J26" s="115" t="s">
        <v>1065</v>
      </c>
      <c r="K26" s="206" t="s">
        <v>1066</v>
      </c>
      <c r="L26" s="209" t="s">
        <v>1067</v>
      </c>
      <c r="M26" s="206" t="s">
        <v>946</v>
      </c>
      <c r="N26" s="206"/>
      <c r="O26" s="207" t="s">
        <v>1068</v>
      </c>
    </row>
    <row r="27" spans="1:26" ht="15" customHeight="1">
      <c r="A27" s="31">
        <v>42990</v>
      </c>
      <c r="B27" s="62" t="s">
        <v>54</v>
      </c>
      <c r="C27" s="5" t="s">
        <v>206</v>
      </c>
      <c r="D27" s="62" t="s">
        <v>207</v>
      </c>
      <c r="E27" s="62" t="s">
        <v>1069</v>
      </c>
      <c r="F27" s="62" t="s">
        <v>1070</v>
      </c>
      <c r="G27" s="62" t="s">
        <v>1071</v>
      </c>
      <c r="H27" s="62" t="s">
        <v>1072</v>
      </c>
      <c r="I27" s="62" t="s">
        <v>1073</v>
      </c>
      <c r="J27" s="151" t="s">
        <v>1074</v>
      </c>
      <c r="K27" s="151" t="s">
        <v>1075</v>
      </c>
      <c r="L27" s="151" t="s">
        <v>1076</v>
      </c>
      <c r="M27" s="151" t="s">
        <v>879</v>
      </c>
      <c r="N27" s="227" t="s">
        <v>897</v>
      </c>
      <c r="O27" s="62" t="s">
        <v>1077</v>
      </c>
    </row>
    <row r="28" spans="1:26" ht="15" customHeight="1">
      <c r="A28" s="153">
        <v>43243</v>
      </c>
      <c r="B28" s="157" t="s">
        <v>828</v>
      </c>
      <c r="C28" s="155" t="s">
        <v>261</v>
      </c>
      <c r="D28" s="157" t="s">
        <v>262</v>
      </c>
      <c r="E28" s="308" t="s">
        <v>1078</v>
      </c>
      <c r="F28" s="308" t="s">
        <v>1079</v>
      </c>
      <c r="G28" s="308" t="s">
        <v>1080</v>
      </c>
      <c r="H28" s="308" t="s">
        <v>1081</v>
      </c>
      <c r="I28" s="308" t="s">
        <v>1082</v>
      </c>
      <c r="J28" s="313" t="s">
        <v>1083</v>
      </c>
      <c r="K28" s="331" t="s">
        <v>1084</v>
      </c>
      <c r="L28" s="157" t="s">
        <v>1085</v>
      </c>
      <c r="M28" s="157" t="s">
        <v>946</v>
      </c>
      <c r="N28" s="157"/>
      <c r="O28" s="308" t="s">
        <v>1086</v>
      </c>
    </row>
    <row r="29" spans="1:26" ht="15" customHeight="1">
      <c r="A29" s="63">
        <v>43255</v>
      </c>
      <c r="B29" s="1" t="s">
        <v>959</v>
      </c>
      <c r="C29" s="5" t="s">
        <v>167</v>
      </c>
      <c r="D29" s="62" t="s">
        <v>168</v>
      </c>
      <c r="E29" s="78" t="s">
        <v>1087</v>
      </c>
      <c r="F29" s="78" t="s">
        <v>1088</v>
      </c>
      <c r="G29" s="78" t="s">
        <v>1089</v>
      </c>
      <c r="H29" s="78" t="s">
        <v>1090</v>
      </c>
      <c r="I29" s="78" t="s">
        <v>1091</v>
      </c>
      <c r="J29" t="s">
        <v>1092</v>
      </c>
      <c r="K29" s="115" t="s">
        <v>1093</v>
      </c>
      <c r="L29" s="115" t="s">
        <v>1094</v>
      </c>
      <c r="M29" s="115" t="s">
        <v>879</v>
      </c>
      <c r="N29" s="115" t="s">
        <v>897</v>
      </c>
      <c r="O29" s="78" t="s">
        <v>1095</v>
      </c>
    </row>
    <row r="30" spans="1:26" s="200" customFormat="1" ht="15" customHeight="1">
      <c r="A30" s="63">
        <v>43082</v>
      </c>
      <c r="B30" s="62" t="s">
        <v>54</v>
      </c>
      <c r="C30" s="5" t="s">
        <v>63</v>
      </c>
      <c r="D30" s="62" t="s">
        <v>64</v>
      </c>
      <c r="E30" s="78" t="s">
        <v>1096</v>
      </c>
      <c r="F30" s="78" t="s">
        <v>1097</v>
      </c>
      <c r="G30" s="89" t="s">
        <v>1098</v>
      </c>
      <c r="H30" s="78" t="s">
        <v>1099</v>
      </c>
      <c r="I30" s="89" t="s">
        <v>1100</v>
      </c>
      <c r="J30" s="151" t="s">
        <v>1101</v>
      </c>
      <c r="K30" s="151" t="s">
        <v>1102</v>
      </c>
      <c r="L30" s="151" t="s">
        <v>1103</v>
      </c>
      <c r="M30" s="151" t="s">
        <v>946</v>
      </c>
      <c r="N30" s="227" t="s">
        <v>897</v>
      </c>
      <c r="O30" s="89" t="s">
        <v>1104</v>
      </c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5" customHeight="1">
      <c r="A31" s="63">
        <v>43210</v>
      </c>
      <c r="B31" s="62" t="s">
        <v>54</v>
      </c>
      <c r="C31" s="5" t="s">
        <v>164</v>
      </c>
      <c r="D31" s="62" t="s">
        <v>165</v>
      </c>
      <c r="E31" s="78" t="s">
        <v>1105</v>
      </c>
      <c r="F31" s="78" t="s">
        <v>1106</v>
      </c>
      <c r="G31" s="78" t="s">
        <v>1107</v>
      </c>
      <c r="H31" s="78" t="s">
        <v>1108</v>
      </c>
      <c r="I31" s="62" t="s">
        <v>1109</v>
      </c>
      <c r="J31" s="227" t="s">
        <v>1110</v>
      </c>
      <c r="K31" s="227" t="s">
        <v>1111</v>
      </c>
      <c r="L31" s="227" t="s">
        <v>1110</v>
      </c>
      <c r="M31" s="151" t="s">
        <v>868</v>
      </c>
      <c r="N31" s="227" t="s">
        <v>1009</v>
      </c>
      <c r="O31" s="89" t="s">
        <v>1112</v>
      </c>
    </row>
    <row r="32" spans="1:26" ht="15" customHeight="1">
      <c r="A32" s="63">
        <v>43255</v>
      </c>
      <c r="B32" s="1" t="s">
        <v>959</v>
      </c>
      <c r="C32" s="5" t="s">
        <v>174</v>
      </c>
      <c r="D32" s="62" t="s">
        <v>175</v>
      </c>
      <c r="E32" s="78" t="s">
        <v>1113</v>
      </c>
      <c r="F32" s="78" t="s">
        <v>1114</v>
      </c>
      <c r="G32" s="78" t="s">
        <v>1115</v>
      </c>
      <c r="H32" s="78" t="s">
        <v>1116</v>
      </c>
      <c r="I32" s="78" t="s">
        <v>1117</v>
      </c>
      <c r="J32" s="115" t="s">
        <v>1118</v>
      </c>
      <c r="K32" s="115" t="s">
        <v>1119</v>
      </c>
      <c r="L32" s="115" t="s">
        <v>1120</v>
      </c>
      <c r="M32" s="115" t="s">
        <v>868</v>
      </c>
      <c r="N32" t="s">
        <v>1009</v>
      </c>
      <c r="O32" s="78" t="s">
        <v>1121</v>
      </c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</row>
    <row r="33" spans="1:26" ht="15" customHeight="1">
      <c r="A33" s="63">
        <v>43234</v>
      </c>
      <c r="B33" s="1" t="s">
        <v>1018</v>
      </c>
      <c r="C33" s="5" t="s">
        <v>130</v>
      </c>
      <c r="D33" s="62" t="s">
        <v>131</v>
      </c>
      <c r="E33" s="78" t="s">
        <v>1122</v>
      </c>
      <c r="F33" s="78" t="s">
        <v>1123</v>
      </c>
      <c r="G33" s="78" t="s">
        <v>1124</v>
      </c>
      <c r="H33" s="78" t="s">
        <v>1125</v>
      </c>
      <c r="I33" s="78" t="s">
        <v>1126</v>
      </c>
      <c r="J33" s="115" t="s">
        <v>1127</v>
      </c>
      <c r="K33" s="115" t="s">
        <v>1128</v>
      </c>
      <c r="L33" s="115" t="s">
        <v>1129</v>
      </c>
      <c r="M33" s="115" t="s">
        <v>868</v>
      </c>
      <c r="N33" s="115" t="s">
        <v>1009</v>
      </c>
      <c r="O33" s="78" t="s">
        <v>1130</v>
      </c>
    </row>
    <row r="34" spans="1:26" ht="15" customHeight="1">
      <c r="A34" s="194">
        <v>43234</v>
      </c>
      <c r="B34" s="193" t="s">
        <v>216</v>
      </c>
      <c r="C34" s="197" t="s">
        <v>227</v>
      </c>
      <c r="D34" s="198" t="s">
        <v>228</v>
      </c>
      <c r="E34" s="215" t="s">
        <v>1131</v>
      </c>
      <c r="F34" s="215" t="s">
        <v>1132</v>
      </c>
      <c r="G34" s="215" t="s">
        <v>1133</v>
      </c>
      <c r="H34" s="215" t="s">
        <v>1134</v>
      </c>
      <c r="I34" s="215" t="s">
        <v>1135</v>
      </c>
      <c r="J34" s="226" t="s">
        <v>1136</v>
      </c>
      <c r="K34" s="201" t="s">
        <v>1137</v>
      </c>
      <c r="L34" s="214" t="s">
        <v>1136</v>
      </c>
      <c r="M34" s="198" t="s">
        <v>857</v>
      </c>
      <c r="N34" s="198"/>
      <c r="O34" s="215" t="s">
        <v>1138</v>
      </c>
    </row>
    <row r="35" spans="1:26" ht="15" customHeight="1">
      <c r="A35" s="31">
        <v>43014</v>
      </c>
      <c r="B35" s="62" t="s">
        <v>1139</v>
      </c>
      <c r="C35" s="5" t="s">
        <v>31</v>
      </c>
      <c r="D35" s="62" t="s">
        <v>32</v>
      </c>
      <c r="E35" s="62" t="s">
        <v>1140</v>
      </c>
      <c r="F35" s="62" t="s">
        <v>1141</v>
      </c>
      <c r="G35" s="62" t="s">
        <v>1142</v>
      </c>
      <c r="H35" s="62" t="s">
        <v>1143</v>
      </c>
      <c r="I35" s="62" t="s">
        <v>1144</v>
      </c>
      <c r="J35" s="62" t="s">
        <v>1145</v>
      </c>
      <c r="K35" s="62" t="s">
        <v>1146</v>
      </c>
      <c r="L35" s="3" t="s">
        <v>1147</v>
      </c>
      <c r="M35" s="62" t="s">
        <v>879</v>
      </c>
      <c r="N35" s="115" t="s">
        <v>858</v>
      </c>
      <c r="O35" s="62" t="s">
        <v>1148</v>
      </c>
    </row>
    <row r="36" spans="1:26" ht="15" customHeight="1">
      <c r="A36" s="31">
        <v>43055</v>
      </c>
      <c r="B36" s="62" t="s">
        <v>1149</v>
      </c>
      <c r="C36" s="5" t="s">
        <v>250</v>
      </c>
      <c r="D36" s="62" t="s">
        <v>251</v>
      </c>
      <c r="E36" s="62" t="s">
        <v>1150</v>
      </c>
      <c r="F36" s="62" t="s">
        <v>1151</v>
      </c>
      <c r="G36" s="62" t="s">
        <v>1152</v>
      </c>
      <c r="H36" s="62" t="s">
        <v>1153</v>
      </c>
      <c r="I36" s="62" t="s">
        <v>1154</v>
      </c>
      <c r="J36" s="151" t="s">
        <v>1155</v>
      </c>
      <c r="K36" s="151" t="s">
        <v>1156</v>
      </c>
      <c r="L36" s="312" t="s">
        <v>1157</v>
      </c>
      <c r="M36" s="151" t="s">
        <v>879</v>
      </c>
      <c r="N36" t="s">
        <v>858</v>
      </c>
      <c r="O36" s="62" t="s">
        <v>1158</v>
      </c>
    </row>
    <row r="37" spans="1:26" ht="15" customHeight="1">
      <c r="A37" s="63">
        <v>43230</v>
      </c>
      <c r="B37" s="1" t="s">
        <v>219</v>
      </c>
      <c r="C37" s="13" t="s">
        <v>178</v>
      </c>
      <c r="D37" s="68" t="s">
        <v>179</v>
      </c>
      <c r="E37" s="71" t="s">
        <v>1159</v>
      </c>
      <c r="F37" s="71" t="s">
        <v>1160</v>
      </c>
      <c r="G37" s="71" t="s">
        <v>1161</v>
      </c>
      <c r="H37" s="71" t="s">
        <v>1162</v>
      </c>
      <c r="I37" s="62" t="s">
        <v>1163</v>
      </c>
      <c r="J37" s="71" t="s">
        <v>1164</v>
      </c>
      <c r="K37" s="62" t="s">
        <v>1165</v>
      </c>
      <c r="L37" s="62" t="s">
        <v>1166</v>
      </c>
      <c r="M37" s="103" t="s">
        <v>868</v>
      </c>
      <c r="N37" s="227" t="s">
        <v>1009</v>
      </c>
      <c r="O37" s="71" t="s">
        <v>1167</v>
      </c>
    </row>
    <row r="38" spans="1:26" ht="15" customHeight="1">
      <c r="A38" s="63">
        <v>43201</v>
      </c>
      <c r="B38" s="1" t="s">
        <v>219</v>
      </c>
      <c r="C38" s="5" t="s">
        <v>189</v>
      </c>
      <c r="D38" s="78" t="s">
        <v>190</v>
      </c>
      <c r="E38" s="78" t="s">
        <v>1168</v>
      </c>
      <c r="F38" s="78" t="s">
        <v>1169</v>
      </c>
      <c r="G38" s="78" t="s">
        <v>1170</v>
      </c>
      <c r="H38" s="78" t="s">
        <v>1171</v>
      </c>
      <c r="I38" s="89" t="s">
        <v>1172</v>
      </c>
      <c r="J38" s="115" t="s">
        <v>1173</v>
      </c>
      <c r="K38" s="115" t="s">
        <v>1174</v>
      </c>
      <c r="L38" s="115" t="s">
        <v>1175</v>
      </c>
      <c r="M38" s="115" t="s">
        <v>946</v>
      </c>
      <c r="N38" s="115" t="s">
        <v>947</v>
      </c>
      <c r="O38" s="78" t="s">
        <v>1176</v>
      </c>
      <c r="P38" s="206"/>
      <c r="Q38" s="206"/>
      <c r="R38" s="206"/>
      <c r="S38" s="206"/>
      <c r="T38" s="206"/>
      <c r="U38" s="206"/>
      <c r="V38" s="206"/>
      <c r="W38" s="206"/>
      <c r="X38" s="206"/>
      <c r="Y38" s="206"/>
      <c r="Z38" s="206"/>
    </row>
    <row r="39" spans="1:26" ht="15" customHeight="1">
      <c r="A39" s="63">
        <v>43223</v>
      </c>
      <c r="B39" s="1" t="s">
        <v>927</v>
      </c>
      <c r="C39" s="5" t="s">
        <v>88</v>
      </c>
      <c r="D39" s="62" t="s">
        <v>89</v>
      </c>
      <c r="E39" s="78" t="s">
        <v>1177</v>
      </c>
      <c r="F39" s="78" t="s">
        <v>1178</v>
      </c>
      <c r="G39" s="78" t="s">
        <v>1179</v>
      </c>
      <c r="H39" s="78" t="s">
        <v>1180</v>
      </c>
      <c r="I39" s="78" t="s">
        <v>1181</v>
      </c>
      <c r="J39" s="315" t="s">
        <v>1182</v>
      </c>
      <c r="K39" s="332" t="s">
        <v>1183</v>
      </c>
      <c r="L39" s="3" t="s">
        <v>1184</v>
      </c>
      <c r="M39" s="239" t="s">
        <v>857</v>
      </c>
      <c r="N39" s="318" t="s">
        <v>897</v>
      </c>
      <c r="O39" s="79" t="s">
        <v>1185</v>
      </c>
    </row>
    <row r="40" spans="1:26" ht="15" customHeight="1">
      <c r="A40" s="203">
        <v>43235</v>
      </c>
      <c r="B40" s="1" t="s">
        <v>927</v>
      </c>
      <c r="C40" s="216" t="s">
        <v>181</v>
      </c>
      <c r="D40" s="217" t="s">
        <v>182</v>
      </c>
      <c r="E40" s="224" t="s">
        <v>1186</v>
      </c>
      <c r="F40" s="224" t="s">
        <v>1187</v>
      </c>
      <c r="G40" s="224" t="s">
        <v>1188</v>
      </c>
      <c r="H40" s="224" t="s">
        <v>1189</v>
      </c>
      <c r="I40" s="204" t="s">
        <v>1190</v>
      </c>
      <c r="J40" s="327" t="s">
        <v>1191</v>
      </c>
      <c r="K40" s="329" t="s">
        <v>1192</v>
      </c>
      <c r="L40" s="327" t="s">
        <v>1193</v>
      </c>
      <c r="M40" s="329" t="s">
        <v>868</v>
      </c>
      <c r="N40" s="319" t="s">
        <v>1194</v>
      </c>
      <c r="O40" s="224" t="s">
        <v>1195</v>
      </c>
    </row>
    <row r="41" spans="1:26" ht="15" customHeight="1">
      <c r="A41" s="63">
        <v>43255</v>
      </c>
      <c r="B41" s="1" t="s">
        <v>983</v>
      </c>
      <c r="C41" s="5" t="s">
        <v>185</v>
      </c>
      <c r="D41" s="62" t="s">
        <v>186</v>
      </c>
      <c r="E41" s="78" t="s">
        <v>1196</v>
      </c>
      <c r="F41" s="78" t="s">
        <v>1197</v>
      </c>
      <c r="G41" s="78" t="s">
        <v>862</v>
      </c>
      <c r="H41" s="78" t="s">
        <v>1198</v>
      </c>
      <c r="I41" s="78" t="s">
        <v>1199</v>
      </c>
      <c r="J41" s="115" t="s">
        <v>1200</v>
      </c>
      <c r="K41" s="115" t="s">
        <v>1201</v>
      </c>
      <c r="L41" s="3" t="s">
        <v>1202</v>
      </c>
      <c r="M41" s="48" t="s">
        <v>868</v>
      </c>
      <c r="N41" s="332" t="s">
        <v>1009</v>
      </c>
      <c r="O41" s="78" t="s">
        <v>1203</v>
      </c>
    </row>
    <row r="42" spans="1:26" ht="15" customHeight="1">
      <c r="A42" s="63">
        <v>43255</v>
      </c>
      <c r="B42" s="1" t="s">
        <v>54</v>
      </c>
      <c r="C42" s="5" t="s">
        <v>170</v>
      </c>
      <c r="D42" s="62" t="s">
        <v>171</v>
      </c>
      <c r="E42" s="78" t="s">
        <v>1204</v>
      </c>
      <c r="F42" s="78" t="s">
        <v>1205</v>
      </c>
      <c r="G42" s="78" t="s">
        <v>1206</v>
      </c>
      <c r="H42" s="78" t="s">
        <v>1207</v>
      </c>
      <c r="I42" s="89" t="s">
        <v>1208</v>
      </c>
      <c r="J42" t="s">
        <v>1209</v>
      </c>
      <c r="K42" s="115" t="s">
        <v>1210</v>
      </c>
      <c r="L42" s="115" t="s">
        <v>1211</v>
      </c>
      <c r="M42" s="115" t="s">
        <v>857</v>
      </c>
      <c r="N42" s="115" t="s">
        <v>907</v>
      </c>
      <c r="O42" s="78" t="s">
        <v>1212</v>
      </c>
    </row>
    <row r="43" spans="1:26">
      <c r="A43" s="63">
        <v>43102</v>
      </c>
      <c r="B43" s="1" t="s">
        <v>949</v>
      </c>
      <c r="C43" s="5" t="s">
        <v>34</v>
      </c>
      <c r="D43" s="1" t="s">
        <v>35</v>
      </c>
      <c r="N43" s="151"/>
    </row>
    <row r="44" spans="1:26" s="200" customFormat="1" ht="30">
      <c r="A44" s="153">
        <v>43243</v>
      </c>
      <c r="B44" s="157" t="s">
        <v>828</v>
      </c>
      <c r="C44" s="155" t="s">
        <v>258</v>
      </c>
      <c r="D44" s="157" t="s">
        <v>259</v>
      </c>
      <c r="E44" s="179" t="s">
        <v>899</v>
      </c>
      <c r="F44" s="179" t="s">
        <v>918</v>
      </c>
      <c r="G44" s="179" t="s">
        <v>1213</v>
      </c>
      <c r="H44" s="179" t="s">
        <v>1214</v>
      </c>
      <c r="I44" s="179" t="s">
        <v>1215</v>
      </c>
      <c r="J44" s="179" t="s">
        <v>1216</v>
      </c>
      <c r="K44" s="316" t="s">
        <v>1217</v>
      </c>
      <c r="L44" s="180" t="s">
        <v>1218</v>
      </c>
      <c r="M44" s="154" t="s">
        <v>857</v>
      </c>
      <c r="N44" s="336"/>
      <c r="O44" s="179" t="s">
        <v>1219</v>
      </c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spans="1:26">
      <c r="A45" s="63">
        <v>43144</v>
      </c>
      <c r="B45" s="62" t="s">
        <v>54</v>
      </c>
      <c r="C45" s="5" t="s">
        <v>195</v>
      </c>
      <c r="D45" s="62" t="s">
        <v>196</v>
      </c>
      <c r="E45" s="78" t="s">
        <v>1220</v>
      </c>
      <c r="F45" s="78" t="s">
        <v>1221</v>
      </c>
      <c r="G45" s="78" t="s">
        <v>1222</v>
      </c>
      <c r="H45" s="78" t="s">
        <v>1223</v>
      </c>
      <c r="I45" s="89" t="s">
        <v>1224</v>
      </c>
      <c r="J45" s="62" t="s">
        <v>1225</v>
      </c>
      <c r="K45" s="62" t="s">
        <v>1226</v>
      </c>
      <c r="L45" s="62" t="s">
        <v>1227</v>
      </c>
      <c r="M45" s="62" t="s">
        <v>857</v>
      </c>
      <c r="N45" s="227" t="s">
        <v>897</v>
      </c>
      <c r="O45" s="78" t="s">
        <v>1228</v>
      </c>
    </row>
    <row r="46" spans="1:26" ht="16.5" customHeight="1">
      <c r="A46" s="31">
        <v>43243</v>
      </c>
      <c r="B46" s="1" t="s">
        <v>983</v>
      </c>
      <c r="C46" s="75" t="s">
        <v>198</v>
      </c>
      <c r="D46" s="3" t="s">
        <v>199</v>
      </c>
      <c r="E46" s="71" t="s">
        <v>1229</v>
      </c>
      <c r="F46" s="71" t="s">
        <v>1230</v>
      </c>
      <c r="G46" s="71" t="s">
        <v>851</v>
      </c>
      <c r="H46" s="148" t="s">
        <v>1231</v>
      </c>
      <c r="I46" s="62" t="s">
        <v>1232</v>
      </c>
      <c r="J46" s="148" t="s">
        <v>1233</v>
      </c>
      <c r="K46" s="239" t="s">
        <v>1234</v>
      </c>
      <c r="L46" s="239" t="s">
        <v>1235</v>
      </c>
      <c r="M46" s="239" t="s">
        <v>879</v>
      </c>
      <c r="N46" s="250" t="s">
        <v>947</v>
      </c>
      <c r="O46" s="62"/>
    </row>
    <row r="47" spans="1:26" s="87" customFormat="1" ht="30">
      <c r="A47" s="63">
        <v>43245</v>
      </c>
      <c r="B47" s="1" t="s">
        <v>219</v>
      </c>
      <c r="C47" s="5" t="s">
        <v>119</v>
      </c>
      <c r="D47" s="62" t="s">
        <v>120</v>
      </c>
      <c r="E47" s="78" t="s">
        <v>1131</v>
      </c>
      <c r="F47" s="78" t="s">
        <v>1236</v>
      </c>
      <c r="G47" s="78" t="s">
        <v>1237</v>
      </c>
      <c r="H47" s="78" t="s">
        <v>1238</v>
      </c>
      <c r="I47" s="78" t="s">
        <v>1239</v>
      </c>
      <c r="J47" t="s">
        <v>1240</v>
      </c>
      <c r="K47" s="148" t="s">
        <v>1241</v>
      </c>
      <c r="L47" s="151" t="s">
        <v>1242</v>
      </c>
      <c r="M47" s="62" t="s">
        <v>868</v>
      </c>
      <c r="N47" s="148" t="s">
        <v>936</v>
      </c>
      <c r="O47" s="220" t="s">
        <v>1243</v>
      </c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</row>
    <row r="48" spans="1:26" ht="15" customHeight="1">
      <c r="A48" s="63">
        <v>43200</v>
      </c>
      <c r="B48" s="1" t="s">
        <v>959</v>
      </c>
      <c r="C48" s="5" t="s">
        <v>116</v>
      </c>
      <c r="D48" s="62" t="s">
        <v>117</v>
      </c>
      <c r="E48" s="79" t="s">
        <v>1244</v>
      </c>
      <c r="F48" s="79" t="s">
        <v>1245</v>
      </c>
      <c r="G48" s="79" t="s">
        <v>883</v>
      </c>
      <c r="H48" s="79" t="s">
        <v>1246</v>
      </c>
      <c r="I48" s="62" t="s">
        <v>1247</v>
      </c>
      <c r="J48" s="62" t="s">
        <v>1248</v>
      </c>
      <c r="K48" s="62" t="s">
        <v>1249</v>
      </c>
      <c r="L48" s="62" t="s">
        <v>1250</v>
      </c>
      <c r="M48" s="148" t="s">
        <v>857</v>
      </c>
      <c r="N48" s="148" t="s">
        <v>936</v>
      </c>
      <c r="O48" s="79" t="s">
        <v>1251</v>
      </c>
      <c r="Y48" s="77"/>
    </row>
    <row r="49" spans="1:26" ht="15" customHeight="1" thickBot="1">
      <c r="A49" s="63">
        <v>43210</v>
      </c>
      <c r="B49" s="62" t="s">
        <v>54</v>
      </c>
      <c r="C49" s="5" t="s">
        <v>92</v>
      </c>
      <c r="D49" s="78" t="s">
        <v>93</v>
      </c>
      <c r="E49" s="78" t="s">
        <v>1252</v>
      </c>
      <c r="F49" s="78" t="s">
        <v>1253</v>
      </c>
      <c r="G49" s="78" t="s">
        <v>1254</v>
      </c>
      <c r="H49" s="78" t="s">
        <v>1255</v>
      </c>
      <c r="I49" s="89" t="s">
        <v>1256</v>
      </c>
      <c r="J49" s="227" t="s">
        <v>1257</v>
      </c>
      <c r="K49" s="227" t="s">
        <v>1258</v>
      </c>
      <c r="L49" s="148" t="s">
        <v>1259</v>
      </c>
      <c r="M49" s="62" t="s">
        <v>879</v>
      </c>
      <c r="N49" s="148" t="s">
        <v>936</v>
      </c>
      <c r="O49" s="89" t="s">
        <v>1260</v>
      </c>
    </row>
    <row r="50" spans="1:26" s="156" customFormat="1" ht="15" customHeight="1" thickBot="1">
      <c r="A50" s="66">
        <v>43241</v>
      </c>
      <c r="B50" s="130" t="s">
        <v>927</v>
      </c>
      <c r="C50" s="129" t="s">
        <v>1261</v>
      </c>
      <c r="D50" s="148" t="s">
        <v>71</v>
      </c>
      <c r="E50" s="309" t="s">
        <v>860</v>
      </c>
      <c r="F50" s="309" t="s">
        <v>1262</v>
      </c>
      <c r="G50" s="309" t="s">
        <v>901</v>
      </c>
      <c r="H50" s="309" t="s">
        <v>1263</v>
      </c>
      <c r="I50" s="309" t="s">
        <v>1264</v>
      </c>
      <c r="J50" t="s">
        <v>1265</v>
      </c>
      <c r="K50" s="148" t="s">
        <v>1041</v>
      </c>
      <c r="L50" s="314" t="s">
        <v>1266</v>
      </c>
      <c r="M50" s="148" t="s">
        <v>879</v>
      </c>
      <c r="N50" s="62" t="s">
        <v>869</v>
      </c>
      <c r="O50" s="309" t="s">
        <v>1267</v>
      </c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</row>
    <row r="51" spans="1:26" s="156" customFormat="1" ht="15" customHeight="1" thickBot="1">
      <c r="A51" s="149">
        <v>43151</v>
      </c>
      <c r="B51" s="62" t="s">
        <v>54</v>
      </c>
      <c r="C51" s="5" t="s">
        <v>55</v>
      </c>
      <c r="D51" s="78" t="s">
        <v>56</v>
      </c>
      <c r="E51" s="221" t="s">
        <v>1268</v>
      </c>
      <c r="F51" s="221" t="s">
        <v>1269</v>
      </c>
      <c r="G51" s="221" t="s">
        <v>911</v>
      </c>
      <c r="H51" s="221" t="s">
        <v>1270</v>
      </c>
      <c r="I51" s="89" t="s">
        <v>1271</v>
      </c>
      <c r="J51" s="151" t="s">
        <v>1272</v>
      </c>
      <c r="K51" s="62" t="s">
        <v>1273</v>
      </c>
      <c r="L51" s="230" t="s">
        <v>1274</v>
      </c>
      <c r="M51" s="62" t="s">
        <v>868</v>
      </c>
      <c r="N51" s="115" t="s">
        <v>858</v>
      </c>
      <c r="O51" s="221" t="s">
        <v>1275</v>
      </c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spans="1:26" s="65" customFormat="1" ht="15" customHeight="1" thickBot="1">
      <c r="A52" s="63">
        <v>43073</v>
      </c>
      <c r="B52" s="62" t="s">
        <v>959</v>
      </c>
      <c r="C52" s="5" t="s">
        <v>136</v>
      </c>
      <c r="D52" s="62" t="s">
        <v>137</v>
      </c>
      <c r="E52" s="221" t="s">
        <v>1113</v>
      </c>
      <c r="F52" s="221" t="s">
        <v>1276</v>
      </c>
      <c r="G52" s="221" t="s">
        <v>1277</v>
      </c>
      <c r="H52" s="221" t="s">
        <v>1278</v>
      </c>
      <c r="I52" s="89" t="s">
        <v>1279</v>
      </c>
      <c r="J52" s="223" t="s">
        <v>1280</v>
      </c>
      <c r="K52" s="62" t="s">
        <v>1281</v>
      </c>
      <c r="L52" s="62" t="s">
        <v>1282</v>
      </c>
      <c r="M52" s="151" t="s">
        <v>946</v>
      </c>
      <c r="N52" s="148" t="s">
        <v>897</v>
      </c>
      <c r="O52" s="221" t="s">
        <v>1283</v>
      </c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spans="1:26" s="210" customFormat="1" ht="15" customHeight="1" thickBot="1">
      <c r="A53" s="194">
        <v>43217</v>
      </c>
      <c r="B53" s="193" t="s">
        <v>216</v>
      </c>
      <c r="C53" s="197" t="s">
        <v>238</v>
      </c>
      <c r="D53" s="198" t="s">
        <v>239</v>
      </c>
      <c r="E53" s="222" t="s">
        <v>1284</v>
      </c>
      <c r="F53" s="222" t="s">
        <v>1285</v>
      </c>
      <c r="G53" s="222" t="s">
        <v>911</v>
      </c>
      <c r="H53" s="222" t="s">
        <v>1286</v>
      </c>
      <c r="I53" s="198" t="s">
        <v>1287</v>
      </c>
      <c r="J53" s="201" t="s">
        <v>1288</v>
      </c>
      <c r="K53" s="229" t="s">
        <v>1289</v>
      </c>
      <c r="L53" s="198" t="s">
        <v>1290</v>
      </c>
      <c r="M53" s="229" t="s">
        <v>879</v>
      </c>
      <c r="N53" s="198"/>
      <c r="O53" s="222" t="s">
        <v>1291</v>
      </c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201"/>
    </row>
    <row r="54" spans="1:26" s="173" customFormat="1" ht="15" customHeight="1" thickBot="1">
      <c r="A54" s="63">
        <v>43186</v>
      </c>
      <c r="B54" s="62" t="s">
        <v>1292</v>
      </c>
      <c r="C54" s="5" t="s">
        <v>201</v>
      </c>
      <c r="D54" s="3" t="s">
        <v>202</v>
      </c>
      <c r="E54" s="223" t="s">
        <v>1293</v>
      </c>
      <c r="F54" s="223" t="s">
        <v>1294</v>
      </c>
      <c r="G54" s="223" t="s">
        <v>1295</v>
      </c>
      <c r="H54" s="223" t="s">
        <v>1296</v>
      </c>
      <c r="I54" s="223" t="s">
        <v>1297</v>
      </c>
      <c r="J54" s="223" t="s">
        <v>1298</v>
      </c>
      <c r="K54" s="228" t="s">
        <v>1299</v>
      </c>
      <c r="L54" s="230" t="s">
        <v>1300</v>
      </c>
      <c r="M54" s="151" t="s">
        <v>946</v>
      </c>
      <c r="N54" s="115" t="s">
        <v>858</v>
      </c>
      <c r="O54" s="231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spans="1:26" ht="15" customHeight="1" thickBot="1">
      <c r="A55" s="31">
        <v>43021</v>
      </c>
      <c r="B55" s="62" t="s">
        <v>54</v>
      </c>
      <c r="C55" s="5" t="s">
        <v>209</v>
      </c>
      <c r="D55" s="62" t="s">
        <v>207</v>
      </c>
      <c r="E55" s="223" t="s">
        <v>1301</v>
      </c>
      <c r="F55" s="223" t="s">
        <v>1302</v>
      </c>
      <c r="G55" s="223" t="s">
        <v>1303</v>
      </c>
      <c r="H55" s="223" t="s">
        <v>1304</v>
      </c>
      <c r="I55" s="325" t="s">
        <v>1305</v>
      </c>
      <c r="J55" s="223" t="s">
        <v>1306</v>
      </c>
      <c r="K55" s="62" t="s">
        <v>1075</v>
      </c>
      <c r="L55" s="230" t="s">
        <v>1076</v>
      </c>
      <c r="M55" s="151" t="s">
        <v>879</v>
      </c>
      <c r="N55" s="148" t="s">
        <v>897</v>
      </c>
      <c r="O55" s="223" t="s">
        <v>1307</v>
      </c>
    </row>
    <row r="56" spans="1:26" s="156" customFormat="1" ht="15" customHeight="1" thickBot="1">
      <c r="A56" s="153">
        <v>43243</v>
      </c>
      <c r="B56" s="157" t="s">
        <v>828</v>
      </c>
      <c r="C56" s="155" t="s">
        <v>265</v>
      </c>
      <c r="D56" s="154" t="s">
        <v>266</v>
      </c>
      <c r="E56" s="322" t="s">
        <v>1308</v>
      </c>
      <c r="F56" s="322" t="s">
        <v>1309</v>
      </c>
      <c r="G56" s="322" t="s">
        <v>901</v>
      </c>
      <c r="H56" s="322" t="s">
        <v>1310</v>
      </c>
      <c r="I56" s="322" t="s">
        <v>1311</v>
      </c>
      <c r="J56" s="322" t="s">
        <v>1312</v>
      </c>
      <c r="K56" s="154" t="s">
        <v>1313</v>
      </c>
      <c r="L56" s="176" t="s">
        <v>1314</v>
      </c>
      <c r="M56" s="154" t="s">
        <v>879</v>
      </c>
      <c r="N56" s="154"/>
      <c r="O56" s="340" t="s">
        <v>1315</v>
      </c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</row>
    <row r="57" spans="1:26" s="178" customFormat="1" ht="15" customHeight="1">
      <c r="A57" s="194">
        <v>43201</v>
      </c>
      <c r="B57" s="198" t="s">
        <v>216</v>
      </c>
      <c r="C57" s="320" t="s">
        <v>242</v>
      </c>
      <c r="D57" s="321" t="s">
        <v>243</v>
      </c>
      <c r="E57" s="323" t="s">
        <v>1316</v>
      </c>
      <c r="F57" s="323" t="s">
        <v>1317</v>
      </c>
      <c r="G57" s="324" t="s">
        <v>1318</v>
      </c>
      <c r="H57" s="324" t="s">
        <v>1319</v>
      </c>
      <c r="I57" s="324" t="s">
        <v>1320</v>
      </c>
      <c r="J57" s="226" t="s">
        <v>1321</v>
      </c>
      <c r="K57" s="321" t="s">
        <v>1322</v>
      </c>
      <c r="L57" s="333" t="s">
        <v>1323</v>
      </c>
      <c r="M57" s="321" t="s">
        <v>857</v>
      </c>
      <c r="N57" s="321"/>
      <c r="O57" s="229" t="s">
        <v>1324</v>
      </c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</row>
    <row r="58" spans="1:26">
      <c r="A58" s="63">
        <v>43102</v>
      </c>
      <c r="B58" s="1" t="s">
        <v>949</v>
      </c>
      <c r="C58" s="5" t="s">
        <v>1325</v>
      </c>
      <c r="D58" s="1" t="s">
        <v>39</v>
      </c>
    </row>
    <row r="59" spans="1:26" s="156" customFormat="1" ht="15" customHeight="1" thickBot="1">
      <c r="A59" s="63">
        <v>43073</v>
      </c>
      <c r="B59" s="62" t="s">
        <v>54</v>
      </c>
      <c r="C59" s="5" t="s">
        <v>211</v>
      </c>
      <c r="D59" s="62" t="s">
        <v>676</v>
      </c>
      <c r="E59" s="78" t="s">
        <v>1326</v>
      </c>
      <c r="F59" s="78" t="s">
        <v>1327</v>
      </c>
      <c r="G59" s="78" t="s">
        <v>1328</v>
      </c>
      <c r="H59" s="78" t="s">
        <v>1329</v>
      </c>
      <c r="I59" s="89" t="s">
        <v>1330</v>
      </c>
      <c r="J59" s="62" t="s">
        <v>1331</v>
      </c>
      <c r="K59" s="151" t="s">
        <v>1332</v>
      </c>
      <c r="L59" s="62" t="s">
        <v>1333</v>
      </c>
      <c r="M59" s="62" t="s">
        <v>868</v>
      </c>
      <c r="N59" s="148" t="s">
        <v>1009</v>
      </c>
      <c r="O59" s="78" t="s">
        <v>1334</v>
      </c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</row>
    <row r="60" spans="1:26" s="173" customFormat="1" ht="15" customHeight="1" thickBot="1">
      <c r="A60" s="63">
        <v>43073</v>
      </c>
      <c r="B60" s="62" t="s">
        <v>54</v>
      </c>
      <c r="C60" s="5" t="s">
        <v>211</v>
      </c>
      <c r="D60" s="62" t="s">
        <v>469</v>
      </c>
      <c r="E60" s="221" t="s">
        <v>1061</v>
      </c>
      <c r="F60" s="221" t="s">
        <v>1335</v>
      </c>
      <c r="G60" s="221" t="s">
        <v>1336</v>
      </c>
      <c r="H60" s="221" t="s">
        <v>1337</v>
      </c>
      <c r="I60" s="225" t="s">
        <v>1338</v>
      </c>
      <c r="J60" s="223" t="s">
        <v>1339</v>
      </c>
      <c r="K60" s="228" t="s">
        <v>1340</v>
      </c>
      <c r="L60" s="62" t="s">
        <v>1341</v>
      </c>
      <c r="M60" s="62" t="s">
        <v>868</v>
      </c>
      <c r="N60" s="148" t="s">
        <v>1009</v>
      </c>
      <c r="O60" s="225" t="s">
        <v>1342</v>
      </c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</row>
    <row r="61" spans="1:26">
      <c r="A61" s="30">
        <v>43088</v>
      </c>
      <c r="B61" s="1" t="s">
        <v>949</v>
      </c>
      <c r="C61" s="5" t="s">
        <v>42</v>
      </c>
      <c r="D61" s="1" t="s">
        <v>43</v>
      </c>
    </row>
    <row r="93" spans="1:2">
      <c r="A93" s="232"/>
      <c r="B93" s="213"/>
    </row>
  </sheetData>
  <autoFilter ref="B1:B57" xr:uid="{00000000-0009-0000-0000-000002000000}"/>
  <sortState xmlns:xlrd2="http://schemas.microsoft.com/office/spreadsheetml/2017/richdata2" ref="A2:O57">
    <sortCondition ref="C2:C57"/>
  </sortState>
  <conditionalFormatting sqref="C3 D7 C2:D2 A15 A20 A22 A27 A32 A40 A2:A10">
    <cfRule type="expression" dxfId="21" priority="16">
      <formula>$F2="Out of Program"</formula>
    </cfRule>
  </conditionalFormatting>
  <conditionalFormatting sqref="E2:H2 O2 J2:K2 E9:H9 E4:L4 O7 E7:L7 J9">
    <cfRule type="expression" dxfId="20" priority="15">
      <formula>$J2="Out of Program"</formula>
    </cfRule>
  </conditionalFormatting>
  <conditionalFormatting sqref="D5:D6">
    <cfRule type="expression" dxfId="19" priority="123">
      <formula>#REF!="Out of Program"</formula>
    </cfRule>
  </conditionalFormatting>
  <conditionalFormatting sqref="D3">
    <cfRule type="expression" dxfId="18" priority="124">
      <formula>$F4="Out of Program"</formula>
    </cfRule>
  </conditionalFormatting>
  <conditionalFormatting sqref="O3">
    <cfRule type="expression" dxfId="17" priority="147">
      <formula>$J4="Out of Program"</formula>
    </cfRule>
  </conditionalFormatting>
  <conditionalFormatting sqref="O5:O6">
    <cfRule type="expression" dxfId="16" priority="148">
      <formula>#REF!="Out of Program"</formula>
    </cfRule>
  </conditionalFormatting>
  <conditionalFormatting sqref="O4">
    <cfRule type="expression" dxfId="15" priority="192">
      <formula>#REF!="Out of Program"</formula>
    </cfRule>
  </conditionalFormatting>
  <conditionalFormatting sqref="C5:C6 D4">
    <cfRule type="expression" dxfId="14" priority="193">
      <formula>#REF!="Out of Program"</formula>
    </cfRule>
  </conditionalFormatting>
  <conditionalFormatting sqref="C4 C8">
    <cfRule type="expression" dxfId="13" priority="200">
      <formula>#REF!="Out of Program"</formula>
    </cfRule>
  </conditionalFormatting>
  <conditionalFormatting sqref="D11">
    <cfRule type="expression" dxfId="12" priority="11">
      <formula>$U11="Out of Program"</formula>
    </cfRule>
  </conditionalFormatting>
  <conditionalFormatting sqref="L6">
    <cfRule type="expression" dxfId="11" priority="10">
      <formula>$J6="Out of Program"</formula>
    </cfRule>
  </conditionalFormatting>
  <conditionalFormatting sqref="E19:F19 H19 J19">
    <cfRule type="expression" dxfId="10" priority="9">
      <formula>$W19="Out of Program"</formula>
    </cfRule>
  </conditionalFormatting>
  <conditionalFormatting sqref="G19">
    <cfRule type="expression" dxfId="9" priority="210">
      <formula>$W19="Out of Program"</formula>
    </cfRule>
  </conditionalFormatting>
  <conditionalFormatting sqref="K19">
    <cfRule type="expression" dxfId="8" priority="8">
      <formula>$W19="Out of Program"</formula>
    </cfRule>
  </conditionalFormatting>
  <conditionalFormatting sqref="A13:A14">
    <cfRule type="expression" dxfId="7" priority="6">
      <formula>$F13="Out of Program"</formula>
    </cfRule>
  </conditionalFormatting>
  <conditionalFormatting sqref="A16">
    <cfRule type="expression" dxfId="6" priority="5">
      <formula>$F16="Out of Program"</formula>
    </cfRule>
  </conditionalFormatting>
  <conditionalFormatting sqref="L2">
    <cfRule type="expression" dxfId="5" priority="4">
      <formula>$J2="Out of Program"</formula>
    </cfRule>
  </conditionalFormatting>
  <conditionalFormatting sqref="C7">
    <cfRule type="expression" dxfId="4" priority="230">
      <formula>$I9="Out of Program"</formula>
    </cfRule>
  </conditionalFormatting>
  <conditionalFormatting sqref="K54 K60">
    <cfRule type="expression" dxfId="3" priority="3">
      <formula>$U54="Out of Program"</formula>
    </cfRule>
  </conditionalFormatting>
  <conditionalFormatting sqref="A12">
    <cfRule type="expression" dxfId="2" priority="1">
      <formula>$F12="Out of Program"</formula>
    </cfRule>
  </conditionalFormatting>
  <hyperlinks>
    <hyperlink ref="N41" r:id="rId1" xr:uid="{00000000-0004-0000-0200-000000000000}"/>
    <hyperlink ref="J39" r:id="rId2" xr:uid="{00000000-0004-0000-0200-000001000000}"/>
    <hyperlink ref="K39" r:id="rId3" xr:uid="{00000000-0004-0000-0200-000002000000}"/>
    <hyperlink ref="M39" r:id="rId4" xr:uid="{00000000-0004-0000-0200-000003000000}"/>
    <hyperlink ref="N39" r:id="rId5" xr:uid="{00000000-0004-0000-0200-000004000000}"/>
    <hyperlink ref="K46" r:id="rId6" xr:uid="{00000000-0004-0000-0200-000005000000}"/>
    <hyperlink ref="L46" r:id="rId7" xr:uid="{00000000-0004-0000-0200-000006000000}"/>
    <hyperlink ref="M46" r:id="rId8" xr:uid="{00000000-0004-0000-0200-000007000000}"/>
    <hyperlink ref="N46" r:id="rId9" xr:uid="{00000000-0004-0000-0200-000008000000}"/>
    <hyperlink ref="J15" r:id="rId10" xr:uid="{00000000-0004-0000-0200-000009000000}"/>
  </hyperlinks>
  <pageMargins left="0.7" right="0.7" top="0.75" bottom="0.75" header="0.3" footer="0.3"/>
  <pageSetup orientation="portrait"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6"/>
  <sheetViews>
    <sheetView tabSelected="1" topLeftCell="H31" workbookViewId="0">
      <selection activeCell="AA42" sqref="AA42"/>
    </sheetView>
  </sheetViews>
  <sheetFormatPr defaultColWidth="9.140625" defaultRowHeight="15"/>
  <cols>
    <col min="2" max="2" width="36" customWidth="1"/>
    <col min="4" max="4" width="9.85546875" bestFit="1" customWidth="1"/>
    <col min="5" max="5" width="20.140625" customWidth="1"/>
  </cols>
  <sheetData>
    <row r="1" spans="2:7" ht="15.75" thickBot="1">
      <c r="B1" s="46" t="s">
        <v>1343</v>
      </c>
      <c r="E1" s="113" t="s">
        <v>1344</v>
      </c>
      <c r="F1" s="114"/>
    </row>
    <row r="2" spans="2:7">
      <c r="B2" s="32" t="s">
        <v>1345</v>
      </c>
      <c r="C2" s="33">
        <f>COUNTIFS(Facilities!P:P,"&lt;&gt;",Facilities!P:P,"&lt;&gt;Out of Program")-1</f>
        <v>174</v>
      </c>
      <c r="E2" s="111" t="s">
        <v>49</v>
      </c>
      <c r="F2" s="112">
        <f>COUNTIF('Admin Unit'!D:D,"Full sampling")</f>
        <v>42</v>
      </c>
    </row>
    <row r="3" spans="2:7">
      <c r="B3" s="34" t="s">
        <v>1346</v>
      </c>
      <c r="C3" s="35">
        <f>COUNTIF(Facilities!K:K,"Completed")</f>
        <v>174</v>
      </c>
      <c r="E3" s="50" t="s">
        <v>22</v>
      </c>
      <c r="F3" s="51">
        <f>COUNTIF('Admin Unit'!D:D,"Follow up")</f>
        <v>5</v>
      </c>
    </row>
    <row r="4" spans="2:7">
      <c r="B4" s="36" t="s">
        <v>1347</v>
      </c>
      <c r="C4" s="37">
        <f>COUNTIF(Facilities!$K$2:$K$240,"&lt;&gt;"&amp;"Out of Program")</f>
        <v>200</v>
      </c>
      <c r="E4" s="52" t="s">
        <v>1348</v>
      </c>
      <c r="F4" s="53">
        <f>COUNTIF('Admin Unit'!D:D,"None")</f>
        <v>0</v>
      </c>
    </row>
    <row r="5" spans="2:7">
      <c r="B5" s="38" t="s">
        <v>1349</v>
      </c>
      <c r="C5" s="39">
        <f ca="1">COUNTIF(Facilities!L:L,"&lt;="&amp;TODAY())</f>
        <v>174</v>
      </c>
      <c r="E5" s="50" t="s">
        <v>341</v>
      </c>
      <c r="F5" s="51">
        <f>COUNTIF(Facilities!I:I,"EECF")</f>
        <v>37</v>
      </c>
    </row>
    <row r="6" spans="2:7">
      <c r="B6" s="40" t="s">
        <v>1350</v>
      </c>
      <c r="C6" s="41">
        <f>AVERAGE(Facilities!$N$2:$N$240)</f>
        <v>68.931034482758619</v>
      </c>
      <c r="E6" s="52" t="s">
        <v>225</v>
      </c>
      <c r="F6" s="53">
        <f>COUNTIF('Admin Unit'!D2:D60,"")</f>
        <v>0</v>
      </c>
    </row>
    <row r="7" spans="2:7">
      <c r="B7" s="42" t="s">
        <v>1351</v>
      </c>
      <c r="C7" s="43">
        <f>MAX(Facilities!$N$2:$N$240)</f>
        <v>214</v>
      </c>
      <c r="E7" s="136" t="s">
        <v>732</v>
      </c>
      <c r="F7" s="137">
        <f>COUNTIF('Admin Unit'!D2:D60,"Out of program")</f>
        <v>8</v>
      </c>
    </row>
    <row r="8" spans="2:7" ht="15.75" thickBot="1">
      <c r="B8" s="40" t="s">
        <v>1352</v>
      </c>
      <c r="C8" s="41">
        <f>MIN(Facilities!$N$2:$N$240)</f>
        <v>6</v>
      </c>
      <c r="E8" s="138" t="s">
        <v>1353</v>
      </c>
      <c r="F8" s="139">
        <f>COUNTIF('Admin Unit'!A:A,"&lt;&gt;")-1</f>
        <v>59</v>
      </c>
    </row>
    <row r="9" spans="2:7" ht="15.75" thickBot="1">
      <c r="B9" s="42" t="s">
        <v>1354</v>
      </c>
      <c r="C9" s="43">
        <f>SUM(Facilities!$N$2:$N$240)</f>
        <v>11994</v>
      </c>
    </row>
    <row r="10" spans="2:7" ht="16.5" customHeight="1" thickBot="1">
      <c r="B10" s="44" t="s">
        <v>1355</v>
      </c>
      <c r="C10" s="45">
        <f>SUMIF(Facilities!O:O,"Y",Facilities!N:N)</f>
        <v>11994</v>
      </c>
      <c r="E10" s="110" t="s">
        <v>1356</v>
      </c>
      <c r="F10" s="90"/>
    </row>
    <row r="11" spans="2:7" ht="30.75" thickBot="1">
      <c r="B11" s="345" t="s">
        <v>1357</v>
      </c>
      <c r="C11">
        <v>607</v>
      </c>
      <c r="E11" s="93" t="s">
        <v>219</v>
      </c>
      <c r="F11" s="94">
        <f ca="1">COUNTIF('Admin Unit'!J:J,"&lt;="&amp;TODAY())</f>
        <v>39</v>
      </c>
    </row>
    <row r="12" spans="2:7" ht="15.75" thickBot="1">
      <c r="B12" s="346" t="s">
        <v>1358</v>
      </c>
      <c r="C12" s="347">
        <f>C10-C11</f>
        <v>11387</v>
      </c>
      <c r="E12" s="91" t="s">
        <v>927</v>
      </c>
      <c r="F12" s="92">
        <f ca="1">COUNTIF('Admin Unit'!J:J,"&gt;"&amp;TODAY())</f>
        <v>0</v>
      </c>
    </row>
    <row r="13" spans="2:7" ht="15.75" thickBot="1"/>
    <row r="14" spans="2:7">
      <c r="E14" s="110" t="s">
        <v>1359</v>
      </c>
      <c r="F14" s="127"/>
      <c r="G14" s="104"/>
    </row>
    <row r="15" spans="2:7">
      <c r="E15" s="125" t="s">
        <v>279</v>
      </c>
      <c r="F15" s="126">
        <f>COUNTIF(Facilities!E:E,"Y")</f>
        <v>14</v>
      </c>
      <c r="G15" s="105"/>
    </row>
    <row r="16" spans="2:7" ht="15.75" thickBot="1">
      <c r="E16" s="50" t="s">
        <v>105</v>
      </c>
      <c r="F16" s="115">
        <f>COUNTIF(Facilities!F:F,"Y")</f>
        <v>23</v>
      </c>
      <c r="G16" s="105"/>
    </row>
    <row r="17" spans="2:18">
      <c r="B17" s="80" t="s">
        <v>1360</v>
      </c>
      <c r="C17" s="81"/>
      <c r="E17" s="55" t="s">
        <v>1361</v>
      </c>
      <c r="F17" s="116">
        <f>COUNTIF(Facilities!K:K,"Completed")</f>
        <v>174</v>
      </c>
      <c r="G17" s="105"/>
    </row>
    <row r="18" spans="2:18">
      <c r="B18" s="82" t="s">
        <v>1362</v>
      </c>
      <c r="C18" s="83">
        <v>817</v>
      </c>
      <c r="E18" s="95" t="s">
        <v>813</v>
      </c>
      <c r="F18" s="103">
        <f ca="1">COUNTIF(Facilities!L:L,"&lt;="&amp;TODAY())</f>
        <v>174</v>
      </c>
      <c r="G18" s="106">
        <f>COUNTIF(Facilities!O:O,"Y")</f>
        <v>174</v>
      </c>
    </row>
    <row r="19" spans="2:18">
      <c r="B19" s="82" t="s">
        <v>1363</v>
      </c>
      <c r="C19" s="83">
        <v>894</v>
      </c>
      <c r="E19" s="55" t="s">
        <v>1364</v>
      </c>
      <c r="F19" s="117">
        <f>COUNTIF(Facilities!L:L,"&lt;&gt;")-COUNTIF(Facilities!L:L,"Out of Program")-1</f>
        <v>174</v>
      </c>
      <c r="G19" s="105"/>
      <c r="H19" s="174"/>
    </row>
    <row r="20" spans="2:18" ht="30">
      <c r="B20" s="82" t="s">
        <v>1365</v>
      </c>
      <c r="C20" s="83">
        <v>818</v>
      </c>
      <c r="E20" s="96" t="s">
        <v>1366</v>
      </c>
      <c r="F20" s="115">
        <f>COUNTIFS(Facilities!K:K,"Completed",Facilities!L:L,"")</f>
        <v>0</v>
      </c>
      <c r="G20" s="105"/>
      <c r="I20" t="s">
        <v>1367</v>
      </c>
      <c r="J20" t="s">
        <v>1367</v>
      </c>
      <c r="L20" t="s">
        <v>1353</v>
      </c>
      <c r="M20" t="s">
        <v>1368</v>
      </c>
    </row>
    <row r="21" spans="2:18" ht="15.75" thickBot="1">
      <c r="B21" s="82" t="s">
        <v>1369</v>
      </c>
      <c r="C21" s="83">
        <v>817</v>
      </c>
      <c r="E21" s="97" t="s">
        <v>1370</v>
      </c>
      <c r="F21" s="118">
        <f>COUNTIFS(Facilities!Q:Q,"&lt;&gt;",Facilities!Q:Q,"&lt;&gt;Out of Program")-1</f>
        <v>174</v>
      </c>
      <c r="G21" s="105"/>
      <c r="J21">
        <v>818</v>
      </c>
      <c r="L21">
        <f>F21+J21</f>
        <v>992</v>
      </c>
    </row>
    <row r="22" spans="2:18">
      <c r="B22" s="82" t="s">
        <v>1371</v>
      </c>
      <c r="C22" s="86">
        <v>68.944512946979032</v>
      </c>
      <c r="E22" s="107" t="s">
        <v>1372</v>
      </c>
      <c r="F22" s="119">
        <f>COUNTIF(Facilities!U:U,"Y")</f>
        <v>108</v>
      </c>
      <c r="G22" s="108">
        <f>F22/$F$21</f>
        <v>0.62068965517241381</v>
      </c>
    </row>
    <row r="23" spans="2:18" ht="15.75" thickBot="1">
      <c r="B23" s="82" t="s">
        <v>1373</v>
      </c>
      <c r="C23" s="83">
        <v>2</v>
      </c>
      <c r="E23" s="109" t="s">
        <v>1374</v>
      </c>
      <c r="F23" s="120">
        <f>COUNTIF(Facilities!V:V,"Y")</f>
        <v>67</v>
      </c>
      <c r="G23" s="121">
        <f>F23/$F$21</f>
        <v>0.38505747126436779</v>
      </c>
    </row>
    <row r="24" spans="2:18" ht="15.75" thickBot="1">
      <c r="B24" s="82" t="s">
        <v>1375</v>
      </c>
      <c r="C24" s="83">
        <v>431</v>
      </c>
      <c r="E24" s="122" t="s">
        <v>1376</v>
      </c>
      <c r="F24" s="123">
        <f>COUNTIFS(Facilities!U:U,"N",Facilities!V:V,"N")</f>
        <v>51</v>
      </c>
      <c r="G24" s="124">
        <f>F24/$F$21</f>
        <v>0.29310344827586204</v>
      </c>
      <c r="I24">
        <v>28</v>
      </c>
      <c r="J24">
        <f>I24/100*$J$21</f>
        <v>229.04000000000002</v>
      </c>
      <c r="L24">
        <f>F24+J24</f>
        <v>280.04000000000002</v>
      </c>
      <c r="M24">
        <f>L24/$L$21*100</f>
        <v>28.229838709677423</v>
      </c>
      <c r="P24" t="s">
        <v>1377</v>
      </c>
      <c r="Q24" t="s">
        <v>1378</v>
      </c>
      <c r="R24" t="s">
        <v>1379</v>
      </c>
    </row>
    <row r="25" spans="2:18">
      <c r="B25" s="82" t="s">
        <v>1380</v>
      </c>
      <c r="C25" s="83">
        <v>50396</v>
      </c>
      <c r="O25" t="s">
        <v>1381</v>
      </c>
      <c r="P25">
        <v>40</v>
      </c>
      <c r="Q25">
        <v>32</v>
      </c>
      <c r="R25">
        <v>38.6</v>
      </c>
    </row>
    <row r="26" spans="2:18" ht="15.75" thickBot="1">
      <c r="B26" s="84" t="s">
        <v>1354</v>
      </c>
      <c r="C26" s="85">
        <v>55914</v>
      </c>
      <c r="G26" s="124"/>
      <c r="O26" t="s">
        <v>1382</v>
      </c>
      <c r="P26">
        <v>3</v>
      </c>
      <c r="Q26">
        <v>9</v>
      </c>
      <c r="R26">
        <v>4</v>
      </c>
    </row>
    <row r="27" spans="2:18" ht="15.75" thickBot="1">
      <c r="E27" t="s">
        <v>1383</v>
      </c>
      <c r="F27">
        <v>56</v>
      </c>
      <c r="G27" s="124">
        <f t="shared" ref="G27" si="0">F27/$F$21</f>
        <v>0.32183908045977011</v>
      </c>
      <c r="I27">
        <v>40</v>
      </c>
      <c r="J27">
        <f>I27/100*$J$21</f>
        <v>327.20000000000005</v>
      </c>
      <c r="L27">
        <f t="shared" ref="L27:L29" si="1">F27+J27</f>
        <v>383.20000000000005</v>
      </c>
      <c r="M27">
        <f t="shared" ref="M27:M29" si="2">L27/$L$21*100</f>
        <v>38.62903225806452</v>
      </c>
      <c r="O27" t="s">
        <v>1384</v>
      </c>
      <c r="P27">
        <v>29</v>
      </c>
      <c r="Q27">
        <v>30</v>
      </c>
      <c r="R27">
        <v>29.2</v>
      </c>
    </row>
    <row r="28" spans="2:18" ht="15.75" thickBot="1">
      <c r="E28" t="s">
        <v>1385</v>
      </c>
      <c r="F28">
        <v>52</v>
      </c>
      <c r="G28" s="124">
        <f>F28/$F$21</f>
        <v>0.2988505747126437</v>
      </c>
      <c r="I28">
        <v>29</v>
      </c>
      <c r="J28">
        <f t="shared" ref="J28:J29" si="3">I28/100*$J$21</f>
        <v>237.21999999999997</v>
      </c>
      <c r="L28">
        <f t="shared" si="1"/>
        <v>289.21999999999997</v>
      </c>
      <c r="M28">
        <f t="shared" si="2"/>
        <v>29.155241935483865</v>
      </c>
      <c r="O28" t="s">
        <v>1386</v>
      </c>
      <c r="P28">
        <v>28</v>
      </c>
      <c r="Q28">
        <v>29</v>
      </c>
      <c r="R28">
        <v>28.3</v>
      </c>
    </row>
    <row r="29" spans="2:18" ht="15.75" thickBot="1">
      <c r="E29" t="s">
        <v>1387</v>
      </c>
      <c r="F29">
        <v>15</v>
      </c>
      <c r="G29" s="124">
        <f>F29/$F$21</f>
        <v>8.6206896551724144E-2</v>
      </c>
      <c r="I29">
        <v>3</v>
      </c>
      <c r="J29">
        <f t="shared" si="3"/>
        <v>24.54</v>
      </c>
      <c r="L29">
        <f t="shared" si="1"/>
        <v>39.54</v>
      </c>
      <c r="M29">
        <f t="shared" si="2"/>
        <v>3.9858870967741931</v>
      </c>
    </row>
    <row r="32" spans="2:18">
      <c r="E32" t="s">
        <v>1388</v>
      </c>
      <c r="F32">
        <f>SUMPRODUCT(1/COUNTIF(Facilities!B2:B240,Facilities!B2:B240))</f>
        <v>81.000000000000156</v>
      </c>
    </row>
    <row r="33" spans="2:17" ht="15" customHeight="1">
      <c r="B33" s="235"/>
      <c r="D33" s="419"/>
      <c r="E33" s="419"/>
    </row>
    <row r="34" spans="2:17">
      <c r="B34" s="237"/>
      <c r="C34" s="235"/>
      <c r="D34" s="236"/>
      <c r="E34" s="419"/>
      <c r="F34" s="419"/>
    </row>
    <row r="35" spans="2:17">
      <c r="B35" s="237"/>
      <c r="C35" s="235"/>
      <c r="D35" s="236"/>
      <c r="E35" s="419"/>
      <c r="F35" s="419"/>
      <c r="P35" t="s">
        <v>1389</v>
      </c>
      <c r="Q35" t="s">
        <v>1390</v>
      </c>
    </row>
    <row r="36" spans="2:17">
      <c r="B36" s="237"/>
      <c r="C36" s="235"/>
      <c r="D36" s="236"/>
      <c r="E36" s="419"/>
      <c r="F36" s="419"/>
      <c r="O36" t="s">
        <v>1391</v>
      </c>
      <c r="P36">
        <v>42.4</v>
      </c>
      <c r="Q36">
        <v>68.5</v>
      </c>
    </row>
    <row r="37" spans="2:17">
      <c r="B37" s="237"/>
      <c r="C37" s="235"/>
      <c r="D37" s="236"/>
      <c r="E37" s="419"/>
      <c r="F37" s="419"/>
      <c r="O37" t="s">
        <v>1392</v>
      </c>
      <c r="P37">
        <v>47.1</v>
      </c>
      <c r="Q37">
        <v>29.4</v>
      </c>
    </row>
    <row r="38" spans="2:17">
      <c r="B38" s="237"/>
      <c r="C38" s="235"/>
      <c r="D38" s="236"/>
      <c r="E38" s="419"/>
      <c r="F38" s="419"/>
      <c r="O38" t="s">
        <v>1393</v>
      </c>
      <c r="P38">
        <v>10.5</v>
      </c>
      <c r="Q38">
        <v>2.1</v>
      </c>
    </row>
    <row r="39" spans="2:17">
      <c r="B39" s="237"/>
      <c r="C39" s="235"/>
      <c r="D39" s="236"/>
      <c r="E39" s="419"/>
      <c r="F39" s="419"/>
    </row>
    <row r="40" spans="2:17">
      <c r="B40" s="237"/>
      <c r="C40" s="235"/>
      <c r="D40" s="236"/>
      <c r="E40" s="419"/>
      <c r="F40" s="419"/>
    </row>
    <row r="41" spans="2:17">
      <c r="B41" s="237"/>
      <c r="C41" s="235"/>
      <c r="D41" s="236"/>
    </row>
    <row r="42" spans="2:17">
      <c r="D42" s="236"/>
    </row>
    <row r="43" spans="2:17">
      <c r="D43" s="238"/>
    </row>
    <row r="44" spans="2:17">
      <c r="D44" s="236"/>
    </row>
    <row r="45" spans="2:17">
      <c r="D45" s="236"/>
    </row>
    <row r="46" spans="2:17">
      <c r="D46" s="238"/>
    </row>
  </sheetData>
  <mergeCells count="8">
    <mergeCell ref="E39:F39"/>
    <mergeCell ref="E40:F40"/>
    <mergeCell ref="D33:E33"/>
    <mergeCell ref="E34:F34"/>
    <mergeCell ref="E35:F35"/>
    <mergeCell ref="E36:F36"/>
    <mergeCell ref="E37:F37"/>
    <mergeCell ref="E38:F38"/>
  </mergeCells>
  <conditionalFormatting sqref="B2:C2">
    <cfRule type="expression" dxfId="1" priority="1">
      <formula>$S2="Out of Program"</formula>
    </cfRule>
  </conditionalFormatting>
  <conditionalFormatting sqref="B9:C9 B10:B12">
    <cfRule type="expression" dxfId="0" priority="2">
      <formula>$S4="Out of Program"</formula>
    </cfRule>
  </conditionalFormatting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29A00C569ADD48B50335125FC9F7E2" ma:contentTypeVersion="0" ma:contentTypeDescription="Create a new document." ma:contentTypeScope="" ma:versionID="a4aba1a696d7a5d97b46a9622d8fb3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1E9E2E-1959-4D8B-B4D9-F3D9D615AF7C}"/>
</file>

<file path=customXml/itemProps2.xml><?xml version="1.0" encoding="utf-8"?>
<ds:datastoreItem xmlns:ds="http://schemas.openxmlformats.org/officeDocument/2006/customXml" ds:itemID="{3355B210-7AB5-40E4-B0A4-F9198785D955}"/>
</file>

<file path=customXml/itemProps3.xml><?xml version="1.0" encoding="utf-8"?>
<ds:datastoreItem xmlns:ds="http://schemas.openxmlformats.org/officeDocument/2006/customXml" ds:itemID="{A93806C4-31DB-4F45-B514-BB365A5C95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EOEEA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Harrison Corbett</dc:creator>
  <cp:keywords/>
  <dc:description/>
  <cp:lastModifiedBy>John Tobiason</cp:lastModifiedBy>
  <cp:revision/>
  <dcterms:created xsi:type="dcterms:W3CDTF">2016-06-29T13:06:53Z</dcterms:created>
  <dcterms:modified xsi:type="dcterms:W3CDTF">2021-10-31T15:39:51Z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0x010100DC29A00C569ADD48B50335125FC9F7E2</vt:lpwstr>
  </property>
</Properties>
</file>