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iama\OneDrive\Desktop\School\Thesis\"/>
    </mc:Choice>
  </mc:AlternateContent>
  <xr:revisionPtr revIDLastSave="0" documentId="13_ncr:1_{DF3CDD7C-C505-43F8-92E6-4256BB78E3E6}" xr6:coauthVersionLast="47" xr6:coauthVersionMax="47" xr10:uidLastSave="{00000000-0000-0000-0000-000000000000}"/>
  <bookViews>
    <workbookView xWindow="-96" yWindow="-96" windowWidth="23232" windowHeight="12552" firstSheet="2" activeTab="2" xr2:uid="{00000000-000D-0000-FFFF-FFFF00000000}"/>
  </bookViews>
  <sheets>
    <sheet name="Dropdowns" sheetId="2" r:id="rId1"/>
    <sheet name="Out of Program" sheetId="6" r:id="rId2"/>
    <sheet name="Facilities" sheetId="1" r:id="rId3"/>
    <sheet name="Sheet1" sheetId="5" r:id="rId4"/>
    <sheet name="stats" sheetId="4" r:id="rId5"/>
  </sheets>
  <externalReferences>
    <externalReference r:id="rId6"/>
    <externalReference r:id="rId7"/>
  </externalReferences>
  <definedNames>
    <definedName name="_xlnm._FilterDatabase" localSheetId="2" hidden="1">Facilities!$A$1:$BF$216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03" i="1" l="1"/>
  <c r="AP93" i="1"/>
  <c r="AP97" i="1"/>
  <c r="BD13" i="6"/>
  <c r="AP13" i="6"/>
  <c r="AG13" i="6"/>
  <c r="AP55" i="1"/>
  <c r="BC12" i="6"/>
  <c r="AO12" i="6"/>
  <c r="AF12" i="6"/>
  <c r="AO11" i="6"/>
  <c r="AF11" i="6"/>
  <c r="AP3" i="1"/>
  <c r="AP4" i="1"/>
  <c r="AP5" i="1"/>
  <c r="AP6" i="1"/>
  <c r="AP7" i="1"/>
  <c r="AP9" i="1"/>
  <c r="AP14" i="1"/>
  <c r="AP12" i="1"/>
  <c r="AP15" i="1"/>
  <c r="AP11" i="1"/>
  <c r="AP13" i="1"/>
  <c r="AP19" i="1"/>
  <c r="AP23" i="1"/>
  <c r="AP24" i="1"/>
  <c r="AP28" i="1"/>
  <c r="AP26" i="1"/>
  <c r="AP25" i="1"/>
  <c r="AP30" i="1"/>
  <c r="AP32" i="1"/>
  <c r="AP33" i="1"/>
  <c r="AP35" i="1"/>
  <c r="AP37" i="1"/>
  <c r="AP38" i="1"/>
  <c r="AP41" i="1"/>
  <c r="AP39" i="1"/>
  <c r="AP40" i="1"/>
  <c r="AP42" i="1"/>
  <c r="AP44" i="1"/>
  <c r="AP47" i="1"/>
  <c r="AP48" i="1"/>
  <c r="AP46" i="1"/>
  <c r="AP49" i="1"/>
  <c r="AP50" i="1"/>
  <c r="AP51" i="1"/>
  <c r="AP53" i="1"/>
  <c r="AP54" i="1"/>
  <c r="AP10" i="1"/>
  <c r="AP18" i="1"/>
  <c r="AP21" i="1"/>
  <c r="AP58" i="1"/>
  <c r="AP59" i="1"/>
  <c r="AP60" i="1"/>
  <c r="AP61" i="1"/>
  <c r="AP63" i="1"/>
  <c r="AP62" i="1"/>
  <c r="AP8" i="1"/>
  <c r="AP64" i="1"/>
  <c r="AP65" i="1"/>
  <c r="AP66" i="1"/>
  <c r="AP17" i="1"/>
  <c r="AP67" i="1"/>
  <c r="AP68" i="1"/>
  <c r="AP69" i="1"/>
  <c r="AP70" i="1"/>
  <c r="AP71" i="1"/>
  <c r="AP22" i="1"/>
  <c r="AP27" i="1"/>
  <c r="AP73" i="1"/>
  <c r="AP74" i="1"/>
  <c r="AP29" i="1"/>
  <c r="AP75" i="1"/>
  <c r="AP94" i="1"/>
  <c r="AP95" i="1"/>
  <c r="AP76" i="1"/>
  <c r="AP34" i="1"/>
  <c r="AP77" i="1"/>
  <c r="AP78" i="1"/>
  <c r="AP79" i="1"/>
  <c r="AP36" i="1"/>
  <c r="AP80" i="1"/>
  <c r="AP81" i="1"/>
  <c r="AP96" i="1"/>
  <c r="AP82" i="1"/>
  <c r="AP43" i="1"/>
  <c r="AP83" i="1"/>
  <c r="AP84" i="1"/>
  <c r="AP85" i="1"/>
  <c r="AP45" i="1"/>
  <c r="AP52" i="1"/>
  <c r="AP87" i="1"/>
  <c r="AP88" i="1"/>
  <c r="AP16" i="1"/>
  <c r="AP98" i="1"/>
  <c r="AP113" i="1"/>
  <c r="AP89" i="1"/>
  <c r="AP114" i="1"/>
  <c r="AP106" i="1"/>
  <c r="AP72" i="1"/>
  <c r="AP191" i="1"/>
  <c r="AP86" i="1"/>
  <c r="AP31" i="1"/>
  <c r="AP111" i="1"/>
  <c r="AP115" i="1"/>
  <c r="AP92" i="1"/>
  <c r="AP145" i="1"/>
  <c r="AP189" i="1"/>
  <c r="AP125" i="1"/>
  <c r="AP146" i="1"/>
  <c r="AP126" i="1"/>
  <c r="AP136" i="1"/>
  <c r="AP148" i="1"/>
  <c r="AP127" i="1"/>
  <c r="AP121" i="1"/>
  <c r="AP149" i="1"/>
  <c r="AP90" i="1"/>
  <c r="AP190" i="1"/>
  <c r="AP128" i="1"/>
  <c r="AP129" i="1"/>
  <c r="AP112" i="1"/>
  <c r="AP150" i="1"/>
  <c r="AP130" i="1"/>
  <c r="AP116" i="1"/>
  <c r="AP122" i="1"/>
  <c r="AP151" i="1"/>
  <c r="AP123" i="1"/>
  <c r="AP152" i="1"/>
  <c r="AP124" i="1"/>
  <c r="AP100" i="1"/>
  <c r="AP154" i="1"/>
  <c r="AP120" i="1"/>
  <c r="AP131" i="1"/>
  <c r="AP165" i="1"/>
  <c r="AP166" i="1"/>
  <c r="AP168" i="1"/>
  <c r="AP56" i="1"/>
  <c r="AP169" i="1"/>
  <c r="AP170" i="1"/>
  <c r="AP171" i="1"/>
  <c r="AP172" i="1"/>
  <c r="AP173" i="1"/>
  <c r="AP174" i="1"/>
  <c r="AP175" i="1"/>
  <c r="AP176" i="1"/>
  <c r="AP177" i="1"/>
  <c r="AP137" i="1"/>
  <c r="AP178" i="1"/>
  <c r="AP179" i="1"/>
  <c r="AP134" i="1"/>
  <c r="AP180" i="1"/>
  <c r="AP182" i="1"/>
  <c r="AP181" i="1"/>
  <c r="AP183" i="1"/>
  <c r="AP185" i="1"/>
  <c r="AP186" i="1"/>
  <c r="AP187" i="1"/>
  <c r="AP194" i="1"/>
  <c r="AP156" i="1"/>
  <c r="AP157" i="1"/>
  <c r="AP196" i="1"/>
  <c r="AP197" i="1"/>
  <c r="AP167" i="1"/>
  <c r="AP198" i="1"/>
  <c r="AP133" i="1"/>
  <c r="AP199" i="1"/>
  <c r="AP158" i="1"/>
  <c r="AP200" i="1"/>
  <c r="AP201" i="1"/>
  <c r="AP202" i="1"/>
  <c r="AP203" i="1"/>
  <c r="AP204" i="1"/>
  <c r="AP205" i="1"/>
  <c r="AP138" i="1"/>
  <c r="AP206" i="1"/>
  <c r="AP208" i="1"/>
  <c r="AP209" i="1"/>
  <c r="AP210" i="1"/>
  <c r="AP211" i="1"/>
  <c r="AP212" i="1"/>
  <c r="AP213" i="1"/>
  <c r="AP132" i="1"/>
  <c r="AP214" i="1"/>
  <c r="AP215" i="1"/>
  <c r="AP216" i="1"/>
  <c r="AP217" i="1"/>
  <c r="AP153" i="1"/>
  <c r="AP218" i="1"/>
  <c r="AP192" i="1"/>
  <c r="AP155" i="1"/>
  <c r="AP195" i="1"/>
  <c r="AP57" i="1"/>
  <c r="AP104" i="1"/>
  <c r="AP105" i="1"/>
  <c r="AP159" i="1"/>
  <c r="AP160" i="1"/>
  <c r="AP147" i="1"/>
  <c r="AP20" i="1"/>
  <c r="AP101" i="1"/>
  <c r="AP107" i="1"/>
  <c r="AP108" i="1"/>
  <c r="AP207" i="1"/>
  <c r="AP91" i="1"/>
  <c r="AP102" i="1"/>
  <c r="AP119" i="1"/>
  <c r="AP135" i="1"/>
  <c r="AP110" i="1"/>
  <c r="AP99" i="1"/>
  <c r="AP109" i="1"/>
  <c r="AP184" i="1"/>
  <c r="AG5" i="1"/>
  <c r="AG6" i="1"/>
  <c r="AG14" i="1"/>
  <c r="AG19" i="1"/>
  <c r="AG23" i="1"/>
  <c r="AG24" i="1"/>
  <c r="AG28" i="1"/>
  <c r="AG30" i="1"/>
  <c r="AG33" i="1"/>
  <c r="AG37" i="1"/>
  <c r="AG38" i="1"/>
  <c r="AG42" i="1"/>
  <c r="AG44" i="1"/>
  <c r="AG46" i="1"/>
  <c r="AG49" i="1"/>
  <c r="AG50" i="1"/>
  <c r="AG51" i="1"/>
  <c r="AG53" i="1"/>
  <c r="AG54" i="1"/>
  <c r="AG10" i="1"/>
  <c r="AG21" i="1"/>
  <c r="AG58" i="1"/>
  <c r="AG61" i="1"/>
  <c r="AG63" i="1"/>
  <c r="AG8" i="1"/>
  <c r="AG65" i="1"/>
  <c r="AG66" i="1"/>
  <c r="AG68" i="1"/>
  <c r="AG22" i="1"/>
  <c r="AG27" i="1"/>
  <c r="AG74" i="1"/>
  <c r="AG29" i="1"/>
  <c r="AG75" i="1"/>
  <c r="AG94" i="1"/>
  <c r="AG95" i="1"/>
  <c r="AG76" i="1"/>
  <c r="AG34" i="1"/>
  <c r="AG77" i="1"/>
  <c r="AG80" i="1"/>
  <c r="AG96" i="1"/>
  <c r="AG82" i="1"/>
  <c r="AG43" i="1"/>
  <c r="AG83" i="1"/>
  <c r="AG84" i="1"/>
  <c r="AG85" i="1"/>
  <c r="AG45" i="1"/>
  <c r="AG87" i="1"/>
  <c r="AG88" i="1"/>
  <c r="AG16" i="1"/>
  <c r="AG98" i="1"/>
  <c r="AG113" i="1"/>
  <c r="AG89" i="1"/>
  <c r="AG114" i="1"/>
  <c r="AG106" i="1"/>
  <c r="AG72" i="1"/>
  <c r="AG191" i="1"/>
  <c r="AG86" i="1"/>
  <c r="AG31" i="1"/>
  <c r="AG111" i="1"/>
  <c r="AG115" i="1"/>
  <c r="AG92" i="1"/>
  <c r="AG145" i="1"/>
  <c r="AG189" i="1"/>
  <c r="AG125" i="1"/>
  <c r="AG146" i="1"/>
  <c r="AG126" i="1"/>
  <c r="AG136" i="1"/>
  <c r="AG148" i="1"/>
  <c r="AG127" i="1"/>
  <c r="AG121" i="1"/>
  <c r="AG149" i="1"/>
  <c r="AG90" i="1"/>
  <c r="AG190" i="1"/>
  <c r="AG128" i="1"/>
  <c r="AG129" i="1"/>
  <c r="AG112" i="1"/>
  <c r="AG150" i="1"/>
  <c r="AG130" i="1"/>
  <c r="AG116" i="1"/>
  <c r="AG122" i="1"/>
  <c r="AG151" i="1"/>
  <c r="AG123" i="1"/>
  <c r="AG152" i="1"/>
  <c r="AG124" i="1"/>
  <c r="AG100" i="1"/>
  <c r="AG154" i="1"/>
  <c r="AG120" i="1"/>
  <c r="AG131" i="1"/>
  <c r="AG165" i="1"/>
  <c r="AG166" i="1"/>
  <c r="AG168" i="1"/>
  <c r="AG56" i="1"/>
  <c r="AG169" i="1"/>
  <c r="AG170" i="1"/>
  <c r="AG171" i="1"/>
  <c r="AG172" i="1"/>
  <c r="AG173" i="1"/>
  <c r="AG174" i="1"/>
  <c r="AG175" i="1"/>
  <c r="AG176" i="1"/>
  <c r="AG177" i="1"/>
  <c r="AG137" i="1"/>
  <c r="AG179" i="1"/>
  <c r="AG134" i="1"/>
  <c r="AG180" i="1"/>
  <c r="AG182" i="1"/>
  <c r="AG181" i="1"/>
  <c r="AG183" i="1"/>
  <c r="AG185" i="1"/>
  <c r="AG186" i="1"/>
  <c r="AG187" i="1"/>
  <c r="AG194" i="1"/>
  <c r="AG156" i="1"/>
  <c r="AG157" i="1"/>
  <c r="AG196" i="1"/>
  <c r="AG197" i="1"/>
  <c r="AG167" i="1"/>
  <c r="AG198" i="1"/>
  <c r="AG133" i="1"/>
  <c r="AG199" i="1"/>
  <c r="AG158" i="1"/>
  <c r="AG200" i="1"/>
  <c r="AG201" i="1"/>
  <c r="AG202" i="1"/>
  <c r="AG203" i="1"/>
  <c r="AG204" i="1"/>
  <c r="AG205" i="1"/>
  <c r="AG138" i="1"/>
  <c r="AG206" i="1"/>
  <c r="AG208" i="1"/>
  <c r="AG209" i="1"/>
  <c r="AG210" i="1"/>
  <c r="AG211" i="1"/>
  <c r="AG212" i="1"/>
  <c r="AG213" i="1"/>
  <c r="AG132" i="1"/>
  <c r="AG214" i="1"/>
  <c r="AG215" i="1"/>
  <c r="AG216" i="1"/>
  <c r="AG217" i="1"/>
  <c r="AG153" i="1"/>
  <c r="AG218" i="1"/>
  <c r="AG192" i="1"/>
  <c r="AG155" i="1"/>
  <c r="AG195" i="1"/>
  <c r="AG159" i="1"/>
  <c r="AG160" i="1"/>
  <c r="AG147" i="1"/>
  <c r="AG20" i="1"/>
  <c r="AG101" i="1"/>
  <c r="AG107" i="1"/>
  <c r="AG207" i="1"/>
  <c r="AG91" i="1"/>
  <c r="AG102" i="1"/>
  <c r="AG119" i="1"/>
  <c r="AG135" i="1"/>
  <c r="AG99" i="1"/>
  <c r="AG184" i="1"/>
  <c r="AO10" i="6"/>
  <c r="AF10" i="6"/>
  <c r="AO9" i="6"/>
  <c r="AF9" i="6"/>
  <c r="AO8" i="6"/>
  <c r="BD8" i="1"/>
  <c r="BD61" i="1"/>
  <c r="BD88" i="1"/>
  <c r="BC7" i="6"/>
  <c r="BC6" i="6"/>
  <c r="BC5" i="6"/>
  <c r="BC4" i="6"/>
  <c r="AO4" i="6"/>
  <c r="AF4" i="6"/>
  <c r="BC3" i="6"/>
  <c r="BC2" i="6"/>
  <c r="J7" i="4"/>
  <c r="F7" i="4"/>
  <c r="BD43" i="1"/>
  <c r="BD148" i="1"/>
  <c r="BD120" i="1"/>
  <c r="BD21" i="1"/>
  <c r="BD206" i="1"/>
  <c r="BD95" i="1"/>
  <c r="BD153" i="1"/>
  <c r="BD55" i="1"/>
  <c r="BD54" i="1"/>
  <c r="BD81" i="1"/>
  <c r="BD64" i="1"/>
  <c r="BD134" i="1"/>
  <c r="BD22" i="1"/>
  <c r="BD136" i="1"/>
  <c r="BD135" i="1"/>
  <c r="BD34" i="1"/>
  <c r="BD190" i="1"/>
  <c r="BD191" i="1"/>
  <c r="BD177" i="1"/>
  <c r="BD73" i="1"/>
  <c r="BD217" i="1"/>
  <c r="BD52" i="1"/>
  <c r="BD9" i="1"/>
  <c r="BD65" i="1"/>
  <c r="BD15" i="1"/>
  <c r="BD213" i="1"/>
  <c r="BD131" i="1"/>
  <c r="BD172" i="1"/>
  <c r="BD14" i="1"/>
  <c r="BD53" i="1"/>
  <c r="BD39" i="1"/>
  <c r="BD59" i="1"/>
  <c r="BD170" i="1"/>
  <c r="BD194" i="1"/>
  <c r="BD114" i="1"/>
  <c r="BD41" i="1"/>
  <c r="BD48" i="1"/>
  <c r="BD189" i="1"/>
  <c r="BD16" i="1"/>
  <c r="BD94" i="1"/>
  <c r="BD169" i="1"/>
  <c r="BD138" i="1"/>
  <c r="BD57" i="1"/>
  <c r="BD218" i="1"/>
  <c r="BD46" i="1"/>
  <c r="BD182" i="1"/>
  <c r="BD98" i="1"/>
  <c r="BD69" i="1"/>
  <c r="BD115" i="1"/>
  <c r="BD154" i="1"/>
  <c r="BD116" i="1"/>
  <c r="BD7" i="1"/>
  <c r="BD71" i="1"/>
  <c r="BD63" i="1"/>
  <c r="BD214" i="1"/>
  <c r="BD179" i="1"/>
  <c r="BD12" i="1"/>
  <c r="BD215" i="1"/>
  <c r="BD99" i="1"/>
  <c r="BD109" i="1"/>
  <c r="BD50" i="1"/>
  <c r="BD128" i="1"/>
  <c r="BD31" i="1"/>
  <c r="BD205" i="1"/>
  <c r="BD75" i="1"/>
  <c r="BD112" i="1"/>
  <c r="BD19" i="1"/>
  <c r="BD91" i="1"/>
  <c r="BD175" i="1"/>
  <c r="BD18" i="1"/>
  <c r="BD151" i="1"/>
  <c r="BD44" i="1"/>
  <c r="BD155" i="1"/>
  <c r="BD152" i="1"/>
  <c r="BD111" i="1"/>
  <c r="BD10" i="1"/>
  <c r="BD49" i="1"/>
  <c r="BD159" i="1"/>
  <c r="BD158" i="1"/>
  <c r="BD80" i="1"/>
  <c r="BD23" i="1"/>
  <c r="BD146" i="1"/>
  <c r="BD74" i="1"/>
  <c r="BD113" i="1"/>
  <c r="BD133" i="1"/>
  <c r="BD13" i="1"/>
  <c r="BD83" i="1"/>
  <c r="BD168" i="1"/>
  <c r="BD185" i="1"/>
  <c r="BD118" i="1"/>
  <c r="BD105" i="1"/>
  <c r="BD35" i="1"/>
  <c r="BD196" i="1"/>
  <c r="BD36" i="1"/>
  <c r="BD199" i="1"/>
  <c r="BD30" i="1"/>
  <c r="BD11" i="1"/>
  <c r="BD129" i="1"/>
  <c r="BD145" i="1"/>
  <c r="BD122" i="1"/>
  <c r="BD28" i="1"/>
  <c r="BD207" i="1"/>
  <c r="BD108" i="1"/>
  <c r="BD4" i="1"/>
  <c r="BD33" i="1"/>
  <c r="BD90" i="1"/>
  <c r="BD78" i="1"/>
  <c r="BD130" i="1"/>
  <c r="BD202" i="1"/>
  <c r="BD201" i="1"/>
  <c r="BD87" i="1"/>
  <c r="BD147" i="1"/>
  <c r="BD58" i="1"/>
  <c r="BD127" i="1"/>
  <c r="BD5" i="1"/>
  <c r="BD183" i="1"/>
  <c r="BD176" i="1"/>
  <c r="BD66" i="1"/>
  <c r="BD107" i="1"/>
  <c r="BD123" i="1"/>
  <c r="BD70" i="1"/>
  <c r="BD167" i="1"/>
  <c r="BD216" i="1"/>
  <c r="BD165" i="1"/>
  <c r="BD79" i="1"/>
  <c r="BD62" i="1"/>
  <c r="BD198" i="1"/>
  <c r="BD96" i="1"/>
  <c r="BD42" i="1"/>
  <c r="BD160" i="1"/>
  <c r="BD72" i="1"/>
  <c r="BD124" i="1"/>
  <c r="BD86" i="1"/>
  <c r="BD67" i="1"/>
  <c r="BD60" i="1"/>
  <c r="BD150" i="1"/>
  <c r="BD117" i="1"/>
  <c r="BD29" i="1"/>
  <c r="BD188" i="1"/>
  <c r="BD204" i="1"/>
  <c r="BD77" i="1"/>
  <c r="BD17" i="1"/>
  <c r="BD212" i="1"/>
  <c r="BD3" i="1"/>
  <c r="BD184" i="1"/>
  <c r="BD84" i="1"/>
  <c r="BD38" i="1"/>
  <c r="BD187" i="1"/>
  <c r="BD193" i="1"/>
  <c r="BD82" i="1"/>
  <c r="BD2" i="1"/>
  <c r="BD178" i="1"/>
  <c r="BD166" i="1"/>
  <c r="BD200" i="1"/>
  <c r="BD26" i="1"/>
  <c r="BD181" i="1"/>
  <c r="BD51" i="1"/>
  <c r="BD85" i="1"/>
  <c r="BD20" i="1"/>
  <c r="BD203" i="1"/>
  <c r="BD103" i="1"/>
  <c r="BD6" i="1"/>
  <c r="BD210" i="1"/>
  <c r="BD56" i="1"/>
  <c r="H5" i="4"/>
  <c r="H3" i="4"/>
  <c r="H2" i="4"/>
  <c r="AF71" i="1"/>
  <c r="AE71" i="1"/>
  <c r="AG71" i="1" s="1"/>
  <c r="BC56" i="1"/>
  <c r="AE3" i="1" l="1"/>
  <c r="AF3" i="1"/>
  <c r="AE2" i="1"/>
  <c r="AF2" i="1"/>
  <c r="AE13" i="1"/>
  <c r="AF13" i="1"/>
  <c r="AE26" i="1"/>
  <c r="AF26" i="1"/>
  <c r="AE25" i="1"/>
  <c r="AF25" i="1"/>
  <c r="AE36" i="1"/>
  <c r="AF36" i="1"/>
  <c r="AE17" i="1"/>
  <c r="AF17" i="1"/>
  <c r="AE48" i="1"/>
  <c r="AF48" i="1"/>
  <c r="AE47" i="1"/>
  <c r="AF47" i="1"/>
  <c r="AE12" i="1"/>
  <c r="AF12" i="1"/>
  <c r="AE35" i="1"/>
  <c r="AF35" i="1"/>
  <c r="AE62" i="1"/>
  <c r="AF62" i="1"/>
  <c r="AE64" i="1"/>
  <c r="AF64" i="1"/>
  <c r="AE67" i="1"/>
  <c r="AF67" i="1"/>
  <c r="AE39" i="1"/>
  <c r="AF39" i="1"/>
  <c r="AE40" i="1"/>
  <c r="AF40" i="1"/>
  <c r="AE11" i="1"/>
  <c r="AF11" i="1"/>
  <c r="AE15" i="1"/>
  <c r="AF15" i="1"/>
  <c r="AE32" i="1"/>
  <c r="AF32" i="1"/>
  <c r="AE9" i="1"/>
  <c r="AF9" i="1"/>
  <c r="AE52" i="1"/>
  <c r="AF52" i="1"/>
  <c r="AE4" i="1"/>
  <c r="AF4" i="1"/>
  <c r="AE41" i="1"/>
  <c r="AF41" i="1"/>
  <c r="AE79" i="1"/>
  <c r="AF79" i="1"/>
  <c r="AE81" i="1"/>
  <c r="AF81" i="1"/>
  <c r="AE73" i="1"/>
  <c r="AF73" i="1"/>
  <c r="AE18" i="1"/>
  <c r="AF18" i="1"/>
  <c r="AE69" i="1"/>
  <c r="AF69" i="1"/>
  <c r="AE70" i="1"/>
  <c r="AF70" i="1"/>
  <c r="AE7" i="1"/>
  <c r="AF7" i="1"/>
  <c r="AE60" i="1"/>
  <c r="AF60" i="1"/>
  <c r="AE78" i="1"/>
  <c r="AF78" i="1"/>
  <c r="AF59" i="1"/>
  <c r="AE59" i="1"/>
  <c r="AG59" i="1" s="1"/>
  <c r="D3" i="4"/>
  <c r="AG78" i="1" l="1"/>
  <c r="AG60" i="1"/>
  <c r="AG7" i="1"/>
  <c r="AG70" i="1"/>
  <c r="AG69" i="1"/>
  <c r="AG18" i="1"/>
  <c r="AG73" i="1"/>
  <c r="AG81" i="1"/>
  <c r="AG79" i="1"/>
  <c r="AG41" i="1"/>
  <c r="AG4" i="1"/>
  <c r="AG52" i="1"/>
  <c r="AG9" i="1"/>
  <c r="AG32" i="1"/>
  <c r="AG15" i="1"/>
  <c r="AG11" i="1"/>
  <c r="AG40" i="1"/>
  <c r="AG39" i="1"/>
  <c r="AG67" i="1"/>
  <c r="AG64" i="1"/>
  <c r="AG62" i="1"/>
  <c r="AG35" i="1"/>
  <c r="AG12" i="1"/>
  <c r="AG47" i="1"/>
  <c r="AG48" i="1"/>
  <c r="AG17" i="1"/>
  <c r="AG36" i="1"/>
  <c r="AG25" i="1"/>
  <c r="AG26" i="1"/>
  <c r="AG13" i="1"/>
  <c r="AG3" i="1"/>
  <c r="H4" i="4"/>
  <c r="D4" i="4"/>
  <c r="BD92" i="1"/>
  <c r="AP2" i="1"/>
  <c r="AG2" i="1"/>
  <c r="I7" i="4" l="1"/>
  <c r="E7" i="4"/>
  <c r="G7" i="4"/>
  <c r="H6" i="4" a="1"/>
  <c r="H6" i="4" s="1"/>
  <c r="AF178" i="1" l="1"/>
  <c r="AG1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<sst xmlns="http://schemas.openxmlformats.org/spreadsheetml/2006/main" count="8292" uniqueCount="3554">
  <si>
    <t>Phase</t>
  </si>
  <si>
    <t>Program</t>
  </si>
  <si>
    <t>Lab</t>
  </si>
  <si>
    <t>TAP</t>
  </si>
  <si>
    <t>Status</t>
  </si>
  <si>
    <t>DEP Region</t>
  </si>
  <si>
    <t>Completion level</t>
  </si>
  <si>
    <t>Completion Notes</t>
  </si>
  <si>
    <t>EAP</t>
  </si>
  <si>
    <t>MRWA</t>
  </si>
  <si>
    <t>Gene</t>
  </si>
  <si>
    <t>1-Not Contacted Yet</t>
  </si>
  <si>
    <t>NERO</t>
  </si>
  <si>
    <t>No Detect, Done</t>
  </si>
  <si>
    <t>Plan to resample</t>
  </si>
  <si>
    <t>SWIG</t>
  </si>
  <si>
    <t>Alpha</t>
  </si>
  <si>
    <t>Katie</t>
  </si>
  <si>
    <t>2-Contacted</t>
  </si>
  <si>
    <t>CERO</t>
  </si>
  <si>
    <t>Follow-up</t>
  </si>
  <si>
    <t>Follow-up testing</t>
  </si>
  <si>
    <t>Barnstable</t>
  </si>
  <si>
    <t>Rick</t>
  </si>
  <si>
    <t>3-Has Responded</t>
  </si>
  <si>
    <t>SERO</t>
  </si>
  <si>
    <t>Remediation</t>
  </si>
  <si>
    <t>Communicate w/ parents</t>
  </si>
  <si>
    <t>Con-Test</t>
  </si>
  <si>
    <t>?</t>
  </si>
  <si>
    <t>3.5-On Hold</t>
  </si>
  <si>
    <t>WERO</t>
  </si>
  <si>
    <t>Replacement</t>
  </si>
  <si>
    <t>Issue do not drink order</t>
  </si>
  <si>
    <t>Granite</t>
  </si>
  <si>
    <t>4-Sample Plan Done</t>
  </si>
  <si>
    <t>No response</t>
  </si>
  <si>
    <t>Provide water bottles</t>
  </si>
  <si>
    <t>RI Analytical</t>
  </si>
  <si>
    <t>5-Sampling Scheduled</t>
  </si>
  <si>
    <t>Provide bottled water</t>
  </si>
  <si>
    <t>6-Sampling Done</t>
  </si>
  <si>
    <t>Put fountains out of commission</t>
  </si>
  <si>
    <t>7-Results Received</t>
  </si>
  <si>
    <t>Routine maintenance</t>
  </si>
  <si>
    <t>8-Results Sent</t>
  </si>
  <si>
    <t>Routine flushing</t>
  </si>
  <si>
    <t>9-Completed</t>
  </si>
  <si>
    <t>Turn off contaminated outlets</t>
  </si>
  <si>
    <t>0-Out of Program</t>
  </si>
  <si>
    <t>Replace fixtures</t>
  </si>
  <si>
    <t>Replace internal piping</t>
  </si>
  <si>
    <t>Other</t>
  </si>
  <si>
    <t>Date Record Updated</t>
  </si>
  <si>
    <t>UMass Status</t>
  </si>
  <si>
    <t>Date of DEP Decision</t>
  </si>
  <si>
    <t>DEP Decision</t>
  </si>
  <si>
    <t>Application Date &amp; Time</t>
  </si>
  <si>
    <t>Code from Application Form</t>
  </si>
  <si>
    <t>Facility Name</t>
  </si>
  <si>
    <t>Facility Type</t>
  </si>
  <si>
    <t>Facility Street 1</t>
  </si>
  <si>
    <t>Facility Street 2</t>
  </si>
  <si>
    <t>Facility Town</t>
  </si>
  <si>
    <t>Facility Zip</t>
  </si>
  <si>
    <t>PPC First Name</t>
  </si>
  <si>
    <t>PPC Last Name</t>
  </si>
  <si>
    <t>PPC Job Title</t>
  </si>
  <si>
    <t>PPC Phone</t>
  </si>
  <si>
    <t>PPC Email</t>
  </si>
  <si>
    <t>PPC Street 1</t>
  </si>
  <si>
    <t>PPC Street 2</t>
  </si>
  <si>
    <t>PPC Town</t>
  </si>
  <si>
    <t>PPC Zip</t>
  </si>
  <si>
    <t>Construction year</t>
  </si>
  <si>
    <t>Future Operations</t>
  </si>
  <si>
    <t>Registered Name (EEC) if different than Col G</t>
  </si>
  <si>
    <t>Report Tool Pin</t>
  </si>
  <si>
    <t>Org Code</t>
  </si>
  <si>
    <t>TAP Name</t>
  </si>
  <si>
    <t>Sampler Name</t>
  </si>
  <si>
    <t>Sampling Date</t>
  </si>
  <si>
    <t># First Draw Samples (Locations)</t>
  </si>
  <si>
    <t># Flush Samples</t>
  </si>
  <si>
    <t># Total Samples</t>
  </si>
  <si>
    <t>Laboratory</t>
  </si>
  <si>
    <t>Results Received?</t>
  </si>
  <si>
    <t># FD Samples ≤1.4 µg/L Pb</t>
  </si>
  <si>
    <t># Flush Samples ≤1.4 µg/L Pb</t>
  </si>
  <si>
    <t xml:space="preserve"># FD Samples 1.5 - 15.4 µg/L </t>
  </si>
  <si>
    <t xml:space="preserve"># Flush Samples       1.5 - 15.4 µg/L </t>
  </si>
  <si>
    <t xml:space="preserve"># FD Samples   ≥ 15.5 µg/L </t>
  </si>
  <si>
    <t># Flush Samples   ≥ 15.5 µg/L</t>
  </si>
  <si>
    <t>Total # samples analyzed</t>
  </si>
  <si>
    <t>Results Sent Date</t>
  </si>
  <si>
    <t>Notes</t>
  </si>
  <si>
    <t>MWRA?</t>
  </si>
  <si>
    <t>PWS?</t>
  </si>
  <si>
    <t>PWSID</t>
  </si>
  <si>
    <t>PWS email</t>
  </si>
  <si>
    <t>BOH email</t>
  </si>
  <si>
    <t>School / EECF email</t>
  </si>
  <si>
    <t>+AV:AV</t>
  </si>
  <si>
    <t>EEC Provider Number</t>
  </si>
  <si>
    <t>W</t>
  </si>
  <si>
    <t>2020-01-14T07:23:11-05:00</t>
  </si>
  <si>
    <t>sch - 1579004422780</t>
  </si>
  <si>
    <t>Cape Cod Lighthouse Charter School</t>
  </si>
  <si>
    <t>sch</t>
  </si>
  <si>
    <t>195 Route 137</t>
  </si>
  <si>
    <t>Harwich</t>
  </si>
  <si>
    <t>02645</t>
  </si>
  <si>
    <t>Paul</t>
  </si>
  <si>
    <t>Niles</t>
  </si>
  <si>
    <t>Executive Director</t>
  </si>
  <si>
    <t>774-408-7994</t>
  </si>
  <si>
    <t>pniles@cclcs.info</t>
  </si>
  <si>
    <t>&lt; 1988</t>
  </si>
  <si>
    <t>20+</t>
  </si>
  <si>
    <t xml:space="preserve"> </t>
  </si>
  <si>
    <t>N</t>
  </si>
  <si>
    <t>health@town.harwich.ma.us</t>
  </si>
  <si>
    <t>P-170209</t>
  </si>
  <si>
    <t>R</t>
  </si>
  <si>
    <t>2020-01-17T17:03:06-05:00</t>
  </si>
  <si>
    <t>ccf - 1579298404811</t>
  </si>
  <si>
    <t>Paula's Family ChildCare</t>
  </si>
  <si>
    <t>FCC</t>
  </si>
  <si>
    <t>23 Meadowcroft Street</t>
  </si>
  <si>
    <t>Lowell</t>
  </si>
  <si>
    <t>01852</t>
  </si>
  <si>
    <t>Paula</t>
  </si>
  <si>
    <t>Teixeira</t>
  </si>
  <si>
    <t>Educator</t>
  </si>
  <si>
    <t>9789952068</t>
  </si>
  <si>
    <t>xrosa76@comcast.net</t>
  </si>
  <si>
    <t>23 Meadowcroft St</t>
  </si>
  <si>
    <t>0-10</t>
  </si>
  <si>
    <t>Teixeira, Paula Alexandra</t>
  </si>
  <si>
    <t>jbelanger@lowellma.gov</t>
  </si>
  <si>
    <t>P-171241</t>
  </si>
  <si>
    <t>A</t>
  </si>
  <si>
    <t>2020-02-05T07:07:10-05:00</t>
  </si>
  <si>
    <t>ccf - 1580904391858</t>
  </si>
  <si>
    <t>Children Of America</t>
  </si>
  <si>
    <t>LG</t>
  </si>
  <si>
    <t>76 Vanderbilt Avenue</t>
  </si>
  <si>
    <t>Norwood</t>
  </si>
  <si>
    <t>02062</t>
  </si>
  <si>
    <t xml:space="preserve">Kerri </t>
  </si>
  <si>
    <t>Emidy</t>
  </si>
  <si>
    <t>Center Director</t>
  </si>
  <si>
    <t>781-255-5778</t>
  </si>
  <si>
    <t>coanorwoodma@childrenofamerica.com</t>
  </si>
  <si>
    <t>76 Vanderbilt Ave</t>
  </si>
  <si>
    <t>&gt; 1988</t>
  </si>
  <si>
    <t>fea8-6cc9-a30d</t>
  </si>
  <si>
    <t>Collected samples on their own.  Out of program</t>
  </si>
  <si>
    <t>mryan@norwoodma.gov</t>
  </si>
  <si>
    <t>erin.craft@mass.gov</t>
  </si>
  <si>
    <t>2020-02-24T09:42:06-05:00</t>
  </si>
  <si>
    <t>sch - 1582555056759</t>
  </si>
  <si>
    <t>St. Mary's Parish School</t>
  </si>
  <si>
    <t>35 Bartlett Street</t>
  </si>
  <si>
    <t>Westfield</t>
  </si>
  <si>
    <t>01085</t>
  </si>
  <si>
    <t>Patricia</t>
  </si>
  <si>
    <t>Howes</t>
  </si>
  <si>
    <t>School Nurse</t>
  </si>
  <si>
    <t>413-568-2388x302</t>
  </si>
  <si>
    <t>phowes@stmsaints.org</t>
  </si>
  <si>
    <t>35 Bartlett St.</t>
  </si>
  <si>
    <t>j.rouse@cityofwestfield.org</t>
  </si>
  <si>
    <t>2020-07-23T08:48:59-05:00</t>
  </si>
  <si>
    <t>ccf - 1595512008876</t>
  </si>
  <si>
    <t xml:space="preserve">Jane's Family ChildCare </t>
  </si>
  <si>
    <t>16 Noble Street</t>
  </si>
  <si>
    <t>Newton - West</t>
  </si>
  <si>
    <t>02465</t>
  </si>
  <si>
    <t>Jane</t>
  </si>
  <si>
    <t>Malieswski</t>
  </si>
  <si>
    <t>Owner/ Family Childcare</t>
  </si>
  <si>
    <t>617-818-1331</t>
  </si>
  <si>
    <t>fourmals@comcast.net</t>
  </si>
  <si>
    <t>16 Noble St.</t>
  </si>
  <si>
    <t>West Newton</t>
  </si>
  <si>
    <t>Malieswski, Jane</t>
  </si>
  <si>
    <t>0f45-a307-2024</t>
  </si>
  <si>
    <t>Opted out, said tested water when bought house</t>
  </si>
  <si>
    <t>Y</t>
  </si>
  <si>
    <t>dyoungblood@newtonma.gov</t>
  </si>
  <si>
    <t>2021-03-30T20:44:57-05:00</t>
  </si>
  <si>
    <t>sch - 1617154968564</t>
  </si>
  <si>
    <t>Debbie's Daycare</t>
  </si>
  <si>
    <t>195 East Union Stret</t>
  </si>
  <si>
    <t>Ashland</t>
  </si>
  <si>
    <t>01721</t>
  </si>
  <si>
    <t>Debra</t>
  </si>
  <si>
    <t>Butler</t>
  </si>
  <si>
    <t>owner/Director</t>
  </si>
  <si>
    <t>508-881-4283</t>
  </si>
  <si>
    <t>whtagal@aol.com</t>
  </si>
  <si>
    <t>195 East Union St.</t>
  </si>
  <si>
    <t>Kate</t>
  </si>
  <si>
    <t>Closing facility.Not going to participate.</t>
  </si>
  <si>
    <t>N/Y</t>
  </si>
  <si>
    <t>dpw@ashlandmass.com</t>
  </si>
  <si>
    <t>moram@ashlandmass.com</t>
  </si>
  <si>
    <t>P-169602</t>
  </si>
  <si>
    <t>2021-04-05 T12:25 PM</t>
  </si>
  <si>
    <t>Brackett, Renee</t>
  </si>
  <si>
    <t>512 Pleasant Street null</t>
  </si>
  <si>
    <t>Southbridge</t>
  </si>
  <si>
    <t>01550</t>
  </si>
  <si>
    <t>Renee</t>
  </si>
  <si>
    <t>Brackett</t>
  </si>
  <si>
    <t>Family child care provider</t>
  </si>
  <si>
    <t>774-230-3771</t>
  </si>
  <si>
    <t>rbrackett50@msn.com</t>
  </si>
  <si>
    <t>946e-522c-49ea</t>
  </si>
  <si>
    <t>T0000066</t>
  </si>
  <si>
    <t>J. Brecket</t>
  </si>
  <si>
    <t>sgregoire@southbridgemass.org</t>
  </si>
  <si>
    <t>apelletier@town.auburn.ma.us</t>
  </si>
  <si>
    <t>2021-04-05T13:09:22-05:00</t>
  </si>
  <si>
    <t>ccf - 8029157_P-183302</t>
  </si>
  <si>
    <t>Wayland Montessori Preschool</t>
  </si>
  <si>
    <t>5 Damon Street</t>
  </si>
  <si>
    <t>Wayland</t>
  </si>
  <si>
    <t>01778</t>
  </si>
  <si>
    <t>Tyla</t>
  </si>
  <si>
    <t>Corfield</t>
  </si>
  <si>
    <t>Assistant Director</t>
  </si>
  <si>
    <t>508-655-5742</t>
  </si>
  <si>
    <t>tyla.waylandmontessori@gmail.com</t>
  </si>
  <si>
    <t>11-20</t>
  </si>
  <si>
    <t>dmillette@wayland.ma.us</t>
  </si>
  <si>
    <t>jjunghanns@wayland.ma.us</t>
  </si>
  <si>
    <t>2021-04-05T13:12:35-05:00</t>
  </si>
  <si>
    <t>ccf - 200566_P-169520</t>
  </si>
  <si>
    <t>Community Nursery School of Wayland</t>
  </si>
  <si>
    <t>Beth</t>
  </si>
  <si>
    <t>Fuce</t>
  </si>
  <si>
    <t>Director</t>
  </si>
  <si>
    <t>508-651-2555</t>
  </si>
  <si>
    <t>elizabethfuce@gmail.com</t>
  </si>
  <si>
    <t>2020-01-14T09:12:16-05:00</t>
  </si>
  <si>
    <t>ccf - 2911795_P-177108</t>
  </si>
  <si>
    <t>Crayon College, Inc.</t>
  </si>
  <si>
    <t>24 Main Street</t>
  </si>
  <si>
    <t>Kingston</t>
  </si>
  <si>
    <t>02364</t>
  </si>
  <si>
    <t>Ryan</t>
  </si>
  <si>
    <t>781-585-5437</t>
  </si>
  <si>
    <t>directorkingston@crayoncollege.us</t>
  </si>
  <si>
    <t>24 Main St</t>
  </si>
  <si>
    <t>e-mail requesting site plan, program attachments, follow up by phone wk 7/9/21 Not interested in the program already tested</t>
  </si>
  <si>
    <t>mjdarsch@kingstonmass.org</t>
  </si>
  <si>
    <t>mherzberg@kingstonmass.org</t>
  </si>
  <si>
    <t>2021-04-08T06:48:56-05:00</t>
  </si>
  <si>
    <t>ccf - 1617882459921</t>
  </si>
  <si>
    <t>Nurtury</t>
  </si>
  <si>
    <t>436 Tremont Street</t>
  </si>
  <si>
    <t>Boston</t>
  </si>
  <si>
    <t>02116</t>
  </si>
  <si>
    <t>George</t>
  </si>
  <si>
    <t>Pereira</t>
  </si>
  <si>
    <t>Director of Properties</t>
  </si>
  <si>
    <t>617-828-9987</t>
  </si>
  <si>
    <t>gpereira@nurturyboston.org</t>
  </si>
  <si>
    <t>62c9-56fd-6f45</t>
  </si>
  <si>
    <t>Nurtury is leaving this location in August 2021</t>
  </si>
  <si>
    <t>sullivanjp@bwsc.org</t>
  </si>
  <si>
    <t>rnieves@bphc.org</t>
  </si>
  <si>
    <t> erin.craft@mass.gov</t>
  </si>
  <si>
    <t>2020-06-08T20:27:28-05:00</t>
  </si>
  <si>
    <t>ccf - 1591665777391</t>
  </si>
  <si>
    <t>Diane Gorman Daycare</t>
  </si>
  <si>
    <t>19 Fairview Avenue</t>
  </si>
  <si>
    <t>Lynn</t>
  </si>
  <si>
    <t>01904</t>
  </si>
  <si>
    <t>Diane</t>
  </si>
  <si>
    <t>Gorman</t>
  </si>
  <si>
    <t>Daycare provider</t>
  </si>
  <si>
    <t>617-285-7731</t>
  </si>
  <si>
    <t>dgorman1262@gmail.com</t>
  </si>
  <si>
    <t>19 Fairview Ave.</t>
  </si>
  <si>
    <t>39ea-a1a7-5c9c</t>
  </si>
  <si>
    <t>Spoke 9/29 Opting Out</t>
  </si>
  <si>
    <t>hsamuelson@lynnwatersewer.org</t>
  </si>
  <si>
    <t>mdesmarais@lynnma.gov</t>
  </si>
  <si>
    <t>P-187858</t>
  </si>
  <si>
    <t>Completion Level</t>
  </si>
  <si>
    <t>ighton</t>
  </si>
  <si>
    <t>2021-02-05T16:39:43-05:00</t>
  </si>
  <si>
    <t>ccf - 1612561048565</t>
  </si>
  <si>
    <t>The Cottage Garden EEC licensed Family Child Care</t>
  </si>
  <si>
    <t>135 Cottage Street</t>
  </si>
  <si>
    <t>Amherst</t>
  </si>
  <si>
    <t>01002</t>
  </si>
  <si>
    <t>Celia</t>
  </si>
  <si>
    <t>Riahi</t>
  </si>
  <si>
    <t>owner/teacher</t>
  </si>
  <si>
    <t>413-348-6035</t>
  </si>
  <si>
    <t>celiariahi@gmail.com</t>
  </si>
  <si>
    <t>135 Cottage St.</t>
  </si>
  <si>
    <t>533a 2250-cff7</t>
  </si>
  <si>
    <t>Celia Riahi</t>
  </si>
  <si>
    <t>SC- 2/25/21 @10:00AM</t>
  </si>
  <si>
    <t>mooringg@amherstma.gov</t>
  </si>
  <si>
    <t>dragone@amherstma.gov</t>
  </si>
  <si>
    <t>P-169908</t>
  </si>
  <si>
    <t>2020-02-05T12:06:07-05:00</t>
  </si>
  <si>
    <t>ccf - 201243_P-169788</t>
  </si>
  <si>
    <t>Cushman Scott Children's Center</t>
  </si>
  <si>
    <t>71 Henry Street</t>
  </si>
  <si>
    <t>Mary Ann</t>
  </si>
  <si>
    <t>Ziomek</t>
  </si>
  <si>
    <t>413-549-1167</t>
  </si>
  <si>
    <t>director@cushmanscott.org</t>
  </si>
  <si>
    <t>PO Box 9656</t>
  </si>
  <si>
    <t>North Amherst</t>
  </si>
  <si>
    <t>01059</t>
  </si>
  <si>
    <t>d505-8872-779d</t>
  </si>
  <si>
    <t>Notified by phone of ND; waiting on Boston letter for forwarding</t>
  </si>
  <si>
    <t>P-169784</t>
  </si>
  <si>
    <t>2020-01-21T15:01:37-05:00</t>
  </si>
  <si>
    <t>ccf - 1579636659305</t>
  </si>
  <si>
    <t>Pre-K-Kidz Childcare and Preschool</t>
  </si>
  <si>
    <t>464 Main Street</t>
  </si>
  <si>
    <t>Athol</t>
  </si>
  <si>
    <t>01331</t>
  </si>
  <si>
    <t>Rebecca</t>
  </si>
  <si>
    <t>Lanoue</t>
  </si>
  <si>
    <t>Owner</t>
  </si>
  <si>
    <t>978-830-4636</t>
  </si>
  <si>
    <t>prekkidz01331@gmail.com</t>
  </si>
  <si>
    <t>464 Main St.</t>
  </si>
  <si>
    <t>undefined</t>
  </si>
  <si>
    <t>Lanoue, Rebecca</t>
  </si>
  <si>
    <t>baee-7adf-559b</t>
  </si>
  <si>
    <t>T0000040</t>
  </si>
  <si>
    <t>11/11/2020</t>
  </si>
  <si>
    <t>None</t>
  </si>
  <si>
    <t>boh@townofathol.org</t>
  </si>
  <si>
    <t>2021-04-10T06:37:17-05:00</t>
  </si>
  <si>
    <t>ccf - 1618054528625</t>
  </si>
  <si>
    <t>Robyn Roberts Family Day Care</t>
  </si>
  <si>
    <t>15 Oakwood Drive</t>
  </si>
  <si>
    <t>Belchertown</t>
  </si>
  <si>
    <t>01007</t>
  </si>
  <si>
    <t>Robyn</t>
  </si>
  <si>
    <t>Roberts</t>
  </si>
  <si>
    <t>Daycare Owner</t>
  </si>
  <si>
    <t>413-544-4057</t>
  </si>
  <si>
    <t>belchertown4@yahoo.com</t>
  </si>
  <si>
    <t>3c09-e910-9a96</t>
  </si>
  <si>
    <t>jmetcalf@townofware.com</t>
  </si>
  <si>
    <t>2021-04-02T11:34:48-05:00</t>
  </si>
  <si>
    <t>ccf - 1617380723390</t>
  </si>
  <si>
    <t xml:space="preserve">Acorn Patch Family Childcare </t>
  </si>
  <si>
    <t>6 Acorn Street</t>
  </si>
  <si>
    <t>Bellingham</t>
  </si>
  <si>
    <t>02019</t>
  </si>
  <si>
    <t>Kari</t>
  </si>
  <si>
    <t>Meszaros-Phaneuf</t>
  </si>
  <si>
    <t>Family Childcare Owner</t>
  </si>
  <si>
    <t>774-277-0591</t>
  </si>
  <si>
    <t>kari.ann.meszaros@gmail.com</t>
  </si>
  <si>
    <t>0e20-9e79-f77f</t>
  </si>
  <si>
    <t>T0000058</t>
  </si>
  <si>
    <t>Lab Pick up scheduled 5/12/21.</t>
  </si>
  <si>
    <t>bwilson@bellinghamma.org</t>
  </si>
  <si>
    <t>P-177112</t>
  </si>
  <si>
    <t>2020-01-27T14:10:55-05:00</t>
  </si>
  <si>
    <t>sch - 00350811</t>
  </si>
  <si>
    <t>Shaloh House Day</t>
  </si>
  <si>
    <t>29 Chestnut Hill Avenue</t>
  </si>
  <si>
    <t>Brighton</t>
  </si>
  <si>
    <t>02135</t>
  </si>
  <si>
    <t>Ilan</t>
  </si>
  <si>
    <t>Meyers</t>
  </si>
  <si>
    <t>Consultant</t>
  </si>
  <si>
    <t>617-787-2200</t>
  </si>
  <si>
    <t>school@shaloh.org</t>
  </si>
  <si>
    <t>29 Chestnut Hill Ave.</t>
  </si>
  <si>
    <t>b6eb-1eca-ea9c</t>
  </si>
  <si>
    <t>00350811</t>
  </si>
  <si>
    <t>Gene Brunelle</t>
  </si>
  <si>
    <t>1/4/2021</t>
  </si>
  <si>
    <t>Samples collected 11/20, Delivered to RI Analytical 11/23</t>
  </si>
  <si>
    <t>P-169530</t>
  </si>
  <si>
    <t>2021-01-22T14:57:21-05:00</t>
  </si>
  <si>
    <t>ccf - 200321_P-169407</t>
  </si>
  <si>
    <t>Canton Community Kindergarten</t>
  </si>
  <si>
    <t>1541 Washington Street</t>
  </si>
  <si>
    <t>Canton</t>
  </si>
  <si>
    <t>02021</t>
  </si>
  <si>
    <t>Joe</t>
  </si>
  <si>
    <t>Kendall</t>
  </si>
  <si>
    <t>Resource Team Director</t>
  </si>
  <si>
    <t>312-206-2277</t>
  </si>
  <si>
    <t>jpkendall13@aol.com</t>
  </si>
  <si>
    <t>1541 Washington St.</t>
  </si>
  <si>
    <t>a480-7d22-e39e</t>
  </si>
  <si>
    <t>Alpha Analytical</t>
  </si>
  <si>
    <t>Flush the kitchen sink</t>
  </si>
  <si>
    <t>csykes@town.canton.ma.us</t>
  </si>
  <si>
    <t>breardon@town.canton.ma.us</t>
  </si>
  <si>
    <t>P-170547</t>
  </si>
  <si>
    <t>2020-05-14T10:08:45-05:00</t>
  </si>
  <si>
    <t>ccf - 8031747_P-185815</t>
  </si>
  <si>
    <t>Youth Center, Inc.</t>
  </si>
  <si>
    <t>191 Church Street</t>
  </si>
  <si>
    <t>Cheshire</t>
  </si>
  <si>
    <t>01225</t>
  </si>
  <si>
    <t>Sonia</t>
  </si>
  <si>
    <t>DiSanti</t>
  </si>
  <si>
    <t>413-652-5976</t>
  </si>
  <si>
    <t>sonia@youthcenterinc.org</t>
  </si>
  <si>
    <t>284 Franklin St.</t>
  </si>
  <si>
    <t>North Adams</t>
  </si>
  <si>
    <t>01247</t>
  </si>
  <si>
    <t>246d-95b5-6b90</t>
  </si>
  <si>
    <t>Sampling complete; waiting on Boston letter for forwarding</t>
  </si>
  <si>
    <t>Water2cheshire@gmail.com</t>
  </si>
  <si>
    <t>mmoore@northadams-ma.gov</t>
  </si>
  <si>
    <t>P-170913</t>
  </si>
  <si>
    <t>2021-05-26T12:02:23-05:00</t>
  </si>
  <si>
    <t>ccf - 1622048480928</t>
  </si>
  <si>
    <t>SolBe Learning</t>
  </si>
  <si>
    <t xml:space="preserve">LG </t>
  </si>
  <si>
    <t>631 VFW Parkway</t>
  </si>
  <si>
    <t>Chestnut Hill</t>
  </si>
  <si>
    <t>02467</t>
  </si>
  <si>
    <t>Pirone</t>
  </si>
  <si>
    <t>617-784-9921</t>
  </si>
  <si>
    <t>patty@solbelearning.com</t>
  </si>
  <si>
    <t>643 VFW Parkway, Suite A</t>
  </si>
  <si>
    <t>Suite A</t>
  </si>
  <si>
    <t>1751-d745-e38e</t>
  </si>
  <si>
    <t>T0000070</t>
  </si>
  <si>
    <t>Bob</t>
  </si>
  <si>
    <t>Bob Hoyt</t>
  </si>
  <si>
    <t>P-169921</t>
  </si>
  <si>
    <t>2020-01-30T11:33:40-05:00</t>
  </si>
  <si>
    <t>ccf - 201563_P-169959</t>
  </si>
  <si>
    <t>Chicopee Child Development Center, Inc.</t>
  </si>
  <si>
    <t>989 James Street</t>
  </si>
  <si>
    <t>Chicopee</t>
  </si>
  <si>
    <t>01022</t>
  </si>
  <si>
    <t>Joan</t>
  </si>
  <si>
    <t>Beaudry</t>
  </si>
  <si>
    <t xml:space="preserve">Business Administration </t>
  </si>
  <si>
    <t>413-593-3942</t>
  </si>
  <si>
    <t>ccdckids69@gmail.com</t>
  </si>
  <si>
    <t>989 James St.</t>
  </si>
  <si>
    <t>ebcc-548d-4ead</t>
  </si>
  <si>
    <t>Joan Beaudry</t>
  </si>
  <si>
    <t>12/21/2020</t>
  </si>
  <si>
    <t>lsanders@chicopeema.gov</t>
  </si>
  <si>
    <t>2020-01-30T07:53:47-05:00</t>
  </si>
  <si>
    <t>ccf - 290324_P-170630</t>
  </si>
  <si>
    <t>V. O. C. Child Care on Montgomery Street</t>
  </si>
  <si>
    <t>374 Montgomery Street</t>
  </si>
  <si>
    <t>01020</t>
  </si>
  <si>
    <t>Melinda</t>
  </si>
  <si>
    <t>Gnoza</t>
  </si>
  <si>
    <t>413-331-1331</t>
  </si>
  <si>
    <t>Mgnoza@valleyopp.com</t>
  </si>
  <si>
    <t>374 Montgomery St.</t>
  </si>
  <si>
    <t>01ae-1b63-1c9a</t>
  </si>
  <si>
    <t>11/3/2020</t>
  </si>
  <si>
    <t>Results back today 13 samples all ND. Lab has problem w/EEC #.</t>
  </si>
  <si>
    <t>P-170248</t>
  </si>
  <si>
    <t>2020-02-04T14:43:52-05:00</t>
  </si>
  <si>
    <t>ccf - 300304_P-171076</t>
  </si>
  <si>
    <t>Casper</t>
  </si>
  <si>
    <t>580 Meadow Street</t>
  </si>
  <si>
    <t>01013</t>
  </si>
  <si>
    <t>Jason</t>
  </si>
  <si>
    <t>Reed</t>
  </si>
  <si>
    <t>413-206-4109</t>
  </si>
  <si>
    <t>jasonr@bgcchicopee.org</t>
  </si>
  <si>
    <t>580 Meadow St.</t>
  </si>
  <si>
    <t>6b8c-9a3f-9d61</t>
  </si>
  <si>
    <t>2020-03-06T10:23:35-05:00</t>
  </si>
  <si>
    <t>ccf - 201852_P-170023</t>
  </si>
  <si>
    <t>VOC Early Education and Care at Mt. Carmel</t>
  </si>
  <si>
    <t>35 Mt Carmel Avenue</t>
  </si>
  <si>
    <t>Jyton</t>
  </si>
  <si>
    <t>Hunter</t>
  </si>
  <si>
    <t xml:space="preserve">Director </t>
  </si>
  <si>
    <t>413-433-7363</t>
  </si>
  <si>
    <t>jhunter@valleyopp.com</t>
  </si>
  <si>
    <t>35 Mt.Carmel  Ave.</t>
  </si>
  <si>
    <t xml:space="preserve">Chicopee </t>
  </si>
  <si>
    <t>c0b3-717b-9c62</t>
  </si>
  <si>
    <t>Jyton Hunter</t>
  </si>
  <si>
    <t>Sampling took place 2/17/21 and 3/12/21 because all sites were not done the first time</t>
  </si>
  <si>
    <t>P-170081</t>
  </si>
  <si>
    <t>2020-06-08T12:04:42-05:00</t>
  </si>
  <si>
    <t>ccf - 1591635774998</t>
  </si>
  <si>
    <t>Skylight daycare</t>
  </si>
  <si>
    <t>101 Angela Drive</t>
  </si>
  <si>
    <t>Olivia</t>
  </si>
  <si>
    <t>Poellnitz</t>
  </si>
  <si>
    <t xml:space="preserve">daycare provider </t>
  </si>
  <si>
    <t>413-386-0040</t>
  </si>
  <si>
    <t>oliviapoe370@gmail.com</t>
  </si>
  <si>
    <t>Poellnitz, Olivia</t>
  </si>
  <si>
    <t>6fbf-a9dd-f4d7</t>
  </si>
  <si>
    <t>T0000044</t>
  </si>
  <si>
    <t>Olivia Poellnitz</t>
  </si>
  <si>
    <t>Sample Collection Scheduled 11/20</t>
  </si>
  <si>
    <t>P-244643</t>
  </si>
  <si>
    <t>2020-12-11T18:54:03-05:00</t>
  </si>
  <si>
    <t>ccf - 1607730636142</t>
  </si>
  <si>
    <t>Nurture Nest Daycare</t>
  </si>
  <si>
    <t>224 Blanchard Street</t>
  </si>
  <si>
    <t>Jennifer</t>
  </si>
  <si>
    <t>Wall</t>
  </si>
  <si>
    <t>Owner of licensed home daycare</t>
  </si>
  <si>
    <t>413-250-1980</t>
  </si>
  <si>
    <t>Jennwall1181@gmail.com</t>
  </si>
  <si>
    <t>224 Blanchard St.</t>
  </si>
  <si>
    <t xml:space="preserve">&gt; 1988	</t>
  </si>
  <si>
    <t>Wall, Jennifer</t>
  </si>
  <si>
    <t>1278-9cc8-3b08</t>
  </si>
  <si>
    <t>Jenn Wall</t>
  </si>
  <si>
    <t>Texted her for a sample collection date...</t>
  </si>
  <si>
    <t>P-182770</t>
  </si>
  <si>
    <t>2020-06-08T11:14:28-05:00</t>
  </si>
  <si>
    <t>ccf - 1591632708973</t>
  </si>
  <si>
    <t>Little squirts family daycare</t>
  </si>
  <si>
    <t>183 S. Shirkshire Road</t>
  </si>
  <si>
    <t>Conway</t>
  </si>
  <si>
    <t>01341</t>
  </si>
  <si>
    <t xml:space="preserve">Jennifer </t>
  </si>
  <si>
    <t xml:space="preserve">Romanovicz </t>
  </si>
  <si>
    <t>Owner / operator home daycare</t>
  </si>
  <si>
    <t>413-635-8357</t>
  </si>
  <si>
    <t>T.hunter3737@gmail.com</t>
  </si>
  <si>
    <t>183 S. Shirkshire Rd</t>
  </si>
  <si>
    <t>Romanovicz, Jennifer R</t>
  </si>
  <si>
    <t>9e29-36c3-7e18</t>
  </si>
  <si>
    <t>Jenn Romanocicz</t>
  </si>
  <si>
    <t>boardofhealth@townofconway.com</t>
  </si>
  <si>
    <t>P-170164</t>
  </si>
  <si>
    <t>2020-01-16T11:34:23-05:00</t>
  </si>
  <si>
    <t>ccf - 2912100_P-177316</t>
  </si>
  <si>
    <t>Our Lady's Child Care Center</t>
  </si>
  <si>
    <t>35 Pleasant Street</t>
  </si>
  <si>
    <t>Easthampton</t>
  </si>
  <si>
    <t>01027</t>
  </si>
  <si>
    <t>Jon</t>
  </si>
  <si>
    <t>Melanson</t>
  </si>
  <si>
    <t>413-527-6133</t>
  </si>
  <si>
    <t>office2olccc@gmail.com</t>
  </si>
  <si>
    <t>0fff-1177-0878</t>
  </si>
  <si>
    <t>Perri Taylor</t>
  </si>
  <si>
    <t>1/15/2021</t>
  </si>
  <si>
    <t>Received labels, resent bottle order with Con-Test</t>
  </si>
  <si>
    <t>mczerwiec@easthamptonma.gov</t>
  </si>
  <si>
    <t>beichstaedt@easthamptonma.gov</t>
  </si>
  <si>
    <t>2021-03-31T11:33:28-05:00</t>
  </si>
  <si>
    <t>ccf - 201962_P-170039</t>
  </si>
  <si>
    <t>Guild of St. Agnes - Fitchburg</t>
  </si>
  <si>
    <t>9 Payson Street</t>
  </si>
  <si>
    <t>Fitchburg</t>
  </si>
  <si>
    <t>01420</t>
  </si>
  <si>
    <t>Marileia</t>
  </si>
  <si>
    <t>Abade</t>
  </si>
  <si>
    <t>Educator/Provider</t>
  </si>
  <si>
    <t>857-236-9920</t>
  </si>
  <si>
    <t>sunflowerfdc@gmail.com</t>
  </si>
  <si>
    <t>9 Payson St.</t>
  </si>
  <si>
    <t>St. Agnes-Fitchburg</t>
  </si>
  <si>
    <t>89f9-3c87-50e8</t>
  </si>
  <si>
    <t>Marileia Abade</t>
  </si>
  <si>
    <t>ekirrane@FITCHBURGMA.GOV</t>
  </si>
  <si>
    <t>scurry@fitchburgma.gov</t>
  </si>
  <si>
    <t>P-182554</t>
  </si>
  <si>
    <t>2021-07-14T20:27:44-05:00</t>
  </si>
  <si>
    <t>ccf - 1626312258228</t>
  </si>
  <si>
    <t>Guertin Day Care</t>
  </si>
  <si>
    <t>495 Burts Pit Road</t>
  </si>
  <si>
    <t>Florence</t>
  </si>
  <si>
    <t>Shirley</t>
  </si>
  <si>
    <t>Guertin</t>
  </si>
  <si>
    <t>Educator/provider/owner</t>
  </si>
  <si>
    <t>413-588-4674</t>
  </si>
  <si>
    <t>Shirleyguertin@comcast.net</t>
  </si>
  <si>
    <t>495 Burtspit Rd</t>
  </si>
  <si>
    <t>143e-1900-7e05</t>
  </si>
  <si>
    <t>Shirley Guertin</t>
  </si>
  <si>
    <t>Can sample anytime.</t>
  </si>
  <si>
    <t>none</t>
  </si>
  <si>
    <t>moleary@northamptonma.gov</t>
  </si>
  <si>
    <t>2021-04-09T10:49:55-05:00</t>
  </si>
  <si>
    <t>ccf - 201270_P-169798</t>
  </si>
  <si>
    <t>Giving Tree School</t>
  </si>
  <si>
    <t>3 Wood Avenue</t>
  </si>
  <si>
    <t>Gill</t>
  </si>
  <si>
    <t>01354</t>
  </si>
  <si>
    <t>Haley</t>
  </si>
  <si>
    <t>Anderson</t>
  </si>
  <si>
    <t>Program Administrator</t>
  </si>
  <si>
    <t>413-863-9218</t>
  </si>
  <si>
    <t>admin@givingtreeschool.org</t>
  </si>
  <si>
    <t>19d5-5d2c-3224</t>
  </si>
  <si>
    <t>Haley Anderson</t>
  </si>
  <si>
    <t>jeff.suprenant@comcast.net</t>
  </si>
  <si>
    <t>lwhite@frcog.org</t>
  </si>
  <si>
    <t>P-170912</t>
  </si>
  <si>
    <t>2020-05-14T12:02:15-05:00</t>
  </si>
  <si>
    <t>ccf - 8029384</t>
  </si>
  <si>
    <t>Alphabet Soup Preschool Plus of Granby</t>
  </si>
  <si>
    <t>55 Taylor Street</t>
  </si>
  <si>
    <t>Granby</t>
  </si>
  <si>
    <t>01033</t>
  </si>
  <si>
    <t>Bobbi</t>
  </si>
  <si>
    <t>Rougeau</t>
  </si>
  <si>
    <t>413-335-7635</t>
  </si>
  <si>
    <t>missbobbi.rougeau@gmail.com</t>
  </si>
  <si>
    <t>166 West State St.</t>
  </si>
  <si>
    <t>c136-93b4-a6b5</t>
  </si>
  <si>
    <t>Bobbi Rougeau</t>
  </si>
  <si>
    <t>bobbischildcare@comcast.net</t>
  </si>
  <si>
    <t>boh@granbyma.org</t>
  </si>
  <si>
    <t>P-169909</t>
  </si>
  <si>
    <t>2020-11-25T10:17:30-05:00</t>
  </si>
  <si>
    <t>sch - 04970205</t>
  </si>
  <si>
    <t>Pioneer Valley Chinese Immersion Charter School</t>
  </si>
  <si>
    <t>317 Russell Street</t>
  </si>
  <si>
    <t>Hadley</t>
  </si>
  <si>
    <t>01035</t>
  </si>
  <si>
    <t>Kevin</t>
  </si>
  <si>
    <t>Lawson</t>
  </si>
  <si>
    <t>Director of Operations</t>
  </si>
  <si>
    <t>413-582-7040</t>
  </si>
  <si>
    <t>klawson@pvcics.org</t>
  </si>
  <si>
    <t>317 Russell St.</t>
  </si>
  <si>
    <t>c324-88cf-2475</t>
  </si>
  <si>
    <t>04970205</t>
  </si>
  <si>
    <t>Kevin Lawson</t>
  </si>
  <si>
    <t>Received amended Sample Plan1/23, into Tool, created COC, Sampling 1/28</t>
  </si>
  <si>
    <t>publicworks@hadleyma.org</t>
  </si>
  <si>
    <t>health@hadleyma.org</t>
  </si>
  <si>
    <t>ruth.e.hersh@mass.gov</t>
  </si>
  <si>
    <t>2020-01-24T12:16:31-05:00</t>
  </si>
  <si>
    <t>ccf - 8032025_P-186284</t>
  </si>
  <si>
    <t>Valley Opportunity Council at Sullivan</t>
  </si>
  <si>
    <t>400 Jarvis Avenue</t>
  </si>
  <si>
    <t>Holyoke</t>
  </si>
  <si>
    <t>01040</t>
  </si>
  <si>
    <t>Cassandra</t>
  </si>
  <si>
    <t>Roche</t>
  </si>
  <si>
    <t>413-265-8869</t>
  </si>
  <si>
    <t>croche@valleyopp.com</t>
  </si>
  <si>
    <t>400 Jarvis Ave.</t>
  </si>
  <si>
    <t>973e-2f63-20fc</t>
  </si>
  <si>
    <t>Cassandra Roche</t>
  </si>
  <si>
    <t>2/25/2021</t>
  </si>
  <si>
    <t>Using delivered water cooler; ceased using faucet.</t>
  </si>
  <si>
    <t>contid@holyoke.org</t>
  </si>
  <si>
    <t>gonsalvess@holyoke.org</t>
  </si>
  <si>
    <t>2020-01-23T08:11:04-05:00</t>
  </si>
  <si>
    <t>ccf - 2911908_P-177208</t>
  </si>
  <si>
    <t>Valley Opportunity Council @Churchill Homes</t>
  </si>
  <si>
    <t>334 Elm Street</t>
  </si>
  <si>
    <t>Allyson</t>
  </si>
  <si>
    <t>Lopez</t>
  </si>
  <si>
    <t>Center director of Early Educaion And Care Center</t>
  </si>
  <si>
    <t>413-534-2480</t>
  </si>
  <si>
    <t>ALopez@valleyopp.com</t>
  </si>
  <si>
    <t>334 Elm St.</t>
  </si>
  <si>
    <t>b765-6cef-2c82</t>
  </si>
  <si>
    <t>Called and left message 10/5</t>
  </si>
  <si>
    <t>2020-01-30T09:51:12-05:00</t>
  </si>
  <si>
    <t>ccf - 1580395555466</t>
  </si>
  <si>
    <t>Valley Opportunity Council At Beaudoin Village</t>
  </si>
  <si>
    <t>16 Barrett Avenue</t>
  </si>
  <si>
    <t>Melody</t>
  </si>
  <si>
    <t>Robbins</t>
  </si>
  <si>
    <t>413-420-0107</t>
  </si>
  <si>
    <t>mrobbins@valleyopp.com</t>
  </si>
  <si>
    <t>16 Barrett Ave.</t>
  </si>
  <si>
    <t>8948-a653-4791</t>
  </si>
  <si>
    <t>Facility Closed 9/12/20</t>
  </si>
  <si>
    <t>P-170629</t>
  </si>
  <si>
    <t>2020-02-10T12:42:09-05:00</t>
  </si>
  <si>
    <t>sch - 04531001</t>
  </si>
  <si>
    <t>Holyoke Community Charter School</t>
  </si>
  <si>
    <t>2200 Northampton Street</t>
  </si>
  <si>
    <t>Thomas</t>
  </si>
  <si>
    <t>Paquin</t>
  </si>
  <si>
    <t>Facilities Director</t>
  </si>
  <si>
    <t>413-563-0002</t>
  </si>
  <si>
    <t>tpaquin@sabis.net</t>
  </si>
  <si>
    <t>2200 Northampton St.</t>
  </si>
  <si>
    <t>19ff-7090-f9f8</t>
  </si>
  <si>
    <t>04531001</t>
  </si>
  <si>
    <t>Tom Paquin</t>
  </si>
  <si>
    <t>1/28/2021</t>
  </si>
  <si>
    <t>Results in, action items done in the Tool.</t>
  </si>
  <si>
    <t>2020-02-12T11:29:43-05:00</t>
  </si>
  <si>
    <t>ccf - 8032026_P-186285</t>
  </si>
  <si>
    <t>Valley Opportunity Council at Morgan</t>
  </si>
  <si>
    <t>596 South Bridge Street</t>
  </si>
  <si>
    <t>Jessica</t>
  </si>
  <si>
    <t>O'Connor</t>
  </si>
  <si>
    <t>413-537-0529</t>
  </si>
  <si>
    <t>JOConnor@valleyopp.com</t>
  </si>
  <si>
    <t>596 South Bridge St.</t>
  </si>
  <si>
    <t>6ca7-0a00-89b6</t>
  </si>
  <si>
    <t>JOConnor</t>
  </si>
  <si>
    <t>Called and LM 3/3/21</t>
  </si>
  <si>
    <t>P-211694</t>
  </si>
  <si>
    <t>2020-12-28T14:13:21-05:00</t>
  </si>
  <si>
    <t>ccf - 201300_P-169805</t>
  </si>
  <si>
    <t>Lenox Children's Center</t>
  </si>
  <si>
    <t>9 Old Center Street</t>
  </si>
  <si>
    <t>Lenox</t>
  </si>
  <si>
    <t>01240</t>
  </si>
  <si>
    <t>Horn</t>
  </si>
  <si>
    <t>Water Superintendent</t>
  </si>
  <si>
    <t>413-637-5521</t>
  </si>
  <si>
    <t>bhorn@townoflenox.com</t>
  </si>
  <si>
    <t>Town of Lenox</t>
  </si>
  <si>
    <t>275 Main Street</t>
  </si>
  <si>
    <t>18ee-4225-1fe9</t>
  </si>
  <si>
    <t>Bob Horn will send samples back Thursday 2/18</t>
  </si>
  <si>
    <t>jim@tritownhealth.org</t>
  </si>
  <si>
    <t>P-185897</t>
  </si>
  <si>
    <t>2021-04-01T17:11:06-05:00</t>
  </si>
  <si>
    <t>ccf - 1617314940090</t>
  </si>
  <si>
    <t>Kristen’s home daycare</t>
  </si>
  <si>
    <t>200 Whitcomb Avenue</t>
  </si>
  <si>
    <t>Littleton</t>
  </si>
  <si>
    <t>01460</t>
  </si>
  <si>
    <t>Kristen</t>
  </si>
  <si>
    <t>Ferrante</t>
  </si>
  <si>
    <t xml:space="preserve">Home daycare provider </t>
  </si>
  <si>
    <t>978-394-2648</t>
  </si>
  <si>
    <t>Dak30@comcast.net</t>
  </si>
  <si>
    <t xml:space="preserve">200 Whitcomb Ave </t>
  </si>
  <si>
    <t>8e68-1f21-a035</t>
  </si>
  <si>
    <t>Kristen Ferante</t>
  </si>
  <si>
    <t>yes</t>
  </si>
  <si>
    <t>cgodfrey@lelwd.com</t>
  </si>
  <si>
    <t>jgarreffi@nashoba.org</t>
  </si>
  <si>
    <t>P-169503</t>
  </si>
  <si>
    <t>2021-04-03T10:03:58-05:00</t>
  </si>
  <si>
    <t>ccf - 1617462173740</t>
  </si>
  <si>
    <t>Stephani's Childcare</t>
  </si>
  <si>
    <t>36 Fairlawn Street</t>
  </si>
  <si>
    <t>01851</t>
  </si>
  <si>
    <t>Valessa</t>
  </si>
  <si>
    <t>Marques</t>
  </si>
  <si>
    <t>Provider</t>
  </si>
  <si>
    <t>978-967-9909</t>
  </si>
  <si>
    <t>valessamarques@hotmail.com</t>
  </si>
  <si>
    <t>36 Fairlawn St.</t>
  </si>
  <si>
    <t>11-21</t>
  </si>
  <si>
    <t>Valessa Marquez</t>
  </si>
  <si>
    <t>fa5d-72ce-d0d8</t>
  </si>
  <si>
    <t>Collected and were picked up by Con-Test labs not RI Analytical...</t>
  </si>
  <si>
    <t>P-183302</t>
  </si>
  <si>
    <t>2020-02-17T07:45:24-05:00</t>
  </si>
  <si>
    <t>ccf - 291019_P-170913</t>
  </si>
  <si>
    <t>Ludlow Boys &amp; Girls Club Child Care</t>
  </si>
  <si>
    <t>91 Claudias Way</t>
  </si>
  <si>
    <t>Ludlow</t>
  </si>
  <si>
    <t>01056</t>
  </si>
  <si>
    <t>Sarah</t>
  </si>
  <si>
    <t>Goodwin</t>
  </si>
  <si>
    <t>Director of Operational Services</t>
  </si>
  <si>
    <t>413-583-2072</t>
  </si>
  <si>
    <t>sgoodwin@ludlowbgc.org</t>
  </si>
  <si>
    <t>91 Claudia's Way</t>
  </si>
  <si>
    <t>4c3b-bf47-4e83</t>
  </si>
  <si>
    <t>291019</t>
  </si>
  <si>
    <t>Sarah Goodwin</t>
  </si>
  <si>
    <t>11/12/2020</t>
  </si>
  <si>
    <t>Results received</t>
  </si>
  <si>
    <t>Under Springfield</t>
  </si>
  <si>
    <t>health@ludlow.ma.us</t>
  </si>
  <si>
    <t>P-186563</t>
  </si>
  <si>
    <t>2021-04-01T14:49:09-05:00</t>
  </si>
  <si>
    <t>ccf - 1617306410757</t>
  </si>
  <si>
    <t>Brenda's childcare</t>
  </si>
  <si>
    <t>106 Standish Road</t>
  </si>
  <si>
    <t>Brenda</t>
  </si>
  <si>
    <t>Resse</t>
  </si>
  <si>
    <t>781-599-0567</t>
  </si>
  <si>
    <t>Brenskidz@aol.com</t>
  </si>
  <si>
    <t>Resse, Brenda</t>
  </si>
  <si>
    <t>cc8e-ac1a-5c57</t>
  </si>
  <si>
    <t>Brenda Resse</t>
  </si>
  <si>
    <t>ConTest</t>
  </si>
  <si>
    <t>rdawe@lynnwatersewer.org</t>
  </si>
  <si>
    <t>P-182771</t>
  </si>
  <si>
    <t>2021-04-03T15:53:53-05:00</t>
  </si>
  <si>
    <t>ccf - 1617484134292</t>
  </si>
  <si>
    <t>Kenia Correa</t>
  </si>
  <si>
    <t>38 Union Street</t>
  </si>
  <si>
    <t>Methuen</t>
  </si>
  <si>
    <t>01844</t>
  </si>
  <si>
    <t>kenia</t>
  </si>
  <si>
    <t>correa</t>
  </si>
  <si>
    <t>978-885-2456</t>
  </si>
  <si>
    <t>keniaco28@gmail.com</t>
  </si>
  <si>
    <t>0477-8ee1-4970</t>
  </si>
  <si>
    <t>kenia Correa</t>
  </si>
  <si>
    <t>fzemel@ci.methuen.ma.us</t>
  </si>
  <si>
    <t>P-171076</t>
  </si>
  <si>
    <t>2020-01-15T12:00:25-05:00</t>
  </si>
  <si>
    <t>ccf - 211923_P-170248</t>
  </si>
  <si>
    <t>Small Friends</t>
  </si>
  <si>
    <t>21 Nobadeer Farm Road</t>
  </si>
  <si>
    <t>Nantucket</t>
  </si>
  <si>
    <t>02554</t>
  </si>
  <si>
    <t>Nichole</t>
  </si>
  <si>
    <t>Olson</t>
  </si>
  <si>
    <t>508-228-6769</t>
  </si>
  <si>
    <t>nolson@smallfriendsnantucket.org</t>
  </si>
  <si>
    <t>Po Box 2826</t>
  </si>
  <si>
    <t>02584</t>
  </si>
  <si>
    <t>95c9-1e01-89cf</t>
  </si>
  <si>
    <t>mwillett@nantucket-ma.gov</t>
  </si>
  <si>
    <t>roberto.santamaria@ci.everett.ma.us</t>
  </si>
  <si>
    <t>P-187015</t>
  </si>
  <si>
    <t>2020-06-09T11:29:40-05:00</t>
  </si>
  <si>
    <t>ccf - 1591720143555</t>
  </si>
  <si>
    <t>Cozy Coop</t>
  </si>
  <si>
    <t>122 Durfee Street</t>
  </si>
  <si>
    <t>New Bedford</t>
  </si>
  <si>
    <t>02740</t>
  </si>
  <si>
    <t>Viry</t>
  </si>
  <si>
    <t>Hernandez</t>
  </si>
  <si>
    <t>781-330-5641</t>
  </si>
  <si>
    <t>vmendez18@gmail.com</t>
  </si>
  <si>
    <t>122 Durfee St.</t>
  </si>
  <si>
    <t>Hernandez, Viry</t>
  </si>
  <si>
    <t>f843-8a60-73c0</t>
  </si>
  <si>
    <t>T0000046</t>
  </si>
  <si>
    <t>ymane.galotti@newbedford-ma.gov</t>
  </si>
  <si>
    <t>damon.chaplin@newbedford-ma.gov</t>
  </si>
  <si>
    <t>P-170129</t>
  </si>
  <si>
    <t>2021-04-01T14:11:03-05:00</t>
  </si>
  <si>
    <t>ccf - 290938_P-170994</t>
  </si>
  <si>
    <t>Kindercare Learning Center</t>
  </si>
  <si>
    <t>1 Daniel Lucy Way</t>
  </si>
  <si>
    <t>Newburyport</t>
  </si>
  <si>
    <t>01950</t>
  </si>
  <si>
    <t>Joanie</t>
  </si>
  <si>
    <t>Dole</t>
  </si>
  <si>
    <t>978-462-5649</t>
  </si>
  <si>
    <t>jodole@kindercare.com</t>
  </si>
  <si>
    <t>Sites received 5/11</t>
  </si>
  <si>
    <t>fgiacalone@cityofnewburyport.com</t>
  </si>
  <si>
    <t>2020-09-15T10:33:13-05:00</t>
  </si>
  <si>
    <t>sch - 05320010</t>
  </si>
  <si>
    <t>HEC Academy</t>
  </si>
  <si>
    <t>c/o HEC Academy</t>
  </si>
  <si>
    <t>97 Hawley Street</t>
  </si>
  <si>
    <t>Northampton</t>
  </si>
  <si>
    <t>01060</t>
  </si>
  <si>
    <t>Sherry</t>
  </si>
  <si>
    <t>Smith</t>
  </si>
  <si>
    <t>Director of Special Education</t>
  </si>
  <si>
    <t>413-588-5260</t>
  </si>
  <si>
    <t>ssmith@collaborative.org</t>
  </si>
  <si>
    <t>1db0-55d7-27e1</t>
  </si>
  <si>
    <t>05320010</t>
  </si>
  <si>
    <t>Sherry Smith</t>
  </si>
  <si>
    <t>Samples Collected  1/6/21 at 7:30AM; Sampling completed 3/10/21</t>
  </si>
  <si>
    <t>dpwinfo@northamptonma.gov</t>
  </si>
  <si>
    <t>healthdept@northamptonma.gov</t>
  </si>
  <si>
    <t>P-169407</t>
  </si>
  <si>
    <t>2020-02-04T07:40:00-05:00</t>
  </si>
  <si>
    <t>sch - 1580819745259</t>
  </si>
  <si>
    <t>18 Degrees, Early Education and Care Redfield House</t>
  </si>
  <si>
    <t>48 Elizabeth Street</t>
  </si>
  <si>
    <t>Pittsfield</t>
  </si>
  <si>
    <t>01201</t>
  </si>
  <si>
    <t>Anthony</t>
  </si>
  <si>
    <t>Anderton</t>
  </si>
  <si>
    <t>Director of Building and Grounds</t>
  </si>
  <si>
    <t>413-448-8281 x229</t>
  </si>
  <si>
    <t>tanderton@18degreesma.org</t>
  </si>
  <si>
    <t>480 West St.</t>
  </si>
  <si>
    <t>Berkshire Family &amp; Children</t>
  </si>
  <si>
    <t>b54e-8200-c8c4</t>
  </si>
  <si>
    <t>Tony Anderton</t>
  </si>
  <si>
    <t>12/29/2020</t>
  </si>
  <si>
    <t>Collections completed 12/2.</t>
  </si>
  <si>
    <t>bstack@cityofpittsfield.org</t>
  </si>
  <si>
    <t>garmstrong@pittsfieldch.com</t>
  </si>
  <si>
    <t>2020-01-29T09:46:40-05:00</t>
  </si>
  <si>
    <t>ccf - 1580309107002</t>
  </si>
  <si>
    <t xml:space="preserve">18 Degrees Early Education and Care </t>
  </si>
  <si>
    <t>480 West Street</t>
  </si>
  <si>
    <t>413-448-8281</t>
  </si>
  <si>
    <t xml:space="preserve">Pittsfield </t>
  </si>
  <si>
    <t>Collections scheduled 12/2.</t>
  </si>
  <si>
    <t>2020-02-05T13:36:28-05:00</t>
  </si>
  <si>
    <t>ccf - 212459_P-170433</t>
  </si>
  <si>
    <t>HeadStart @ Meadow Lane</t>
  </si>
  <si>
    <t>1 Meadown Lane</t>
  </si>
  <si>
    <t>Lorie</t>
  </si>
  <si>
    <t>Harrington</t>
  </si>
  <si>
    <t>Health and Safety Manager</t>
  </si>
  <si>
    <t>413-445-4161</t>
  </si>
  <si>
    <t>lharrington@berkhs.org</t>
  </si>
  <si>
    <t>1 Meadow Lane</t>
  </si>
  <si>
    <t>0cfe-c643-597e</t>
  </si>
  <si>
    <t>Lori Harrington</t>
  </si>
  <si>
    <t>Results in MT, ready for Spreadsheet</t>
  </si>
  <si>
    <t>P-177490</t>
  </si>
  <si>
    <t>2021-04-02T09:28:18-05:00</t>
  </si>
  <si>
    <t>ccf - 1617373591765</t>
  </si>
  <si>
    <t xml:space="preserve">Le petit chateau family daycare </t>
  </si>
  <si>
    <t>25 Campbell Avenue</t>
  </si>
  <si>
    <t xml:space="preserve">Revere </t>
  </si>
  <si>
    <t>02151</t>
  </si>
  <si>
    <t xml:space="preserve">Ilham </t>
  </si>
  <si>
    <t>Haily</t>
  </si>
  <si>
    <t xml:space="preserve">Daycare provider </t>
  </si>
  <si>
    <t>781-363-7491</t>
  </si>
  <si>
    <t>Hailyilham@hotmail.com</t>
  </si>
  <si>
    <t xml:space="preserve">25 Campbell ave </t>
  </si>
  <si>
    <t>Revere</t>
  </si>
  <si>
    <t>Ilham Hailey</t>
  </si>
  <si>
    <t>4122-7f6c-0190</t>
  </si>
  <si>
    <t>Ilham Haily</t>
  </si>
  <si>
    <t>mwells@revere.org</t>
  </si>
  <si>
    <t>P-170205</t>
  </si>
  <si>
    <t>2021-05-26T13:46:56-05:00</t>
  </si>
  <si>
    <t>ccf - 1622054753588</t>
  </si>
  <si>
    <t>Salem Community Child Care</t>
  </si>
  <si>
    <t xml:space="preserve">P.O. Box 8 </t>
  </si>
  <si>
    <t>92 Congress Street</t>
  </si>
  <si>
    <t>Salem</t>
  </si>
  <si>
    <t>01970</t>
  </si>
  <si>
    <t>Celeste</t>
  </si>
  <si>
    <t>Hamilton</t>
  </si>
  <si>
    <t>Site Director</t>
  </si>
  <si>
    <t>978-744-3479</t>
  </si>
  <si>
    <t>salemcc@verizon.net</t>
  </si>
  <si>
    <t>229b-473e-f996</t>
  </si>
  <si>
    <t>dknowlton@salem.com</t>
  </si>
  <si>
    <t>dgreenbaum@salem.com</t>
  </si>
  <si>
    <t>P-169775</t>
  </si>
  <si>
    <t>2021-04-07T09:35:43-05:00</t>
  </si>
  <si>
    <t>ccf - 1617806080318</t>
  </si>
  <si>
    <t>Red Bird Preschool</t>
  </si>
  <si>
    <t>54 Baker Road</t>
  </si>
  <si>
    <t>Shutesbury</t>
  </si>
  <si>
    <t>01072</t>
  </si>
  <si>
    <t>HenaSusha</t>
  </si>
  <si>
    <t>Schiffman</t>
  </si>
  <si>
    <t>413-658-4616</t>
  </si>
  <si>
    <t>redbirdpreschool@gmail.com</t>
  </si>
  <si>
    <t>Henasusha Schiffman</t>
  </si>
  <si>
    <t>T0000063</t>
  </si>
  <si>
    <t>fosterm@shutesburyschool.org</t>
  </si>
  <si>
    <t>health.agent86@gmail.com</t>
  </si>
  <si>
    <t>2020-06-17T13:33:19-05:00</t>
  </si>
  <si>
    <t>ccf - 8028363_P-182544</t>
  </si>
  <si>
    <t>Alphabet Soup Preschool Plus</t>
  </si>
  <si>
    <t>5 Ferry Street</t>
  </si>
  <si>
    <t>36 Hadley Street</t>
  </si>
  <si>
    <t>South Hadley</t>
  </si>
  <si>
    <t>01075</t>
  </si>
  <si>
    <t>5 Ferry St.</t>
  </si>
  <si>
    <t>Tested in September 2020 by SHFD#2 since they were an Emer CCF during pandemic</t>
  </si>
  <si>
    <t>healthdept@southhadley.org</t>
  </si>
  <si>
    <t>2020-01-15T12:34:31-05:00</t>
  </si>
  <si>
    <t>ccf - 291012_P-170912</t>
  </si>
  <si>
    <t>Giggle Garden's, Inc.</t>
  </si>
  <si>
    <t>627 State Street</t>
  </si>
  <si>
    <t>Springfield</t>
  </si>
  <si>
    <t>01109</t>
  </si>
  <si>
    <t>Tasha</t>
  </si>
  <si>
    <t>Johnson</t>
  </si>
  <si>
    <t>413-439-0391</t>
  </si>
  <si>
    <t>tasha105p@aol.com</t>
  </si>
  <si>
    <t>627 State St.</t>
  </si>
  <si>
    <t>c99f-230e-3bc3</t>
  </si>
  <si>
    <t>Carl Mazzafarro</t>
  </si>
  <si>
    <t>2/4/2021</t>
  </si>
  <si>
    <t>Sampling completed 1/21/21, COC amended for error 1/28/21</t>
  </si>
  <si>
    <t>josh.schimmel@waterandsewer.org</t>
  </si>
  <si>
    <t>sdennis@springfieldcityhall.com</t>
  </si>
  <si>
    <t>P-184808</t>
  </si>
  <si>
    <t>2020-06-09T21:15:56-05:00</t>
  </si>
  <si>
    <t>ccf - 1591755158541</t>
  </si>
  <si>
    <t>Paula's Barn, Inc.</t>
  </si>
  <si>
    <t>48 BuRoadette Street</t>
  </si>
  <si>
    <t>01108</t>
  </si>
  <si>
    <t>Harold</t>
  </si>
  <si>
    <t>Blanco</t>
  </si>
  <si>
    <t>Engineer</t>
  </si>
  <si>
    <t>413-265-6239</t>
  </si>
  <si>
    <t>haroldblancog@gmail.com</t>
  </si>
  <si>
    <t>48 Burdette St.</t>
  </si>
  <si>
    <t>Echeverri Durango, Paula</t>
  </si>
  <si>
    <t>a319-fe7c-98f8</t>
  </si>
  <si>
    <t>Hector Blanco</t>
  </si>
  <si>
    <t>2020-06-22T09:11:14-05:00</t>
  </si>
  <si>
    <t>ccf - 1592834961894</t>
  </si>
  <si>
    <t>Little Angels Place Daycare</t>
  </si>
  <si>
    <t>20 Raymond Place</t>
  </si>
  <si>
    <t>01104</t>
  </si>
  <si>
    <t>Leslie</t>
  </si>
  <si>
    <t>Gomez</t>
  </si>
  <si>
    <t>child care provider</t>
  </si>
  <si>
    <t>413-297-3514</t>
  </si>
  <si>
    <t>elijahnjavian@gmail.com</t>
  </si>
  <si>
    <t>Gomez, Leslie</t>
  </si>
  <si>
    <t>0935-fe21-72af</t>
  </si>
  <si>
    <t>T0000049</t>
  </si>
  <si>
    <t>Leslie Gomez</t>
  </si>
  <si>
    <t>P-170300</t>
  </si>
  <si>
    <t>2021-04-05T10:13:23-05:00</t>
  </si>
  <si>
    <t>ccf - 1617635473755</t>
  </si>
  <si>
    <t>Rose, Donna L - Family Child Care</t>
  </si>
  <si>
    <t>55 Ralph Street</t>
  </si>
  <si>
    <t xml:space="preserve">Springfield </t>
  </si>
  <si>
    <t xml:space="preserve">Donna </t>
  </si>
  <si>
    <t>Rose</t>
  </si>
  <si>
    <t>Provider/Owner</t>
  </si>
  <si>
    <t>413-739-1938</t>
  </si>
  <si>
    <t>dicesons@aol.com</t>
  </si>
  <si>
    <t>7269-7d0d-ad92</t>
  </si>
  <si>
    <t>D ROSE</t>
  </si>
  <si>
    <t>2021-04-05T10:29:00-05:00</t>
  </si>
  <si>
    <t>ccf - 1617636446738</t>
  </si>
  <si>
    <t>Together Family Child Care</t>
  </si>
  <si>
    <t>15 Alyssa Drive</t>
  </si>
  <si>
    <t>Townsend</t>
  </si>
  <si>
    <t>01469</t>
  </si>
  <si>
    <t>Bita</t>
  </si>
  <si>
    <t>Reilly</t>
  </si>
  <si>
    <t>Family Child Care Provider</t>
  </si>
  <si>
    <t>978-335-7079</t>
  </si>
  <si>
    <t>yasbita@gmail.com</t>
  </si>
  <si>
    <t>f55f-76f5-631e</t>
  </si>
  <si>
    <t>T0000060</t>
  </si>
  <si>
    <t>called Mary Wall</t>
  </si>
  <si>
    <t>watertech@townsend.ma.us</t>
  </si>
  <si>
    <t>water@townsendwater.org</t>
  </si>
  <si>
    <t>2021-04-08T10:37:26-05:00</t>
  </si>
  <si>
    <t>ccf - 1617895983613</t>
  </si>
  <si>
    <t>Rubina Mirza</t>
  </si>
  <si>
    <t>1 Pinehurst Avenue</t>
  </si>
  <si>
    <t xml:space="preserve">Tyngsboro </t>
  </si>
  <si>
    <t>01879</t>
  </si>
  <si>
    <t xml:space="preserve">Rubina </t>
  </si>
  <si>
    <t xml:space="preserve">Mirza </t>
  </si>
  <si>
    <t xml:space="preserve">Child care provider </t>
  </si>
  <si>
    <t>978-399-4329</t>
  </si>
  <si>
    <t>bina7861@gmail.com</t>
  </si>
  <si>
    <t xml:space="preserve">1 Pinehurst Avenue </t>
  </si>
  <si>
    <t>8691-b2c1-88b2</t>
  </si>
  <si>
    <t>T0000064</t>
  </si>
  <si>
    <t>message left</t>
  </si>
  <si>
    <t>info@tyngsboroughwater.org</t>
  </si>
  <si>
    <t>koun@tyngsboroughma.gov</t>
  </si>
  <si>
    <t>P-186285</t>
  </si>
  <si>
    <t>2020-05-15T16:22:26-05:00</t>
  </si>
  <si>
    <t>ccf - 8030730_P-184808</t>
  </si>
  <si>
    <t>After The Bell @ Gleason YMCA</t>
  </si>
  <si>
    <t>33 Charge Pond Road</t>
  </si>
  <si>
    <t>Wareham</t>
  </si>
  <si>
    <t>02571</t>
  </si>
  <si>
    <t>Melissa</t>
  </si>
  <si>
    <t>Dyer</t>
  </si>
  <si>
    <t>Senior Program Director</t>
  </si>
  <si>
    <t>508-295-9622</t>
  </si>
  <si>
    <t>mdyer@ymcasc.org</t>
  </si>
  <si>
    <t>33 Charge Pond Rd</t>
  </si>
  <si>
    <t>eb30-cee5-fe0f</t>
  </si>
  <si>
    <t>Melissa Dyer</t>
  </si>
  <si>
    <t>areid@warehamfiredistrict.org</t>
  </si>
  <si>
    <t>rethier@wareham.ma.us</t>
  </si>
  <si>
    <t>P-170433</t>
  </si>
  <si>
    <t>2021-04-05T19:45:13-05:00</t>
  </si>
  <si>
    <t>ccf - 8028467_P-182554</t>
  </si>
  <si>
    <t>Montessori Day School of Wellesley Hills</t>
  </si>
  <si>
    <t>40 Abbott Road</t>
  </si>
  <si>
    <t>Wellesley Hills</t>
  </si>
  <si>
    <t>02481</t>
  </si>
  <si>
    <t>Mary</t>
  </si>
  <si>
    <t>781-795-5571</t>
  </si>
  <si>
    <t>mdswhs@gmail.com</t>
  </si>
  <si>
    <t>Wellesley</t>
  </si>
  <si>
    <t>d91b-a87f-0bda</t>
  </si>
  <si>
    <t>bshaughnessy@wellesleyma.gov</t>
  </si>
  <si>
    <t>lizzo@wellesleyma.gov</t>
  </si>
  <si>
    <t>P-169439</t>
  </si>
  <si>
    <t>2021-04-05T11:09:01-05:00</t>
  </si>
  <si>
    <t>ccf - 200545_P-169602</t>
  </si>
  <si>
    <t>Weston Wing</t>
  </si>
  <si>
    <t>313 North Avenue</t>
  </si>
  <si>
    <t>Weston</t>
  </si>
  <si>
    <t>02493</t>
  </si>
  <si>
    <t xml:space="preserve">Marianne </t>
  </si>
  <si>
    <t>Maloney</t>
  </si>
  <si>
    <t>781-894-9021</t>
  </si>
  <si>
    <t>director@westonwing.com</t>
  </si>
  <si>
    <t>PO Box 684</t>
  </si>
  <si>
    <t>3df7-87b6-8214</t>
  </si>
  <si>
    <t>called</t>
  </si>
  <si>
    <t>diotalevi.w@westonmass.org</t>
  </si>
  <si>
    <t>P-187751</t>
  </si>
  <si>
    <t>2021-07-21T12:38:26-05:00</t>
  </si>
  <si>
    <t>ccf - 1626888784105</t>
  </si>
  <si>
    <t>Little Lambs Daycare</t>
  </si>
  <si>
    <t>12 Elm Place</t>
  </si>
  <si>
    <t>Whitinsville</t>
  </si>
  <si>
    <t>01588</t>
  </si>
  <si>
    <t>Polliane</t>
  </si>
  <si>
    <t>Siqueira</t>
  </si>
  <si>
    <t>774-270-6480</t>
  </si>
  <si>
    <t>polliane12@hotmail.com</t>
  </si>
  <si>
    <t>Dutra Siqueira, Polliane</t>
  </si>
  <si>
    <t>746a-644f-b414</t>
  </si>
  <si>
    <t>T0000081</t>
  </si>
  <si>
    <t>Polliane Siqueira</t>
  </si>
  <si>
    <t>Bottles ordered</t>
  </si>
  <si>
    <t>rswigor@whitinsvillewater.com</t>
  </si>
  <si>
    <t>jgniadek@northbridgemass.org</t>
  </si>
  <si>
    <t>2020-03-02T12:07:28-05:00</t>
  </si>
  <si>
    <t>sch - 1583168657454</t>
  </si>
  <si>
    <t>Excel Academy Charter School</t>
  </si>
  <si>
    <t>180 Second Street</t>
  </si>
  <si>
    <t>Chelsea</t>
  </si>
  <si>
    <t>02150</t>
  </si>
  <si>
    <t>Stephanie</t>
  </si>
  <si>
    <t>Gregg</t>
  </si>
  <si>
    <t>Dean of Operations</t>
  </si>
  <si>
    <t>813-404-0470</t>
  </si>
  <si>
    <t>sgregg@excelacademy.org</t>
  </si>
  <si>
    <t>180 Second St.</t>
  </si>
  <si>
    <t>31ab-f915-db03</t>
  </si>
  <si>
    <t>T0000020</t>
  </si>
  <si>
    <t>Phase 1 Participant All ND</t>
  </si>
  <si>
    <t>BTAVERNA@CHELSEAMA.GOV</t>
  </si>
  <si>
    <t>lprado@chelseama.gov</t>
  </si>
  <si>
    <t>P-169959</t>
  </si>
  <si>
    <t>2021-07-15T12:08:13-05:00</t>
  </si>
  <si>
    <t>ccf - 8033878_P-242994</t>
  </si>
  <si>
    <t>IBA-Preschool Program @ West Dedham St</t>
  </si>
  <si>
    <t>100 West Dedham Street</t>
  </si>
  <si>
    <t>Joanna</t>
  </si>
  <si>
    <t>Fuentes</t>
  </si>
  <si>
    <t>Program Manager</t>
  </si>
  <si>
    <t>617-927-1740</t>
  </si>
  <si>
    <t>Joanna@ibaboston.org</t>
  </si>
  <si>
    <t>405 Shawmut Ave</t>
  </si>
  <si>
    <t>dc17-85b1-1d3a</t>
  </si>
  <si>
    <t>T0000075</t>
  </si>
  <si>
    <t>2021-03-30T18:01:28-05:00</t>
  </si>
  <si>
    <t>ccf - 8032657_P-187015</t>
  </si>
  <si>
    <t>The Early Education Academy</t>
  </si>
  <si>
    <t>396 Ashland Street</t>
  </si>
  <si>
    <t>Abington</t>
  </si>
  <si>
    <t>02351</t>
  </si>
  <si>
    <t>Michelle</t>
  </si>
  <si>
    <t xml:space="preserve">Davis </t>
  </si>
  <si>
    <t>781-857-2077</t>
  </si>
  <si>
    <t>Earlyed2016@gmail.com</t>
  </si>
  <si>
    <t>396 Ashland St.</t>
  </si>
  <si>
    <t xml:space="preserve">Abington </t>
  </si>
  <si>
    <t>2ef2-80d7-55e9</t>
  </si>
  <si>
    <t>T0000052</t>
  </si>
  <si>
    <t>troyal@abrockwater.com</t>
  </si>
  <si>
    <t>mgolightly@abingtonma.gov</t>
  </si>
  <si>
    <t>P-170497</t>
  </si>
  <si>
    <t>2020-05-14T07:26:56-05:00</t>
  </si>
  <si>
    <t>ccf - 201077_P-169889</t>
  </si>
  <si>
    <t>Pakachoag Acres Day Care Center, Inc.</t>
  </si>
  <si>
    <t>141 Auburn Street</t>
  </si>
  <si>
    <t>Auburn</t>
  </si>
  <si>
    <t>01501</t>
  </si>
  <si>
    <t>Martin</t>
  </si>
  <si>
    <t>508-756-2730</t>
  </si>
  <si>
    <t>joe@pakachoag.net</t>
  </si>
  <si>
    <t>141 Auburn St.</t>
  </si>
  <si>
    <t>673e-ab7c-9030</t>
  </si>
  <si>
    <t>Sampling completed 12/12, Delivered to RI Analytical 12/15</t>
  </si>
  <si>
    <t>ksmith@auburnwater.com</t>
  </si>
  <si>
    <t>ealexander@town.auburn.ma.us</t>
  </si>
  <si>
    <t>P-177719</t>
  </si>
  <si>
    <t>2020-01-31T14:23:57-05:00</t>
  </si>
  <si>
    <t>ccf - 390378_P-171469</t>
  </si>
  <si>
    <t>Access Enrichment Program</t>
  </si>
  <si>
    <t>244 Harrison Avenue</t>
  </si>
  <si>
    <t>02111</t>
  </si>
  <si>
    <t>Kelvin</t>
  </si>
  <si>
    <t>Li</t>
  </si>
  <si>
    <t>Office administrator</t>
  </si>
  <si>
    <t>617-426-1070</t>
  </si>
  <si>
    <t>access-admin@chinatownaccess.org</t>
  </si>
  <si>
    <t>244 Harrison Ave.</t>
  </si>
  <si>
    <t>3015-dbf7-befb</t>
  </si>
  <si>
    <t>Samples collected 11/21, Delivered to RI Analytical 11/23</t>
  </si>
  <si>
    <t>2021-03-30T17:52:57-05:00</t>
  </si>
  <si>
    <t>ccf - 2911821_P-177121</t>
  </si>
  <si>
    <t>Little Discoveries, Inc.</t>
  </si>
  <si>
    <t>522 West Chestnut Street</t>
  </si>
  <si>
    <t>Brockton</t>
  </si>
  <si>
    <t>02301</t>
  </si>
  <si>
    <t>Krystle</t>
  </si>
  <si>
    <t>Bocchetti</t>
  </si>
  <si>
    <t>774-240-1846</t>
  </si>
  <si>
    <t>Littlediscoveriesinc@gmail.com</t>
  </si>
  <si>
    <t>522 West Chestnut St.</t>
  </si>
  <si>
    <t xml:space="preserve">Brockton </t>
  </si>
  <si>
    <t>2276-481b-08b3</t>
  </si>
  <si>
    <t>emondesir@cobma.us</t>
  </si>
  <si>
    <t>2020-02-10T15:57:27-05:00</t>
  </si>
  <si>
    <t>ccf - 201401_P-169909</t>
  </si>
  <si>
    <t>Cambridge Ellis School</t>
  </si>
  <si>
    <t>80 Trowbridge Street</t>
  </si>
  <si>
    <t>Cambridge</t>
  </si>
  <si>
    <t>02138</t>
  </si>
  <si>
    <t>Andrew</t>
  </si>
  <si>
    <t>Griswold</t>
  </si>
  <si>
    <t>Business Manager</t>
  </si>
  <si>
    <t>617-354-0014 x115</t>
  </si>
  <si>
    <t>andy@cambridge-ellis.org</t>
  </si>
  <si>
    <t>80 Trowbridge St.</t>
  </si>
  <si>
    <t>aee1-1b41-84bb</t>
  </si>
  <si>
    <t>tmacdonald@cambridgema.gov</t>
  </si>
  <si>
    <t>bharley@challiance.org</t>
  </si>
  <si>
    <t>P-177106</t>
  </si>
  <si>
    <t>2021-03-31T08:26:21-05:00</t>
  </si>
  <si>
    <t>ccf - 8033214_P-187858</t>
  </si>
  <si>
    <t>PTits Bouts</t>
  </si>
  <si>
    <t>21 Walden Square Road</t>
  </si>
  <si>
    <t>02140</t>
  </si>
  <si>
    <t>Ariana</t>
  </si>
  <si>
    <t>Coleman</t>
  </si>
  <si>
    <t>Campus Director</t>
  </si>
  <si>
    <t>617-302-6535</t>
  </si>
  <si>
    <t>ariana.coleman@efgboston.org</t>
  </si>
  <si>
    <t>21 Walden Square Rd</t>
  </si>
  <si>
    <t>05ab-a9b9-83e7</t>
  </si>
  <si>
    <t>P-184777</t>
  </si>
  <si>
    <t>2020-01-31T10:35:04-05:00</t>
  </si>
  <si>
    <t>ccf - 211381_P-170164</t>
  </si>
  <si>
    <t>J.F.K. Head Start and Day Care Program</t>
  </si>
  <si>
    <t>23A Moulton Street</t>
  </si>
  <si>
    <t>Charlestown</t>
  </si>
  <si>
    <t>02129</t>
  </si>
  <si>
    <t xml:space="preserve">Griselle </t>
  </si>
  <si>
    <t>Tejeda</t>
  </si>
  <si>
    <t>Director of Children Services</t>
  </si>
  <si>
    <t>617-241-8866 x1340</t>
  </si>
  <si>
    <t>gtejeda@kennedycenter.org</t>
  </si>
  <si>
    <t>23A Moulton St.</t>
  </si>
  <si>
    <t>3611-2ab5-176b</t>
  </si>
  <si>
    <t>P-169988</t>
  </si>
  <si>
    <t>2021-04-16T04:56:37-05:00</t>
  </si>
  <si>
    <t>ccf - 1618566846350</t>
  </si>
  <si>
    <t>BeiBei Cub Academy</t>
  </si>
  <si>
    <t>849 Hammond Street</t>
  </si>
  <si>
    <t>Wei</t>
  </si>
  <si>
    <t>Wang</t>
  </si>
  <si>
    <t>Licensee</t>
  </si>
  <si>
    <t>978-855-8888</t>
  </si>
  <si>
    <t>beibeicubacademy@gmail.com</t>
  </si>
  <si>
    <t>T0000065</t>
  </si>
  <si>
    <t>Sites received 4/26</t>
  </si>
  <si>
    <t>P-169815</t>
  </si>
  <si>
    <t>2020-01-15T11:23:35-05:00</t>
  </si>
  <si>
    <t>ccf - 8030658_P-184787</t>
  </si>
  <si>
    <t>Concord Montessori School</t>
  </si>
  <si>
    <t>29 Domino Drive</t>
  </si>
  <si>
    <t>Suite 2</t>
  </si>
  <si>
    <t>Concord</t>
  </si>
  <si>
    <t>01742</t>
  </si>
  <si>
    <t>Laurel</t>
  </si>
  <si>
    <t>Zolfonoon</t>
  </si>
  <si>
    <t>Head of School</t>
  </si>
  <si>
    <t>978-369-5900</t>
  </si>
  <si>
    <t>lzolfonoon@concordmontessorischool.org</t>
  </si>
  <si>
    <t>29 Domino Drive, Suite 2</t>
  </si>
  <si>
    <t>e019-8888-1c05</t>
  </si>
  <si>
    <t>e-mail requesting site plan, program attachments, follow up by phone wk 10/26</t>
  </si>
  <si>
    <t>acathcart@concordma.gov</t>
  </si>
  <si>
    <t>srask@concordma.gov</t>
  </si>
  <si>
    <t>P-170562</t>
  </si>
  <si>
    <t>2020-01-30T13:50:09-05:00</t>
  </si>
  <si>
    <t>ccf - 8029093_P-183300</t>
  </si>
  <si>
    <t>Harbor City School</t>
  </si>
  <si>
    <t>196 Putnam Street</t>
  </si>
  <si>
    <t>East Boston</t>
  </si>
  <si>
    <t>02128</t>
  </si>
  <si>
    <t>Kristy</t>
  </si>
  <si>
    <t>Howell</t>
  </si>
  <si>
    <t>Co-Director</t>
  </si>
  <si>
    <t>617-418-5146</t>
  </si>
  <si>
    <t>directors@harborcitykids.org</t>
  </si>
  <si>
    <t>196 Putnam St.</t>
  </si>
  <si>
    <t xml:space="preserve">East Boston </t>
  </si>
  <si>
    <t>303d-aff4-c08a</t>
  </si>
  <si>
    <t>2021-03-30T17:55:53-05:00</t>
  </si>
  <si>
    <t>ccf - 8033473_P-210877</t>
  </si>
  <si>
    <t>Little Discoveries</t>
  </si>
  <si>
    <t>474 N Bedford Road Street</t>
  </si>
  <si>
    <t>East Bridgewater</t>
  </si>
  <si>
    <t>02333</t>
  </si>
  <si>
    <t xml:space="preserve">Shaila </t>
  </si>
  <si>
    <t>MacDonald</t>
  </si>
  <si>
    <t>508-378-2493</t>
  </si>
  <si>
    <t>Littlediscoverieseb@gmail.com</t>
  </si>
  <si>
    <t>474 N Bedford St.</t>
  </si>
  <si>
    <t xml:space="preserve">East Bridgewater </t>
  </si>
  <si>
    <t>300e-63dd-d9a5</t>
  </si>
  <si>
    <t>T0000051</t>
  </si>
  <si>
    <t>rphilbrick@ebmass.com</t>
  </si>
  <si>
    <t>2020-01-14T09:04:09-05:00</t>
  </si>
  <si>
    <t>ccf - 8030609_P-184777</t>
  </si>
  <si>
    <t>Loving Nest Preschool</t>
  </si>
  <si>
    <t>562 Waverly Street</t>
  </si>
  <si>
    <t>Framingham</t>
  </si>
  <si>
    <t>01702</t>
  </si>
  <si>
    <t>Vera</t>
  </si>
  <si>
    <t>Linardi</t>
  </si>
  <si>
    <t>508-309-6729</t>
  </si>
  <si>
    <t>lovingnestpreschool@gmail.com</t>
  </si>
  <si>
    <t>562 Waverly St.</t>
  </si>
  <si>
    <t>0a15-cfa8-2b03</t>
  </si>
  <si>
    <t>Sampling completed 12/19</t>
  </si>
  <si>
    <t>ssw@framinghamma.gov</t>
  </si>
  <si>
    <t>2020-01-21T14:18:39-05:00</t>
  </si>
  <si>
    <t>ccf - 1579633805415</t>
  </si>
  <si>
    <t>Framingham Centre Nursery School</t>
  </si>
  <si>
    <t>24 Vernon Street</t>
  </si>
  <si>
    <t xml:space="preserve">Framingham </t>
  </si>
  <si>
    <t>01701</t>
  </si>
  <si>
    <t>Angela</t>
  </si>
  <si>
    <t>Elkins</t>
  </si>
  <si>
    <t>Director of Learning and Teaching</t>
  </si>
  <si>
    <t>508-875-8260</t>
  </si>
  <si>
    <t>aelkins@fcnsma.org</t>
  </si>
  <si>
    <t>24 Vernon St</t>
  </si>
  <si>
    <t>2570-f335-e6e7</t>
  </si>
  <si>
    <t>P-177121</t>
  </si>
  <si>
    <t>2020-01-28T11:50:09-05:00</t>
  </si>
  <si>
    <t>sch - 08780605</t>
  </si>
  <si>
    <t>Tri-County Regional Vocational Technical</t>
  </si>
  <si>
    <t>147 Pond Street</t>
  </si>
  <si>
    <t>Franklin</t>
  </si>
  <si>
    <t>02038</t>
  </si>
  <si>
    <t>Harry</t>
  </si>
  <si>
    <t>Takesian</t>
  </si>
  <si>
    <t>Director Facilities Management</t>
  </si>
  <si>
    <t>508-528-5400</t>
  </si>
  <si>
    <t>takesian@tri-county.us</t>
  </si>
  <si>
    <t>147 Pond St.</t>
  </si>
  <si>
    <t>1807-ad2f-61d0</t>
  </si>
  <si>
    <t>08780605</t>
  </si>
  <si>
    <t>Sampled 3/6/2021</t>
  </si>
  <si>
    <t>domartin@franklinma.gov</t>
  </si>
  <si>
    <t>https://www.franklinma.gov/user/6413/contact</t>
  </si>
  <si>
    <t>P-185853</t>
  </si>
  <si>
    <t>2021-01-11T13:17:24-05:00</t>
  </si>
  <si>
    <t>ccf - 212416_P-170543</t>
  </si>
  <si>
    <t>MOC Child Care &amp; Head Start Services - Garrison Ctr. for ECE</t>
  </si>
  <si>
    <t>444 Green Street</t>
  </si>
  <si>
    <t>Gardner</t>
  </si>
  <si>
    <t>01440</t>
  </si>
  <si>
    <t>Laura</t>
  </si>
  <si>
    <t>Cameron</t>
  </si>
  <si>
    <t>Education Specialist</t>
  </si>
  <si>
    <t>978-630-9494</t>
  </si>
  <si>
    <t>lcameron@mocinc.org</t>
  </si>
  <si>
    <t>444 Green St.</t>
  </si>
  <si>
    <t xml:space="preserve">Gardner </t>
  </si>
  <si>
    <t>Sampling 7/16/21</t>
  </si>
  <si>
    <t>matthew.lapointe@suez-na.com</t>
  </si>
  <si>
    <t>lsaunders@gardner-ma.gov</t>
  </si>
  <si>
    <t>2020-02-10T14:51:47-05:00</t>
  </si>
  <si>
    <t>ccf - 200592_P-169530</t>
  </si>
  <si>
    <t>Sunshine Preschool</t>
  </si>
  <si>
    <t>1 Briarcliff Drive</t>
  </si>
  <si>
    <t>Hopkinton</t>
  </si>
  <si>
    <t>01748</t>
  </si>
  <si>
    <t>Liz</t>
  </si>
  <si>
    <t>Dacey</t>
  </si>
  <si>
    <t>508-435-5477</t>
  </si>
  <si>
    <t>DIRECTOR@SUNSHINEMA.COM</t>
  </si>
  <si>
    <t>adfc-faf8-3032</t>
  </si>
  <si>
    <t>Sampling completed 12/12, Deliuvered to RI Analytical 12/15</t>
  </si>
  <si>
    <t>ericc@hopkintonma.gov</t>
  </si>
  <si>
    <t>smcauliffe@hopkintonma.gov</t>
  </si>
  <si>
    <t>P-169788</t>
  </si>
  <si>
    <t>2021-04-05T11:37:23-05:00</t>
  </si>
  <si>
    <t>ccf - 1617640531614</t>
  </si>
  <si>
    <t>Beginning Steps</t>
  </si>
  <si>
    <t xml:space="preserve">66 Bailey Street </t>
  </si>
  <si>
    <t>1Fl</t>
  </si>
  <si>
    <t>Lawrence</t>
  </si>
  <si>
    <t>01843</t>
  </si>
  <si>
    <t>Monica</t>
  </si>
  <si>
    <t>Cabral</t>
  </si>
  <si>
    <t>978-390-2482</t>
  </si>
  <si>
    <t>beginningsteps17@gmail.com</t>
  </si>
  <si>
    <t>66 Bailey Street</t>
  </si>
  <si>
    <t>1Floor</t>
  </si>
  <si>
    <t>South Lawrence</t>
  </si>
  <si>
    <t>9d87-336c-98b2</t>
  </si>
  <si>
    <t>T0000061</t>
  </si>
  <si>
    <t>marmano@cityoflawrence.com</t>
  </si>
  <si>
    <t>P-171110</t>
  </si>
  <si>
    <t>2020-03-20T14:17:06-05:00</t>
  </si>
  <si>
    <t>ccf - 2912180_P-177416</t>
  </si>
  <si>
    <t>The Northwest Child Development Center</t>
  </si>
  <si>
    <t>194 Arlington Street</t>
  </si>
  <si>
    <t>Leominster</t>
  </si>
  <si>
    <t>01453</t>
  </si>
  <si>
    <t>Samantha</t>
  </si>
  <si>
    <t>St John</t>
  </si>
  <si>
    <t>978-534-5163</t>
  </si>
  <si>
    <t>director@northwestchilddevelopment.com</t>
  </si>
  <si>
    <t>194 Arlington St.</t>
  </si>
  <si>
    <t>9a19-aafe-2ece</t>
  </si>
  <si>
    <t>Sampled 3/12/2021</t>
  </si>
  <si>
    <t>rracine@dpw.leominster-ma.gov</t>
  </si>
  <si>
    <t>cknuth@leominster-ma.gov</t>
  </si>
  <si>
    <t>P-169449</t>
  </si>
  <si>
    <t>2020-02-13T11:01:33-05:00</t>
  </si>
  <si>
    <t>ccf - 8031418_P-185530</t>
  </si>
  <si>
    <t>Pitter Patter Academy, Inc.</t>
  </si>
  <si>
    <t>148 Merrimack Street</t>
  </si>
  <si>
    <t>Sherri</t>
  </si>
  <si>
    <t>DeLucca</t>
  </si>
  <si>
    <t>978-686-6595</t>
  </si>
  <si>
    <t>sherridelucca@pitterpatteracademy.com</t>
  </si>
  <si>
    <t>148 Merrimack St.</t>
  </si>
  <si>
    <t>b333-fc7f-9c84</t>
  </si>
  <si>
    <t>2021-04-27T06:23:15-05:00</t>
  </si>
  <si>
    <t>ccf - 8032021_P-185897</t>
  </si>
  <si>
    <t>Country Kids Child Care LLC</t>
  </si>
  <si>
    <t>114 Cross Street</t>
  </si>
  <si>
    <t>Amy</t>
  </si>
  <si>
    <t>Conant-Greene</t>
  </si>
  <si>
    <t>Owner/Director</t>
  </si>
  <si>
    <t>978-417-9329</t>
  </si>
  <si>
    <t>amy@countrykidschildcarellc.com</t>
  </si>
  <si>
    <t>67 Merrimac Rd</t>
  </si>
  <si>
    <t>Haverhill</t>
  </si>
  <si>
    <t>01830</t>
  </si>
  <si>
    <t>8bcc-b33f-c9d5</t>
  </si>
  <si>
    <t>Gene Brunellle</t>
  </si>
  <si>
    <t>Contact email 5/12</t>
  </si>
  <si>
    <t>P-171469</t>
  </si>
  <si>
    <t>2020-07-21T11:56:00-05:00</t>
  </si>
  <si>
    <t>ccf - 2912368_P-177534</t>
  </si>
  <si>
    <t>Little Stars Daycare</t>
  </si>
  <si>
    <t>229 Purchase Street</t>
  </si>
  <si>
    <t>Milford</t>
  </si>
  <si>
    <t>01757</t>
  </si>
  <si>
    <t>Alexandrea</t>
  </si>
  <si>
    <t>Iannitelli</t>
  </si>
  <si>
    <t>Daycare Director</t>
  </si>
  <si>
    <t>508-381-3837</t>
  </si>
  <si>
    <t>alex.Iannitelli@gmail.com</t>
  </si>
  <si>
    <t>229 Purchase St.</t>
  </si>
  <si>
    <t>d76e-2081-7c0f</t>
  </si>
  <si>
    <t>Sampling completed 12/12, Deliverd to RI Analytical 12/15</t>
  </si>
  <si>
    <t>dcondrey@milfordwater.com</t>
  </si>
  <si>
    <t>jmurphy@townofmilford.com</t>
  </si>
  <si>
    <t>2020-05-14T07:31:39-05:00</t>
  </si>
  <si>
    <t>ccf - 1589459467811</t>
  </si>
  <si>
    <t>Pakachoag Acres Millbury</t>
  </si>
  <si>
    <t>308  Millbury Avenue</t>
  </si>
  <si>
    <t>Millbury</t>
  </si>
  <si>
    <t>01527</t>
  </si>
  <si>
    <t>774-696-4821</t>
  </si>
  <si>
    <t>398 Milbury Ave.</t>
  </si>
  <si>
    <t>cfed-4f3a-794a</t>
  </si>
  <si>
    <t>solson@aquarionwater.com</t>
  </si>
  <si>
    <t>millburyboh@townofmillbury.net</t>
  </si>
  <si>
    <t>2021-04-02T10:16:01-05:00</t>
  </si>
  <si>
    <t>ccf - 1617376555279</t>
  </si>
  <si>
    <t>PACE Head Start Smith</t>
  </si>
  <si>
    <t>247 Smith Street</t>
  </si>
  <si>
    <t>Tara</t>
  </si>
  <si>
    <t>DeMello</t>
  </si>
  <si>
    <t>Health Services Manager</t>
  </si>
  <si>
    <t>508-999-1286</t>
  </si>
  <si>
    <t>tdemello@paceheadstart.org</t>
  </si>
  <si>
    <t>32 Madison St.</t>
  </si>
  <si>
    <t>P-170521</t>
  </si>
  <si>
    <t>2020-05-15T08:39:54-05:00</t>
  </si>
  <si>
    <t>ccf - 1589549892303</t>
  </si>
  <si>
    <t>Circle of Friends Montessori School</t>
  </si>
  <si>
    <t>107 Adamsdale Road</t>
  </si>
  <si>
    <t>North Attleboro</t>
  </si>
  <si>
    <t>02760</t>
  </si>
  <si>
    <t>Landry</t>
  </si>
  <si>
    <t>508-761-5151</t>
  </si>
  <si>
    <t>circleoffriendsmontessori@gmail.com</t>
  </si>
  <si>
    <t>107  Adamsdale Rd</t>
  </si>
  <si>
    <t>North Attleborough</t>
  </si>
  <si>
    <t>f8bb-9575-163e</t>
  </si>
  <si>
    <t>T0000043</t>
  </si>
  <si>
    <t>wwanberg@nattleboro.com</t>
  </si>
  <si>
    <t>amfleming@north-attleboro.ma.us</t>
  </si>
  <si>
    <t>2020-02-13T12:53:20-05:00</t>
  </si>
  <si>
    <t>ccf - 201838_P-170124</t>
  </si>
  <si>
    <t>Village Preschool</t>
  </si>
  <si>
    <t>25 Cummins Highway</t>
  </si>
  <si>
    <t>Roslindale</t>
  </si>
  <si>
    <t>02131</t>
  </si>
  <si>
    <t>Lorelle</t>
  </si>
  <si>
    <t>Arpino</t>
  </si>
  <si>
    <t>617-323-5141</t>
  </si>
  <si>
    <t>vpsroslindale@outlook.com</t>
  </si>
  <si>
    <t>3b21-edb7-a7c3</t>
  </si>
  <si>
    <t>preparing sample package for sample collection</t>
  </si>
  <si>
    <t>P-169437</t>
  </si>
  <si>
    <t>2020-01-23T17:46:27-05:00</t>
  </si>
  <si>
    <t>ccf - 8029897_P-184061</t>
  </si>
  <si>
    <t>Tree House Academy Child Care, Inc.</t>
  </si>
  <si>
    <t>65 Beacon Street</t>
  </si>
  <si>
    <t>Somerville</t>
  </si>
  <si>
    <t>02143</t>
  </si>
  <si>
    <t>Mara</t>
  </si>
  <si>
    <t>Coelho</t>
  </si>
  <si>
    <t>617-868-3800</t>
  </si>
  <si>
    <t>mara.coelho@ymail.com</t>
  </si>
  <si>
    <t>435 Washington St.</t>
  </si>
  <si>
    <t>0395-3752-2961</t>
  </si>
  <si>
    <t>Received Site Plan spoke with Mara Cohelo to clarify sites</t>
  </si>
  <si>
    <t>water@somervillema.gov</t>
  </si>
  <si>
    <t>health_webcontact@somervillema.gov</t>
  </si>
  <si>
    <t>P-170404</t>
  </si>
  <si>
    <t>2020-01-23T17:49:18-05:00</t>
  </si>
  <si>
    <t>ccf - 2912297_P-177490</t>
  </si>
  <si>
    <t>Tree House Academy Child Care Inc.</t>
  </si>
  <si>
    <t>435 Washington Street</t>
  </si>
  <si>
    <t xml:space="preserve">Mara </t>
  </si>
  <si>
    <t>65 Beacon St</t>
  </si>
  <si>
    <t>P-185570</t>
  </si>
  <si>
    <t>2020-01-18T09:31:43-05:00</t>
  </si>
  <si>
    <t>ccf - 201425_P-169923</t>
  </si>
  <si>
    <t>Open Center for Children</t>
  </si>
  <si>
    <t>155 Powder House Boulevard</t>
  </si>
  <si>
    <t>02144</t>
  </si>
  <si>
    <t>Nathan</t>
  </si>
  <si>
    <t>Scott</t>
  </si>
  <si>
    <t>Maintenance Committee Chairperson</t>
  </si>
  <si>
    <t>413-822-5821</t>
  </si>
  <si>
    <t>nathanjscott@gmail.com</t>
  </si>
  <si>
    <t>155 Powder House Blvd</t>
  </si>
  <si>
    <t>84f6-1f4a-09b6</t>
  </si>
  <si>
    <t>Left Nathan Scott message regarding submission of site plan</t>
  </si>
  <si>
    <t>P-170124</t>
  </si>
  <si>
    <t>2021-04-05T10:02:16-05:00</t>
  </si>
  <si>
    <t>ccf - 211688_P-170209</t>
  </si>
  <si>
    <t>Country Montessori Preschool of Sutton</t>
  </si>
  <si>
    <t xml:space="preserve">PO Box 547 </t>
  </si>
  <si>
    <t>30 Burbank Road</t>
  </si>
  <si>
    <t>Sutton</t>
  </si>
  <si>
    <t>01590</t>
  </si>
  <si>
    <t>Katragjini</t>
  </si>
  <si>
    <t>508-865-4223</t>
  </si>
  <si>
    <t>countrymontessoriinc@gmail.com</t>
  </si>
  <si>
    <t>2195-976a-f97e</t>
  </si>
  <si>
    <t>T0000059</t>
  </si>
  <si>
    <t>Sampling 7/15/21</t>
  </si>
  <si>
    <t>lucylukason@aol.com</t>
  </si>
  <si>
    <t>c.rawinski@town.sutton.ma.us</t>
  </si>
  <si>
    <t>P-187007</t>
  </si>
  <si>
    <t>2020-02-05T11:14:28-05:00</t>
  </si>
  <si>
    <t>ccf - 8033132_P-187751</t>
  </si>
  <si>
    <t>Open Wings Child Care Center</t>
  </si>
  <si>
    <t>465 Mt. Auburn Street</t>
  </si>
  <si>
    <t>Watertown</t>
  </si>
  <si>
    <t>02472</t>
  </si>
  <si>
    <t>Arpie</t>
  </si>
  <si>
    <t>Ashjian</t>
  </si>
  <si>
    <t>Director/Founder</t>
  </si>
  <si>
    <t>617-780-6032</t>
  </si>
  <si>
    <t>arpie@openwingschildcare.com</t>
  </si>
  <si>
    <t>465 Mt. Auburn St.</t>
  </si>
  <si>
    <t>14bf-37fb-098a</t>
  </si>
  <si>
    <t>Spoke to Arpie Ashjian.  She will identify sites and submit map</t>
  </si>
  <si>
    <t>jmee@watertown-ma.gov</t>
  </si>
  <si>
    <t>lramdin@watertown-ma.gov</t>
  </si>
  <si>
    <t>P-177421</t>
  </si>
  <si>
    <t>2020-01-20T15:01:25-05:00</t>
  </si>
  <si>
    <t>ccf - 8032311_P-186321</t>
  </si>
  <si>
    <t>Next Generation Childrens Center of Westford, LLC</t>
  </si>
  <si>
    <t>9 Powers Road</t>
  </si>
  <si>
    <t>Westford</t>
  </si>
  <si>
    <t>01886</t>
  </si>
  <si>
    <t>Taylor</t>
  </si>
  <si>
    <t>978-692-1030</t>
  </si>
  <si>
    <t>dtrwestford@ngccenters.com</t>
  </si>
  <si>
    <t>9 Powers Rd</t>
  </si>
  <si>
    <t>eac4-8683-aaf6</t>
  </si>
  <si>
    <t>Sampled 3/13/2021</t>
  </si>
  <si>
    <t>mwarren@westfordma.gov</t>
  </si>
  <si>
    <t>jstephens@westfordma.gov</t>
  </si>
  <si>
    <t>2021-07-06T09:55:48-05:00</t>
  </si>
  <si>
    <t>sch - 1625583227883</t>
  </si>
  <si>
    <t>Nurtury Learning Lab</t>
  </si>
  <si>
    <t>33 Bickford Street</t>
  </si>
  <si>
    <t>Jamaica Plain</t>
  </si>
  <si>
    <t>2201 Washington st suite 306</t>
  </si>
  <si>
    <t>Sampled 7/31/21</t>
  </si>
  <si>
    <t>2021-04-01T17:12:12-05:00</t>
  </si>
  <si>
    <t>ccf - 200779_P-169659</t>
  </si>
  <si>
    <t>Six Acres Nursery School</t>
  </si>
  <si>
    <t>475 Winthrop Street</t>
  </si>
  <si>
    <t>Medford</t>
  </si>
  <si>
    <t>02155</t>
  </si>
  <si>
    <t>Jacqueline</t>
  </si>
  <si>
    <t>Duffy</t>
  </si>
  <si>
    <t>School Administrator</t>
  </si>
  <si>
    <t>781-391-2220</t>
  </si>
  <si>
    <t>Director@sixacresnursery.com</t>
  </si>
  <si>
    <t>475 Winthrop St</t>
  </si>
  <si>
    <t xml:space="preserve">Medford </t>
  </si>
  <si>
    <t>2dc6-ec4e-6989</t>
  </si>
  <si>
    <t>Samples to RI Analytical 8/24/21</t>
  </si>
  <si>
    <t>dproctor@medford-ma.gov</t>
  </si>
  <si>
    <t>moconnor@medford-ma.gov</t>
  </si>
  <si>
    <t>P-184273</t>
  </si>
  <si>
    <t>2021-07-15T23:17:38-05:00</t>
  </si>
  <si>
    <t>ccf - 1626408739073</t>
  </si>
  <si>
    <t>Robin’s Family Daycare</t>
  </si>
  <si>
    <t>69 12th Avenue</t>
  </si>
  <si>
    <t>02302</t>
  </si>
  <si>
    <t>Robin</t>
  </si>
  <si>
    <t xml:space="preserve">Mcgregor </t>
  </si>
  <si>
    <t>857-266-7394</t>
  </si>
  <si>
    <t>Robin8667@hotmail.com</t>
  </si>
  <si>
    <t xml:space="preserve">69  12th ave </t>
  </si>
  <si>
    <t>1944-4a9e-8b0a</t>
  </si>
  <si>
    <t>T0000076</t>
  </si>
  <si>
    <t>Robin Mcgregor</t>
  </si>
  <si>
    <t>Has everything; expecting to collect Saturday</t>
  </si>
  <si>
    <t>P-169805</t>
  </si>
  <si>
    <t>2021-03-31T14:43:53-05:00</t>
  </si>
  <si>
    <t>ccf - 1617219488205</t>
  </si>
  <si>
    <t>My little sunshine Family Childcare</t>
  </si>
  <si>
    <t>393 Meridian Street</t>
  </si>
  <si>
    <t>Apt 1</t>
  </si>
  <si>
    <t>Rocio</t>
  </si>
  <si>
    <t>Herrera-Ortiz</t>
  </si>
  <si>
    <t>617-970-6085</t>
  </si>
  <si>
    <t>mylittlesunshinefcc@gmail.com</t>
  </si>
  <si>
    <t>393 Meridian St, Apt 1</t>
  </si>
  <si>
    <t>c4f0-5161-50c0</t>
  </si>
  <si>
    <t>Rocio Herrarra- Ortiz</t>
  </si>
  <si>
    <t>In que for analization- RI Analytical</t>
  </si>
  <si>
    <t>P-169636</t>
  </si>
  <si>
    <t>2021-07-20T14:43:24-05:00</t>
  </si>
  <si>
    <t>ccf - 1626809756759</t>
  </si>
  <si>
    <t>Cape Cod Kids</t>
  </si>
  <si>
    <t>16 Anthony Drive</t>
  </si>
  <si>
    <t>Hyannis</t>
  </si>
  <si>
    <t>02601</t>
  </si>
  <si>
    <t>Billiejo</t>
  </si>
  <si>
    <t>Huffam</t>
  </si>
  <si>
    <t>508-360-3070</t>
  </si>
  <si>
    <t>2beejo@gmail.com</t>
  </si>
  <si>
    <t>a5d7-94b2-f999</t>
  </si>
  <si>
    <t>BilliejoHuffan</t>
  </si>
  <si>
    <t xml:space="preserve">got bottles, </t>
  </si>
  <si>
    <t>Thomas.McKean@town.barnstable.ma.us</t>
  </si>
  <si>
    <t>2021-06-03T13:48:14-05:00</t>
  </si>
  <si>
    <t>ccf - 390710_P-171530</t>
  </si>
  <si>
    <t>Kids Place</t>
  </si>
  <si>
    <t>77 Kennedy Drive</t>
  </si>
  <si>
    <t>Malden</t>
  </si>
  <si>
    <t>02148</t>
  </si>
  <si>
    <t>Jianie</t>
  </si>
  <si>
    <t>Michel</t>
  </si>
  <si>
    <t>781-321-9784</t>
  </si>
  <si>
    <t>kidsplace@freedomhill.church</t>
  </si>
  <si>
    <t>63ec-0509-3a6f</t>
  </si>
  <si>
    <t>boh@cityofmalden.org</t>
  </si>
  <si>
    <t>gstead@cityofmalden.org</t>
  </si>
  <si>
    <t>2021-05-27T13:22:13-05:00</t>
  </si>
  <si>
    <t>ccf - 1622139662435</t>
  </si>
  <si>
    <t>Graceworks Childcare</t>
  </si>
  <si>
    <t>160 High Street</t>
  </si>
  <si>
    <t>Laurie</t>
  </si>
  <si>
    <t>Marr</t>
  </si>
  <si>
    <t>Assist.Director</t>
  </si>
  <si>
    <t>781-306-0060</t>
  </si>
  <si>
    <t>laurie@graceworkschildcare.org</t>
  </si>
  <si>
    <t>c89e-9f72-4e38</t>
  </si>
  <si>
    <t>P-169923</t>
  </si>
  <si>
    <t>2021-04-06T05:49:18-05:00</t>
  </si>
  <si>
    <t>ccf - 2912185_P-177421</t>
  </si>
  <si>
    <t>5 Senses</t>
  </si>
  <si>
    <t>1381 Main Street</t>
  </si>
  <si>
    <t>Reading</t>
  </si>
  <si>
    <t>01867</t>
  </si>
  <si>
    <t>Miller</t>
  </si>
  <si>
    <t>781-942-2393</t>
  </si>
  <si>
    <t>the5sensesschool@gmail.com</t>
  </si>
  <si>
    <t>ce66-b9f1-9380</t>
  </si>
  <si>
    <t>lvlasuk@ci.reading.ma.us</t>
  </si>
  <si>
    <t>P-171133</t>
  </si>
  <si>
    <t>2021-08-02T07:49:03-05:00</t>
  </si>
  <si>
    <t>ccf - 1627908080170</t>
  </si>
  <si>
    <t>Wildflower Montessori School</t>
  </si>
  <si>
    <t>364a Broadway</t>
  </si>
  <si>
    <t>02139</t>
  </si>
  <si>
    <t>Rockett</t>
  </si>
  <si>
    <t>617-721-2159</t>
  </si>
  <si>
    <t>Mary@wildflowermontessorischool.org</t>
  </si>
  <si>
    <t>4003-ad74-c4e5</t>
  </si>
  <si>
    <t>sbreen@challiance.org</t>
  </si>
  <si>
    <t>2021-07-15T13:37:44-05:00</t>
  </si>
  <si>
    <t>ccf - 211701_P-170213</t>
  </si>
  <si>
    <t>Piccolo Mondo Child Care and Learning Center</t>
  </si>
  <si>
    <t>680 Mechanic Street</t>
  </si>
  <si>
    <t>Maria</t>
  </si>
  <si>
    <t>Cupo</t>
  </si>
  <si>
    <t>Administrator</t>
  </si>
  <si>
    <t>978-537-2764</t>
  </si>
  <si>
    <t>maria@mypiccolo.com</t>
  </si>
  <si>
    <t>680 Mechanic St Ste 150</t>
  </si>
  <si>
    <t>cdce-f267-cec5</t>
  </si>
  <si>
    <t>sbooth@dpw.leominster-MA.gov</t>
  </si>
  <si>
    <t>mpowell@leominster-ma.gov</t>
  </si>
  <si>
    <t>2021-07-18T08:28:19-05:00</t>
  </si>
  <si>
    <t>ccf - 1626614804494</t>
  </si>
  <si>
    <t>Ana's Daycare</t>
  </si>
  <si>
    <t>8 Shary Lane</t>
  </si>
  <si>
    <t>Ana</t>
  </si>
  <si>
    <t>Fernandez</t>
  </si>
  <si>
    <t>proveedora</t>
  </si>
  <si>
    <t>508-762-2098</t>
  </si>
  <si>
    <t>ygonzalez2513@gmail.com</t>
  </si>
  <si>
    <t>8 shary lane</t>
  </si>
  <si>
    <t>Worcester</t>
  </si>
  <si>
    <t>3d74-d197745b</t>
  </si>
  <si>
    <t>T0000079</t>
  </si>
  <si>
    <t>health@worcesterma.gov</t>
  </si>
  <si>
    <t>2020-02-14T13:23:49-05:00</t>
  </si>
  <si>
    <t>ccf - 201201_P-169775</t>
  </si>
  <si>
    <t>Blackstone Valley Children's Place</t>
  </si>
  <si>
    <t>60 Main Street</t>
  </si>
  <si>
    <t>Heather</t>
  </si>
  <si>
    <t>Elster</t>
  </si>
  <si>
    <t>508-234-8184</t>
  </si>
  <si>
    <t>Heather.Elster@OurGym.org</t>
  </si>
  <si>
    <t>60 Main St.</t>
  </si>
  <si>
    <t>Whitin Community Center</t>
  </si>
  <si>
    <t>6e89-9d0f-8910</t>
  </si>
  <si>
    <t>Sampling Scheduled for 8/3/2021</t>
  </si>
  <si>
    <t>2021-07-15T11:38:32-05:00</t>
  </si>
  <si>
    <t>ccf - 1626366977520</t>
  </si>
  <si>
    <t>The Early Childhood Center at Hevreh</t>
  </si>
  <si>
    <t>270 State Road</t>
  </si>
  <si>
    <t>Great Barrington</t>
  </si>
  <si>
    <t>Ellen</t>
  </si>
  <si>
    <t>Marcus</t>
  </si>
  <si>
    <t>ECC Director</t>
  </si>
  <si>
    <t>413-528-6378</t>
  </si>
  <si>
    <t>emarcus@hevreh.org</t>
  </si>
  <si>
    <t>1005-1e41-cd5b</t>
  </si>
  <si>
    <t>T0000072</t>
  </si>
  <si>
    <t>Ellen Marcus</t>
  </si>
  <si>
    <t>Con- Test</t>
  </si>
  <si>
    <t>IM 7/28/21- Ellen starts vacation Fri 7/30-8/4</t>
  </si>
  <si>
    <t>markspeter490@gmail.com</t>
  </si>
  <si>
    <t>RJurczyk@townofgb.org</t>
  </si>
  <si>
    <t>2021-07-16T06:29:53-05:00</t>
  </si>
  <si>
    <t>ccf - 1626434928073</t>
  </si>
  <si>
    <t>Lil' Guppies Family Daycare</t>
  </si>
  <si>
    <t>21 Locust Street</t>
  </si>
  <si>
    <t>Berkley</t>
  </si>
  <si>
    <t>02779</t>
  </si>
  <si>
    <t>Lori</t>
  </si>
  <si>
    <t>Attenborough</t>
  </si>
  <si>
    <t>Owner of FCC</t>
  </si>
  <si>
    <t>774-218-8308</t>
  </si>
  <si>
    <t>ibbit17@yahoo.com</t>
  </si>
  <si>
    <t>8a76-db56-dbff</t>
  </si>
  <si>
    <t>T0000077</t>
  </si>
  <si>
    <t>Lori Attenborough</t>
  </si>
  <si>
    <t>tmccarthy@berkley.k12.ma.us</t>
  </si>
  <si>
    <t>None listed</t>
  </si>
  <si>
    <t>2021-08-02T14:52:33-05:00</t>
  </si>
  <si>
    <t>ccf - 290751_P-170824</t>
  </si>
  <si>
    <t>Granados, Juana</t>
  </si>
  <si>
    <t>42 Ellsworth Street</t>
  </si>
  <si>
    <t>Juana</t>
  </si>
  <si>
    <t>Granados</t>
  </si>
  <si>
    <t xml:space="preserve">Educadora </t>
  </si>
  <si>
    <t>617-913-2615</t>
  </si>
  <si>
    <t>vitagranados48@gmail.com</t>
  </si>
  <si>
    <t>93fd-1adc-a8c8</t>
  </si>
  <si>
    <t>T0000082</t>
  </si>
  <si>
    <t>SC asked for samples to be picked up</t>
  </si>
  <si>
    <t>famaya@chelseama.gov</t>
  </si>
  <si>
    <t>ccf - 8033877_P-242992</t>
  </si>
  <si>
    <t>IBA-Preschool Program @ Tremont St</t>
  </si>
  <si>
    <t>630 Tremont Street</t>
  </si>
  <si>
    <t>37fd-07a6-c598</t>
  </si>
  <si>
    <t>T0000074</t>
  </si>
  <si>
    <t>2021-07-15T14:52:21-05:00</t>
  </si>
  <si>
    <t>ccf - 200910_P-169707</t>
  </si>
  <si>
    <t>Acorn Center for Early Education /Care</t>
  </si>
  <si>
    <t>38 Ash Street</t>
  </si>
  <si>
    <t>David</t>
  </si>
  <si>
    <t>Jacobs</t>
  </si>
  <si>
    <t>Director of Finance</t>
  </si>
  <si>
    <t>508-740-2274</t>
  </si>
  <si>
    <t>david.jacobs@bcnc.net</t>
  </si>
  <si>
    <t>885 Washington Street</t>
  </si>
  <si>
    <t>6698-a7de-0f73</t>
  </si>
  <si>
    <t>P-177416</t>
  </si>
  <si>
    <t>2021-07-06T09:48:00-05:00</t>
  </si>
  <si>
    <t>sch - 1625582741653</t>
  </si>
  <si>
    <t>243 Harvard st</t>
  </si>
  <si>
    <t>P-169818</t>
  </si>
  <si>
    <t>2021-07-15T11:40:31-05:00</t>
  </si>
  <si>
    <t>ccf - 1626367152764</t>
  </si>
  <si>
    <t>Fatima Escalante</t>
  </si>
  <si>
    <t>790 Hilldale Avenue</t>
  </si>
  <si>
    <t>Fatima</t>
  </si>
  <si>
    <t>Escalante</t>
  </si>
  <si>
    <t>978-228-4152</t>
  </si>
  <si>
    <t>fpescalante3@gmail.com</t>
  </si>
  <si>
    <t xml:space="preserve">790 hilldale ave </t>
  </si>
  <si>
    <t>29c9-daf7-e2b5</t>
  </si>
  <si>
    <t>T0000073</t>
  </si>
  <si>
    <t>rward@haverhillwater.com</t>
  </si>
  <si>
    <t>rmacdonald@cityofhaverhill.com</t>
  </si>
  <si>
    <t>2021-07-15T14:39:31-05:00</t>
  </si>
  <si>
    <t>ccf - 200726_P-169647</t>
  </si>
  <si>
    <t>Lowell Day Nursery</t>
  </si>
  <si>
    <t>119 Hall Street</t>
  </si>
  <si>
    <t>Lina</t>
  </si>
  <si>
    <t>Gruca</t>
  </si>
  <si>
    <t>978-454-5981</t>
  </si>
  <si>
    <t>LGruca@lowelldaynursery.net</t>
  </si>
  <si>
    <t>c478-f7c3-50dd</t>
  </si>
  <si>
    <t>2021-07-19T10:04:26-05:00</t>
  </si>
  <si>
    <t>ccf - 1626706754597</t>
  </si>
  <si>
    <t>NorthStar Learning Centers, Inc.</t>
  </si>
  <si>
    <t>725 Shawmut Avenue</t>
  </si>
  <si>
    <t>02746</t>
  </si>
  <si>
    <t>Quigley</t>
  </si>
  <si>
    <t xml:space="preserve">Director of Early Education </t>
  </si>
  <si>
    <t>508-971-6816</t>
  </si>
  <si>
    <t>lquigley@northstarlc.org</t>
  </si>
  <si>
    <t>8d19-0604-6b13</t>
  </si>
  <si>
    <t>2021-07-16T10:41:37-05:00</t>
  </si>
  <si>
    <t>ccf - 2912260_P-177469</t>
  </si>
  <si>
    <t>Children's Development Center</t>
  </si>
  <si>
    <t>366 S. Main Street</t>
  </si>
  <si>
    <t>Raynham</t>
  </si>
  <si>
    <t>02767</t>
  </si>
  <si>
    <t>Carol</t>
  </si>
  <si>
    <t>Measor</t>
  </si>
  <si>
    <t>508-828-1118</t>
  </si>
  <si>
    <t>CarolsCare@comcast.net</t>
  </si>
  <si>
    <t>same</t>
  </si>
  <si>
    <t>92d1-333a-5a07</t>
  </si>
  <si>
    <t>T0000078</t>
  </si>
  <si>
    <t>jrchasercwd@gmail.com</t>
  </si>
  <si>
    <t>mtanis@town.raynham.ma.us</t>
  </si>
  <si>
    <t>2021-04-02T09:51:24-05:00</t>
  </si>
  <si>
    <t>ccf - 212556_P-170562</t>
  </si>
  <si>
    <t>Capic Head Start Rose (Street Community Center)</t>
  </si>
  <si>
    <t>105 Pomona Street</t>
  </si>
  <si>
    <t>Rosa</t>
  </si>
  <si>
    <t>Maldonado</t>
  </si>
  <si>
    <t xml:space="preserve">Family child care provider </t>
  </si>
  <si>
    <t>781-816-0280</t>
  </si>
  <si>
    <t>Margarita1977.mm@gmail.com</t>
  </si>
  <si>
    <t>105 pomona st</t>
  </si>
  <si>
    <t>Rosa Maldonado</t>
  </si>
  <si>
    <t>79b2- 791b-a7c8</t>
  </si>
  <si>
    <t>T0000056</t>
  </si>
  <si>
    <t>redo?</t>
  </si>
  <si>
    <t>P-170145</t>
  </si>
  <si>
    <t>2021-04-02T09:57:33-05:00</t>
  </si>
  <si>
    <t>ccf - 1617375307148</t>
  </si>
  <si>
    <t>Alexandra’s Family Child Care</t>
  </si>
  <si>
    <t>1082 Canterbury Street</t>
  </si>
  <si>
    <t xml:space="preserve">Roslindale </t>
  </si>
  <si>
    <t>Alexandra</t>
  </si>
  <si>
    <t xml:space="preserve">De Los Santos </t>
  </si>
  <si>
    <t>Alexandra’s Family Day care</t>
  </si>
  <si>
    <t>617-602-3718</t>
  </si>
  <si>
    <t>alexandra0406@live.com</t>
  </si>
  <si>
    <t>1082 Canterbury St.</t>
  </si>
  <si>
    <t>Alexandra De Los Santos</t>
  </si>
  <si>
    <t>22f1-375e-9a06</t>
  </si>
  <si>
    <t>Alex DeSoto</t>
  </si>
  <si>
    <t>Samples picked up8/30/21</t>
  </si>
  <si>
    <t>3035000</t>
  </si>
  <si>
    <t>P-177534</t>
  </si>
  <si>
    <t>2021-07-06T09:52:12-05:00</t>
  </si>
  <si>
    <t>sch - 1625583028525</t>
  </si>
  <si>
    <t>11 Mt. Pleasant Ave</t>
  </si>
  <si>
    <t>Roxbury</t>
  </si>
  <si>
    <t>P-177108</t>
  </si>
  <si>
    <t>2021-07-06T09:59:56-05:00</t>
  </si>
  <si>
    <t>sch - 1625583432312</t>
  </si>
  <si>
    <t>38 Horadon Way</t>
  </si>
  <si>
    <t>P-184061</t>
  </si>
  <si>
    <t>2021-05-13T14:03:51-05:00</t>
  </si>
  <si>
    <t>ccf - 201339_P-169818</t>
  </si>
  <si>
    <t>Valley Play School</t>
  </si>
  <si>
    <t>23 Water Street</t>
  </si>
  <si>
    <t>Shelburne Falls</t>
  </si>
  <si>
    <t>01370</t>
  </si>
  <si>
    <t>Hawk</t>
  </si>
  <si>
    <t>413-625-2406</t>
  </si>
  <si>
    <t>ahawk@girlsclubofgreenfield.org</t>
  </si>
  <si>
    <t>0865-c69e-021d</t>
  </si>
  <si>
    <t>Angie</t>
  </si>
  <si>
    <t>rmcdermott@shelburnefallsfiredistrict.org</t>
  </si>
  <si>
    <t>Boardofhealth@townofshelburnema.gov</t>
  </si>
  <si>
    <t>2020-01-27T15:49:13-05:00</t>
  </si>
  <si>
    <t>ccf - 201423_P-169921</t>
  </si>
  <si>
    <t>Elizabeth Peabody House Preschool</t>
  </si>
  <si>
    <t>277 Broadway</t>
  </si>
  <si>
    <t>02145</t>
  </si>
  <si>
    <t>Aucella</t>
  </si>
  <si>
    <t>Development Associate</t>
  </si>
  <si>
    <t>617-623-5510 x108</t>
  </si>
  <si>
    <t>kaucella@teph.org</t>
  </si>
  <si>
    <t>275 Broadway</t>
  </si>
  <si>
    <t>7e0c-cbc2-e019</t>
  </si>
  <si>
    <t>Samples To RI Analytical 8/23/21</t>
  </si>
  <si>
    <t>P-185815</t>
  </si>
  <si>
    <t>2021-07-19T17:24:34-05:00</t>
  </si>
  <si>
    <t>ccf - 1626733277716</t>
  </si>
  <si>
    <t>Wellesley Infant Toddler House</t>
  </si>
  <si>
    <t>4 Roberts Road</t>
  </si>
  <si>
    <t>Yishan</t>
  </si>
  <si>
    <t>Child Care Provider</t>
  </si>
  <si>
    <t>617-480-0693</t>
  </si>
  <si>
    <t>sophiayishanwang@yahoo.co.uk</t>
  </si>
  <si>
    <t>9742-dc8e-9a48</t>
  </si>
  <si>
    <t>T0000080</t>
  </si>
  <si>
    <t>9/29-30/2021</t>
  </si>
  <si>
    <t>P-170543</t>
  </si>
  <si>
    <t>2021-07-26T08:23:38-05:00</t>
  </si>
  <si>
    <t>ccf - 290502_P-170831</t>
  </si>
  <si>
    <t>YMCA Children's Center</t>
  </si>
  <si>
    <t xml:space="preserve">100 Sylvan Road </t>
  </si>
  <si>
    <t>Suite G300</t>
  </si>
  <si>
    <t>Woburn</t>
  </si>
  <si>
    <t>01801</t>
  </si>
  <si>
    <t>Suzanne</t>
  </si>
  <si>
    <t>Swankowski</t>
  </si>
  <si>
    <t>Early Education Director</t>
  </si>
  <si>
    <t>781-938-9622</t>
  </si>
  <si>
    <t>sswankowski@ymcaboston.org</t>
  </si>
  <si>
    <t>100 Sylvan Road</t>
  </si>
  <si>
    <t>G300</t>
  </si>
  <si>
    <t xml:space="preserve">Woburn </t>
  </si>
  <si>
    <t>578d-17ba-aca4</t>
  </si>
  <si>
    <t>jduran@cityofwoburn.com</t>
  </si>
  <si>
    <t>jfralick@cityofwoburn.com</t>
  </si>
  <si>
    <t>2021-07-16T09:10:59-05:00</t>
  </si>
  <si>
    <t>ccf - 1626444589077</t>
  </si>
  <si>
    <t>In Home Childcare</t>
  </si>
  <si>
    <t>16 Ranch Street</t>
  </si>
  <si>
    <t>Kristina</t>
  </si>
  <si>
    <t>Labrie</t>
  </si>
  <si>
    <t>Childcare Provider</t>
  </si>
  <si>
    <t>915-471-9170</t>
  </si>
  <si>
    <t>nina.labrie@gmail.com</t>
  </si>
  <si>
    <t>16 Ranch street</t>
  </si>
  <si>
    <t>9324-64c5-3d01</t>
  </si>
  <si>
    <t>SC 3:4 sites; finishing today. RI pick up 10/13.</t>
  </si>
  <si>
    <t>2020-06-09T11:08:23-05:00</t>
  </si>
  <si>
    <t>ccf - 1591718756539</t>
  </si>
  <si>
    <t xml:space="preserve">Lissette Childcare </t>
  </si>
  <si>
    <t>25 Woodford Street</t>
  </si>
  <si>
    <t>01604</t>
  </si>
  <si>
    <t>Malba</t>
  </si>
  <si>
    <t>Illescas</t>
  </si>
  <si>
    <t>Childcare provider</t>
  </si>
  <si>
    <t>508-933-7189</t>
  </si>
  <si>
    <t>malvas257@msn.com</t>
  </si>
  <si>
    <t xml:space="preserve">Worcester </t>
  </si>
  <si>
    <t>Illescas, Malba</t>
  </si>
  <si>
    <t>c263-a462-f1b0</t>
  </si>
  <si>
    <t>T0000045</t>
  </si>
  <si>
    <t>Sampled 10/12/2021</t>
  </si>
  <si>
    <t>2020-02-10T14:53:18-05:00</t>
  </si>
  <si>
    <t>ccf - 8028495_P-182770</t>
  </si>
  <si>
    <t>Lincoln Nursery School</t>
  </si>
  <si>
    <t>51 Sandy Pond</t>
  </si>
  <si>
    <t>P.O. Box 6075</t>
  </si>
  <si>
    <t>Lincoln</t>
  </si>
  <si>
    <t>01773</t>
  </si>
  <si>
    <t>Brett</t>
  </si>
  <si>
    <t>Dille</t>
  </si>
  <si>
    <t>Lead Safety Committee Representative</t>
  </si>
  <si>
    <t>617-872-8183</t>
  </si>
  <si>
    <t>brettdille@gmail.com</t>
  </si>
  <si>
    <t>107 Ronald Rd</t>
  </si>
  <si>
    <t>Arlington</t>
  </si>
  <si>
    <t>02474</t>
  </si>
  <si>
    <t>666f-0310-2c73</t>
  </si>
  <si>
    <t>Sampling 10/15/2021</t>
  </si>
  <si>
    <t>nwaden@town.arlington.ma.us</t>
  </si>
  <si>
    <t>2020-02-06T10:30:48-05:00</t>
  </si>
  <si>
    <t>ccf - 200697_P-169636</t>
  </si>
  <si>
    <t>Christ Church Parish Day School</t>
  </si>
  <si>
    <t>149 Asbury Street</t>
  </si>
  <si>
    <t>South Hamilton</t>
  </si>
  <si>
    <t>01982</t>
  </si>
  <si>
    <t>Grace</t>
  </si>
  <si>
    <t>Chmura</t>
  </si>
  <si>
    <t>director</t>
  </si>
  <si>
    <t>978-468-7892</t>
  </si>
  <si>
    <t>gchmura@christchurchhw.org</t>
  </si>
  <si>
    <t>149 Ssbury St.</t>
  </si>
  <si>
    <t>2978-767a-ecbc</t>
  </si>
  <si>
    <t>Sampling Oct 16, 2021</t>
  </si>
  <si>
    <t>tolson@hamiltonma.gov</t>
  </si>
  <si>
    <t>lwhelan@hamiltonma.gov</t>
  </si>
  <si>
    <t>2020-02-05T08:45:41-05:00</t>
  </si>
  <si>
    <t>ccf - 200865_P-169687</t>
  </si>
  <si>
    <t>Purpose School</t>
  </si>
  <si>
    <t>1 Church Street</t>
  </si>
  <si>
    <t>Stoneham</t>
  </si>
  <si>
    <t>02180</t>
  </si>
  <si>
    <t>Kristie</t>
  </si>
  <si>
    <t>Colwell</t>
  </si>
  <si>
    <t>781-438-2815</t>
  </si>
  <si>
    <t>purposeschoolstoneham@gmail.com</t>
  </si>
  <si>
    <t>1 Church St.</t>
  </si>
  <si>
    <t>16bc-73a1-af74</t>
  </si>
  <si>
    <t>Sampling Oct 2,  2021</t>
  </si>
  <si>
    <t>RGROVER@STONEHAM-MA.GOV</t>
  </si>
  <si>
    <t>jfralick@ci.stoneham.ma.us</t>
  </si>
  <si>
    <t>2020-02-04T17:12:44-05:00</t>
  </si>
  <si>
    <t>ccf - 8030837_P-185036</t>
  </si>
  <si>
    <t>The Aleph Academy</t>
  </si>
  <si>
    <t>44 Burrill Street</t>
  </si>
  <si>
    <t>Swampscott</t>
  </si>
  <si>
    <t>01907</t>
  </si>
  <si>
    <t>Pamela</t>
  </si>
  <si>
    <t>Kelley</t>
  </si>
  <si>
    <t>617-710-8823</t>
  </si>
  <si>
    <t>pam@thealephacademy.com</t>
  </si>
  <si>
    <t>44 Burrill St.</t>
  </si>
  <si>
    <t>1e83-87d6-7860</t>
  </si>
  <si>
    <t>Sampling Oct 20, 2021</t>
  </si>
  <si>
    <t>jvaughan@town.swampscott.ma.us</t>
  </si>
  <si>
    <t>P-170039</t>
  </si>
  <si>
    <t>2020-11-18T21:15:18-05:00</t>
  </si>
  <si>
    <t>ccf - 1605751822643</t>
  </si>
  <si>
    <t>T.A.G Family Day Care Program</t>
  </si>
  <si>
    <t xml:space="preserve">397 Seaver Street </t>
  </si>
  <si>
    <t>Apt 2</t>
  </si>
  <si>
    <t>Dorchester</t>
  </si>
  <si>
    <t>02121</t>
  </si>
  <si>
    <t>Terri-Ann</t>
  </si>
  <si>
    <t>Gillings</t>
  </si>
  <si>
    <t>617-825-0206</t>
  </si>
  <si>
    <t>terrianngillings@yahoo.com</t>
  </si>
  <si>
    <t>397 Seaver St.</t>
  </si>
  <si>
    <t>Gillings, Terri Ann</t>
  </si>
  <si>
    <t>d889-36c7-57a5</t>
  </si>
  <si>
    <t>Sampling 10/14/2021</t>
  </si>
  <si>
    <t>2021-01-28T07:47:39-05:00</t>
  </si>
  <si>
    <t>ccf - 1611837844326</t>
  </si>
  <si>
    <t>CCs ABC Funtime Family Child Care</t>
  </si>
  <si>
    <t xml:space="preserve">40 Norton Street </t>
  </si>
  <si>
    <t>Apt 3</t>
  </si>
  <si>
    <t>02125</t>
  </si>
  <si>
    <t>Stacy</t>
  </si>
  <si>
    <t>Williams</t>
  </si>
  <si>
    <t>617 287 0280</t>
  </si>
  <si>
    <t>stacyww@gmail.com</t>
  </si>
  <si>
    <t>40 Norton St.</t>
  </si>
  <si>
    <t>Williams, Stacy</t>
  </si>
  <si>
    <t>8594-ce3a-c3b7</t>
  </si>
  <si>
    <t>2020-11-25T21:01:31-05:00</t>
  </si>
  <si>
    <t>ccf - 1606355872188</t>
  </si>
  <si>
    <t>Mundo Infantil Family Daycare</t>
  </si>
  <si>
    <t>304 High Street</t>
  </si>
  <si>
    <t xml:space="preserve">Lawrence </t>
  </si>
  <si>
    <t>01841</t>
  </si>
  <si>
    <t>Dones</t>
  </si>
  <si>
    <t xml:space="preserve">Family Daycare </t>
  </si>
  <si>
    <t>978-382-2008</t>
  </si>
  <si>
    <t>Vanesa2079@hotmail.com</t>
  </si>
  <si>
    <t>304 High St.</t>
  </si>
  <si>
    <t>Dones, Ana Luisa</t>
  </si>
  <si>
    <t>f0bb-cb7d-7a2a</t>
  </si>
  <si>
    <t>Sampling 10/13/21</t>
  </si>
  <si>
    <t>2021-01-04T19:23:56-05:00</t>
  </si>
  <si>
    <t>ccf - 1609806153970</t>
  </si>
  <si>
    <t>Ternura's Family Child Care</t>
  </si>
  <si>
    <t>131 Charger Street</t>
  </si>
  <si>
    <t>Ochoa</t>
  </si>
  <si>
    <t>857-272-4006</t>
  </si>
  <si>
    <t>MONICAJOCHOA.71@GMAIL.COM</t>
  </si>
  <si>
    <t>131 Charger St</t>
  </si>
  <si>
    <t>Ochoa, Monica M.</t>
  </si>
  <si>
    <t>fc0a-4189-766f</t>
  </si>
  <si>
    <t>2021-01-05T11:24:51-05:00</t>
  </si>
  <si>
    <t>ccf - 1609863432981</t>
  </si>
  <si>
    <t xml:space="preserve">Fernanda's Family Child Care </t>
  </si>
  <si>
    <t>334 American Legion Highway</t>
  </si>
  <si>
    <t xml:space="preserve">Ana </t>
  </si>
  <si>
    <t xml:space="preserve">Avalos </t>
  </si>
  <si>
    <t xml:space="preserve">781-354-8635 </t>
  </si>
  <si>
    <t xml:space="preserve">beavalos0408@yahoo.com </t>
  </si>
  <si>
    <t xml:space="preserve">334 American Legion Hwy </t>
  </si>
  <si>
    <t>Avalos, Ana B.</t>
  </si>
  <si>
    <t>ca58-5f97-ccc0</t>
  </si>
  <si>
    <t>2021-04-05T10:18:31-05:00</t>
  </si>
  <si>
    <t>ccf - 1617635884348</t>
  </si>
  <si>
    <t>Pooh and Friends Daycare</t>
  </si>
  <si>
    <t>149 Highland Avenue</t>
  </si>
  <si>
    <t>Flavia</t>
  </si>
  <si>
    <t>Silva</t>
  </si>
  <si>
    <t>617-767-6461</t>
  </si>
  <si>
    <t>rofla_barbosa@hotmail.com</t>
  </si>
  <si>
    <t>8a58-fd71-239a</t>
  </si>
  <si>
    <t>jdeluca@somervillema.gov</t>
  </si>
  <si>
    <t>P-170637</t>
  </si>
  <si>
    <t>2020-06-09T12:04:15-05:00</t>
  </si>
  <si>
    <t>ccf - 1591722172656</t>
  </si>
  <si>
    <t xml:space="preserve">Happy Feet Daycare </t>
  </si>
  <si>
    <t xml:space="preserve">4 Eustis Street </t>
  </si>
  <si>
    <t>01606</t>
  </si>
  <si>
    <t xml:space="preserve">Cristiana </t>
  </si>
  <si>
    <t xml:space="preserve">Lopes </t>
  </si>
  <si>
    <t>508-963-9970</t>
  </si>
  <si>
    <t>Crissandro@hotmail.com</t>
  </si>
  <si>
    <t>4 Eustis Street</t>
  </si>
  <si>
    <t>Lopes, Cristiana</t>
  </si>
  <si>
    <t>c710-e8ba-cdda</t>
  </si>
  <si>
    <t>T0000048</t>
  </si>
  <si>
    <t>Sampling 10/19/2021</t>
  </si>
  <si>
    <t>2021-04-06T12:07:12-05:00</t>
  </si>
  <si>
    <t>ccf - 1617728641769</t>
  </si>
  <si>
    <t>The Montessori Home School</t>
  </si>
  <si>
    <t>8 Rustic Road</t>
  </si>
  <si>
    <t>Luti</t>
  </si>
  <si>
    <t>Home Daycare</t>
  </si>
  <si>
    <t>781-507-5083</t>
  </si>
  <si>
    <t>artsandsmarts.luti@gmail.com</t>
  </si>
  <si>
    <t>bad6-da30-6fc9</t>
  </si>
  <si>
    <t>2021-03-31T08:47:21-05:00</t>
  </si>
  <si>
    <t>799 Concord Avenue</t>
  </si>
  <si>
    <t>Danielle</t>
  </si>
  <si>
    <t>Joseph</t>
  </si>
  <si>
    <t>617-717-9729</t>
  </si>
  <si>
    <t>danielle.joseph@efgboston.org</t>
  </si>
  <si>
    <t xml:space="preserve">799 Concord Ave </t>
  </si>
  <si>
    <t>T0000053</t>
  </si>
  <si>
    <t>Sampling 10/16/2021</t>
  </si>
  <si>
    <t>2020-01-30T08:11:38-05:00</t>
  </si>
  <si>
    <t>ccf - 212650_P-170464</t>
  </si>
  <si>
    <t>P.A.C.E. Head Start</t>
  </si>
  <si>
    <t>32 Madison Street</t>
  </si>
  <si>
    <t>Jill</t>
  </si>
  <si>
    <t>Fox</t>
  </si>
  <si>
    <t>jfox@paceheadstart.org</t>
  </si>
  <si>
    <t>7f11-4588-6ba5</t>
  </si>
  <si>
    <t>201804</t>
  </si>
  <si>
    <t>Sampling 10/22/2021</t>
  </si>
  <si>
    <t>P-177208</t>
  </si>
  <si>
    <t>2021-07-16T09:18:11-05:00</t>
  </si>
  <si>
    <t>ccf - 1626444897601</t>
  </si>
  <si>
    <t>Side Street Sand Box Home Daycare</t>
  </si>
  <si>
    <t>15 Beech Grove Avenue</t>
  </si>
  <si>
    <t>Allison</t>
  </si>
  <si>
    <t>Laflamme</t>
  </si>
  <si>
    <t>413-552-8886</t>
  </si>
  <si>
    <t>Stickyfingers1877@yahoo.com</t>
  </si>
  <si>
    <t xml:space="preserve">15 beech grove ave </t>
  </si>
  <si>
    <t>a1bd-dadb-f536</t>
  </si>
  <si>
    <t>Allison Laflamme</t>
  </si>
  <si>
    <t>Sick with COVID</t>
  </si>
  <si>
    <t>P-170464</t>
  </si>
  <si>
    <t>2020-06-09T07:55:00-05:00</t>
  </si>
  <si>
    <t>ccf - 1591707195385</t>
  </si>
  <si>
    <t>Little Chicks Family Child Care</t>
  </si>
  <si>
    <t>148 Dresser Hill Road</t>
  </si>
  <si>
    <t>Dudley</t>
  </si>
  <si>
    <t>01571</t>
  </si>
  <si>
    <t>Tammy</t>
  </si>
  <si>
    <t>Ruda</t>
  </si>
  <si>
    <t>Manager</t>
  </si>
  <si>
    <t>774-200-0783</t>
  </si>
  <si>
    <t>tammy.ruda@gmail.com</t>
  </si>
  <si>
    <t>148 Dresser Hill Rd</t>
  </si>
  <si>
    <t>Ruda, Tammy</t>
  </si>
  <si>
    <t>a98f-e39e-e689</t>
  </si>
  <si>
    <t>7026137</t>
  </si>
  <si>
    <t>watersewer@dudleyma.gov</t>
  </si>
  <si>
    <t>boh@dudleyma.gov</t>
  </si>
  <si>
    <t>2020-02-05T05:48:20-05:00</t>
  </si>
  <si>
    <t>ccf - 3910848_P-177719</t>
  </si>
  <si>
    <t>Whitney Afterschool Program</t>
  </si>
  <si>
    <t>167 HowaRoad Street</t>
  </si>
  <si>
    <t>Debbie</t>
  </si>
  <si>
    <t>Gates</t>
  </si>
  <si>
    <t>Office Assistant</t>
  </si>
  <si>
    <t>413-583-8856</t>
  </si>
  <si>
    <t>recreation@ludlow.ma.us</t>
  </si>
  <si>
    <t>488 Chapin St.</t>
  </si>
  <si>
    <t>Sampling 10/26/2021</t>
  </si>
  <si>
    <t>2021-04-08T06:50:20-05:00</t>
  </si>
  <si>
    <t>ccf - 1617882504374</t>
  </si>
  <si>
    <t>Lissette's Family Child Care</t>
  </si>
  <si>
    <t>26 Glen Road 1</t>
  </si>
  <si>
    <t>02130</t>
  </si>
  <si>
    <t>Lissette</t>
  </si>
  <si>
    <t>Lapaix</t>
  </si>
  <si>
    <t>508-272-3639</t>
  </si>
  <si>
    <t>lissettelapaix73@gmail.com</t>
  </si>
  <si>
    <t>26 Glen Road #1</t>
  </si>
  <si>
    <t>P-170075</t>
  </si>
  <si>
    <t>2021-09-30T16:25:09-05:00</t>
  </si>
  <si>
    <t>ccf - 1633036714262</t>
  </si>
  <si>
    <t>Bright Beginners Family Daycare LLC</t>
  </si>
  <si>
    <t>239 High Street</t>
  </si>
  <si>
    <t>Randolph</t>
  </si>
  <si>
    <t>02368</t>
  </si>
  <si>
    <t>Dora</t>
  </si>
  <si>
    <t>Aguilar</t>
  </si>
  <si>
    <t>Family Childcare Provider</t>
  </si>
  <si>
    <t>857-234-8303</t>
  </si>
  <si>
    <t>doraaguilar18@gmail.com</t>
  </si>
  <si>
    <t>T0000089</t>
  </si>
  <si>
    <t>2021-10-01T06:41:59-05:00</t>
  </si>
  <si>
    <t>ccf - 1633087918955</t>
  </si>
  <si>
    <t>Muddy Puddles Early Learning Program</t>
  </si>
  <si>
    <t>111A South Main Street</t>
  </si>
  <si>
    <t>Uxbridge</t>
  </si>
  <si>
    <t>01569</t>
  </si>
  <si>
    <t>Cross</t>
  </si>
  <si>
    <t>508-779-0797</t>
  </si>
  <si>
    <t>sccrossX16@gmail.com</t>
  </si>
  <si>
    <t>T0000092</t>
  </si>
  <si>
    <t>2021-10-01T10:46:16-05:00</t>
  </si>
  <si>
    <t>ccf - 1633103102047</t>
  </si>
  <si>
    <t>Bright N Early Family Childcare</t>
  </si>
  <si>
    <t>13 Reservoir Drive</t>
  </si>
  <si>
    <t>Donna</t>
  </si>
  <si>
    <t>Rainford</t>
  </si>
  <si>
    <t>781-308-3846</t>
  </si>
  <si>
    <t>tieupyourcamel05@gmail.com</t>
  </si>
  <si>
    <t>T0000094</t>
  </si>
  <si>
    <t>2021-10-01T13:46:04-05:00</t>
  </si>
  <si>
    <t>ccf - 8029168_P-183304</t>
  </si>
  <si>
    <t>Step Ahead Early Education and Child Care Center</t>
  </si>
  <si>
    <t>30 South Main Street</t>
  </si>
  <si>
    <t>Ida Yee</t>
  </si>
  <si>
    <t>Koo</t>
  </si>
  <si>
    <t>781-986-2223</t>
  </si>
  <si>
    <t>stepahead.eec@gmail.com</t>
  </si>
  <si>
    <t>2021-10-08T08:57:09-05:00</t>
  </si>
  <si>
    <t>ccf - 200609_P-169618</t>
  </si>
  <si>
    <t>Sunshine Nursery School</t>
  </si>
  <si>
    <t>19 Prentiss Road</t>
  </si>
  <si>
    <t>02476</t>
  </si>
  <si>
    <t>Eisenheim</t>
  </si>
  <si>
    <t>781-646-1630</t>
  </si>
  <si>
    <t>jennrock6@gmail.com</t>
  </si>
  <si>
    <t>Unit 2</t>
  </si>
  <si>
    <t>2021-09-28T11:32:27-05:00</t>
  </si>
  <si>
    <t>ccf - 1632846626143</t>
  </si>
  <si>
    <t>Little Pebbless Daycare</t>
  </si>
  <si>
    <t>33 Kilby Street</t>
  </si>
  <si>
    <t>01610</t>
  </si>
  <si>
    <t>Carmen</t>
  </si>
  <si>
    <t>Daycare Provider</t>
  </si>
  <si>
    <t>508-410-5376</t>
  </si>
  <si>
    <t>rroch36@yahoo.com</t>
  </si>
  <si>
    <t xml:space="preserve">33 boys and girls club way </t>
  </si>
  <si>
    <t>2021-03-31T11:54:23-05:00</t>
  </si>
  <si>
    <t>ccf - 301112_P-171133</t>
  </si>
  <si>
    <t>Monomoy Community Services</t>
  </si>
  <si>
    <t>166 Depot Road</t>
  </si>
  <si>
    <t>Chatham</t>
  </si>
  <si>
    <t>02633</t>
  </si>
  <si>
    <t>theresa</t>
  </si>
  <si>
    <t>malone</t>
  </si>
  <si>
    <t>508-945-1501</t>
  </si>
  <si>
    <t>tmalone@c4.net</t>
  </si>
  <si>
    <t>166 Depot Rd</t>
  </si>
  <si>
    <t>3827-4722-ff52</t>
  </si>
  <si>
    <t>Sites received 4/15</t>
  </si>
  <si>
    <t>jgiorgio@chatham-ma.gov</t>
  </si>
  <si>
    <t>2020-11-29T20:59:22-05:00</t>
  </si>
  <si>
    <t>ccf - 1606700828214</t>
  </si>
  <si>
    <t>PS Little Explorers Family Child Care</t>
  </si>
  <si>
    <t>60 Dickens Street #1</t>
  </si>
  <si>
    <t>02122</t>
  </si>
  <si>
    <t>Paulette</t>
  </si>
  <si>
    <t>Simeon</t>
  </si>
  <si>
    <t>617-510-5873</t>
  </si>
  <si>
    <t>paulettesimeon@yahoo.com</t>
  </si>
  <si>
    <t xml:space="preserve">60 Dickens St. #1 </t>
  </si>
  <si>
    <t xml:space="preserve">60 Dickens St. #3, </t>
  </si>
  <si>
    <t>Simeon, Paulette</t>
  </si>
  <si>
    <t>8235-3b52-aa01</t>
  </si>
  <si>
    <t>email 12/7 will call 12/8</t>
  </si>
  <si>
    <t>2021-07-14T13:26:39-05:00</t>
  </si>
  <si>
    <t>ccf - 1626287054370</t>
  </si>
  <si>
    <t>miss kikatos</t>
  </si>
  <si>
    <t>88 Bremen Street</t>
  </si>
  <si>
    <t>Maritza</t>
  </si>
  <si>
    <t>Manrique</t>
  </si>
  <si>
    <t>617-816-1898</t>
  </si>
  <si>
    <t>maritzamr13@gmail.com</t>
  </si>
  <si>
    <t>88 Bremen st</t>
  </si>
  <si>
    <t>Maritza Manrique</t>
  </si>
  <si>
    <t>e343-8d50-1b81</t>
  </si>
  <si>
    <t>T0000071</t>
  </si>
  <si>
    <t>10/18-Bottles should've been delivered.</t>
  </si>
  <si>
    <t>2021-04-01T13:55:08-05:00</t>
  </si>
  <si>
    <t>ccf - 1617303251551</t>
  </si>
  <si>
    <t>Kid Start Child Care Center</t>
  </si>
  <si>
    <t>444 North Canal Street</t>
  </si>
  <si>
    <t>01840</t>
  </si>
  <si>
    <t>Tamara</t>
  </si>
  <si>
    <t>Holder</t>
  </si>
  <si>
    <t>Child Care Director</t>
  </si>
  <si>
    <t>978 686-4745</t>
  </si>
  <si>
    <t>tamara@kidstart.com</t>
  </si>
  <si>
    <t>444 North Canal St.</t>
  </si>
  <si>
    <t>ea8e-7602-e47f</t>
  </si>
  <si>
    <t>P-184787</t>
  </si>
  <si>
    <t>2021-04-02T11:00:30-05:00</t>
  </si>
  <si>
    <t>ccf - 290212_P-170521</t>
  </si>
  <si>
    <t>Children's Village at the Mill</t>
  </si>
  <si>
    <t>246 Market Street</t>
  </si>
  <si>
    <t>Lornablair</t>
  </si>
  <si>
    <t>Syesta</t>
  </si>
  <si>
    <t>978-453-1490</t>
  </si>
  <si>
    <t>LSyesta@commteam.org</t>
  </si>
  <si>
    <t>246 Market St.</t>
  </si>
  <si>
    <t>Suite 4</t>
  </si>
  <si>
    <t>7aa7-9715-1105</t>
  </si>
  <si>
    <t>2020-11-23T13:00:11-05:00</t>
  </si>
  <si>
    <t>ccf - 1606154289890</t>
  </si>
  <si>
    <t>Busy lil’ Bees Daycare</t>
  </si>
  <si>
    <t xml:space="preserve">14 Tyler Drive </t>
  </si>
  <si>
    <t xml:space="preserve">Sandwich </t>
  </si>
  <si>
    <t>02563</t>
  </si>
  <si>
    <t xml:space="preserve">Julie </t>
  </si>
  <si>
    <t xml:space="preserve">Coughlan </t>
  </si>
  <si>
    <t xml:space="preserve">Daycare Provider </t>
  </si>
  <si>
    <t>508-648-0305</t>
  </si>
  <si>
    <t>busylilbees@gmail.com</t>
  </si>
  <si>
    <t>Coughlan, Julie M.</t>
  </si>
  <si>
    <t>bacb-e588-8eb0</t>
  </si>
  <si>
    <t xml:space="preserve">Sent instructions 12/10/20; nudge ltr 12/28 </t>
  </si>
  <si>
    <t>dmason@townofsandwich.net</t>
  </si>
  <si>
    <t>2021-04-16T14:16:39-05:00</t>
  </si>
  <si>
    <t>ccf - 1618600503652</t>
  </si>
  <si>
    <t>Just Like Home, Inc.</t>
  </si>
  <si>
    <t>1504 Allen Street  # A</t>
  </si>
  <si>
    <t>01118</t>
  </si>
  <si>
    <t>Schechterle</t>
  </si>
  <si>
    <t>413-363-1750</t>
  </si>
  <si>
    <t>melissa@jlhkids.com</t>
  </si>
  <si>
    <t>1504 Allen Street # A</t>
  </si>
  <si>
    <t>b2f0-cf85-9289</t>
  </si>
  <si>
    <t>M. Schechterle</t>
  </si>
  <si>
    <t>Got her the chain, bottles ordered.</t>
  </si>
  <si>
    <t>P-170023</t>
  </si>
  <si>
    <t>2020-02-05T14:58:48-05:00</t>
  </si>
  <si>
    <t>ccf - 8033048_P-187615</t>
  </si>
  <si>
    <t>Boys and Girls Club of Stoneham</t>
  </si>
  <si>
    <t>15 Dale Court</t>
  </si>
  <si>
    <t>John</t>
  </si>
  <si>
    <t>Brinkman</t>
  </si>
  <si>
    <t>COO</t>
  </si>
  <si>
    <t>774-644-5281</t>
  </si>
  <si>
    <t>Jbrinkman@bgcstoneham.org</t>
  </si>
  <si>
    <t>07ee-acfb-85ea</t>
  </si>
  <si>
    <t>Rick arranged sampling, 7/29 Gene mailed bottles</t>
  </si>
  <si>
    <t>2020-02-10T12:59:12-05:00</t>
  </si>
  <si>
    <t>ccf - 201530_P-170081</t>
  </si>
  <si>
    <t>Children's Own School</t>
  </si>
  <si>
    <t>86 Main Street</t>
  </si>
  <si>
    <t>Winchester</t>
  </si>
  <si>
    <t>01890</t>
  </si>
  <si>
    <t>Holly</t>
  </si>
  <si>
    <t>Flood</t>
  </si>
  <si>
    <t>781-729-2689</t>
  </si>
  <si>
    <t>hollyflood@childrensown.org</t>
  </si>
  <si>
    <t>left phone message regarding mapping of sites, follow up by phone wk 10/26</t>
  </si>
  <si>
    <t>Jgibbons@winchester.us</t>
  </si>
  <si>
    <t>jenmurphy@winchester.us</t>
  </si>
  <si>
    <t>2020-01-30T10:42:36-05:00</t>
  </si>
  <si>
    <t>ccf - 201230_P-169784</t>
  </si>
  <si>
    <t>Rainbow Child Development Pre School Ctr &amp; School Age</t>
  </si>
  <si>
    <t>10 Edwards Street</t>
  </si>
  <si>
    <t>01605</t>
  </si>
  <si>
    <t>Joyce</t>
  </si>
  <si>
    <t>Rowell</t>
  </si>
  <si>
    <t>508-791-6849</t>
  </si>
  <si>
    <t>jrowell@rainbowcdc.com</t>
  </si>
  <si>
    <t>10 Edward Street</t>
  </si>
  <si>
    <t>783d-913b-d678</t>
  </si>
  <si>
    <t>Sites, map to Tool, CofC, label template, bottle labels for sampling pkg</t>
  </si>
  <si>
    <t>2021-07-14T12:46:27-05:00</t>
  </si>
  <si>
    <t>ccf - 2912145_P-177341</t>
  </si>
  <si>
    <t>Love to Learn Preschool &amp; Daycare Center, Inc.</t>
  </si>
  <si>
    <t>59A Howland Road</t>
  </si>
  <si>
    <t>Assonet</t>
  </si>
  <si>
    <t>Farley</t>
  </si>
  <si>
    <t xml:space="preserve">Owner </t>
  </si>
  <si>
    <t>774-406-7750</t>
  </si>
  <si>
    <t>ltlpreschool@comcast.net</t>
  </si>
  <si>
    <t>po box 906</t>
  </si>
  <si>
    <t>North Dighton</t>
  </si>
  <si>
    <t>Site Plan received</t>
  </si>
  <si>
    <t>waterdept@freetownma.gov</t>
  </si>
  <si>
    <t>dmacedo@freetownma.gov</t>
  </si>
  <si>
    <t>P-169798</t>
  </si>
  <si>
    <t>2021-03-31T14:09:11-05:00</t>
  </si>
  <si>
    <t>ccf - 301043_P-171241</t>
  </si>
  <si>
    <t>Ellis Education Center</t>
  </si>
  <si>
    <t>66 Berkeley Street</t>
  </si>
  <si>
    <t>Claire</t>
  </si>
  <si>
    <t>McNally</t>
  </si>
  <si>
    <t>VP of Programs</t>
  </si>
  <si>
    <t>617-695-9307</t>
  </si>
  <si>
    <t>cmcnally@ellismemorial.org</t>
  </si>
  <si>
    <t>T0000057</t>
  </si>
  <si>
    <t>Site Plan Received</t>
  </si>
  <si>
    <t>58 Berkeley Street</t>
  </si>
  <si>
    <t>2021-01-15T10:54:37-05:00</t>
  </si>
  <si>
    <t>ccf - 8033759_P-211694</t>
  </si>
  <si>
    <t>Capucine Montessori School</t>
  </si>
  <si>
    <t>2180 Massachusetts Avenue</t>
  </si>
  <si>
    <t>Marion</t>
  </si>
  <si>
    <t>Geiger</t>
  </si>
  <si>
    <t>Co-head of school</t>
  </si>
  <si>
    <t>339-707-7709</t>
  </si>
  <si>
    <t>marion@capucinemontessori.org</t>
  </si>
  <si>
    <t>2180 Mass Ave.</t>
  </si>
  <si>
    <t>2021-07-14T13:11:09-05:00</t>
  </si>
  <si>
    <t>ccf - 8033411_P-210539</t>
  </si>
  <si>
    <t>Mariposa Child-Care Center, Inc.</t>
  </si>
  <si>
    <t>61 Fairview Street</t>
  </si>
  <si>
    <t>Dedham</t>
  </si>
  <si>
    <t>Jose</t>
  </si>
  <si>
    <t>Paulino</t>
  </si>
  <si>
    <t>877-421-9382</t>
  </si>
  <si>
    <t>jpaulino@mariposaccc.com</t>
  </si>
  <si>
    <t>1eee-acf3-88e8</t>
  </si>
  <si>
    <t>REIBEN@DWWD.ORG</t>
  </si>
  <si>
    <t>bridget@sweetgroupllc.com</t>
  </si>
  <si>
    <t>ccf - 8028802_P-183050</t>
  </si>
  <si>
    <t>Mariposa Child-care Center</t>
  </si>
  <si>
    <t>15 Myrtle Street</t>
  </si>
  <si>
    <t>P-170136</t>
  </si>
  <si>
    <t>2021-09-28T11:15:24-05:00</t>
  </si>
  <si>
    <t>ccf - 1632845516790</t>
  </si>
  <si>
    <t xml:space="preserve">Beloved Children Family Childcare </t>
  </si>
  <si>
    <t>31 Riverdale Road</t>
  </si>
  <si>
    <t>02026</t>
  </si>
  <si>
    <t>Dita</t>
  </si>
  <si>
    <t>Mazenkofski</t>
  </si>
  <si>
    <t>617-959-6902</t>
  </si>
  <si>
    <t>Mazenkofski.dita@ gmail.com</t>
  </si>
  <si>
    <t>9eeb-07c0-f624</t>
  </si>
  <si>
    <t>T0000085</t>
  </si>
  <si>
    <t>Dita Mazenkofski</t>
  </si>
  <si>
    <t>Admin completed.</t>
  </si>
  <si>
    <t>2021-09-28T11:57:59-05:00</t>
  </si>
  <si>
    <t>ccf - 1632848211932</t>
  </si>
  <si>
    <t xml:space="preserve">Shining Starts </t>
  </si>
  <si>
    <t>45 Pembroke Street</t>
  </si>
  <si>
    <t>Raquel</t>
  </si>
  <si>
    <t>Romao</t>
  </si>
  <si>
    <t>617-816-7586</t>
  </si>
  <si>
    <t>raquelromao@yahoo.com.br</t>
  </si>
  <si>
    <t>fb8a-5aa5-539e</t>
  </si>
  <si>
    <t>T0000086</t>
  </si>
  <si>
    <t>Raquel Ramao</t>
  </si>
  <si>
    <t>2021-09-28T13:49:28-05:00</t>
  </si>
  <si>
    <t>ccf - 1632854687138</t>
  </si>
  <si>
    <t>Delisa's Laugh N' Learn Childcare</t>
  </si>
  <si>
    <t>33 Crossman Street</t>
  </si>
  <si>
    <t>Taunton</t>
  </si>
  <si>
    <t>02780</t>
  </si>
  <si>
    <t>Delisa</t>
  </si>
  <si>
    <t>Morgan</t>
  </si>
  <si>
    <t>857-312-2619</t>
  </si>
  <si>
    <t>delisamm@yahoo.com</t>
  </si>
  <si>
    <t>Delisa Morgan</t>
  </si>
  <si>
    <t>bb13-5a7a-840d</t>
  </si>
  <si>
    <t>T0000087</t>
  </si>
  <si>
    <t>2021-09-30T18:12:47-05:00</t>
  </si>
  <si>
    <t>ccf - 1633043448775</t>
  </si>
  <si>
    <t>Cribs and Cradles Family Child Care LLC</t>
  </si>
  <si>
    <t>255 Park Street</t>
  </si>
  <si>
    <t>02124</t>
  </si>
  <si>
    <t>Claudette</t>
  </si>
  <si>
    <t>White</t>
  </si>
  <si>
    <t>617-282-0775</t>
  </si>
  <si>
    <t>cribsandcradleschildcare@gmail.com</t>
  </si>
  <si>
    <t>8237-1b81-f159</t>
  </si>
  <si>
    <t>Claudette White</t>
  </si>
  <si>
    <t>2020-02-21T12:17:26-05:00</t>
  </si>
  <si>
    <t>ccf - 8034093_P-244643</t>
  </si>
  <si>
    <t>Busy Bees Learning Center</t>
  </si>
  <si>
    <t>209 South Main Street</t>
  </si>
  <si>
    <t>Attleboro</t>
  </si>
  <si>
    <t>02703</t>
  </si>
  <si>
    <t>Sheetal</t>
  </si>
  <si>
    <t>Verma</t>
  </si>
  <si>
    <t xml:space="preserve">Managing Director </t>
  </si>
  <si>
    <t>617-852-4676</t>
  </si>
  <si>
    <t>bzb4208@outlook.com</t>
  </si>
  <si>
    <t>209 S Main St.</t>
  </si>
  <si>
    <t>d007-b418-9b40</t>
  </si>
  <si>
    <t>Rick created loc ID #'s 8/13; awaiting confirmation</t>
  </si>
  <si>
    <t>healthagent@cityofattleboro.us</t>
  </si>
  <si>
    <t>2020-06-17T13:47:47-05:00</t>
  </si>
  <si>
    <t>ccf - 1592419536628</t>
  </si>
  <si>
    <t>Ayer Kiddie Depot</t>
  </si>
  <si>
    <t>33 Shirley Street</t>
  </si>
  <si>
    <t>Ayer</t>
  </si>
  <si>
    <t>01432</t>
  </si>
  <si>
    <t>Jonie</t>
  </si>
  <si>
    <t>Latimer-Brady</t>
  </si>
  <si>
    <t>978-758-2985</t>
  </si>
  <si>
    <t>ayerkiddiedepot@gmail.com</t>
  </si>
  <si>
    <t>33 Shirley St.</t>
  </si>
  <si>
    <t>dffc-549d-7f97</t>
  </si>
  <si>
    <t>Left Jonie Latimer message regarding submission of site plan</t>
  </si>
  <si>
    <t>mwetzel@ayer.ma.us</t>
  </si>
  <si>
    <t>P-184755</t>
  </si>
  <si>
    <t>2021-04-01T07:46:47-05:00</t>
  </si>
  <si>
    <t>ccf - 8030070_P-184273</t>
  </si>
  <si>
    <t>Panda Cub Academy</t>
  </si>
  <si>
    <t>1200 Boylston Street</t>
  </si>
  <si>
    <t>Brookline</t>
  </si>
  <si>
    <t>Nancy</t>
  </si>
  <si>
    <t>Louca</t>
  </si>
  <si>
    <t>617-614-7709 x0</t>
  </si>
  <si>
    <t>LITTLEPANDASBROOKLINE@GMAIL.COM</t>
  </si>
  <si>
    <t>1200 Boylston St.</t>
  </si>
  <si>
    <t>f972-fc4f-a1fa</t>
  </si>
  <si>
    <t>Contact email 4/15</t>
  </si>
  <si>
    <t>sjett@brooklinema.gov</t>
  </si>
  <si>
    <t>2020-01-23T11:37:54-05:00</t>
  </si>
  <si>
    <t>ccf - 200316_P-169404</t>
  </si>
  <si>
    <t>Cole-Harrington Children's Center</t>
  </si>
  <si>
    <t>611 Neponset Street</t>
  </si>
  <si>
    <t>Linda</t>
  </si>
  <si>
    <t>Feller</t>
  </si>
  <si>
    <t>Program Coordinator</t>
  </si>
  <si>
    <t>781-828-1519 x1</t>
  </si>
  <si>
    <t>lfeller@enableinc.org</t>
  </si>
  <si>
    <t>605 Neponset St.</t>
  </si>
  <si>
    <t>41a4-993d-e5fd</t>
  </si>
  <si>
    <t>Not interested at anymore no time availible</t>
  </si>
  <si>
    <t>sward2054@yahoo.com</t>
  </si>
  <si>
    <t>P-170994</t>
  </si>
  <si>
    <t>2021-04-01T14:11:53-05:00</t>
  </si>
  <si>
    <t>ccf - 211650_P-170205</t>
  </si>
  <si>
    <t>Concord Carousel Preschool &amp; Concord Recreation After School Program</t>
  </si>
  <si>
    <t>1276 Main Street</t>
  </si>
  <si>
    <t>Anita</t>
  </si>
  <si>
    <t>Hill</t>
  </si>
  <si>
    <t>Child Services Director</t>
  </si>
  <si>
    <t>978-318-3045</t>
  </si>
  <si>
    <t xml:space="preserve">ahill@concordma.gov </t>
  </si>
  <si>
    <t>90 Stow Street</t>
  </si>
  <si>
    <t>P-185530</t>
  </si>
  <si>
    <t>ccf - 300632_P-171110</t>
  </si>
  <si>
    <t>Concord After School Program at Hunt Recreation Center</t>
  </si>
  <si>
    <t>ahill@concordma.gov</t>
  </si>
  <si>
    <t>2020-01-27T12:45:38-05:00</t>
  </si>
  <si>
    <t>ccf - 290320_P-170629</t>
  </si>
  <si>
    <t>Sunshine Country Day School, Inc.</t>
  </si>
  <si>
    <t>205 Washington Street</t>
  </si>
  <si>
    <t>East Walpole</t>
  </si>
  <si>
    <t>02032</t>
  </si>
  <si>
    <t>Quinn</t>
  </si>
  <si>
    <t>owner / director</t>
  </si>
  <si>
    <t>508-958-1555</t>
  </si>
  <si>
    <t>jenniferaquinn@verizon.net</t>
  </si>
  <si>
    <t>205 Washington St.</t>
  </si>
  <si>
    <t>02081</t>
  </si>
  <si>
    <t>aca3-08b2-5df4</t>
  </si>
  <si>
    <t>Requested map 8/20</t>
  </si>
  <si>
    <t>mranieri@walpole-ma.gov</t>
  </si>
  <si>
    <t>2020-01-22T13:54:45-05:00</t>
  </si>
  <si>
    <t>sch - 04940205</t>
  </si>
  <si>
    <t>Pioneer Charter School of Science - Network Office</t>
  </si>
  <si>
    <t>466 Broadway</t>
  </si>
  <si>
    <t>Everett</t>
  </si>
  <si>
    <t>02149</t>
  </si>
  <si>
    <t>Victor</t>
  </si>
  <si>
    <t>Mota</t>
  </si>
  <si>
    <t>Assistant Business Manager</t>
  </si>
  <si>
    <t>617-294-4737</t>
  </si>
  <si>
    <t>vmota@pioneercss.org</t>
  </si>
  <si>
    <t>80cf-b3ce-44fa</t>
  </si>
  <si>
    <t>T0000042</t>
  </si>
  <si>
    <t>Left Victor Mota message regarding submission of site plan</t>
  </si>
  <si>
    <t>sabrina.firicano@ci.everett.ma.us</t>
  </si>
  <si>
    <t>P-183300</t>
  </si>
  <si>
    <t>sch - 1579718782461</t>
  </si>
  <si>
    <t>Pioneer Charter School of Science - Lower School</t>
  </si>
  <si>
    <t>9 Plymouth Street</t>
  </si>
  <si>
    <t>T0000041</t>
  </si>
  <si>
    <t>P-170824</t>
  </si>
  <si>
    <t>sch - 35060505</t>
  </si>
  <si>
    <t>Pioneer Charter School of Science</t>
  </si>
  <si>
    <t>51-59 Summer Street</t>
  </si>
  <si>
    <t>01249</t>
  </si>
  <si>
    <t>2020-01-18T11:31:11-05:00</t>
  </si>
  <si>
    <t>ccf - 200415_P-169439</t>
  </si>
  <si>
    <t>Plymouth House Nursery School</t>
  </si>
  <si>
    <t>87 Edgell Road</t>
  </si>
  <si>
    <t>Gunnell</t>
  </si>
  <si>
    <t>508-875-1001</t>
  </si>
  <si>
    <t>phns50@verizon.net</t>
  </si>
  <si>
    <t>87 Edgell Rd.</t>
  </si>
  <si>
    <t>85b4-f945-a31d</t>
  </si>
  <si>
    <t>closed and will reopen in September</t>
  </si>
  <si>
    <t>2021-04-01T10:30:44-05:00</t>
  </si>
  <si>
    <t>ccf - 8032652_P-187007</t>
  </si>
  <si>
    <t>Little Acorns Childrens Ctr.</t>
  </si>
  <si>
    <t>300 Pleasant Street</t>
  </si>
  <si>
    <t>508-470-6330</t>
  </si>
  <si>
    <t>littleacornsllc@gmail.com</t>
  </si>
  <si>
    <t>300 Pleasant St.</t>
  </si>
  <si>
    <t>T0000055</t>
  </si>
  <si>
    <t>P-169659</t>
  </si>
  <si>
    <t>2020-06-08T23:06:22-05:00</t>
  </si>
  <si>
    <t>ccf - 1591675373449</t>
  </si>
  <si>
    <t>Little Stars Child Care</t>
  </si>
  <si>
    <t>98 Bacon Road</t>
  </si>
  <si>
    <t>Katia</t>
  </si>
  <si>
    <t>Costa</t>
  </si>
  <si>
    <t>FCC Provider</t>
  </si>
  <si>
    <t>508-521-7511</t>
  </si>
  <si>
    <t>little.stars@hotmail.com</t>
  </si>
  <si>
    <t xml:space="preserve">98 Bacon Rd </t>
  </si>
  <si>
    <t>Costa, Katia</t>
  </si>
  <si>
    <t>fbd2-d239-a931</t>
  </si>
  <si>
    <t>Rick creating sample plan and bottle order 8/13/20. Need address chng from Tio</t>
  </si>
  <si>
    <t>2020-02-06T14:07:57-05:00</t>
  </si>
  <si>
    <t>ccf - 8031525_P-185570</t>
  </si>
  <si>
    <t>Noahs Ark Christian Child Care</t>
  </si>
  <si>
    <t>79 Prospect Street</t>
  </si>
  <si>
    <t>Deyse</t>
  </si>
  <si>
    <t>Souza</t>
  </si>
  <si>
    <t>Director/Owner</t>
  </si>
  <si>
    <t>774-279-0678</t>
  </si>
  <si>
    <t>Noahsarkchristianchildcare79@gmail.com</t>
  </si>
  <si>
    <t>79 prospect st</t>
  </si>
  <si>
    <t>8031525</t>
  </si>
  <si>
    <t>will prepare sampling package</t>
  </si>
  <si>
    <t>2020-02-04T10:50:40-05:00</t>
  </si>
  <si>
    <t>ccf - 211410_P-170075</t>
  </si>
  <si>
    <t>Temple Beth Shalom Children's Center</t>
  </si>
  <si>
    <t>670 Highland Avenue</t>
  </si>
  <si>
    <t>Needham</t>
  </si>
  <si>
    <t>02494</t>
  </si>
  <si>
    <t>Savita</t>
  </si>
  <si>
    <t>Brewer</t>
  </si>
  <si>
    <t>Learning Programs Administrator</t>
  </si>
  <si>
    <t>781-444-0077</t>
  </si>
  <si>
    <t>sbrewer@tbsneedham.org</t>
  </si>
  <si>
    <t>670 Highland Ave.</t>
  </si>
  <si>
    <t>3578-d9de-4e3d</t>
  </si>
  <si>
    <t>Spoke to Savita Brewer, she will identify sites and send me map. She emailed she can't do this, no help</t>
  </si>
  <si>
    <t>tmcdonald@needhamma.gov</t>
  </si>
  <si>
    <t>P-182544</t>
  </si>
  <si>
    <t>2020-02-06T13:21:53-05:00</t>
  </si>
  <si>
    <t>ccf - 200836_P-169677</t>
  </si>
  <si>
    <t>Reading Baptist Day School</t>
  </si>
  <si>
    <t>45 Woburn Street</t>
  </si>
  <si>
    <t>Marjorie</t>
  </si>
  <si>
    <t>Gibson</t>
  </si>
  <si>
    <t>781-944-3876</t>
  </si>
  <si>
    <t>dayschool@fbcreading.org</t>
  </si>
  <si>
    <t>45 Woburn St.</t>
  </si>
  <si>
    <t>7164-590c-a0de</t>
  </si>
  <si>
    <t>Sampled</t>
  </si>
  <si>
    <t>2021-05-26T14:45:48-05:00</t>
  </si>
  <si>
    <t>ccf - 8031806_P-185844</t>
  </si>
  <si>
    <t>Ijaabo Children's Learning Center, Inc.</t>
  </si>
  <si>
    <t>1424 Tremont  Street #2</t>
  </si>
  <si>
    <t>02120</t>
  </si>
  <si>
    <t>Hodo</t>
  </si>
  <si>
    <t>Hashi</t>
  </si>
  <si>
    <t>617-652-7636</t>
  </si>
  <si>
    <t>hodo_h@yahoo.com</t>
  </si>
  <si>
    <t>1424 Tremont St</t>
  </si>
  <si>
    <t>f408-0bac-8ac0</t>
  </si>
  <si>
    <t>waiting to reopen</t>
  </si>
  <si>
    <t>2020-01-31T09:21:48-05:00</t>
  </si>
  <si>
    <t>ccf - 211581_P-170300</t>
  </si>
  <si>
    <t>Twelfth Baptist Church Christian Preschool</t>
  </si>
  <si>
    <t>160 Warren Street</t>
  </si>
  <si>
    <t>02119</t>
  </si>
  <si>
    <t>Sheila</t>
  </si>
  <si>
    <t>Graham</t>
  </si>
  <si>
    <t>Preschool Director</t>
  </si>
  <si>
    <t>617-427-0273</t>
  </si>
  <si>
    <t>sgraham@tbcboston.org</t>
  </si>
  <si>
    <t>160 Warren St.</t>
  </si>
  <si>
    <t>33f3-d09d-5e70</t>
  </si>
  <si>
    <t>211581</t>
  </si>
  <si>
    <t xml:space="preserve">Sampled </t>
  </si>
  <si>
    <t>P-169889</t>
  </si>
  <si>
    <t>ccf - 1579718750808</t>
  </si>
  <si>
    <t>Pioneer Charter School of Science II (PCSS-II)</t>
  </si>
  <si>
    <t>97 Main Street</t>
  </si>
  <si>
    <t>Saugus</t>
  </si>
  <si>
    <t>01906</t>
  </si>
  <si>
    <t>LDeDomenico@saugus-ma.gov</t>
  </si>
  <si>
    <t>2021-07-19T10:34:38-05:00</t>
  </si>
  <si>
    <t>ccf - 1626708661159</t>
  </si>
  <si>
    <t>Loving Family Day Care</t>
  </si>
  <si>
    <t xml:space="preserve">377 Upper County Road </t>
  </si>
  <si>
    <t>South Dennis</t>
  </si>
  <si>
    <t>02660</t>
  </si>
  <si>
    <t>Jamie</t>
  </si>
  <si>
    <t>Santos</t>
  </si>
  <si>
    <t>FCC provider</t>
  </si>
  <si>
    <t>508-737-9636</t>
  </si>
  <si>
    <t>lovingfamilydaycare@gmail.com</t>
  </si>
  <si>
    <t>Kaire</t>
  </si>
  <si>
    <t>dlarkowski@denniswater.org</t>
  </si>
  <si>
    <t>kkeller@town.dennis.ma.us</t>
  </si>
  <si>
    <t>RL</t>
  </si>
  <si>
    <t>P-185036</t>
  </si>
  <si>
    <t>2020-01-27T12:47:42-05:00</t>
  </si>
  <si>
    <t>ccf - 8031914_P-185853</t>
  </si>
  <si>
    <t>Sunshine South</t>
  </si>
  <si>
    <t>2265 Providence Highway</t>
  </si>
  <si>
    <t>Walpole</t>
  </si>
  <si>
    <t>owner/president</t>
  </si>
  <si>
    <t>Rick spoke with Jennifer 3/23/20; left msg 7/20.</t>
  </si>
  <si>
    <t>2020-01-27T12:49:32-05:00</t>
  </si>
  <si>
    <t>ccf - 8030511_P-184755</t>
  </si>
  <si>
    <t>Sunshine on the Common</t>
  </si>
  <si>
    <t>30 Common Street</t>
  </si>
  <si>
    <t>30 Common St.</t>
  </si>
  <si>
    <t>2021-04-05T16:56:55-05:00</t>
  </si>
  <si>
    <t>ccf - 200469_P-169449</t>
  </si>
  <si>
    <t>Watertown Cooperative Nursery School</t>
  </si>
  <si>
    <t>124 Watertown Street</t>
  </si>
  <si>
    <t>Suite 1E</t>
  </si>
  <si>
    <t>Abby</t>
  </si>
  <si>
    <t>Cohen</t>
  </si>
  <si>
    <t>617-216-3540</t>
  </si>
  <si>
    <t>Abby.Cohen@verizon.net</t>
  </si>
  <si>
    <t>124 Watertown Street Suite 1E</t>
  </si>
  <si>
    <t>Sites received 4/28</t>
  </si>
  <si>
    <t>2021-08-11T15:00:27-05:00</t>
  </si>
  <si>
    <t>ccf - 1628711881916</t>
  </si>
  <si>
    <t>Constance Mahan Daycare</t>
  </si>
  <si>
    <t>23 Maple Lane</t>
  </si>
  <si>
    <t>Barre</t>
  </si>
  <si>
    <t>01005</t>
  </si>
  <si>
    <t xml:space="preserve">Constance </t>
  </si>
  <si>
    <t>Mahan</t>
  </si>
  <si>
    <t>774-420-9169</t>
  </si>
  <si>
    <t xml:space="preserve">confusedandstressed80@gmail.com </t>
  </si>
  <si>
    <t>0710-8140-24dd</t>
  </si>
  <si>
    <t>T0000083</t>
  </si>
  <si>
    <t>Just out of hospital, needs more time.</t>
  </si>
  <si>
    <t>dpw@townofbarre.com</t>
  </si>
  <si>
    <t>boardofhealth@townofbarre.com</t>
  </si>
  <si>
    <t>P-187744</t>
  </si>
  <si>
    <t>2020-01-31T15:56:37-05:00</t>
  </si>
  <si>
    <t>ccf - 201671_P-169988</t>
  </si>
  <si>
    <t>VOC - Cabot Manor Child Care</t>
  </si>
  <si>
    <t>106 Stonina Drive</t>
  </si>
  <si>
    <t>Oconnor</t>
  </si>
  <si>
    <t>413-552-1559</t>
  </si>
  <si>
    <t>joconnor@valleyopp.com</t>
  </si>
  <si>
    <t>106 Stonina Dr.</t>
  </si>
  <si>
    <t>d6dd-8a9f-5f6f</t>
  </si>
  <si>
    <t>No director, site may be closed/No longer interested</t>
  </si>
  <si>
    <t>2021-04-23T13:43:05-05:00</t>
  </si>
  <si>
    <t>ccf - 290944_P-170889</t>
  </si>
  <si>
    <t>Tot Spot Too</t>
  </si>
  <si>
    <t>52 Lincoln Street # 52-54</t>
  </si>
  <si>
    <t>Maureen</t>
  </si>
  <si>
    <t>Pavolko</t>
  </si>
  <si>
    <t>413-443-4793x221</t>
  </si>
  <si>
    <t>totspot5254@hotmail.com</t>
  </si>
  <si>
    <t>217 Second Street</t>
  </si>
  <si>
    <t>6f0a-e57e-759c</t>
  </si>
  <si>
    <t>LM- need info on who is sampling and when.</t>
  </si>
  <si>
    <t>2021-04-05T14:29:47-05:00</t>
  </si>
  <si>
    <t>ccf - 1617650760568</t>
  </si>
  <si>
    <t>We Believe Child Care</t>
  </si>
  <si>
    <t>377 Stapleton Road</t>
  </si>
  <si>
    <t>Ruiz</t>
  </si>
  <si>
    <t xml:space="preserve">Family childcare provider </t>
  </si>
  <si>
    <t>413-645-2163</t>
  </si>
  <si>
    <t>Jess.ruiz18@yahoo.com</t>
  </si>
  <si>
    <t>Jess Ruiz</t>
  </si>
  <si>
    <t>5380-4e9e-ba94</t>
  </si>
  <si>
    <t>T0000062</t>
  </si>
  <si>
    <t>Stagnation period unobtainable.</t>
  </si>
  <si>
    <t>2021-07-14T13:52:10-05:00</t>
  </si>
  <si>
    <t>ccf - 1626288668198</t>
  </si>
  <si>
    <t>Sunshine Face Academy</t>
  </si>
  <si>
    <t>1200 Bedford Street</t>
  </si>
  <si>
    <t>Angel</t>
  </si>
  <si>
    <t>Simmons</t>
  </si>
  <si>
    <t>857-891-6214</t>
  </si>
  <si>
    <t>contact@sunshinefaceacademy.com</t>
  </si>
  <si>
    <t xml:space="preserve">troyal@abrockwater.com </t>
  </si>
  <si>
    <t>2021-07-22T13:54:06-05:00</t>
  </si>
  <si>
    <t>ccf - 200034_P-169293</t>
  </si>
  <si>
    <t>Rainbow Workshop and Learning Ctr</t>
  </si>
  <si>
    <t>SG</t>
  </si>
  <si>
    <t>213 Slab Bridge Road</t>
  </si>
  <si>
    <t>02702</t>
  </si>
  <si>
    <t>Elizabeth</t>
  </si>
  <si>
    <t xml:space="preserve">Lawton </t>
  </si>
  <si>
    <t>508-763-4970</t>
  </si>
  <si>
    <t>rainbowsherbet922@hotmail.com</t>
  </si>
  <si>
    <t>P-187615</t>
  </si>
  <si>
    <t>2021-03-30T16:07:12-05:00</t>
  </si>
  <si>
    <t>ccf - 201934_P-170129</t>
  </si>
  <si>
    <t>North Shore Nursery</t>
  </si>
  <si>
    <t>204 Greenwood Avenue</t>
  </si>
  <si>
    <t>Beverly</t>
  </si>
  <si>
    <t>01915</t>
  </si>
  <si>
    <t>Jessie</t>
  </si>
  <si>
    <t>Vogel</t>
  </si>
  <si>
    <t>978-922-8450</t>
  </si>
  <si>
    <t>Jvogel@northshorenurseryschool.org</t>
  </si>
  <si>
    <t>204 Greenwood Ave.</t>
  </si>
  <si>
    <t>bburke@beverlyma.gov</t>
  </si>
  <si>
    <t>P-169677</t>
  </si>
  <si>
    <t>2021-05-14T06:14:25-05:00</t>
  </si>
  <si>
    <t>ccf - 1620990533342</t>
  </si>
  <si>
    <t>ABC Grow With Me Playschool</t>
  </si>
  <si>
    <t>676 Cabot Street</t>
  </si>
  <si>
    <t>Susan</t>
  </si>
  <si>
    <t>Marshall</t>
  </si>
  <si>
    <t>978-270-4874</t>
  </si>
  <si>
    <t>susanjmarshall@comcast.net</t>
  </si>
  <si>
    <t>T0000069</t>
  </si>
  <si>
    <t>2020-11-14T05:45:04-05:00</t>
  </si>
  <si>
    <t>ccf - 1605350269629</t>
  </si>
  <si>
    <t>S. S. Village Family Child Care</t>
  </si>
  <si>
    <t>45 Monadnock Street</t>
  </si>
  <si>
    <t xml:space="preserve">Boston </t>
  </si>
  <si>
    <t>Villaroel</t>
  </si>
  <si>
    <t>617-708-4572</t>
  </si>
  <si>
    <t>Villaroel777@gmail.com</t>
  </si>
  <si>
    <t>45 Monadnock St.</t>
  </si>
  <si>
    <t>Villaroel, Sonia</t>
  </si>
  <si>
    <t>email 12/7 will call on 12/8</t>
  </si>
  <si>
    <t>2020-11-14T08:41:03-05:00</t>
  </si>
  <si>
    <t>ccf - 1605361083587</t>
  </si>
  <si>
    <t>Andrea's Neighborhood Day School</t>
  </si>
  <si>
    <t>43 Walnut Street</t>
  </si>
  <si>
    <t>Andrea</t>
  </si>
  <si>
    <t>Enos</t>
  </si>
  <si>
    <t>508-510-4807</t>
  </si>
  <si>
    <t>a_peanut74@hotmail.com</t>
  </si>
  <si>
    <t>43 Walnut St.</t>
  </si>
  <si>
    <t>Enos, Andrea</t>
  </si>
  <si>
    <t>ba82-ad31-ac4d</t>
  </si>
  <si>
    <t>2021-05-05T14:56:30-05:00</t>
  </si>
  <si>
    <t>ccf - 8032487_P-186563</t>
  </si>
  <si>
    <t>Snapdragon Montessori School</t>
  </si>
  <si>
    <t>1190 Cambridge Street</t>
  </si>
  <si>
    <t>Pear</t>
  </si>
  <si>
    <t>301-275-1540</t>
  </si>
  <si>
    <t>snapdragonmontessori@gmail.com</t>
  </si>
  <si>
    <t>1190 Cambridge St</t>
  </si>
  <si>
    <t>T0000068</t>
  </si>
  <si>
    <t>email 5/17</t>
  </si>
  <si>
    <t>P-210877</t>
  </si>
  <si>
    <t>2021-03-30T18:46:48-05:00</t>
  </si>
  <si>
    <t>ccf - 200484_P-169503</t>
  </si>
  <si>
    <t>Garden Cooperative Nursery School</t>
  </si>
  <si>
    <t>24A Farwell Place</t>
  </si>
  <si>
    <t>Tracilee</t>
  </si>
  <si>
    <t>Tracy</t>
  </si>
  <si>
    <t>627-354-4229</t>
  </si>
  <si>
    <t>office@gardennurseryschool.org</t>
  </si>
  <si>
    <t>24A Farwell Pl.</t>
  </si>
  <si>
    <t>P.O. Box 382310</t>
  </si>
  <si>
    <t xml:space="preserve">Cambridge </t>
  </si>
  <si>
    <t>2021-03-30T16:24:22-05:00</t>
  </si>
  <si>
    <t>ccf - 2911792_P-177106</t>
  </si>
  <si>
    <t>Carlisle Kids' House Preschool &amp; School Age Programs</t>
  </si>
  <si>
    <t>142 East Street</t>
  </si>
  <si>
    <t>Carlisle</t>
  </si>
  <si>
    <t>01741</t>
  </si>
  <si>
    <t>Christine</t>
  </si>
  <si>
    <t>Napolitano</t>
  </si>
  <si>
    <t>978-369-5558</t>
  </si>
  <si>
    <t>exec_director@carlislekidshouse.org</t>
  </si>
  <si>
    <t>142 East St.</t>
  </si>
  <si>
    <t>Lfantasia@carlislema.gov</t>
  </si>
  <si>
    <t>P-169404</t>
  </si>
  <si>
    <t>2021-03-31T12:16:52-05:00</t>
  </si>
  <si>
    <t>ccf - 290062_P-170497</t>
  </si>
  <si>
    <t>Best Friends Early Learning Center</t>
  </si>
  <si>
    <t>99 Fourth Street</t>
  </si>
  <si>
    <t>Annie</t>
  </si>
  <si>
    <t>Mosanto</t>
  </si>
  <si>
    <t>617-884-5016</t>
  </si>
  <si>
    <t>amosanto@aelcenter.com</t>
  </si>
  <si>
    <t>P-169520</t>
  </si>
  <si>
    <t>2020-01-29T17:51:00-05:00</t>
  </si>
  <si>
    <t>ccf - 212450_P-170547</t>
  </si>
  <si>
    <t>The Social Sprouts Extended Day Program/Central Square Center</t>
  </si>
  <si>
    <t>68 Central Square</t>
  </si>
  <si>
    <t>Cali</t>
  </si>
  <si>
    <t>Operations Director</t>
  </si>
  <si>
    <t>617-569-3221</t>
  </si>
  <si>
    <t>dcali@ebsoc.org</t>
  </si>
  <si>
    <t>2020-01-24T10:49:28-05:00</t>
  </si>
  <si>
    <t>ccf - 1579880885539</t>
  </si>
  <si>
    <t>Marigold Montessori School</t>
  </si>
  <si>
    <t>26 White Street</t>
  </si>
  <si>
    <t>Malbon</t>
  </si>
  <si>
    <t>Teacher/Leader</t>
  </si>
  <si>
    <t>978-361-0793</t>
  </si>
  <si>
    <t>info@marigoldmontessori.org</t>
  </si>
  <si>
    <t>26 White St.</t>
  </si>
  <si>
    <t>P-170630</t>
  </si>
  <si>
    <t>2020-02-05T08:54:21-05:00</t>
  </si>
  <si>
    <t>ccf - 211267_P-170145</t>
  </si>
  <si>
    <t>New Beginnings Academy</t>
  </si>
  <si>
    <t>20 Central Avenue</t>
  </si>
  <si>
    <t>Hyde Park</t>
  </si>
  <si>
    <t>02136</t>
  </si>
  <si>
    <t>Maura</t>
  </si>
  <si>
    <t>Murray</t>
  </si>
  <si>
    <t>617-364-6767</t>
  </si>
  <si>
    <t>newbeginningsacademypreschool@gmail.com</t>
  </si>
  <si>
    <t>20 Central Ave.</t>
  </si>
  <si>
    <t>P-170889</t>
  </si>
  <si>
    <t>2021-04-06T10:46:44-05:00</t>
  </si>
  <si>
    <t>sch - 00350541</t>
  </si>
  <si>
    <t>Match Community Day School</t>
  </si>
  <si>
    <t>100 Poydras Street</t>
  </si>
  <si>
    <t>Facilities Maintance Assistance</t>
  </si>
  <si>
    <t>617-312-5061</t>
  </si>
  <si>
    <t>John.taylor@matchschool.org</t>
  </si>
  <si>
    <t>215 Forest Hill Street</t>
  </si>
  <si>
    <t>T0000067</t>
  </si>
  <si>
    <t>2020-11-13T14:55:15-05:00</t>
  </si>
  <si>
    <t>ccf - 1605297247410</t>
  </si>
  <si>
    <t>Ana Pino / Miles's Family Child Care</t>
  </si>
  <si>
    <t>29 McGuigan Circle</t>
  </si>
  <si>
    <t>Pino</t>
  </si>
  <si>
    <t>Child care educator</t>
  </si>
  <si>
    <t>978-885-6520</t>
  </si>
  <si>
    <t>mijuta33@hotmail.com</t>
  </si>
  <si>
    <t>Pino, Ana</t>
  </si>
  <si>
    <t>P-186284</t>
  </si>
  <si>
    <t>2021-07-15T13:25:48-05:00</t>
  </si>
  <si>
    <t>ccf - 8030720_P-184803</t>
  </si>
  <si>
    <t>Community Montessori School</t>
  </si>
  <si>
    <t>13 Common Street</t>
  </si>
  <si>
    <t>Natick</t>
  </si>
  <si>
    <t>lucie</t>
  </si>
  <si>
    <t>Varatharasa</t>
  </si>
  <si>
    <t>508-665-9539</t>
  </si>
  <si>
    <t>montessorihouse151@gmail.com</t>
  </si>
  <si>
    <t>151 North Main St</t>
  </si>
  <si>
    <t>ed23-6405-2115</t>
  </si>
  <si>
    <t>email July 27, phone call July 30</t>
  </si>
  <si>
    <t>acomeau@natickma.org</t>
  </si>
  <si>
    <t>jwhite@natickma.org</t>
  </si>
  <si>
    <t>2021-02-19T12:38:50-05:00</t>
  </si>
  <si>
    <t>ccf - 1613755930435</t>
  </si>
  <si>
    <t xml:space="preserve">Miss Kim’s Family Childcare </t>
  </si>
  <si>
    <t>18 Katherine Road</t>
  </si>
  <si>
    <t>Rehoboth</t>
  </si>
  <si>
    <t>Kim</t>
  </si>
  <si>
    <t xml:space="preserve">Ranley </t>
  </si>
  <si>
    <t xml:space="preserve">Provider </t>
  </si>
  <si>
    <t>774-254-1240</t>
  </si>
  <si>
    <t>Kimranley@comcast.net</t>
  </si>
  <si>
    <t>18 Katherine Rd</t>
  </si>
  <si>
    <t>Sites provided 5/12</t>
  </si>
  <si>
    <t>rehobothhealthagent@gmail.com</t>
  </si>
  <si>
    <t>kdrown@town.rehoboth.ma.us</t>
  </si>
  <si>
    <t>2020-02-05T14:50:23-05:00</t>
  </si>
  <si>
    <t>ccf - 201398_P-169908</t>
  </si>
  <si>
    <t>Bigelow Cooperative Day Care Center</t>
  </si>
  <si>
    <t>44 Park Street</t>
  </si>
  <si>
    <t>Dawn</t>
  </si>
  <si>
    <t>Lorino</t>
  </si>
  <si>
    <t>617-623-5400</t>
  </si>
  <si>
    <t>bigelowcoop@gmail.com</t>
  </si>
  <si>
    <t>44 Park St. Rear</t>
  </si>
  <si>
    <t>e-mail requesting site plan, program attachments, follow up by phone wk 6/21 Not interested in the program right now might be interested down the line</t>
  </si>
  <si>
    <t>2020-02-05T08:28:56-05:00</t>
  </si>
  <si>
    <t>sch - 02770020</t>
  </si>
  <si>
    <t>West Street</t>
  </si>
  <si>
    <t>156 West Street</t>
  </si>
  <si>
    <t>Michael</t>
  </si>
  <si>
    <t>Comeau</t>
  </si>
  <si>
    <t xml:space="preserve">Director of Maintenance and Facilities </t>
  </si>
  <si>
    <t>508-764-5434</t>
  </si>
  <si>
    <t>mcomeau@southbridgepublic.org</t>
  </si>
  <si>
    <t>25 Cole Ave.</t>
  </si>
  <si>
    <t>02770020</t>
  </si>
  <si>
    <t>P-177316</t>
  </si>
  <si>
    <t>ccf - 212310_P-170404</t>
  </si>
  <si>
    <t>WCAC Head Start Program-Southbridge</t>
  </si>
  <si>
    <t>25 Cole Avenue</t>
  </si>
  <si>
    <t>sch - 02770010</t>
  </si>
  <si>
    <t>Eastford Road</t>
  </si>
  <si>
    <t>120 Eastford Road</t>
  </si>
  <si>
    <t>02770010</t>
  </si>
  <si>
    <t>sch - 02770005</t>
  </si>
  <si>
    <t>Charlton Street</t>
  </si>
  <si>
    <t>220 Charlton Street</t>
  </si>
  <si>
    <t>02770005</t>
  </si>
  <si>
    <t xml:space="preserve">P-170413 </t>
  </si>
  <si>
    <t>2021-04-05T12:47:57-05:00</t>
  </si>
  <si>
    <t>ccf - 201998_P-170136</t>
  </si>
  <si>
    <t>Lemberg Children's Center</t>
  </si>
  <si>
    <t>457 Old South Street, MS44</t>
  </si>
  <si>
    <t>Waltham</t>
  </si>
  <si>
    <t>02453</t>
  </si>
  <si>
    <t>Karen</t>
  </si>
  <si>
    <t>Eichenlaub</t>
  </si>
  <si>
    <t>Director of Staffing &amp; Professional Development</t>
  </si>
  <si>
    <t>781-736-2200</t>
  </si>
  <si>
    <t>eichen@brandeis.edu</t>
  </si>
  <si>
    <t>457 Old South Street</t>
  </si>
  <si>
    <t>MS044, Brandeis University</t>
  </si>
  <si>
    <t>mfeeley@city.waltham.ma.us</t>
  </si>
  <si>
    <t>2021-04-26T16:02:40-05:00</t>
  </si>
  <si>
    <t>ccf - 8033129_P-187744</t>
  </si>
  <si>
    <t>Discovery Village Child Care Center</t>
  </si>
  <si>
    <t>295 Weston Street</t>
  </si>
  <si>
    <t>781-373-1918</t>
  </si>
  <si>
    <t>laura.dvcc@gmail.com</t>
  </si>
  <si>
    <t>2021-04-05T10:07:45-05:00</t>
  </si>
  <si>
    <t>ccf - 8028506_P-182771</t>
  </si>
  <si>
    <t>Little Blessings Daycare and Preschool</t>
  </si>
  <si>
    <t>1195 Centre Street</t>
  </si>
  <si>
    <t>West Roxbury</t>
  </si>
  <si>
    <t>02132</t>
  </si>
  <si>
    <t>617-327-1800</t>
  </si>
  <si>
    <t>littleblessings.maria@gmail.com</t>
  </si>
  <si>
    <t>Contact email 4/26</t>
  </si>
  <si>
    <t>2021-04-05T10:20:46-05:00</t>
  </si>
  <si>
    <t>ccf - 290348_P-170637</t>
  </si>
  <si>
    <t>YMCA Center for Child Development</t>
  </si>
  <si>
    <t>4 Valente Drive</t>
  </si>
  <si>
    <t>Westborough</t>
  </si>
  <si>
    <t>01581</t>
  </si>
  <si>
    <t>Erin</t>
  </si>
  <si>
    <t>Demand</t>
  </si>
  <si>
    <t>Childcare Director</t>
  </si>
  <si>
    <t>508-948-4425</t>
  </si>
  <si>
    <t>edemand@ymcaofcm.org</t>
  </si>
  <si>
    <t>sbaccari@town.westborough.ma.us</t>
  </si>
  <si>
    <t>P-169687</t>
  </si>
  <si>
    <t>2020-06-09T11:42:29-05:00</t>
  </si>
  <si>
    <t>ccf - 1591720861694</t>
  </si>
  <si>
    <t>Dominga Rodríguez childcare</t>
  </si>
  <si>
    <t xml:space="preserve">20 Suffield Street </t>
  </si>
  <si>
    <t xml:space="preserve">Dominga </t>
  </si>
  <si>
    <t xml:space="preserve">Rodriguez </t>
  </si>
  <si>
    <t>508-963-8149</t>
  </si>
  <si>
    <t>domingarodriguez@outlook.com</t>
  </si>
  <si>
    <t>20 Suffield Street</t>
  </si>
  <si>
    <t>Rodriguez, Dominga</t>
  </si>
  <si>
    <t>b2c0-d48c-cecf</t>
  </si>
  <si>
    <t>T0000047</t>
  </si>
  <si>
    <t>Left Dominga Rodriguez message regarding submission of site plan</t>
  </si>
  <si>
    <t>P-186321</t>
  </si>
  <si>
    <t>2021-09-28T11:05:40-05:00</t>
  </si>
  <si>
    <t>ccf - 1632844998454</t>
  </si>
  <si>
    <t xml:space="preserve">The littles clouds daycare </t>
  </si>
  <si>
    <t>420 Washington Street</t>
  </si>
  <si>
    <t>Apt 02</t>
  </si>
  <si>
    <t xml:space="preserve">Haverhill </t>
  </si>
  <si>
    <t>01832</t>
  </si>
  <si>
    <t>Ramona</t>
  </si>
  <si>
    <t>Cabrera</t>
  </si>
  <si>
    <t xml:space="preserve">Home Daycare Provider </t>
  </si>
  <si>
    <t>978-891-6035</t>
  </si>
  <si>
    <t>massiel1722@icloud.com</t>
  </si>
  <si>
    <t>T0000084</t>
  </si>
  <si>
    <t>Left message</t>
  </si>
  <si>
    <t>2021-09-30T23:09:24-05:00</t>
  </si>
  <si>
    <t>ccf - 1633061211176</t>
  </si>
  <si>
    <t>Luciene Ribeiro</t>
  </si>
  <si>
    <t>65 Sudbury Lane</t>
  </si>
  <si>
    <t xml:space="preserve">Barnstable </t>
  </si>
  <si>
    <t>Luciene</t>
  </si>
  <si>
    <t>Ribeiro</t>
  </si>
  <si>
    <t>508-737-0668</t>
  </si>
  <si>
    <t>Lucyeneto@hotmail.com</t>
  </si>
  <si>
    <t>T0000090</t>
  </si>
  <si>
    <t>2021-09-30T15:33:37-05:00</t>
  </si>
  <si>
    <t>ccf - 1633033942277</t>
  </si>
  <si>
    <t>Sonia T Kelly</t>
  </si>
  <si>
    <t>484 Temple Street</t>
  </si>
  <si>
    <t>Duxbury</t>
  </si>
  <si>
    <t>02332</t>
  </si>
  <si>
    <t>Kelly</t>
  </si>
  <si>
    <t>781-500-9622</t>
  </si>
  <si>
    <t>soniatkelly@yahoo.com</t>
  </si>
  <si>
    <t>2021-09-30T15:37:25-05:00</t>
  </si>
  <si>
    <t>ccf - 1633034099154</t>
  </si>
  <si>
    <t>Tree House Family Daycare</t>
  </si>
  <si>
    <t>32 Wood Drive</t>
  </si>
  <si>
    <t xml:space="preserve">Norwood </t>
  </si>
  <si>
    <t>Ruth</t>
  </si>
  <si>
    <t>Cossio</t>
  </si>
  <si>
    <t>857-243-3225</t>
  </si>
  <si>
    <t>rutycossio@hotmail.com</t>
  </si>
  <si>
    <t xml:space="preserve">32 Wood Drive </t>
  </si>
  <si>
    <t>T0000088</t>
  </si>
  <si>
    <t>2021-09-30T15:48:50-05:00</t>
  </si>
  <si>
    <t>ccf - 1633034841330</t>
  </si>
  <si>
    <t>NorthStar Learning Centers Inc.</t>
  </si>
  <si>
    <t>267 Samuel Barnett Blvd</t>
  </si>
  <si>
    <t>02745</t>
  </si>
  <si>
    <t xml:space="preserve">Jennie </t>
  </si>
  <si>
    <t>Antunes</t>
  </si>
  <si>
    <t>508-985-1915</t>
  </si>
  <si>
    <t>jantunes@northstarlc.org</t>
  </si>
  <si>
    <t>267 Samuel Barnet Blvd</t>
  </si>
  <si>
    <t xml:space="preserve">New Bedford </t>
  </si>
  <si>
    <t>2021-09-30T15:48:58-05:00</t>
  </si>
  <si>
    <t>ccf - 1633034834177</t>
  </si>
  <si>
    <t>Mother Clarac Daycare</t>
  </si>
  <si>
    <t>58 Wren Street</t>
  </si>
  <si>
    <t>Sr Marie-Julie</t>
  </si>
  <si>
    <t>Seguin</t>
  </si>
  <si>
    <t>617-469-5246</t>
  </si>
  <si>
    <t>srmj2@yahoo.ca</t>
  </si>
  <si>
    <t>2021-09-30T15:51:07-05:00</t>
  </si>
  <si>
    <t>ccf - 8033604_P-211254</t>
  </si>
  <si>
    <t>Launch and Learn Educare Center</t>
  </si>
  <si>
    <t>29 Forest Street</t>
  </si>
  <si>
    <t>Sassi</t>
  </si>
  <si>
    <t>617-894-8141</t>
  </si>
  <si>
    <t>anita@launchandlearn.com</t>
  </si>
  <si>
    <t>2021-09-30T15:56:25-05:00</t>
  </si>
  <si>
    <t>ccf - 8031513_P-185793</t>
  </si>
  <si>
    <t>304 Cambridge Road</t>
  </si>
  <si>
    <t>#1</t>
  </si>
  <si>
    <t>304 Cambridge Rd</t>
  </si>
  <si>
    <t>Suite 001</t>
  </si>
  <si>
    <t>2021-09-30T19:40:54-05:00</t>
  </si>
  <si>
    <t>ccf - 8030695_P-184794</t>
  </si>
  <si>
    <t>The Carousel of Learning, Inc.</t>
  </si>
  <si>
    <t>27A East Grove Street</t>
  </si>
  <si>
    <t>Middleboro</t>
  </si>
  <si>
    <t>02346</t>
  </si>
  <si>
    <t xml:space="preserve">Showstack </t>
  </si>
  <si>
    <t xml:space="preserve">Owner/Director </t>
  </si>
  <si>
    <t>508-923-9564</t>
  </si>
  <si>
    <t>thecarouseloflearning@gmail.com</t>
  </si>
  <si>
    <t xml:space="preserve">27 East Grove Street </t>
  </si>
  <si>
    <t xml:space="preserve">Middleboro </t>
  </si>
  <si>
    <t>2021-10-01T05:40:53-05:00</t>
  </si>
  <si>
    <t>ccf - 1633084743277</t>
  </si>
  <si>
    <t>Little Flower Early Learning Center</t>
  </si>
  <si>
    <t>112 Palm Street</t>
  </si>
  <si>
    <t>Paris</t>
  </si>
  <si>
    <t>508-455-0145</t>
  </si>
  <si>
    <t>director@littleflowerelc.org</t>
  </si>
  <si>
    <t>T0000091</t>
  </si>
  <si>
    <t>2021-10-01T07:28:59-05:00</t>
  </si>
  <si>
    <t>ccf - 1633091250969</t>
  </si>
  <si>
    <t>Family Childcare</t>
  </si>
  <si>
    <t>4 New Vista Lane</t>
  </si>
  <si>
    <t>Marita</t>
  </si>
  <si>
    <t>Street</t>
  </si>
  <si>
    <t>508-304-9783</t>
  </si>
  <si>
    <t>maritagstreet@aol.com</t>
  </si>
  <si>
    <t>2021-10-01T08:13:32-05:00</t>
  </si>
  <si>
    <t>ccf - 1633093842398</t>
  </si>
  <si>
    <t>E Z 4 Us Childcare and Preschool</t>
  </si>
  <si>
    <t xml:space="preserve">22A Northampton Street </t>
  </si>
  <si>
    <t>Waldir</t>
  </si>
  <si>
    <t>Cruz</t>
  </si>
  <si>
    <t>508-963-5717</t>
  </si>
  <si>
    <t>Ez4uschildcare@gmail.com</t>
  </si>
  <si>
    <t>22 Northampton Street</t>
  </si>
  <si>
    <t>2021-10-01T09:13:32-05:00</t>
  </si>
  <si>
    <t>ccf - 1633097398053</t>
  </si>
  <si>
    <t>Swann Nest FCC</t>
  </si>
  <si>
    <t>411 Bedford Street</t>
  </si>
  <si>
    <t>Lexington</t>
  </si>
  <si>
    <t>02420</t>
  </si>
  <si>
    <t>Pia</t>
  </si>
  <si>
    <t>Swann</t>
  </si>
  <si>
    <t>781-354-203</t>
  </si>
  <si>
    <t>piaswann@gmail.com</t>
  </si>
  <si>
    <t>2021-10-01T10:12:24-05:00</t>
  </si>
  <si>
    <t>ccf - 1633100348898</t>
  </si>
  <si>
    <t>Susan Cameron</t>
  </si>
  <si>
    <t>3 Lisa Lane</t>
  </si>
  <si>
    <t>978-691-0059</t>
  </si>
  <si>
    <t>scameron087@yahoo.com</t>
  </si>
  <si>
    <t>2021-10-01T10:34:01-05:00</t>
  </si>
  <si>
    <t>ccf - 1633102313433</t>
  </si>
  <si>
    <t>Sunrise Montessori</t>
  </si>
  <si>
    <t>181 N. Main Street</t>
  </si>
  <si>
    <t>01760</t>
  </si>
  <si>
    <t>Lingling</t>
  </si>
  <si>
    <t>Xu</t>
  </si>
  <si>
    <t>671-279-4021</t>
  </si>
  <si>
    <t>lingling.xu@sunrisemontessori.org</t>
  </si>
  <si>
    <t>181 North Main Street</t>
  </si>
  <si>
    <t>T0000093</t>
  </si>
  <si>
    <t>2021-10-01T12:05:55-05:00</t>
  </si>
  <si>
    <t>ccf - 200419_P-169443</t>
  </si>
  <si>
    <t>Metrowest YMCA Early Childhood Center</t>
  </si>
  <si>
    <t>282 Old Connecticut Path</t>
  </si>
  <si>
    <t>Heidi</t>
  </si>
  <si>
    <t>Kaufman</t>
  </si>
  <si>
    <t>Executive Director of Education</t>
  </si>
  <si>
    <t>508-879-4420 x266</t>
  </si>
  <si>
    <t>hkaufman@metrowestymca.org</t>
  </si>
  <si>
    <t>MetroWest YMCA</t>
  </si>
  <si>
    <t>T0000095</t>
  </si>
  <si>
    <t>2021-10-01T12:41:32-05:00</t>
  </si>
  <si>
    <t>ccf - 200706_P-169561</t>
  </si>
  <si>
    <t>The International Child Care Center</t>
  </si>
  <si>
    <t>17 Cedar Street</t>
  </si>
  <si>
    <t>Shannon</t>
  </si>
  <si>
    <t>O'Neil</t>
  </si>
  <si>
    <t>978-372-1221</t>
  </si>
  <si>
    <t>icccdirector@outlook.com</t>
  </si>
  <si>
    <t>2021-10-01T13:35:01-05:00</t>
  </si>
  <si>
    <t>ccf - 2911768_P-177098</t>
  </si>
  <si>
    <t>Capic Head Start</t>
  </si>
  <si>
    <t>67 Crescent Avenue</t>
  </si>
  <si>
    <t>Dianne</t>
  </si>
  <si>
    <t>Curtin</t>
  </si>
  <si>
    <t>Head Start Director</t>
  </si>
  <si>
    <t>617-548-5126</t>
  </si>
  <si>
    <t>DCURTIN@CAPICINC.ORG</t>
  </si>
  <si>
    <t>Capic Head Start Rose</t>
  </si>
  <si>
    <t>30A Rose Street</t>
  </si>
  <si>
    <t>ccf - 212278_P-170532</t>
  </si>
  <si>
    <t>Irene O'Connell Center</t>
  </si>
  <si>
    <t>65 Nahant Avenue</t>
  </si>
  <si>
    <t>68 Crescent Avenue</t>
  </si>
  <si>
    <t>ccf - 211367_P-170160</t>
  </si>
  <si>
    <t xml:space="preserve">Capic Head Start Winthrop </t>
  </si>
  <si>
    <t>45 Pauline Street</t>
  </si>
  <si>
    <t>Winthrop</t>
  </si>
  <si>
    <t>02152</t>
  </si>
  <si>
    <t>69 Crescent Avenue</t>
  </si>
  <si>
    <t>2021-10-04T05:40:18-05:00</t>
  </si>
  <si>
    <t>ccf - 1633343957060</t>
  </si>
  <si>
    <t>Soy Feliz Family Childcare</t>
  </si>
  <si>
    <t>27 Ridgewood Road</t>
  </si>
  <si>
    <t>Milton</t>
  </si>
  <si>
    <t>02186</t>
  </si>
  <si>
    <t>Giuliana</t>
  </si>
  <si>
    <t>Foy</t>
  </si>
  <si>
    <t>617-291-0694</t>
  </si>
  <si>
    <t>Giuliana.soyfeliz@gmail.com</t>
  </si>
  <si>
    <t xml:space="preserve"> 02186</t>
  </si>
  <si>
    <t>T0000096</t>
  </si>
  <si>
    <t>Kate/Rose</t>
  </si>
  <si>
    <t>2021-10-04T09:28:59-05:00</t>
  </si>
  <si>
    <t>ccf - 391029_P-171691</t>
  </si>
  <si>
    <t>Choi's World Tae Kwon Do, Inc.</t>
  </si>
  <si>
    <t>461 Sumner Avenue</t>
  </si>
  <si>
    <t>Micki</t>
  </si>
  <si>
    <t>Choi</t>
  </si>
  <si>
    <t>413-736-1008</t>
  </si>
  <si>
    <t>choitkd@choisworldtkd.com</t>
  </si>
  <si>
    <t>ccf - 3910987_P-177909</t>
  </si>
  <si>
    <t>World Tae Kwon Do Training Center After School Program</t>
  </si>
  <si>
    <t>691 Boston Road</t>
  </si>
  <si>
    <t>01119</t>
  </si>
  <si>
    <t>2021-10-04T09:42:24-05:00</t>
  </si>
  <si>
    <t>sch - 1633358459181</t>
  </si>
  <si>
    <t xml:space="preserve">Dougherty’s Darlings Daycare </t>
  </si>
  <si>
    <t>49 Granite Street</t>
  </si>
  <si>
    <t>Webster</t>
  </si>
  <si>
    <t>01570</t>
  </si>
  <si>
    <t>Nicole</t>
  </si>
  <si>
    <t>Dougherty</t>
  </si>
  <si>
    <t>774-200-3056</t>
  </si>
  <si>
    <t>Doughertysdarlings@gmail.com</t>
  </si>
  <si>
    <t>T0000097</t>
  </si>
  <si>
    <t>2021-10-06T10:22:22-05:00</t>
  </si>
  <si>
    <t>ccf - 1633533590110</t>
  </si>
  <si>
    <t>Tiny Clovers Daycare</t>
  </si>
  <si>
    <t>7 Clover Lane</t>
  </si>
  <si>
    <t>Westport </t>
  </si>
  <si>
    <t>02790</t>
  </si>
  <si>
    <t>Tania</t>
  </si>
  <si>
    <t>Camara</t>
  </si>
  <si>
    <t>Licensed Family Childcare Provider </t>
  </si>
  <si>
    <t>774-644-6405</t>
  </si>
  <si>
    <t>Tinyclovers@yahoo.com</t>
  </si>
  <si>
    <t>7 Clover Lane </t>
  </si>
  <si>
    <t>Westport</t>
  </si>
  <si>
    <t>T0000100</t>
  </si>
  <si>
    <t>2021-10-07T16:03:15-05:00</t>
  </si>
  <si>
    <t>ccf - 8033695_P-211529</t>
  </si>
  <si>
    <t>Suburban Child</t>
  </si>
  <si>
    <t>10 Roxanna Street</t>
  </si>
  <si>
    <t>Charles</t>
  </si>
  <si>
    <t>Hudson</t>
  </si>
  <si>
    <t>Program Director</t>
  </si>
  <si>
    <t>508-879-6544</t>
  </si>
  <si>
    <t>chudson@smoc.org</t>
  </si>
  <si>
    <t>2021-10-07T16:29:56-05:00</t>
  </si>
  <si>
    <t>ccf - 1633642131123</t>
  </si>
  <si>
    <t>Children First Family Child Care</t>
  </si>
  <si>
    <t>44 Townsend Street</t>
  </si>
  <si>
    <t>Marites</t>
  </si>
  <si>
    <t>MacLean</t>
  </si>
  <si>
    <t>Family Child Care Educator</t>
  </si>
  <si>
    <t>978-348-2416</t>
  </si>
  <si>
    <t>mrstess07@gmail.com</t>
  </si>
  <si>
    <t>FIitchburg</t>
  </si>
  <si>
    <t>2021-10-08T11:27:55-05:00</t>
  </si>
  <si>
    <t>ccf - 1633710385395</t>
  </si>
  <si>
    <t>Bubbles of Joy Family Child Care</t>
  </si>
  <si>
    <t>17 Alfred Street</t>
  </si>
  <si>
    <t>Jeiry</t>
  </si>
  <si>
    <t>Santo</t>
  </si>
  <si>
    <t>617-447-6922</t>
  </si>
  <si>
    <t>BUBBLESOFJOYFCC@GMAIL.COM</t>
  </si>
  <si>
    <t>T0000098</t>
  </si>
  <si>
    <t>2021-10-08T12:22:27-05:00</t>
  </si>
  <si>
    <t>ccf - 1633713629254</t>
  </si>
  <si>
    <t>Bukvarenok Daycare and Preschool</t>
  </si>
  <si>
    <t>114 Ames Street</t>
  </si>
  <si>
    <t>Sharon</t>
  </si>
  <si>
    <t>02067</t>
  </si>
  <si>
    <t>Ksenia</t>
  </si>
  <si>
    <t>Yatsenko</t>
  </si>
  <si>
    <t>781-774-9654</t>
  </si>
  <si>
    <t>Ksusha.musatov@gmail.com</t>
  </si>
  <si>
    <t>T0000099</t>
  </si>
  <si>
    <t>2021-10-10T15:13:26-05:00</t>
  </si>
  <si>
    <t>ccf - 1633896649865</t>
  </si>
  <si>
    <t>Happy Ducklings Daycare</t>
  </si>
  <si>
    <t xml:space="preserve">300 Blackstone Street </t>
  </si>
  <si>
    <t xml:space="preserve">Bellingham </t>
  </si>
  <si>
    <t xml:space="preserve">Kathleen </t>
  </si>
  <si>
    <t>Petrie</t>
  </si>
  <si>
    <t xml:space="preserve">Child Care Provider </t>
  </si>
  <si>
    <t>508-335-2755</t>
  </si>
  <si>
    <t>Kherrick2012@yahoo.com</t>
  </si>
  <si>
    <t>2021-10-11T14:22:23-05:00</t>
  </si>
  <si>
    <t>ccf - 1633979844643</t>
  </si>
  <si>
    <t>Brenda's Daycare</t>
  </si>
  <si>
    <t>72 Hamilton Street</t>
  </si>
  <si>
    <t>Neptune</t>
  </si>
  <si>
    <t>617-282-4922</t>
  </si>
  <si>
    <t>brendaneptune3@gmail.com</t>
  </si>
  <si>
    <t>2021-10-13T06:30:18-05:00</t>
  </si>
  <si>
    <t>ccf - 1634124493613</t>
  </si>
  <si>
    <t>Mrs Kias Daycare</t>
  </si>
  <si>
    <t>209 Rocky Meadow Street</t>
  </si>
  <si>
    <t xml:space="preserve">Middleborough </t>
  </si>
  <si>
    <t>Kia</t>
  </si>
  <si>
    <t>Steinman</t>
  </si>
  <si>
    <t>Home Daycare Provider</t>
  </si>
  <si>
    <t>508-692-8349</t>
  </si>
  <si>
    <t>Kiasmia3@aol.com</t>
  </si>
  <si>
    <t xml:space="preserve">209 Rocky Meadow Street </t>
  </si>
  <si>
    <t>2021-10-01T07:49:10-05:00</t>
  </si>
  <si>
    <t>ccf - 8032658_P-187017</t>
  </si>
  <si>
    <t>Athol Area YMCA (Nursery)</t>
  </si>
  <si>
    <t>545 Main Street</t>
  </si>
  <si>
    <t>Dee</t>
  </si>
  <si>
    <t>Bulman</t>
  </si>
  <si>
    <t>Aquatics/Maintance Director</t>
  </si>
  <si>
    <t>978-249-3305</t>
  </si>
  <si>
    <t>dbulman@ymcaathol.org</t>
  </si>
  <si>
    <t>2021-10-01T12:32:53-05:00</t>
  </si>
  <si>
    <t>sch - 04830305</t>
  </si>
  <si>
    <t>Rising Tide Charter Public School</t>
  </si>
  <si>
    <t>SCH</t>
  </si>
  <si>
    <t>59 Armstrong Road</t>
  </si>
  <si>
    <t>Plymouth</t>
  </si>
  <si>
    <t>02360</t>
  </si>
  <si>
    <t>Eric</t>
  </si>
  <si>
    <t>Mello</t>
  </si>
  <si>
    <t>508-747-2620 x 504</t>
  </si>
  <si>
    <t>eric.mello@risingtide.org</t>
  </si>
  <si>
    <t>T0000101</t>
  </si>
  <si>
    <t>2021-10-05T08:17:17-05:00</t>
  </si>
  <si>
    <t>sch - 1633439782810</t>
  </si>
  <si>
    <t>Abby Kelley Foster Charter School District</t>
  </si>
  <si>
    <t>10 New Bond Street</t>
  </si>
  <si>
    <t>Grennon</t>
  </si>
  <si>
    <t>Director of Facilities</t>
  </si>
  <si>
    <t>978-631-9145</t>
  </si>
  <si>
    <t>mgrennon@akfcs.org</t>
  </si>
  <si>
    <t>Abby Kelley Foster Charter Public School</t>
  </si>
  <si>
    <t>2021-10-05T09:39:08-05:00</t>
  </si>
  <si>
    <t>sch - 06500005</t>
  </si>
  <si>
    <t>Dighton Elementary</t>
  </si>
  <si>
    <t>1250 Somerset Avenue</t>
  </si>
  <si>
    <t>Dighton</t>
  </si>
  <si>
    <t>02715</t>
  </si>
  <si>
    <t>Robert</t>
  </si>
  <si>
    <t>Baxter Jr.</t>
  </si>
  <si>
    <t>Acting District Business Administrator</t>
  </si>
  <si>
    <t>508-252-5000 x 139</t>
  </si>
  <si>
    <t>rbaxter@drregional.org</t>
  </si>
  <si>
    <t>2700 Regional Road</t>
  </si>
  <si>
    <t>02764</t>
  </si>
  <si>
    <t>sch - 06500305</t>
  </si>
  <si>
    <t>Dighton Middle School</t>
  </si>
  <si>
    <t>1250R Somerset Avenue</t>
  </si>
  <si>
    <t>DATETIME</t>
  </si>
  <si>
    <t>Facility ID</t>
  </si>
  <si>
    <t>FACILITY_ID</t>
  </si>
  <si>
    <t>FACILITY_NAME</t>
  </si>
  <si>
    <t>sch - 04320530</t>
  </si>
  <si>
    <t>2020-01-15T13:13:31-05:00</t>
  </si>
  <si>
    <t>ccf - 200410_P-169437</t>
  </si>
  <si>
    <t>ccf - T0000040</t>
  </si>
  <si>
    <t>ccf,ccf - 1579636659305</t>
  </si>
  <si>
    <t>sch - T0000042</t>
  </si>
  <si>
    <t>ccf - T0000041</t>
  </si>
  <si>
    <t>Tree House Academy Child Care, Inc</t>
  </si>
  <si>
    <t>ccf - 8031572</t>
  </si>
  <si>
    <t>ccf - 201332_P-169815</t>
  </si>
  <si>
    <t>2020-01-30T07:50:41-05:00</t>
  </si>
  <si>
    <t>ccf - 2911803_P-177112</t>
  </si>
  <si>
    <t>ccf,ccf - 211581_P-170300</t>
  </si>
  <si>
    <t xml:space="preserve">ccf - 212367_P-170413 </t>
  </si>
  <si>
    <t>18 Degrees, Early Education and Care</t>
  </si>
  <si>
    <t>ccf - 2912264</t>
  </si>
  <si>
    <t>2020-02-06T15:05:21-05:00</t>
  </si>
  <si>
    <t>ccf,ccf - 291019_P-170913</t>
  </si>
  <si>
    <t>2020-02-18T16:06:15-05:00</t>
  </si>
  <si>
    <t>sch - 03250810</t>
  </si>
  <si>
    <t>sch - T0000020</t>
  </si>
  <si>
    <t>ccf - 211568</t>
  </si>
  <si>
    <t>Pakachoag Acres Day Care Center</t>
  </si>
  <si>
    <t>ccf - 2911969_P-177244</t>
  </si>
  <si>
    <t>Alphabet Soup Childcare Center</t>
  </si>
  <si>
    <t>ccf - 8029384_P-183541</t>
  </si>
  <si>
    <t>ccf - T0000043</t>
  </si>
  <si>
    <t>2020-05-21T06:36:09-05:00</t>
  </si>
  <si>
    <t>ccf - 1590060917321</t>
  </si>
  <si>
    <t>Pre-K-Kidz Preschool and Childcare Center</t>
  </si>
  <si>
    <t>ccf - 697776</t>
  </si>
  <si>
    <t>ccf - T0000044</t>
  </si>
  <si>
    <t>ccf - 623848</t>
  </si>
  <si>
    <t>ccf - 8029065</t>
  </si>
  <si>
    <t>ccf - T0000045</t>
  </si>
  <si>
    <t xml:space="preserve">Lissette childcare </t>
  </si>
  <si>
    <t>ccf - T0000046</t>
  </si>
  <si>
    <t>ccf,ccf - 1591720143555</t>
  </si>
  <si>
    <t>ccf - T0000047</t>
  </si>
  <si>
    <t>ccf - T0000048</t>
  </si>
  <si>
    <t xml:space="preserve">Happy feet daycare </t>
  </si>
  <si>
    <t>ccf - 8033981</t>
  </si>
  <si>
    <t>ccf - 201082</t>
  </si>
  <si>
    <t>ccf - T0000049</t>
  </si>
  <si>
    <t>ccf - 692835</t>
  </si>
  <si>
    <t>2020-09-28T13:27:55-05:00</t>
  </si>
  <si>
    <t>ccf - 1601317551842</t>
  </si>
  <si>
    <t>Youth Center Inc.</t>
  </si>
  <si>
    <t>ccf - 7027035</t>
  </si>
  <si>
    <t>ANA PINO / MILE'S FAMILY CHILD CARE</t>
  </si>
  <si>
    <t>ccf - 7029333</t>
  </si>
  <si>
    <t>ccf - 697849</t>
  </si>
  <si>
    <t>ccf - 7025189</t>
  </si>
  <si>
    <t>ccf - 7027995</t>
  </si>
  <si>
    <t>2020-11-24T10:05:35-05:00</t>
  </si>
  <si>
    <t>sch - 00240025</t>
  </si>
  <si>
    <t>Jabish Middle School</t>
  </si>
  <si>
    <t>sch - 00240505</t>
  </si>
  <si>
    <t>Belchertown High</t>
  </si>
  <si>
    <t>sch - 00240006</t>
  </si>
  <si>
    <t>Chestnut Hill Community School</t>
  </si>
  <si>
    <t>sch - 00240005</t>
  </si>
  <si>
    <t>Cold Spring</t>
  </si>
  <si>
    <t>sch - 00240018</t>
  </si>
  <si>
    <t>Swift River Elementary</t>
  </si>
  <si>
    <t>ccf - 698728</t>
  </si>
  <si>
    <t>ccf - 8032020</t>
  </si>
  <si>
    <t>ccf - 8030099</t>
  </si>
  <si>
    <t>ccf - 201300</t>
  </si>
  <si>
    <t>ccf - 693457</t>
  </si>
  <si>
    <t>ccf -  212416</t>
  </si>
  <si>
    <t>ccf - 8033759</t>
  </si>
  <si>
    <t>ccf - 200321</t>
  </si>
  <si>
    <t>ccf - 7029321</t>
  </si>
  <si>
    <t>ccf - 7027845</t>
  </si>
  <si>
    <t>ccf - 7025756</t>
  </si>
  <si>
    <t xml:space="preserve">Miss Kim’s family childcare </t>
  </si>
  <si>
    <t> EAP Statistics</t>
  </si>
  <si>
    <t>Total to 2/28/21</t>
  </si>
  <si>
    <t xml:space="preserve"> Feb-21</t>
  </si>
  <si>
    <t>Total to 3/31/21</t>
  </si>
  <si>
    <t>Total to 4/30/21</t>
  </si>
  <si>
    <t xml:space="preserve"> April  2021</t>
  </si>
  <si>
    <t>Number of facilities accepted in the program</t>
  </si>
  <si>
    <t>59*</t>
  </si>
  <si>
    <t>Number of schools accepted in the program</t>
  </si>
  <si>
    <t>Number of ECCFs accepted in the program</t>
  </si>
  <si>
    <t>Number of facilities sampled and results received</t>
  </si>
  <si>
    <t>Number of towns with facilities tested</t>
  </si>
  <si>
    <t> </t>
  </si>
  <si>
    <t>Number of samples analyzed to-date</t>
  </si>
  <si>
    <t>Number of schools results ≤1.4 ppb First Draw</t>
  </si>
  <si>
    <t>Number of school results ≤1.4 ppb Flushed Sample</t>
  </si>
  <si>
    <t>Number of school results 1.5-15.4 ppb First Draw</t>
  </si>
  <si>
    <t>Number of school results 1.5-15.4 ppb Flushed Sample</t>
  </si>
  <si>
    <t>Number of school results ≥ 15.5 First Draw</t>
  </si>
  <si>
    <t>Number of school results ≥ 15.5 pbb Flushed Sample</t>
  </si>
  <si>
    <t>Number of EECFs results ≤1.4 ppb First Draw</t>
  </si>
  <si>
    <t>Number of EECFs results ≤1.4 ppb Flushed Sample</t>
  </si>
  <si>
    <t>Number of EECFs results 1.5-15.4 ppb First Draw</t>
  </si>
  <si>
    <t>Number of EECFs results 1.5-15.4 ppb Flushed Sample</t>
  </si>
  <si>
    <t>Number of EECFs results ≥ 15.5 pbb First Draw</t>
  </si>
  <si>
    <t>Number of EECFs results ≥ 15.5 pbb Flushed Sample</t>
  </si>
  <si>
    <t>* One closed and won't participate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</si>
</sst>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&lt;=9999999]###\-####;\(###\)\ ###\-####"/>
  </numFmts>
  <fonts count="3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11"/>
      <color rgb="FF444444"/>
      <name val="Calibri"/>
      <family val="2"/>
      <charset val="1"/>
    </font>
    <font>
      <sz val="10.5"/>
      <color rgb="FF000000"/>
      <name val="Calibri"/>
      <family val="2"/>
    </font>
    <font>
      <b/>
      <sz val="12"/>
      <color rgb="FF000000"/>
      <name val="Cordia New"/>
      <family val="2"/>
      <charset val="222"/>
    </font>
    <font>
      <sz val="12"/>
      <color rgb="FF000000"/>
      <name val="Cordia New"/>
      <family val="2"/>
      <charset val="222"/>
    </font>
    <font>
      <u/>
      <sz val="12"/>
      <color theme="10"/>
      <name val="Cordia New"/>
      <family val="2"/>
      <charset val="222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DDD9C4"/>
        <bgColor rgb="FF000000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5" fillId="4" borderId="1" xfId="0" applyFont="1" applyFill="1" applyBorder="1"/>
    <xf numFmtId="0" fontId="0" fillId="13" borderId="0" xfId="0" applyFill="1"/>
    <xf numFmtId="0" fontId="0" fillId="14" borderId="0" xfId="0" applyFill="1"/>
    <xf numFmtId="0" fontId="0" fillId="8" borderId="0" xfId="0" applyFill="1"/>
    <xf numFmtId="49" fontId="5" fillId="3" borderId="1" xfId="0" applyNumberFormat="1" applyFont="1" applyFill="1" applyBorder="1"/>
    <xf numFmtId="0" fontId="5" fillId="3" borderId="1" xfId="0" applyFont="1" applyFill="1" applyBorder="1"/>
    <xf numFmtId="0" fontId="0" fillId="2" borderId="0" xfId="0" applyFill="1"/>
    <xf numFmtId="49" fontId="5" fillId="13" borderId="1" xfId="0" applyNumberFormat="1" applyFont="1" applyFill="1" applyBorder="1"/>
    <xf numFmtId="0" fontId="5" fillId="13" borderId="1" xfId="0" applyFont="1" applyFill="1" applyBorder="1"/>
    <xf numFmtId="0" fontId="9" fillId="11" borderId="5" xfId="0" applyFont="1" applyFill="1" applyBorder="1" applyAlignment="1">
      <alignment wrapText="1"/>
    </xf>
    <xf numFmtId="0" fontId="9" fillId="9" borderId="6" xfId="0" applyFont="1" applyFill="1" applyBorder="1" applyAlignment="1">
      <alignment wrapText="1"/>
    </xf>
    <xf numFmtId="0" fontId="9" fillId="10" borderId="7" xfId="0" applyFont="1" applyFill="1" applyBorder="1" applyAlignment="1">
      <alignment wrapText="1"/>
    </xf>
    <xf numFmtId="0" fontId="9" fillId="9" borderId="7" xfId="0" applyFont="1" applyFill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6" borderId="7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  <xf numFmtId="0" fontId="9" fillId="12" borderId="9" xfId="0" applyFont="1" applyFill="1" applyBorder="1" applyAlignment="1">
      <alignment wrapText="1"/>
    </xf>
    <xf numFmtId="0" fontId="9" fillId="12" borderId="7" xfId="0" applyFont="1" applyFill="1" applyBorder="1" applyAlignment="1">
      <alignment wrapText="1"/>
    </xf>
    <xf numFmtId="0" fontId="9" fillId="5" borderId="10" xfId="0" applyFont="1" applyFill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0" fontId="9" fillId="10" borderId="7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wrapText="1"/>
    </xf>
    <xf numFmtId="0" fontId="9" fillId="5" borderId="8" xfId="0" applyFont="1" applyFill="1" applyBorder="1" applyAlignment="1">
      <alignment horizontal="center" wrapText="1"/>
    </xf>
    <xf numFmtId="0" fontId="9" fillId="12" borderId="9" xfId="0" applyFont="1" applyFill="1" applyBorder="1" applyAlignment="1">
      <alignment horizontal="center" wrapText="1"/>
    </xf>
    <xf numFmtId="0" fontId="9" fillId="12" borderId="7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wrapText="1"/>
    </xf>
    <xf numFmtId="0" fontId="9" fillId="16" borderId="9" xfId="0" applyFont="1" applyFill="1" applyBorder="1" applyAlignment="1">
      <alignment horizontal="center" wrapText="1"/>
    </xf>
    <xf numFmtId="0" fontId="9" fillId="16" borderId="7" xfId="0" applyFont="1" applyFill="1" applyBorder="1" applyAlignment="1">
      <alignment wrapText="1"/>
    </xf>
    <xf numFmtId="0" fontId="9" fillId="16" borderId="7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8" fillId="0" borderId="5" xfId="0" applyFont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/>
    </xf>
    <xf numFmtId="1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14" fontId="2" fillId="18" borderId="13" xfId="0" applyNumberFormat="1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/>
    </xf>
    <xf numFmtId="1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vertical="center"/>
    </xf>
    <xf numFmtId="0" fontId="2" fillId="3" borderId="13" xfId="0" applyFont="1" applyFill="1" applyBorder="1" applyAlignment="1">
      <alignment vertical="top"/>
    </xf>
    <xf numFmtId="49" fontId="2" fillId="3" borderId="13" xfId="0" applyNumberFormat="1" applyFont="1" applyFill="1" applyBorder="1" applyAlignment="1">
      <alignment vertical="top"/>
    </xf>
    <xf numFmtId="0" fontId="2" fillId="17" borderId="13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14" fontId="1" fillId="18" borderId="13" xfId="0" applyNumberFormat="1" applyFont="1" applyFill="1" applyBorder="1"/>
    <xf numFmtId="49" fontId="1" fillId="2" borderId="13" xfId="0" applyNumberFormat="1" applyFont="1" applyFill="1" applyBorder="1" applyAlignment="1">
      <alignment vertical="center"/>
    </xf>
    <xf numFmtId="0" fontId="12" fillId="17" borderId="13" xfId="0" applyFont="1" applyFill="1" applyBorder="1" applyAlignment="1">
      <alignment wrapText="1"/>
    </xf>
    <xf numFmtId="0" fontId="11" fillId="2" borderId="13" xfId="0" applyFont="1" applyFill="1" applyBorder="1"/>
    <xf numFmtId="0" fontId="1" fillId="5" borderId="13" xfId="0" applyFont="1" applyFill="1" applyBorder="1"/>
    <xf numFmtId="0" fontId="1" fillId="15" borderId="13" xfId="0" applyFont="1" applyFill="1" applyBorder="1"/>
    <xf numFmtId="49" fontId="1" fillId="15" borderId="13" xfId="0" applyNumberFormat="1" applyFont="1" applyFill="1" applyBorder="1" applyAlignment="1">
      <alignment vertical="center"/>
    </xf>
    <xf numFmtId="14" fontId="1" fillId="7" borderId="13" xfId="0" applyNumberFormat="1" applyFont="1" applyFill="1" applyBorder="1" applyAlignment="1">
      <alignment horizontal="left"/>
    </xf>
    <xf numFmtId="0" fontId="1" fillId="7" borderId="13" xfId="0" applyFont="1" applyFill="1" applyBorder="1"/>
    <xf numFmtId="0" fontId="1" fillId="7" borderId="13" xfId="0" applyFont="1" applyFill="1" applyBorder="1" applyAlignment="1">
      <alignment horizontal="center"/>
    </xf>
    <xf numFmtId="49" fontId="1" fillId="7" borderId="13" xfId="0" applyNumberFormat="1" applyFont="1" applyFill="1" applyBorder="1"/>
    <xf numFmtId="0" fontId="11" fillId="15" borderId="13" xfId="0" applyFont="1" applyFill="1" applyBorder="1"/>
    <xf numFmtId="49" fontId="1" fillId="7" borderId="13" xfId="0" applyNumberFormat="1" applyFont="1" applyFill="1" applyBorder="1" applyAlignment="1">
      <alignment horizontal="center"/>
    </xf>
    <xf numFmtId="49" fontId="2" fillId="7" borderId="13" xfId="0" applyNumberFormat="1" applyFont="1" applyFill="1" applyBorder="1"/>
    <xf numFmtId="49" fontId="1" fillId="7" borderId="13" xfId="0" applyNumberFormat="1" applyFont="1" applyFill="1" applyBorder="1" applyAlignment="1">
      <alignment horizontal="right"/>
    </xf>
    <xf numFmtId="164" fontId="1" fillId="7" borderId="13" xfId="0" applyNumberFormat="1" applyFont="1" applyFill="1" applyBorder="1" applyAlignment="1">
      <alignment horizontal="left"/>
    </xf>
    <xf numFmtId="49" fontId="1" fillId="7" borderId="13" xfId="0" applyNumberFormat="1" applyFont="1" applyFill="1" applyBorder="1" applyAlignment="1">
      <alignment horizontal="left"/>
    </xf>
    <xf numFmtId="1" fontId="1" fillId="7" borderId="13" xfId="0" applyNumberFormat="1" applyFont="1" applyFill="1" applyBorder="1" applyAlignment="1">
      <alignment horizontal="center"/>
    </xf>
    <xf numFmtId="14" fontId="1" fillId="7" borderId="13" xfId="0" applyNumberFormat="1" applyFont="1" applyFill="1" applyBorder="1" applyAlignment="1">
      <alignment horizontal="right"/>
    </xf>
    <xf numFmtId="49" fontId="1" fillId="15" borderId="13" xfId="0" applyNumberFormat="1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wrapText="1"/>
    </xf>
    <xf numFmtId="0" fontId="1" fillId="15" borderId="13" xfId="0" applyFont="1" applyFill="1" applyBorder="1" applyAlignment="1">
      <alignment horizontal="center"/>
    </xf>
    <xf numFmtId="0" fontId="1" fillId="7" borderId="13" xfId="0" quotePrefix="1" applyFont="1" applyFill="1" applyBorder="1" applyAlignment="1">
      <alignment horizontal="right"/>
    </xf>
    <xf numFmtId="164" fontId="1" fillId="7" borderId="13" xfId="0" quotePrefix="1" applyNumberFormat="1" applyFont="1" applyFill="1" applyBorder="1" applyAlignment="1">
      <alignment horizontal="left"/>
    </xf>
    <xf numFmtId="0" fontId="1" fillId="7" borderId="13" xfId="0" applyFont="1" applyFill="1" applyBorder="1" applyAlignment="1">
      <alignment horizontal="left"/>
    </xf>
    <xf numFmtId="14" fontId="1" fillId="15" borderId="13" xfId="0" applyNumberFormat="1" applyFont="1" applyFill="1" applyBorder="1" applyAlignment="1">
      <alignment horizontal="left"/>
    </xf>
    <xf numFmtId="49" fontId="1" fillId="15" borderId="13" xfId="0" applyNumberFormat="1" applyFont="1" applyFill="1" applyBorder="1"/>
    <xf numFmtId="49" fontId="2" fillId="15" borderId="13" xfId="0" applyNumberFormat="1" applyFont="1" applyFill="1" applyBorder="1"/>
    <xf numFmtId="49" fontId="1" fillId="15" borderId="13" xfId="0" applyNumberFormat="1" applyFont="1" applyFill="1" applyBorder="1" applyAlignment="1">
      <alignment horizontal="right"/>
    </xf>
    <xf numFmtId="164" fontId="1" fillId="15" borderId="13" xfId="0" applyNumberFormat="1" applyFont="1" applyFill="1" applyBorder="1" applyAlignment="1">
      <alignment horizontal="left"/>
    </xf>
    <xf numFmtId="14" fontId="1" fillId="15" borderId="13" xfId="0" applyNumberFormat="1" applyFont="1" applyFill="1" applyBorder="1" applyAlignment="1">
      <alignment horizontal="right"/>
    </xf>
    <xf numFmtId="1" fontId="1" fillId="15" borderId="13" xfId="0" applyNumberFormat="1" applyFont="1" applyFill="1" applyBorder="1" applyAlignment="1">
      <alignment horizontal="center"/>
    </xf>
    <xf numFmtId="0" fontId="1" fillId="0" borderId="13" xfId="0" applyFont="1" applyBorder="1"/>
    <xf numFmtId="49" fontId="1" fillId="15" borderId="14" xfId="0" applyNumberFormat="1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/>
    </xf>
    <xf numFmtId="0" fontId="1" fillId="15" borderId="14" xfId="0" applyFont="1" applyFill="1" applyBorder="1"/>
    <xf numFmtId="0" fontId="0" fillId="11" borderId="15" xfId="0" applyFill="1" applyBorder="1" applyAlignment="1">
      <alignment wrapText="1"/>
    </xf>
    <xf numFmtId="0" fontId="0" fillId="11" borderId="15" xfId="0" applyFill="1" applyBorder="1"/>
    <xf numFmtId="0" fontId="0" fillId="0" borderId="15" xfId="0" applyBorder="1" applyAlignment="1">
      <alignment wrapText="1"/>
    </xf>
    <xf numFmtId="0" fontId="0" fillId="0" borderId="15" xfId="0" applyBorder="1"/>
    <xf numFmtId="0" fontId="0" fillId="12" borderId="15" xfId="0" applyFill="1" applyBorder="1"/>
    <xf numFmtId="0" fontId="0" fillId="12" borderId="15" xfId="0" applyFill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0" borderId="18" xfId="0" applyBorder="1"/>
    <xf numFmtId="0" fontId="0" fillId="12" borderId="19" xfId="0" applyFill="1" applyBorder="1"/>
    <xf numFmtId="0" fontId="9" fillId="11" borderId="15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1" fontId="9" fillId="9" borderId="15" xfId="0" applyNumberFormat="1" applyFont="1" applyFill="1" applyBorder="1" applyAlignment="1">
      <alignment horizontal="center" wrapText="1"/>
    </xf>
    <xf numFmtId="0" fontId="9" fillId="16" borderId="15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 wrapText="1"/>
    </xf>
    <xf numFmtId="0" fontId="9" fillId="12" borderId="15" xfId="0" applyFont="1" applyFill="1" applyBorder="1" applyAlignment="1">
      <alignment horizontal="center" wrapText="1"/>
    </xf>
    <xf numFmtId="17" fontId="8" fillId="0" borderId="5" xfId="0" applyNumberFormat="1" applyFont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wrapText="1"/>
    </xf>
    <xf numFmtId="0" fontId="9" fillId="9" borderId="17" xfId="0" applyFont="1" applyFill="1" applyBorder="1" applyAlignment="1">
      <alignment horizontal="center" wrapText="1"/>
    </xf>
    <xf numFmtId="0" fontId="9" fillId="10" borderId="17" xfId="0" applyFont="1" applyFill="1" applyBorder="1" applyAlignment="1">
      <alignment horizontal="center" wrapText="1"/>
    </xf>
    <xf numFmtId="0" fontId="9" fillId="16" borderId="16" xfId="0" applyFont="1" applyFill="1" applyBorder="1" applyAlignment="1">
      <alignment horizontal="center" wrapText="1"/>
    </xf>
    <xf numFmtId="0" fontId="9" fillId="6" borderId="17" xfId="0" applyFont="1" applyFill="1" applyBorder="1" applyAlignment="1">
      <alignment horizontal="center" wrapText="1"/>
    </xf>
    <xf numFmtId="0" fontId="9" fillId="16" borderId="17" xfId="0" applyFont="1" applyFill="1" applyBorder="1" applyAlignment="1">
      <alignment horizontal="center" wrapText="1"/>
    </xf>
    <xf numFmtId="0" fontId="9" fillId="5" borderId="17" xfId="0" applyFont="1" applyFill="1" applyBorder="1" applyAlignment="1">
      <alignment horizontal="center" wrapText="1"/>
    </xf>
    <xf numFmtId="0" fontId="9" fillId="12" borderId="16" xfId="0" applyFont="1" applyFill="1" applyBorder="1" applyAlignment="1">
      <alignment horizontal="center" wrapText="1"/>
    </xf>
    <xf numFmtId="0" fontId="9" fillId="12" borderId="1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wrapText="1"/>
    </xf>
    <xf numFmtId="0" fontId="9" fillId="9" borderId="26" xfId="0" applyFont="1" applyFill="1" applyBorder="1" applyAlignment="1">
      <alignment horizontal="center" wrapText="1"/>
    </xf>
    <xf numFmtId="0" fontId="9" fillId="10" borderId="26" xfId="0" applyFont="1" applyFill="1" applyBorder="1" applyAlignment="1">
      <alignment horizontal="center" wrapText="1"/>
    </xf>
    <xf numFmtId="1" fontId="9" fillId="9" borderId="26" xfId="0" applyNumberFormat="1" applyFont="1" applyFill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9" fillId="16" borderId="26" xfId="0" applyFont="1" applyFill="1" applyBorder="1" applyAlignment="1">
      <alignment horizontal="center" wrapText="1"/>
    </xf>
    <xf numFmtId="0" fontId="9" fillId="6" borderId="26" xfId="0" applyFont="1" applyFill="1" applyBorder="1" applyAlignment="1">
      <alignment horizontal="center" wrapText="1"/>
    </xf>
    <xf numFmtId="0" fontId="0" fillId="16" borderId="27" xfId="0" applyFill="1" applyBorder="1" applyAlignment="1">
      <alignment horizontal="center"/>
    </xf>
    <xf numFmtId="0" fontId="9" fillId="5" borderId="26" xfId="0" applyFont="1" applyFill="1" applyBorder="1" applyAlignment="1">
      <alignment horizontal="center" wrapText="1"/>
    </xf>
    <xf numFmtId="0" fontId="9" fillId="12" borderId="26" xfId="0" applyFont="1" applyFill="1" applyBorder="1" applyAlignment="1">
      <alignment horizontal="center" wrapText="1"/>
    </xf>
    <xf numFmtId="0" fontId="0" fillId="12" borderId="27" xfId="0" applyFill="1" applyBorder="1" applyAlignment="1">
      <alignment horizontal="center"/>
    </xf>
    <xf numFmtId="0" fontId="9" fillId="5" borderId="28" xfId="0" applyFont="1" applyFill="1" applyBorder="1" applyAlignment="1">
      <alignment horizontal="center" wrapText="1"/>
    </xf>
    <xf numFmtId="0" fontId="9" fillId="5" borderId="32" xfId="0" applyFont="1" applyFill="1" applyBorder="1" applyAlignment="1">
      <alignment horizontal="center" wrapText="1"/>
    </xf>
    <xf numFmtId="17" fontId="3" fillId="0" borderId="24" xfId="0" applyNumberFormat="1" applyFont="1" applyBorder="1" applyAlignment="1">
      <alignment horizontal="center" vertical="center" wrapText="1"/>
    </xf>
    <xf numFmtId="0" fontId="0" fillId="11" borderId="20" xfId="0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20" xfId="0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0" fillId="0" borderId="31" xfId="0" applyBorder="1"/>
    <xf numFmtId="16" fontId="14" fillId="0" borderId="25" xfId="0" applyNumberFormat="1" applyFont="1" applyBorder="1" applyAlignment="1">
      <alignment horizontal="center" wrapText="1"/>
    </xf>
    <xf numFmtId="0" fontId="0" fillId="11" borderId="26" xfId="0" quotePrefix="1" applyFill="1" applyBorder="1" applyAlignment="1">
      <alignment horizontal="center" wrapText="1"/>
    </xf>
    <xf numFmtId="0" fontId="0" fillId="0" borderId="26" xfId="0" quotePrefix="1" applyBorder="1" applyAlignment="1">
      <alignment horizontal="center" wrapText="1"/>
    </xf>
    <xf numFmtId="1" fontId="0" fillId="0" borderId="26" xfId="0" applyNumberFormat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Border="1" applyAlignment="1">
      <alignment wrapText="1"/>
    </xf>
    <xf numFmtId="0" fontId="0" fillId="0" borderId="32" xfId="0" applyBorder="1"/>
    <xf numFmtId="0" fontId="9" fillId="16" borderId="23" xfId="0" applyFont="1" applyFill="1" applyBorder="1" applyAlignment="1">
      <alignment horizontal="center" wrapText="1"/>
    </xf>
    <xf numFmtId="0" fontId="9" fillId="16" borderId="31" xfId="0" applyFont="1" applyFill="1" applyBorder="1" applyAlignment="1">
      <alignment horizontal="center" wrapText="1"/>
    </xf>
    <xf numFmtId="0" fontId="0" fillId="16" borderId="24" xfId="0" applyFill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9" fillId="0" borderId="35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quotePrefix="1" applyBorder="1" applyAlignment="1">
      <alignment wrapText="1"/>
    </xf>
    <xf numFmtId="0" fontId="9" fillId="12" borderId="33" xfId="0" applyFont="1" applyFill="1" applyBorder="1" applyAlignment="1">
      <alignment horizontal="center" wrapText="1"/>
    </xf>
    <xf numFmtId="0" fontId="9" fillId="12" borderId="19" xfId="0" applyFont="1" applyFill="1" applyBorder="1" applyAlignment="1">
      <alignment horizontal="center" wrapText="1"/>
    </xf>
    <xf numFmtId="0" fontId="0" fillId="12" borderId="21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0" fillId="16" borderId="31" xfId="0" applyFill="1" applyBorder="1" applyAlignment="1">
      <alignment wrapText="1"/>
    </xf>
    <xf numFmtId="0" fontId="0" fillId="16" borderId="31" xfId="0" applyFill="1" applyBorder="1"/>
    <xf numFmtId="0" fontId="0" fillId="16" borderId="26" xfId="0" applyFill="1" applyBorder="1" applyAlignment="1">
      <alignment horizontal="center"/>
    </xf>
    <xf numFmtId="0" fontId="0" fillId="16" borderId="15" xfId="0" applyFill="1" applyBorder="1"/>
    <xf numFmtId="0" fontId="0" fillId="11" borderId="27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1" fillId="15" borderId="13" xfId="0" quotePrefix="1" applyFont="1" applyFill="1" applyBorder="1" applyAlignment="1">
      <alignment horizontal="right"/>
    </xf>
    <xf numFmtId="0" fontId="1" fillId="15" borderId="13" xfId="0" applyFont="1" applyFill="1" applyBorder="1" applyAlignment="1">
      <alignment horizontal="left"/>
    </xf>
    <xf numFmtId="14" fontId="1" fillId="15" borderId="13" xfId="0" applyNumberFormat="1" applyFont="1" applyFill="1" applyBorder="1"/>
    <xf numFmtId="0" fontId="0" fillId="0" borderId="3" xfId="0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0" fillId="0" borderId="37" xfId="0" applyBorder="1"/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10" fillId="3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49" fontId="11" fillId="7" borderId="13" xfId="0" applyNumberFormat="1" applyFont="1" applyFill="1" applyBorder="1"/>
    <xf numFmtId="0" fontId="11" fillId="7" borderId="13" xfId="0" applyFont="1" applyFill="1" applyBorder="1"/>
    <xf numFmtId="49" fontId="11" fillId="15" borderId="13" xfId="0" applyNumberFormat="1" applyFont="1" applyFill="1" applyBorder="1"/>
    <xf numFmtId="165" fontId="2" fillId="3" borderId="13" xfId="0" applyNumberFormat="1" applyFont="1" applyFill="1" applyBorder="1" applyAlignment="1">
      <alignment horizontal="center" vertical="center" wrapText="1"/>
    </xf>
    <xf numFmtId="165" fontId="1" fillId="15" borderId="13" xfId="0" applyNumberFormat="1" applyFont="1" applyFill="1" applyBorder="1" applyAlignment="1">
      <alignment horizontal="left"/>
    </xf>
    <xf numFmtId="165" fontId="1" fillId="7" borderId="13" xfId="0" applyNumberFormat="1" applyFont="1" applyFill="1" applyBorder="1" applyAlignment="1">
      <alignment horizontal="left"/>
    </xf>
    <xf numFmtId="0" fontId="11" fillId="7" borderId="13" xfId="0" applyFont="1" applyFill="1" applyBorder="1" applyAlignment="1">
      <alignment vertical="center" wrapText="1"/>
    </xf>
    <xf numFmtId="0" fontId="11" fillId="15" borderId="0" xfId="0" applyFont="1" applyFill="1"/>
    <xf numFmtId="0" fontId="0" fillId="0" borderId="14" xfId="0" applyBorder="1"/>
    <xf numFmtId="0" fontId="11" fillId="15" borderId="14" xfId="0" applyFont="1" applyFill="1" applyBorder="1" applyAlignment="1">
      <alignment horizontal="center" vertical="center" wrapText="1"/>
    </xf>
    <xf numFmtId="0" fontId="11" fillId="15" borderId="14" xfId="0" applyFont="1" applyFill="1" applyBorder="1" applyAlignment="1">
      <alignment vertical="center" wrapText="1"/>
    </xf>
    <xf numFmtId="0" fontId="1" fillId="17" borderId="0" xfId="0" applyFont="1" applyFill="1" applyAlignment="1">
      <alignment horizontal="left"/>
    </xf>
    <xf numFmtId="0" fontId="12" fillId="17" borderId="0" xfId="0" applyFont="1" applyFill="1" applyAlignment="1">
      <alignment wrapText="1"/>
    </xf>
    <xf numFmtId="0" fontId="1" fillId="15" borderId="0" xfId="0" applyFont="1" applyFill="1" applyAlignment="1">
      <alignment horizontal="left"/>
    </xf>
    <xf numFmtId="0" fontId="13" fillId="11" borderId="1" xfId="0" applyFont="1" applyFill="1" applyBorder="1" applyAlignment="1">
      <alignment wrapText="1"/>
    </xf>
    <xf numFmtId="0" fontId="13" fillId="11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3" fillId="2" borderId="1" xfId="0" applyFont="1" applyFill="1" applyBorder="1"/>
    <xf numFmtId="0" fontId="13" fillId="0" borderId="1" xfId="0" applyFont="1" applyBorder="1"/>
    <xf numFmtId="49" fontId="13" fillId="2" borderId="1" xfId="0" applyNumberFormat="1" applyFont="1" applyFill="1" applyBorder="1" applyAlignment="1">
      <alignment horizontal="left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center" wrapText="1"/>
    </xf>
    <xf numFmtId="0" fontId="15" fillId="2" borderId="1" xfId="1" applyFont="1" applyFill="1" applyBorder="1" applyAlignment="1">
      <alignment horizontal="left"/>
    </xf>
    <xf numFmtId="0" fontId="15" fillId="0" borderId="1" xfId="1" applyFont="1" applyBorder="1" applyAlignment="1"/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14" fontId="13" fillId="5" borderId="1" xfId="0" applyNumberFormat="1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3" fillId="2" borderId="1" xfId="0" quotePrefix="1" applyFont="1" applyFill="1" applyBorder="1" applyAlignment="1">
      <alignment horizontal="center"/>
    </xf>
    <xf numFmtId="0" fontId="14" fillId="0" borderId="0" xfId="0" applyFont="1"/>
    <xf numFmtId="0" fontId="13" fillId="5" borderId="1" xfId="0" applyFont="1" applyFill="1" applyBorder="1" applyAlignment="1">
      <alignment horizontal="center"/>
    </xf>
    <xf numFmtId="14" fontId="13" fillId="18" borderId="1" xfId="0" applyNumberFormat="1" applyFont="1" applyFill="1" applyBorder="1"/>
    <xf numFmtId="49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/>
    <xf numFmtId="165" fontId="13" fillId="2" borderId="1" xfId="0" applyNumberFormat="1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left"/>
    </xf>
    <xf numFmtId="0" fontId="13" fillId="11" borderId="1" xfId="0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right"/>
    </xf>
    <xf numFmtId="1" fontId="13" fillId="2" borderId="1" xfId="0" applyNumberFormat="1" applyFont="1" applyFill="1" applyBorder="1" applyAlignment="1">
      <alignment horizontal="center"/>
    </xf>
    <xf numFmtId="0" fontId="18" fillId="2" borderId="1" xfId="1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vertical="center"/>
    </xf>
    <xf numFmtId="49" fontId="13" fillId="2" borderId="1" xfId="0" applyNumberFormat="1" applyFont="1" applyFill="1" applyBorder="1" applyAlignment="1">
      <alignment horizontal="center"/>
    </xf>
    <xf numFmtId="14" fontId="13" fillId="5" borderId="1" xfId="0" applyNumberFormat="1" applyFont="1" applyFill="1" applyBorder="1" applyAlignment="1">
      <alignment horizontal="right"/>
    </xf>
    <xf numFmtId="1" fontId="13" fillId="5" borderId="1" xfId="0" applyNumberFormat="1" applyFont="1" applyFill="1" applyBorder="1" applyAlignment="1">
      <alignment horizontal="center"/>
    </xf>
    <xf numFmtId="49" fontId="13" fillId="17" borderId="1" xfId="0" applyNumberFormat="1" applyFont="1" applyFill="1" applyBorder="1" applyAlignment="1">
      <alignment horizontal="left"/>
    </xf>
    <xf numFmtId="0" fontId="13" fillId="15" borderId="1" xfId="0" applyFont="1" applyFill="1" applyBorder="1"/>
    <xf numFmtId="49" fontId="13" fillId="11" borderId="1" xfId="0" applyNumberFormat="1" applyFont="1" applyFill="1" applyBorder="1" applyAlignment="1">
      <alignment horizontal="left"/>
    </xf>
    <xf numFmtId="49" fontId="13" fillId="2" borderId="39" xfId="0" applyNumberFormat="1" applyFont="1" applyFill="1" applyBorder="1"/>
    <xf numFmtId="49" fontId="16" fillId="2" borderId="39" xfId="0" applyNumberFormat="1" applyFont="1" applyFill="1" applyBorder="1"/>
    <xf numFmtId="165" fontId="13" fillId="2" borderId="39" xfId="0" applyNumberFormat="1" applyFont="1" applyFill="1" applyBorder="1" applyAlignment="1">
      <alignment horizontal="left"/>
    </xf>
    <xf numFmtId="164" fontId="13" fillId="2" borderId="39" xfId="0" applyNumberFormat="1" applyFont="1" applyFill="1" applyBorder="1" applyAlignment="1">
      <alignment horizontal="left"/>
    </xf>
    <xf numFmtId="49" fontId="13" fillId="5" borderId="1" xfId="0" applyNumberFormat="1" applyFont="1" applyFill="1" applyBorder="1"/>
    <xf numFmtId="0" fontId="13" fillId="2" borderId="38" xfId="0" applyFont="1" applyFill="1" applyBorder="1"/>
    <xf numFmtId="0" fontId="13" fillId="2" borderId="39" xfId="0" applyFont="1" applyFill="1" applyBorder="1"/>
    <xf numFmtId="0" fontId="13" fillId="2" borderId="39" xfId="0" applyFont="1" applyFill="1" applyBorder="1" applyAlignment="1">
      <alignment wrapText="1"/>
    </xf>
    <xf numFmtId="0" fontId="13" fillId="2" borderId="39" xfId="0" applyFont="1" applyFill="1" applyBorder="1" applyAlignment="1">
      <alignment horizontal="center" vertical="center"/>
    </xf>
    <xf numFmtId="0" fontId="13" fillId="2" borderId="39" xfId="0" quotePrefix="1" applyFont="1" applyFill="1" applyBorder="1" applyAlignment="1">
      <alignment horizontal="center"/>
    </xf>
    <xf numFmtId="0" fontId="13" fillId="2" borderId="39" xfId="0" applyFont="1" applyFill="1" applyBorder="1" applyAlignment="1">
      <alignment horizontal="left"/>
    </xf>
    <xf numFmtId="0" fontId="13" fillId="5" borderId="38" xfId="0" applyFont="1" applyFill="1" applyBorder="1"/>
    <xf numFmtId="0" fontId="13" fillId="8" borderId="39" xfId="0" applyFont="1" applyFill="1" applyBorder="1"/>
    <xf numFmtId="0" fontId="13" fillId="5" borderId="39" xfId="0" applyFont="1" applyFill="1" applyBorder="1" applyAlignment="1">
      <alignment wrapText="1"/>
    </xf>
    <xf numFmtId="0" fontId="13" fillId="5" borderId="39" xfId="0" applyFont="1" applyFill="1" applyBorder="1" applyAlignment="1">
      <alignment horizontal="center" vertical="center"/>
    </xf>
    <xf numFmtId="0" fontId="13" fillId="5" borderId="39" xfId="0" applyFont="1" applyFill="1" applyBorder="1"/>
    <xf numFmtId="49" fontId="16" fillId="5" borderId="39" xfId="0" applyNumberFormat="1" applyFont="1" applyFill="1" applyBorder="1"/>
    <xf numFmtId="0" fontId="15" fillId="0" borderId="39" xfId="0" quotePrefix="1" applyFont="1" applyBorder="1" applyAlignment="1">
      <alignment horizontal="center" wrapText="1" readingOrder="1"/>
    </xf>
    <xf numFmtId="0" fontId="15" fillId="0" borderId="39" xfId="0" applyFont="1" applyBorder="1" applyAlignment="1">
      <alignment wrapText="1"/>
    </xf>
    <xf numFmtId="0" fontId="15" fillId="0" borderId="39" xfId="0" applyFont="1" applyBorder="1" applyAlignment="1">
      <alignment horizontal="left" wrapText="1" readingOrder="1"/>
    </xf>
    <xf numFmtId="0" fontId="15" fillId="0" borderId="39" xfId="0" applyFont="1" applyBorder="1" applyAlignment="1">
      <alignment horizontal="left"/>
    </xf>
    <xf numFmtId="164" fontId="13" fillId="5" borderId="39" xfId="0" applyNumberFormat="1" applyFont="1" applyFill="1" applyBorder="1" applyAlignment="1">
      <alignment horizontal="left"/>
    </xf>
    <xf numFmtId="49" fontId="13" fillId="2" borderId="40" xfId="0" applyNumberFormat="1" applyFont="1" applyFill="1" applyBorder="1"/>
    <xf numFmtId="0" fontId="13" fillId="5" borderId="40" xfId="0" applyFont="1" applyFill="1" applyBorder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15" fillId="2" borderId="1" xfId="0" applyFont="1" applyFill="1" applyBorder="1" applyAlignment="1">
      <alignment horizontal="center"/>
    </xf>
    <xf numFmtId="14" fontId="13" fillId="2" borderId="13" xfId="0" applyNumberFormat="1" applyFont="1" applyFill="1" applyBorder="1" applyAlignment="1">
      <alignment horizontal="left"/>
    </xf>
    <xf numFmtId="0" fontId="15" fillId="2" borderId="13" xfId="0" applyFont="1" applyFill="1" applyBorder="1"/>
    <xf numFmtId="0" fontId="13" fillId="2" borderId="13" xfId="0" applyFont="1" applyFill="1" applyBorder="1"/>
    <xf numFmtId="49" fontId="16" fillId="2" borderId="13" xfId="0" applyNumberFormat="1" applyFont="1" applyFill="1" applyBorder="1"/>
    <xf numFmtId="165" fontId="13" fillId="2" borderId="13" xfId="0" applyNumberFormat="1" applyFont="1" applyFill="1" applyBorder="1" applyAlignment="1">
      <alignment horizontal="left"/>
    </xf>
    <xf numFmtId="164" fontId="13" fillId="2" borderId="13" xfId="0" applyNumberFormat="1" applyFont="1" applyFill="1" applyBorder="1" applyAlignment="1">
      <alignment horizontal="left"/>
    </xf>
    <xf numFmtId="14" fontId="13" fillId="18" borderId="13" xfId="0" applyNumberFormat="1" applyFont="1" applyFill="1" applyBorder="1"/>
    <xf numFmtId="0" fontId="13" fillId="2" borderId="13" xfId="0" applyFont="1" applyFill="1" applyBorder="1" applyAlignment="1">
      <alignment horizontal="center"/>
    </xf>
    <xf numFmtId="14" fontId="13" fillId="2" borderId="13" xfId="0" applyNumberFormat="1" applyFont="1" applyFill="1" applyBorder="1" applyAlignment="1">
      <alignment horizontal="right"/>
    </xf>
    <xf numFmtId="1" fontId="13" fillId="2" borderId="13" xfId="0" applyNumberFormat="1" applyFont="1" applyFill="1" applyBorder="1" applyAlignment="1">
      <alignment horizontal="center"/>
    </xf>
    <xf numFmtId="49" fontId="13" fillId="2" borderId="13" xfId="0" applyNumberFormat="1" applyFont="1" applyFill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49" fontId="13" fillId="2" borderId="13" xfId="0" applyNumberFormat="1" applyFont="1" applyFill="1" applyBorder="1" applyAlignment="1">
      <alignment vertical="center"/>
    </xf>
    <xf numFmtId="0" fontId="13" fillId="5" borderId="13" xfId="0" applyFont="1" applyFill="1" applyBorder="1"/>
    <xf numFmtId="49" fontId="13" fillId="2" borderId="13" xfId="0" applyNumberFormat="1" applyFont="1" applyFill="1" applyBorder="1"/>
    <xf numFmtId="0" fontId="13" fillId="0" borderId="13" xfId="0" applyFont="1" applyBorder="1"/>
    <xf numFmtId="49" fontId="13" fillId="2" borderId="13" xfId="0" applyNumberFormat="1" applyFon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left"/>
    </xf>
    <xf numFmtId="49" fontId="13" fillId="11" borderId="13" xfId="0" applyNumberFormat="1" applyFont="1" applyFill="1" applyBorder="1" applyAlignment="1">
      <alignment horizontal="left"/>
    </xf>
    <xf numFmtId="0" fontId="13" fillId="17" borderId="13" xfId="0" applyFont="1" applyFill="1" applyBorder="1"/>
    <xf numFmtId="0" fontId="13" fillId="2" borderId="13" xfId="0" applyFont="1" applyFill="1" applyBorder="1" applyAlignment="1">
      <alignment wrapText="1"/>
    </xf>
    <xf numFmtId="0" fontId="24" fillId="0" borderId="1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4" fontId="16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9" fontId="16" fillId="3" borderId="1" xfId="0" applyNumberFormat="1" applyFon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164" fontId="16" fillId="3" borderId="1" xfId="0" applyNumberFormat="1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14" fontId="16" fillId="18" borderId="1" xfId="0" applyNumberFormat="1" applyFont="1" applyFill="1" applyBorder="1" applyAlignment="1">
      <alignment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top"/>
    </xf>
    <xf numFmtId="49" fontId="16" fillId="3" borderId="1" xfId="0" applyNumberFormat="1" applyFont="1" applyFill="1" applyBorder="1" applyAlignment="1">
      <alignment vertical="top"/>
    </xf>
    <xf numFmtId="0" fontId="16" fillId="17" borderId="1" xfId="0" applyFont="1" applyFill="1" applyBorder="1" applyAlignment="1">
      <alignment horizontal="left" vertical="center" wrapText="1"/>
    </xf>
    <xf numFmtId="0" fontId="15" fillId="2" borderId="1" xfId="0" applyFont="1" applyFill="1" applyBorder="1"/>
    <xf numFmtId="0" fontId="13" fillId="2" borderId="1" xfId="0" applyFont="1" applyFill="1" applyBorder="1" applyAlignment="1">
      <alignment horizontal="left"/>
    </xf>
    <xf numFmtId="164" fontId="13" fillId="2" borderId="1" xfId="0" quotePrefix="1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3" fillId="17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49" fontId="16" fillId="5" borderId="1" xfId="0" applyNumberFormat="1" applyFont="1" applyFill="1" applyBorder="1"/>
    <xf numFmtId="0" fontId="13" fillId="5" borderId="1" xfId="0" quotePrefix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left"/>
    </xf>
    <xf numFmtId="0" fontId="0" fillId="0" borderId="1" xfId="0" applyBorder="1"/>
    <xf numFmtId="164" fontId="13" fillId="5" borderId="1" xfId="0" applyNumberFormat="1" applyFont="1" applyFill="1" applyBorder="1" applyAlignment="1">
      <alignment horizontal="left"/>
    </xf>
    <xf numFmtId="0" fontId="24" fillId="0" borderId="1" xfId="0" applyFont="1" applyBorder="1"/>
    <xf numFmtId="0" fontId="13" fillId="0" borderId="1" xfId="0" applyFont="1" applyBorder="1" applyAlignment="1">
      <alignment horizontal="center" wrapText="1"/>
    </xf>
    <xf numFmtId="49" fontId="13" fillId="11" borderId="1" xfId="0" quotePrefix="1" applyNumberFormat="1" applyFont="1" applyFill="1" applyBorder="1" applyAlignment="1">
      <alignment horizontal="left"/>
    </xf>
    <xf numFmtId="0" fontId="15" fillId="5" borderId="1" xfId="0" applyFont="1" applyFill="1" applyBorder="1"/>
    <xf numFmtId="0" fontId="13" fillId="17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13" fillId="0" borderId="1" xfId="0" quotePrefix="1" applyFont="1" applyBorder="1" applyAlignment="1">
      <alignment horizontal="center"/>
    </xf>
    <xf numFmtId="0" fontId="15" fillId="0" borderId="1" xfId="0" quotePrefix="1" applyFont="1" applyBorder="1"/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left"/>
    </xf>
    <xf numFmtId="0" fontId="24" fillId="2" borderId="1" xfId="0" applyFont="1" applyFill="1" applyBorder="1" applyAlignment="1">
      <alignment horizontal="left" vertical="center"/>
    </xf>
    <xf numFmtId="0" fontId="19" fillId="0" borderId="1" xfId="0" applyFont="1" applyBorder="1"/>
    <xf numFmtId="0" fontId="7" fillId="2" borderId="1" xfId="1" applyFill="1" applyBorder="1" applyAlignment="1">
      <alignment horizontal="left" vertical="center"/>
    </xf>
    <xf numFmtId="0" fontId="7" fillId="2" borderId="1" xfId="1" applyFill="1" applyBorder="1"/>
    <xf numFmtId="14" fontId="15" fillId="2" borderId="1" xfId="0" applyNumberFormat="1" applyFont="1" applyFill="1" applyBorder="1" applyAlignment="1">
      <alignment horizontal="left"/>
    </xf>
    <xf numFmtId="0" fontId="13" fillId="0" borderId="1" xfId="0" applyFont="1" applyBorder="1" applyAlignment="1">
      <alignment readingOrder="1"/>
    </xf>
    <xf numFmtId="0" fontId="15" fillId="0" borderId="1" xfId="0" applyFont="1" applyBorder="1" applyAlignment="1">
      <alignment readingOrder="1"/>
    </xf>
    <xf numFmtId="0" fontId="16" fillId="0" borderId="1" xfId="0" applyFont="1" applyBorder="1" applyAlignment="1">
      <alignment readingOrder="1"/>
    </xf>
    <xf numFmtId="164" fontId="13" fillId="2" borderId="1" xfId="0" quotePrefix="1" applyNumberFormat="1" applyFont="1" applyFill="1" applyBorder="1" applyAlignment="1">
      <alignment horizontal="center"/>
    </xf>
    <xf numFmtId="11" fontId="13" fillId="5" borderId="1" xfId="0" applyNumberFormat="1" applyFont="1" applyFill="1" applyBorder="1"/>
    <xf numFmtId="0" fontId="20" fillId="5" borderId="1" xfId="1" applyFont="1" applyFill="1" applyBorder="1" applyAlignment="1">
      <alignment horizontal="left" vertical="center"/>
    </xf>
    <xf numFmtId="0" fontId="7" fillId="0" borderId="1" xfId="1" applyBorder="1"/>
    <xf numFmtId="0" fontId="13" fillId="11" borderId="1" xfId="0" quotePrefix="1" applyFont="1" applyFill="1" applyBorder="1" applyAlignment="1">
      <alignment horizontal="left"/>
    </xf>
    <xf numFmtId="0" fontId="24" fillId="2" borderId="1" xfId="1" applyFont="1" applyFill="1" applyBorder="1" applyAlignment="1">
      <alignment horizontal="left" vertical="center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wrapText="1" readingOrder="1"/>
    </xf>
    <xf numFmtId="0" fontId="13" fillId="5" borderId="1" xfId="0" quotePrefix="1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14" fontId="13" fillId="8" borderId="1" xfId="0" applyNumberFormat="1" applyFont="1" applyFill="1" applyBorder="1" applyAlignment="1">
      <alignment horizontal="right"/>
    </xf>
    <xf numFmtId="0" fontId="13" fillId="17" borderId="1" xfId="0" applyFont="1" applyFill="1" applyBorder="1"/>
    <xf numFmtId="0" fontId="15" fillId="0" borderId="1" xfId="0" applyFont="1" applyBorder="1" applyAlignment="1">
      <alignment horizontal="center" readingOrder="1"/>
    </xf>
    <xf numFmtId="0" fontId="13" fillId="0" borderId="1" xfId="0" quotePrefix="1" applyFont="1" applyBorder="1" applyAlignment="1">
      <alignment horizontal="center" readingOrder="1"/>
    </xf>
    <xf numFmtId="0" fontId="13" fillId="0" borderId="1" xfId="0" quotePrefix="1" applyFont="1" applyBorder="1" applyAlignment="1">
      <alignment horizontal="left" readingOrder="1"/>
    </xf>
    <xf numFmtId="0" fontId="13" fillId="0" borderId="1" xfId="0" applyFont="1" applyBorder="1" applyAlignment="1">
      <alignment horizontal="center" vertical="center"/>
    </xf>
    <xf numFmtId="0" fontId="16" fillId="2" borderId="1" xfId="0" applyFont="1" applyFill="1" applyBorder="1"/>
    <xf numFmtId="0" fontId="13" fillId="2" borderId="1" xfId="0" quotePrefix="1" applyFont="1" applyFill="1" applyBorder="1" applyAlignment="1">
      <alignment horizontal="left"/>
    </xf>
    <xf numFmtId="14" fontId="13" fillId="2" borderId="1" xfId="0" applyNumberFormat="1" applyFont="1" applyFill="1" applyBorder="1"/>
    <xf numFmtId="14" fontId="13" fillId="18" borderId="1" xfId="0" applyNumberFormat="1" applyFont="1" applyFill="1" applyBorder="1" applyAlignment="1">
      <alignment horizontal="center"/>
    </xf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/>
    </xf>
    <xf numFmtId="49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wrapText="1"/>
    </xf>
    <xf numFmtId="0" fontId="0" fillId="5" borderId="1" xfId="0" applyFill="1" applyBorder="1"/>
    <xf numFmtId="0" fontId="0" fillId="5" borderId="1" xfId="0" quotePrefix="1" applyFill="1" applyBorder="1" applyAlignment="1">
      <alignment horizontal="center" vertical="center"/>
    </xf>
    <xf numFmtId="0" fontId="0" fillId="5" borderId="1" xfId="0" quotePrefix="1" applyFill="1" applyBorder="1"/>
    <xf numFmtId="0" fontId="22" fillId="0" borderId="1" xfId="0" applyFont="1" applyBorder="1"/>
    <xf numFmtId="0" fontId="7" fillId="5" borderId="1" xfId="1" applyFill="1" applyBorder="1" applyAlignment="1">
      <alignment horizontal="left" vertical="center"/>
    </xf>
    <xf numFmtId="0" fontId="25" fillId="0" borderId="1" xfId="1" applyFont="1" applyBorder="1" applyAlignment="1"/>
    <xf numFmtId="0" fontId="15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wrapText="1" readingOrder="1"/>
    </xf>
    <xf numFmtId="0" fontId="13" fillId="0" borderId="1" xfId="0" quotePrefix="1" applyFont="1" applyBorder="1" applyAlignment="1">
      <alignment horizontal="center" wrapText="1" readingOrder="1"/>
    </xf>
    <xf numFmtId="0" fontId="13" fillId="0" borderId="1" xfId="0" applyFont="1" applyBorder="1" applyAlignment="1">
      <alignment wrapText="1" readingOrder="1"/>
    </xf>
    <xf numFmtId="0" fontId="13" fillId="0" borderId="1" xfId="0" applyFont="1" applyBorder="1" applyAlignment="1">
      <alignment horizontal="left" wrapText="1" readingOrder="1"/>
    </xf>
    <xf numFmtId="0" fontId="15" fillId="0" borderId="1" xfId="0" quotePrefix="1" applyFont="1" applyBorder="1" applyAlignment="1">
      <alignment wrapText="1" readingOrder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0" fontId="15" fillId="0" borderId="1" xfId="0" quotePrefix="1" applyFont="1" applyBorder="1" applyAlignment="1">
      <alignment horizontal="center" readingOrder="1"/>
    </xf>
    <xf numFmtId="0" fontId="15" fillId="0" borderId="1" xfId="0" quotePrefix="1" applyFont="1" applyBorder="1" applyAlignment="1">
      <alignment horizontal="center" wrapText="1" readingOrder="1"/>
    </xf>
    <xf numFmtId="0" fontId="15" fillId="0" borderId="1" xfId="0" applyFont="1" applyBorder="1" applyAlignment="1">
      <alignment horizontal="left" wrapText="1" readingOrder="1"/>
    </xf>
    <xf numFmtId="0" fontId="13" fillId="0" borderId="1" xfId="0" quotePrefix="1" applyFont="1" applyBorder="1" applyAlignment="1">
      <alignment wrapText="1" readingOrder="1"/>
    </xf>
    <xf numFmtId="0" fontId="15" fillId="6" borderId="1" xfId="0" applyFont="1" applyFill="1" applyBorder="1" applyAlignment="1">
      <alignment horizontal="left" vertical="center"/>
    </xf>
    <xf numFmtId="0" fontId="13" fillId="0" borderId="1" xfId="0" quotePrefix="1" applyFont="1" applyBorder="1"/>
    <xf numFmtId="164" fontId="13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left"/>
    </xf>
    <xf numFmtId="0" fontId="21" fillId="0" borderId="1" xfId="0" applyFont="1" applyBorder="1"/>
    <xf numFmtId="0" fontId="14" fillId="5" borderId="1" xfId="0" applyFont="1" applyFill="1" applyBorder="1"/>
    <xf numFmtId="49" fontId="13" fillId="2" borderId="1" xfId="0" applyNumberFormat="1" applyFont="1" applyFill="1" applyBorder="1" applyAlignment="1">
      <alignment horizontal="left" vertical="center"/>
    </xf>
    <xf numFmtId="49" fontId="16" fillId="2" borderId="1" xfId="0" applyNumberFormat="1" applyFont="1" applyFill="1" applyBorder="1" applyAlignment="1">
      <alignment horizontal="left" vertical="center"/>
    </xf>
    <xf numFmtId="164" fontId="13" fillId="0" borderId="1" xfId="0" quotePrefix="1" applyNumberFormat="1" applyFont="1" applyBorder="1" applyAlignment="1">
      <alignment horizontal="center" wrapText="1" readingOrder="1"/>
    </xf>
    <xf numFmtId="14" fontId="15" fillId="0" borderId="1" xfId="0" applyNumberFormat="1" applyFont="1" applyBorder="1" applyAlignment="1">
      <alignment horizontal="left" readingOrder="1"/>
    </xf>
    <xf numFmtId="0" fontId="13" fillId="6" borderId="1" xfId="0" applyFont="1" applyFill="1" applyBorder="1" applyAlignment="1">
      <alignment horizontal="center"/>
    </xf>
    <xf numFmtId="0" fontId="15" fillId="17" borderId="1" xfId="0" applyFont="1" applyFill="1" applyBorder="1" applyAlignment="1">
      <alignment wrapText="1"/>
    </xf>
    <xf numFmtId="14" fontId="0" fillId="6" borderId="1" xfId="0" applyNumberFormat="1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4" fillId="6" borderId="1" xfId="0" applyFont="1" applyFill="1" applyBorder="1"/>
    <xf numFmtId="0" fontId="0" fillId="6" borderId="1" xfId="0" quotePrefix="1" applyFill="1" applyBorder="1" applyAlignment="1">
      <alignment horizontal="center"/>
    </xf>
    <xf numFmtId="0" fontId="0" fillId="6" borderId="1" xfId="0" quotePrefix="1" applyFill="1" applyBorder="1"/>
    <xf numFmtId="164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readingOrder="1"/>
    </xf>
    <xf numFmtId="0" fontId="13" fillId="0" borderId="1" xfId="0" applyFont="1" applyBorder="1" applyAlignment="1">
      <alignment horizontal="center" readingOrder="1"/>
    </xf>
    <xf numFmtId="164" fontId="13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 wrapText="1" readingOrder="1"/>
    </xf>
    <xf numFmtId="0" fontId="16" fillId="0" borderId="1" xfId="0" applyFont="1" applyBorder="1" applyAlignment="1">
      <alignment horizontal="left" readingOrder="1"/>
    </xf>
    <xf numFmtId="0" fontId="18" fillId="0" borderId="1" xfId="1" applyFont="1" applyBorder="1" applyAlignment="1">
      <alignment horizontal="center"/>
    </xf>
    <xf numFmtId="0" fontId="13" fillId="5" borderId="1" xfId="0" quotePrefix="1" applyFont="1" applyFill="1" applyBorder="1"/>
    <xf numFmtId="0" fontId="21" fillId="5" borderId="1" xfId="0" applyFont="1" applyFill="1" applyBorder="1"/>
    <xf numFmtId="0" fontId="27" fillId="0" borderId="1" xfId="0" applyFont="1" applyBorder="1"/>
    <xf numFmtId="0" fontId="0" fillId="0" borderId="1" xfId="0" quotePrefix="1" applyBorder="1" applyAlignment="1">
      <alignment horizontal="center"/>
    </xf>
    <xf numFmtId="0" fontId="7" fillId="0" borderId="1" xfId="1" applyFill="1" applyBorder="1"/>
    <xf numFmtId="0" fontId="13" fillId="0" borderId="1" xfId="0" applyFont="1" applyBorder="1" applyAlignment="1">
      <alignment horizontal="left" readingOrder="1"/>
    </xf>
    <xf numFmtId="0" fontId="13" fillId="5" borderId="1" xfId="0" applyFont="1" applyFill="1" applyBorder="1" applyAlignment="1">
      <alignment horizontal="center" wrapText="1"/>
    </xf>
    <xf numFmtId="164" fontId="13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wrapText="1" readingOrder="1"/>
    </xf>
    <xf numFmtId="0" fontId="13" fillId="0" borderId="1" xfId="0" quotePrefix="1" applyFont="1" applyBorder="1" applyAlignment="1">
      <alignment horizontal="left" wrapText="1" readingOrder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left" readingOrder="1"/>
    </xf>
    <xf numFmtId="0" fontId="13" fillId="0" borderId="1" xfId="0" applyFont="1" applyBorder="1" applyAlignment="1">
      <alignment horizontal="center" wrapText="1" readingOrder="1"/>
    </xf>
    <xf numFmtId="0" fontId="26" fillId="5" borderId="1" xfId="0" applyFont="1" applyFill="1" applyBorder="1"/>
    <xf numFmtId="0" fontId="9" fillId="22" borderId="1" xfId="0" applyFont="1" applyFill="1" applyBorder="1"/>
    <xf numFmtId="0" fontId="15" fillId="5" borderId="1" xfId="0" applyFont="1" applyFill="1" applyBorder="1" applyAlignment="1">
      <alignment horizontal="left" wrapText="1" readingOrder="1"/>
    </xf>
    <xf numFmtId="0" fontId="13" fillId="5" borderId="1" xfId="0" applyFont="1" applyFill="1" applyBorder="1" applyAlignment="1">
      <alignment readingOrder="1"/>
    </xf>
    <xf numFmtId="0" fontId="13" fillId="5" borderId="1" xfId="0" applyFont="1" applyFill="1" applyBorder="1" applyAlignment="1">
      <alignment horizontal="left" vertical="center" readingOrder="1"/>
    </xf>
    <xf numFmtId="0" fontId="15" fillId="5" borderId="1" xfId="0" applyFont="1" applyFill="1" applyBorder="1" applyAlignment="1">
      <alignment horizontal="center" vertical="center" wrapText="1" readingOrder="1"/>
    </xf>
    <xf numFmtId="0" fontId="15" fillId="5" borderId="1" xfId="0" applyFont="1" applyFill="1" applyBorder="1" applyAlignment="1">
      <alignment wrapText="1" readingOrder="1"/>
    </xf>
    <xf numFmtId="0" fontId="16" fillId="5" borderId="1" xfId="0" applyFont="1" applyFill="1" applyBorder="1" applyAlignment="1">
      <alignment wrapText="1" readingOrder="1"/>
    </xf>
    <xf numFmtId="0" fontId="13" fillId="5" borderId="1" xfId="0" quotePrefix="1" applyFont="1" applyFill="1" applyBorder="1" applyAlignment="1">
      <alignment horizontal="center" wrapText="1" readingOrder="1"/>
    </xf>
    <xf numFmtId="0" fontId="13" fillId="5" borderId="1" xfId="0" applyFont="1" applyFill="1" applyBorder="1" applyAlignment="1">
      <alignment wrapText="1" readingOrder="1"/>
    </xf>
    <xf numFmtId="0" fontId="15" fillId="5" borderId="1" xfId="0" quotePrefix="1" applyFont="1" applyFill="1" applyBorder="1" applyAlignment="1">
      <alignment wrapText="1" readingOrder="1"/>
    </xf>
    <xf numFmtId="0" fontId="25" fillId="5" borderId="1" xfId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readingOrder="1"/>
    </xf>
    <xf numFmtId="0" fontId="13" fillId="5" borderId="1" xfId="0" quotePrefix="1" applyFont="1" applyFill="1" applyBorder="1" applyAlignment="1">
      <alignment wrapText="1" readingOrder="1"/>
    </xf>
    <xf numFmtId="0" fontId="14" fillId="0" borderId="1" xfId="0" applyFont="1" applyBorder="1"/>
    <xf numFmtId="0" fontId="0" fillId="0" borderId="1" xfId="0" quotePrefix="1" applyBorder="1"/>
    <xf numFmtId="0" fontId="24" fillId="5" borderId="1" xfId="0" applyFont="1" applyFill="1" applyBorder="1" applyAlignment="1">
      <alignment horizontal="left" vertical="center"/>
    </xf>
    <xf numFmtId="0" fontId="13" fillId="4" borderId="1" xfId="0" applyFont="1" applyFill="1" applyBorder="1"/>
    <xf numFmtId="0" fontId="30" fillId="5" borderId="1" xfId="0" applyFont="1" applyFill="1" applyBorder="1" applyAlignment="1">
      <alignment readingOrder="1"/>
    </xf>
    <xf numFmtId="14" fontId="13" fillId="4" borderId="1" xfId="0" applyNumberFormat="1" applyFont="1" applyFill="1" applyBorder="1" applyAlignment="1">
      <alignment horizontal="left"/>
    </xf>
    <xf numFmtId="49" fontId="16" fillId="0" borderId="1" xfId="0" applyNumberFormat="1" applyFont="1" applyBorder="1"/>
    <xf numFmtId="0" fontId="13" fillId="4" borderId="1" xfId="0" applyFont="1" applyFill="1" applyBorder="1" applyAlignment="1">
      <alignment horizontal="center"/>
    </xf>
    <xf numFmtId="165" fontId="13" fillId="4" borderId="1" xfId="0" applyNumberFormat="1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164" fontId="13" fillId="4" borderId="1" xfId="0" applyNumberFormat="1" applyFont="1" applyFill="1" applyBorder="1" applyAlignment="1">
      <alignment horizontal="left"/>
    </xf>
    <xf numFmtId="0" fontId="7" fillId="6" borderId="1" xfId="1" applyFill="1" applyBorder="1" applyAlignment="1">
      <alignment horizontal="left" vertical="center"/>
    </xf>
    <xf numFmtId="0" fontId="7" fillId="0" borderId="1" xfId="1" applyBorder="1" applyAlignment="1">
      <alignment readingOrder="1"/>
    </xf>
    <xf numFmtId="0" fontId="7" fillId="0" borderId="1" xfId="1" applyBorder="1" applyAlignment="1">
      <alignment horizontal="left" vertical="center"/>
    </xf>
    <xf numFmtId="0" fontId="7" fillId="5" borderId="1" xfId="1" applyFill="1" applyBorder="1" applyAlignment="1">
      <alignment horizontal="left"/>
    </xf>
    <xf numFmtId="0" fontId="7" fillId="5" borderId="1" xfId="1" applyFill="1" applyBorder="1"/>
    <xf numFmtId="0" fontId="0" fillId="5" borderId="1" xfId="0" applyFill="1" applyBorder="1" applyAlignment="1">
      <alignment horizontal="center"/>
    </xf>
    <xf numFmtId="0" fontId="28" fillId="5" borderId="1" xfId="0" applyFont="1" applyFill="1" applyBorder="1" applyAlignment="1">
      <alignment readingOrder="1"/>
    </xf>
    <xf numFmtId="0" fontId="28" fillId="5" borderId="1" xfId="0" quotePrefix="1" applyFont="1" applyFill="1" applyBorder="1" applyAlignment="1">
      <alignment horizontal="center" readingOrder="1"/>
    </xf>
    <xf numFmtId="0" fontId="0" fillId="5" borderId="1" xfId="0" quotePrefix="1" applyFill="1" applyBorder="1" applyAlignment="1">
      <alignment horizontal="center"/>
    </xf>
    <xf numFmtId="0" fontId="28" fillId="5" borderId="1" xfId="0" quotePrefix="1" applyFont="1" applyFill="1" applyBorder="1" applyAlignment="1">
      <alignment readingOrder="1"/>
    </xf>
    <xf numFmtId="16" fontId="28" fillId="5" borderId="1" xfId="0" quotePrefix="1" applyNumberFormat="1" applyFont="1" applyFill="1" applyBorder="1" applyAlignment="1">
      <alignment readingOrder="1"/>
    </xf>
    <xf numFmtId="0" fontId="7" fillId="5" borderId="1" xfId="1" applyFill="1" applyBorder="1" applyAlignment="1"/>
    <xf numFmtId="0" fontId="29" fillId="5" borderId="1" xfId="0" applyFont="1" applyFill="1" applyBorder="1"/>
    <xf numFmtId="0" fontId="13" fillId="5" borderId="1" xfId="0" applyFont="1" applyFill="1" applyBorder="1" applyAlignment="1">
      <alignment wrapText="1"/>
    </xf>
    <xf numFmtId="0" fontId="16" fillId="18" borderId="1" xfId="0" applyFont="1" applyFill="1" applyBorder="1" applyAlignment="1">
      <alignment horizontal="center" vertical="center" wrapText="1"/>
    </xf>
    <xf numFmtId="14" fontId="13" fillId="5" borderId="1" xfId="0" applyNumberFormat="1" applyFont="1" applyFill="1" applyBorder="1"/>
    <xf numFmtId="14" fontId="0" fillId="5" borderId="1" xfId="0" applyNumberFormat="1" applyFill="1" applyBorder="1" applyAlignment="1">
      <alignment horizontal="left"/>
    </xf>
    <xf numFmtId="0" fontId="28" fillId="5" borderId="1" xfId="0" quotePrefix="1" applyFont="1" applyFill="1" applyBorder="1" applyAlignment="1">
      <alignment horizontal="left" readingOrder="1"/>
    </xf>
    <xf numFmtId="0" fontId="15" fillId="6" borderId="1" xfId="0" applyFont="1" applyFill="1" applyBorder="1"/>
    <xf numFmtId="0" fontId="16" fillId="5" borderId="1" xfId="0" applyFont="1" applyFill="1" applyBorder="1"/>
    <xf numFmtId="0" fontId="16" fillId="2" borderId="1" xfId="0" applyFont="1" applyFill="1" applyBorder="1" applyAlignment="1">
      <alignment horizontal="left"/>
    </xf>
    <xf numFmtId="0" fontId="17" fillId="0" borderId="1" xfId="0" applyFont="1" applyBorder="1" applyAlignment="1">
      <alignment readingOrder="1"/>
    </xf>
    <xf numFmtId="0" fontId="16" fillId="5" borderId="1" xfId="0" applyFont="1" applyFill="1" applyBorder="1" applyAlignment="1">
      <alignment horizontal="left" vertical="center" readingOrder="1"/>
    </xf>
    <xf numFmtId="0" fontId="17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vertical="center" readingOrder="1"/>
    </xf>
    <xf numFmtId="0" fontId="15" fillId="8" borderId="1" xfId="0" applyFont="1" applyFill="1" applyBorder="1"/>
    <xf numFmtId="0" fontId="15" fillId="11" borderId="1" xfId="0" applyFont="1" applyFill="1" applyBorder="1" applyAlignment="1">
      <alignment horizontal="left"/>
    </xf>
    <xf numFmtId="0" fontId="15" fillId="21" borderId="1" xfId="0" applyFont="1" applyFill="1" applyBorder="1" applyAlignment="1">
      <alignment horizontal="left"/>
    </xf>
    <xf numFmtId="0" fontId="26" fillId="0" borderId="1" xfId="0" applyFont="1" applyBorder="1"/>
    <xf numFmtId="0" fontId="26" fillId="6" borderId="1" xfId="0" applyFont="1" applyFill="1" applyBorder="1"/>
    <xf numFmtId="0" fontId="31" fillId="5" borderId="1" xfId="0" applyFont="1" applyFill="1" applyBorder="1" applyAlignment="1">
      <alignment readingOrder="1"/>
    </xf>
    <xf numFmtId="14" fontId="13" fillId="0" borderId="41" xfId="0" applyNumberFormat="1" applyFont="1" applyBorder="1" applyAlignment="1">
      <alignment horizontal="left"/>
    </xf>
    <xf numFmtId="0" fontId="15" fillId="0" borderId="41" xfId="0" applyFont="1" applyBorder="1"/>
    <xf numFmtId="0" fontId="13" fillId="0" borderId="41" xfId="0" applyFont="1" applyBorder="1"/>
    <xf numFmtId="0" fontId="13" fillId="5" borderId="41" xfId="0" applyFont="1" applyFill="1" applyBorder="1"/>
    <xf numFmtId="0" fontId="15" fillId="5" borderId="41" xfId="0" applyFont="1" applyFill="1" applyBorder="1"/>
    <xf numFmtId="0" fontId="13" fillId="11" borderId="41" xfId="0" applyFont="1" applyFill="1" applyBorder="1" applyAlignment="1">
      <alignment horizontal="left"/>
    </xf>
    <xf numFmtId="0" fontId="13" fillId="0" borderId="41" xfId="0" applyFont="1" applyBorder="1" applyAlignment="1">
      <alignment horizontal="center"/>
    </xf>
    <xf numFmtId="14" fontId="13" fillId="0" borderId="41" xfId="0" applyNumberFormat="1" applyFont="1" applyBorder="1" applyAlignment="1">
      <alignment horizontal="right"/>
    </xf>
    <xf numFmtId="1" fontId="13" fillId="0" borderId="41" xfId="0" applyNumberFormat="1" applyFont="1" applyBorder="1" applyAlignment="1">
      <alignment horizontal="center"/>
    </xf>
    <xf numFmtId="0" fontId="13" fillId="2" borderId="41" xfId="0" applyFont="1" applyFill="1" applyBorder="1"/>
    <xf numFmtId="49" fontId="13" fillId="2" borderId="41" xfId="0" applyNumberFormat="1" applyFont="1" applyFill="1" applyBorder="1"/>
    <xf numFmtId="0" fontId="13" fillId="17" borderId="41" xfId="0" applyFont="1" applyFill="1" applyBorder="1" applyAlignment="1">
      <alignment horizontal="left"/>
    </xf>
    <xf numFmtId="14" fontId="13" fillId="5" borderId="42" xfId="0" applyNumberFormat="1" applyFont="1" applyFill="1" applyBorder="1" applyAlignment="1">
      <alignment horizontal="left"/>
    </xf>
    <xf numFmtId="0" fontId="15" fillId="5" borderId="42" xfId="0" applyFont="1" applyFill="1" applyBorder="1"/>
    <xf numFmtId="0" fontId="13" fillId="5" borderId="42" xfId="0" applyFont="1" applyFill="1" applyBorder="1"/>
    <xf numFmtId="0" fontId="13" fillId="5" borderId="42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left"/>
    </xf>
    <xf numFmtId="14" fontId="13" fillId="5" borderId="42" xfId="0" applyNumberFormat="1" applyFont="1" applyFill="1" applyBorder="1"/>
    <xf numFmtId="14" fontId="13" fillId="5" borderId="42" xfId="0" applyNumberFormat="1" applyFont="1" applyFill="1" applyBorder="1" applyAlignment="1">
      <alignment horizontal="right"/>
    </xf>
    <xf numFmtId="1" fontId="13" fillId="5" borderId="42" xfId="0" applyNumberFormat="1" applyFont="1" applyFill="1" applyBorder="1" applyAlignment="1">
      <alignment horizontal="center"/>
    </xf>
    <xf numFmtId="0" fontId="15" fillId="5" borderId="42" xfId="0" applyFont="1" applyFill="1" applyBorder="1" applyAlignment="1">
      <alignment horizontal="left" vertical="center"/>
    </xf>
    <xf numFmtId="0" fontId="24" fillId="5" borderId="42" xfId="0" applyFont="1" applyFill="1" applyBorder="1" applyAlignment="1">
      <alignment horizontal="left" vertical="center"/>
    </xf>
    <xf numFmtId="49" fontId="13" fillId="5" borderId="42" xfId="0" applyNumberFormat="1" applyFont="1" applyFill="1" applyBorder="1"/>
    <xf numFmtId="0" fontId="0" fillId="0" borderId="15" xfId="0" applyBorder="1" applyAlignment="1">
      <alignment readingOrder="1"/>
    </xf>
    <xf numFmtId="0" fontId="7" fillId="0" borderId="15" xfId="1" applyBorder="1" applyAlignment="1">
      <alignment readingOrder="1"/>
    </xf>
    <xf numFmtId="14" fontId="0" fillId="0" borderId="15" xfId="0" applyNumberFormat="1" applyBorder="1" applyAlignment="1">
      <alignment readingOrder="1"/>
    </xf>
    <xf numFmtId="0" fontId="14" fillId="0" borderId="15" xfId="0" applyFont="1" applyBorder="1" applyAlignment="1">
      <alignment readingOrder="1"/>
    </xf>
    <xf numFmtId="0" fontId="13" fillId="0" borderId="15" xfId="0" applyFont="1" applyBorder="1" applyAlignment="1">
      <alignment horizontal="center"/>
    </xf>
    <xf numFmtId="0" fontId="0" fillId="0" borderId="15" xfId="0" quotePrefix="1" applyBorder="1" applyAlignment="1">
      <alignment readingOrder="1"/>
    </xf>
    <xf numFmtId="0" fontId="0" fillId="11" borderId="15" xfId="0" applyFill="1" applyBorder="1" applyAlignment="1">
      <alignment horizontal="left"/>
    </xf>
    <xf numFmtId="0" fontId="26" fillId="0" borderId="15" xfId="0" quotePrefix="1" applyFont="1" applyBorder="1" applyAlignment="1">
      <alignment horizontal="center" readingOrder="1"/>
    </xf>
    <xf numFmtId="49" fontId="7" fillId="2" borderId="1" xfId="1" applyNumberFormat="1" applyFill="1" applyBorder="1" applyAlignment="1">
      <alignment horizontal="left"/>
    </xf>
    <xf numFmtId="14" fontId="0" fillId="5" borderId="41" xfId="0" applyNumberFormat="1" applyFill="1" applyBorder="1" applyAlignment="1">
      <alignment horizontal="left"/>
    </xf>
    <xf numFmtId="0" fontId="0" fillId="5" borderId="41" xfId="0" applyFill="1" applyBorder="1"/>
    <xf numFmtId="0" fontId="14" fillId="5" borderId="41" xfId="0" applyFont="1" applyFill="1" applyBorder="1"/>
    <xf numFmtId="0" fontId="0" fillId="5" borderId="41" xfId="0" applyFill="1" applyBorder="1" applyAlignment="1">
      <alignment horizontal="center"/>
    </xf>
    <xf numFmtId="0" fontId="0" fillId="5" borderId="41" xfId="0" quotePrefix="1" applyFill="1" applyBorder="1" applyAlignment="1">
      <alignment horizontal="center"/>
    </xf>
    <xf numFmtId="0" fontId="26" fillId="5" borderId="41" xfId="0" applyFont="1" applyFill="1" applyBorder="1"/>
    <xf numFmtId="0" fontId="0" fillId="5" borderId="41" xfId="0" quotePrefix="1" applyFill="1" applyBorder="1"/>
    <xf numFmtId="0" fontId="13" fillId="18" borderId="1" xfId="0" applyFont="1" applyFill="1" applyBorder="1" applyAlignment="1">
      <alignment horizontal="center"/>
    </xf>
    <xf numFmtId="14" fontId="13" fillId="18" borderId="41" xfId="0" applyNumberFormat="1" applyFont="1" applyFill="1" applyBorder="1"/>
    <xf numFmtId="0" fontId="13" fillId="2" borderId="1" xfId="0" applyFont="1" applyFill="1" applyBorder="1" applyAlignment="1">
      <alignment horizontal="left" vertical="center"/>
    </xf>
    <xf numFmtId="0" fontId="15" fillId="2" borderId="41" xfId="0" applyFont="1" applyFill="1" applyBorder="1" applyAlignment="1">
      <alignment horizontal="left" vertical="center"/>
    </xf>
    <xf numFmtId="0" fontId="24" fillId="2" borderId="41" xfId="0" applyFont="1" applyFill="1" applyBorder="1" applyAlignment="1">
      <alignment horizontal="left" vertical="center"/>
    </xf>
    <xf numFmtId="0" fontId="15" fillId="2" borderId="41" xfId="0" applyFont="1" applyFill="1" applyBorder="1"/>
    <xf numFmtId="0" fontId="13" fillId="6" borderId="1" xfId="0" applyFont="1" applyFill="1" applyBorder="1"/>
    <xf numFmtId="0" fontId="7" fillId="6" borderId="1" xfId="1" applyFill="1" applyBorder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fhatte/AppData/Local/Microsoft/Windows/INetCache/Content.Outlook/D1THUAZH/Master%20File%20WIIN%20EAP-GB-8-16-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RRC\Water%20Resources\LCCA\Docs%20MF\Master%20File%20WIIN%20EAP-6-26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ilities"/>
      <sheetName val="Dropdowns"/>
      <sheetName val="Stat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pereira@nurturyboston.org" TargetMode="External"/><Relationship Id="rId2" Type="http://schemas.openxmlformats.org/officeDocument/2006/relationships/hyperlink" Target="mailto:dmillette@wayland.ma.us" TargetMode="External"/><Relationship Id="rId1" Type="http://schemas.openxmlformats.org/officeDocument/2006/relationships/hyperlink" Target="mailto:dmillette@wayland.ma.us" TargetMode="External"/><Relationship Id="rId4" Type="http://schemas.openxmlformats.org/officeDocument/2006/relationships/hyperlink" Target="mailto:sullivanjp@bwsc.or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lizzo@wellesleyma.gov" TargetMode="External"/><Relationship Id="rId18" Type="http://schemas.openxmlformats.org/officeDocument/2006/relationships/hyperlink" Target="mailto:rnieves@bphc.org" TargetMode="External"/><Relationship Id="rId26" Type="http://schemas.openxmlformats.org/officeDocument/2006/relationships/hyperlink" Target="mailto:DCURTIN@CAPICINC.ORG" TargetMode="External"/><Relationship Id="rId39" Type="http://schemas.openxmlformats.org/officeDocument/2006/relationships/hyperlink" Target="mailto:Mary@wildflowermontessorischool.org" TargetMode="External"/><Relationship Id="rId21" Type="http://schemas.openxmlformats.org/officeDocument/2006/relationships/hyperlink" Target="mailto:erin.craft@mass.gov" TargetMode="External"/><Relationship Id="rId34" Type="http://schemas.openxmlformats.org/officeDocument/2006/relationships/hyperlink" Target="mailto:maria@mypiccolo.com" TargetMode="External"/><Relationship Id="rId42" Type="http://schemas.openxmlformats.org/officeDocument/2006/relationships/hyperlink" Target="mailto:2beejo@gmail.com" TargetMode="External"/><Relationship Id="rId47" Type="http://schemas.openxmlformats.org/officeDocument/2006/relationships/hyperlink" Target="mailto:rbaxter@drregional.org" TargetMode="External"/><Relationship Id="rId50" Type="http://schemas.openxmlformats.org/officeDocument/2006/relationships/hyperlink" Target="mailto:rswigor@whitinsvillewater.com" TargetMode="External"/><Relationship Id="rId55" Type="http://schemas.openxmlformats.org/officeDocument/2006/relationships/hyperlink" Target="mailto:emarcus@hevreh.org" TargetMode="External"/><Relationship Id="rId7" Type="http://schemas.openxmlformats.org/officeDocument/2006/relationships/hyperlink" Target="mailto:famaya@chelseama.gov" TargetMode="External"/><Relationship Id="rId12" Type="http://schemas.openxmlformats.org/officeDocument/2006/relationships/hyperlink" Target="mailto:tolson@hamiltonma.gov" TargetMode="External"/><Relationship Id="rId17" Type="http://schemas.openxmlformats.org/officeDocument/2006/relationships/hyperlink" Target="mailto:sullivanjp@bwsc.org" TargetMode="External"/><Relationship Id="rId25" Type="http://schemas.openxmlformats.org/officeDocument/2006/relationships/hyperlink" Target="mailto:maritagstreet@aol.com" TargetMode="External"/><Relationship Id="rId33" Type="http://schemas.openxmlformats.org/officeDocument/2006/relationships/hyperlink" Target="mailto:rnieves@bphc.org" TargetMode="External"/><Relationship Id="rId38" Type="http://schemas.openxmlformats.org/officeDocument/2006/relationships/hyperlink" Target="mailto:moconnor@medford-ma.gov" TargetMode="External"/><Relationship Id="rId46" Type="http://schemas.openxmlformats.org/officeDocument/2006/relationships/hyperlink" Target="mailto:emondesir@cobma.us" TargetMode="External"/><Relationship Id="rId2" Type="http://schemas.openxmlformats.org/officeDocument/2006/relationships/hyperlink" Target="mailto:dmacedo@freetownma.gov" TargetMode="External"/><Relationship Id="rId16" Type="http://schemas.openxmlformats.org/officeDocument/2006/relationships/hyperlink" Target="mailto:jduran@cityofwoburn.com" TargetMode="External"/><Relationship Id="rId20" Type="http://schemas.openxmlformats.org/officeDocument/2006/relationships/hyperlink" Target="mailto:lsanders@chicopeema.gov" TargetMode="External"/><Relationship Id="rId29" Type="http://schemas.openxmlformats.org/officeDocument/2006/relationships/hyperlink" Target="mailto:sullivanjp@bwsc.org" TargetMode="External"/><Relationship Id="rId41" Type="http://schemas.openxmlformats.org/officeDocument/2006/relationships/hyperlink" Target="mailto:health@worcesterma.gov" TargetMode="External"/><Relationship Id="rId54" Type="http://schemas.openxmlformats.org/officeDocument/2006/relationships/hyperlink" Target="mailto:tmccarthy@berkley.k12.ma.us" TargetMode="External"/><Relationship Id="rId1" Type="http://schemas.openxmlformats.org/officeDocument/2006/relationships/hyperlink" Target="mailto:moleary@northamptonma.gov" TargetMode="External"/><Relationship Id="rId6" Type="http://schemas.openxmlformats.org/officeDocument/2006/relationships/hyperlink" Target="mailto:tmacdonald@cambridgema.gov" TargetMode="External"/><Relationship Id="rId11" Type="http://schemas.openxmlformats.org/officeDocument/2006/relationships/hyperlink" Target="mailto:rswigor@whitinsvillewater.com" TargetMode="External"/><Relationship Id="rId24" Type="http://schemas.openxmlformats.org/officeDocument/2006/relationships/hyperlink" Target="mailto:jbelanger@lowellma.gov" TargetMode="External"/><Relationship Id="rId32" Type="http://schemas.openxmlformats.org/officeDocument/2006/relationships/hyperlink" Target="mailto:sullivanjp@bwsc.org" TargetMode="External"/><Relationship Id="rId37" Type="http://schemas.openxmlformats.org/officeDocument/2006/relationships/hyperlink" Target="mailto:Director@sixacresnursery.com" TargetMode="External"/><Relationship Id="rId40" Type="http://schemas.openxmlformats.org/officeDocument/2006/relationships/hyperlink" Target="mailto:raquelromao@yahoo.com.br" TargetMode="External"/><Relationship Id="rId45" Type="http://schemas.openxmlformats.org/officeDocument/2006/relationships/hyperlink" Target="mailto:Robin8667@hotmail.com" TargetMode="External"/><Relationship Id="rId53" Type="http://schemas.openxmlformats.org/officeDocument/2006/relationships/hyperlink" Target="mailto:ibbit17@yahoo.com" TargetMode="External"/><Relationship Id="rId5" Type="http://schemas.openxmlformats.org/officeDocument/2006/relationships/hyperlink" Target="mailto:sbreen@challiance.org" TargetMode="External"/><Relationship Id="rId15" Type="http://schemas.openxmlformats.org/officeDocument/2006/relationships/hyperlink" Target="mailto:jfralick@cityofwoburn.com" TargetMode="External"/><Relationship Id="rId23" Type="http://schemas.openxmlformats.org/officeDocument/2006/relationships/hyperlink" Target="mailto:valessamarques@hotmail.com" TargetMode="External"/><Relationship Id="rId28" Type="http://schemas.openxmlformats.org/officeDocument/2006/relationships/hyperlink" Target="mailto:Joanna@ibaboston.org" TargetMode="External"/><Relationship Id="rId36" Type="http://schemas.openxmlformats.org/officeDocument/2006/relationships/hyperlink" Target="mailto:mpowell@leominster-ma.gov" TargetMode="External"/><Relationship Id="rId49" Type="http://schemas.openxmlformats.org/officeDocument/2006/relationships/hyperlink" Target="mailto:Heather.Elster@OurGym.org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jgniadek@northbridgemass.org" TargetMode="External"/><Relationship Id="rId19" Type="http://schemas.openxmlformats.org/officeDocument/2006/relationships/hyperlink" Target="mailto:erin.craft@mass.gov" TargetMode="External"/><Relationship Id="rId31" Type="http://schemas.openxmlformats.org/officeDocument/2006/relationships/hyperlink" Target="mailto:gpereira@nurturyboston.org" TargetMode="External"/><Relationship Id="rId44" Type="http://schemas.openxmlformats.org/officeDocument/2006/relationships/hyperlink" Target="mailto:rnieves@bphc.org" TargetMode="External"/><Relationship Id="rId52" Type="http://schemas.openxmlformats.org/officeDocument/2006/relationships/hyperlink" Target="mailto:vitagranados48@gmail.com" TargetMode="External"/><Relationship Id="rId4" Type="http://schemas.openxmlformats.org/officeDocument/2006/relationships/hyperlink" Target="mailto:dpw@townofbarre.com" TargetMode="External"/><Relationship Id="rId9" Type="http://schemas.openxmlformats.org/officeDocument/2006/relationships/hyperlink" Target="mailto:Thomas.McKean@town.barnstable.ma.us" TargetMode="External"/><Relationship Id="rId14" Type="http://schemas.openxmlformats.org/officeDocument/2006/relationships/hyperlink" Target="mailto:bshaughnessy@wellesleyma.gov" TargetMode="External"/><Relationship Id="rId22" Type="http://schemas.openxmlformats.org/officeDocument/2006/relationships/hyperlink" Target="mailto:maritzamr13@gmail.com" TargetMode="External"/><Relationship Id="rId27" Type="http://schemas.openxmlformats.org/officeDocument/2006/relationships/hyperlink" Target="mailto:stepahead.eec@gmail.com" TargetMode="External"/><Relationship Id="rId30" Type="http://schemas.openxmlformats.org/officeDocument/2006/relationships/hyperlink" Target="mailto:rnieves@bphc.org" TargetMode="External"/><Relationship Id="rId35" Type="http://schemas.openxmlformats.org/officeDocument/2006/relationships/hyperlink" Target="mailto:sbooth@dpw.leominster-MA.gov" TargetMode="External"/><Relationship Id="rId43" Type="http://schemas.openxmlformats.org/officeDocument/2006/relationships/hyperlink" Target="mailto:sullivanjp@bwsc.org" TargetMode="External"/><Relationship Id="rId48" Type="http://schemas.openxmlformats.org/officeDocument/2006/relationships/hyperlink" Target="mailto:delisamm@yahoo.com" TargetMode="External"/><Relationship Id="rId56" Type="http://schemas.openxmlformats.org/officeDocument/2006/relationships/hyperlink" Target="mailto:markspeter490@gmail.com" TargetMode="External"/><Relationship Id="rId8" Type="http://schemas.openxmlformats.org/officeDocument/2006/relationships/hyperlink" Target="mailto:BTAVERNA@CHELSEAMA.GOV" TargetMode="External"/><Relationship Id="rId51" Type="http://schemas.openxmlformats.org/officeDocument/2006/relationships/hyperlink" Target="mailto:jgniadek@northbridgemass.org" TargetMode="External"/><Relationship Id="rId3" Type="http://schemas.openxmlformats.org/officeDocument/2006/relationships/hyperlink" Target="mailto:boardofhealth@townofbar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H7" sqref="H7"/>
    </sheetView>
  </sheetViews>
  <sheetFormatPr defaultRowHeight="12.3" x14ac:dyDescent="0.4"/>
  <cols>
    <col min="3" max="3" width="12.5546875" customWidth="1"/>
    <col min="5" max="5" width="18" customWidth="1"/>
    <col min="6" max="6" width="11.5546875" customWidth="1"/>
    <col min="7" max="7" width="19.27734375" customWidth="1"/>
    <col min="8" max="8" width="29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43" t="s">
        <v>6</v>
      </c>
      <c r="H1" s="243" t="s">
        <v>7</v>
      </c>
    </row>
    <row r="2" spans="1:8" x14ac:dyDescent="0.4">
      <c r="A2" s="4">
        <v>1</v>
      </c>
      <c r="B2" s="4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t="s">
        <v>13</v>
      </c>
      <c r="H2" s="286" t="s">
        <v>14</v>
      </c>
    </row>
    <row r="3" spans="1:8" x14ac:dyDescent="0.4">
      <c r="A3" s="1">
        <v>2</v>
      </c>
      <c r="B3" s="4" t="s">
        <v>15</v>
      </c>
      <c r="C3" s="3" t="s">
        <v>16</v>
      </c>
      <c r="D3" s="4" t="s">
        <v>17</v>
      </c>
      <c r="E3" s="3" t="s">
        <v>18</v>
      </c>
      <c r="F3" s="4" t="s">
        <v>19</v>
      </c>
      <c r="G3" s="286" t="s">
        <v>20</v>
      </c>
      <c r="H3" s="286" t="s">
        <v>21</v>
      </c>
    </row>
    <row r="4" spans="1:8" x14ac:dyDescent="0.4">
      <c r="A4" s="1">
        <v>3</v>
      </c>
      <c r="C4" s="3" t="s">
        <v>22</v>
      </c>
      <c r="D4" s="4" t="s">
        <v>23</v>
      </c>
      <c r="E4" s="3" t="s">
        <v>24</v>
      </c>
      <c r="F4" s="4" t="s">
        <v>25</v>
      </c>
      <c r="G4" s="287" t="s">
        <v>26</v>
      </c>
      <c r="H4" s="286" t="s">
        <v>27</v>
      </c>
    </row>
    <row r="5" spans="1:8" x14ac:dyDescent="0.4">
      <c r="C5" s="3" t="s">
        <v>28</v>
      </c>
      <c r="D5" s="4" t="s">
        <v>29</v>
      </c>
      <c r="E5" s="3" t="s">
        <v>30</v>
      </c>
      <c r="F5" s="4" t="s">
        <v>31</v>
      </c>
      <c r="G5" s="288" t="s">
        <v>32</v>
      </c>
      <c r="H5" s="286" t="s">
        <v>33</v>
      </c>
    </row>
    <row r="6" spans="1:8" x14ac:dyDescent="0.4">
      <c r="C6" s="3" t="s">
        <v>34</v>
      </c>
      <c r="D6" s="4" t="s">
        <v>29</v>
      </c>
      <c r="E6" s="3" t="s">
        <v>35</v>
      </c>
      <c r="F6" s="1"/>
      <c r="G6" t="s">
        <v>36</v>
      </c>
      <c r="H6" s="286" t="s">
        <v>37</v>
      </c>
    </row>
    <row r="7" spans="1:8" x14ac:dyDescent="0.4">
      <c r="C7" s="3" t="s">
        <v>38</v>
      </c>
      <c r="E7" s="3" t="s">
        <v>39</v>
      </c>
      <c r="H7" s="286" t="s">
        <v>40</v>
      </c>
    </row>
    <row r="8" spans="1:8" x14ac:dyDescent="0.4">
      <c r="E8" s="3" t="s">
        <v>41</v>
      </c>
      <c r="H8" s="286" t="s">
        <v>42</v>
      </c>
    </row>
    <row r="9" spans="1:8" x14ac:dyDescent="0.4">
      <c r="E9" s="3" t="s">
        <v>43</v>
      </c>
      <c r="H9" s="287" t="s">
        <v>44</v>
      </c>
    </row>
    <row r="10" spans="1:8" x14ac:dyDescent="0.4">
      <c r="E10" s="3" t="s">
        <v>45</v>
      </c>
      <c r="H10" s="287" t="s">
        <v>46</v>
      </c>
    </row>
    <row r="11" spans="1:8" x14ac:dyDescent="0.4">
      <c r="E11" s="3" t="s">
        <v>47</v>
      </c>
      <c r="H11" s="287" t="s">
        <v>48</v>
      </c>
    </row>
    <row r="12" spans="1:8" x14ac:dyDescent="0.4">
      <c r="E12" s="3" t="s">
        <v>49</v>
      </c>
      <c r="H12" s="288" t="s">
        <v>50</v>
      </c>
    </row>
    <row r="13" spans="1:8" x14ac:dyDescent="0.4">
      <c r="H13" s="288" t="s">
        <v>51</v>
      </c>
    </row>
    <row r="14" spans="1:8" x14ac:dyDescent="0.4">
      <c r="H1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C06A-E0FD-458B-927A-0ACE01794F74}">
  <dimension ref="A1:BF13"/>
  <sheetViews>
    <sheetView workbookViewId="0">
      <selection activeCell="G8" sqref="G8"/>
    </sheetView>
  </sheetViews>
  <sheetFormatPr defaultRowHeight="12.3" x14ac:dyDescent="0.4"/>
  <cols>
    <col min="1" max="1" width="14" customWidth="1"/>
    <col min="2" max="2" width="20.27734375" customWidth="1"/>
    <col min="3" max="3" width="10.83203125" customWidth="1"/>
    <col min="5" max="5" width="10.83203125" customWidth="1"/>
  </cols>
  <sheetData>
    <row r="1" spans="1:58" s="59" customFormat="1" ht="40.5" customHeight="1" x14ac:dyDescent="0.4">
      <c r="A1" s="51" t="s">
        <v>53</v>
      </c>
      <c r="B1" s="52" t="s">
        <v>54</v>
      </c>
      <c r="C1" s="51" t="s">
        <v>55</v>
      </c>
      <c r="D1" s="52" t="s">
        <v>56</v>
      </c>
      <c r="E1" s="53" t="s">
        <v>57</v>
      </c>
      <c r="F1" s="53" t="s">
        <v>58</v>
      </c>
      <c r="G1" s="52" t="s">
        <v>59</v>
      </c>
      <c r="H1" s="52" t="s">
        <v>60</v>
      </c>
      <c r="I1" s="52" t="s">
        <v>61</v>
      </c>
      <c r="J1" s="52" t="s">
        <v>62</v>
      </c>
      <c r="K1" s="53" t="s">
        <v>63</v>
      </c>
      <c r="L1" s="53" t="s">
        <v>64</v>
      </c>
      <c r="M1" s="52" t="s">
        <v>65</v>
      </c>
      <c r="N1" s="52" t="s">
        <v>66</v>
      </c>
      <c r="O1" s="52" t="s">
        <v>67</v>
      </c>
      <c r="P1" s="211" t="s">
        <v>68</v>
      </c>
      <c r="Q1" s="207" t="s">
        <v>69</v>
      </c>
      <c r="R1" s="52" t="s">
        <v>70</v>
      </c>
      <c r="S1" s="52" t="s">
        <v>71</v>
      </c>
      <c r="T1" s="52" t="s">
        <v>72</v>
      </c>
      <c r="U1" s="54" t="s">
        <v>73</v>
      </c>
      <c r="V1" s="52" t="s">
        <v>74</v>
      </c>
      <c r="W1" s="52" t="s">
        <v>75</v>
      </c>
      <c r="X1" s="52" t="s">
        <v>76</v>
      </c>
      <c r="Y1" s="52" t="s">
        <v>77</v>
      </c>
      <c r="Z1" s="206" t="s">
        <v>78</v>
      </c>
      <c r="AA1" s="52" t="s">
        <v>79</v>
      </c>
      <c r="AB1" s="52" t="s">
        <v>80</v>
      </c>
      <c r="AC1" s="55" t="s">
        <v>81</v>
      </c>
      <c r="AD1" s="52" t="s">
        <v>82</v>
      </c>
      <c r="AE1" s="52" t="s">
        <v>83</v>
      </c>
      <c r="AF1" s="52" t="s">
        <v>84</v>
      </c>
      <c r="AG1" s="56" t="s">
        <v>85</v>
      </c>
      <c r="AH1" s="51" t="s">
        <v>86</v>
      </c>
      <c r="AI1" s="57" t="s">
        <v>87</v>
      </c>
      <c r="AJ1" s="57" t="s">
        <v>88</v>
      </c>
      <c r="AK1" s="57" t="s">
        <v>89</v>
      </c>
      <c r="AL1" s="57" t="s">
        <v>90</v>
      </c>
      <c r="AM1" s="57" t="s">
        <v>91</v>
      </c>
      <c r="AN1" s="57" t="s">
        <v>92</v>
      </c>
      <c r="AO1" s="52" t="s">
        <v>93</v>
      </c>
      <c r="AP1" s="51" t="s">
        <v>94</v>
      </c>
      <c r="AQ1" s="58" t="s">
        <v>95</v>
      </c>
      <c r="AR1" s="52" t="s">
        <v>96</v>
      </c>
      <c r="AS1" s="52" t="s">
        <v>5</v>
      </c>
      <c r="AT1" s="52" t="s">
        <v>97</v>
      </c>
      <c r="AU1" s="52" t="s">
        <v>98</v>
      </c>
      <c r="AV1" s="56" t="s">
        <v>99</v>
      </c>
      <c r="AW1" s="204" t="s">
        <v>100</v>
      </c>
      <c r="AX1" s="205" t="s">
        <v>101</v>
      </c>
      <c r="BC1" s="60" t="s">
        <v>102</v>
      </c>
      <c r="BD1" s="61" t="s">
        <v>103</v>
      </c>
    </row>
    <row r="2" spans="1:58" s="68" customFormat="1" ht="15" customHeight="1" x14ac:dyDescent="0.55000000000000004">
      <c r="A2" s="70">
        <v>43979</v>
      </c>
      <c r="B2" s="71" t="s">
        <v>49</v>
      </c>
      <c r="C2" s="70">
        <v>43896</v>
      </c>
      <c r="D2" s="72" t="s">
        <v>104</v>
      </c>
      <c r="E2" s="73" t="s">
        <v>105</v>
      </c>
      <c r="F2" s="74" t="s">
        <v>106</v>
      </c>
      <c r="G2" s="73" t="s">
        <v>107</v>
      </c>
      <c r="H2" s="75" t="s">
        <v>108</v>
      </c>
      <c r="I2" s="73" t="s">
        <v>109</v>
      </c>
      <c r="J2" s="73"/>
      <c r="K2" s="76" t="s">
        <v>110</v>
      </c>
      <c r="L2" s="77" t="s">
        <v>111</v>
      </c>
      <c r="M2" s="73" t="s">
        <v>112</v>
      </c>
      <c r="N2" s="73" t="s">
        <v>113</v>
      </c>
      <c r="O2" s="73" t="s">
        <v>114</v>
      </c>
      <c r="P2" s="213" t="s">
        <v>115</v>
      </c>
      <c r="Q2" s="208" t="s">
        <v>116</v>
      </c>
      <c r="R2" s="73" t="s">
        <v>109</v>
      </c>
      <c r="S2" s="73"/>
      <c r="T2" s="73" t="s">
        <v>110</v>
      </c>
      <c r="U2" s="78" t="s">
        <v>111</v>
      </c>
      <c r="V2" s="73" t="s">
        <v>117</v>
      </c>
      <c r="W2" s="71" t="s">
        <v>118</v>
      </c>
      <c r="X2" s="73"/>
      <c r="Y2" s="73"/>
      <c r="Z2" s="79">
        <v>4320530</v>
      </c>
      <c r="AA2" s="71"/>
      <c r="AB2" s="71"/>
      <c r="AC2" s="63"/>
      <c r="AD2" s="72"/>
      <c r="AE2" s="72"/>
      <c r="AF2" s="80"/>
      <c r="AG2" s="71"/>
      <c r="AH2" s="81"/>
      <c r="AI2" s="80" t="s">
        <v>119</v>
      </c>
      <c r="AJ2" s="80"/>
      <c r="AK2" s="80"/>
      <c r="AL2" s="80"/>
      <c r="AM2" s="80"/>
      <c r="AN2" s="80"/>
      <c r="AO2" s="80"/>
      <c r="AP2" s="70"/>
      <c r="AQ2" s="71"/>
      <c r="AR2" s="82" t="s">
        <v>120</v>
      </c>
      <c r="AS2" s="82" t="s">
        <v>25</v>
      </c>
      <c r="AT2" s="82" t="s">
        <v>120</v>
      </c>
      <c r="AU2" s="83">
        <v>4126000</v>
      </c>
      <c r="AW2" t="s">
        <v>121</v>
      </c>
      <c r="AX2" s="74"/>
      <c r="AY2" s="66"/>
      <c r="AZ2" s="62"/>
      <c r="BA2" s="62"/>
      <c r="BB2" s="62"/>
      <c r="BC2" s="64" t="str">
        <f t="shared" ref="BC2:BC7" ca="1" si="0">IF(ISBLANK(AC2),"",IF(AC2&lt;TODAY(),K2,""))</f>
        <v/>
      </c>
      <c r="BD2" s="220" t="s">
        <v>122</v>
      </c>
      <c r="BE2" s="62"/>
    </row>
    <row r="3" spans="1:58" s="67" customFormat="1" ht="15" customHeight="1" x14ac:dyDescent="0.55000000000000004">
      <c r="A3" s="70">
        <v>43896</v>
      </c>
      <c r="B3" s="71" t="s">
        <v>49</v>
      </c>
      <c r="C3" s="70">
        <v>43896</v>
      </c>
      <c r="D3" s="72" t="s">
        <v>123</v>
      </c>
      <c r="E3" s="73" t="s">
        <v>124</v>
      </c>
      <c r="F3" s="74" t="s">
        <v>125</v>
      </c>
      <c r="G3" s="73" t="s">
        <v>126</v>
      </c>
      <c r="H3" s="75" t="s">
        <v>127</v>
      </c>
      <c r="I3" s="73" t="s">
        <v>128</v>
      </c>
      <c r="J3" s="73"/>
      <c r="K3" s="76" t="s">
        <v>129</v>
      </c>
      <c r="L3" s="77" t="s">
        <v>130</v>
      </c>
      <c r="M3" s="73" t="s">
        <v>131</v>
      </c>
      <c r="N3" s="73" t="s">
        <v>132</v>
      </c>
      <c r="O3" s="73" t="s">
        <v>133</v>
      </c>
      <c r="P3" s="213" t="s">
        <v>134</v>
      </c>
      <c r="Q3" s="208" t="s">
        <v>135</v>
      </c>
      <c r="R3" s="73" t="s">
        <v>136</v>
      </c>
      <c r="S3" s="73"/>
      <c r="T3" s="73" t="s">
        <v>129</v>
      </c>
      <c r="U3" s="78" t="s">
        <v>130</v>
      </c>
      <c r="V3" s="73" t="s">
        <v>117</v>
      </c>
      <c r="W3" s="71" t="s">
        <v>137</v>
      </c>
      <c r="X3" s="84" t="s">
        <v>138</v>
      </c>
      <c r="Y3" s="73"/>
      <c r="Z3" s="79">
        <v>1579298404811</v>
      </c>
      <c r="AA3" s="71"/>
      <c r="AB3" s="71"/>
      <c r="AC3" s="63"/>
      <c r="AD3" s="72"/>
      <c r="AE3" s="72"/>
      <c r="AF3" s="80"/>
      <c r="AG3" s="71"/>
      <c r="AH3" s="81"/>
      <c r="AI3" s="80"/>
      <c r="AJ3" s="80"/>
      <c r="AK3" s="80"/>
      <c r="AL3" s="80"/>
      <c r="AM3" s="80"/>
      <c r="AN3" s="80"/>
      <c r="AO3" s="80"/>
      <c r="AP3" s="70"/>
      <c r="AQ3" s="71"/>
      <c r="AR3" s="85" t="s">
        <v>120</v>
      </c>
      <c r="AS3" s="82" t="s">
        <v>12</v>
      </c>
      <c r="AT3" s="82" t="s">
        <v>120</v>
      </c>
      <c r="AU3" s="83">
        <v>3160000</v>
      </c>
      <c r="AV3" s="68"/>
      <c r="AW3" t="s">
        <v>139</v>
      </c>
      <c r="AX3" s="74"/>
      <c r="AY3" s="66"/>
      <c r="AZ3" s="62"/>
      <c r="BA3" s="62"/>
      <c r="BB3" s="62"/>
      <c r="BC3" s="64" t="str">
        <f t="shared" ca="1" si="0"/>
        <v/>
      </c>
      <c r="BD3" s="65" t="s">
        <v>140</v>
      </c>
      <c r="BE3" s="62"/>
    </row>
    <row r="4" spans="1:58" s="67" customFormat="1" ht="15" customHeight="1" x14ac:dyDescent="0.55000000000000004">
      <c r="A4" s="89">
        <v>44272</v>
      </c>
      <c r="B4" s="68" t="s">
        <v>49</v>
      </c>
      <c r="C4" s="89">
        <v>43896</v>
      </c>
      <c r="D4" s="85" t="s">
        <v>141</v>
      </c>
      <c r="E4" s="90" t="s">
        <v>142</v>
      </c>
      <c r="F4" s="74" t="s">
        <v>143</v>
      </c>
      <c r="G4" s="90" t="s">
        <v>144</v>
      </c>
      <c r="H4" s="82" t="s">
        <v>145</v>
      </c>
      <c r="I4" s="90" t="s">
        <v>146</v>
      </c>
      <c r="J4" s="90"/>
      <c r="K4" s="91" t="s">
        <v>147</v>
      </c>
      <c r="L4" s="92" t="s">
        <v>148</v>
      </c>
      <c r="M4" s="90" t="s">
        <v>149</v>
      </c>
      <c r="N4" s="90" t="s">
        <v>150</v>
      </c>
      <c r="O4" s="90" t="s">
        <v>151</v>
      </c>
      <c r="P4" s="212" t="s">
        <v>152</v>
      </c>
      <c r="Q4" s="210" t="s">
        <v>153</v>
      </c>
      <c r="R4" s="90" t="s">
        <v>154</v>
      </c>
      <c r="S4" s="90"/>
      <c r="T4" s="90" t="s">
        <v>147</v>
      </c>
      <c r="U4" s="93" t="s">
        <v>148</v>
      </c>
      <c r="V4" s="90" t="s">
        <v>155</v>
      </c>
      <c r="W4" s="68" t="s">
        <v>118</v>
      </c>
      <c r="X4" s="90"/>
      <c r="Y4" s="90" t="s">
        <v>156</v>
      </c>
      <c r="Z4" s="79">
        <v>2912264</v>
      </c>
      <c r="AA4" s="68" t="s">
        <v>23</v>
      </c>
      <c r="AB4" s="68"/>
      <c r="AC4" s="63"/>
      <c r="AD4" s="85"/>
      <c r="AE4" s="85"/>
      <c r="AF4" s="85">
        <f>AD4+AE4</f>
        <v>0</v>
      </c>
      <c r="AG4" s="68"/>
      <c r="AH4" s="94"/>
      <c r="AI4" s="95"/>
      <c r="AJ4" s="95"/>
      <c r="AK4" s="95"/>
      <c r="AL4" s="95"/>
      <c r="AM4" s="95"/>
      <c r="AN4" s="95"/>
      <c r="AO4" s="95">
        <f>AI4+AJ4+AK4+AL4+AM4+AN4</f>
        <v>0</v>
      </c>
      <c r="AP4" s="89"/>
      <c r="AQ4" s="68" t="s">
        <v>157</v>
      </c>
      <c r="AR4" s="85" t="s">
        <v>120</v>
      </c>
      <c r="AS4" s="82" t="s">
        <v>25</v>
      </c>
      <c r="AT4" s="82" t="s">
        <v>120</v>
      </c>
      <c r="AU4" s="83">
        <v>4220000</v>
      </c>
      <c r="AV4" s="214" t="s">
        <v>158</v>
      </c>
      <c r="AW4" s="215"/>
      <c r="AX4" s="74" t="s">
        <v>159</v>
      </c>
      <c r="AY4" s="66"/>
      <c r="AZ4" s="62"/>
      <c r="BA4" s="62"/>
      <c r="BB4" s="62"/>
      <c r="BC4" s="64" t="str">
        <f t="shared" ca="1" si="0"/>
        <v/>
      </c>
      <c r="BD4" s="219"/>
      <c r="BE4" s="62"/>
    </row>
    <row r="5" spans="1:58" s="67" customFormat="1" ht="15" customHeight="1" x14ac:dyDescent="0.55000000000000004">
      <c r="A5" s="70">
        <v>43979</v>
      </c>
      <c r="B5" s="71" t="s">
        <v>49</v>
      </c>
      <c r="C5" s="70">
        <v>43896</v>
      </c>
      <c r="D5" s="72" t="s">
        <v>123</v>
      </c>
      <c r="E5" s="71" t="s">
        <v>160</v>
      </c>
      <c r="F5" s="74" t="s">
        <v>161</v>
      </c>
      <c r="G5" s="71" t="s">
        <v>162</v>
      </c>
      <c r="H5" s="72" t="s">
        <v>108</v>
      </c>
      <c r="I5" s="71" t="s">
        <v>163</v>
      </c>
      <c r="J5" s="71"/>
      <c r="K5" s="76" t="s">
        <v>164</v>
      </c>
      <c r="L5" s="86" t="s">
        <v>165</v>
      </c>
      <c r="M5" s="71" t="s">
        <v>166</v>
      </c>
      <c r="N5" s="71" t="s">
        <v>167</v>
      </c>
      <c r="O5" s="71" t="s">
        <v>168</v>
      </c>
      <c r="P5" s="213" t="s">
        <v>169</v>
      </c>
      <c r="Q5" s="209" t="s">
        <v>170</v>
      </c>
      <c r="R5" s="71" t="s">
        <v>171</v>
      </c>
      <c r="S5" s="71"/>
      <c r="T5" s="71" t="s">
        <v>164</v>
      </c>
      <c r="U5" s="87" t="s">
        <v>165</v>
      </c>
      <c r="V5" s="71" t="s">
        <v>117</v>
      </c>
      <c r="W5" s="71" t="s">
        <v>118</v>
      </c>
      <c r="X5" s="71"/>
      <c r="Y5" s="71"/>
      <c r="Z5" s="88">
        <v>3250810</v>
      </c>
      <c r="AA5" s="71"/>
      <c r="AB5" s="71"/>
      <c r="AC5" s="63"/>
      <c r="AD5" s="72"/>
      <c r="AE5" s="72"/>
      <c r="AF5" s="80"/>
      <c r="AG5" s="71"/>
      <c r="AH5" s="81"/>
      <c r="AI5" s="80"/>
      <c r="AJ5" s="80"/>
      <c r="AK5" s="80"/>
      <c r="AL5" s="80"/>
      <c r="AM5" s="80"/>
      <c r="AN5" s="80"/>
      <c r="AO5" s="80"/>
      <c r="AP5" s="70"/>
      <c r="AQ5" s="71"/>
      <c r="AR5" s="50" t="s">
        <v>120</v>
      </c>
      <c r="AS5" s="97" t="s">
        <v>31</v>
      </c>
      <c r="AT5" s="97"/>
      <c r="AU5" s="99"/>
      <c r="AV5" s="100"/>
      <c r="AW5" t="s">
        <v>172</v>
      </c>
      <c r="AX5" s="74"/>
      <c r="AY5" s="66"/>
      <c r="AZ5" s="62"/>
      <c r="BA5" s="62"/>
      <c r="BB5" s="62"/>
      <c r="BC5" s="64" t="str">
        <f t="shared" ca="1" si="0"/>
        <v/>
      </c>
      <c r="BD5" s="220" t="s">
        <v>140</v>
      </c>
      <c r="BE5" s="62"/>
    </row>
    <row r="6" spans="1:58" s="96" customFormat="1" ht="15" customHeight="1" x14ac:dyDescent="0.55000000000000004">
      <c r="A6" s="70">
        <v>44083</v>
      </c>
      <c r="B6" s="71" t="s">
        <v>49</v>
      </c>
      <c r="C6" s="70">
        <v>44046</v>
      </c>
      <c r="D6" s="72" t="s">
        <v>141</v>
      </c>
      <c r="E6" s="71" t="s">
        <v>173</v>
      </c>
      <c r="F6" s="74" t="s">
        <v>174</v>
      </c>
      <c r="G6" s="71" t="s">
        <v>175</v>
      </c>
      <c r="H6" s="72" t="s">
        <v>127</v>
      </c>
      <c r="I6" s="71" t="s">
        <v>176</v>
      </c>
      <c r="J6" s="71"/>
      <c r="K6" s="76" t="s">
        <v>177</v>
      </c>
      <c r="L6" s="86" t="s">
        <v>178</v>
      </c>
      <c r="M6" s="71" t="s">
        <v>179</v>
      </c>
      <c r="N6" s="71" t="s">
        <v>180</v>
      </c>
      <c r="O6" s="71" t="s">
        <v>181</v>
      </c>
      <c r="P6" s="213" t="s">
        <v>182</v>
      </c>
      <c r="Q6" s="209" t="s">
        <v>183</v>
      </c>
      <c r="R6" s="71" t="s">
        <v>184</v>
      </c>
      <c r="S6" s="71"/>
      <c r="T6" s="71" t="s">
        <v>185</v>
      </c>
      <c r="U6" s="87" t="s">
        <v>178</v>
      </c>
      <c r="V6" s="71" t="s">
        <v>117</v>
      </c>
      <c r="W6" s="71" t="s">
        <v>118</v>
      </c>
      <c r="X6" s="71" t="s">
        <v>186</v>
      </c>
      <c r="Y6" s="71" t="s">
        <v>187</v>
      </c>
      <c r="Z6" s="88">
        <v>692835</v>
      </c>
      <c r="AA6" s="71" t="s">
        <v>10</v>
      </c>
      <c r="AB6" s="71"/>
      <c r="AC6" s="63"/>
      <c r="AD6" s="72"/>
      <c r="AE6" s="72"/>
      <c r="AF6" s="80"/>
      <c r="AG6" s="71"/>
      <c r="AH6" s="81"/>
      <c r="AI6" s="80"/>
      <c r="AJ6" s="80" t="s">
        <v>119</v>
      </c>
      <c r="AK6" s="80"/>
      <c r="AL6" s="80"/>
      <c r="AM6" s="80"/>
      <c r="AN6" s="80"/>
      <c r="AO6" s="80"/>
      <c r="AP6" s="70"/>
      <c r="AQ6" s="71" t="s">
        <v>188</v>
      </c>
      <c r="AR6" s="50" t="s">
        <v>120</v>
      </c>
      <c r="AS6" s="97" t="s">
        <v>12</v>
      </c>
      <c r="AT6" s="97" t="s">
        <v>189</v>
      </c>
      <c r="AU6" s="98">
        <v>3207000</v>
      </c>
      <c r="AV6" s="100"/>
      <c r="AW6" s="216" t="s">
        <v>190</v>
      </c>
      <c r="AX6" s="74"/>
      <c r="AY6" s="66"/>
      <c r="AZ6" s="62"/>
      <c r="BA6" s="62"/>
      <c r="BB6" s="62"/>
      <c r="BC6" s="64" t="str">
        <f t="shared" ca="1" si="0"/>
        <v/>
      </c>
      <c r="BD6" s="219"/>
      <c r="BE6" s="62"/>
    </row>
    <row r="7" spans="1:58" s="96" customFormat="1" ht="15" customHeight="1" x14ac:dyDescent="0.55000000000000004">
      <c r="A7" s="89">
        <v>44315</v>
      </c>
      <c r="B7" s="68" t="s">
        <v>49</v>
      </c>
      <c r="C7" s="89">
        <v>44291</v>
      </c>
      <c r="D7" s="85" t="s">
        <v>141</v>
      </c>
      <c r="E7" s="68" t="s">
        <v>191</v>
      </c>
      <c r="F7" s="68" t="s">
        <v>192</v>
      </c>
      <c r="G7" s="68" t="s">
        <v>193</v>
      </c>
      <c r="H7" s="85" t="s">
        <v>127</v>
      </c>
      <c r="I7" s="68" t="s">
        <v>194</v>
      </c>
      <c r="J7" s="68"/>
      <c r="K7" s="91" t="s">
        <v>195</v>
      </c>
      <c r="L7" s="190" t="s">
        <v>196</v>
      </c>
      <c r="M7" s="68" t="s">
        <v>197</v>
      </c>
      <c r="N7" s="68" t="s">
        <v>198</v>
      </c>
      <c r="O7" s="68" t="s">
        <v>199</v>
      </c>
      <c r="P7" s="212" t="s">
        <v>200</v>
      </c>
      <c r="Q7" s="74" t="s">
        <v>201</v>
      </c>
      <c r="R7" s="68" t="s">
        <v>202</v>
      </c>
      <c r="S7" s="68"/>
      <c r="T7" s="68" t="s">
        <v>195</v>
      </c>
      <c r="U7" s="93">
        <v>1721</v>
      </c>
      <c r="V7" s="68" t="s">
        <v>117</v>
      </c>
      <c r="W7" s="68" t="s">
        <v>137</v>
      </c>
      <c r="X7" s="68"/>
      <c r="Y7" s="68"/>
      <c r="Z7" s="191">
        <v>702239</v>
      </c>
      <c r="AA7" s="68" t="s">
        <v>203</v>
      </c>
      <c r="AB7" s="68"/>
      <c r="AC7" s="192"/>
      <c r="AD7" s="85"/>
      <c r="AE7" s="85"/>
      <c r="AF7" s="85"/>
      <c r="AG7" s="68"/>
      <c r="AH7" s="94"/>
      <c r="AI7" s="95"/>
      <c r="AJ7" s="95"/>
      <c r="AK7" s="95"/>
      <c r="AL7" s="95"/>
      <c r="AM7" s="95"/>
      <c r="AN7" s="95"/>
      <c r="AO7" s="85"/>
      <c r="AP7" s="89"/>
      <c r="AQ7" s="68" t="s">
        <v>204</v>
      </c>
      <c r="AR7" s="50" t="s">
        <v>205</v>
      </c>
      <c r="AS7" s="97" t="s">
        <v>12</v>
      </c>
      <c r="AT7" s="97" t="s">
        <v>120</v>
      </c>
      <c r="AU7" s="217">
        <v>3014000</v>
      </c>
      <c r="AV7" s="218" t="s">
        <v>206</v>
      </c>
      <c r="AW7" t="s">
        <v>207</v>
      </c>
      <c r="AX7" s="74" t="s">
        <v>159</v>
      </c>
      <c r="AY7" s="74"/>
      <c r="AZ7" s="68"/>
      <c r="BA7" s="68"/>
      <c r="BB7" s="68"/>
      <c r="BC7" s="69" t="str">
        <f t="shared" ca="1" si="0"/>
        <v/>
      </c>
      <c r="BD7" s="221" t="s">
        <v>208</v>
      </c>
      <c r="BE7" s="68"/>
    </row>
    <row r="8" spans="1:58" s="237" customFormat="1" ht="15" customHeight="1" x14ac:dyDescent="0.55000000000000004">
      <c r="A8" s="239">
        <v>44349</v>
      </c>
      <c r="B8" s="227" t="s">
        <v>49</v>
      </c>
      <c r="C8" s="239">
        <v>44308</v>
      </c>
      <c r="D8" s="244" t="s">
        <v>141</v>
      </c>
      <c r="E8" s="273" t="s">
        <v>209</v>
      </c>
      <c r="F8" s="274"/>
      <c r="G8" s="275" t="s">
        <v>210</v>
      </c>
      <c r="H8" s="276" t="s">
        <v>127</v>
      </c>
      <c r="I8" s="277" t="s">
        <v>211</v>
      </c>
      <c r="J8" s="277"/>
      <c r="K8" s="278" t="s">
        <v>212</v>
      </c>
      <c r="L8" s="279" t="s">
        <v>213</v>
      </c>
      <c r="M8" s="277" t="s">
        <v>214</v>
      </c>
      <c r="N8" s="280" t="s">
        <v>215</v>
      </c>
      <c r="O8" s="262" t="s">
        <v>216</v>
      </c>
      <c r="P8" s="281" t="s">
        <v>217</v>
      </c>
      <c r="Q8" s="282" t="s">
        <v>218</v>
      </c>
      <c r="R8" s="280" t="s">
        <v>211</v>
      </c>
      <c r="S8" s="277"/>
      <c r="T8" s="277" t="s">
        <v>212</v>
      </c>
      <c r="U8" s="283" t="s">
        <v>213</v>
      </c>
      <c r="V8" s="277"/>
      <c r="W8" s="285"/>
      <c r="Y8" s="228" t="s">
        <v>219</v>
      </c>
      <c r="Z8" s="222" t="s">
        <v>220</v>
      </c>
      <c r="AA8" s="237" t="s">
        <v>203</v>
      </c>
      <c r="AB8" s="237" t="s">
        <v>221</v>
      </c>
      <c r="AC8" s="245">
        <v>44345</v>
      </c>
      <c r="AD8" s="244">
        <v>3</v>
      </c>
      <c r="AE8" s="244">
        <v>3</v>
      </c>
      <c r="AF8" s="244">
        <v>6</v>
      </c>
      <c r="AG8" s="237" t="s">
        <v>28</v>
      </c>
      <c r="AH8" s="257"/>
      <c r="AI8" s="258"/>
      <c r="AJ8" s="258"/>
      <c r="AK8" s="258"/>
      <c r="AL8" s="258"/>
      <c r="AM8" s="258"/>
      <c r="AN8" s="258"/>
      <c r="AO8" s="253">
        <f>AI8+AJ8+AK8+AL8+AM8+AN8</f>
        <v>0</v>
      </c>
      <c r="AP8" s="239"/>
      <c r="AR8" s="244" t="s">
        <v>120</v>
      </c>
      <c r="AS8" s="244" t="s">
        <v>19</v>
      </c>
      <c r="AT8" s="244" t="s">
        <v>120</v>
      </c>
      <c r="AU8" s="234">
        <v>2278000</v>
      </c>
      <c r="AV8" s="226" t="s">
        <v>222</v>
      </c>
      <c r="AW8" s="226" t="s">
        <v>223</v>
      </c>
      <c r="AX8" s="227" t="s">
        <v>159</v>
      </c>
      <c r="BC8" s="266"/>
      <c r="BD8" s="238"/>
    </row>
    <row r="9" spans="1:58" s="237" customFormat="1" ht="15" customHeight="1" x14ac:dyDescent="0.55000000000000004">
      <c r="A9" s="240">
        <v>44299</v>
      </c>
      <c r="B9" s="227" t="s">
        <v>49</v>
      </c>
      <c r="C9" s="240">
        <v>44298</v>
      </c>
      <c r="D9" s="244" t="s">
        <v>141</v>
      </c>
      <c r="E9" s="267" t="s">
        <v>224</v>
      </c>
      <c r="F9" s="268" t="s">
        <v>225</v>
      </c>
      <c r="G9" s="269" t="s">
        <v>226</v>
      </c>
      <c r="H9" s="270" t="s">
        <v>145</v>
      </c>
      <c r="I9" s="268" t="s">
        <v>227</v>
      </c>
      <c r="J9" s="268"/>
      <c r="K9" s="263" t="s">
        <v>228</v>
      </c>
      <c r="L9" s="271" t="s">
        <v>229</v>
      </c>
      <c r="M9" s="268" t="s">
        <v>230</v>
      </c>
      <c r="N9" s="268" t="s">
        <v>231</v>
      </c>
      <c r="O9" s="268" t="s">
        <v>232</v>
      </c>
      <c r="P9" s="264" t="s">
        <v>233</v>
      </c>
      <c r="Q9" s="272" t="s">
        <v>234</v>
      </c>
      <c r="R9" s="268" t="s">
        <v>227</v>
      </c>
      <c r="S9" s="268"/>
      <c r="T9" s="268" t="s">
        <v>228</v>
      </c>
      <c r="U9" s="265">
        <v>1778</v>
      </c>
      <c r="V9" s="268" t="s">
        <v>117</v>
      </c>
      <c r="W9" s="284" t="s">
        <v>235</v>
      </c>
      <c r="X9" s="227"/>
      <c r="Y9" s="227"/>
      <c r="Z9" s="223">
        <v>8029157</v>
      </c>
      <c r="AA9" s="237" t="s">
        <v>203</v>
      </c>
      <c r="AB9" s="227"/>
      <c r="AC9" s="245"/>
      <c r="AD9" s="241"/>
      <c r="AE9" s="241"/>
      <c r="AF9" s="241">
        <f>AD9+AE9</f>
        <v>0</v>
      </c>
      <c r="AG9" s="227"/>
      <c r="AH9" s="252"/>
      <c r="AI9" s="253"/>
      <c r="AK9" s="253"/>
      <c r="AL9" s="253"/>
      <c r="AM9" s="253"/>
      <c r="AN9" s="253"/>
      <c r="AO9" s="253" t="e">
        <f>AI9+#REF!+AK9+AL9+AM9+AN9</f>
        <v>#REF!</v>
      </c>
      <c r="AP9" s="240"/>
      <c r="AQ9" s="227"/>
      <c r="AR9" s="231" t="s">
        <v>120</v>
      </c>
      <c r="AS9" s="232" t="s">
        <v>12</v>
      </c>
      <c r="AT9" s="232" t="s">
        <v>29</v>
      </c>
      <c r="AU9" s="241">
        <v>3315000</v>
      </c>
      <c r="AV9" s="254" t="s">
        <v>236</v>
      </c>
      <c r="AW9" s="230" t="s">
        <v>237</v>
      </c>
      <c r="AX9" s="227" t="s">
        <v>159</v>
      </c>
      <c r="BC9" s="266"/>
      <c r="BD9" s="238"/>
    </row>
    <row r="10" spans="1:58" s="237" customFormat="1" ht="15" customHeight="1" x14ac:dyDescent="0.55000000000000004">
      <c r="A10" s="240">
        <v>44299</v>
      </c>
      <c r="B10" s="227" t="s">
        <v>49</v>
      </c>
      <c r="C10" s="240">
        <v>44298</v>
      </c>
      <c r="D10" s="244" t="s">
        <v>141</v>
      </c>
      <c r="E10" s="267" t="s">
        <v>238</v>
      </c>
      <c r="F10" s="268" t="s">
        <v>239</v>
      </c>
      <c r="G10" s="268" t="s">
        <v>240</v>
      </c>
      <c r="H10" s="270" t="s">
        <v>145</v>
      </c>
      <c r="I10" s="268" t="s">
        <v>227</v>
      </c>
      <c r="J10" s="268"/>
      <c r="K10" s="263" t="s">
        <v>228</v>
      </c>
      <c r="L10" s="271" t="s">
        <v>229</v>
      </c>
      <c r="M10" s="268" t="s">
        <v>241</v>
      </c>
      <c r="N10" s="268" t="s">
        <v>242</v>
      </c>
      <c r="O10" s="268" t="s">
        <v>243</v>
      </c>
      <c r="P10" s="264" t="s">
        <v>244</v>
      </c>
      <c r="Q10" s="272" t="s">
        <v>245</v>
      </c>
      <c r="R10" s="268" t="s">
        <v>227</v>
      </c>
      <c r="S10" s="268"/>
      <c r="T10" s="268" t="s">
        <v>228</v>
      </c>
      <c r="U10" s="265">
        <v>1778</v>
      </c>
      <c r="V10" s="268" t="s">
        <v>117</v>
      </c>
      <c r="W10" s="284" t="s">
        <v>235</v>
      </c>
      <c r="X10" s="227"/>
      <c r="Y10" s="227"/>
      <c r="Z10" s="251">
        <v>200566</v>
      </c>
      <c r="AA10" s="237" t="s">
        <v>203</v>
      </c>
      <c r="AB10" s="227"/>
      <c r="AC10" s="245"/>
      <c r="AD10" s="241"/>
      <c r="AE10" s="241"/>
      <c r="AF10" s="241">
        <f>AD10+AE10</f>
        <v>0</v>
      </c>
      <c r="AG10" s="227"/>
      <c r="AH10" s="252"/>
      <c r="AI10" s="253"/>
      <c r="AK10" s="253"/>
      <c r="AL10" s="253"/>
      <c r="AM10" s="253"/>
      <c r="AN10" s="253"/>
      <c r="AO10" s="253" t="e">
        <f>AI10+#REF!+AK10+AL10+AM10+AN10</f>
        <v>#REF!</v>
      </c>
      <c r="AP10" s="240"/>
      <c r="AQ10" s="227"/>
      <c r="AR10" s="231" t="s">
        <v>120</v>
      </c>
      <c r="AS10" s="232" t="s">
        <v>12</v>
      </c>
      <c r="AT10" s="232" t="s">
        <v>29</v>
      </c>
      <c r="AU10" s="241">
        <v>3315000</v>
      </c>
      <c r="AV10" s="254" t="s">
        <v>236</v>
      </c>
      <c r="AW10" s="230" t="s">
        <v>237</v>
      </c>
      <c r="AX10" s="227" t="s">
        <v>159</v>
      </c>
      <c r="BC10" s="266"/>
      <c r="BD10" s="238"/>
    </row>
    <row r="11" spans="1:58" s="237" customFormat="1" ht="15" customHeight="1" x14ac:dyDescent="0.55000000000000004">
      <c r="A11" s="240">
        <v>44386</v>
      </c>
      <c r="B11" s="227" t="s">
        <v>49</v>
      </c>
      <c r="C11" s="240">
        <v>43895</v>
      </c>
      <c r="D11" s="240"/>
      <c r="E11" s="246" t="s">
        <v>246</v>
      </c>
      <c r="F11" s="228" t="s">
        <v>247</v>
      </c>
      <c r="G11" s="246" t="s">
        <v>248</v>
      </c>
      <c r="H11" s="289" t="s">
        <v>145</v>
      </c>
      <c r="I11" s="246" t="s">
        <v>249</v>
      </c>
      <c r="J11" s="246"/>
      <c r="K11" s="246" t="s">
        <v>250</v>
      </c>
      <c r="L11" s="256" t="s">
        <v>251</v>
      </c>
      <c r="M11" s="246" t="s">
        <v>131</v>
      </c>
      <c r="N11" s="246" t="s">
        <v>252</v>
      </c>
      <c r="O11" s="246" t="s">
        <v>243</v>
      </c>
      <c r="P11" s="249" t="s">
        <v>253</v>
      </c>
      <c r="Q11" s="229" t="s">
        <v>254</v>
      </c>
      <c r="R11" s="246" t="s">
        <v>255</v>
      </c>
      <c r="S11" s="246"/>
      <c r="T11" s="246" t="s">
        <v>250</v>
      </c>
      <c r="U11" s="250" t="s">
        <v>251</v>
      </c>
      <c r="V11" s="246" t="s">
        <v>117</v>
      </c>
      <c r="W11" s="227" t="s">
        <v>118</v>
      </c>
      <c r="X11" s="246"/>
      <c r="Y11" s="246"/>
      <c r="Z11" s="261">
        <v>2911795</v>
      </c>
      <c r="AA11" s="227" t="s">
        <v>10</v>
      </c>
      <c r="AB11" s="227"/>
      <c r="AC11" s="245"/>
      <c r="AD11" s="241"/>
      <c r="AE11" s="241"/>
      <c r="AF11" s="241">
        <f>AD11+AE11</f>
        <v>0</v>
      </c>
      <c r="AG11" s="227"/>
      <c r="AH11" s="252"/>
      <c r="AI11" s="253"/>
      <c r="AJ11" s="253"/>
      <c r="AK11" s="253"/>
      <c r="AL11" s="253"/>
      <c r="AM11" s="253"/>
      <c r="AN11" s="253"/>
      <c r="AO11" s="253">
        <f>AI11+AJ11+AK11+AL11+AM11+AN11</f>
        <v>0</v>
      </c>
      <c r="AP11" s="240"/>
      <c r="AQ11" s="227" t="s">
        <v>256</v>
      </c>
      <c r="AR11" s="256" t="s">
        <v>120</v>
      </c>
      <c r="AS11" s="256" t="s">
        <v>25</v>
      </c>
      <c r="AT11" s="256" t="s">
        <v>120</v>
      </c>
      <c r="AU11" s="224">
        <v>4145000</v>
      </c>
      <c r="AV11" s="225" t="s">
        <v>257</v>
      </c>
      <c r="AW11" s="226" t="s">
        <v>258</v>
      </c>
      <c r="AX11" s="233" t="s">
        <v>159</v>
      </c>
      <c r="BC11" s="266"/>
      <c r="BD11" s="238"/>
    </row>
    <row r="12" spans="1:58" s="237" customFormat="1" ht="15" customHeight="1" x14ac:dyDescent="0.55000000000000004">
      <c r="A12" s="240">
        <v>44410</v>
      </c>
      <c r="B12" s="227" t="s">
        <v>49</v>
      </c>
      <c r="C12" s="240">
        <v>44298</v>
      </c>
      <c r="D12" s="240"/>
      <c r="E12" s="227" t="s">
        <v>259</v>
      </c>
      <c r="F12" s="227" t="s">
        <v>260</v>
      </c>
      <c r="G12" s="227" t="s">
        <v>261</v>
      </c>
      <c r="H12" s="247" t="s">
        <v>145</v>
      </c>
      <c r="I12" s="227" t="s">
        <v>262</v>
      </c>
      <c r="J12" s="227"/>
      <c r="K12" s="248" t="s">
        <v>263</v>
      </c>
      <c r="L12" s="242" t="s">
        <v>264</v>
      </c>
      <c r="M12" s="227" t="s">
        <v>265</v>
      </c>
      <c r="N12" s="227" t="s">
        <v>266</v>
      </c>
      <c r="O12" s="227" t="s">
        <v>267</v>
      </c>
      <c r="P12" s="249" t="s">
        <v>268</v>
      </c>
      <c r="Q12" s="235" t="s">
        <v>269</v>
      </c>
      <c r="R12" s="227" t="s">
        <v>262</v>
      </c>
      <c r="S12" s="227"/>
      <c r="T12" s="227" t="s">
        <v>263</v>
      </c>
      <c r="U12" s="250">
        <v>2119</v>
      </c>
      <c r="V12" s="227" t="s">
        <v>117</v>
      </c>
      <c r="W12" s="227" t="s">
        <v>118</v>
      </c>
      <c r="X12" s="227"/>
      <c r="Y12" s="227" t="s">
        <v>270</v>
      </c>
      <c r="Z12" s="251">
        <v>200912</v>
      </c>
      <c r="AA12" s="227" t="s">
        <v>10</v>
      </c>
      <c r="AB12" s="227"/>
      <c r="AC12" s="245"/>
      <c r="AD12" s="241"/>
      <c r="AE12" s="241"/>
      <c r="AF12" s="241">
        <f>AD12+AE12</f>
        <v>0</v>
      </c>
      <c r="AG12" s="227"/>
      <c r="AH12" s="252"/>
      <c r="AI12" s="253"/>
      <c r="AJ12" s="253"/>
      <c r="AK12" s="253"/>
      <c r="AL12" s="253"/>
      <c r="AM12" s="253"/>
      <c r="AN12" s="253"/>
      <c r="AO12" s="253">
        <f>AI12+AJ12+AK12+AL12+AM12+AN12</f>
        <v>0</v>
      </c>
      <c r="AP12" s="240"/>
      <c r="AQ12" s="227" t="s">
        <v>271</v>
      </c>
      <c r="AR12" s="231" t="s">
        <v>189</v>
      </c>
      <c r="AS12" s="232" t="s">
        <v>12</v>
      </c>
      <c r="AT12" s="232" t="s">
        <v>120</v>
      </c>
      <c r="AU12" s="241">
        <v>3035000</v>
      </c>
      <c r="AV12" s="254" t="s">
        <v>272</v>
      </c>
      <c r="AW12" s="230" t="s">
        <v>273</v>
      </c>
      <c r="AX12" s="236" t="s">
        <v>274</v>
      </c>
      <c r="AY12" s="260"/>
      <c r="AZ12" s="260"/>
      <c r="BA12" s="260"/>
      <c r="BB12" s="260"/>
      <c r="BC12" s="255" t="str">
        <f ca="1">IF(ISBLANK(AC12),"",IF(AC12&lt;TODAY(),K12,""))</f>
        <v/>
      </c>
      <c r="BD12" s="259"/>
      <c r="BE12" s="227"/>
    </row>
    <row r="13" spans="1:58" s="292" customFormat="1" ht="15" customHeight="1" x14ac:dyDescent="0.55000000000000004">
      <c r="A13" s="290">
        <v>44467</v>
      </c>
      <c r="B13" s="291" t="s">
        <v>49</v>
      </c>
      <c r="E13" s="290">
        <v>44008</v>
      </c>
      <c r="F13" s="304" t="s">
        <v>275</v>
      </c>
      <c r="G13" s="305" t="s">
        <v>276</v>
      </c>
      <c r="H13" s="304" t="s">
        <v>277</v>
      </c>
      <c r="I13" s="306" t="s">
        <v>127</v>
      </c>
      <c r="J13" s="304" t="s">
        <v>278</v>
      </c>
      <c r="K13" s="304"/>
      <c r="L13" s="293" t="s">
        <v>279</v>
      </c>
      <c r="M13" s="300" t="s">
        <v>280</v>
      </c>
      <c r="N13" s="304" t="s">
        <v>281</v>
      </c>
      <c r="O13" s="304" t="s">
        <v>282</v>
      </c>
      <c r="P13" s="304" t="s">
        <v>283</v>
      </c>
      <c r="Q13" s="294" t="s">
        <v>284</v>
      </c>
      <c r="R13" s="307" t="s">
        <v>285</v>
      </c>
      <c r="S13" s="304" t="s">
        <v>286</v>
      </c>
      <c r="T13" s="304"/>
      <c r="U13" s="304" t="s">
        <v>279</v>
      </c>
      <c r="V13" s="295" t="s">
        <v>280</v>
      </c>
      <c r="W13" s="304" t="s">
        <v>117</v>
      </c>
      <c r="X13" s="292" t="s">
        <v>137</v>
      </c>
      <c r="Y13" s="310"/>
      <c r="Z13" s="292" t="s">
        <v>287</v>
      </c>
      <c r="AA13" s="308">
        <v>623848</v>
      </c>
      <c r="AB13" s="292" t="s">
        <v>10</v>
      </c>
      <c r="AD13" s="296"/>
      <c r="AE13" s="297">
        <v>2</v>
      </c>
      <c r="AF13" s="297">
        <v>2</v>
      </c>
      <c r="AG13" s="297">
        <f>AE13+AF13</f>
        <v>4</v>
      </c>
      <c r="AI13" s="298"/>
      <c r="AJ13" s="299"/>
      <c r="AK13" s="299"/>
      <c r="AL13" s="299"/>
      <c r="AM13" s="299"/>
      <c r="AN13" s="299"/>
      <c r="AO13" s="299"/>
      <c r="AP13" s="299">
        <f>AJ13+AK13+AL13+AM13+AN13+AO13</f>
        <v>0</v>
      </c>
      <c r="AQ13" s="290"/>
      <c r="AR13" s="292" t="s">
        <v>288</v>
      </c>
      <c r="AS13" s="300" t="s">
        <v>120</v>
      </c>
      <c r="AT13" s="300" t="s">
        <v>12</v>
      </c>
      <c r="AU13" s="300" t="s">
        <v>120</v>
      </c>
      <c r="AV13" s="301">
        <v>3163000</v>
      </c>
      <c r="AW13" s="312" t="s">
        <v>289</v>
      </c>
      <c r="AX13" s="311" t="s">
        <v>290</v>
      </c>
      <c r="AY13" s="291" t="s">
        <v>159</v>
      </c>
      <c r="BD13" s="302" t="str">
        <f ca="1">IF(ISBLANK(AD13),"",IF(AD13&lt;TODAY(),L13,""))</f>
        <v/>
      </c>
      <c r="BE13" s="309" t="s">
        <v>291</v>
      </c>
      <c r="BF13" s="303"/>
    </row>
  </sheetData>
  <hyperlinks>
    <hyperlink ref="AV10" r:id="rId1" xr:uid="{1B88D37B-ADE1-4070-B434-825F243EFA5F}"/>
    <hyperlink ref="AV9" r:id="rId2" xr:uid="{524BDA8C-DF04-4EAC-B6D0-DB0C27D5D8CD}"/>
    <hyperlink ref="Q12" r:id="rId3" xr:uid="{D0F97C94-A456-4018-8515-6A840ACF30F7}"/>
    <hyperlink ref="AV12" r:id="rId4" xr:uid="{257187D9-2606-43BD-89C0-CB94DD2845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3000000}">
          <x14:formula1>
            <xm:f>Dropdowns!$E$2:$E$12</xm:f>
          </x14:formula1>
          <xm:sqref>B2:B13</xm:sqref>
        </x14:dataValidation>
        <x14:dataValidation type="list" allowBlank="1" showInputMessage="1" showErrorMessage="1" xr:uid="{411BEE42-BB7D-4A30-84E6-46D1EEF88E60}">
          <x14:formula1>
            <xm:f>Dropdowns!$G$2:$G$6</xm:f>
          </x14:formula1>
          <xm:sqref>C13</xm:sqref>
        </x14:dataValidation>
        <x14:dataValidation type="list" allowBlank="1" showInputMessage="1" showErrorMessage="1" xr:uid="{2F05F0B2-7A9B-4DEF-9DA2-E6E1DE42FC27}">
          <x14:formula1>
            <xm:f>Dropdowns!$H$2:$H$14</xm:f>
          </x14:formula1>
          <xm:sqref>D13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F320"/>
  <sheetViews>
    <sheetView tabSelected="1" zoomScale="95" zoomScaleNormal="95" workbookViewId="0">
      <pane ySplit="1" topLeftCell="A85" activePane="bottomLeft" state="frozen"/>
      <selection pane="bottomLeft" activeCell="AX101" sqref="AX101"/>
    </sheetView>
  </sheetViews>
  <sheetFormatPr defaultColWidth="16" defaultRowHeight="15" customHeight="1" x14ac:dyDescent="0.55000000000000004"/>
  <cols>
    <col min="1" max="1" width="13" style="362" customWidth="1"/>
    <col min="2" max="2" width="18.71875" style="233" customWidth="1"/>
    <col min="3" max="3" width="16.5546875" style="228" customWidth="1"/>
    <col min="4" max="4" width="20" style="228" customWidth="1"/>
    <col min="5" max="5" width="13.27734375" style="471" customWidth="1"/>
    <col min="6" max="6" width="26" style="469" customWidth="1"/>
    <col min="7" max="7" width="26.1640625" style="469" customWidth="1"/>
    <col min="8" max="8" width="40.5546875" style="228" customWidth="1"/>
    <col min="9" max="9" width="16" style="386"/>
    <col min="10" max="10" width="18" style="469" customWidth="1"/>
    <col min="11" max="11" width="16" style="469"/>
    <col min="12" max="12" width="16.44140625" style="472" bestFit="1" customWidth="1"/>
    <col min="13" max="13" width="16" style="473" customWidth="1"/>
    <col min="14" max="16" width="16" style="469" customWidth="1"/>
    <col min="17" max="17" width="16" style="474" customWidth="1"/>
    <col min="18" max="18" width="15.71875" style="475" customWidth="1"/>
    <col min="19" max="21" width="16" style="469" customWidth="1"/>
    <col min="22" max="22" width="11" style="476" customWidth="1"/>
    <col min="23" max="23" width="16" style="469" customWidth="1"/>
    <col min="24" max="25" width="16" style="237" customWidth="1"/>
    <col min="26" max="26" width="16" style="228" customWidth="1"/>
    <col min="27" max="27" width="16" style="251" customWidth="1"/>
    <col min="28" max="29" width="16" style="228"/>
    <col min="30" max="30" width="16" style="245"/>
    <col min="31" max="33" width="16" style="359"/>
    <col min="34" max="34" width="16" style="228"/>
    <col min="35" max="35" width="16" style="360"/>
    <col min="36" max="41" width="16" style="361"/>
    <col min="42" max="42" width="16" style="359"/>
    <col min="43" max="43" width="16" style="362"/>
    <col min="44" max="44" width="16" style="227"/>
    <col min="45" max="48" width="16" style="359"/>
    <col min="49" max="49" width="16" style="342"/>
    <col min="50" max="50" width="16" style="363"/>
    <col min="51" max="51" width="20.27734375" style="335" customWidth="1"/>
    <col min="52" max="52" width="16" style="228"/>
    <col min="53" max="55" width="16" style="227"/>
    <col min="56" max="56" width="16" style="246"/>
    <col min="57" max="57" width="16" style="340"/>
    <col min="58" max="16384" width="16" style="228"/>
  </cols>
  <sheetData>
    <row r="1" spans="1:57" s="332" customFormat="1" ht="69" customHeight="1" x14ac:dyDescent="0.4">
      <c r="A1" s="314" t="s">
        <v>53</v>
      </c>
      <c r="B1" s="315" t="s">
        <v>54</v>
      </c>
      <c r="C1" s="316" t="s">
        <v>292</v>
      </c>
      <c r="D1" s="317" t="s">
        <v>7</v>
      </c>
      <c r="E1" s="314" t="s">
        <v>55</v>
      </c>
      <c r="F1" s="318" t="s">
        <v>57</v>
      </c>
      <c r="G1" s="319" t="s">
        <v>58</v>
      </c>
      <c r="H1" s="320" t="s">
        <v>59</v>
      </c>
      <c r="I1" s="316" t="s">
        <v>60</v>
      </c>
      <c r="J1" s="320" t="s">
        <v>61</v>
      </c>
      <c r="K1" s="316" t="s">
        <v>62</v>
      </c>
      <c r="L1" s="318" t="s">
        <v>293</v>
      </c>
      <c r="M1" s="318" t="s">
        <v>64</v>
      </c>
      <c r="N1" s="316" t="s">
        <v>65</v>
      </c>
      <c r="O1" s="316" t="s">
        <v>66</v>
      </c>
      <c r="P1" s="316" t="s">
        <v>67</v>
      </c>
      <c r="Q1" s="321" t="s">
        <v>68</v>
      </c>
      <c r="R1" s="322" t="s">
        <v>69</v>
      </c>
      <c r="S1" s="316" t="s">
        <v>70</v>
      </c>
      <c r="T1" s="316" t="s">
        <v>71</v>
      </c>
      <c r="U1" s="316" t="s">
        <v>72</v>
      </c>
      <c r="V1" s="323" t="s">
        <v>73</v>
      </c>
      <c r="W1" s="316" t="s">
        <v>74</v>
      </c>
      <c r="X1" s="491" t="s">
        <v>75</v>
      </c>
      <c r="Y1" s="491" t="s">
        <v>76</v>
      </c>
      <c r="Z1" s="316" t="s">
        <v>77</v>
      </c>
      <c r="AA1" s="324" t="s">
        <v>78</v>
      </c>
      <c r="AB1" s="316" t="s">
        <v>79</v>
      </c>
      <c r="AC1" s="316" t="s">
        <v>80</v>
      </c>
      <c r="AD1" s="325" t="s">
        <v>81</v>
      </c>
      <c r="AE1" s="316" t="s">
        <v>82</v>
      </c>
      <c r="AF1" s="316" t="s">
        <v>83</v>
      </c>
      <c r="AG1" s="316" t="s">
        <v>84</v>
      </c>
      <c r="AH1" s="320" t="s">
        <v>85</v>
      </c>
      <c r="AI1" s="314" t="s">
        <v>86</v>
      </c>
      <c r="AJ1" s="326" t="s">
        <v>87</v>
      </c>
      <c r="AK1" s="326" t="s">
        <v>88</v>
      </c>
      <c r="AL1" s="326" t="s">
        <v>89</v>
      </c>
      <c r="AM1" s="326" t="s">
        <v>90</v>
      </c>
      <c r="AN1" s="326" t="s">
        <v>91</v>
      </c>
      <c r="AO1" s="326" t="s">
        <v>92</v>
      </c>
      <c r="AP1" s="316" t="s">
        <v>93</v>
      </c>
      <c r="AQ1" s="327" t="s">
        <v>94</v>
      </c>
      <c r="AR1" s="328" t="s">
        <v>95</v>
      </c>
      <c r="AS1" s="316" t="s">
        <v>96</v>
      </c>
      <c r="AT1" s="316" t="s">
        <v>5</v>
      </c>
      <c r="AU1" s="316" t="s">
        <v>97</v>
      </c>
      <c r="AV1" s="316" t="s">
        <v>98</v>
      </c>
      <c r="AW1" s="329" t="s">
        <v>99</v>
      </c>
      <c r="AX1" s="330" t="s">
        <v>100</v>
      </c>
      <c r="AY1" s="331" t="s">
        <v>101</v>
      </c>
      <c r="BD1" s="333" t="s">
        <v>102</v>
      </c>
      <c r="BE1" s="334" t="s">
        <v>103</v>
      </c>
    </row>
    <row r="2" spans="1:57" s="227" customFormat="1" ht="15.75" customHeight="1" x14ac:dyDescent="0.55000000000000004">
      <c r="A2" s="240">
        <v>44376</v>
      </c>
      <c r="B2" s="335" t="s">
        <v>47</v>
      </c>
      <c r="C2" s="227" t="s">
        <v>26</v>
      </c>
      <c r="D2" s="227" t="s">
        <v>46</v>
      </c>
      <c r="E2" s="240">
        <v>44238</v>
      </c>
      <c r="F2" s="227" t="s">
        <v>294</v>
      </c>
      <c r="G2" s="228" t="s">
        <v>295</v>
      </c>
      <c r="H2" s="387" t="s">
        <v>296</v>
      </c>
      <c r="I2" s="247" t="s">
        <v>127</v>
      </c>
      <c r="J2" s="227" t="s">
        <v>297</v>
      </c>
      <c r="L2" s="248" t="s">
        <v>298</v>
      </c>
      <c r="M2" s="242" t="s">
        <v>299</v>
      </c>
      <c r="N2" s="227" t="s">
        <v>300</v>
      </c>
      <c r="O2" s="227" t="s">
        <v>301</v>
      </c>
      <c r="P2" s="227" t="s">
        <v>302</v>
      </c>
      <c r="Q2" s="249" t="s">
        <v>303</v>
      </c>
      <c r="R2" s="336" t="s">
        <v>304</v>
      </c>
      <c r="S2" s="227" t="s">
        <v>305</v>
      </c>
      <c r="U2" s="227" t="s">
        <v>298</v>
      </c>
      <c r="V2" s="337" t="s">
        <v>299</v>
      </c>
      <c r="W2" s="227" t="s">
        <v>117</v>
      </c>
      <c r="X2" s="237" t="s">
        <v>137</v>
      </c>
      <c r="Y2" s="237"/>
      <c r="Z2" s="227" t="s">
        <v>306</v>
      </c>
      <c r="AA2" s="251">
        <v>7027845</v>
      </c>
      <c r="AB2" s="227" t="s">
        <v>203</v>
      </c>
      <c r="AC2" s="227" t="s">
        <v>307</v>
      </c>
      <c r="AD2" s="245">
        <v>44252</v>
      </c>
      <c r="AE2" s="253">
        <f t="shared" ref="AE2:AF4" si="0">AJ2+AL2+AN2</f>
        <v>4</v>
      </c>
      <c r="AF2" s="253">
        <f t="shared" si="0"/>
        <v>4</v>
      </c>
      <c r="AG2" s="241">
        <f t="shared" ref="AG2:AG33" si="1">AE2+AF2</f>
        <v>8</v>
      </c>
      <c r="AH2" s="227" t="s">
        <v>28</v>
      </c>
      <c r="AI2" s="252">
        <v>44264</v>
      </c>
      <c r="AJ2" s="253">
        <v>3</v>
      </c>
      <c r="AK2" s="253">
        <v>4</v>
      </c>
      <c r="AL2" s="253">
        <v>1</v>
      </c>
      <c r="AM2" s="253">
        <v>0</v>
      </c>
      <c r="AN2" s="253">
        <v>0</v>
      </c>
      <c r="AO2" s="253">
        <v>0</v>
      </c>
      <c r="AP2" s="253">
        <f t="shared" ref="AP2:AP33" si="2">AJ2+AK2+AL2+AM2+AN2+AO2</f>
        <v>8</v>
      </c>
      <c r="AQ2" s="240">
        <v>44273</v>
      </c>
      <c r="AR2" s="227" t="s">
        <v>308</v>
      </c>
      <c r="AS2" s="256" t="s">
        <v>120</v>
      </c>
      <c r="AT2" s="256" t="s">
        <v>31</v>
      </c>
      <c r="AU2" s="256" t="s">
        <v>120</v>
      </c>
      <c r="AV2" s="224">
        <v>1008000</v>
      </c>
      <c r="AW2" s="338" t="s">
        <v>309</v>
      </c>
      <c r="AX2" s="339" t="s">
        <v>310</v>
      </c>
      <c r="AY2" s="335" t="s">
        <v>159</v>
      </c>
      <c r="BD2" s="255" t="str">
        <f t="shared" ref="BD2:BD23" ca="1" si="3">IF(ISBLANK(AD2),"",IF(AD2&lt;TODAY(),L2,""))</f>
        <v>Amherst</v>
      </c>
      <c r="BE2" s="340" t="s">
        <v>311</v>
      </c>
    </row>
    <row r="3" spans="1:57" s="227" customFormat="1" ht="15.75" customHeight="1" x14ac:dyDescent="0.55000000000000004">
      <c r="A3" s="240">
        <v>44376</v>
      </c>
      <c r="B3" s="335" t="s">
        <v>47</v>
      </c>
      <c r="C3" s="227" t="s">
        <v>13</v>
      </c>
      <c r="E3" s="240">
        <v>43895</v>
      </c>
      <c r="F3" s="246" t="s">
        <v>312</v>
      </c>
      <c r="G3" s="228" t="s">
        <v>313</v>
      </c>
      <c r="H3" s="248" t="s">
        <v>314</v>
      </c>
      <c r="I3" s="341" t="s">
        <v>145</v>
      </c>
      <c r="J3" s="246" t="s">
        <v>315</v>
      </c>
      <c r="K3" s="246"/>
      <c r="L3" s="248" t="s">
        <v>298</v>
      </c>
      <c r="M3" s="256" t="s">
        <v>299</v>
      </c>
      <c r="N3" s="246" t="s">
        <v>316</v>
      </c>
      <c r="O3" s="246" t="s">
        <v>317</v>
      </c>
      <c r="P3" s="246" t="s">
        <v>243</v>
      </c>
      <c r="Q3" s="249" t="s">
        <v>318</v>
      </c>
      <c r="R3" s="229" t="s">
        <v>319</v>
      </c>
      <c r="S3" s="246" t="s">
        <v>320</v>
      </c>
      <c r="T3" s="246" t="s">
        <v>315</v>
      </c>
      <c r="U3" s="246" t="s">
        <v>321</v>
      </c>
      <c r="V3" s="250" t="s">
        <v>322</v>
      </c>
      <c r="W3" s="246" t="s">
        <v>117</v>
      </c>
      <c r="X3" s="237" t="s">
        <v>118</v>
      </c>
      <c r="Y3" s="266"/>
      <c r="Z3" s="246" t="s">
        <v>323</v>
      </c>
      <c r="AA3" s="261">
        <v>201243</v>
      </c>
      <c r="AB3" s="227" t="s">
        <v>23</v>
      </c>
      <c r="AD3" s="245">
        <v>44082</v>
      </c>
      <c r="AE3" s="253">
        <f t="shared" si="0"/>
        <v>1</v>
      </c>
      <c r="AF3" s="253">
        <f t="shared" si="0"/>
        <v>1</v>
      </c>
      <c r="AG3" s="241">
        <f t="shared" si="1"/>
        <v>2</v>
      </c>
      <c r="AH3" s="227" t="s">
        <v>28</v>
      </c>
      <c r="AI3" s="252">
        <v>44091</v>
      </c>
      <c r="AJ3" s="253">
        <v>1</v>
      </c>
      <c r="AK3" s="241">
        <v>1</v>
      </c>
      <c r="AL3" s="241">
        <v>0</v>
      </c>
      <c r="AM3" s="241">
        <v>0</v>
      </c>
      <c r="AN3" s="241">
        <v>0</v>
      </c>
      <c r="AO3" s="241">
        <v>0</v>
      </c>
      <c r="AP3" s="253">
        <f t="shared" si="2"/>
        <v>2</v>
      </c>
      <c r="AQ3" s="240">
        <v>44137</v>
      </c>
      <c r="AR3" s="227" t="s">
        <v>324</v>
      </c>
      <c r="AS3" s="241" t="s">
        <v>120</v>
      </c>
      <c r="AT3" s="256" t="s">
        <v>31</v>
      </c>
      <c r="AU3" s="256" t="s">
        <v>120</v>
      </c>
      <c r="AV3" s="224">
        <v>1008000</v>
      </c>
      <c r="AW3" s="338" t="s">
        <v>309</v>
      </c>
      <c r="AX3" s="339" t="s">
        <v>310</v>
      </c>
      <c r="AY3" s="335" t="s">
        <v>159</v>
      </c>
      <c r="BD3" s="255" t="str">
        <f t="shared" ca="1" si="3"/>
        <v>Amherst</v>
      </c>
      <c r="BE3" s="259" t="s">
        <v>325</v>
      </c>
    </row>
    <row r="4" spans="1:57" s="227" customFormat="1" ht="15.75" customHeight="1" x14ac:dyDescent="0.55000000000000004">
      <c r="A4" s="240">
        <v>44377</v>
      </c>
      <c r="B4" s="335" t="s">
        <v>47</v>
      </c>
      <c r="C4" s="227" t="s">
        <v>13</v>
      </c>
      <c r="E4" s="240">
        <v>43895</v>
      </c>
      <c r="F4" s="246" t="s">
        <v>326</v>
      </c>
      <c r="G4" s="228" t="s">
        <v>327</v>
      </c>
      <c r="H4" s="248" t="s">
        <v>328</v>
      </c>
      <c r="I4" s="341" t="s">
        <v>145</v>
      </c>
      <c r="J4" s="246" t="s">
        <v>329</v>
      </c>
      <c r="K4" s="246"/>
      <c r="L4" s="248" t="s">
        <v>330</v>
      </c>
      <c r="M4" s="256" t="s">
        <v>331</v>
      </c>
      <c r="N4" s="246" t="s">
        <v>332</v>
      </c>
      <c r="O4" s="246" t="s">
        <v>333</v>
      </c>
      <c r="P4" s="246" t="s">
        <v>334</v>
      </c>
      <c r="Q4" s="249" t="s">
        <v>335</v>
      </c>
      <c r="R4" s="336" t="s">
        <v>336</v>
      </c>
      <c r="S4" s="246" t="s">
        <v>337</v>
      </c>
      <c r="T4" s="246"/>
      <c r="U4" s="246" t="s">
        <v>330</v>
      </c>
      <c r="V4" s="250" t="s">
        <v>331</v>
      </c>
      <c r="W4" s="246" t="s">
        <v>338</v>
      </c>
      <c r="X4" s="237" t="s">
        <v>338</v>
      </c>
      <c r="Y4" s="266" t="s">
        <v>339</v>
      </c>
      <c r="Z4" s="246" t="s">
        <v>340</v>
      </c>
      <c r="AA4" s="261" t="s">
        <v>341</v>
      </c>
      <c r="AB4" s="227" t="s">
        <v>23</v>
      </c>
      <c r="AD4" s="245">
        <v>44026</v>
      </c>
      <c r="AE4" s="253">
        <f t="shared" si="0"/>
        <v>2</v>
      </c>
      <c r="AF4" s="253">
        <f t="shared" si="0"/>
        <v>2</v>
      </c>
      <c r="AG4" s="241">
        <f t="shared" si="1"/>
        <v>4</v>
      </c>
      <c r="AH4" s="227" t="s">
        <v>28</v>
      </c>
      <c r="AI4" s="252">
        <v>44042</v>
      </c>
      <c r="AJ4" s="253">
        <v>2</v>
      </c>
      <c r="AK4" s="241">
        <v>2</v>
      </c>
      <c r="AL4" s="241">
        <v>0</v>
      </c>
      <c r="AM4" s="241">
        <v>0</v>
      </c>
      <c r="AN4" s="241">
        <v>0</v>
      </c>
      <c r="AO4" s="241">
        <v>0</v>
      </c>
      <c r="AP4" s="253">
        <f t="shared" si="2"/>
        <v>4</v>
      </c>
      <c r="AQ4" s="240" t="s">
        <v>342</v>
      </c>
      <c r="AR4" s="227" t="s">
        <v>324</v>
      </c>
      <c r="AS4" s="241" t="s">
        <v>120</v>
      </c>
      <c r="AT4" s="256" t="s">
        <v>31</v>
      </c>
      <c r="AU4" s="256" t="s">
        <v>120</v>
      </c>
      <c r="AV4" s="224">
        <v>1015000</v>
      </c>
      <c r="AW4" s="342" t="s">
        <v>343</v>
      </c>
      <c r="AX4" s="343" t="s">
        <v>344</v>
      </c>
      <c r="AY4" s="335" t="s">
        <v>159</v>
      </c>
      <c r="BD4" s="255" t="str">
        <f t="shared" ca="1" si="3"/>
        <v>Athol</v>
      </c>
      <c r="BE4" s="259"/>
    </row>
    <row r="5" spans="1:57" s="227" customFormat="1" ht="15.75" customHeight="1" x14ac:dyDescent="1.05">
      <c r="A5" s="239">
        <v>44377</v>
      </c>
      <c r="B5" s="335" t="s">
        <v>47</v>
      </c>
      <c r="C5" s="227" t="s">
        <v>26</v>
      </c>
      <c r="D5" s="227" t="s">
        <v>46</v>
      </c>
      <c r="E5" s="239">
        <v>44298</v>
      </c>
      <c r="F5" s="237" t="s">
        <v>345</v>
      </c>
      <c r="G5" s="237" t="s">
        <v>346</v>
      </c>
      <c r="H5" s="496" t="s">
        <v>347</v>
      </c>
      <c r="I5" s="344" t="s">
        <v>127</v>
      </c>
      <c r="J5" s="237" t="s">
        <v>348</v>
      </c>
      <c r="K5" s="237"/>
      <c r="L5" s="345" t="s">
        <v>349</v>
      </c>
      <c r="M5" s="346" t="s">
        <v>350</v>
      </c>
      <c r="N5" s="237" t="s">
        <v>351</v>
      </c>
      <c r="O5" s="237" t="s">
        <v>352</v>
      </c>
      <c r="P5" s="237" t="s">
        <v>353</v>
      </c>
      <c r="Q5" s="347" t="s">
        <v>354</v>
      </c>
      <c r="R5" s="348" t="s">
        <v>355</v>
      </c>
      <c r="S5" s="237" t="s">
        <v>348</v>
      </c>
      <c r="T5" s="237"/>
      <c r="U5" s="237" t="s">
        <v>349</v>
      </c>
      <c r="V5" s="349">
        <v>1007</v>
      </c>
      <c r="W5" s="237" t="s">
        <v>155</v>
      </c>
      <c r="X5" s="237" t="s">
        <v>118</v>
      </c>
      <c r="Y5" s="237"/>
      <c r="Z5" s="228" t="s">
        <v>356</v>
      </c>
      <c r="AA5" s="223">
        <v>606795</v>
      </c>
      <c r="AB5" s="237" t="s">
        <v>203</v>
      </c>
      <c r="AC5" s="237"/>
      <c r="AD5" s="245">
        <v>44348</v>
      </c>
      <c r="AE5" s="244">
        <v>2</v>
      </c>
      <c r="AF5" s="244">
        <v>2</v>
      </c>
      <c r="AG5" s="241">
        <f t="shared" si="1"/>
        <v>4</v>
      </c>
      <c r="AH5" s="237" t="s">
        <v>28</v>
      </c>
      <c r="AI5" s="257">
        <v>44358</v>
      </c>
      <c r="AJ5" s="258">
        <v>0</v>
      </c>
      <c r="AK5" s="258">
        <v>2</v>
      </c>
      <c r="AL5" s="258">
        <v>2</v>
      </c>
      <c r="AM5" s="258">
        <v>0</v>
      </c>
      <c r="AN5" s="258">
        <v>0</v>
      </c>
      <c r="AO5" s="258">
        <v>0</v>
      </c>
      <c r="AP5" s="253">
        <f t="shared" si="2"/>
        <v>4</v>
      </c>
      <c r="AQ5" s="239">
        <v>44363</v>
      </c>
      <c r="AR5" s="237"/>
      <c r="AS5" s="231" t="s">
        <v>120</v>
      </c>
      <c r="AT5" s="232" t="s">
        <v>31</v>
      </c>
      <c r="AU5" s="232" t="s">
        <v>29</v>
      </c>
      <c r="AV5" s="244">
        <v>1024000</v>
      </c>
      <c r="AW5" s="313" t="s">
        <v>343</v>
      </c>
      <c r="AX5" s="350" t="s">
        <v>357</v>
      </c>
      <c r="AY5" s="233" t="s">
        <v>159</v>
      </c>
      <c r="BD5" s="255" t="str">
        <f t="shared" ca="1" si="3"/>
        <v>Belchertown</v>
      </c>
      <c r="BE5" s="340"/>
    </row>
    <row r="6" spans="1:57" s="227" customFormat="1" ht="15.75" customHeight="1" x14ac:dyDescent="0.55000000000000004">
      <c r="A6" s="240">
        <v>44383</v>
      </c>
      <c r="B6" s="335" t="s">
        <v>47</v>
      </c>
      <c r="C6" s="227" t="s">
        <v>13</v>
      </c>
      <c r="E6" s="240">
        <v>44295</v>
      </c>
      <c r="F6" s="227" t="s">
        <v>358</v>
      </c>
      <c r="G6" s="227" t="s">
        <v>359</v>
      </c>
      <c r="H6" s="387" t="s">
        <v>360</v>
      </c>
      <c r="I6" s="247" t="s">
        <v>127</v>
      </c>
      <c r="J6" s="227" t="s">
        <v>361</v>
      </c>
      <c r="L6" s="248" t="s">
        <v>362</v>
      </c>
      <c r="M6" s="242" t="s">
        <v>363</v>
      </c>
      <c r="N6" s="227" t="s">
        <v>364</v>
      </c>
      <c r="O6" s="227" t="s">
        <v>365</v>
      </c>
      <c r="P6" s="227" t="s">
        <v>366</v>
      </c>
      <c r="Q6" s="249" t="s">
        <v>367</v>
      </c>
      <c r="R6" s="348" t="s">
        <v>368</v>
      </c>
      <c r="S6" s="227" t="s">
        <v>361</v>
      </c>
      <c r="U6" s="227" t="s">
        <v>362</v>
      </c>
      <c r="V6" s="250">
        <v>2019</v>
      </c>
      <c r="W6" s="227" t="s">
        <v>155</v>
      </c>
      <c r="X6" s="237" t="s">
        <v>137</v>
      </c>
      <c r="Y6" s="237"/>
      <c r="Z6" s="227" t="s">
        <v>369</v>
      </c>
      <c r="AA6" s="223" t="s">
        <v>370</v>
      </c>
      <c r="AB6" s="227" t="s">
        <v>203</v>
      </c>
      <c r="AD6" s="245">
        <v>44326</v>
      </c>
      <c r="AE6" s="241">
        <v>3</v>
      </c>
      <c r="AF6" s="241">
        <v>3</v>
      </c>
      <c r="AG6" s="241">
        <f t="shared" si="1"/>
        <v>6</v>
      </c>
      <c r="AH6" s="227" t="s">
        <v>38</v>
      </c>
      <c r="AI6" s="252">
        <v>44371</v>
      </c>
      <c r="AJ6" s="253">
        <v>3</v>
      </c>
      <c r="AK6" s="253">
        <v>3</v>
      </c>
      <c r="AL6" s="253">
        <v>0</v>
      </c>
      <c r="AM6" s="253">
        <v>0</v>
      </c>
      <c r="AN6" s="253">
        <v>0</v>
      </c>
      <c r="AO6" s="253">
        <v>0</v>
      </c>
      <c r="AP6" s="253">
        <f t="shared" si="2"/>
        <v>6</v>
      </c>
      <c r="AQ6" s="240">
        <v>44372</v>
      </c>
      <c r="AR6" s="227" t="s">
        <v>371</v>
      </c>
      <c r="AS6" s="241" t="s">
        <v>120</v>
      </c>
      <c r="AT6" s="241" t="s">
        <v>19</v>
      </c>
      <c r="AU6" s="241" t="s">
        <v>120</v>
      </c>
      <c r="AV6" s="351">
        <v>2025000</v>
      </c>
      <c r="AW6" s="342" t="s">
        <v>343</v>
      </c>
      <c r="AX6" s="339" t="s">
        <v>372</v>
      </c>
      <c r="AY6" s="335" t="s">
        <v>159</v>
      </c>
      <c r="BD6" s="255" t="str">
        <f t="shared" ca="1" si="3"/>
        <v>Bellingham</v>
      </c>
      <c r="BE6" s="259" t="s">
        <v>373</v>
      </c>
    </row>
    <row r="7" spans="1:57" s="227" customFormat="1" ht="15.75" customHeight="1" x14ac:dyDescent="0.55000000000000004">
      <c r="A7" s="240">
        <v>44377</v>
      </c>
      <c r="B7" s="335" t="s">
        <v>47</v>
      </c>
      <c r="C7" s="227" t="s">
        <v>13</v>
      </c>
      <c r="E7" s="240">
        <v>43896</v>
      </c>
      <c r="F7" s="246" t="s">
        <v>374</v>
      </c>
      <c r="G7" s="228" t="s">
        <v>375</v>
      </c>
      <c r="H7" s="248" t="s">
        <v>376</v>
      </c>
      <c r="I7" s="341" t="s">
        <v>145</v>
      </c>
      <c r="J7" s="246" t="s">
        <v>377</v>
      </c>
      <c r="K7" s="246"/>
      <c r="L7" s="248" t="s">
        <v>378</v>
      </c>
      <c r="M7" s="256" t="s">
        <v>379</v>
      </c>
      <c r="N7" s="246" t="s">
        <v>380</v>
      </c>
      <c r="O7" s="246" t="s">
        <v>381</v>
      </c>
      <c r="P7" s="246" t="s">
        <v>382</v>
      </c>
      <c r="Q7" s="249" t="s">
        <v>383</v>
      </c>
      <c r="R7" s="336" t="s">
        <v>384</v>
      </c>
      <c r="S7" s="246" t="s">
        <v>385</v>
      </c>
      <c r="T7" s="246"/>
      <c r="U7" s="246" t="s">
        <v>378</v>
      </c>
      <c r="V7" s="250" t="s">
        <v>379</v>
      </c>
      <c r="W7" s="246" t="s">
        <v>117</v>
      </c>
      <c r="X7" s="237" t="s">
        <v>118</v>
      </c>
      <c r="Y7" s="266"/>
      <c r="Z7" s="246" t="s">
        <v>386</v>
      </c>
      <c r="AA7" s="352" t="s">
        <v>387</v>
      </c>
      <c r="AB7" s="227" t="s">
        <v>10</v>
      </c>
      <c r="AC7" s="227" t="s">
        <v>388</v>
      </c>
      <c r="AD7" s="245">
        <v>44155</v>
      </c>
      <c r="AE7" s="253">
        <f>AJ7+AL7+AN7</f>
        <v>17</v>
      </c>
      <c r="AF7" s="253">
        <f>AK7+AM7+AO7</f>
        <v>17</v>
      </c>
      <c r="AG7" s="241">
        <f t="shared" si="1"/>
        <v>34</v>
      </c>
      <c r="AH7" s="227" t="s">
        <v>38</v>
      </c>
      <c r="AI7" s="252">
        <v>44155</v>
      </c>
      <c r="AJ7" s="253">
        <v>17</v>
      </c>
      <c r="AK7" s="241">
        <v>17</v>
      </c>
      <c r="AL7" s="241">
        <v>0</v>
      </c>
      <c r="AM7" s="241">
        <v>0</v>
      </c>
      <c r="AN7" s="241">
        <v>0</v>
      </c>
      <c r="AO7" s="241">
        <v>0</v>
      </c>
      <c r="AP7" s="253">
        <f t="shared" si="2"/>
        <v>34</v>
      </c>
      <c r="AQ7" s="240" t="s">
        <v>389</v>
      </c>
      <c r="AR7" s="227" t="s">
        <v>390</v>
      </c>
      <c r="AS7" s="256" t="s">
        <v>189</v>
      </c>
      <c r="AT7" s="256" t="s">
        <v>12</v>
      </c>
      <c r="AU7" s="256" t="s">
        <v>120</v>
      </c>
      <c r="AV7" s="241">
        <v>3035000</v>
      </c>
      <c r="AW7" s="233" t="s">
        <v>272</v>
      </c>
      <c r="AX7" s="343" t="s">
        <v>273</v>
      </c>
      <c r="AY7" s="335" t="s">
        <v>159</v>
      </c>
      <c r="BD7" s="255" t="str">
        <f t="shared" ca="1" si="3"/>
        <v>Brighton</v>
      </c>
      <c r="BE7" s="340" t="s">
        <v>391</v>
      </c>
    </row>
    <row r="8" spans="1:57" s="227" customFormat="1" ht="15.75" customHeight="1" x14ac:dyDescent="0.55000000000000004">
      <c r="A8" s="240">
        <v>44284</v>
      </c>
      <c r="B8" s="353" t="s">
        <v>47</v>
      </c>
      <c r="C8" s="227" t="s">
        <v>20</v>
      </c>
      <c r="D8" s="227" t="s">
        <v>52</v>
      </c>
      <c r="E8" s="240">
        <v>44225</v>
      </c>
      <c r="F8" s="227" t="s">
        <v>392</v>
      </c>
      <c r="G8" s="228" t="s">
        <v>393</v>
      </c>
      <c r="H8" s="387" t="s">
        <v>394</v>
      </c>
      <c r="I8" s="247" t="s">
        <v>145</v>
      </c>
      <c r="J8" s="227" t="s">
        <v>395</v>
      </c>
      <c r="L8" s="248" t="s">
        <v>396</v>
      </c>
      <c r="M8" s="242" t="s">
        <v>397</v>
      </c>
      <c r="N8" s="227" t="s">
        <v>398</v>
      </c>
      <c r="O8" s="227" t="s">
        <v>399</v>
      </c>
      <c r="P8" s="227" t="s">
        <v>400</v>
      </c>
      <c r="Q8" s="249" t="s">
        <v>401</v>
      </c>
      <c r="R8" s="336" t="s">
        <v>402</v>
      </c>
      <c r="S8" s="227" t="s">
        <v>403</v>
      </c>
      <c r="U8" s="227" t="s">
        <v>396</v>
      </c>
      <c r="V8" s="337" t="s">
        <v>397</v>
      </c>
      <c r="W8" s="227" t="s">
        <v>117</v>
      </c>
      <c r="X8" s="237" t="s">
        <v>118</v>
      </c>
      <c r="Y8" s="237"/>
      <c r="Z8" s="227" t="s">
        <v>404</v>
      </c>
      <c r="AA8" s="251">
        <v>200321</v>
      </c>
      <c r="AB8" s="227" t="s">
        <v>23</v>
      </c>
      <c r="AD8" s="245">
        <v>44251</v>
      </c>
      <c r="AE8" s="241">
        <v>2</v>
      </c>
      <c r="AF8" s="241">
        <v>2</v>
      </c>
      <c r="AG8" s="241">
        <f t="shared" si="1"/>
        <v>4</v>
      </c>
      <c r="AH8" s="227" t="s">
        <v>405</v>
      </c>
      <c r="AI8" s="252">
        <v>44263</v>
      </c>
      <c r="AJ8" s="253">
        <v>1</v>
      </c>
      <c r="AK8" s="253">
        <v>2</v>
      </c>
      <c r="AL8" s="253">
        <v>1</v>
      </c>
      <c r="AM8" s="253">
        <v>0</v>
      </c>
      <c r="AN8" s="253">
        <v>0</v>
      </c>
      <c r="AO8" s="253">
        <v>0</v>
      </c>
      <c r="AP8" s="253">
        <f t="shared" si="2"/>
        <v>4</v>
      </c>
      <c r="AQ8" s="240">
        <v>44284</v>
      </c>
      <c r="AR8" s="227" t="s">
        <v>406</v>
      </c>
      <c r="AS8" s="256" t="s">
        <v>189</v>
      </c>
      <c r="AT8" s="256" t="s">
        <v>25</v>
      </c>
      <c r="AU8" s="256" t="s">
        <v>120</v>
      </c>
      <c r="AV8" s="224">
        <v>4050000</v>
      </c>
      <c r="AW8" s="226" t="s">
        <v>407</v>
      </c>
      <c r="AX8" s="339" t="s">
        <v>408</v>
      </c>
      <c r="AY8" s="335" t="s">
        <v>159</v>
      </c>
      <c r="BD8" s="255" t="str">
        <f t="shared" ca="1" si="3"/>
        <v>Canton</v>
      </c>
      <c r="BE8" s="354" t="s">
        <v>409</v>
      </c>
    </row>
    <row r="9" spans="1:57" s="227" customFormat="1" ht="15.75" customHeight="1" x14ac:dyDescent="0.55000000000000004">
      <c r="A9" s="240">
        <v>44377</v>
      </c>
      <c r="B9" s="335" t="s">
        <v>47</v>
      </c>
      <c r="C9" s="227" t="s">
        <v>20</v>
      </c>
      <c r="D9" s="227" t="s">
        <v>37</v>
      </c>
      <c r="E9" s="240">
        <v>43986</v>
      </c>
      <c r="F9" s="227" t="s">
        <v>410</v>
      </c>
      <c r="G9" s="228" t="s">
        <v>411</v>
      </c>
      <c r="H9" s="387" t="s">
        <v>412</v>
      </c>
      <c r="I9" s="247" t="s">
        <v>145</v>
      </c>
      <c r="J9" s="227" t="s">
        <v>413</v>
      </c>
      <c r="L9" s="248" t="s">
        <v>414</v>
      </c>
      <c r="M9" s="242" t="s">
        <v>415</v>
      </c>
      <c r="N9" s="227" t="s">
        <v>416</v>
      </c>
      <c r="O9" s="227" t="s">
        <v>417</v>
      </c>
      <c r="P9" s="246" t="s">
        <v>243</v>
      </c>
      <c r="Q9" s="249" t="s">
        <v>418</v>
      </c>
      <c r="R9" s="336" t="s">
        <v>419</v>
      </c>
      <c r="S9" s="227" t="s">
        <v>420</v>
      </c>
      <c r="U9" s="227" t="s">
        <v>421</v>
      </c>
      <c r="V9" s="337" t="s">
        <v>422</v>
      </c>
      <c r="W9" s="227" t="s">
        <v>117</v>
      </c>
      <c r="X9" s="237" t="s">
        <v>137</v>
      </c>
      <c r="Y9" s="237"/>
      <c r="Z9" s="227" t="s">
        <v>423</v>
      </c>
      <c r="AA9" s="251">
        <v>8031747</v>
      </c>
      <c r="AB9" s="227" t="s">
        <v>203</v>
      </c>
      <c r="AD9" s="245">
        <v>44044</v>
      </c>
      <c r="AE9" s="253">
        <f>AJ9+AL9+AN9</f>
        <v>9</v>
      </c>
      <c r="AF9" s="253">
        <f>AK9+AM9+AO9</f>
        <v>9</v>
      </c>
      <c r="AG9" s="241">
        <f t="shared" si="1"/>
        <v>18</v>
      </c>
      <c r="AH9" s="227" t="s">
        <v>28</v>
      </c>
      <c r="AI9" s="252">
        <v>44063</v>
      </c>
      <c r="AJ9" s="253">
        <v>0</v>
      </c>
      <c r="AK9" s="253">
        <v>1</v>
      </c>
      <c r="AL9" s="253">
        <v>6</v>
      </c>
      <c r="AM9" s="253">
        <v>6</v>
      </c>
      <c r="AN9" s="253">
        <v>3</v>
      </c>
      <c r="AO9" s="253">
        <v>2</v>
      </c>
      <c r="AP9" s="253">
        <f t="shared" si="2"/>
        <v>18</v>
      </c>
      <c r="AQ9" s="240">
        <v>44146</v>
      </c>
      <c r="AR9" s="227" t="s">
        <v>424</v>
      </c>
      <c r="AS9" s="241" t="s">
        <v>120</v>
      </c>
      <c r="AT9" s="256" t="s">
        <v>31</v>
      </c>
      <c r="AU9" s="256" t="s">
        <v>120</v>
      </c>
      <c r="AV9" s="224">
        <v>1058000</v>
      </c>
      <c r="AW9" s="226" t="s">
        <v>425</v>
      </c>
      <c r="AX9" s="339" t="s">
        <v>426</v>
      </c>
      <c r="AY9" s="335" t="s">
        <v>159</v>
      </c>
      <c r="BD9" s="255" t="str">
        <f t="shared" ca="1" si="3"/>
        <v>Cheshire</v>
      </c>
      <c r="BE9" s="259" t="s">
        <v>427</v>
      </c>
    </row>
    <row r="10" spans="1:57" s="227" customFormat="1" ht="14.5" customHeight="1" x14ac:dyDescent="0.55000000000000004">
      <c r="A10" s="239">
        <v>44397</v>
      </c>
      <c r="B10" s="353" t="s">
        <v>47</v>
      </c>
      <c r="C10" s="237" t="s">
        <v>13</v>
      </c>
      <c r="D10" s="237"/>
      <c r="E10" s="239">
        <v>44358</v>
      </c>
      <c r="F10" s="233" t="s">
        <v>428</v>
      </c>
      <c r="G10" s="228" t="s">
        <v>429</v>
      </c>
      <c r="H10" s="356" t="s">
        <v>430</v>
      </c>
      <c r="I10" s="355" t="s">
        <v>431</v>
      </c>
      <c r="J10" s="228" t="s">
        <v>432</v>
      </c>
      <c r="K10" s="233"/>
      <c r="L10" s="356" t="s">
        <v>433</v>
      </c>
      <c r="M10" s="357" t="s">
        <v>434</v>
      </c>
      <c r="N10" s="233" t="s">
        <v>166</v>
      </c>
      <c r="O10" s="228" t="s">
        <v>435</v>
      </c>
      <c r="P10" s="228" t="s">
        <v>243</v>
      </c>
      <c r="Q10" s="233" t="s">
        <v>436</v>
      </c>
      <c r="R10" s="228" t="s">
        <v>437</v>
      </c>
      <c r="S10" s="233" t="s">
        <v>438</v>
      </c>
      <c r="T10" s="233" t="s">
        <v>439</v>
      </c>
      <c r="U10" s="228" t="s">
        <v>433</v>
      </c>
      <c r="V10" s="358" t="s">
        <v>434</v>
      </c>
      <c r="W10" s="233" t="s">
        <v>155</v>
      </c>
      <c r="X10" s="353" t="s">
        <v>137</v>
      </c>
      <c r="Y10" s="237"/>
      <c r="Z10" s="228" t="s">
        <v>440</v>
      </c>
      <c r="AA10" s="223" t="s">
        <v>441</v>
      </c>
      <c r="AB10" s="228" t="s">
        <v>442</v>
      </c>
      <c r="AC10" s="228" t="s">
        <v>443</v>
      </c>
      <c r="AD10" s="245">
        <v>44373</v>
      </c>
      <c r="AE10" s="359">
        <v>17</v>
      </c>
      <c r="AF10" s="359">
        <v>17</v>
      </c>
      <c r="AG10" s="241">
        <f t="shared" si="1"/>
        <v>34</v>
      </c>
      <c r="AH10" s="228" t="s">
        <v>38</v>
      </c>
      <c r="AI10" s="360">
        <v>44386</v>
      </c>
      <c r="AJ10" s="361">
        <v>17</v>
      </c>
      <c r="AK10" s="361">
        <v>17</v>
      </c>
      <c r="AL10" s="361">
        <v>0</v>
      </c>
      <c r="AM10" s="361">
        <v>0</v>
      </c>
      <c r="AN10" s="361">
        <v>0</v>
      </c>
      <c r="AO10" s="361">
        <v>0</v>
      </c>
      <c r="AP10" s="253">
        <f t="shared" si="2"/>
        <v>34</v>
      </c>
      <c r="AQ10" s="362">
        <v>44397</v>
      </c>
      <c r="AS10" s="359" t="s">
        <v>120</v>
      </c>
      <c r="AT10" s="244" t="s">
        <v>12</v>
      </c>
      <c r="AU10" s="244" t="s">
        <v>120</v>
      </c>
      <c r="AV10" s="244">
        <v>3035000</v>
      </c>
      <c r="AW10" s="233" t="s">
        <v>272</v>
      </c>
      <c r="AX10" s="339" t="s">
        <v>273</v>
      </c>
      <c r="AY10" s="335" t="s">
        <v>159</v>
      </c>
      <c r="BD10" s="255" t="str">
        <f t="shared" ca="1" si="3"/>
        <v>Chestnut Hill</v>
      </c>
      <c r="BE10" s="259" t="s">
        <v>444</v>
      </c>
    </row>
    <row r="11" spans="1:57" s="227" customFormat="1" ht="15.75" customHeight="1" x14ac:dyDescent="0.55000000000000004">
      <c r="A11" s="240">
        <v>44383</v>
      </c>
      <c r="B11" s="335" t="s">
        <v>47</v>
      </c>
      <c r="C11" s="227" t="s">
        <v>13</v>
      </c>
      <c r="E11" s="240">
        <v>43894</v>
      </c>
      <c r="F11" s="246" t="s">
        <v>445</v>
      </c>
      <c r="G11" s="228" t="s">
        <v>446</v>
      </c>
      <c r="H11" s="248" t="s">
        <v>447</v>
      </c>
      <c r="I11" s="247" t="s">
        <v>145</v>
      </c>
      <c r="J11" s="246" t="s">
        <v>448</v>
      </c>
      <c r="K11" s="246"/>
      <c r="L11" s="248" t="s">
        <v>449</v>
      </c>
      <c r="M11" s="256" t="s">
        <v>450</v>
      </c>
      <c r="N11" s="246" t="s">
        <v>451</v>
      </c>
      <c r="O11" s="246" t="s">
        <v>452</v>
      </c>
      <c r="P11" s="246" t="s">
        <v>453</v>
      </c>
      <c r="Q11" s="249" t="s">
        <v>454</v>
      </c>
      <c r="R11" s="336" t="s">
        <v>455</v>
      </c>
      <c r="S11" s="246" t="s">
        <v>456</v>
      </c>
      <c r="T11" s="246"/>
      <c r="U11" s="246" t="s">
        <v>449</v>
      </c>
      <c r="V11" s="250" t="s">
        <v>450</v>
      </c>
      <c r="W11" s="246" t="s">
        <v>117</v>
      </c>
      <c r="X11" s="237" t="s">
        <v>118</v>
      </c>
      <c r="Y11" s="266"/>
      <c r="Z11" s="246" t="s">
        <v>457</v>
      </c>
      <c r="AA11" s="261">
        <v>201563</v>
      </c>
      <c r="AB11" s="227" t="s">
        <v>203</v>
      </c>
      <c r="AC11" s="227" t="s">
        <v>458</v>
      </c>
      <c r="AD11" s="245">
        <v>44166</v>
      </c>
      <c r="AE11" s="253">
        <f t="shared" ref="AE11:AF13" si="4">AJ11+AL11+AN11</f>
        <v>1</v>
      </c>
      <c r="AF11" s="253">
        <f t="shared" si="4"/>
        <v>1</v>
      </c>
      <c r="AG11" s="241">
        <f t="shared" si="1"/>
        <v>2</v>
      </c>
      <c r="AH11" s="227" t="s">
        <v>28</v>
      </c>
      <c r="AI11" s="252">
        <v>44180</v>
      </c>
      <c r="AJ11" s="253">
        <v>1</v>
      </c>
      <c r="AK11" s="241">
        <v>1</v>
      </c>
      <c r="AL11" s="241">
        <v>0</v>
      </c>
      <c r="AM11" s="241">
        <v>0</v>
      </c>
      <c r="AN11" s="241">
        <v>0</v>
      </c>
      <c r="AO11" s="241">
        <v>0</v>
      </c>
      <c r="AP11" s="253">
        <f t="shared" si="2"/>
        <v>2</v>
      </c>
      <c r="AQ11" s="240" t="s">
        <v>459</v>
      </c>
      <c r="AS11" s="256" t="s">
        <v>189</v>
      </c>
      <c r="AT11" s="256" t="s">
        <v>31</v>
      </c>
      <c r="AU11" s="256" t="s">
        <v>120</v>
      </c>
      <c r="AV11" s="224">
        <v>1061000</v>
      </c>
      <c r="AW11" s="342" t="s">
        <v>343</v>
      </c>
      <c r="AX11" s="363" t="s">
        <v>460</v>
      </c>
      <c r="AY11" s="335" t="s">
        <v>159</v>
      </c>
      <c r="BD11" s="255" t="str">
        <f t="shared" ca="1" si="3"/>
        <v>Chicopee</v>
      </c>
      <c r="BE11" s="259"/>
    </row>
    <row r="12" spans="1:57" s="227" customFormat="1" ht="15.75" customHeight="1" x14ac:dyDescent="0.55000000000000004">
      <c r="A12" s="240">
        <v>44377</v>
      </c>
      <c r="B12" s="335" t="s">
        <v>47</v>
      </c>
      <c r="C12" s="227" t="s">
        <v>20</v>
      </c>
      <c r="D12" s="227" t="s">
        <v>33</v>
      </c>
      <c r="E12" s="240">
        <v>43895</v>
      </c>
      <c r="F12" s="246" t="s">
        <v>461</v>
      </c>
      <c r="G12" s="228" t="s">
        <v>462</v>
      </c>
      <c r="H12" s="248" t="s">
        <v>463</v>
      </c>
      <c r="I12" s="341" t="s">
        <v>145</v>
      </c>
      <c r="J12" s="246" t="s">
        <v>464</v>
      </c>
      <c r="K12" s="246"/>
      <c r="L12" s="248" t="s">
        <v>449</v>
      </c>
      <c r="M12" s="256" t="s">
        <v>465</v>
      </c>
      <c r="N12" s="246" t="s">
        <v>466</v>
      </c>
      <c r="O12" s="246" t="s">
        <v>467</v>
      </c>
      <c r="P12" s="246" t="s">
        <v>151</v>
      </c>
      <c r="Q12" s="249" t="s">
        <v>468</v>
      </c>
      <c r="R12" s="229" t="s">
        <v>469</v>
      </c>
      <c r="S12" s="246" t="s">
        <v>470</v>
      </c>
      <c r="T12" s="246"/>
      <c r="U12" s="246" t="s">
        <v>449</v>
      </c>
      <c r="V12" s="250" t="s">
        <v>465</v>
      </c>
      <c r="W12" s="246" t="s">
        <v>155</v>
      </c>
      <c r="X12" s="237" t="s">
        <v>137</v>
      </c>
      <c r="Y12" s="266"/>
      <c r="Z12" s="246" t="s">
        <v>471</v>
      </c>
      <c r="AA12" s="261">
        <v>290324</v>
      </c>
      <c r="AB12" s="227" t="s">
        <v>203</v>
      </c>
      <c r="AD12" s="245">
        <v>44043</v>
      </c>
      <c r="AE12" s="253">
        <f t="shared" si="4"/>
        <v>13</v>
      </c>
      <c r="AF12" s="253">
        <f t="shared" si="4"/>
        <v>13</v>
      </c>
      <c r="AG12" s="241">
        <f t="shared" si="1"/>
        <v>26</v>
      </c>
      <c r="AH12" s="227" t="s">
        <v>28</v>
      </c>
      <c r="AI12" s="252">
        <v>44054</v>
      </c>
      <c r="AJ12" s="253">
        <v>13</v>
      </c>
      <c r="AK12" s="253">
        <v>13</v>
      </c>
      <c r="AL12" s="253">
        <v>0</v>
      </c>
      <c r="AM12" s="253">
        <v>0</v>
      </c>
      <c r="AN12" s="253">
        <v>0</v>
      </c>
      <c r="AO12" s="253">
        <v>0</v>
      </c>
      <c r="AP12" s="253">
        <f t="shared" si="2"/>
        <v>26</v>
      </c>
      <c r="AQ12" s="240" t="s">
        <v>472</v>
      </c>
      <c r="AR12" s="227" t="s">
        <v>473</v>
      </c>
      <c r="AS12" s="241" t="s">
        <v>189</v>
      </c>
      <c r="AT12" s="256" t="s">
        <v>31</v>
      </c>
      <c r="AU12" s="256" t="s">
        <v>120</v>
      </c>
      <c r="AV12" s="224">
        <v>1061000</v>
      </c>
      <c r="AW12" s="342" t="s">
        <v>343</v>
      </c>
      <c r="AX12" s="363" t="s">
        <v>460</v>
      </c>
      <c r="AY12" s="335" t="s">
        <v>159</v>
      </c>
      <c r="BD12" s="255" t="str">
        <f t="shared" ca="1" si="3"/>
        <v>Chicopee</v>
      </c>
      <c r="BE12" s="259" t="s">
        <v>474</v>
      </c>
    </row>
    <row r="13" spans="1:57" s="227" customFormat="1" ht="15.75" customHeight="1" x14ac:dyDescent="0.55000000000000004">
      <c r="A13" s="240">
        <v>44383</v>
      </c>
      <c r="B13" s="335" t="s">
        <v>47</v>
      </c>
      <c r="C13" s="227" t="s">
        <v>13</v>
      </c>
      <c r="E13" s="240">
        <v>43894</v>
      </c>
      <c r="F13" s="246" t="s">
        <v>475</v>
      </c>
      <c r="G13" s="228" t="s">
        <v>476</v>
      </c>
      <c r="H13" s="248" t="s">
        <v>477</v>
      </c>
      <c r="I13" s="247" t="s">
        <v>145</v>
      </c>
      <c r="J13" s="246" t="s">
        <v>478</v>
      </c>
      <c r="K13" s="246"/>
      <c r="L13" s="248" t="s">
        <v>449</v>
      </c>
      <c r="M13" s="256" t="s">
        <v>479</v>
      </c>
      <c r="N13" s="246" t="s">
        <v>480</v>
      </c>
      <c r="O13" s="246" t="s">
        <v>481</v>
      </c>
      <c r="P13" s="246" t="s">
        <v>114</v>
      </c>
      <c r="Q13" s="249" t="s">
        <v>482</v>
      </c>
      <c r="R13" s="336" t="s">
        <v>483</v>
      </c>
      <c r="S13" s="246" t="s">
        <v>484</v>
      </c>
      <c r="T13" s="246"/>
      <c r="U13" s="246" t="s">
        <v>449</v>
      </c>
      <c r="V13" s="250" t="s">
        <v>479</v>
      </c>
      <c r="W13" s="246" t="s">
        <v>117</v>
      </c>
      <c r="X13" s="237" t="s">
        <v>118</v>
      </c>
      <c r="Y13" s="266"/>
      <c r="Z13" s="246" t="s">
        <v>485</v>
      </c>
      <c r="AA13" s="261">
        <v>300304</v>
      </c>
      <c r="AB13" s="227" t="s">
        <v>203</v>
      </c>
      <c r="AD13" s="245">
        <v>44082</v>
      </c>
      <c r="AE13" s="253">
        <f t="shared" si="4"/>
        <v>3</v>
      </c>
      <c r="AF13" s="253">
        <f t="shared" si="4"/>
        <v>3</v>
      </c>
      <c r="AG13" s="241">
        <f t="shared" si="1"/>
        <v>6</v>
      </c>
      <c r="AH13" s="227" t="s">
        <v>28</v>
      </c>
      <c r="AI13" s="252">
        <v>44091</v>
      </c>
      <c r="AJ13" s="253">
        <v>3</v>
      </c>
      <c r="AK13" s="241">
        <v>3</v>
      </c>
      <c r="AL13" s="241">
        <v>0</v>
      </c>
      <c r="AM13" s="241">
        <v>0</v>
      </c>
      <c r="AN13" s="241">
        <v>0</v>
      </c>
      <c r="AO13" s="241">
        <v>0</v>
      </c>
      <c r="AP13" s="253">
        <f t="shared" si="2"/>
        <v>6</v>
      </c>
      <c r="AQ13" s="240" t="s">
        <v>342</v>
      </c>
      <c r="AS13" s="256" t="s">
        <v>189</v>
      </c>
      <c r="AT13" s="256" t="s">
        <v>31</v>
      </c>
      <c r="AU13" s="256" t="s">
        <v>120</v>
      </c>
      <c r="AV13" s="224">
        <v>1061000</v>
      </c>
      <c r="AW13" s="342" t="s">
        <v>343</v>
      </c>
      <c r="AX13" s="363" t="s">
        <v>460</v>
      </c>
      <c r="AY13" s="335" t="s">
        <v>159</v>
      </c>
      <c r="BD13" s="255" t="str">
        <f t="shared" ca="1" si="3"/>
        <v>Chicopee</v>
      </c>
      <c r="BE13" s="259"/>
    </row>
    <row r="14" spans="1:57" s="227" customFormat="1" ht="15.75" customHeight="1" x14ac:dyDescent="0.55000000000000004">
      <c r="A14" s="240">
        <v>44312</v>
      </c>
      <c r="B14" s="335" t="s">
        <v>47</v>
      </c>
      <c r="C14" s="227" t="s">
        <v>13</v>
      </c>
      <c r="E14" s="240">
        <v>44046</v>
      </c>
      <c r="F14" s="227" t="s">
        <v>486</v>
      </c>
      <c r="G14" s="228" t="s">
        <v>487</v>
      </c>
      <c r="H14" s="387" t="s">
        <v>488</v>
      </c>
      <c r="I14" s="341" t="s">
        <v>145</v>
      </c>
      <c r="J14" s="227" t="s">
        <v>489</v>
      </c>
      <c r="L14" s="248" t="s">
        <v>449</v>
      </c>
      <c r="M14" s="242" t="s">
        <v>479</v>
      </c>
      <c r="N14" s="227" t="s">
        <v>490</v>
      </c>
      <c r="O14" s="227" t="s">
        <v>491</v>
      </c>
      <c r="P14" s="227" t="s">
        <v>492</v>
      </c>
      <c r="Q14" s="249" t="s">
        <v>493</v>
      </c>
      <c r="R14" s="336" t="s">
        <v>494</v>
      </c>
      <c r="S14" s="227" t="s">
        <v>495</v>
      </c>
      <c r="U14" s="227" t="s">
        <v>496</v>
      </c>
      <c r="V14" s="337" t="s">
        <v>479</v>
      </c>
      <c r="W14" s="227" t="s">
        <v>117</v>
      </c>
      <c r="X14" s="237" t="s">
        <v>118</v>
      </c>
      <c r="Y14" s="237"/>
      <c r="Z14" s="227" t="s">
        <v>497</v>
      </c>
      <c r="AA14" s="251">
        <v>201852</v>
      </c>
      <c r="AB14" s="227" t="s">
        <v>203</v>
      </c>
      <c r="AC14" s="227" t="s">
        <v>498</v>
      </c>
      <c r="AD14" s="245">
        <v>44244</v>
      </c>
      <c r="AE14" s="241">
        <v>15</v>
      </c>
      <c r="AF14" s="241">
        <v>15</v>
      </c>
      <c r="AG14" s="241">
        <f t="shared" si="1"/>
        <v>30</v>
      </c>
      <c r="AH14" s="227" t="s">
        <v>28</v>
      </c>
      <c r="AI14" s="252">
        <v>44267</v>
      </c>
      <c r="AJ14" s="253">
        <v>15</v>
      </c>
      <c r="AK14" s="253">
        <v>15</v>
      </c>
      <c r="AL14" s="253">
        <v>0</v>
      </c>
      <c r="AM14" s="253">
        <v>0</v>
      </c>
      <c r="AN14" s="253">
        <v>0</v>
      </c>
      <c r="AO14" s="253">
        <v>0</v>
      </c>
      <c r="AP14" s="253">
        <f t="shared" si="2"/>
        <v>30</v>
      </c>
      <c r="AQ14" s="240">
        <v>44312</v>
      </c>
      <c r="AR14" s="227" t="s">
        <v>499</v>
      </c>
      <c r="AS14" s="256" t="s">
        <v>189</v>
      </c>
      <c r="AT14" s="256" t="s">
        <v>31</v>
      </c>
      <c r="AU14" s="256" t="s">
        <v>120</v>
      </c>
      <c r="AV14" s="224">
        <v>1061000</v>
      </c>
      <c r="AW14" s="342" t="s">
        <v>343</v>
      </c>
      <c r="AX14" s="339" t="s">
        <v>460</v>
      </c>
      <c r="AY14" s="335" t="s">
        <v>159</v>
      </c>
      <c r="BD14" s="255" t="str">
        <f t="shared" ca="1" si="3"/>
        <v>Chicopee</v>
      </c>
      <c r="BE14" s="259" t="s">
        <v>500</v>
      </c>
    </row>
    <row r="15" spans="1:57" s="227" customFormat="1" ht="15.75" customHeight="1" x14ac:dyDescent="0.55000000000000004">
      <c r="A15" s="240">
        <v>44012</v>
      </c>
      <c r="B15" s="335" t="s">
        <v>47</v>
      </c>
      <c r="C15" s="227" t="s">
        <v>13</v>
      </c>
      <c r="E15" s="240">
        <v>44008</v>
      </c>
      <c r="F15" s="246" t="s">
        <v>501</v>
      </c>
      <c r="G15" s="228" t="s">
        <v>502</v>
      </c>
      <c r="H15" s="248" t="s">
        <v>503</v>
      </c>
      <c r="I15" s="341" t="s">
        <v>127</v>
      </c>
      <c r="J15" s="246" t="s">
        <v>504</v>
      </c>
      <c r="K15" s="246"/>
      <c r="L15" s="248" t="s">
        <v>449</v>
      </c>
      <c r="M15" s="256" t="s">
        <v>465</v>
      </c>
      <c r="N15" s="246" t="s">
        <v>505</v>
      </c>
      <c r="O15" s="246" t="s">
        <v>506</v>
      </c>
      <c r="P15" s="246" t="s">
        <v>507</v>
      </c>
      <c r="Q15" s="249" t="s">
        <v>508</v>
      </c>
      <c r="R15" s="229" t="s">
        <v>509</v>
      </c>
      <c r="S15" s="246" t="s">
        <v>504</v>
      </c>
      <c r="T15" s="246"/>
      <c r="U15" s="246" t="s">
        <v>449</v>
      </c>
      <c r="V15" s="250" t="s">
        <v>465</v>
      </c>
      <c r="W15" s="246" t="s">
        <v>155</v>
      </c>
      <c r="X15" s="237" t="s">
        <v>137</v>
      </c>
      <c r="Y15" s="266" t="s">
        <v>510</v>
      </c>
      <c r="Z15" s="227" t="s">
        <v>511</v>
      </c>
      <c r="AA15" s="261" t="s">
        <v>512</v>
      </c>
      <c r="AB15" s="227" t="s">
        <v>203</v>
      </c>
      <c r="AC15" s="227" t="s">
        <v>513</v>
      </c>
      <c r="AD15" s="245">
        <v>44148</v>
      </c>
      <c r="AE15" s="253">
        <f>AJ15+AL15+AN15</f>
        <v>2</v>
      </c>
      <c r="AF15" s="253">
        <f>AK15+AM15+AO15</f>
        <v>2</v>
      </c>
      <c r="AG15" s="241">
        <f t="shared" si="1"/>
        <v>4</v>
      </c>
      <c r="AH15" s="227" t="s">
        <v>28</v>
      </c>
      <c r="AI15" s="252">
        <v>44153</v>
      </c>
      <c r="AJ15" s="253">
        <v>2</v>
      </c>
      <c r="AK15" s="253">
        <v>2</v>
      </c>
      <c r="AL15" s="253">
        <v>0</v>
      </c>
      <c r="AM15" s="253">
        <v>0</v>
      </c>
      <c r="AN15" s="253">
        <v>0</v>
      </c>
      <c r="AO15" s="253">
        <v>0</v>
      </c>
      <c r="AP15" s="253">
        <f t="shared" si="2"/>
        <v>4</v>
      </c>
      <c r="AQ15" s="240">
        <v>44159</v>
      </c>
      <c r="AR15" s="227" t="s">
        <v>514</v>
      </c>
      <c r="AS15" s="256" t="s">
        <v>189</v>
      </c>
      <c r="AT15" s="256" t="s">
        <v>31</v>
      </c>
      <c r="AU15" s="256" t="s">
        <v>120</v>
      </c>
      <c r="AV15" s="224">
        <v>1061000</v>
      </c>
      <c r="AW15" s="342" t="s">
        <v>343</v>
      </c>
      <c r="AX15" s="363" t="s">
        <v>460</v>
      </c>
      <c r="AY15" s="335" t="s">
        <v>159</v>
      </c>
      <c r="BD15" s="255" t="str">
        <f t="shared" ca="1" si="3"/>
        <v>Chicopee</v>
      </c>
      <c r="BE15" s="259" t="s">
        <v>515</v>
      </c>
    </row>
    <row r="16" spans="1:57" s="227" customFormat="1" ht="15.75" customHeight="1" x14ac:dyDescent="0.55000000000000004">
      <c r="A16" s="240">
        <v>44467</v>
      </c>
      <c r="B16" s="335" t="s">
        <v>47</v>
      </c>
      <c r="C16" s="227" t="s">
        <v>13</v>
      </c>
      <c r="E16" s="240">
        <v>44183</v>
      </c>
      <c r="F16" s="227" t="s">
        <v>516</v>
      </c>
      <c r="G16" s="228" t="s">
        <v>517</v>
      </c>
      <c r="H16" s="387" t="s">
        <v>518</v>
      </c>
      <c r="I16" s="247" t="s">
        <v>127</v>
      </c>
      <c r="J16" s="227" t="s">
        <v>519</v>
      </c>
      <c r="L16" s="248" t="s">
        <v>449</v>
      </c>
      <c r="M16" s="242" t="s">
        <v>465</v>
      </c>
      <c r="N16" s="227" t="s">
        <v>520</v>
      </c>
      <c r="O16" s="227" t="s">
        <v>521</v>
      </c>
      <c r="P16" s="227" t="s">
        <v>522</v>
      </c>
      <c r="Q16" s="249" t="s">
        <v>523</v>
      </c>
      <c r="R16" s="348" t="s">
        <v>524</v>
      </c>
      <c r="S16" s="227" t="s">
        <v>525</v>
      </c>
      <c r="T16" s="227" t="s">
        <v>525</v>
      </c>
      <c r="U16" s="227" t="s">
        <v>449</v>
      </c>
      <c r="V16" s="337" t="s">
        <v>465</v>
      </c>
      <c r="W16" s="227" t="s">
        <v>526</v>
      </c>
      <c r="X16" s="237" t="s">
        <v>235</v>
      </c>
      <c r="Y16" s="237" t="s">
        <v>527</v>
      </c>
      <c r="Z16" s="364" t="s">
        <v>528</v>
      </c>
      <c r="AA16" s="251">
        <v>8030099</v>
      </c>
      <c r="AB16" s="227" t="s">
        <v>203</v>
      </c>
      <c r="AC16" s="227" t="s">
        <v>529</v>
      </c>
      <c r="AD16" s="245">
        <v>44398</v>
      </c>
      <c r="AE16" s="241">
        <v>3</v>
      </c>
      <c r="AF16" s="241">
        <v>3</v>
      </c>
      <c r="AG16" s="241">
        <f t="shared" si="1"/>
        <v>6</v>
      </c>
      <c r="AH16" s="227" t="s">
        <v>28</v>
      </c>
      <c r="AI16" s="252">
        <v>44461</v>
      </c>
      <c r="AJ16" s="253">
        <v>3</v>
      </c>
      <c r="AK16" s="253">
        <v>3</v>
      </c>
      <c r="AL16" s="253">
        <v>0</v>
      </c>
      <c r="AM16" s="253">
        <v>0</v>
      </c>
      <c r="AN16" s="253">
        <v>0</v>
      </c>
      <c r="AO16" s="253">
        <v>0</v>
      </c>
      <c r="AP16" s="253">
        <f t="shared" si="2"/>
        <v>6</v>
      </c>
      <c r="AQ16" s="240">
        <v>44466</v>
      </c>
      <c r="AR16" s="227" t="s">
        <v>530</v>
      </c>
      <c r="AS16" s="256" t="s">
        <v>189</v>
      </c>
      <c r="AT16" s="256" t="s">
        <v>31</v>
      </c>
      <c r="AU16" s="256" t="s">
        <v>120</v>
      </c>
      <c r="AV16" s="224">
        <v>1061000</v>
      </c>
      <c r="AW16" s="342" t="s">
        <v>343</v>
      </c>
      <c r="AX16" s="365" t="s">
        <v>460</v>
      </c>
      <c r="AY16" s="366" t="s">
        <v>159</v>
      </c>
      <c r="BD16" s="255" t="str">
        <f t="shared" ca="1" si="3"/>
        <v>Chicopee</v>
      </c>
      <c r="BE16" s="259" t="s">
        <v>531</v>
      </c>
    </row>
    <row r="17" spans="1:58" s="227" customFormat="1" ht="15.75" customHeight="1" x14ac:dyDescent="0.55000000000000004">
      <c r="A17" s="240">
        <v>44146</v>
      </c>
      <c r="B17" s="335" t="s">
        <v>47</v>
      </c>
      <c r="C17" s="227" t="s">
        <v>13</v>
      </c>
      <c r="E17" s="240">
        <v>44008</v>
      </c>
      <c r="F17" s="246" t="s">
        <v>532</v>
      </c>
      <c r="G17" s="228" t="s">
        <v>533</v>
      </c>
      <c r="H17" s="248" t="s">
        <v>534</v>
      </c>
      <c r="I17" s="341" t="s">
        <v>127</v>
      </c>
      <c r="J17" s="246" t="s">
        <v>535</v>
      </c>
      <c r="K17" s="246"/>
      <c r="L17" s="248" t="s">
        <v>536</v>
      </c>
      <c r="M17" s="256" t="s">
        <v>537</v>
      </c>
      <c r="N17" s="246" t="s">
        <v>538</v>
      </c>
      <c r="O17" s="246" t="s">
        <v>539</v>
      </c>
      <c r="P17" s="246" t="s">
        <v>540</v>
      </c>
      <c r="Q17" s="249" t="s">
        <v>541</v>
      </c>
      <c r="R17" s="336" t="s">
        <v>542</v>
      </c>
      <c r="S17" s="246" t="s">
        <v>543</v>
      </c>
      <c r="T17" s="246"/>
      <c r="U17" s="246" t="s">
        <v>536</v>
      </c>
      <c r="V17" s="250" t="s">
        <v>537</v>
      </c>
      <c r="W17" s="246" t="s">
        <v>155</v>
      </c>
      <c r="X17" s="237" t="s">
        <v>235</v>
      </c>
      <c r="Y17" s="266" t="s">
        <v>544</v>
      </c>
      <c r="Z17" s="227" t="s">
        <v>545</v>
      </c>
      <c r="AA17" s="261">
        <v>697776</v>
      </c>
      <c r="AB17" s="227" t="s">
        <v>23</v>
      </c>
      <c r="AC17" s="227" t="s">
        <v>546</v>
      </c>
      <c r="AD17" s="245">
        <v>44055</v>
      </c>
      <c r="AE17" s="253">
        <f>AJ17+AL17+AN17</f>
        <v>2</v>
      </c>
      <c r="AF17" s="253">
        <f>AK17+AM17+AO17</f>
        <v>2</v>
      </c>
      <c r="AG17" s="241">
        <f t="shared" si="1"/>
        <v>4</v>
      </c>
      <c r="AH17" s="227" t="s">
        <v>28</v>
      </c>
      <c r="AI17" s="252">
        <v>44067</v>
      </c>
      <c r="AJ17" s="253">
        <v>2</v>
      </c>
      <c r="AK17" s="253">
        <v>2</v>
      </c>
      <c r="AL17" s="253">
        <v>0</v>
      </c>
      <c r="AM17" s="253">
        <v>0</v>
      </c>
      <c r="AN17" s="253">
        <v>0</v>
      </c>
      <c r="AO17" s="253">
        <v>0</v>
      </c>
      <c r="AP17" s="253">
        <f t="shared" si="2"/>
        <v>4</v>
      </c>
      <c r="AQ17" s="240">
        <v>44146</v>
      </c>
      <c r="AS17" s="241" t="s">
        <v>120</v>
      </c>
      <c r="AT17" s="256" t="s">
        <v>31</v>
      </c>
      <c r="AU17" s="256" t="s">
        <v>29</v>
      </c>
      <c r="AV17" s="241">
        <v>1068006</v>
      </c>
      <c r="AW17" s="342" t="s">
        <v>343</v>
      </c>
      <c r="AX17" s="339" t="s">
        <v>547</v>
      </c>
      <c r="AY17" s="335" t="s">
        <v>159</v>
      </c>
      <c r="BD17" s="255" t="str">
        <f t="shared" ca="1" si="3"/>
        <v>Conway</v>
      </c>
      <c r="BE17" s="259" t="s">
        <v>548</v>
      </c>
    </row>
    <row r="18" spans="1:58" s="227" customFormat="1" ht="15.75" customHeight="1" x14ac:dyDescent="0.55000000000000004">
      <c r="A18" s="240">
        <v>44211</v>
      </c>
      <c r="B18" s="335" t="s">
        <v>47</v>
      </c>
      <c r="C18" s="227" t="s">
        <v>20</v>
      </c>
      <c r="D18" s="227" t="s">
        <v>42</v>
      </c>
      <c r="E18" s="240">
        <v>43895</v>
      </c>
      <c r="F18" s="246" t="s">
        <v>549</v>
      </c>
      <c r="G18" s="228" t="s">
        <v>550</v>
      </c>
      <c r="H18" s="248" t="s">
        <v>551</v>
      </c>
      <c r="I18" s="341" t="s">
        <v>145</v>
      </c>
      <c r="J18" s="246" t="s">
        <v>552</v>
      </c>
      <c r="K18" s="246"/>
      <c r="L18" s="248" t="s">
        <v>553</v>
      </c>
      <c r="M18" s="256" t="s">
        <v>554</v>
      </c>
      <c r="N18" s="246" t="s">
        <v>555</v>
      </c>
      <c r="O18" s="246" t="s">
        <v>556</v>
      </c>
      <c r="P18" s="246" t="s">
        <v>232</v>
      </c>
      <c r="Q18" s="249" t="s">
        <v>557</v>
      </c>
      <c r="R18" s="229" t="s">
        <v>558</v>
      </c>
      <c r="S18" s="246" t="s">
        <v>552</v>
      </c>
      <c r="T18" s="246"/>
      <c r="U18" s="246" t="s">
        <v>553</v>
      </c>
      <c r="V18" s="250" t="s">
        <v>554</v>
      </c>
      <c r="W18" s="246" t="s">
        <v>117</v>
      </c>
      <c r="X18" s="237" t="s">
        <v>118</v>
      </c>
      <c r="Y18" s="266"/>
      <c r="Z18" s="246" t="s">
        <v>559</v>
      </c>
      <c r="AA18" s="261">
        <v>2912100</v>
      </c>
      <c r="AB18" s="227" t="s">
        <v>203</v>
      </c>
      <c r="AC18" s="227" t="s">
        <v>560</v>
      </c>
      <c r="AD18" s="245">
        <v>44180</v>
      </c>
      <c r="AE18" s="253">
        <f>AJ18+AL18+AN18</f>
        <v>1</v>
      </c>
      <c r="AF18" s="253">
        <f>AK18+AM18+AO18</f>
        <v>0</v>
      </c>
      <c r="AG18" s="241">
        <f t="shared" si="1"/>
        <v>1</v>
      </c>
      <c r="AH18" s="227" t="s">
        <v>28</v>
      </c>
      <c r="AI18" s="252">
        <v>44201</v>
      </c>
      <c r="AJ18" s="253">
        <v>1</v>
      </c>
      <c r="AK18" s="241">
        <v>0</v>
      </c>
      <c r="AL18" s="241">
        <v>0</v>
      </c>
      <c r="AM18" s="241">
        <v>0</v>
      </c>
      <c r="AN18" s="241">
        <v>0</v>
      </c>
      <c r="AO18" s="241">
        <v>0</v>
      </c>
      <c r="AP18" s="253">
        <f t="shared" si="2"/>
        <v>1</v>
      </c>
      <c r="AQ18" s="240" t="s">
        <v>561</v>
      </c>
      <c r="AR18" s="227" t="s">
        <v>562</v>
      </c>
      <c r="AS18" s="256" t="s">
        <v>120</v>
      </c>
      <c r="AT18" s="256" t="s">
        <v>31</v>
      </c>
      <c r="AU18" s="256" t="s">
        <v>120</v>
      </c>
      <c r="AV18" s="224">
        <v>1087000</v>
      </c>
      <c r="AW18" s="226" t="s">
        <v>563</v>
      </c>
      <c r="AX18" s="343" t="s">
        <v>564</v>
      </c>
      <c r="AY18" s="335" t="s">
        <v>159</v>
      </c>
      <c r="BD18" s="255" t="str">
        <f t="shared" ca="1" si="3"/>
        <v>Easthampton</v>
      </c>
      <c r="BE18" s="340"/>
    </row>
    <row r="19" spans="1:58" s="227" customFormat="1" ht="15.75" customHeight="1" x14ac:dyDescent="1.05">
      <c r="A19" s="240">
        <v>44379</v>
      </c>
      <c r="B19" s="335" t="s">
        <v>47</v>
      </c>
      <c r="C19" s="227" t="s">
        <v>26</v>
      </c>
      <c r="D19" s="227" t="s">
        <v>46</v>
      </c>
      <c r="E19" s="240">
        <v>44292</v>
      </c>
      <c r="F19" s="227" t="s">
        <v>565</v>
      </c>
      <c r="G19" s="227" t="s">
        <v>566</v>
      </c>
      <c r="H19" s="387" t="s">
        <v>567</v>
      </c>
      <c r="I19" s="247" t="s">
        <v>127</v>
      </c>
      <c r="J19" s="227" t="s">
        <v>568</v>
      </c>
      <c r="L19" s="248" t="s">
        <v>569</v>
      </c>
      <c r="M19" s="242" t="s">
        <v>570</v>
      </c>
      <c r="N19" s="227" t="s">
        <v>571</v>
      </c>
      <c r="O19" s="227" t="s">
        <v>572</v>
      </c>
      <c r="P19" s="227" t="s">
        <v>573</v>
      </c>
      <c r="Q19" s="249" t="s">
        <v>574</v>
      </c>
      <c r="R19" s="336" t="s">
        <v>575</v>
      </c>
      <c r="S19" s="227" t="s">
        <v>576</v>
      </c>
      <c r="U19" s="227" t="s">
        <v>569</v>
      </c>
      <c r="V19" s="250">
        <v>1420</v>
      </c>
      <c r="W19" s="227" t="s">
        <v>117</v>
      </c>
      <c r="X19" s="237" t="s">
        <v>137</v>
      </c>
      <c r="Y19" s="237" t="s">
        <v>577</v>
      </c>
      <c r="Z19" s="227" t="s">
        <v>578</v>
      </c>
      <c r="AA19" s="223">
        <v>201962</v>
      </c>
      <c r="AB19" s="227" t="s">
        <v>203</v>
      </c>
      <c r="AC19" s="227" t="s">
        <v>579</v>
      </c>
      <c r="AD19" s="245">
        <v>44327</v>
      </c>
      <c r="AE19" s="241">
        <v>3</v>
      </c>
      <c r="AF19" s="241">
        <v>2</v>
      </c>
      <c r="AG19" s="241">
        <f t="shared" si="1"/>
        <v>5</v>
      </c>
      <c r="AH19" s="227" t="s">
        <v>28</v>
      </c>
      <c r="AI19" s="252">
        <v>44351</v>
      </c>
      <c r="AJ19" s="253">
        <v>1</v>
      </c>
      <c r="AK19" s="253">
        <v>2</v>
      </c>
      <c r="AL19" s="253">
        <v>2</v>
      </c>
      <c r="AM19" s="253">
        <v>0</v>
      </c>
      <c r="AN19" s="253">
        <v>0</v>
      </c>
      <c r="AO19" s="253">
        <v>0</v>
      </c>
      <c r="AP19" s="253">
        <f t="shared" si="2"/>
        <v>5</v>
      </c>
      <c r="AQ19" s="240">
        <v>44354</v>
      </c>
      <c r="AS19" s="241" t="s">
        <v>120</v>
      </c>
      <c r="AT19" s="256" t="s">
        <v>19</v>
      </c>
      <c r="AU19" s="256" t="s">
        <v>120</v>
      </c>
      <c r="AV19" s="224">
        <v>2097000</v>
      </c>
      <c r="AW19" s="233" t="s">
        <v>580</v>
      </c>
      <c r="AX19" s="350" t="s">
        <v>581</v>
      </c>
      <c r="AY19" s="335" t="s">
        <v>159</v>
      </c>
      <c r="BD19" s="255" t="str">
        <f t="shared" ca="1" si="3"/>
        <v>Fitchburg</v>
      </c>
      <c r="BE19" s="340" t="s">
        <v>582</v>
      </c>
    </row>
    <row r="20" spans="1:58" s="227" customFormat="1" ht="15.75" customHeight="1" x14ac:dyDescent="0.55000000000000004">
      <c r="A20" s="239">
        <v>44448</v>
      </c>
      <c r="B20" s="233" t="s">
        <v>47</v>
      </c>
      <c r="C20" s="237" t="s">
        <v>13</v>
      </c>
      <c r="D20" s="237"/>
      <c r="E20" s="367">
        <v>44393</v>
      </c>
      <c r="F20" s="237" t="s">
        <v>583</v>
      </c>
      <c r="G20" s="237" t="s">
        <v>584</v>
      </c>
      <c r="H20" s="496" t="s">
        <v>585</v>
      </c>
      <c r="I20" s="344" t="s">
        <v>127</v>
      </c>
      <c r="J20" s="368" t="s">
        <v>586</v>
      </c>
      <c r="K20" s="369"/>
      <c r="L20" s="370" t="s">
        <v>587</v>
      </c>
      <c r="M20" s="371">
        <v>1062</v>
      </c>
      <c r="N20" s="368" t="s">
        <v>588</v>
      </c>
      <c r="O20" s="368" t="s">
        <v>589</v>
      </c>
      <c r="P20" s="246" t="s">
        <v>590</v>
      </c>
      <c r="Q20" s="249" t="s">
        <v>591</v>
      </c>
      <c r="R20" s="348" t="s">
        <v>592</v>
      </c>
      <c r="S20" s="227" t="s">
        <v>593</v>
      </c>
      <c r="U20" s="227" t="s">
        <v>587</v>
      </c>
      <c r="V20" s="337">
        <v>1062</v>
      </c>
      <c r="W20" s="369" t="s">
        <v>155</v>
      </c>
      <c r="X20" s="237" t="s">
        <v>235</v>
      </c>
      <c r="Y20" s="464"/>
      <c r="Z20" s="372" t="s">
        <v>594</v>
      </c>
      <c r="AA20" s="251">
        <v>699137</v>
      </c>
      <c r="AB20" s="237" t="s">
        <v>203</v>
      </c>
      <c r="AC20" s="237" t="s">
        <v>595</v>
      </c>
      <c r="AD20" s="245">
        <v>44433</v>
      </c>
      <c r="AE20" s="244">
        <v>3</v>
      </c>
      <c r="AF20" s="244">
        <v>3</v>
      </c>
      <c r="AG20" s="241">
        <f t="shared" si="1"/>
        <v>6</v>
      </c>
      <c r="AH20" s="237" t="s">
        <v>28</v>
      </c>
      <c r="AI20" s="257">
        <v>44446</v>
      </c>
      <c r="AJ20" s="258">
        <v>3</v>
      </c>
      <c r="AK20" s="258">
        <v>3</v>
      </c>
      <c r="AL20" s="258">
        <v>0</v>
      </c>
      <c r="AM20" s="258">
        <v>0</v>
      </c>
      <c r="AN20" s="258">
        <v>0</v>
      </c>
      <c r="AO20" s="258">
        <v>0</v>
      </c>
      <c r="AP20" s="253">
        <f t="shared" si="2"/>
        <v>6</v>
      </c>
      <c r="AQ20" s="239">
        <v>44448</v>
      </c>
      <c r="AR20" s="237" t="s">
        <v>596</v>
      </c>
      <c r="AS20" s="244" t="s">
        <v>120</v>
      </c>
      <c r="AT20" s="244" t="s">
        <v>31</v>
      </c>
      <c r="AU20" s="244" t="s">
        <v>120</v>
      </c>
      <c r="AV20" s="244">
        <v>1214000</v>
      </c>
      <c r="AW20" s="373" t="s">
        <v>597</v>
      </c>
      <c r="AX20" s="374" t="s">
        <v>598</v>
      </c>
      <c r="AY20" s="335" t="s">
        <v>159</v>
      </c>
      <c r="BD20" s="255" t="str">
        <f t="shared" ca="1" si="3"/>
        <v>Florence</v>
      </c>
      <c r="BE20" s="340"/>
    </row>
    <row r="21" spans="1:58" s="227" customFormat="1" ht="15.75" customHeight="1" x14ac:dyDescent="1.05">
      <c r="A21" s="240">
        <v>44397</v>
      </c>
      <c r="B21" s="335" t="s">
        <v>47</v>
      </c>
      <c r="C21" s="227" t="s">
        <v>20</v>
      </c>
      <c r="D21" s="227" t="s">
        <v>33</v>
      </c>
      <c r="E21" s="240">
        <v>44298</v>
      </c>
      <c r="F21" s="227" t="s">
        <v>599</v>
      </c>
      <c r="G21" s="227" t="s">
        <v>600</v>
      </c>
      <c r="H21" s="387" t="s">
        <v>601</v>
      </c>
      <c r="I21" s="247" t="s">
        <v>145</v>
      </c>
      <c r="J21" s="227" t="s">
        <v>602</v>
      </c>
      <c r="L21" s="248" t="s">
        <v>603</v>
      </c>
      <c r="M21" s="242" t="s">
        <v>604</v>
      </c>
      <c r="N21" s="227" t="s">
        <v>605</v>
      </c>
      <c r="O21" s="227" t="s">
        <v>606</v>
      </c>
      <c r="P21" s="227" t="s">
        <v>607</v>
      </c>
      <c r="Q21" s="249" t="s">
        <v>608</v>
      </c>
      <c r="R21" s="348" t="s">
        <v>609</v>
      </c>
      <c r="S21" s="227" t="s">
        <v>602</v>
      </c>
      <c r="U21" s="227" t="s">
        <v>603</v>
      </c>
      <c r="V21" s="250">
        <v>1354</v>
      </c>
      <c r="W21" s="227" t="s">
        <v>117</v>
      </c>
      <c r="X21" s="237" t="s">
        <v>118</v>
      </c>
      <c r="Y21" s="237"/>
      <c r="Z21" s="364" t="s">
        <v>610</v>
      </c>
      <c r="AA21" s="251">
        <v>201270</v>
      </c>
      <c r="AB21" s="227" t="s">
        <v>203</v>
      </c>
      <c r="AC21" s="227" t="s">
        <v>611</v>
      </c>
      <c r="AD21" s="245">
        <v>44331</v>
      </c>
      <c r="AE21" s="241">
        <v>5</v>
      </c>
      <c r="AF21" s="241">
        <v>5</v>
      </c>
      <c r="AG21" s="241">
        <f t="shared" si="1"/>
        <v>10</v>
      </c>
      <c r="AH21" s="227" t="s">
        <v>28</v>
      </c>
      <c r="AI21" s="252">
        <v>44342</v>
      </c>
      <c r="AJ21" s="253">
        <v>0</v>
      </c>
      <c r="AK21" s="253">
        <v>5</v>
      </c>
      <c r="AL21" s="253">
        <v>4</v>
      </c>
      <c r="AM21" s="253">
        <v>0</v>
      </c>
      <c r="AN21" s="253">
        <v>1</v>
      </c>
      <c r="AO21" s="253">
        <v>0</v>
      </c>
      <c r="AP21" s="253">
        <f t="shared" si="2"/>
        <v>10</v>
      </c>
      <c r="AQ21" s="240">
        <v>44343</v>
      </c>
      <c r="AS21" s="231" t="s">
        <v>120</v>
      </c>
      <c r="AT21" s="232" t="s">
        <v>31</v>
      </c>
      <c r="AU21" s="232" t="s">
        <v>120</v>
      </c>
      <c r="AV21" s="241">
        <v>1106000</v>
      </c>
      <c r="AW21" s="233" t="s">
        <v>612</v>
      </c>
      <c r="AX21" s="350" t="s">
        <v>613</v>
      </c>
      <c r="AY21" s="236" t="s">
        <v>274</v>
      </c>
      <c r="BD21" s="255" t="str">
        <f t="shared" ca="1" si="3"/>
        <v>Gill</v>
      </c>
      <c r="BE21" s="340" t="s">
        <v>614</v>
      </c>
    </row>
    <row r="22" spans="1:58" s="227" customFormat="1" ht="15.75" customHeight="1" x14ac:dyDescent="0.55000000000000004">
      <c r="A22" s="240">
        <v>44343</v>
      </c>
      <c r="B22" s="335" t="s">
        <v>47</v>
      </c>
      <c r="C22" s="227" t="s">
        <v>20</v>
      </c>
      <c r="D22" s="227" t="s">
        <v>40</v>
      </c>
      <c r="E22" s="240">
        <v>44281</v>
      </c>
      <c r="F22" s="227" t="s">
        <v>615</v>
      </c>
      <c r="G22" s="227" t="s">
        <v>616</v>
      </c>
      <c r="H22" s="387" t="s">
        <v>617</v>
      </c>
      <c r="I22" s="247" t="s">
        <v>145</v>
      </c>
      <c r="J22" s="227" t="s">
        <v>618</v>
      </c>
      <c r="L22" s="248" t="s">
        <v>619</v>
      </c>
      <c r="M22" s="242" t="s">
        <v>620</v>
      </c>
      <c r="N22" s="227" t="s">
        <v>621</v>
      </c>
      <c r="O22" s="227" t="s">
        <v>622</v>
      </c>
      <c r="P22" s="227" t="s">
        <v>334</v>
      </c>
      <c r="Q22" s="249" t="s">
        <v>623</v>
      </c>
      <c r="R22" s="348" t="s">
        <v>624</v>
      </c>
      <c r="S22" s="227" t="s">
        <v>625</v>
      </c>
      <c r="U22" s="227" t="s">
        <v>619</v>
      </c>
      <c r="V22" s="337" t="s">
        <v>620</v>
      </c>
      <c r="W22" s="227" t="s">
        <v>117</v>
      </c>
      <c r="X22" s="237" t="s">
        <v>235</v>
      </c>
      <c r="Y22" s="237"/>
      <c r="Z22" s="228" t="s">
        <v>626</v>
      </c>
      <c r="AA22" s="251">
        <v>8029384</v>
      </c>
      <c r="AB22" s="227" t="s">
        <v>203</v>
      </c>
      <c r="AC22" s="227" t="s">
        <v>627</v>
      </c>
      <c r="AD22" s="245">
        <v>44327</v>
      </c>
      <c r="AE22" s="241">
        <v>1</v>
      </c>
      <c r="AF22" s="241">
        <v>1</v>
      </c>
      <c r="AG22" s="241">
        <f t="shared" si="1"/>
        <v>2</v>
      </c>
      <c r="AH22" s="227" t="s">
        <v>28</v>
      </c>
      <c r="AI22" s="252">
        <v>44335</v>
      </c>
      <c r="AJ22" s="253">
        <v>0</v>
      </c>
      <c r="AK22" s="253">
        <v>1</v>
      </c>
      <c r="AL22" s="253">
        <v>1</v>
      </c>
      <c r="AM22" s="253">
        <v>0</v>
      </c>
      <c r="AN22" s="253">
        <v>0</v>
      </c>
      <c r="AO22" s="253">
        <v>0</v>
      </c>
      <c r="AP22" s="253">
        <f t="shared" si="2"/>
        <v>2</v>
      </c>
      <c r="AQ22" s="240">
        <v>44343</v>
      </c>
      <c r="AS22" s="241" t="s">
        <v>120</v>
      </c>
      <c r="AT22" s="256" t="s">
        <v>31</v>
      </c>
      <c r="AU22" s="256" t="s">
        <v>189</v>
      </c>
      <c r="AV22" s="224">
        <v>1111037</v>
      </c>
      <c r="AW22" s="226" t="s">
        <v>628</v>
      </c>
      <c r="AX22" s="339" t="s">
        <v>629</v>
      </c>
      <c r="AY22" s="233" t="s">
        <v>159</v>
      </c>
      <c r="BD22" s="255" t="str">
        <f t="shared" ca="1" si="3"/>
        <v>Granby</v>
      </c>
      <c r="BE22" s="340" t="s">
        <v>630</v>
      </c>
    </row>
    <row r="23" spans="1:58" s="227" customFormat="1" ht="15.75" customHeight="1" x14ac:dyDescent="0.55000000000000004">
      <c r="A23" s="240">
        <v>44377</v>
      </c>
      <c r="B23" s="335" t="s">
        <v>47</v>
      </c>
      <c r="C23" s="227" t="s">
        <v>13</v>
      </c>
      <c r="E23" s="240">
        <v>44166</v>
      </c>
      <c r="F23" s="227" t="s">
        <v>631</v>
      </c>
      <c r="G23" s="228" t="s">
        <v>632</v>
      </c>
      <c r="H23" s="387" t="s">
        <v>633</v>
      </c>
      <c r="I23" s="247" t="s">
        <v>108</v>
      </c>
      <c r="J23" s="227" t="s">
        <v>634</v>
      </c>
      <c r="L23" s="248" t="s">
        <v>635</v>
      </c>
      <c r="M23" s="242" t="s">
        <v>636</v>
      </c>
      <c r="N23" s="227" t="s">
        <v>637</v>
      </c>
      <c r="O23" s="227" t="s">
        <v>638</v>
      </c>
      <c r="P23" s="227" t="s">
        <v>639</v>
      </c>
      <c r="Q23" s="249" t="s">
        <v>640</v>
      </c>
      <c r="R23" s="336" t="s">
        <v>641</v>
      </c>
      <c r="S23" s="227" t="s">
        <v>642</v>
      </c>
      <c r="U23" s="227" t="s">
        <v>635</v>
      </c>
      <c r="V23" s="337" t="s">
        <v>636</v>
      </c>
      <c r="W23" s="227" t="s">
        <v>117</v>
      </c>
      <c r="X23" s="237" t="s">
        <v>118</v>
      </c>
      <c r="Y23" s="237"/>
      <c r="Z23" s="227" t="s">
        <v>643</v>
      </c>
      <c r="AA23" s="375" t="s">
        <v>644</v>
      </c>
      <c r="AB23" s="227" t="s">
        <v>203</v>
      </c>
      <c r="AC23" s="227" t="s">
        <v>645</v>
      </c>
      <c r="AD23" s="245">
        <v>44224</v>
      </c>
      <c r="AE23" s="241">
        <v>9</v>
      </c>
      <c r="AF23" s="241">
        <v>9</v>
      </c>
      <c r="AG23" s="241">
        <f t="shared" si="1"/>
        <v>18</v>
      </c>
      <c r="AH23" s="227" t="s">
        <v>28</v>
      </c>
      <c r="AI23" s="252">
        <v>44236</v>
      </c>
      <c r="AJ23" s="253">
        <v>9</v>
      </c>
      <c r="AK23" s="253">
        <v>9</v>
      </c>
      <c r="AL23" s="253">
        <v>0</v>
      </c>
      <c r="AM23" s="253">
        <v>0</v>
      </c>
      <c r="AN23" s="253">
        <v>0</v>
      </c>
      <c r="AO23" s="253">
        <v>0</v>
      </c>
      <c r="AP23" s="253">
        <f t="shared" si="2"/>
        <v>18</v>
      </c>
      <c r="AQ23" s="240">
        <v>44246</v>
      </c>
      <c r="AR23" s="227" t="s">
        <v>646</v>
      </c>
      <c r="AS23" s="256" t="s">
        <v>120</v>
      </c>
      <c r="AT23" s="256" t="s">
        <v>31</v>
      </c>
      <c r="AU23" s="256" t="s">
        <v>120</v>
      </c>
      <c r="AV23" s="224">
        <v>1117002</v>
      </c>
      <c r="AW23" s="338" t="s">
        <v>647</v>
      </c>
      <c r="AX23" s="363" t="s">
        <v>648</v>
      </c>
      <c r="AY23" s="335" t="s">
        <v>649</v>
      </c>
      <c r="BD23" s="255" t="str">
        <f t="shared" ca="1" si="3"/>
        <v>Hadley</v>
      </c>
      <c r="BE23" s="340" t="s">
        <v>122</v>
      </c>
    </row>
    <row r="24" spans="1:58" s="227" customFormat="1" ht="15.75" customHeight="1" x14ac:dyDescent="0.55000000000000004">
      <c r="A24" s="240">
        <v>44377</v>
      </c>
      <c r="B24" s="335" t="s">
        <v>47</v>
      </c>
      <c r="C24" s="227" t="s">
        <v>26</v>
      </c>
      <c r="D24" s="227" t="s">
        <v>42</v>
      </c>
      <c r="E24" s="240">
        <v>43895</v>
      </c>
      <c r="F24" s="246" t="s">
        <v>650</v>
      </c>
      <c r="G24" s="228" t="s">
        <v>651</v>
      </c>
      <c r="H24" s="248" t="s">
        <v>652</v>
      </c>
      <c r="I24" s="341" t="s">
        <v>145</v>
      </c>
      <c r="J24" s="246" t="s">
        <v>653</v>
      </c>
      <c r="K24" s="246"/>
      <c r="L24" s="248" t="s">
        <v>654</v>
      </c>
      <c r="M24" s="256" t="s">
        <v>655</v>
      </c>
      <c r="N24" s="246" t="s">
        <v>656</v>
      </c>
      <c r="O24" s="246" t="s">
        <v>657</v>
      </c>
      <c r="P24" s="246" t="s">
        <v>151</v>
      </c>
      <c r="Q24" s="249" t="s">
        <v>658</v>
      </c>
      <c r="R24" s="336" t="s">
        <v>659</v>
      </c>
      <c r="S24" s="246" t="s">
        <v>660</v>
      </c>
      <c r="T24" s="246"/>
      <c r="U24" s="246" t="s">
        <v>654</v>
      </c>
      <c r="V24" s="250" t="s">
        <v>655</v>
      </c>
      <c r="W24" s="246" t="s">
        <v>117</v>
      </c>
      <c r="X24" s="237" t="s">
        <v>137</v>
      </c>
      <c r="Y24" s="266"/>
      <c r="Z24" s="227" t="s">
        <v>661</v>
      </c>
      <c r="AA24" s="261">
        <v>8032025</v>
      </c>
      <c r="AB24" s="227" t="s">
        <v>203</v>
      </c>
      <c r="AC24" s="227" t="s">
        <v>662</v>
      </c>
      <c r="AD24" s="245">
        <v>44243</v>
      </c>
      <c r="AE24" s="241">
        <v>1</v>
      </c>
      <c r="AF24" s="241">
        <v>1</v>
      </c>
      <c r="AG24" s="241">
        <f t="shared" si="1"/>
        <v>2</v>
      </c>
      <c r="AH24" s="227" t="s">
        <v>28</v>
      </c>
      <c r="AI24" s="252">
        <v>44250</v>
      </c>
      <c r="AJ24" s="253">
        <v>0</v>
      </c>
      <c r="AK24" s="253">
        <v>1</v>
      </c>
      <c r="AL24" s="253">
        <v>1</v>
      </c>
      <c r="AM24" s="253">
        <v>0</v>
      </c>
      <c r="AN24" s="253">
        <v>0</v>
      </c>
      <c r="AO24" s="253">
        <v>0</v>
      </c>
      <c r="AP24" s="253">
        <f t="shared" si="2"/>
        <v>2</v>
      </c>
      <c r="AQ24" s="240" t="s">
        <v>663</v>
      </c>
      <c r="AR24" s="227" t="s">
        <v>664</v>
      </c>
      <c r="AS24" s="256" t="s">
        <v>120</v>
      </c>
      <c r="AT24" s="256" t="s">
        <v>31</v>
      </c>
      <c r="AU24" s="256" t="s">
        <v>120</v>
      </c>
      <c r="AV24" s="224">
        <v>1137000</v>
      </c>
      <c r="AW24" s="338" t="s">
        <v>665</v>
      </c>
      <c r="AX24" s="376" t="s">
        <v>666</v>
      </c>
      <c r="AY24" s="335" t="s">
        <v>159</v>
      </c>
      <c r="AZ24" s="237"/>
      <c r="BA24" s="237"/>
      <c r="BB24" s="237"/>
      <c r="BC24" s="237"/>
      <c r="BD24" s="266"/>
      <c r="BE24" s="238"/>
      <c r="BF24" s="237"/>
    </row>
    <row r="25" spans="1:58" s="227" customFormat="1" ht="15.75" customHeight="1" x14ac:dyDescent="0.55000000000000004">
      <c r="A25" s="240">
        <v>44377</v>
      </c>
      <c r="B25" s="335" t="s">
        <v>47</v>
      </c>
      <c r="C25" s="227" t="s">
        <v>26</v>
      </c>
      <c r="D25" s="227" t="s">
        <v>33</v>
      </c>
      <c r="E25" s="240">
        <v>43894</v>
      </c>
      <c r="F25" s="246" t="s">
        <v>667</v>
      </c>
      <c r="G25" s="228" t="s">
        <v>668</v>
      </c>
      <c r="H25" s="248" t="s">
        <v>669</v>
      </c>
      <c r="I25" s="341" t="s">
        <v>145</v>
      </c>
      <c r="J25" s="246" t="s">
        <v>670</v>
      </c>
      <c r="K25" s="246"/>
      <c r="L25" s="248" t="s">
        <v>654</v>
      </c>
      <c r="M25" s="256" t="s">
        <v>655</v>
      </c>
      <c r="N25" s="246" t="s">
        <v>671</v>
      </c>
      <c r="O25" s="246" t="s">
        <v>672</v>
      </c>
      <c r="P25" s="246" t="s">
        <v>673</v>
      </c>
      <c r="Q25" s="249" t="s">
        <v>674</v>
      </c>
      <c r="R25" s="336" t="s">
        <v>675</v>
      </c>
      <c r="S25" s="246" t="s">
        <v>676</v>
      </c>
      <c r="T25" s="246"/>
      <c r="U25" s="246" t="s">
        <v>654</v>
      </c>
      <c r="V25" s="250" t="s">
        <v>655</v>
      </c>
      <c r="W25" s="246" t="s">
        <v>155</v>
      </c>
      <c r="X25" s="237" t="s">
        <v>235</v>
      </c>
      <c r="Y25" s="266"/>
      <c r="Z25" s="246" t="s">
        <v>677</v>
      </c>
      <c r="AA25" s="261">
        <v>2911908</v>
      </c>
      <c r="AB25" s="227" t="s">
        <v>203</v>
      </c>
      <c r="AD25" s="245">
        <v>44113</v>
      </c>
      <c r="AE25" s="253">
        <f>AJ25+AL25+AN25</f>
        <v>14</v>
      </c>
      <c r="AF25" s="253">
        <f>AK25+AM25+AO25</f>
        <v>14</v>
      </c>
      <c r="AG25" s="241">
        <f t="shared" si="1"/>
        <v>28</v>
      </c>
      <c r="AH25" s="227" t="s">
        <v>28</v>
      </c>
      <c r="AI25" s="252">
        <v>44131</v>
      </c>
      <c r="AJ25" s="253">
        <v>0</v>
      </c>
      <c r="AK25" s="241">
        <v>14</v>
      </c>
      <c r="AL25" s="241">
        <v>14</v>
      </c>
      <c r="AM25" s="241">
        <v>0</v>
      </c>
      <c r="AN25" s="241">
        <v>0</v>
      </c>
      <c r="AO25" s="241">
        <v>0</v>
      </c>
      <c r="AP25" s="253">
        <f t="shared" si="2"/>
        <v>28</v>
      </c>
      <c r="AQ25" s="240" t="s">
        <v>342</v>
      </c>
      <c r="AR25" s="227" t="s">
        <v>678</v>
      </c>
      <c r="AS25" s="256" t="s">
        <v>120</v>
      </c>
      <c r="AT25" s="256" t="s">
        <v>31</v>
      </c>
      <c r="AU25" s="256" t="s">
        <v>120</v>
      </c>
      <c r="AV25" s="224">
        <v>1137000</v>
      </c>
      <c r="AW25" s="338" t="s">
        <v>665</v>
      </c>
      <c r="AX25" s="376" t="s">
        <v>666</v>
      </c>
      <c r="AY25" s="335" t="s">
        <v>159</v>
      </c>
      <c r="AZ25" s="237"/>
      <c r="BA25" s="237"/>
      <c r="BB25" s="237"/>
      <c r="BC25" s="237"/>
      <c r="BD25" s="266"/>
      <c r="BE25" s="238"/>
      <c r="BF25" s="237"/>
    </row>
    <row r="26" spans="1:58" s="227" customFormat="1" ht="15.75" customHeight="1" x14ac:dyDescent="0.55000000000000004">
      <c r="A26" s="240">
        <v>44377</v>
      </c>
      <c r="B26" s="335" t="s">
        <v>47</v>
      </c>
      <c r="C26" s="227" t="s">
        <v>36</v>
      </c>
      <c r="D26" s="227" t="s">
        <v>52</v>
      </c>
      <c r="E26" s="240">
        <v>43895</v>
      </c>
      <c r="F26" s="246" t="s">
        <v>679</v>
      </c>
      <c r="G26" s="228" t="s">
        <v>680</v>
      </c>
      <c r="H26" s="248" t="s">
        <v>681</v>
      </c>
      <c r="I26" s="341" t="s">
        <v>145</v>
      </c>
      <c r="J26" s="246" t="s">
        <v>682</v>
      </c>
      <c r="K26" s="246"/>
      <c r="L26" s="248" t="s">
        <v>654</v>
      </c>
      <c r="M26" s="256" t="s">
        <v>655</v>
      </c>
      <c r="N26" s="246" t="s">
        <v>683</v>
      </c>
      <c r="O26" s="246" t="s">
        <v>684</v>
      </c>
      <c r="P26" s="246" t="s">
        <v>151</v>
      </c>
      <c r="Q26" s="249" t="s">
        <v>685</v>
      </c>
      <c r="R26" s="336" t="s">
        <v>686</v>
      </c>
      <c r="S26" s="246" t="s">
        <v>687</v>
      </c>
      <c r="T26" s="246"/>
      <c r="U26" s="246" t="s">
        <v>654</v>
      </c>
      <c r="V26" s="250" t="s">
        <v>655</v>
      </c>
      <c r="W26" s="246" t="s">
        <v>155</v>
      </c>
      <c r="X26" s="237" t="s">
        <v>137</v>
      </c>
      <c r="Y26" s="266"/>
      <c r="Z26" s="246" t="s">
        <v>688</v>
      </c>
      <c r="AA26" s="261">
        <v>2911803</v>
      </c>
      <c r="AB26" s="227" t="s">
        <v>203</v>
      </c>
      <c r="AD26" s="245">
        <v>44085</v>
      </c>
      <c r="AE26" s="253">
        <f>AJ26+AL26+AN26</f>
        <v>7</v>
      </c>
      <c r="AF26" s="253">
        <f>AK26+AM26+AO26</f>
        <v>7</v>
      </c>
      <c r="AG26" s="241">
        <f t="shared" si="1"/>
        <v>14</v>
      </c>
      <c r="AH26" s="227" t="s">
        <v>28</v>
      </c>
      <c r="AI26" s="252">
        <v>44131</v>
      </c>
      <c r="AJ26" s="253">
        <v>0</v>
      </c>
      <c r="AK26" s="241">
        <v>6</v>
      </c>
      <c r="AL26" s="241">
        <v>6</v>
      </c>
      <c r="AM26" s="241">
        <v>1</v>
      </c>
      <c r="AN26" s="241">
        <v>1</v>
      </c>
      <c r="AO26" s="241">
        <v>0</v>
      </c>
      <c r="AP26" s="253">
        <f t="shared" si="2"/>
        <v>14</v>
      </c>
      <c r="AQ26" s="240" t="s">
        <v>342</v>
      </c>
      <c r="AR26" s="227" t="s">
        <v>689</v>
      </c>
      <c r="AS26" s="256" t="s">
        <v>120</v>
      </c>
      <c r="AT26" s="256" t="s">
        <v>31</v>
      </c>
      <c r="AU26" s="256" t="s">
        <v>120</v>
      </c>
      <c r="AV26" s="224">
        <v>1137000</v>
      </c>
      <c r="AW26" s="338" t="s">
        <v>665</v>
      </c>
      <c r="AX26" s="376" t="s">
        <v>666</v>
      </c>
      <c r="AY26" s="335" t="s">
        <v>159</v>
      </c>
      <c r="BD26" s="255" t="str">
        <f ca="1">IF(ISBLANK(AD26),"",IF(AD26&lt;TODAY(),L26,""))</f>
        <v>Holyoke</v>
      </c>
      <c r="BE26" s="259" t="s">
        <v>690</v>
      </c>
    </row>
    <row r="27" spans="1:58" s="227" customFormat="1" ht="15.75" customHeight="1" x14ac:dyDescent="0.55000000000000004">
      <c r="A27" s="240">
        <v>44446</v>
      </c>
      <c r="B27" s="335" t="s">
        <v>47</v>
      </c>
      <c r="C27" s="227" t="s">
        <v>20</v>
      </c>
      <c r="D27" s="227" t="s">
        <v>42</v>
      </c>
      <c r="E27" s="240">
        <v>43895</v>
      </c>
      <c r="F27" s="246" t="s">
        <v>691</v>
      </c>
      <c r="G27" s="228" t="s">
        <v>692</v>
      </c>
      <c r="H27" s="248" t="s">
        <v>693</v>
      </c>
      <c r="I27" s="341" t="s">
        <v>108</v>
      </c>
      <c r="J27" s="246" t="s">
        <v>694</v>
      </c>
      <c r="K27" s="246"/>
      <c r="L27" s="248" t="s">
        <v>654</v>
      </c>
      <c r="M27" s="256" t="s">
        <v>655</v>
      </c>
      <c r="N27" s="246" t="s">
        <v>695</v>
      </c>
      <c r="O27" s="246" t="s">
        <v>696</v>
      </c>
      <c r="P27" s="246" t="s">
        <v>697</v>
      </c>
      <c r="Q27" s="249" t="s">
        <v>698</v>
      </c>
      <c r="R27" s="336" t="s">
        <v>699</v>
      </c>
      <c r="S27" s="246" t="s">
        <v>700</v>
      </c>
      <c r="T27" s="246"/>
      <c r="U27" s="246" t="s">
        <v>654</v>
      </c>
      <c r="V27" s="250" t="s">
        <v>655</v>
      </c>
      <c r="W27" s="246" t="s">
        <v>155</v>
      </c>
      <c r="X27" s="237" t="s">
        <v>118</v>
      </c>
      <c r="Y27" s="266"/>
      <c r="Z27" s="246" t="s">
        <v>701</v>
      </c>
      <c r="AA27" s="352" t="s">
        <v>702</v>
      </c>
      <c r="AB27" s="227" t="s">
        <v>203</v>
      </c>
      <c r="AC27" s="227" t="s">
        <v>703</v>
      </c>
      <c r="AD27" s="245">
        <v>44203</v>
      </c>
      <c r="AE27" s="241">
        <v>15</v>
      </c>
      <c r="AF27" s="241">
        <v>15</v>
      </c>
      <c r="AG27" s="241">
        <f t="shared" si="1"/>
        <v>30</v>
      </c>
      <c r="AH27" s="227" t="s">
        <v>28</v>
      </c>
      <c r="AI27" s="252">
        <v>44222</v>
      </c>
      <c r="AJ27" s="253">
        <v>6</v>
      </c>
      <c r="AK27" s="241">
        <v>7</v>
      </c>
      <c r="AL27" s="241">
        <v>5</v>
      </c>
      <c r="AM27" s="241">
        <v>6</v>
      </c>
      <c r="AN27" s="241">
        <v>4</v>
      </c>
      <c r="AO27" s="241">
        <v>2</v>
      </c>
      <c r="AP27" s="253">
        <f t="shared" si="2"/>
        <v>30</v>
      </c>
      <c r="AQ27" s="240" t="s">
        <v>704</v>
      </c>
      <c r="AR27" s="227" t="s">
        <v>705</v>
      </c>
      <c r="AS27" s="256" t="s">
        <v>120</v>
      </c>
      <c r="AT27" s="256" t="s">
        <v>31</v>
      </c>
      <c r="AU27" s="256" t="s">
        <v>120</v>
      </c>
      <c r="AV27" s="224">
        <v>1137000</v>
      </c>
      <c r="AW27" s="338" t="s">
        <v>665</v>
      </c>
      <c r="AX27" s="376" t="s">
        <v>666</v>
      </c>
      <c r="AY27" s="335" t="s">
        <v>649</v>
      </c>
      <c r="AZ27" s="237"/>
      <c r="BA27" s="237"/>
      <c r="BB27" s="237"/>
      <c r="BC27" s="237"/>
      <c r="BD27" s="266"/>
      <c r="BE27" s="238"/>
      <c r="BF27" s="237"/>
    </row>
    <row r="28" spans="1:58" s="227" customFormat="1" ht="15.75" customHeight="1" x14ac:dyDescent="1.05">
      <c r="A28" s="240">
        <v>44377</v>
      </c>
      <c r="B28" s="335" t="s">
        <v>47</v>
      </c>
      <c r="C28" s="227" t="s">
        <v>20</v>
      </c>
      <c r="D28" s="227" t="s">
        <v>40</v>
      </c>
      <c r="E28" s="240">
        <v>43894</v>
      </c>
      <c r="F28" s="246" t="s">
        <v>706</v>
      </c>
      <c r="G28" s="228" t="s">
        <v>707</v>
      </c>
      <c r="H28" s="248" t="s">
        <v>708</v>
      </c>
      <c r="I28" s="341" t="s">
        <v>145</v>
      </c>
      <c r="J28" s="246" t="s">
        <v>709</v>
      </c>
      <c r="K28" s="246"/>
      <c r="L28" s="248" t="s">
        <v>654</v>
      </c>
      <c r="M28" s="256" t="s">
        <v>655</v>
      </c>
      <c r="N28" s="246" t="s">
        <v>710</v>
      </c>
      <c r="O28" s="246" t="s">
        <v>711</v>
      </c>
      <c r="P28" s="246" t="s">
        <v>151</v>
      </c>
      <c r="Q28" s="249" t="s">
        <v>712</v>
      </c>
      <c r="R28" s="348" t="s">
        <v>713</v>
      </c>
      <c r="S28" s="246" t="s">
        <v>714</v>
      </c>
      <c r="T28" s="246"/>
      <c r="U28" s="246" t="s">
        <v>654</v>
      </c>
      <c r="V28" s="250" t="s">
        <v>450</v>
      </c>
      <c r="W28" s="246" t="s">
        <v>117</v>
      </c>
      <c r="X28" s="237" t="s">
        <v>137</v>
      </c>
      <c r="Y28" s="266"/>
      <c r="Z28" s="246" t="s">
        <v>715</v>
      </c>
      <c r="AA28" s="261">
        <v>8032026</v>
      </c>
      <c r="AB28" s="227" t="s">
        <v>203</v>
      </c>
      <c r="AC28" s="237" t="s">
        <v>716</v>
      </c>
      <c r="AD28" s="245">
        <v>44343</v>
      </c>
      <c r="AE28" s="241">
        <v>2</v>
      </c>
      <c r="AF28" s="241">
        <v>2</v>
      </c>
      <c r="AG28" s="241">
        <f t="shared" si="1"/>
        <v>4</v>
      </c>
      <c r="AH28" s="227" t="s">
        <v>28</v>
      </c>
      <c r="AI28" s="252">
        <v>44370</v>
      </c>
      <c r="AJ28" s="253">
        <v>0</v>
      </c>
      <c r="AK28" s="253">
        <v>1</v>
      </c>
      <c r="AL28" s="253">
        <v>1</v>
      </c>
      <c r="AM28" s="253">
        <v>1</v>
      </c>
      <c r="AN28" s="253">
        <v>1</v>
      </c>
      <c r="AO28" s="253">
        <v>0</v>
      </c>
      <c r="AP28" s="253">
        <f t="shared" si="2"/>
        <v>4</v>
      </c>
      <c r="AQ28" s="240">
        <v>44371</v>
      </c>
      <c r="AR28" s="227" t="s">
        <v>717</v>
      </c>
      <c r="AS28" s="256" t="s">
        <v>120</v>
      </c>
      <c r="AT28" s="256" t="s">
        <v>31</v>
      </c>
      <c r="AU28" s="256" t="s">
        <v>120</v>
      </c>
      <c r="AV28" s="224">
        <v>1137000</v>
      </c>
      <c r="AW28" s="233" t="s">
        <v>665</v>
      </c>
      <c r="AX28" s="350" t="s">
        <v>666</v>
      </c>
      <c r="AY28" s="233" t="s">
        <v>159</v>
      </c>
      <c r="BD28" s="255" t="str">
        <f ca="1">IF(ISBLANK(AD28),"",IF(AD28&lt;TODAY(),L28,""))</f>
        <v>Holyoke</v>
      </c>
      <c r="BE28" s="259" t="s">
        <v>718</v>
      </c>
    </row>
    <row r="29" spans="1:58" s="227" customFormat="1" ht="15.75" customHeight="1" x14ac:dyDescent="0.55000000000000004">
      <c r="A29" s="240">
        <v>44254</v>
      </c>
      <c r="B29" s="335" t="s">
        <v>47</v>
      </c>
      <c r="C29" s="227" t="s">
        <v>32</v>
      </c>
      <c r="D29" s="227" t="s">
        <v>40</v>
      </c>
      <c r="E29" s="240">
        <v>44201</v>
      </c>
      <c r="F29" s="227" t="s">
        <v>719</v>
      </c>
      <c r="G29" s="228" t="s">
        <v>720</v>
      </c>
      <c r="H29" s="387" t="s">
        <v>721</v>
      </c>
      <c r="I29" s="247" t="s">
        <v>145</v>
      </c>
      <c r="J29" s="227" t="s">
        <v>722</v>
      </c>
      <c r="L29" s="248" t="s">
        <v>723</v>
      </c>
      <c r="M29" s="242" t="s">
        <v>724</v>
      </c>
      <c r="N29" s="227" t="s">
        <v>442</v>
      </c>
      <c r="O29" s="227" t="s">
        <v>725</v>
      </c>
      <c r="P29" s="227" t="s">
        <v>726</v>
      </c>
      <c r="Q29" s="249" t="s">
        <v>727</v>
      </c>
      <c r="R29" s="336" t="s">
        <v>728</v>
      </c>
      <c r="S29" s="227" t="s">
        <v>729</v>
      </c>
      <c r="T29" s="227" t="s">
        <v>730</v>
      </c>
      <c r="U29" s="227" t="s">
        <v>723</v>
      </c>
      <c r="V29" s="337" t="s">
        <v>724</v>
      </c>
      <c r="W29" s="227" t="s">
        <v>117</v>
      </c>
      <c r="X29" s="237" t="s">
        <v>118</v>
      </c>
      <c r="Y29" s="237"/>
      <c r="Z29" s="227" t="s">
        <v>731</v>
      </c>
      <c r="AA29" s="251">
        <v>201300</v>
      </c>
      <c r="AB29" s="227" t="s">
        <v>23</v>
      </c>
      <c r="AD29" s="245">
        <v>44245</v>
      </c>
      <c r="AE29" s="241">
        <v>3</v>
      </c>
      <c r="AF29" s="241">
        <v>3</v>
      </c>
      <c r="AG29" s="241">
        <f t="shared" si="1"/>
        <v>6</v>
      </c>
      <c r="AH29" s="227" t="s">
        <v>28</v>
      </c>
      <c r="AI29" s="252">
        <v>44252</v>
      </c>
      <c r="AJ29" s="253">
        <v>0</v>
      </c>
      <c r="AK29" s="253">
        <v>1</v>
      </c>
      <c r="AL29" s="253">
        <v>2</v>
      </c>
      <c r="AM29" s="253">
        <v>2</v>
      </c>
      <c r="AN29" s="253">
        <v>1</v>
      </c>
      <c r="AO29" s="253">
        <v>0</v>
      </c>
      <c r="AP29" s="253">
        <f t="shared" si="2"/>
        <v>6</v>
      </c>
      <c r="AQ29" s="240">
        <v>44254</v>
      </c>
      <c r="AR29" s="227" t="s">
        <v>732</v>
      </c>
      <c r="AS29" s="256" t="s">
        <v>120</v>
      </c>
      <c r="AT29" s="256" t="s">
        <v>31</v>
      </c>
      <c r="AU29" s="256" t="s">
        <v>120</v>
      </c>
      <c r="AV29" s="224">
        <v>1152000</v>
      </c>
      <c r="AW29" s="342" t="s">
        <v>728</v>
      </c>
      <c r="AX29" s="363" t="s">
        <v>733</v>
      </c>
      <c r="AY29" s="335" t="s">
        <v>159</v>
      </c>
      <c r="AZ29" s="237"/>
      <c r="BA29" s="237"/>
      <c r="BB29" s="237"/>
      <c r="BC29" s="237"/>
      <c r="BD29" s="255" t="str">
        <f ca="1">IF(ISBLANK(AD29),"",IF(AD29&lt;TODAY(),L29,""))</f>
        <v>Lenox</v>
      </c>
      <c r="BE29" s="377" t="s">
        <v>734</v>
      </c>
      <c r="BF29" s="378"/>
    </row>
    <row r="30" spans="1:58" s="227" customFormat="1" ht="15.75" customHeight="1" x14ac:dyDescent="0.55000000000000004">
      <c r="A30" s="240">
        <v>44377</v>
      </c>
      <c r="B30" s="335" t="s">
        <v>47</v>
      </c>
      <c r="C30" s="227" t="s">
        <v>20</v>
      </c>
      <c r="D30" s="227" t="s">
        <v>33</v>
      </c>
      <c r="E30" s="239">
        <v>44292</v>
      </c>
      <c r="F30" s="237" t="s">
        <v>735</v>
      </c>
      <c r="G30" s="237" t="s">
        <v>736</v>
      </c>
      <c r="H30" s="496" t="s">
        <v>737</v>
      </c>
      <c r="I30" s="344" t="s">
        <v>127</v>
      </c>
      <c r="J30" s="237" t="s">
        <v>738</v>
      </c>
      <c r="K30" s="237"/>
      <c r="L30" s="345" t="s">
        <v>739</v>
      </c>
      <c r="M30" s="346" t="s">
        <v>740</v>
      </c>
      <c r="N30" s="237" t="s">
        <v>741</v>
      </c>
      <c r="O30" s="237" t="s">
        <v>742</v>
      </c>
      <c r="P30" s="237" t="s">
        <v>743</v>
      </c>
      <c r="Q30" s="347" t="s">
        <v>744</v>
      </c>
      <c r="R30" s="238" t="s">
        <v>745</v>
      </c>
      <c r="S30" s="237" t="s">
        <v>746</v>
      </c>
      <c r="T30" s="237"/>
      <c r="U30" s="237" t="s">
        <v>739</v>
      </c>
      <c r="V30" s="379" t="s">
        <v>740</v>
      </c>
      <c r="W30" s="237" t="s">
        <v>155</v>
      </c>
      <c r="X30" s="237" t="s">
        <v>235</v>
      </c>
      <c r="Y30" s="237"/>
      <c r="Z30" s="228" t="s">
        <v>747</v>
      </c>
      <c r="AA30" s="223">
        <v>626347</v>
      </c>
      <c r="AB30" s="237" t="s">
        <v>203</v>
      </c>
      <c r="AC30" s="237" t="s">
        <v>748</v>
      </c>
      <c r="AD30" s="245">
        <v>44309</v>
      </c>
      <c r="AE30" s="244">
        <v>3</v>
      </c>
      <c r="AF30" s="244">
        <v>3</v>
      </c>
      <c r="AG30" s="241">
        <f t="shared" si="1"/>
        <v>6</v>
      </c>
      <c r="AH30" s="237" t="s">
        <v>38</v>
      </c>
      <c r="AI30" s="257" t="s">
        <v>749</v>
      </c>
      <c r="AJ30" s="258">
        <v>1</v>
      </c>
      <c r="AK30" s="258">
        <v>3</v>
      </c>
      <c r="AL30" s="258">
        <v>1</v>
      </c>
      <c r="AM30" s="258">
        <v>0</v>
      </c>
      <c r="AN30" s="258">
        <v>1</v>
      </c>
      <c r="AO30" s="258">
        <v>0</v>
      </c>
      <c r="AP30" s="253">
        <f t="shared" si="2"/>
        <v>6</v>
      </c>
      <c r="AQ30" s="239">
        <v>44330</v>
      </c>
      <c r="AR30" s="237"/>
      <c r="AS30" s="244" t="s">
        <v>120</v>
      </c>
      <c r="AT30" s="244" t="s">
        <v>19</v>
      </c>
      <c r="AU30" s="244" t="s">
        <v>120</v>
      </c>
      <c r="AV30" s="224">
        <v>2158000</v>
      </c>
      <c r="AW30" s="226" t="s">
        <v>750</v>
      </c>
      <c r="AX30" s="339" t="s">
        <v>751</v>
      </c>
      <c r="AY30" s="335" t="s">
        <v>159</v>
      </c>
      <c r="BD30" s="255" t="str">
        <f ca="1">IF(ISBLANK(AD30),"",IF(AD30&lt;TODAY(),L30,""))</f>
        <v>Littleton</v>
      </c>
      <c r="BE30" s="354" t="s">
        <v>752</v>
      </c>
    </row>
    <row r="31" spans="1:58" s="227" customFormat="1" ht="15.75" customHeight="1" x14ac:dyDescent="0.55000000000000004">
      <c r="A31" s="240">
        <v>44475</v>
      </c>
      <c r="B31" s="335" t="s">
        <v>47</v>
      </c>
      <c r="C31" s="227" t="s">
        <v>20</v>
      </c>
      <c r="D31" s="227" t="s">
        <v>46</v>
      </c>
      <c r="E31" s="240">
        <v>44293</v>
      </c>
      <c r="F31" s="227" t="s">
        <v>753</v>
      </c>
      <c r="G31" s="227" t="s">
        <v>754</v>
      </c>
      <c r="H31" s="387" t="s">
        <v>755</v>
      </c>
      <c r="I31" s="247" t="s">
        <v>127</v>
      </c>
      <c r="J31" s="227" t="s">
        <v>756</v>
      </c>
      <c r="L31" s="248" t="s">
        <v>129</v>
      </c>
      <c r="M31" s="242" t="s">
        <v>757</v>
      </c>
      <c r="N31" s="227" t="s">
        <v>758</v>
      </c>
      <c r="O31" s="227" t="s">
        <v>759</v>
      </c>
      <c r="P31" s="227" t="s">
        <v>760</v>
      </c>
      <c r="Q31" s="249" t="s">
        <v>761</v>
      </c>
      <c r="R31" s="380" t="s">
        <v>762</v>
      </c>
      <c r="S31" s="227" t="s">
        <v>763</v>
      </c>
      <c r="U31" s="227" t="s">
        <v>129</v>
      </c>
      <c r="V31" s="250">
        <v>1851</v>
      </c>
      <c r="W31" s="227" t="s">
        <v>155</v>
      </c>
      <c r="X31" s="237" t="s">
        <v>764</v>
      </c>
      <c r="Y31" s="237" t="s">
        <v>765</v>
      </c>
      <c r="Z31" s="228" t="s">
        <v>766</v>
      </c>
      <c r="AA31" s="251">
        <v>8028369</v>
      </c>
      <c r="AB31" s="227" t="s">
        <v>203</v>
      </c>
      <c r="AC31" s="227" t="s">
        <v>758</v>
      </c>
      <c r="AD31" s="245">
        <v>44433</v>
      </c>
      <c r="AE31" s="241">
        <v>5</v>
      </c>
      <c r="AF31" s="241">
        <v>5</v>
      </c>
      <c r="AG31" s="241">
        <f t="shared" si="1"/>
        <v>10</v>
      </c>
      <c r="AH31" s="227" t="s">
        <v>28</v>
      </c>
      <c r="AI31" s="252">
        <v>44463</v>
      </c>
      <c r="AJ31" s="253">
        <v>3</v>
      </c>
      <c r="AK31" s="253">
        <v>5</v>
      </c>
      <c r="AL31" s="253">
        <v>2</v>
      </c>
      <c r="AM31" s="253">
        <v>0</v>
      </c>
      <c r="AN31" s="253">
        <v>0</v>
      </c>
      <c r="AO31" s="253">
        <v>0</v>
      </c>
      <c r="AP31" s="253">
        <f t="shared" si="2"/>
        <v>10</v>
      </c>
      <c r="AQ31" s="240">
        <v>44475</v>
      </c>
      <c r="AR31" s="227" t="s">
        <v>767</v>
      </c>
      <c r="AS31" s="241" t="s">
        <v>120</v>
      </c>
      <c r="AT31" s="256" t="s">
        <v>12</v>
      </c>
      <c r="AU31" s="256" t="s">
        <v>120</v>
      </c>
      <c r="AV31" s="224">
        <v>3160000</v>
      </c>
      <c r="AW31" s="342" t="s">
        <v>343</v>
      </c>
      <c r="AX31" s="365" t="s">
        <v>139</v>
      </c>
      <c r="AY31" s="233" t="s">
        <v>159</v>
      </c>
      <c r="BD31" s="255" t="str">
        <f ca="1">IF(ISBLANK(AD31),"",IF(AD31&lt;TODAY(),L31,""))</f>
        <v>Lowell</v>
      </c>
      <c r="BE31" s="340" t="s">
        <v>768</v>
      </c>
    </row>
    <row r="32" spans="1:58" s="227" customFormat="1" ht="15.75" customHeight="1" x14ac:dyDescent="0.55000000000000004">
      <c r="A32" s="240">
        <v>44399</v>
      </c>
      <c r="B32" s="335" t="s">
        <v>47</v>
      </c>
      <c r="C32" s="227" t="s">
        <v>13</v>
      </c>
      <c r="E32" s="240">
        <v>43895</v>
      </c>
      <c r="F32" s="246" t="s">
        <v>769</v>
      </c>
      <c r="G32" s="228" t="s">
        <v>770</v>
      </c>
      <c r="H32" s="248" t="s">
        <v>771</v>
      </c>
      <c r="I32" s="341" t="s">
        <v>145</v>
      </c>
      <c r="J32" s="246" t="s">
        <v>772</v>
      </c>
      <c r="K32" s="246"/>
      <c r="L32" s="248" t="s">
        <v>773</v>
      </c>
      <c r="M32" s="256" t="s">
        <v>774</v>
      </c>
      <c r="N32" s="246" t="s">
        <v>775</v>
      </c>
      <c r="O32" s="246" t="s">
        <v>776</v>
      </c>
      <c r="P32" s="246" t="s">
        <v>777</v>
      </c>
      <c r="Q32" s="249" t="s">
        <v>778</v>
      </c>
      <c r="R32" s="336" t="s">
        <v>779</v>
      </c>
      <c r="S32" s="246" t="s">
        <v>780</v>
      </c>
      <c r="T32" s="246"/>
      <c r="U32" s="246" t="s">
        <v>773</v>
      </c>
      <c r="V32" s="250" t="s">
        <v>774</v>
      </c>
      <c r="W32" s="246" t="s">
        <v>338</v>
      </c>
      <c r="X32" s="237" t="s">
        <v>338</v>
      </c>
      <c r="Y32" s="266"/>
      <c r="Z32" s="227" t="s">
        <v>781</v>
      </c>
      <c r="AA32" s="261" t="s">
        <v>782</v>
      </c>
      <c r="AB32" s="227" t="s">
        <v>203</v>
      </c>
      <c r="AC32" s="227" t="s">
        <v>783</v>
      </c>
      <c r="AD32" s="245">
        <v>44133</v>
      </c>
      <c r="AE32" s="253">
        <f>AJ32+AL32+AN32</f>
        <v>6</v>
      </c>
      <c r="AF32" s="253">
        <f>AK32+AM32+AO32</f>
        <v>6</v>
      </c>
      <c r="AG32" s="241">
        <f t="shared" si="1"/>
        <v>12</v>
      </c>
      <c r="AH32" s="227" t="s">
        <v>28</v>
      </c>
      <c r="AI32" s="252">
        <v>44144</v>
      </c>
      <c r="AJ32" s="253">
        <v>6</v>
      </c>
      <c r="AK32" s="241">
        <v>6</v>
      </c>
      <c r="AL32" s="241">
        <v>0</v>
      </c>
      <c r="AM32" s="241">
        <v>0</v>
      </c>
      <c r="AN32" s="241">
        <v>0</v>
      </c>
      <c r="AO32" s="241">
        <v>0</v>
      </c>
      <c r="AP32" s="253">
        <f t="shared" si="2"/>
        <v>12</v>
      </c>
      <c r="AQ32" s="240" t="s">
        <v>784</v>
      </c>
      <c r="AR32" s="227" t="s">
        <v>785</v>
      </c>
      <c r="AS32" s="256" t="s">
        <v>120</v>
      </c>
      <c r="AT32" s="256" t="s">
        <v>31</v>
      </c>
      <c r="AU32" s="256" t="s">
        <v>120</v>
      </c>
      <c r="AV32" s="241">
        <v>1161005</v>
      </c>
      <c r="AW32" s="342" t="s">
        <v>786</v>
      </c>
      <c r="AX32" s="376" t="s">
        <v>787</v>
      </c>
      <c r="AY32" s="335" t="s">
        <v>159</v>
      </c>
      <c r="AZ32" s="228"/>
      <c r="BD32" s="246"/>
      <c r="BE32" s="377" t="s">
        <v>788</v>
      </c>
      <c r="BF32" s="228"/>
    </row>
    <row r="33" spans="1:58" s="227" customFormat="1" ht="15.75" customHeight="1" x14ac:dyDescent="1.05">
      <c r="A33" s="240">
        <v>44397</v>
      </c>
      <c r="B33" s="335" t="s">
        <v>47</v>
      </c>
      <c r="C33" s="227" t="s">
        <v>20</v>
      </c>
      <c r="D33" s="227" t="s">
        <v>46</v>
      </c>
      <c r="E33" s="239">
        <v>44292</v>
      </c>
      <c r="F33" s="237" t="s">
        <v>789</v>
      </c>
      <c r="G33" s="237" t="s">
        <v>790</v>
      </c>
      <c r="H33" s="496" t="s">
        <v>791</v>
      </c>
      <c r="I33" s="344" t="s">
        <v>127</v>
      </c>
      <c r="J33" s="237" t="s">
        <v>792</v>
      </c>
      <c r="K33" s="237"/>
      <c r="L33" s="345" t="s">
        <v>279</v>
      </c>
      <c r="M33" s="346" t="s">
        <v>280</v>
      </c>
      <c r="N33" s="237" t="s">
        <v>793</v>
      </c>
      <c r="O33" s="237" t="s">
        <v>794</v>
      </c>
      <c r="P33" s="237" t="s">
        <v>334</v>
      </c>
      <c r="Q33" s="347" t="s">
        <v>795</v>
      </c>
      <c r="R33" s="348" t="s">
        <v>796</v>
      </c>
      <c r="S33" s="237" t="s">
        <v>792</v>
      </c>
      <c r="T33" s="237"/>
      <c r="U33" s="237" t="s">
        <v>279</v>
      </c>
      <c r="V33" s="349">
        <v>1904</v>
      </c>
      <c r="W33" s="237" t="s">
        <v>117</v>
      </c>
      <c r="X33" s="237" t="s">
        <v>137</v>
      </c>
      <c r="Y33" s="237" t="s">
        <v>797</v>
      </c>
      <c r="Z33" s="228" t="s">
        <v>798</v>
      </c>
      <c r="AA33" s="251">
        <v>621335</v>
      </c>
      <c r="AB33" s="237" t="s">
        <v>203</v>
      </c>
      <c r="AC33" s="227" t="s">
        <v>799</v>
      </c>
      <c r="AD33" s="245">
        <v>44340</v>
      </c>
      <c r="AE33" s="244">
        <v>6</v>
      </c>
      <c r="AF33" s="244">
        <v>6</v>
      </c>
      <c r="AG33" s="241">
        <f t="shared" si="1"/>
        <v>12</v>
      </c>
      <c r="AH33" s="237" t="s">
        <v>800</v>
      </c>
      <c r="AI33" s="381">
        <v>44357</v>
      </c>
      <c r="AJ33" s="258">
        <v>3</v>
      </c>
      <c r="AK33" s="258">
        <v>6</v>
      </c>
      <c r="AL33" s="258">
        <v>3</v>
      </c>
      <c r="AM33" s="258">
        <v>0</v>
      </c>
      <c r="AN33" s="258">
        <v>0</v>
      </c>
      <c r="AO33" s="258">
        <v>0</v>
      </c>
      <c r="AP33" s="253">
        <f t="shared" si="2"/>
        <v>12</v>
      </c>
      <c r="AQ33" s="239">
        <v>44363</v>
      </c>
      <c r="AR33" s="237"/>
      <c r="AS33" s="244" t="s">
        <v>205</v>
      </c>
      <c r="AT33" s="244" t="s">
        <v>12</v>
      </c>
      <c r="AU33" s="244" t="s">
        <v>120</v>
      </c>
      <c r="AV33" s="224">
        <v>3163000</v>
      </c>
      <c r="AW33" s="233" t="s">
        <v>801</v>
      </c>
      <c r="AX33" s="350" t="s">
        <v>290</v>
      </c>
      <c r="AY33" s="233" t="s">
        <v>159</v>
      </c>
      <c r="BD33" s="255" t="str">
        <f ca="1">IF(ISBLANK(AD33),"",IF(AD33&lt;TODAY(),L33,""))</f>
        <v>Lynn</v>
      </c>
      <c r="BE33" s="340" t="s">
        <v>802</v>
      </c>
    </row>
    <row r="34" spans="1:58" s="227" customFormat="1" ht="15.75" customHeight="1" x14ac:dyDescent="1.05">
      <c r="A34" s="240">
        <v>44460</v>
      </c>
      <c r="B34" s="335" t="s">
        <v>47</v>
      </c>
      <c r="C34" s="227" t="s">
        <v>36</v>
      </c>
      <c r="E34" s="240">
        <v>44295</v>
      </c>
      <c r="F34" s="227" t="s">
        <v>803</v>
      </c>
      <c r="G34" s="227" t="s">
        <v>804</v>
      </c>
      <c r="H34" s="387" t="s">
        <v>805</v>
      </c>
      <c r="I34" s="247" t="s">
        <v>127</v>
      </c>
      <c r="J34" s="227" t="s">
        <v>806</v>
      </c>
      <c r="L34" s="248" t="s">
        <v>807</v>
      </c>
      <c r="M34" s="242" t="s">
        <v>808</v>
      </c>
      <c r="N34" s="227" t="s">
        <v>809</v>
      </c>
      <c r="O34" s="227" t="s">
        <v>810</v>
      </c>
      <c r="P34" s="227" t="s">
        <v>133</v>
      </c>
      <c r="Q34" s="249" t="s">
        <v>811</v>
      </c>
      <c r="R34" s="336" t="s">
        <v>812</v>
      </c>
      <c r="S34" s="227" t="s">
        <v>806</v>
      </c>
      <c r="U34" s="227" t="s">
        <v>807</v>
      </c>
      <c r="V34" s="250">
        <v>1844</v>
      </c>
      <c r="W34" s="227" t="s">
        <v>117</v>
      </c>
      <c r="X34" s="237" t="s">
        <v>137</v>
      </c>
      <c r="Y34" s="237"/>
      <c r="Z34" s="228" t="s">
        <v>813</v>
      </c>
      <c r="AA34" s="223">
        <v>8030957</v>
      </c>
      <c r="AB34" s="227" t="s">
        <v>203</v>
      </c>
      <c r="AC34" s="227" t="s">
        <v>814</v>
      </c>
      <c r="AD34" s="245">
        <v>44318</v>
      </c>
      <c r="AE34" s="241">
        <v>2</v>
      </c>
      <c r="AF34" s="241">
        <v>2</v>
      </c>
      <c r="AG34" s="241">
        <f t="shared" ref="AG34:AG65" si="5">AE34+AF34</f>
        <v>4</v>
      </c>
      <c r="AH34" s="227" t="s">
        <v>38</v>
      </c>
      <c r="AI34" s="252">
        <v>44349</v>
      </c>
      <c r="AJ34" s="253">
        <v>1</v>
      </c>
      <c r="AK34" s="253">
        <v>0</v>
      </c>
      <c r="AL34" s="253">
        <v>1</v>
      </c>
      <c r="AM34" s="253">
        <v>2</v>
      </c>
      <c r="AN34" s="253">
        <v>0</v>
      </c>
      <c r="AO34" s="253">
        <v>0</v>
      </c>
      <c r="AP34" s="253">
        <f t="shared" ref="AP34:AP65" si="6">AJ34+AK34+AL34+AM34+AN34+AO34</f>
        <v>4</v>
      </c>
      <c r="AQ34" s="240">
        <v>44351</v>
      </c>
      <c r="AS34" s="241" t="s">
        <v>120</v>
      </c>
      <c r="AT34" s="241" t="s">
        <v>12</v>
      </c>
      <c r="AU34" s="241" t="s">
        <v>120</v>
      </c>
      <c r="AV34" s="351">
        <v>3181000</v>
      </c>
      <c r="AW34" s="338" t="s">
        <v>343</v>
      </c>
      <c r="AX34" s="350" t="s">
        <v>815</v>
      </c>
      <c r="AY34" s="335" t="s">
        <v>159</v>
      </c>
      <c r="BD34" s="255" t="str">
        <f ca="1">IF(ISBLANK(AD34),"",IF(AD34&lt;TODAY(),L34,""))</f>
        <v>Methuen</v>
      </c>
      <c r="BE34" s="259" t="s">
        <v>816</v>
      </c>
    </row>
    <row r="35" spans="1:58" s="227" customFormat="1" ht="15.75" customHeight="1" x14ac:dyDescent="0.55000000000000004">
      <c r="A35" s="240">
        <v>44377</v>
      </c>
      <c r="B35" s="353" t="s">
        <v>47</v>
      </c>
      <c r="C35" s="237" t="s">
        <v>13</v>
      </c>
      <c r="D35" s="237"/>
      <c r="E35" s="240">
        <v>43896</v>
      </c>
      <c r="F35" s="246" t="s">
        <v>817</v>
      </c>
      <c r="G35" s="228" t="s">
        <v>818</v>
      </c>
      <c r="H35" s="248" t="s">
        <v>819</v>
      </c>
      <c r="I35" s="341" t="s">
        <v>145</v>
      </c>
      <c r="J35" s="246" t="s">
        <v>820</v>
      </c>
      <c r="K35" s="246"/>
      <c r="L35" s="248" t="s">
        <v>821</v>
      </c>
      <c r="M35" s="256" t="s">
        <v>822</v>
      </c>
      <c r="N35" s="246" t="s">
        <v>823</v>
      </c>
      <c r="O35" s="246" t="s">
        <v>824</v>
      </c>
      <c r="P35" s="246" t="s">
        <v>243</v>
      </c>
      <c r="Q35" s="249" t="s">
        <v>825</v>
      </c>
      <c r="R35" s="229" t="s">
        <v>826</v>
      </c>
      <c r="S35" s="246" t="s">
        <v>827</v>
      </c>
      <c r="T35" s="246"/>
      <c r="U35" s="246" t="s">
        <v>821</v>
      </c>
      <c r="V35" s="250" t="s">
        <v>828</v>
      </c>
      <c r="W35" s="246" t="s">
        <v>155</v>
      </c>
      <c r="X35" s="237" t="s">
        <v>118</v>
      </c>
      <c r="Y35" s="266"/>
      <c r="Z35" s="246" t="s">
        <v>829</v>
      </c>
      <c r="AA35" s="261">
        <v>211923</v>
      </c>
      <c r="AB35" s="227" t="s">
        <v>23</v>
      </c>
      <c r="AD35" s="245">
        <v>44047</v>
      </c>
      <c r="AE35" s="253">
        <f>AJ35+AL35+AN35</f>
        <v>9</v>
      </c>
      <c r="AF35" s="253">
        <f>AK35+AM35+AO35</f>
        <v>9</v>
      </c>
      <c r="AG35" s="241">
        <f t="shared" si="5"/>
        <v>18</v>
      </c>
      <c r="AH35" s="227" t="s">
        <v>22</v>
      </c>
      <c r="AI35" s="252">
        <v>44062</v>
      </c>
      <c r="AJ35" s="253">
        <v>9</v>
      </c>
      <c r="AK35" s="241">
        <v>9</v>
      </c>
      <c r="AL35" s="241">
        <v>0</v>
      </c>
      <c r="AM35" s="241">
        <v>0</v>
      </c>
      <c r="AN35" s="241">
        <v>0</v>
      </c>
      <c r="AO35" s="241">
        <v>0</v>
      </c>
      <c r="AP35" s="253">
        <f t="shared" si="6"/>
        <v>18</v>
      </c>
      <c r="AQ35" s="240" t="s">
        <v>472</v>
      </c>
      <c r="AR35" s="227" t="s">
        <v>324</v>
      </c>
      <c r="AS35" s="241" t="s">
        <v>120</v>
      </c>
      <c r="AT35" s="256" t="s">
        <v>25</v>
      </c>
      <c r="AU35" s="256" t="s">
        <v>120</v>
      </c>
      <c r="AV35" s="224">
        <v>4197000</v>
      </c>
      <c r="AW35" s="226" t="s">
        <v>830</v>
      </c>
      <c r="AX35" s="339" t="s">
        <v>831</v>
      </c>
      <c r="AY35" s="335" t="s">
        <v>159</v>
      </c>
      <c r="BD35" s="255" t="str">
        <f ca="1">IF(ISBLANK(AD35),"",IF(AD35&lt;TODAY(),L35,""))</f>
        <v>Nantucket</v>
      </c>
      <c r="BE35" s="340" t="s">
        <v>832</v>
      </c>
    </row>
    <row r="36" spans="1:58" s="227" customFormat="1" ht="15.75" customHeight="1" x14ac:dyDescent="0.55000000000000004">
      <c r="A36" s="240">
        <v>44146</v>
      </c>
      <c r="B36" s="335" t="s">
        <v>47</v>
      </c>
      <c r="C36" s="227" t="s">
        <v>13</v>
      </c>
      <c r="E36" s="240">
        <v>44008</v>
      </c>
      <c r="F36" s="246" t="s">
        <v>833</v>
      </c>
      <c r="G36" s="228" t="s">
        <v>834</v>
      </c>
      <c r="H36" s="248" t="s">
        <v>835</v>
      </c>
      <c r="I36" s="341" t="s">
        <v>127</v>
      </c>
      <c r="J36" s="246" t="s">
        <v>836</v>
      </c>
      <c r="K36" s="246"/>
      <c r="L36" s="248" t="s">
        <v>837</v>
      </c>
      <c r="M36" s="256" t="s">
        <v>838</v>
      </c>
      <c r="N36" s="246" t="s">
        <v>839</v>
      </c>
      <c r="O36" s="246" t="s">
        <v>840</v>
      </c>
      <c r="P36" s="246" t="s">
        <v>216</v>
      </c>
      <c r="Q36" s="249" t="s">
        <v>841</v>
      </c>
      <c r="R36" s="336" t="s">
        <v>842</v>
      </c>
      <c r="S36" s="246" t="s">
        <v>843</v>
      </c>
      <c r="T36" s="246"/>
      <c r="U36" s="246" t="s">
        <v>837</v>
      </c>
      <c r="V36" s="250" t="s">
        <v>838</v>
      </c>
      <c r="W36" s="246" t="s">
        <v>338</v>
      </c>
      <c r="X36" s="237" t="s">
        <v>338</v>
      </c>
      <c r="Y36" s="266" t="s">
        <v>844</v>
      </c>
      <c r="Z36" s="227" t="s">
        <v>845</v>
      </c>
      <c r="AA36" s="261" t="s">
        <v>846</v>
      </c>
      <c r="AB36" s="227" t="s">
        <v>23</v>
      </c>
      <c r="AD36" s="245">
        <v>44054</v>
      </c>
      <c r="AE36" s="253">
        <f>AJ36+AL36+AN36</f>
        <v>3</v>
      </c>
      <c r="AF36" s="253">
        <f>AK36+AM36+AO36</f>
        <v>2</v>
      </c>
      <c r="AG36" s="241">
        <f t="shared" si="5"/>
        <v>5</v>
      </c>
      <c r="AH36" s="227" t="s">
        <v>38</v>
      </c>
      <c r="AI36" s="252">
        <v>44063</v>
      </c>
      <c r="AJ36" s="253">
        <v>3</v>
      </c>
      <c r="AK36" s="253">
        <v>2</v>
      </c>
      <c r="AL36" s="253">
        <v>0</v>
      </c>
      <c r="AM36" s="253">
        <v>0</v>
      </c>
      <c r="AN36" s="253">
        <v>0</v>
      </c>
      <c r="AO36" s="253">
        <v>0</v>
      </c>
      <c r="AP36" s="253">
        <f t="shared" si="6"/>
        <v>5</v>
      </c>
      <c r="AQ36" s="240">
        <v>44146</v>
      </c>
      <c r="AR36" s="227" t="s">
        <v>324</v>
      </c>
      <c r="AS36" s="241" t="s">
        <v>120</v>
      </c>
      <c r="AT36" s="256" t="s">
        <v>25</v>
      </c>
      <c r="AU36" s="256" t="s">
        <v>120</v>
      </c>
      <c r="AV36" s="224">
        <v>4201000</v>
      </c>
      <c r="AW36" s="226" t="s">
        <v>847</v>
      </c>
      <c r="AX36" s="343" t="s">
        <v>848</v>
      </c>
      <c r="AY36" s="335" t="s">
        <v>159</v>
      </c>
      <c r="BD36" s="255" t="str">
        <f ca="1">IF(ISBLANK(AD36),"",IF(AD36&lt;TODAY(),L36,""))</f>
        <v>New Bedford</v>
      </c>
      <c r="BE36" s="259" t="s">
        <v>849</v>
      </c>
    </row>
    <row r="37" spans="1:58" s="227" customFormat="1" ht="15.75" customHeight="1" x14ac:dyDescent="1.05">
      <c r="A37" s="240">
        <v>44376</v>
      </c>
      <c r="B37" s="335" t="s">
        <v>47</v>
      </c>
      <c r="C37" s="227" t="s">
        <v>13</v>
      </c>
      <c r="E37" s="239">
        <v>44292</v>
      </c>
      <c r="F37" s="237" t="s">
        <v>850</v>
      </c>
      <c r="G37" s="237" t="s">
        <v>851</v>
      </c>
      <c r="H37" s="496" t="s">
        <v>852</v>
      </c>
      <c r="I37" s="344" t="s">
        <v>145</v>
      </c>
      <c r="J37" s="237" t="s">
        <v>853</v>
      </c>
      <c r="K37" s="237"/>
      <c r="L37" s="345" t="s">
        <v>854</v>
      </c>
      <c r="M37" s="346" t="s">
        <v>855</v>
      </c>
      <c r="N37" s="237" t="s">
        <v>856</v>
      </c>
      <c r="O37" s="237" t="s">
        <v>857</v>
      </c>
      <c r="P37" s="237" t="s">
        <v>151</v>
      </c>
      <c r="Q37" s="347" t="s">
        <v>858</v>
      </c>
      <c r="R37" s="348" t="s">
        <v>859</v>
      </c>
      <c r="S37" s="237" t="s">
        <v>853</v>
      </c>
      <c r="T37" s="237"/>
      <c r="U37" s="237" t="s">
        <v>854</v>
      </c>
      <c r="V37" s="349">
        <v>1950</v>
      </c>
      <c r="W37" s="237" t="s">
        <v>155</v>
      </c>
      <c r="X37" s="237" t="s">
        <v>118</v>
      </c>
      <c r="Y37" s="237"/>
      <c r="Z37" s="237"/>
      <c r="AA37" s="251">
        <v>290938</v>
      </c>
      <c r="AB37" s="237" t="s">
        <v>10</v>
      </c>
      <c r="AC37" s="237" t="s">
        <v>388</v>
      </c>
      <c r="AD37" s="245">
        <v>43973</v>
      </c>
      <c r="AE37" s="244">
        <v>21</v>
      </c>
      <c r="AF37" s="244">
        <v>21</v>
      </c>
      <c r="AG37" s="241">
        <f t="shared" si="5"/>
        <v>42</v>
      </c>
      <c r="AH37" s="237" t="s">
        <v>38</v>
      </c>
      <c r="AI37" s="257">
        <v>44358</v>
      </c>
      <c r="AJ37" s="258">
        <v>21</v>
      </c>
      <c r="AK37" s="258">
        <v>21</v>
      </c>
      <c r="AL37" s="258">
        <v>0</v>
      </c>
      <c r="AM37" s="258">
        <v>0</v>
      </c>
      <c r="AN37" s="258">
        <v>0</v>
      </c>
      <c r="AO37" s="258">
        <v>0</v>
      </c>
      <c r="AP37" s="253">
        <f t="shared" si="6"/>
        <v>42</v>
      </c>
      <c r="AQ37" s="239">
        <v>44376</v>
      </c>
      <c r="AR37" s="237" t="s">
        <v>860</v>
      </c>
      <c r="AS37" s="244" t="s">
        <v>120</v>
      </c>
      <c r="AT37" s="244" t="s">
        <v>12</v>
      </c>
      <c r="AU37" s="244" t="s">
        <v>120</v>
      </c>
      <c r="AV37" s="224">
        <v>3206000</v>
      </c>
      <c r="AW37" s="335" t="s">
        <v>343</v>
      </c>
      <c r="AX37" s="350" t="s">
        <v>861</v>
      </c>
      <c r="AY37" s="335" t="s">
        <v>159</v>
      </c>
      <c r="AZ37" s="237"/>
      <c r="BA37" s="237"/>
      <c r="BB37" s="237"/>
      <c r="BC37" s="237"/>
      <c r="BD37" s="266"/>
      <c r="BE37" s="238"/>
      <c r="BF37" s="237"/>
    </row>
    <row r="38" spans="1:58" s="227" customFormat="1" ht="15.75" customHeight="1" x14ac:dyDescent="0.55000000000000004">
      <c r="A38" s="240">
        <v>44224</v>
      </c>
      <c r="B38" s="335" t="s">
        <v>47</v>
      </c>
      <c r="C38" s="227" t="s">
        <v>13</v>
      </c>
      <c r="E38" s="240">
        <v>44140</v>
      </c>
      <c r="F38" s="227" t="s">
        <v>862</v>
      </c>
      <c r="G38" s="228" t="s">
        <v>863</v>
      </c>
      <c r="H38" s="387" t="s">
        <v>864</v>
      </c>
      <c r="I38" s="247" t="s">
        <v>108</v>
      </c>
      <c r="J38" s="227" t="s">
        <v>865</v>
      </c>
      <c r="K38" s="227" t="s">
        <v>866</v>
      </c>
      <c r="L38" s="248" t="s">
        <v>867</v>
      </c>
      <c r="M38" s="242" t="s">
        <v>868</v>
      </c>
      <c r="N38" s="227" t="s">
        <v>869</v>
      </c>
      <c r="O38" s="227" t="s">
        <v>870</v>
      </c>
      <c r="P38" s="227" t="s">
        <v>871</v>
      </c>
      <c r="Q38" s="249" t="s">
        <v>872</v>
      </c>
      <c r="R38" s="336" t="s">
        <v>873</v>
      </c>
      <c r="S38" s="227" t="s">
        <v>865</v>
      </c>
      <c r="T38" s="227" t="s">
        <v>866</v>
      </c>
      <c r="U38" s="227" t="s">
        <v>867</v>
      </c>
      <c r="V38" s="337" t="s">
        <v>868</v>
      </c>
      <c r="W38" s="227" t="s">
        <v>117</v>
      </c>
      <c r="X38" s="237" t="s">
        <v>118</v>
      </c>
      <c r="Y38" s="237"/>
      <c r="Z38" s="227" t="s">
        <v>874</v>
      </c>
      <c r="AA38" s="375" t="s">
        <v>875</v>
      </c>
      <c r="AB38" s="227" t="s">
        <v>203</v>
      </c>
      <c r="AC38" s="227" t="s">
        <v>876</v>
      </c>
      <c r="AD38" s="245">
        <v>44202</v>
      </c>
      <c r="AE38" s="241">
        <v>6</v>
      </c>
      <c r="AF38" s="241">
        <v>6</v>
      </c>
      <c r="AG38" s="241">
        <f t="shared" si="5"/>
        <v>12</v>
      </c>
      <c r="AH38" s="227" t="s">
        <v>28</v>
      </c>
      <c r="AI38" s="252">
        <v>44214</v>
      </c>
      <c r="AJ38" s="253">
        <v>2</v>
      </c>
      <c r="AK38" s="253">
        <v>6</v>
      </c>
      <c r="AL38" s="253">
        <v>4</v>
      </c>
      <c r="AM38" s="253">
        <v>0</v>
      </c>
      <c r="AN38" s="253">
        <v>0</v>
      </c>
      <c r="AO38" s="253">
        <v>0</v>
      </c>
      <c r="AP38" s="253">
        <f t="shared" si="6"/>
        <v>12</v>
      </c>
      <c r="AQ38" s="240">
        <v>44224</v>
      </c>
      <c r="AR38" s="227" t="s">
        <v>877</v>
      </c>
      <c r="AS38" s="241" t="s">
        <v>120</v>
      </c>
      <c r="AT38" s="256" t="s">
        <v>31</v>
      </c>
      <c r="AU38" s="256" t="s">
        <v>120</v>
      </c>
      <c r="AV38" s="224">
        <v>1214000</v>
      </c>
      <c r="AW38" s="226" t="s">
        <v>878</v>
      </c>
      <c r="AX38" s="339" t="s">
        <v>879</v>
      </c>
      <c r="AY38" s="335" t="s">
        <v>649</v>
      </c>
      <c r="BD38" s="255" t="str">
        <f ca="1">IF(ISBLANK(AD38),"",IF(AD38&lt;TODAY(),L38,""))</f>
        <v>Northampton</v>
      </c>
      <c r="BE38" s="354" t="s">
        <v>880</v>
      </c>
    </row>
    <row r="39" spans="1:58" s="227" customFormat="1" ht="15.75" customHeight="1" x14ac:dyDescent="0.55000000000000004">
      <c r="A39" s="240">
        <v>44377</v>
      </c>
      <c r="B39" s="335" t="s">
        <v>47</v>
      </c>
      <c r="C39" s="227" t="s">
        <v>13</v>
      </c>
      <c r="E39" s="240">
        <v>43895</v>
      </c>
      <c r="F39" s="246" t="s">
        <v>881</v>
      </c>
      <c r="G39" s="228" t="s">
        <v>882</v>
      </c>
      <c r="H39" s="248" t="s">
        <v>883</v>
      </c>
      <c r="I39" s="341" t="s">
        <v>145</v>
      </c>
      <c r="J39" s="246" t="s">
        <v>884</v>
      </c>
      <c r="K39" s="246"/>
      <c r="L39" s="248" t="s">
        <v>885</v>
      </c>
      <c r="M39" s="256" t="s">
        <v>886</v>
      </c>
      <c r="N39" s="246" t="s">
        <v>887</v>
      </c>
      <c r="O39" s="246" t="s">
        <v>888</v>
      </c>
      <c r="P39" s="246" t="s">
        <v>889</v>
      </c>
      <c r="Q39" s="249" t="s">
        <v>890</v>
      </c>
      <c r="R39" s="229" t="s">
        <v>891</v>
      </c>
      <c r="S39" s="246" t="s">
        <v>892</v>
      </c>
      <c r="T39" s="246"/>
      <c r="U39" s="246" t="s">
        <v>885</v>
      </c>
      <c r="V39" s="250" t="s">
        <v>886</v>
      </c>
      <c r="W39" s="246" t="s">
        <v>117</v>
      </c>
      <c r="X39" s="237" t="s">
        <v>137</v>
      </c>
      <c r="Y39" s="266" t="s">
        <v>893</v>
      </c>
      <c r="Z39" s="246" t="s">
        <v>894</v>
      </c>
      <c r="AA39" s="261">
        <v>212367</v>
      </c>
      <c r="AB39" s="227" t="s">
        <v>203</v>
      </c>
      <c r="AC39" s="227" t="s">
        <v>895</v>
      </c>
      <c r="AD39" s="245">
        <v>44167</v>
      </c>
      <c r="AE39" s="253">
        <f t="shared" ref="AE39:AF41" si="7">AJ39+AL39+AN39</f>
        <v>5</v>
      </c>
      <c r="AF39" s="253">
        <f t="shared" si="7"/>
        <v>5</v>
      </c>
      <c r="AG39" s="241">
        <f t="shared" si="5"/>
        <v>10</v>
      </c>
      <c r="AH39" s="227" t="s">
        <v>28</v>
      </c>
      <c r="AI39" s="252">
        <v>44180</v>
      </c>
      <c r="AJ39" s="253">
        <v>4</v>
      </c>
      <c r="AK39" s="253">
        <v>5</v>
      </c>
      <c r="AL39" s="253">
        <v>1</v>
      </c>
      <c r="AM39" s="253">
        <v>0</v>
      </c>
      <c r="AN39" s="253">
        <v>0</v>
      </c>
      <c r="AO39" s="253">
        <v>0</v>
      </c>
      <c r="AP39" s="253">
        <f t="shared" si="6"/>
        <v>10</v>
      </c>
      <c r="AQ39" s="240" t="s">
        <v>896</v>
      </c>
      <c r="AR39" s="227" t="s">
        <v>897</v>
      </c>
      <c r="AS39" s="256" t="s">
        <v>120</v>
      </c>
      <c r="AT39" s="256" t="s">
        <v>31</v>
      </c>
      <c r="AU39" s="256" t="s">
        <v>120</v>
      </c>
      <c r="AV39" s="224">
        <v>1236000</v>
      </c>
      <c r="AW39" s="226" t="s">
        <v>898</v>
      </c>
      <c r="AX39" s="339" t="s">
        <v>899</v>
      </c>
      <c r="AY39" s="335" t="s">
        <v>159</v>
      </c>
      <c r="BD39" s="255" t="str">
        <f ca="1">IF(ISBLANK(AD39),"",IF(AD39&lt;TODAY(),L39,""))</f>
        <v>Pittsfield</v>
      </c>
      <c r="BE39" s="259" t="s">
        <v>531</v>
      </c>
    </row>
    <row r="40" spans="1:58" s="227" customFormat="1" ht="15.75" customHeight="1" x14ac:dyDescent="0.55000000000000004">
      <c r="A40" s="240">
        <v>44377</v>
      </c>
      <c r="B40" s="335" t="s">
        <v>47</v>
      </c>
      <c r="C40" s="227" t="s">
        <v>13</v>
      </c>
      <c r="E40" s="240">
        <v>43895</v>
      </c>
      <c r="F40" s="246" t="s">
        <v>900</v>
      </c>
      <c r="G40" s="228" t="s">
        <v>901</v>
      </c>
      <c r="H40" s="248" t="s">
        <v>902</v>
      </c>
      <c r="I40" s="341" t="s">
        <v>145</v>
      </c>
      <c r="J40" s="246" t="s">
        <v>903</v>
      </c>
      <c r="K40" s="246"/>
      <c r="L40" s="248" t="s">
        <v>885</v>
      </c>
      <c r="M40" s="256" t="s">
        <v>886</v>
      </c>
      <c r="N40" s="246" t="s">
        <v>887</v>
      </c>
      <c r="O40" s="246" t="s">
        <v>888</v>
      </c>
      <c r="P40" s="246" t="s">
        <v>889</v>
      </c>
      <c r="Q40" s="249" t="s">
        <v>904</v>
      </c>
      <c r="R40" s="336" t="s">
        <v>891</v>
      </c>
      <c r="S40" s="246" t="s">
        <v>892</v>
      </c>
      <c r="T40" s="246"/>
      <c r="U40" s="246" t="s">
        <v>905</v>
      </c>
      <c r="V40" s="250" t="s">
        <v>886</v>
      </c>
      <c r="W40" s="246" t="s">
        <v>155</v>
      </c>
      <c r="X40" s="237" t="s">
        <v>235</v>
      </c>
      <c r="Y40" s="266" t="s">
        <v>893</v>
      </c>
      <c r="Z40" s="246" t="s">
        <v>894</v>
      </c>
      <c r="AA40" s="261">
        <v>201332</v>
      </c>
      <c r="AB40" s="227" t="s">
        <v>203</v>
      </c>
      <c r="AC40" s="227" t="s">
        <v>895</v>
      </c>
      <c r="AD40" s="245">
        <v>44167</v>
      </c>
      <c r="AE40" s="253">
        <f t="shared" si="7"/>
        <v>6</v>
      </c>
      <c r="AF40" s="253">
        <f t="shared" si="7"/>
        <v>6</v>
      </c>
      <c r="AG40" s="241">
        <f t="shared" si="5"/>
        <v>12</v>
      </c>
      <c r="AH40" s="227" t="s">
        <v>28</v>
      </c>
      <c r="AI40" s="252">
        <v>44180</v>
      </c>
      <c r="AJ40" s="253">
        <v>6</v>
      </c>
      <c r="AK40" s="253">
        <v>6</v>
      </c>
      <c r="AL40" s="253">
        <v>0</v>
      </c>
      <c r="AM40" s="253">
        <v>0</v>
      </c>
      <c r="AN40" s="253">
        <v>0</v>
      </c>
      <c r="AO40" s="253">
        <v>0</v>
      </c>
      <c r="AP40" s="253">
        <f t="shared" si="6"/>
        <v>12</v>
      </c>
      <c r="AQ40" s="240" t="s">
        <v>896</v>
      </c>
      <c r="AR40" s="227" t="s">
        <v>906</v>
      </c>
      <c r="AS40" s="256" t="s">
        <v>120</v>
      </c>
      <c r="AT40" s="256" t="s">
        <v>31</v>
      </c>
      <c r="AU40" s="256" t="s">
        <v>120</v>
      </c>
      <c r="AV40" s="224">
        <v>1236000</v>
      </c>
      <c r="AW40" s="226" t="s">
        <v>898</v>
      </c>
      <c r="AX40" s="339" t="s">
        <v>899</v>
      </c>
      <c r="AY40" s="335" t="s">
        <v>159</v>
      </c>
      <c r="AZ40" s="237"/>
      <c r="BA40" s="237"/>
      <c r="BB40" s="237"/>
      <c r="BC40" s="237"/>
      <c r="BD40" s="266"/>
      <c r="BE40" s="238"/>
      <c r="BF40" s="237"/>
    </row>
    <row r="41" spans="1:58" s="227" customFormat="1" ht="15.75" customHeight="1" x14ac:dyDescent="0.55000000000000004">
      <c r="A41" s="240">
        <v>44146</v>
      </c>
      <c r="B41" s="335" t="s">
        <v>47</v>
      </c>
      <c r="C41" s="227" t="s">
        <v>26</v>
      </c>
      <c r="D41" s="227" t="s">
        <v>46</v>
      </c>
      <c r="E41" s="240">
        <v>43895</v>
      </c>
      <c r="F41" s="246" t="s">
        <v>907</v>
      </c>
      <c r="G41" s="228" t="s">
        <v>908</v>
      </c>
      <c r="H41" s="248" t="s">
        <v>909</v>
      </c>
      <c r="I41" s="341" t="s">
        <v>145</v>
      </c>
      <c r="J41" s="246" t="s">
        <v>910</v>
      </c>
      <c r="K41" s="246"/>
      <c r="L41" s="248" t="s">
        <v>885</v>
      </c>
      <c r="M41" s="256" t="s">
        <v>886</v>
      </c>
      <c r="N41" s="246" t="s">
        <v>911</v>
      </c>
      <c r="O41" s="246" t="s">
        <v>912</v>
      </c>
      <c r="P41" s="246" t="s">
        <v>913</v>
      </c>
      <c r="Q41" s="249" t="s">
        <v>914</v>
      </c>
      <c r="R41" s="336" t="s">
        <v>915</v>
      </c>
      <c r="S41" s="246" t="s">
        <v>916</v>
      </c>
      <c r="T41" s="246"/>
      <c r="U41" s="246" t="s">
        <v>885</v>
      </c>
      <c r="V41" s="250" t="s">
        <v>886</v>
      </c>
      <c r="W41" s="246" t="s">
        <v>117</v>
      </c>
      <c r="X41" s="237" t="s">
        <v>118</v>
      </c>
      <c r="Y41" s="266"/>
      <c r="Z41" s="246" t="s">
        <v>917</v>
      </c>
      <c r="AA41" s="261">
        <v>212459</v>
      </c>
      <c r="AB41" s="227" t="s">
        <v>203</v>
      </c>
      <c r="AC41" s="227" t="s">
        <v>918</v>
      </c>
      <c r="AD41" s="245">
        <v>44069</v>
      </c>
      <c r="AE41" s="253">
        <f t="shared" si="7"/>
        <v>8</v>
      </c>
      <c r="AF41" s="253">
        <f t="shared" si="7"/>
        <v>8</v>
      </c>
      <c r="AG41" s="241">
        <f t="shared" si="5"/>
        <v>16</v>
      </c>
      <c r="AH41" s="227" t="s">
        <v>28</v>
      </c>
      <c r="AI41" s="252">
        <v>44131</v>
      </c>
      <c r="AJ41" s="253">
        <v>6</v>
      </c>
      <c r="AK41" s="241">
        <v>8</v>
      </c>
      <c r="AL41" s="241">
        <v>2</v>
      </c>
      <c r="AM41" s="241">
        <v>0</v>
      </c>
      <c r="AN41" s="241">
        <v>0</v>
      </c>
      <c r="AO41" s="241">
        <v>0</v>
      </c>
      <c r="AP41" s="253">
        <f t="shared" si="6"/>
        <v>16</v>
      </c>
      <c r="AQ41" s="240" t="s">
        <v>342</v>
      </c>
      <c r="AR41" s="227" t="s">
        <v>919</v>
      </c>
      <c r="AS41" s="241" t="s">
        <v>120</v>
      </c>
      <c r="AT41" s="256" t="s">
        <v>31</v>
      </c>
      <c r="AU41" s="256" t="s">
        <v>120</v>
      </c>
      <c r="AV41" s="224">
        <v>1236000</v>
      </c>
      <c r="AW41" s="226" t="s">
        <v>898</v>
      </c>
      <c r="AX41" s="376" t="s">
        <v>899</v>
      </c>
      <c r="AY41" s="335" t="s">
        <v>159</v>
      </c>
      <c r="BD41" s="255" t="str">
        <f ca="1">IF(ISBLANK(AD41),"",IF(AD41&lt;TODAY(),L41,""))</f>
        <v>Pittsfield</v>
      </c>
      <c r="BE41" s="340" t="s">
        <v>920</v>
      </c>
    </row>
    <row r="42" spans="1:58" s="227" customFormat="1" ht="15.75" customHeight="1" x14ac:dyDescent="0.55000000000000004">
      <c r="A42" s="240">
        <v>44399</v>
      </c>
      <c r="B42" s="335" t="s">
        <v>47</v>
      </c>
      <c r="C42" s="227" t="s">
        <v>20</v>
      </c>
      <c r="D42" s="227" t="s">
        <v>33</v>
      </c>
      <c r="E42" s="239">
        <v>44292</v>
      </c>
      <c r="F42" s="237" t="s">
        <v>921</v>
      </c>
      <c r="G42" s="237" t="s">
        <v>922</v>
      </c>
      <c r="H42" s="496" t="s">
        <v>923</v>
      </c>
      <c r="I42" s="344" t="s">
        <v>127</v>
      </c>
      <c r="J42" s="237" t="s">
        <v>924</v>
      </c>
      <c r="K42" s="237"/>
      <c r="L42" s="345" t="s">
        <v>925</v>
      </c>
      <c r="M42" s="346" t="s">
        <v>926</v>
      </c>
      <c r="N42" s="237" t="s">
        <v>927</v>
      </c>
      <c r="O42" s="237" t="s">
        <v>928</v>
      </c>
      <c r="P42" s="237" t="s">
        <v>929</v>
      </c>
      <c r="Q42" s="347" t="s">
        <v>930</v>
      </c>
      <c r="R42" s="238" t="s">
        <v>931</v>
      </c>
      <c r="S42" s="237" t="s">
        <v>932</v>
      </c>
      <c r="T42" s="237"/>
      <c r="U42" s="237" t="s">
        <v>933</v>
      </c>
      <c r="V42" s="349">
        <v>2151</v>
      </c>
      <c r="W42" s="237" t="s">
        <v>155</v>
      </c>
      <c r="X42" s="237" t="s">
        <v>235</v>
      </c>
      <c r="Y42" s="237" t="s">
        <v>934</v>
      </c>
      <c r="Z42" s="237" t="s">
        <v>935</v>
      </c>
      <c r="AA42" s="251">
        <v>7023594</v>
      </c>
      <c r="AB42" s="237" t="s">
        <v>203</v>
      </c>
      <c r="AC42" s="237" t="s">
        <v>936</v>
      </c>
      <c r="AD42" s="245">
        <v>44323</v>
      </c>
      <c r="AE42" s="244">
        <v>3</v>
      </c>
      <c r="AF42" s="244">
        <v>3</v>
      </c>
      <c r="AG42" s="241">
        <f t="shared" si="5"/>
        <v>6</v>
      </c>
      <c r="AH42" s="237" t="s">
        <v>38</v>
      </c>
      <c r="AI42" s="257">
        <v>44349</v>
      </c>
      <c r="AJ42" s="258">
        <v>2</v>
      </c>
      <c r="AK42" s="258">
        <v>2</v>
      </c>
      <c r="AL42" s="258">
        <v>1</v>
      </c>
      <c r="AM42" s="258">
        <v>1</v>
      </c>
      <c r="AN42" s="258">
        <v>0</v>
      </c>
      <c r="AO42" s="258">
        <v>0</v>
      </c>
      <c r="AP42" s="253">
        <f t="shared" si="6"/>
        <v>6</v>
      </c>
      <c r="AQ42" s="239">
        <v>44351</v>
      </c>
      <c r="AR42" s="237"/>
      <c r="AS42" s="244" t="s">
        <v>189</v>
      </c>
      <c r="AT42" s="244" t="s">
        <v>12</v>
      </c>
      <c r="AU42" s="244" t="s">
        <v>120</v>
      </c>
      <c r="AV42" s="224">
        <v>3248000</v>
      </c>
      <c r="AW42" s="313" t="s">
        <v>343</v>
      </c>
      <c r="AX42" s="339" t="s">
        <v>937</v>
      </c>
      <c r="AY42" s="335" t="s">
        <v>159</v>
      </c>
      <c r="AZ42" s="237"/>
      <c r="BA42" s="237"/>
      <c r="BB42" s="237"/>
      <c r="BC42" s="237"/>
      <c r="BD42" s="255" t="str">
        <f ca="1">IF(ISBLANK(AD42),"",IF(AD42&lt;TODAY(),L42,""))</f>
        <v xml:space="preserve">Revere </v>
      </c>
      <c r="BE42" s="382" t="s">
        <v>938</v>
      </c>
    </row>
    <row r="43" spans="1:58" s="227" customFormat="1" ht="15.75" customHeight="1" x14ac:dyDescent="1.05">
      <c r="A43" s="239">
        <v>44398</v>
      </c>
      <c r="B43" s="353" t="s">
        <v>47</v>
      </c>
      <c r="C43" s="227" t="s">
        <v>32</v>
      </c>
      <c r="D43" s="227" t="s">
        <v>48</v>
      </c>
      <c r="E43" s="239">
        <v>44358</v>
      </c>
      <c r="F43" s="369" t="s">
        <v>939</v>
      </c>
      <c r="G43" s="368" t="s">
        <v>940</v>
      </c>
      <c r="H43" s="370" t="s">
        <v>941</v>
      </c>
      <c r="I43" s="383" t="s">
        <v>145</v>
      </c>
      <c r="J43" s="368" t="s">
        <v>942</v>
      </c>
      <c r="K43" s="228" t="s">
        <v>943</v>
      </c>
      <c r="L43" s="370" t="s">
        <v>944</v>
      </c>
      <c r="M43" s="384" t="s">
        <v>945</v>
      </c>
      <c r="N43" s="369" t="s">
        <v>946</v>
      </c>
      <c r="O43" s="368" t="s">
        <v>947</v>
      </c>
      <c r="P43" s="368" t="s">
        <v>948</v>
      </c>
      <c r="Q43" s="369" t="s">
        <v>949</v>
      </c>
      <c r="R43" s="368" t="s">
        <v>950</v>
      </c>
      <c r="S43" s="368" t="s">
        <v>942</v>
      </c>
      <c r="T43" s="228" t="s">
        <v>943</v>
      </c>
      <c r="U43" s="368" t="s">
        <v>944</v>
      </c>
      <c r="V43" s="385" t="s">
        <v>945</v>
      </c>
      <c r="W43" s="369" t="s">
        <v>117</v>
      </c>
      <c r="X43" s="237" t="s">
        <v>235</v>
      </c>
      <c r="Y43" s="237"/>
      <c r="Z43" s="237" t="s">
        <v>951</v>
      </c>
      <c r="AA43" s="251">
        <v>200853</v>
      </c>
      <c r="AB43" s="228" t="s">
        <v>442</v>
      </c>
      <c r="AC43" s="237" t="s">
        <v>443</v>
      </c>
      <c r="AD43" s="245">
        <v>44373</v>
      </c>
      <c r="AE43" s="244">
        <v>8</v>
      </c>
      <c r="AF43" s="244">
        <v>8</v>
      </c>
      <c r="AG43" s="241">
        <f t="shared" si="5"/>
        <v>16</v>
      </c>
      <c r="AH43" s="237" t="s">
        <v>38</v>
      </c>
      <c r="AI43" s="257">
        <v>44389</v>
      </c>
      <c r="AJ43" s="258">
        <v>6</v>
      </c>
      <c r="AK43" s="258">
        <v>8</v>
      </c>
      <c r="AL43" s="258">
        <v>1</v>
      </c>
      <c r="AM43" s="258">
        <v>0</v>
      </c>
      <c r="AN43" s="258">
        <v>1</v>
      </c>
      <c r="AO43" s="258">
        <v>0</v>
      </c>
      <c r="AP43" s="253">
        <f t="shared" si="6"/>
        <v>16</v>
      </c>
      <c r="AQ43" s="239">
        <v>44398</v>
      </c>
      <c r="AR43" s="237"/>
      <c r="AS43" s="244" t="s">
        <v>120</v>
      </c>
      <c r="AT43" s="244" t="s">
        <v>12</v>
      </c>
      <c r="AU43" s="244" t="s">
        <v>120</v>
      </c>
      <c r="AV43" s="244">
        <v>3258000</v>
      </c>
      <c r="AW43" s="233" t="s">
        <v>952</v>
      </c>
      <c r="AX43" s="350" t="s">
        <v>953</v>
      </c>
      <c r="AY43" s="335" t="s">
        <v>159</v>
      </c>
      <c r="BD43" s="255" t="str">
        <f ca="1">IF(ISBLANK(AD43),"",IF(AD43&lt;TODAY(),L43,""))</f>
        <v>Salem</v>
      </c>
      <c r="BE43" s="340" t="s">
        <v>954</v>
      </c>
    </row>
    <row r="44" spans="1:58" s="227" customFormat="1" ht="15.75" customHeight="1" x14ac:dyDescent="1.05">
      <c r="A44" s="240">
        <v>44377</v>
      </c>
      <c r="B44" s="335" t="s">
        <v>47</v>
      </c>
      <c r="C44" s="227" t="s">
        <v>20</v>
      </c>
      <c r="D44" s="227" t="s">
        <v>40</v>
      </c>
      <c r="E44" s="240">
        <v>44298</v>
      </c>
      <c r="F44" s="227" t="s">
        <v>955</v>
      </c>
      <c r="G44" s="227" t="s">
        <v>956</v>
      </c>
      <c r="H44" s="387" t="s">
        <v>957</v>
      </c>
      <c r="I44" s="247" t="s">
        <v>127</v>
      </c>
      <c r="J44" s="227" t="s">
        <v>958</v>
      </c>
      <c r="L44" s="248" t="s">
        <v>959</v>
      </c>
      <c r="M44" s="242" t="s">
        <v>960</v>
      </c>
      <c r="N44" s="227" t="s">
        <v>961</v>
      </c>
      <c r="O44" s="227" t="s">
        <v>962</v>
      </c>
      <c r="P44" s="227" t="s">
        <v>334</v>
      </c>
      <c r="Q44" s="249" t="s">
        <v>963</v>
      </c>
      <c r="R44" s="336" t="s">
        <v>964</v>
      </c>
      <c r="S44" s="227" t="s">
        <v>958</v>
      </c>
      <c r="U44" s="227" t="s">
        <v>959</v>
      </c>
      <c r="V44" s="250">
        <v>1072</v>
      </c>
      <c r="W44" s="227" t="s">
        <v>155</v>
      </c>
      <c r="X44" s="237" t="s">
        <v>137</v>
      </c>
      <c r="Y44" s="237" t="s">
        <v>965</v>
      </c>
      <c r="AA44" s="251" t="s">
        <v>966</v>
      </c>
      <c r="AB44" s="227" t="s">
        <v>203</v>
      </c>
      <c r="AC44" s="227" t="s">
        <v>965</v>
      </c>
      <c r="AD44" s="245">
        <v>44323</v>
      </c>
      <c r="AE44" s="241">
        <v>5</v>
      </c>
      <c r="AF44" s="241">
        <v>5</v>
      </c>
      <c r="AG44" s="241">
        <f t="shared" si="5"/>
        <v>10</v>
      </c>
      <c r="AH44" s="227" t="s">
        <v>28</v>
      </c>
      <c r="AI44" s="252">
        <v>44335</v>
      </c>
      <c r="AJ44" s="253">
        <v>3</v>
      </c>
      <c r="AK44" s="253">
        <v>4</v>
      </c>
      <c r="AL44" s="253">
        <v>2</v>
      </c>
      <c r="AM44" s="253">
        <v>1</v>
      </c>
      <c r="AN44" s="253">
        <v>0</v>
      </c>
      <c r="AO44" s="253">
        <v>0</v>
      </c>
      <c r="AP44" s="253">
        <f t="shared" si="6"/>
        <v>10</v>
      </c>
      <c r="AQ44" s="240">
        <v>44337</v>
      </c>
      <c r="AS44" s="231" t="s">
        <v>120</v>
      </c>
      <c r="AT44" s="232" t="s">
        <v>31</v>
      </c>
      <c r="AU44" s="232" t="s">
        <v>120</v>
      </c>
      <c r="AV44" s="241">
        <v>1272002</v>
      </c>
      <c r="AW44" s="233" t="s">
        <v>967</v>
      </c>
      <c r="AX44" s="350" t="s">
        <v>968</v>
      </c>
      <c r="AY44" s="236" t="s">
        <v>274</v>
      </c>
      <c r="BD44" s="255" t="str">
        <f ca="1">IF(ISBLANK(AD44),"",IF(AD44&lt;TODAY(),L44,""))</f>
        <v>Shutesbury</v>
      </c>
      <c r="BE44" s="340"/>
    </row>
    <row r="45" spans="1:58" s="227" customFormat="1" ht="15.75" customHeight="1" x14ac:dyDescent="0.55000000000000004">
      <c r="A45" s="239">
        <v>44446</v>
      </c>
      <c r="B45" s="335" t="s">
        <v>47</v>
      </c>
      <c r="C45" s="227" t="s">
        <v>20</v>
      </c>
      <c r="D45" s="227" t="s">
        <v>40</v>
      </c>
      <c r="E45" s="240">
        <v>44008</v>
      </c>
      <c r="F45" s="227" t="s">
        <v>969</v>
      </c>
      <c r="G45" s="227" t="s">
        <v>970</v>
      </c>
      <c r="H45" s="497" t="s">
        <v>971</v>
      </c>
      <c r="I45" s="386" t="s">
        <v>145</v>
      </c>
      <c r="J45" s="227" t="s">
        <v>972</v>
      </c>
      <c r="K45" s="227" t="s">
        <v>973</v>
      </c>
      <c r="L45" s="387" t="s">
        <v>974</v>
      </c>
      <c r="M45" s="242" t="s">
        <v>975</v>
      </c>
      <c r="N45" s="227" t="s">
        <v>621</v>
      </c>
      <c r="O45" s="227" t="s">
        <v>622</v>
      </c>
      <c r="P45" s="227" t="s">
        <v>334</v>
      </c>
      <c r="Q45" s="336" t="s">
        <v>623</v>
      </c>
      <c r="R45" s="336" t="s">
        <v>624</v>
      </c>
      <c r="S45" s="227" t="s">
        <v>976</v>
      </c>
      <c r="U45" s="227" t="s">
        <v>974</v>
      </c>
      <c r="V45" s="388" t="s">
        <v>620</v>
      </c>
      <c r="W45" s="227" t="s">
        <v>117</v>
      </c>
      <c r="X45" s="237" t="s">
        <v>235</v>
      </c>
      <c r="Y45" s="244"/>
      <c r="AA45" s="251">
        <v>8028363</v>
      </c>
      <c r="AB45" s="227" t="s">
        <v>203</v>
      </c>
      <c r="AC45" s="389" t="s">
        <v>621</v>
      </c>
      <c r="AD45" s="390">
        <v>44335</v>
      </c>
      <c r="AE45" s="227">
        <v>1</v>
      </c>
      <c r="AF45" s="241">
        <v>1</v>
      </c>
      <c r="AG45" s="241">
        <f t="shared" si="5"/>
        <v>2</v>
      </c>
      <c r="AH45" s="227" t="s">
        <v>28</v>
      </c>
      <c r="AI45" s="252">
        <v>44343</v>
      </c>
      <c r="AJ45" s="253">
        <v>1</v>
      </c>
      <c r="AK45" s="253">
        <v>0</v>
      </c>
      <c r="AL45" s="253">
        <v>1</v>
      </c>
      <c r="AM45" s="253">
        <v>0</v>
      </c>
      <c r="AN45" s="253">
        <v>0</v>
      </c>
      <c r="AO45" s="253">
        <v>0</v>
      </c>
      <c r="AP45" s="253">
        <f t="shared" si="6"/>
        <v>2</v>
      </c>
      <c r="AQ45" s="240">
        <v>44343</v>
      </c>
      <c r="AR45" s="391" t="s">
        <v>977</v>
      </c>
      <c r="AS45" s="392" t="s">
        <v>120</v>
      </c>
      <c r="AT45" s="256" t="s">
        <v>31</v>
      </c>
      <c r="AU45" s="393" t="s">
        <v>120</v>
      </c>
      <c r="AV45" s="394">
        <v>1275001</v>
      </c>
      <c r="AW45" s="342" t="s">
        <v>343</v>
      </c>
      <c r="AX45" s="339" t="s">
        <v>978</v>
      </c>
      <c r="AY45" s="335" t="s">
        <v>159</v>
      </c>
      <c r="AZ45" s="237"/>
      <c r="BA45" s="237"/>
      <c r="BB45" s="237"/>
      <c r="BC45" s="237"/>
      <c r="BD45" s="266"/>
      <c r="BE45" s="238"/>
      <c r="BF45" s="237"/>
    </row>
    <row r="46" spans="1:58" s="227" customFormat="1" ht="15.75" customHeight="1" x14ac:dyDescent="1.05">
      <c r="A46" s="240">
        <v>44397</v>
      </c>
      <c r="B46" s="335" t="s">
        <v>47</v>
      </c>
      <c r="C46" s="227" t="s">
        <v>20</v>
      </c>
      <c r="D46" s="227" t="s">
        <v>37</v>
      </c>
      <c r="E46" s="240">
        <v>43895</v>
      </c>
      <c r="F46" s="246" t="s">
        <v>979</v>
      </c>
      <c r="G46" s="228" t="s">
        <v>980</v>
      </c>
      <c r="H46" s="248" t="s">
        <v>981</v>
      </c>
      <c r="I46" s="341" t="s">
        <v>145</v>
      </c>
      <c r="J46" s="246" t="s">
        <v>982</v>
      </c>
      <c r="K46" s="246"/>
      <c r="L46" s="248" t="s">
        <v>983</v>
      </c>
      <c r="M46" s="256" t="s">
        <v>984</v>
      </c>
      <c r="N46" s="246" t="s">
        <v>985</v>
      </c>
      <c r="O46" s="246" t="s">
        <v>986</v>
      </c>
      <c r="P46" s="246" t="s">
        <v>243</v>
      </c>
      <c r="Q46" s="249" t="s">
        <v>987</v>
      </c>
      <c r="R46" s="229" t="s">
        <v>988</v>
      </c>
      <c r="S46" s="246" t="s">
        <v>989</v>
      </c>
      <c r="T46" s="246"/>
      <c r="U46" s="246" t="s">
        <v>983</v>
      </c>
      <c r="V46" s="250" t="s">
        <v>984</v>
      </c>
      <c r="W46" s="246" t="s">
        <v>117</v>
      </c>
      <c r="X46" s="237" t="s">
        <v>118</v>
      </c>
      <c r="Y46" s="266"/>
      <c r="Z46" s="227" t="s">
        <v>990</v>
      </c>
      <c r="AA46" s="261">
        <v>291012</v>
      </c>
      <c r="AB46" s="227" t="s">
        <v>203</v>
      </c>
      <c r="AC46" s="227" t="s">
        <v>991</v>
      </c>
      <c r="AD46" s="245">
        <v>44217</v>
      </c>
      <c r="AE46" s="241">
        <v>2</v>
      </c>
      <c r="AF46" s="241">
        <v>2</v>
      </c>
      <c r="AG46" s="241">
        <f t="shared" si="5"/>
        <v>4</v>
      </c>
      <c r="AH46" s="227" t="s">
        <v>28</v>
      </c>
      <c r="AI46" s="252">
        <v>44230</v>
      </c>
      <c r="AJ46" s="253">
        <v>1</v>
      </c>
      <c r="AK46" s="253">
        <v>2</v>
      </c>
      <c r="AL46" s="253">
        <v>1</v>
      </c>
      <c r="AM46" s="253">
        <v>0</v>
      </c>
      <c r="AN46" s="253">
        <v>0</v>
      </c>
      <c r="AO46" s="253">
        <v>0</v>
      </c>
      <c r="AP46" s="253">
        <f t="shared" si="6"/>
        <v>4</v>
      </c>
      <c r="AQ46" s="240" t="s">
        <v>992</v>
      </c>
      <c r="AR46" s="227" t="s">
        <v>993</v>
      </c>
      <c r="AS46" s="241" t="s">
        <v>120</v>
      </c>
      <c r="AT46" s="256" t="s">
        <v>31</v>
      </c>
      <c r="AU46" s="256" t="s">
        <v>120</v>
      </c>
      <c r="AV46" s="224">
        <v>1281000</v>
      </c>
      <c r="AW46" s="226" t="s">
        <v>994</v>
      </c>
      <c r="AX46" s="350" t="s">
        <v>995</v>
      </c>
      <c r="AY46" s="335" t="s">
        <v>159</v>
      </c>
      <c r="BD46" s="255" t="str">
        <f ca="1">IF(ISBLANK(AD46),"",IF(AD46&lt;TODAY(),L46,""))</f>
        <v>Springfield</v>
      </c>
      <c r="BE46" s="340" t="s">
        <v>996</v>
      </c>
    </row>
    <row r="47" spans="1:58" s="227" customFormat="1" ht="15.75" customHeight="1" x14ac:dyDescent="1.05">
      <c r="A47" s="240">
        <v>44377</v>
      </c>
      <c r="B47" s="335" t="s">
        <v>47</v>
      </c>
      <c r="C47" s="227" t="s">
        <v>26</v>
      </c>
      <c r="D47" s="227" t="s">
        <v>46</v>
      </c>
      <c r="E47" s="240">
        <v>44008</v>
      </c>
      <c r="F47" s="227" t="s">
        <v>997</v>
      </c>
      <c r="G47" s="228" t="s">
        <v>998</v>
      </c>
      <c r="H47" s="387" t="s">
        <v>999</v>
      </c>
      <c r="I47" s="247" t="s">
        <v>127</v>
      </c>
      <c r="J47" s="227" t="s">
        <v>1000</v>
      </c>
      <c r="L47" s="248" t="s">
        <v>983</v>
      </c>
      <c r="M47" s="241" t="s">
        <v>1001</v>
      </c>
      <c r="N47" s="227" t="s">
        <v>1002</v>
      </c>
      <c r="O47" s="227" t="s">
        <v>1003</v>
      </c>
      <c r="P47" s="227" t="s">
        <v>1004</v>
      </c>
      <c r="Q47" s="249" t="s">
        <v>1005</v>
      </c>
      <c r="R47" s="336" t="s">
        <v>1006</v>
      </c>
      <c r="S47" s="227" t="s">
        <v>1007</v>
      </c>
      <c r="U47" s="227" t="s">
        <v>983</v>
      </c>
      <c r="V47" s="250" t="s">
        <v>1001</v>
      </c>
      <c r="W47" s="227" t="s">
        <v>155</v>
      </c>
      <c r="X47" s="237" t="s">
        <v>137</v>
      </c>
      <c r="Y47" s="490" t="s">
        <v>1008</v>
      </c>
      <c r="Z47" s="227" t="s">
        <v>1009</v>
      </c>
      <c r="AA47" s="251">
        <v>8033981</v>
      </c>
      <c r="AB47" s="227" t="s">
        <v>203</v>
      </c>
      <c r="AC47" s="395" t="s">
        <v>1010</v>
      </c>
      <c r="AD47" s="245">
        <v>44083</v>
      </c>
      <c r="AE47" s="253">
        <f>AJ47+AL47+AN47</f>
        <v>4</v>
      </c>
      <c r="AF47" s="253">
        <f>AK47+AM47+AO47</f>
        <v>4</v>
      </c>
      <c r="AG47" s="241">
        <f t="shared" si="5"/>
        <v>8</v>
      </c>
      <c r="AH47" s="227" t="s">
        <v>800</v>
      </c>
      <c r="AI47" s="252">
        <v>44090</v>
      </c>
      <c r="AJ47" s="253">
        <v>3</v>
      </c>
      <c r="AK47" s="253">
        <v>4</v>
      </c>
      <c r="AL47" s="253">
        <v>1</v>
      </c>
      <c r="AM47" s="253">
        <v>0</v>
      </c>
      <c r="AN47" s="253">
        <v>0</v>
      </c>
      <c r="AO47" s="253">
        <v>0</v>
      </c>
      <c r="AP47" s="253">
        <f t="shared" si="6"/>
        <v>8</v>
      </c>
      <c r="AQ47" s="240">
        <v>44146</v>
      </c>
      <c r="AR47" s="227" t="s">
        <v>919</v>
      </c>
      <c r="AS47" s="241" t="s">
        <v>120</v>
      </c>
      <c r="AT47" s="256" t="s">
        <v>31</v>
      </c>
      <c r="AU47" s="256" t="s">
        <v>120</v>
      </c>
      <c r="AV47" s="224">
        <v>1281000</v>
      </c>
      <c r="AW47" s="226" t="s">
        <v>994</v>
      </c>
      <c r="AX47" s="350" t="s">
        <v>995</v>
      </c>
      <c r="AY47" s="335" t="s">
        <v>159</v>
      </c>
      <c r="AZ47" s="237"/>
      <c r="BA47" s="237"/>
      <c r="BB47" s="237"/>
      <c r="BC47" s="237"/>
      <c r="BD47" s="266"/>
      <c r="BE47" s="238"/>
      <c r="BF47" s="237"/>
    </row>
    <row r="48" spans="1:58" s="227" customFormat="1" ht="15.75" customHeight="1" x14ac:dyDescent="1.05">
      <c r="A48" s="240">
        <v>44399</v>
      </c>
      <c r="B48" s="335" t="s">
        <v>47</v>
      </c>
      <c r="C48" s="227" t="s">
        <v>13</v>
      </c>
      <c r="E48" s="240">
        <v>44008</v>
      </c>
      <c r="F48" s="227" t="s">
        <v>1011</v>
      </c>
      <c r="G48" s="228" t="s">
        <v>1012</v>
      </c>
      <c r="H48" s="387" t="s">
        <v>1013</v>
      </c>
      <c r="I48" s="247" t="s">
        <v>127</v>
      </c>
      <c r="J48" s="227" t="s">
        <v>1014</v>
      </c>
      <c r="L48" s="248" t="s">
        <v>983</v>
      </c>
      <c r="M48" s="241" t="s">
        <v>1015</v>
      </c>
      <c r="N48" s="227" t="s">
        <v>1016</v>
      </c>
      <c r="O48" s="227" t="s">
        <v>1017</v>
      </c>
      <c r="P48" s="227" t="s">
        <v>1018</v>
      </c>
      <c r="Q48" s="249" t="s">
        <v>1019</v>
      </c>
      <c r="R48" s="336" t="s">
        <v>1020</v>
      </c>
      <c r="S48" s="227" t="s">
        <v>1014</v>
      </c>
      <c r="U48" s="227" t="s">
        <v>983</v>
      </c>
      <c r="V48" s="250" t="s">
        <v>1015</v>
      </c>
      <c r="W48" s="227" t="s">
        <v>155</v>
      </c>
      <c r="X48" s="237" t="s">
        <v>137</v>
      </c>
      <c r="Y48" s="237" t="s">
        <v>1021</v>
      </c>
      <c r="Z48" s="227" t="s">
        <v>1022</v>
      </c>
      <c r="AA48" s="251" t="s">
        <v>1023</v>
      </c>
      <c r="AB48" s="227" t="s">
        <v>203</v>
      </c>
      <c r="AC48" s="227" t="s">
        <v>1024</v>
      </c>
      <c r="AD48" s="245">
        <v>44058</v>
      </c>
      <c r="AE48" s="253">
        <f>AJ48+AL48+AN48</f>
        <v>2</v>
      </c>
      <c r="AF48" s="253">
        <f>AK48+AM48+AO48</f>
        <v>2</v>
      </c>
      <c r="AG48" s="241">
        <f t="shared" si="5"/>
        <v>4</v>
      </c>
      <c r="AH48" s="227" t="s">
        <v>800</v>
      </c>
      <c r="AI48" s="252">
        <v>44069</v>
      </c>
      <c r="AJ48" s="253">
        <v>2</v>
      </c>
      <c r="AK48" s="253">
        <v>2</v>
      </c>
      <c r="AL48" s="253">
        <v>0</v>
      </c>
      <c r="AM48" s="253">
        <v>0</v>
      </c>
      <c r="AN48" s="253">
        <v>0</v>
      </c>
      <c r="AO48" s="253">
        <v>0</v>
      </c>
      <c r="AP48" s="253">
        <f t="shared" si="6"/>
        <v>4</v>
      </c>
      <c r="AQ48" s="240">
        <v>44146</v>
      </c>
      <c r="AR48" s="227" t="s">
        <v>919</v>
      </c>
      <c r="AS48" s="241" t="s">
        <v>120</v>
      </c>
      <c r="AT48" s="256" t="s">
        <v>31</v>
      </c>
      <c r="AU48" s="256" t="s">
        <v>120</v>
      </c>
      <c r="AV48" s="224">
        <v>1281000</v>
      </c>
      <c r="AW48" s="226" t="s">
        <v>994</v>
      </c>
      <c r="AX48" s="350" t="s">
        <v>995</v>
      </c>
      <c r="AY48" s="335" t="s">
        <v>159</v>
      </c>
      <c r="BD48" s="255" t="str">
        <f t="shared" ref="BD48:BD67" ca="1" si="8">IF(ISBLANK(AD48),"",IF(AD48&lt;TODAY(),L48,""))</f>
        <v>Springfield</v>
      </c>
      <c r="BE48" s="354" t="s">
        <v>1025</v>
      </c>
    </row>
    <row r="49" spans="1:58" s="227" customFormat="1" ht="15.75" customHeight="1" x14ac:dyDescent="1.05">
      <c r="A49" s="240">
        <v>44377</v>
      </c>
      <c r="B49" s="335" t="s">
        <v>47</v>
      </c>
      <c r="C49" s="227" t="s">
        <v>26</v>
      </c>
      <c r="D49" s="227" t="s">
        <v>46</v>
      </c>
      <c r="E49" s="240">
        <v>44298</v>
      </c>
      <c r="F49" s="227" t="s">
        <v>1026</v>
      </c>
      <c r="G49" s="227" t="s">
        <v>1027</v>
      </c>
      <c r="H49" s="387" t="s">
        <v>1028</v>
      </c>
      <c r="I49" s="247" t="s">
        <v>127</v>
      </c>
      <c r="J49" s="227" t="s">
        <v>1029</v>
      </c>
      <c r="L49" s="248" t="s">
        <v>1030</v>
      </c>
      <c r="M49" s="242" t="s">
        <v>984</v>
      </c>
      <c r="N49" s="227" t="s">
        <v>1031</v>
      </c>
      <c r="O49" s="227" t="s">
        <v>1032</v>
      </c>
      <c r="P49" s="227" t="s">
        <v>1033</v>
      </c>
      <c r="Q49" s="249" t="s">
        <v>1034</v>
      </c>
      <c r="R49" s="348" t="s">
        <v>1035</v>
      </c>
      <c r="S49" s="227" t="s">
        <v>1029</v>
      </c>
      <c r="U49" s="227" t="s">
        <v>1030</v>
      </c>
      <c r="V49" s="250">
        <v>1109</v>
      </c>
      <c r="W49" s="227" t="s">
        <v>117</v>
      </c>
      <c r="X49" s="237" t="s">
        <v>137</v>
      </c>
      <c r="Y49" s="237"/>
      <c r="Z49" s="228" t="s">
        <v>1036</v>
      </c>
      <c r="AA49" s="251">
        <v>625447</v>
      </c>
      <c r="AB49" s="227" t="s">
        <v>203</v>
      </c>
      <c r="AC49" s="227" t="s">
        <v>1037</v>
      </c>
      <c r="AD49" s="245">
        <v>44356</v>
      </c>
      <c r="AE49" s="241">
        <v>4</v>
      </c>
      <c r="AF49" s="241">
        <v>4</v>
      </c>
      <c r="AG49" s="241">
        <f t="shared" si="5"/>
        <v>8</v>
      </c>
      <c r="AH49" s="227" t="s">
        <v>28</v>
      </c>
      <c r="AI49" s="252">
        <v>44370</v>
      </c>
      <c r="AJ49" s="253">
        <v>2</v>
      </c>
      <c r="AK49" s="253">
        <v>4</v>
      </c>
      <c r="AL49" s="253">
        <v>2</v>
      </c>
      <c r="AM49" s="253">
        <v>0</v>
      </c>
      <c r="AN49" s="253">
        <v>0</v>
      </c>
      <c r="AO49" s="253">
        <v>0</v>
      </c>
      <c r="AP49" s="253">
        <f t="shared" si="6"/>
        <v>8</v>
      </c>
      <c r="AQ49" s="240">
        <v>44371</v>
      </c>
      <c r="AS49" s="231" t="s">
        <v>120</v>
      </c>
      <c r="AT49" s="232" t="s">
        <v>31</v>
      </c>
      <c r="AU49" s="232" t="s">
        <v>120</v>
      </c>
      <c r="AV49" s="359">
        <v>1281000</v>
      </c>
      <c r="AW49" s="233" t="s">
        <v>994</v>
      </c>
      <c r="AX49" s="350" t="s">
        <v>995</v>
      </c>
      <c r="AY49" s="233" t="s">
        <v>159</v>
      </c>
      <c r="BD49" s="255" t="str">
        <f t="shared" ca="1" si="8"/>
        <v xml:space="preserve">Springfield </v>
      </c>
      <c r="BE49" s="259"/>
    </row>
    <row r="50" spans="1:58" s="227" customFormat="1" ht="15.75" customHeight="1" x14ac:dyDescent="1.05">
      <c r="A50" s="240">
        <v>44383</v>
      </c>
      <c r="B50" s="335" t="s">
        <v>47</v>
      </c>
      <c r="C50" s="227" t="s">
        <v>13</v>
      </c>
      <c r="E50" s="240">
        <v>44298</v>
      </c>
      <c r="F50" s="227" t="s">
        <v>1038</v>
      </c>
      <c r="G50" s="227" t="s">
        <v>1039</v>
      </c>
      <c r="H50" s="387" t="s">
        <v>1040</v>
      </c>
      <c r="I50" s="247" t="s">
        <v>127</v>
      </c>
      <c r="J50" s="227" t="s">
        <v>1041</v>
      </c>
      <c r="L50" s="248" t="s">
        <v>1042</v>
      </c>
      <c r="M50" s="242" t="s">
        <v>1043</v>
      </c>
      <c r="N50" s="227" t="s">
        <v>1044</v>
      </c>
      <c r="O50" s="227" t="s">
        <v>1045</v>
      </c>
      <c r="P50" s="227" t="s">
        <v>1046</v>
      </c>
      <c r="Q50" s="249" t="s">
        <v>1047</v>
      </c>
      <c r="R50" s="348" t="s">
        <v>1048</v>
      </c>
      <c r="S50" s="227" t="s">
        <v>1041</v>
      </c>
      <c r="U50" s="227" t="s">
        <v>1042</v>
      </c>
      <c r="V50" s="250">
        <v>1469</v>
      </c>
      <c r="W50" s="227" t="s">
        <v>155</v>
      </c>
      <c r="X50" s="237" t="s">
        <v>137</v>
      </c>
      <c r="Y50" s="237"/>
      <c r="Z50" s="227" t="s">
        <v>1049</v>
      </c>
      <c r="AA50" s="251" t="s">
        <v>1050</v>
      </c>
      <c r="AB50" s="227" t="s">
        <v>442</v>
      </c>
      <c r="AC50" s="227" t="s">
        <v>443</v>
      </c>
      <c r="AD50" s="245">
        <v>44355</v>
      </c>
      <c r="AE50" s="241">
        <v>3</v>
      </c>
      <c r="AF50" s="241">
        <v>3</v>
      </c>
      <c r="AG50" s="241">
        <f t="shared" si="5"/>
        <v>6</v>
      </c>
      <c r="AH50" s="227" t="s">
        <v>38</v>
      </c>
      <c r="AI50" s="252">
        <v>44376</v>
      </c>
      <c r="AJ50" s="253">
        <v>3</v>
      </c>
      <c r="AK50" s="253">
        <v>3</v>
      </c>
      <c r="AL50" s="253">
        <v>0</v>
      </c>
      <c r="AM50" s="253">
        <v>0</v>
      </c>
      <c r="AN50" s="253">
        <v>0</v>
      </c>
      <c r="AO50" s="253">
        <v>0</v>
      </c>
      <c r="AP50" s="253">
        <f t="shared" si="6"/>
        <v>6</v>
      </c>
      <c r="AQ50" s="240">
        <v>44378</v>
      </c>
      <c r="AR50" s="227" t="s">
        <v>1051</v>
      </c>
      <c r="AS50" s="231" t="s">
        <v>120</v>
      </c>
      <c r="AT50" s="232" t="s">
        <v>19</v>
      </c>
      <c r="AU50" s="232" t="s">
        <v>29</v>
      </c>
      <c r="AV50" s="241">
        <v>2299000</v>
      </c>
      <c r="AW50" s="233" t="s">
        <v>1052</v>
      </c>
      <c r="AX50" s="350" t="s">
        <v>1053</v>
      </c>
      <c r="AY50" s="236" t="s">
        <v>274</v>
      </c>
      <c r="BD50" s="255" t="str">
        <f t="shared" ca="1" si="8"/>
        <v>Townsend</v>
      </c>
      <c r="BE50" s="340"/>
    </row>
    <row r="51" spans="1:58" s="227" customFormat="1" ht="15.75" customHeight="1" x14ac:dyDescent="1.05">
      <c r="A51" s="240">
        <v>44383</v>
      </c>
      <c r="B51" s="335" t="s">
        <v>47</v>
      </c>
      <c r="C51" s="227" t="s">
        <v>26</v>
      </c>
      <c r="D51" s="227" t="s">
        <v>46</v>
      </c>
      <c r="E51" s="240">
        <v>44298</v>
      </c>
      <c r="F51" s="227" t="s">
        <v>1054</v>
      </c>
      <c r="G51" s="227" t="s">
        <v>1055</v>
      </c>
      <c r="H51" s="387" t="s">
        <v>1056</v>
      </c>
      <c r="I51" s="247" t="s">
        <v>127</v>
      </c>
      <c r="J51" s="227" t="s">
        <v>1057</v>
      </c>
      <c r="L51" s="248" t="s">
        <v>1058</v>
      </c>
      <c r="M51" s="242" t="s">
        <v>1059</v>
      </c>
      <c r="N51" s="227" t="s">
        <v>1060</v>
      </c>
      <c r="O51" s="227" t="s">
        <v>1061</v>
      </c>
      <c r="P51" s="227" t="s">
        <v>1062</v>
      </c>
      <c r="Q51" s="249" t="s">
        <v>1063</v>
      </c>
      <c r="R51" s="348" t="s">
        <v>1064</v>
      </c>
      <c r="S51" s="227" t="s">
        <v>1065</v>
      </c>
      <c r="U51" s="227" t="s">
        <v>1058</v>
      </c>
      <c r="V51" s="250">
        <v>1879</v>
      </c>
      <c r="W51" s="227" t="s">
        <v>155</v>
      </c>
      <c r="X51" s="237" t="s">
        <v>137</v>
      </c>
      <c r="Y51" s="237"/>
      <c r="Z51" s="391" t="s">
        <v>1066</v>
      </c>
      <c r="AA51" s="251" t="s">
        <v>1067</v>
      </c>
      <c r="AB51" s="227" t="s">
        <v>442</v>
      </c>
      <c r="AC51" s="227" t="s">
        <v>443</v>
      </c>
      <c r="AD51" s="245">
        <v>44348</v>
      </c>
      <c r="AE51" s="241">
        <v>4</v>
      </c>
      <c r="AF51" s="241">
        <v>4</v>
      </c>
      <c r="AG51" s="241">
        <f t="shared" si="5"/>
        <v>8</v>
      </c>
      <c r="AH51" s="227" t="s">
        <v>38</v>
      </c>
      <c r="AI51" s="252">
        <v>44369</v>
      </c>
      <c r="AJ51" s="253">
        <v>2</v>
      </c>
      <c r="AK51" s="253">
        <v>4</v>
      </c>
      <c r="AL51" s="253">
        <v>2</v>
      </c>
      <c r="AM51" s="253">
        <v>0</v>
      </c>
      <c r="AN51" s="253">
        <v>0</v>
      </c>
      <c r="AO51" s="253">
        <v>0</v>
      </c>
      <c r="AP51" s="253">
        <f t="shared" si="6"/>
        <v>8</v>
      </c>
      <c r="AQ51" s="240">
        <v>44372</v>
      </c>
      <c r="AR51" s="227" t="s">
        <v>1068</v>
      </c>
      <c r="AS51" s="231" t="s">
        <v>120</v>
      </c>
      <c r="AT51" s="232" t="s">
        <v>12</v>
      </c>
      <c r="AU51" s="232" t="s">
        <v>29</v>
      </c>
      <c r="AV51" s="241">
        <v>3301000</v>
      </c>
      <c r="AW51" s="233" t="s">
        <v>1069</v>
      </c>
      <c r="AX51" s="350" t="s">
        <v>1070</v>
      </c>
      <c r="AY51" s="236" t="s">
        <v>274</v>
      </c>
      <c r="BD51" s="255" t="str">
        <f t="shared" ca="1" si="8"/>
        <v xml:space="preserve">Tyngsboro </v>
      </c>
      <c r="BE51" s="259" t="s">
        <v>1071</v>
      </c>
    </row>
    <row r="52" spans="1:58" s="227" customFormat="1" ht="15.75" customHeight="1" x14ac:dyDescent="0.55000000000000004">
      <c r="A52" s="240">
        <v>44146</v>
      </c>
      <c r="B52" s="335" t="s">
        <v>47</v>
      </c>
      <c r="C52" s="227" t="s">
        <v>26</v>
      </c>
      <c r="D52" s="227" t="s">
        <v>46</v>
      </c>
      <c r="E52" s="240">
        <v>43986</v>
      </c>
      <c r="F52" s="227" t="s">
        <v>1072</v>
      </c>
      <c r="G52" s="228" t="s">
        <v>1073</v>
      </c>
      <c r="H52" s="387" t="s">
        <v>1074</v>
      </c>
      <c r="I52" s="247" t="s">
        <v>145</v>
      </c>
      <c r="J52" s="227" t="s">
        <v>1075</v>
      </c>
      <c r="L52" s="248" t="s">
        <v>1076</v>
      </c>
      <c r="M52" s="242" t="s">
        <v>1077</v>
      </c>
      <c r="N52" s="227" t="s">
        <v>1078</v>
      </c>
      <c r="O52" s="227" t="s">
        <v>1079</v>
      </c>
      <c r="P52" s="227" t="s">
        <v>1080</v>
      </c>
      <c r="Q52" s="249" t="s">
        <v>1081</v>
      </c>
      <c r="R52" s="336" t="s">
        <v>1082</v>
      </c>
      <c r="S52" s="227" t="s">
        <v>1083</v>
      </c>
      <c r="U52" s="227" t="s">
        <v>1076</v>
      </c>
      <c r="V52" s="337" t="s">
        <v>1077</v>
      </c>
      <c r="W52" s="227" t="s">
        <v>155</v>
      </c>
      <c r="X52" s="237" t="s">
        <v>118</v>
      </c>
      <c r="Y52" s="237"/>
      <c r="Z52" s="227" t="s">
        <v>1084</v>
      </c>
      <c r="AA52" s="251">
        <v>8030730</v>
      </c>
      <c r="AB52" s="227" t="s">
        <v>23</v>
      </c>
      <c r="AC52" s="227" t="s">
        <v>1085</v>
      </c>
      <c r="AD52" s="245">
        <v>44070</v>
      </c>
      <c r="AE52" s="253">
        <f>AJ52+AL52+AN52</f>
        <v>20</v>
      </c>
      <c r="AF52" s="253">
        <f>AK52+AM52+AO52</f>
        <v>20</v>
      </c>
      <c r="AG52" s="241">
        <f t="shared" si="5"/>
        <v>40</v>
      </c>
      <c r="AH52" s="227" t="s">
        <v>22</v>
      </c>
      <c r="AI52" s="252">
        <v>44096</v>
      </c>
      <c r="AJ52" s="253">
        <v>16</v>
      </c>
      <c r="AK52" s="253">
        <v>20</v>
      </c>
      <c r="AL52" s="253">
        <v>4</v>
      </c>
      <c r="AM52" s="253">
        <v>0</v>
      </c>
      <c r="AN52" s="253">
        <v>0</v>
      </c>
      <c r="AO52" s="253">
        <v>0</v>
      </c>
      <c r="AP52" s="253">
        <f t="shared" si="6"/>
        <v>40</v>
      </c>
      <c r="AQ52" s="240">
        <v>44146</v>
      </c>
      <c r="AR52" s="227" t="s">
        <v>424</v>
      </c>
      <c r="AS52" s="256" t="s">
        <v>120</v>
      </c>
      <c r="AT52" s="256" t="s">
        <v>25</v>
      </c>
      <c r="AU52" s="256" t="s">
        <v>120</v>
      </c>
      <c r="AV52" s="224">
        <v>4310000</v>
      </c>
      <c r="AW52" s="226" t="s">
        <v>1086</v>
      </c>
      <c r="AX52" s="339" t="s">
        <v>1087</v>
      </c>
      <c r="AY52" s="335" t="s">
        <v>159</v>
      </c>
      <c r="BD52" s="255" t="str">
        <f t="shared" ca="1" si="8"/>
        <v>Wareham</v>
      </c>
      <c r="BE52" s="259" t="s">
        <v>1088</v>
      </c>
    </row>
    <row r="53" spans="1:58" s="227" customFormat="1" ht="15.75" customHeight="1" x14ac:dyDescent="1.05">
      <c r="A53" s="240">
        <v>44383</v>
      </c>
      <c r="B53" s="335" t="s">
        <v>47</v>
      </c>
      <c r="C53" s="227" t="s">
        <v>13</v>
      </c>
      <c r="E53" s="240">
        <v>44298</v>
      </c>
      <c r="F53" s="227" t="s">
        <v>1089</v>
      </c>
      <c r="G53" s="227" t="s">
        <v>1090</v>
      </c>
      <c r="H53" s="387" t="s">
        <v>1091</v>
      </c>
      <c r="I53" s="247" t="s">
        <v>145</v>
      </c>
      <c r="J53" s="227" t="s">
        <v>1092</v>
      </c>
      <c r="L53" s="248" t="s">
        <v>1093</v>
      </c>
      <c r="M53" s="242" t="s">
        <v>1094</v>
      </c>
      <c r="N53" s="227" t="s">
        <v>1095</v>
      </c>
      <c r="O53" s="227" t="s">
        <v>521</v>
      </c>
      <c r="P53" s="227" t="s">
        <v>243</v>
      </c>
      <c r="Q53" s="249" t="s">
        <v>1096</v>
      </c>
      <c r="R53" s="348" t="s">
        <v>1097</v>
      </c>
      <c r="S53" s="227" t="s">
        <v>1092</v>
      </c>
      <c r="U53" s="227" t="s">
        <v>1098</v>
      </c>
      <c r="V53" s="250">
        <v>2481</v>
      </c>
      <c r="W53" s="227" t="s">
        <v>117</v>
      </c>
      <c r="X53" s="237" t="s">
        <v>118</v>
      </c>
      <c r="Y53" s="237"/>
      <c r="Z53" s="227" t="s">
        <v>1099</v>
      </c>
      <c r="AA53" s="251">
        <v>8028467</v>
      </c>
      <c r="AB53" s="227" t="s">
        <v>442</v>
      </c>
      <c r="AC53" s="227" t="s">
        <v>443</v>
      </c>
      <c r="AD53" s="245">
        <v>44344</v>
      </c>
      <c r="AE53" s="241">
        <v>6</v>
      </c>
      <c r="AF53" s="241">
        <v>6</v>
      </c>
      <c r="AG53" s="241">
        <f t="shared" si="5"/>
        <v>12</v>
      </c>
      <c r="AH53" s="227" t="s">
        <v>38</v>
      </c>
      <c r="AI53" s="252">
        <v>44371</v>
      </c>
      <c r="AJ53" s="253">
        <v>6</v>
      </c>
      <c r="AK53" s="253">
        <v>6</v>
      </c>
      <c r="AL53" s="253">
        <v>0</v>
      </c>
      <c r="AM53" s="253">
        <v>0</v>
      </c>
      <c r="AN53" s="253">
        <v>0</v>
      </c>
      <c r="AO53" s="253">
        <v>0</v>
      </c>
      <c r="AP53" s="253">
        <f t="shared" si="6"/>
        <v>12</v>
      </c>
      <c r="AQ53" s="240">
        <v>44372</v>
      </c>
      <c r="AR53" s="227" t="s">
        <v>1051</v>
      </c>
      <c r="AS53" s="231" t="s">
        <v>189</v>
      </c>
      <c r="AT53" s="232" t="s">
        <v>12</v>
      </c>
      <c r="AU53" s="232" t="s">
        <v>29</v>
      </c>
      <c r="AV53" s="241">
        <v>3317000</v>
      </c>
      <c r="AW53" s="233" t="s">
        <v>1100</v>
      </c>
      <c r="AX53" s="350" t="s">
        <v>1101</v>
      </c>
      <c r="AY53" s="236" t="s">
        <v>274</v>
      </c>
      <c r="BD53" s="255" t="str">
        <f t="shared" ca="1" si="8"/>
        <v>Wellesley Hills</v>
      </c>
      <c r="BE53" s="259" t="s">
        <v>1102</v>
      </c>
    </row>
    <row r="54" spans="1:58" s="227" customFormat="1" ht="14.5" customHeight="1" x14ac:dyDescent="1.05">
      <c r="A54" s="240">
        <v>44383</v>
      </c>
      <c r="B54" s="335" t="s">
        <v>47</v>
      </c>
      <c r="C54" s="227" t="s">
        <v>13</v>
      </c>
      <c r="E54" s="240">
        <v>44298</v>
      </c>
      <c r="F54" s="227" t="s">
        <v>1103</v>
      </c>
      <c r="G54" s="227" t="s">
        <v>1104</v>
      </c>
      <c r="H54" s="387" t="s">
        <v>1105</v>
      </c>
      <c r="I54" s="247" t="s">
        <v>145</v>
      </c>
      <c r="J54" s="227" t="s">
        <v>1106</v>
      </c>
      <c r="L54" s="248" t="s">
        <v>1107</v>
      </c>
      <c r="M54" s="242" t="s">
        <v>1108</v>
      </c>
      <c r="N54" s="227" t="s">
        <v>1109</v>
      </c>
      <c r="O54" s="227" t="s">
        <v>1110</v>
      </c>
      <c r="P54" s="227" t="s">
        <v>243</v>
      </c>
      <c r="Q54" s="249" t="s">
        <v>1111</v>
      </c>
      <c r="R54" s="348" t="s">
        <v>1112</v>
      </c>
      <c r="S54" s="227" t="s">
        <v>1106</v>
      </c>
      <c r="T54" s="227" t="s">
        <v>1113</v>
      </c>
      <c r="U54" s="227" t="s">
        <v>1107</v>
      </c>
      <c r="V54" s="250">
        <v>2493</v>
      </c>
      <c r="W54" s="227" t="s">
        <v>155</v>
      </c>
      <c r="X54" s="237" t="s">
        <v>118</v>
      </c>
      <c r="Y54" s="237"/>
      <c r="Z54" s="227" t="s">
        <v>1114</v>
      </c>
      <c r="AA54" s="251">
        <v>200545</v>
      </c>
      <c r="AB54" s="227" t="s">
        <v>442</v>
      </c>
      <c r="AC54" s="227" t="s">
        <v>443</v>
      </c>
      <c r="AD54" s="245">
        <v>44358</v>
      </c>
      <c r="AE54" s="241">
        <v>12</v>
      </c>
      <c r="AF54" s="241">
        <v>12</v>
      </c>
      <c r="AG54" s="241">
        <f t="shared" si="5"/>
        <v>24</v>
      </c>
      <c r="AH54" s="227" t="s">
        <v>38</v>
      </c>
      <c r="AI54" s="252">
        <v>44376</v>
      </c>
      <c r="AJ54" s="253">
        <v>12</v>
      </c>
      <c r="AK54" s="253">
        <v>12</v>
      </c>
      <c r="AL54" s="253">
        <v>0</v>
      </c>
      <c r="AM54" s="253">
        <v>0</v>
      </c>
      <c r="AN54" s="253">
        <v>0</v>
      </c>
      <c r="AO54" s="253">
        <v>0</v>
      </c>
      <c r="AP54" s="253">
        <f t="shared" si="6"/>
        <v>24</v>
      </c>
      <c r="AQ54" s="240">
        <v>44378</v>
      </c>
      <c r="AR54" s="227" t="s">
        <v>1115</v>
      </c>
      <c r="AS54" s="231" t="s">
        <v>189</v>
      </c>
      <c r="AT54" s="232" t="s">
        <v>12</v>
      </c>
      <c r="AU54" s="232" t="s">
        <v>29</v>
      </c>
      <c r="AV54" s="241">
        <v>3333000</v>
      </c>
      <c r="AW54" s="342" t="s">
        <v>343</v>
      </c>
      <c r="AX54" s="350" t="s">
        <v>1116</v>
      </c>
      <c r="AY54" s="236" t="s">
        <v>274</v>
      </c>
      <c r="BD54" s="255" t="str">
        <f t="shared" ca="1" si="8"/>
        <v>Weston</v>
      </c>
      <c r="BE54" s="259" t="s">
        <v>1117</v>
      </c>
    </row>
    <row r="55" spans="1:58" s="227" customFormat="1" ht="15.75" customHeight="1" x14ac:dyDescent="0.55000000000000004">
      <c r="A55" s="239">
        <v>44467</v>
      </c>
      <c r="B55" s="353" t="s">
        <v>47</v>
      </c>
      <c r="C55" s="237" t="s">
        <v>13</v>
      </c>
      <c r="D55" s="237"/>
      <c r="E55" s="239">
        <v>44417</v>
      </c>
      <c r="F55" s="396" t="s">
        <v>1118</v>
      </c>
      <c r="G55" s="353" t="s">
        <v>1119</v>
      </c>
      <c r="H55" s="419" t="s">
        <v>1120</v>
      </c>
      <c r="I55" s="344" t="s">
        <v>127</v>
      </c>
      <c r="J55" s="396" t="s">
        <v>1121</v>
      </c>
      <c r="K55" s="396"/>
      <c r="L55" s="248" t="s">
        <v>1122</v>
      </c>
      <c r="M55" s="397" t="s">
        <v>1123</v>
      </c>
      <c r="N55" s="396" t="s">
        <v>1124</v>
      </c>
      <c r="O55" s="396" t="s">
        <v>1125</v>
      </c>
      <c r="P55" s="452" t="s">
        <v>760</v>
      </c>
      <c r="Q55" s="353" t="s">
        <v>1126</v>
      </c>
      <c r="R55" s="348" t="s">
        <v>1127</v>
      </c>
      <c r="S55" s="396" t="s">
        <v>1121</v>
      </c>
      <c r="T55" s="396"/>
      <c r="U55" s="452" t="s">
        <v>1122</v>
      </c>
      <c r="V55" s="398" t="s">
        <v>1123</v>
      </c>
      <c r="W55" s="396" t="s">
        <v>117</v>
      </c>
      <c r="X55" s="396" t="s">
        <v>137</v>
      </c>
      <c r="Y55" s="237" t="s">
        <v>1128</v>
      </c>
      <c r="Z55" s="399" t="s">
        <v>1129</v>
      </c>
      <c r="AA55" s="504" t="s">
        <v>1130</v>
      </c>
      <c r="AB55" s="237" t="s">
        <v>203</v>
      </c>
      <c r="AC55" s="237" t="s">
        <v>1131</v>
      </c>
      <c r="AD55" s="245">
        <v>44449</v>
      </c>
      <c r="AE55" s="244">
        <v>5</v>
      </c>
      <c r="AF55" s="244">
        <v>5</v>
      </c>
      <c r="AG55" s="244">
        <v>10</v>
      </c>
      <c r="AH55" s="237" t="s">
        <v>28</v>
      </c>
      <c r="AI55" s="257">
        <v>44466</v>
      </c>
      <c r="AJ55" s="258">
        <v>5</v>
      </c>
      <c r="AK55" s="258">
        <v>5</v>
      </c>
      <c r="AL55" s="258">
        <v>0</v>
      </c>
      <c r="AM55" s="258">
        <v>0</v>
      </c>
      <c r="AN55" s="258">
        <v>0</v>
      </c>
      <c r="AO55" s="258">
        <v>0</v>
      </c>
      <c r="AP55" s="253">
        <f t="shared" si="6"/>
        <v>10</v>
      </c>
      <c r="AQ55" s="239">
        <v>44466</v>
      </c>
      <c r="AR55" s="237" t="s">
        <v>1132</v>
      </c>
      <c r="AS55" s="244" t="s">
        <v>120</v>
      </c>
      <c r="AT55" s="244" t="s">
        <v>19</v>
      </c>
      <c r="AU55" s="244" t="s">
        <v>189</v>
      </c>
      <c r="AV55" s="244">
        <v>2216000</v>
      </c>
      <c r="AW55" s="400" t="s">
        <v>1133</v>
      </c>
      <c r="AX55" s="400" t="s">
        <v>1134</v>
      </c>
      <c r="AY55" s="366" t="s">
        <v>159</v>
      </c>
      <c r="AZ55" s="260"/>
      <c r="BA55" s="260"/>
      <c r="BB55" s="260"/>
      <c r="BC55" s="260"/>
      <c r="BD55" s="255" t="str">
        <f t="shared" ca="1" si="8"/>
        <v>Whitinsville</v>
      </c>
      <c r="BE55" s="340"/>
    </row>
    <row r="56" spans="1:58" s="227" customFormat="1" ht="15.75" customHeight="1" x14ac:dyDescent="0.55000000000000004">
      <c r="A56" s="240">
        <v>44077</v>
      </c>
      <c r="B56" s="335" t="s">
        <v>47</v>
      </c>
      <c r="C56" s="227" t="s">
        <v>13</v>
      </c>
      <c r="D56" s="227" t="s">
        <v>52</v>
      </c>
      <c r="E56" s="240">
        <v>43896</v>
      </c>
      <c r="F56" s="227" t="s">
        <v>1135</v>
      </c>
      <c r="G56" s="228" t="s">
        <v>1136</v>
      </c>
      <c r="H56" s="387" t="s">
        <v>1137</v>
      </c>
      <c r="I56" s="247" t="s">
        <v>108</v>
      </c>
      <c r="J56" s="227" t="s">
        <v>1138</v>
      </c>
      <c r="L56" s="248" t="s">
        <v>1139</v>
      </c>
      <c r="M56" s="242" t="s">
        <v>1140</v>
      </c>
      <c r="N56" s="227" t="s">
        <v>1141</v>
      </c>
      <c r="O56" s="227" t="s">
        <v>1142</v>
      </c>
      <c r="P56" s="227" t="s">
        <v>1143</v>
      </c>
      <c r="Q56" s="249" t="s">
        <v>1144</v>
      </c>
      <c r="R56" s="336" t="s">
        <v>1145</v>
      </c>
      <c r="S56" s="227" t="s">
        <v>1146</v>
      </c>
      <c r="U56" s="227" t="s">
        <v>1139</v>
      </c>
      <c r="V56" s="337" t="s">
        <v>1140</v>
      </c>
      <c r="W56" s="227" t="s">
        <v>155</v>
      </c>
      <c r="X56" s="237" t="s">
        <v>137</v>
      </c>
      <c r="Y56" s="237"/>
      <c r="Z56" s="227" t="s">
        <v>1147</v>
      </c>
      <c r="AA56" s="251" t="s">
        <v>1148</v>
      </c>
      <c r="AB56" s="227" t="s">
        <v>10</v>
      </c>
      <c r="AD56" s="245"/>
      <c r="AE56" s="241"/>
      <c r="AF56" s="241"/>
      <c r="AG56" s="241">
        <f>AE56+AF56</f>
        <v>0</v>
      </c>
      <c r="AI56" s="252"/>
      <c r="AJ56" s="253"/>
      <c r="AK56" s="253"/>
      <c r="AL56" s="253"/>
      <c r="AM56" s="253"/>
      <c r="AN56" s="253"/>
      <c r="AO56" s="253"/>
      <c r="AP56" s="253">
        <f t="shared" si="6"/>
        <v>0</v>
      </c>
      <c r="AQ56" s="240"/>
      <c r="AR56" s="227" t="s">
        <v>1149</v>
      </c>
      <c r="AS56" s="241" t="s">
        <v>189</v>
      </c>
      <c r="AT56" s="256" t="s">
        <v>12</v>
      </c>
      <c r="AU56" s="256" t="s">
        <v>120</v>
      </c>
      <c r="AV56" s="449">
        <v>3248000</v>
      </c>
      <c r="AW56" s="226" t="s">
        <v>1150</v>
      </c>
      <c r="AX56" s="339" t="s">
        <v>1151</v>
      </c>
      <c r="AY56" s="335" t="s">
        <v>649</v>
      </c>
      <c r="BC56" s="255" t="str">
        <f ca="1">IF(ISBLANK(AH56),"",IF(AH56&lt;TODAY(),L56,""))</f>
        <v/>
      </c>
      <c r="BD56" s="255" t="str">
        <f t="shared" ca="1" si="8"/>
        <v/>
      </c>
      <c r="BE56" s="340" t="s">
        <v>1152</v>
      </c>
    </row>
    <row r="57" spans="1:58" s="227" customFormat="1" ht="15.75" customHeight="1" x14ac:dyDescent="0.55000000000000004">
      <c r="A57" s="239">
        <v>44484</v>
      </c>
      <c r="B57" s="233" t="s">
        <v>47</v>
      </c>
      <c r="C57" s="237" t="s">
        <v>13</v>
      </c>
      <c r="D57" s="237"/>
      <c r="E57" s="239">
        <v>44396</v>
      </c>
      <c r="F57" s="237" t="s">
        <v>1153</v>
      </c>
      <c r="G57" s="237" t="s">
        <v>1154</v>
      </c>
      <c r="H57" s="496" t="s">
        <v>1155</v>
      </c>
      <c r="I57" s="289" t="s">
        <v>145</v>
      </c>
      <c r="J57" s="228" t="s">
        <v>1156</v>
      </c>
      <c r="K57" s="233"/>
      <c r="L57" s="248" t="s">
        <v>263</v>
      </c>
      <c r="M57" s="416">
        <v>2118</v>
      </c>
      <c r="N57" s="228" t="s">
        <v>1157</v>
      </c>
      <c r="O57" s="228" t="s">
        <v>1158</v>
      </c>
      <c r="P57" s="228" t="s">
        <v>1159</v>
      </c>
      <c r="Q57" s="249" t="s">
        <v>1160</v>
      </c>
      <c r="R57" s="374" t="s">
        <v>1161</v>
      </c>
      <c r="S57" s="233" t="s">
        <v>1162</v>
      </c>
      <c r="T57" s="233"/>
      <c r="U57" s="228" t="s">
        <v>263</v>
      </c>
      <c r="V57" s="417">
        <v>2118</v>
      </c>
      <c r="W57" s="233" t="s">
        <v>117</v>
      </c>
      <c r="X57" s="237" t="s">
        <v>118</v>
      </c>
      <c r="Y57" s="237"/>
      <c r="Z57" s="237" t="s">
        <v>1163</v>
      </c>
      <c r="AA57" s="251" t="s">
        <v>1164</v>
      </c>
      <c r="AB57" s="237" t="s">
        <v>442</v>
      </c>
      <c r="AC57" s="237" t="s">
        <v>443</v>
      </c>
      <c r="AD57" s="245">
        <v>44415</v>
      </c>
      <c r="AE57" s="244">
        <v>3</v>
      </c>
      <c r="AF57" s="244">
        <v>3</v>
      </c>
      <c r="AG57" s="241">
        <v>6</v>
      </c>
      <c r="AH57" s="237" t="s">
        <v>38</v>
      </c>
      <c r="AI57" s="257">
        <v>44481</v>
      </c>
      <c r="AJ57" s="258">
        <v>3</v>
      </c>
      <c r="AK57" s="258">
        <v>3</v>
      </c>
      <c r="AL57" s="258">
        <v>0</v>
      </c>
      <c r="AM57" s="258">
        <v>0</v>
      </c>
      <c r="AN57" s="258">
        <v>0</v>
      </c>
      <c r="AO57" s="258">
        <v>0</v>
      </c>
      <c r="AP57" s="253">
        <f t="shared" si="6"/>
        <v>6</v>
      </c>
      <c r="AQ57" s="239">
        <v>44484</v>
      </c>
      <c r="AR57" s="237"/>
      <c r="AS57" s="244" t="s">
        <v>189</v>
      </c>
      <c r="AT57" s="244" t="s">
        <v>12</v>
      </c>
      <c r="AU57" s="244" t="s">
        <v>120</v>
      </c>
      <c r="AV57" s="241">
        <v>3035000</v>
      </c>
      <c r="AW57" s="374" t="s">
        <v>272</v>
      </c>
      <c r="AX57" s="477" t="s">
        <v>273</v>
      </c>
      <c r="AY57" s="335" t="s">
        <v>159</v>
      </c>
      <c r="AZ57" s="260"/>
      <c r="BA57" s="260"/>
      <c r="BB57" s="260"/>
      <c r="BC57" s="260"/>
      <c r="BD57" s="255" t="str">
        <f t="shared" ca="1" si="8"/>
        <v>Boston</v>
      </c>
      <c r="BE57" s="340"/>
    </row>
    <row r="58" spans="1:58" s="227" customFormat="1" ht="15.75" customHeight="1" x14ac:dyDescent="0.55000000000000004">
      <c r="A58" s="240">
        <v>44490</v>
      </c>
      <c r="B58" s="335" t="s">
        <v>47</v>
      </c>
      <c r="C58" s="227" t="s">
        <v>26</v>
      </c>
      <c r="D58" s="227" t="s">
        <v>46</v>
      </c>
      <c r="E58" s="240">
        <v>44291</v>
      </c>
      <c r="F58" s="227" t="s">
        <v>1165</v>
      </c>
      <c r="G58" s="227" t="s">
        <v>1166</v>
      </c>
      <c r="H58" s="387" t="s">
        <v>1167</v>
      </c>
      <c r="I58" s="247" t="s">
        <v>145</v>
      </c>
      <c r="J58" s="227" t="s">
        <v>1168</v>
      </c>
      <c r="L58" s="248" t="s">
        <v>1169</v>
      </c>
      <c r="M58" s="242" t="s">
        <v>1170</v>
      </c>
      <c r="N58" s="227" t="s">
        <v>1171</v>
      </c>
      <c r="O58" s="227" t="s">
        <v>1172</v>
      </c>
      <c r="P58" s="227" t="s">
        <v>492</v>
      </c>
      <c r="Q58" s="249" t="s">
        <v>1173</v>
      </c>
      <c r="R58" s="336" t="s">
        <v>1174</v>
      </c>
      <c r="S58" s="227" t="s">
        <v>1175</v>
      </c>
      <c r="U58" s="227" t="s">
        <v>1176</v>
      </c>
      <c r="V58" s="250">
        <v>2351</v>
      </c>
      <c r="W58" s="227" t="s">
        <v>117</v>
      </c>
      <c r="X58" s="237" t="s">
        <v>137</v>
      </c>
      <c r="Y58" s="237"/>
      <c r="Z58" s="227" t="s">
        <v>1177</v>
      </c>
      <c r="AA58" s="251" t="s">
        <v>1178</v>
      </c>
      <c r="AB58" s="227" t="s">
        <v>10</v>
      </c>
      <c r="AC58" s="227" t="s">
        <v>388</v>
      </c>
      <c r="AD58" s="245">
        <v>44315</v>
      </c>
      <c r="AE58" s="241">
        <v>2</v>
      </c>
      <c r="AF58" s="241">
        <v>2</v>
      </c>
      <c r="AG58" s="241">
        <f t="shared" ref="AG58:AG92" si="9">AE58+AF58</f>
        <v>4</v>
      </c>
      <c r="AH58" s="227" t="s">
        <v>38</v>
      </c>
      <c r="AI58" s="252">
        <v>44349</v>
      </c>
      <c r="AJ58" s="253">
        <v>1</v>
      </c>
      <c r="AK58" s="253">
        <v>2</v>
      </c>
      <c r="AL58" s="253">
        <v>1</v>
      </c>
      <c r="AM58" s="253">
        <v>0</v>
      </c>
      <c r="AN58" s="253">
        <v>0</v>
      </c>
      <c r="AO58" s="253">
        <v>0</v>
      </c>
      <c r="AP58" s="253">
        <f t="shared" si="6"/>
        <v>4</v>
      </c>
      <c r="AQ58" s="240">
        <v>44351</v>
      </c>
      <c r="AS58" s="241" t="s">
        <v>120</v>
      </c>
      <c r="AT58" s="256" t="s">
        <v>25</v>
      </c>
      <c r="AU58" s="256" t="s">
        <v>120</v>
      </c>
      <c r="AV58" s="224">
        <v>4001000</v>
      </c>
      <c r="AW58" s="226" t="s">
        <v>1179</v>
      </c>
      <c r="AX58" s="339" t="s">
        <v>1180</v>
      </c>
      <c r="AY58" s="335" t="s">
        <v>159</v>
      </c>
      <c r="AZ58" s="237"/>
      <c r="BA58" s="237"/>
      <c r="BB58" s="237"/>
      <c r="BC58" s="237"/>
      <c r="BD58" s="255" t="str">
        <f t="shared" ca="1" si="8"/>
        <v>Abington</v>
      </c>
      <c r="BE58" s="377" t="s">
        <v>1181</v>
      </c>
      <c r="BF58" s="378"/>
    </row>
    <row r="59" spans="1:58" s="227" customFormat="1" ht="15.75" customHeight="1" x14ac:dyDescent="0.55000000000000004">
      <c r="A59" s="240">
        <v>44490</v>
      </c>
      <c r="B59" s="335" t="s">
        <v>47</v>
      </c>
      <c r="C59" s="227" t="s">
        <v>26</v>
      </c>
      <c r="D59" s="227" t="s">
        <v>46</v>
      </c>
      <c r="E59" s="240">
        <v>43986</v>
      </c>
      <c r="F59" s="227" t="s">
        <v>1182</v>
      </c>
      <c r="G59" s="228" t="s">
        <v>1183</v>
      </c>
      <c r="H59" s="387" t="s">
        <v>1184</v>
      </c>
      <c r="I59" s="341" t="s">
        <v>145</v>
      </c>
      <c r="J59" s="227" t="s">
        <v>1185</v>
      </c>
      <c r="L59" s="248" t="s">
        <v>1186</v>
      </c>
      <c r="M59" s="242" t="s">
        <v>1187</v>
      </c>
      <c r="N59" s="227" t="s">
        <v>398</v>
      </c>
      <c r="O59" s="227" t="s">
        <v>1188</v>
      </c>
      <c r="P59" s="227" t="s">
        <v>114</v>
      </c>
      <c r="Q59" s="249" t="s">
        <v>1189</v>
      </c>
      <c r="R59" s="336" t="s">
        <v>1190</v>
      </c>
      <c r="S59" s="227" t="s">
        <v>1191</v>
      </c>
      <c r="U59" s="227" t="s">
        <v>1186</v>
      </c>
      <c r="V59" s="337">
        <v>1501</v>
      </c>
      <c r="W59" s="227" t="s">
        <v>155</v>
      </c>
      <c r="X59" s="237" t="s">
        <v>118</v>
      </c>
      <c r="Y59" s="237"/>
      <c r="Z59" s="227" t="s">
        <v>1192</v>
      </c>
      <c r="AA59" s="251">
        <v>201077</v>
      </c>
      <c r="AB59" s="227" t="s">
        <v>10</v>
      </c>
      <c r="AC59" s="227" t="s">
        <v>388</v>
      </c>
      <c r="AD59" s="245">
        <v>44177</v>
      </c>
      <c r="AE59" s="253">
        <f>AJ59+AL59+AN59</f>
        <v>33</v>
      </c>
      <c r="AF59" s="253">
        <f>AK59+AM59+AO59</f>
        <v>23</v>
      </c>
      <c r="AG59" s="241">
        <f t="shared" si="9"/>
        <v>56</v>
      </c>
      <c r="AH59" s="227" t="s">
        <v>38</v>
      </c>
      <c r="AI59" s="252">
        <v>44204</v>
      </c>
      <c r="AJ59" s="253">
        <v>18</v>
      </c>
      <c r="AK59" s="253">
        <v>23</v>
      </c>
      <c r="AL59" s="253">
        <v>15</v>
      </c>
      <c r="AM59" s="253">
        <v>0</v>
      </c>
      <c r="AN59" s="253">
        <v>0</v>
      </c>
      <c r="AO59" s="253">
        <v>0</v>
      </c>
      <c r="AP59" s="253">
        <f t="shared" si="6"/>
        <v>56</v>
      </c>
      <c r="AQ59" s="240">
        <v>44211</v>
      </c>
      <c r="AR59" s="227" t="s">
        <v>1193</v>
      </c>
      <c r="AS59" s="256" t="s">
        <v>120</v>
      </c>
      <c r="AT59" s="256" t="s">
        <v>19</v>
      </c>
      <c r="AU59" s="256" t="s">
        <v>120</v>
      </c>
      <c r="AV59" s="224">
        <v>2017000</v>
      </c>
      <c r="AW59" s="226" t="s">
        <v>1194</v>
      </c>
      <c r="AX59" s="339" t="s">
        <v>1195</v>
      </c>
      <c r="AY59" s="335" t="s">
        <v>159</v>
      </c>
      <c r="BD59" s="255" t="str">
        <f t="shared" ca="1" si="8"/>
        <v>Auburn</v>
      </c>
      <c r="BE59" s="259" t="s">
        <v>1196</v>
      </c>
    </row>
    <row r="60" spans="1:58" s="227" customFormat="1" ht="15.75" customHeight="1" x14ac:dyDescent="0.55000000000000004">
      <c r="A60" s="240">
        <v>44490</v>
      </c>
      <c r="B60" s="335" t="s">
        <v>47</v>
      </c>
      <c r="C60" s="227" t="s">
        <v>13</v>
      </c>
      <c r="E60" s="240">
        <v>43894</v>
      </c>
      <c r="F60" s="246" t="s">
        <v>1197</v>
      </c>
      <c r="G60" s="228" t="s">
        <v>1198</v>
      </c>
      <c r="H60" s="248" t="s">
        <v>1199</v>
      </c>
      <c r="I60" s="341" t="s">
        <v>145</v>
      </c>
      <c r="J60" s="246" t="s">
        <v>1200</v>
      </c>
      <c r="K60" s="246"/>
      <c r="L60" s="248" t="s">
        <v>263</v>
      </c>
      <c r="M60" s="256" t="s">
        <v>1201</v>
      </c>
      <c r="N60" s="246" t="s">
        <v>1202</v>
      </c>
      <c r="O60" s="246" t="s">
        <v>1203</v>
      </c>
      <c r="P60" s="246" t="s">
        <v>1204</v>
      </c>
      <c r="Q60" s="249" t="s">
        <v>1205</v>
      </c>
      <c r="R60" s="229" t="s">
        <v>1206</v>
      </c>
      <c r="S60" s="246" t="s">
        <v>1207</v>
      </c>
      <c r="T60" s="246"/>
      <c r="U60" s="246" t="s">
        <v>263</v>
      </c>
      <c r="V60" s="250">
        <v>2111</v>
      </c>
      <c r="W60" s="246" t="s">
        <v>117</v>
      </c>
      <c r="X60" s="237" t="s">
        <v>137</v>
      </c>
      <c r="Y60" s="266"/>
      <c r="Z60" s="246" t="s">
        <v>1208</v>
      </c>
      <c r="AA60" s="261">
        <v>390378</v>
      </c>
      <c r="AB60" s="227" t="s">
        <v>10</v>
      </c>
      <c r="AC60" s="227" t="s">
        <v>388</v>
      </c>
      <c r="AD60" s="245">
        <v>44156</v>
      </c>
      <c r="AE60" s="253">
        <f>AJ60+AL60+AN60</f>
        <v>6</v>
      </c>
      <c r="AF60" s="253">
        <f>AK60+AM60+AO60</f>
        <v>6</v>
      </c>
      <c r="AG60" s="241">
        <f t="shared" si="9"/>
        <v>12</v>
      </c>
      <c r="AH60" s="227" t="s">
        <v>38</v>
      </c>
      <c r="AI60" s="252">
        <v>44156</v>
      </c>
      <c r="AJ60" s="253">
        <v>6</v>
      </c>
      <c r="AK60" s="241">
        <v>6</v>
      </c>
      <c r="AL60" s="241">
        <v>0</v>
      </c>
      <c r="AM60" s="241">
        <v>0</v>
      </c>
      <c r="AN60" s="241">
        <v>0</v>
      </c>
      <c r="AO60" s="241">
        <v>0</v>
      </c>
      <c r="AP60" s="253">
        <f t="shared" si="6"/>
        <v>12</v>
      </c>
      <c r="AQ60" s="240" t="s">
        <v>389</v>
      </c>
      <c r="AR60" s="227" t="s">
        <v>1209</v>
      </c>
      <c r="AS60" s="241" t="s">
        <v>189</v>
      </c>
      <c r="AT60" s="256" t="s">
        <v>12</v>
      </c>
      <c r="AU60" s="256" t="s">
        <v>120</v>
      </c>
      <c r="AV60" s="241">
        <v>3057000</v>
      </c>
      <c r="AW60" s="338" t="s">
        <v>343</v>
      </c>
      <c r="AX60" s="343" t="s">
        <v>273</v>
      </c>
      <c r="AY60" s="335" t="s">
        <v>159</v>
      </c>
      <c r="AZ60" s="237"/>
      <c r="BA60" s="237"/>
      <c r="BB60" s="237"/>
      <c r="BC60" s="237"/>
      <c r="BD60" s="255" t="str">
        <f t="shared" ca="1" si="8"/>
        <v>Boston</v>
      </c>
      <c r="BE60" s="340"/>
    </row>
    <row r="61" spans="1:58" s="227" customFormat="1" ht="15.75" customHeight="1" x14ac:dyDescent="0.55000000000000004">
      <c r="A61" s="240">
        <v>44490</v>
      </c>
      <c r="B61" s="335" t="s">
        <v>47</v>
      </c>
      <c r="C61" s="227" t="s">
        <v>13</v>
      </c>
      <c r="E61" s="240">
        <v>44291</v>
      </c>
      <c r="F61" s="227" t="s">
        <v>1210</v>
      </c>
      <c r="G61" s="227" t="s">
        <v>1211</v>
      </c>
      <c r="H61" s="387" t="s">
        <v>1212</v>
      </c>
      <c r="I61" s="247" t="s">
        <v>145</v>
      </c>
      <c r="J61" s="227" t="s">
        <v>1213</v>
      </c>
      <c r="L61" s="248" t="s">
        <v>1214</v>
      </c>
      <c r="M61" s="242" t="s">
        <v>1215</v>
      </c>
      <c r="N61" s="227" t="s">
        <v>1216</v>
      </c>
      <c r="O61" s="227" t="s">
        <v>1217</v>
      </c>
      <c r="P61" s="227" t="s">
        <v>492</v>
      </c>
      <c r="Q61" s="249" t="s">
        <v>1218</v>
      </c>
      <c r="R61" s="336" t="s">
        <v>1219</v>
      </c>
      <c r="S61" s="227" t="s">
        <v>1220</v>
      </c>
      <c r="U61" s="227" t="s">
        <v>1221</v>
      </c>
      <c r="V61" s="250">
        <v>2301</v>
      </c>
      <c r="W61" s="227" t="s">
        <v>117</v>
      </c>
      <c r="X61" s="237" t="s">
        <v>118</v>
      </c>
      <c r="Y61" s="237"/>
      <c r="Z61" s="227" t="s">
        <v>1222</v>
      </c>
      <c r="AA61" s="223">
        <v>2911821</v>
      </c>
      <c r="AB61" s="227" t="s">
        <v>10</v>
      </c>
      <c r="AC61" s="227" t="s">
        <v>388</v>
      </c>
      <c r="AD61" s="245">
        <v>44316</v>
      </c>
      <c r="AE61" s="241">
        <v>8</v>
      </c>
      <c r="AF61" s="241">
        <v>8</v>
      </c>
      <c r="AG61" s="241">
        <f t="shared" si="9"/>
        <v>16</v>
      </c>
      <c r="AH61" s="227" t="s">
        <v>38</v>
      </c>
      <c r="AI61" s="252">
        <v>44349</v>
      </c>
      <c r="AJ61" s="253">
        <v>7</v>
      </c>
      <c r="AK61" s="253">
        <v>7</v>
      </c>
      <c r="AL61" s="253">
        <v>0</v>
      </c>
      <c r="AM61" s="253">
        <v>0</v>
      </c>
      <c r="AN61" s="253">
        <v>0</v>
      </c>
      <c r="AO61" s="253">
        <v>0</v>
      </c>
      <c r="AP61" s="253">
        <f t="shared" si="6"/>
        <v>14</v>
      </c>
      <c r="AQ61" s="240">
        <v>44351</v>
      </c>
      <c r="AS61" s="241" t="s">
        <v>120</v>
      </c>
      <c r="AT61" s="256" t="s">
        <v>25</v>
      </c>
      <c r="AU61" s="256" t="s">
        <v>120</v>
      </c>
      <c r="AV61" s="224">
        <v>4044000</v>
      </c>
      <c r="AW61" s="342" t="s">
        <v>343</v>
      </c>
      <c r="AX61" s="339" t="s">
        <v>1223</v>
      </c>
      <c r="AY61" s="335" t="s">
        <v>159</v>
      </c>
      <c r="AZ61" s="237"/>
      <c r="BA61" s="237"/>
      <c r="BB61" s="237"/>
      <c r="BC61" s="237"/>
      <c r="BD61" s="255" t="str">
        <f t="shared" ca="1" si="8"/>
        <v>Brockton</v>
      </c>
      <c r="BE61" s="354" t="s">
        <v>938</v>
      </c>
      <c r="BF61" s="237"/>
    </row>
    <row r="62" spans="1:58" s="227" customFormat="1" ht="15.75" customHeight="1" x14ac:dyDescent="1.05">
      <c r="A62" s="240">
        <v>44490</v>
      </c>
      <c r="B62" s="335" t="s">
        <v>47</v>
      </c>
      <c r="C62" s="227" t="s">
        <v>13</v>
      </c>
      <c r="E62" s="240">
        <v>43895</v>
      </c>
      <c r="F62" s="246" t="s">
        <v>1224</v>
      </c>
      <c r="G62" s="228" t="s">
        <v>1225</v>
      </c>
      <c r="H62" s="248" t="s">
        <v>1226</v>
      </c>
      <c r="I62" s="341" t="s">
        <v>145</v>
      </c>
      <c r="J62" s="246" t="s">
        <v>1227</v>
      </c>
      <c r="K62" s="246"/>
      <c r="L62" s="248" t="s">
        <v>1228</v>
      </c>
      <c r="M62" s="256" t="s">
        <v>1229</v>
      </c>
      <c r="N62" s="246" t="s">
        <v>1230</v>
      </c>
      <c r="O62" s="246" t="s">
        <v>1231</v>
      </c>
      <c r="P62" s="246" t="s">
        <v>1232</v>
      </c>
      <c r="Q62" s="249" t="s">
        <v>1233</v>
      </c>
      <c r="R62" s="336" t="s">
        <v>1234</v>
      </c>
      <c r="S62" s="246" t="s">
        <v>1235</v>
      </c>
      <c r="T62" s="246"/>
      <c r="U62" s="246" t="s">
        <v>1228</v>
      </c>
      <c r="V62" s="250" t="s">
        <v>1229</v>
      </c>
      <c r="W62" s="246" t="s">
        <v>117</v>
      </c>
      <c r="X62" s="237" t="s">
        <v>235</v>
      </c>
      <c r="Y62" s="266"/>
      <c r="Z62" s="246" t="s">
        <v>1236</v>
      </c>
      <c r="AA62" s="261">
        <v>201401</v>
      </c>
      <c r="AB62" s="227" t="s">
        <v>10</v>
      </c>
      <c r="AC62" s="227" t="s">
        <v>388</v>
      </c>
      <c r="AD62" s="245">
        <v>44156</v>
      </c>
      <c r="AE62" s="253">
        <f>AJ62+AL62+AN62</f>
        <v>12</v>
      </c>
      <c r="AF62" s="253">
        <f>AK62+AM62+AO62</f>
        <v>12</v>
      </c>
      <c r="AG62" s="241">
        <f t="shared" si="9"/>
        <v>24</v>
      </c>
      <c r="AH62" s="227" t="s">
        <v>38</v>
      </c>
      <c r="AI62" s="252">
        <v>44156</v>
      </c>
      <c r="AJ62" s="253">
        <v>12</v>
      </c>
      <c r="AK62" s="241">
        <v>12</v>
      </c>
      <c r="AL62" s="241">
        <v>0</v>
      </c>
      <c r="AM62" s="241">
        <v>0</v>
      </c>
      <c r="AN62" s="241">
        <v>0</v>
      </c>
      <c r="AO62" s="241">
        <v>0</v>
      </c>
      <c r="AP62" s="253">
        <f t="shared" si="6"/>
        <v>24</v>
      </c>
      <c r="AQ62" s="240" t="s">
        <v>389</v>
      </c>
      <c r="AR62" s="227" t="s">
        <v>1209</v>
      </c>
      <c r="AS62" s="241" t="s">
        <v>189</v>
      </c>
      <c r="AT62" s="256" t="s">
        <v>12</v>
      </c>
      <c r="AU62" s="256" t="s">
        <v>120</v>
      </c>
      <c r="AV62" s="241">
        <v>3314000</v>
      </c>
      <c r="AW62" s="226" t="s">
        <v>1237</v>
      </c>
      <c r="AX62" s="401" t="s">
        <v>1238</v>
      </c>
      <c r="AY62" s="335" t="s">
        <v>159</v>
      </c>
      <c r="BD62" s="255" t="str">
        <f t="shared" ca="1" si="8"/>
        <v>Cambridge</v>
      </c>
      <c r="BE62" s="382" t="s">
        <v>1239</v>
      </c>
    </row>
    <row r="63" spans="1:58" s="227" customFormat="1" ht="15.75" customHeight="1" x14ac:dyDescent="1.05">
      <c r="A63" s="240">
        <v>44490</v>
      </c>
      <c r="B63" s="335" t="s">
        <v>47</v>
      </c>
      <c r="C63" s="227" t="s">
        <v>26</v>
      </c>
      <c r="D63" s="227" t="s">
        <v>40</v>
      </c>
      <c r="E63" s="240">
        <v>44291</v>
      </c>
      <c r="F63" s="227" t="s">
        <v>1240</v>
      </c>
      <c r="G63" s="227" t="s">
        <v>1241</v>
      </c>
      <c r="H63" s="387" t="s">
        <v>1242</v>
      </c>
      <c r="I63" s="247" t="s">
        <v>145</v>
      </c>
      <c r="J63" s="227" t="s">
        <v>1243</v>
      </c>
      <c r="L63" s="248" t="s">
        <v>1228</v>
      </c>
      <c r="M63" s="242" t="s">
        <v>1244</v>
      </c>
      <c r="N63" s="227" t="s">
        <v>1245</v>
      </c>
      <c r="O63" s="227" t="s">
        <v>1246</v>
      </c>
      <c r="P63" s="227" t="s">
        <v>1247</v>
      </c>
      <c r="Q63" s="249" t="s">
        <v>1248</v>
      </c>
      <c r="R63" s="336" t="s">
        <v>1249</v>
      </c>
      <c r="S63" s="227" t="s">
        <v>1250</v>
      </c>
      <c r="T63" s="227" t="s">
        <v>1250</v>
      </c>
      <c r="U63" s="227" t="s">
        <v>1228</v>
      </c>
      <c r="V63" s="250">
        <v>2140</v>
      </c>
      <c r="W63" s="227" t="s">
        <v>117</v>
      </c>
      <c r="X63" s="237" t="s">
        <v>118</v>
      </c>
      <c r="Y63" s="237"/>
      <c r="Z63" s="227" t="s">
        <v>1251</v>
      </c>
      <c r="AA63" s="251">
        <v>201409</v>
      </c>
      <c r="AB63" s="227" t="s">
        <v>10</v>
      </c>
      <c r="AC63" s="227" t="s">
        <v>388</v>
      </c>
      <c r="AD63" s="245">
        <v>44364</v>
      </c>
      <c r="AE63" s="241">
        <v>14</v>
      </c>
      <c r="AF63" s="241">
        <v>14</v>
      </c>
      <c r="AG63" s="241">
        <f t="shared" si="9"/>
        <v>28</v>
      </c>
      <c r="AH63" s="227" t="s">
        <v>38</v>
      </c>
      <c r="AI63" s="252">
        <v>44386</v>
      </c>
      <c r="AJ63" s="253">
        <v>10</v>
      </c>
      <c r="AK63" s="253">
        <v>12</v>
      </c>
      <c r="AL63" s="253">
        <v>3</v>
      </c>
      <c r="AM63" s="253">
        <v>2</v>
      </c>
      <c r="AN63" s="253">
        <v>1</v>
      </c>
      <c r="AO63" s="253">
        <v>0</v>
      </c>
      <c r="AP63" s="253">
        <f t="shared" si="6"/>
        <v>28</v>
      </c>
      <c r="AQ63" s="240">
        <v>44398</v>
      </c>
      <c r="AS63" s="241" t="s">
        <v>120</v>
      </c>
      <c r="AT63" s="256" t="s">
        <v>12</v>
      </c>
      <c r="AU63" s="256" t="s">
        <v>120</v>
      </c>
      <c r="AV63" s="241">
        <v>3314000</v>
      </c>
      <c r="AW63" s="226" t="s">
        <v>1237</v>
      </c>
      <c r="AX63" s="350" t="s">
        <v>1238</v>
      </c>
      <c r="AY63" s="335" t="s">
        <v>159</v>
      </c>
      <c r="BD63" s="255" t="str">
        <f t="shared" ca="1" si="8"/>
        <v>Cambridge</v>
      </c>
      <c r="BE63" s="259" t="s">
        <v>1252</v>
      </c>
    </row>
    <row r="64" spans="1:58" s="227" customFormat="1" ht="15.75" customHeight="1" x14ac:dyDescent="0.55000000000000004">
      <c r="A64" s="240">
        <v>44490</v>
      </c>
      <c r="B64" s="335" t="s">
        <v>47</v>
      </c>
      <c r="C64" s="227" t="s">
        <v>26</v>
      </c>
      <c r="D64" s="227" t="s">
        <v>46</v>
      </c>
      <c r="E64" s="240">
        <v>43894</v>
      </c>
      <c r="F64" s="246" t="s">
        <v>1253</v>
      </c>
      <c r="G64" s="228" t="s">
        <v>1254</v>
      </c>
      <c r="H64" s="248" t="s">
        <v>1255</v>
      </c>
      <c r="I64" s="341" t="s">
        <v>145</v>
      </c>
      <c r="J64" s="246" t="s">
        <v>1256</v>
      </c>
      <c r="K64" s="246"/>
      <c r="L64" s="248" t="s">
        <v>1257</v>
      </c>
      <c r="M64" s="256" t="s">
        <v>1258</v>
      </c>
      <c r="N64" s="246" t="s">
        <v>1259</v>
      </c>
      <c r="O64" s="246" t="s">
        <v>1260</v>
      </c>
      <c r="P64" s="246" t="s">
        <v>1261</v>
      </c>
      <c r="Q64" s="249" t="s">
        <v>1262</v>
      </c>
      <c r="R64" s="336" t="s">
        <v>1263</v>
      </c>
      <c r="S64" s="246" t="s">
        <v>1264</v>
      </c>
      <c r="T64" s="246"/>
      <c r="U64" s="246" t="s">
        <v>1257</v>
      </c>
      <c r="V64" s="250" t="s">
        <v>1258</v>
      </c>
      <c r="W64" s="246" t="s">
        <v>117</v>
      </c>
      <c r="X64" s="237" t="s">
        <v>118</v>
      </c>
      <c r="Y64" s="266"/>
      <c r="Z64" s="246" t="s">
        <v>1265</v>
      </c>
      <c r="AA64" s="261">
        <v>211381</v>
      </c>
      <c r="AB64" s="227" t="s">
        <v>10</v>
      </c>
      <c r="AC64" s="227" t="s">
        <v>388</v>
      </c>
      <c r="AD64" s="245">
        <v>44156</v>
      </c>
      <c r="AE64" s="253">
        <f>AJ64+AL64+AN64</f>
        <v>38</v>
      </c>
      <c r="AF64" s="253">
        <f>AK64+AM64+AO64</f>
        <v>23</v>
      </c>
      <c r="AG64" s="241">
        <f t="shared" si="9"/>
        <v>61</v>
      </c>
      <c r="AH64" s="227" t="s">
        <v>38</v>
      </c>
      <c r="AI64" s="252">
        <v>44156</v>
      </c>
      <c r="AJ64" s="253">
        <v>35</v>
      </c>
      <c r="AK64" s="241">
        <v>23</v>
      </c>
      <c r="AL64" s="241">
        <v>3</v>
      </c>
      <c r="AM64" s="241">
        <v>0</v>
      </c>
      <c r="AN64" s="241">
        <v>0</v>
      </c>
      <c r="AO64" s="241">
        <v>0</v>
      </c>
      <c r="AP64" s="253">
        <f t="shared" si="6"/>
        <v>61</v>
      </c>
      <c r="AQ64" s="240" t="s">
        <v>389</v>
      </c>
      <c r="AR64" s="227" t="s">
        <v>1209</v>
      </c>
      <c r="AS64" s="241" t="s">
        <v>189</v>
      </c>
      <c r="AT64" s="256" t="s">
        <v>12</v>
      </c>
      <c r="AU64" s="256" t="s">
        <v>120</v>
      </c>
      <c r="AV64" s="241">
        <v>3035000</v>
      </c>
      <c r="AW64" s="233" t="s">
        <v>272</v>
      </c>
      <c r="AX64" s="343" t="s">
        <v>273</v>
      </c>
      <c r="AY64" s="335" t="s">
        <v>159</v>
      </c>
      <c r="BD64" s="255" t="str">
        <f t="shared" ca="1" si="8"/>
        <v>Charlestown</v>
      </c>
      <c r="BE64" s="340" t="s">
        <v>1266</v>
      </c>
    </row>
    <row r="65" spans="1:58" s="227" customFormat="1" ht="15.75" customHeight="1" x14ac:dyDescent="1.05">
      <c r="A65" s="239">
        <v>44490</v>
      </c>
      <c r="B65" s="335" t="s">
        <v>47</v>
      </c>
      <c r="C65" s="227" t="s">
        <v>13</v>
      </c>
      <c r="E65" s="239">
        <v>44307</v>
      </c>
      <c r="F65" s="369" t="s">
        <v>1267</v>
      </c>
      <c r="G65" s="368" t="s">
        <v>1268</v>
      </c>
      <c r="H65" s="370" t="s">
        <v>1269</v>
      </c>
      <c r="I65" s="402" t="s">
        <v>127</v>
      </c>
      <c r="J65" s="368" t="s">
        <v>1270</v>
      </c>
      <c r="K65" s="378"/>
      <c r="L65" s="403" t="s">
        <v>433</v>
      </c>
      <c r="M65" s="404" t="s">
        <v>434</v>
      </c>
      <c r="N65" s="405" t="s">
        <v>1271</v>
      </c>
      <c r="O65" s="405" t="s">
        <v>1272</v>
      </c>
      <c r="P65" s="405" t="s">
        <v>1273</v>
      </c>
      <c r="Q65" s="406" t="s">
        <v>1274</v>
      </c>
      <c r="R65" s="348" t="s">
        <v>1275</v>
      </c>
      <c r="S65" s="378" t="s">
        <v>1270</v>
      </c>
      <c r="T65" s="378"/>
      <c r="U65" s="405" t="s">
        <v>433</v>
      </c>
      <c r="V65" s="407" t="s">
        <v>434</v>
      </c>
      <c r="W65" s="378" t="s">
        <v>155</v>
      </c>
      <c r="X65" s="458" t="s">
        <v>137</v>
      </c>
      <c r="Y65" s="237"/>
      <c r="Z65" s="237"/>
      <c r="AA65" s="223" t="s">
        <v>1276</v>
      </c>
      <c r="AB65" s="237" t="s">
        <v>10</v>
      </c>
      <c r="AC65" s="237" t="s">
        <v>388</v>
      </c>
      <c r="AD65" s="245">
        <v>44338</v>
      </c>
      <c r="AE65" s="244">
        <v>3</v>
      </c>
      <c r="AF65" s="244">
        <v>3</v>
      </c>
      <c r="AG65" s="241">
        <f t="shared" si="9"/>
        <v>6</v>
      </c>
      <c r="AH65" s="237" t="s">
        <v>38</v>
      </c>
      <c r="AI65" s="257">
        <v>44358</v>
      </c>
      <c r="AJ65" s="258">
        <v>3</v>
      </c>
      <c r="AK65" s="258">
        <v>3</v>
      </c>
      <c r="AL65" s="258">
        <v>0</v>
      </c>
      <c r="AM65" s="258">
        <v>0</v>
      </c>
      <c r="AN65" s="258">
        <v>0</v>
      </c>
      <c r="AO65" s="258">
        <v>0</v>
      </c>
      <c r="AP65" s="253">
        <f t="shared" si="6"/>
        <v>6</v>
      </c>
      <c r="AQ65" s="239">
        <v>44375</v>
      </c>
      <c r="AR65" s="237" t="s">
        <v>1277</v>
      </c>
      <c r="AS65" s="244" t="s">
        <v>120</v>
      </c>
      <c r="AT65" s="244" t="s">
        <v>12</v>
      </c>
      <c r="AU65" s="244" t="s">
        <v>120</v>
      </c>
      <c r="AV65" s="244">
        <v>3035000</v>
      </c>
      <c r="AW65" s="233" t="s">
        <v>272</v>
      </c>
      <c r="AX65" s="350" t="s">
        <v>273</v>
      </c>
      <c r="AY65" s="335" t="s">
        <v>159</v>
      </c>
      <c r="BD65" s="255" t="str">
        <f t="shared" ca="1" si="8"/>
        <v>Chestnut Hill</v>
      </c>
      <c r="BE65" s="259" t="s">
        <v>1278</v>
      </c>
    </row>
    <row r="66" spans="1:58" s="227" customFormat="1" ht="15.75" customHeight="1" x14ac:dyDescent="0.55000000000000004">
      <c r="A66" s="240">
        <v>44490</v>
      </c>
      <c r="B66" s="335" t="s">
        <v>47</v>
      </c>
      <c r="C66" s="227" t="s">
        <v>26</v>
      </c>
      <c r="D66" s="227" t="s">
        <v>46</v>
      </c>
      <c r="E66" s="240">
        <v>43895</v>
      </c>
      <c r="F66" s="246" t="s">
        <v>1279</v>
      </c>
      <c r="G66" s="228" t="s">
        <v>1280</v>
      </c>
      <c r="H66" s="248" t="s">
        <v>1281</v>
      </c>
      <c r="I66" s="341" t="s">
        <v>145</v>
      </c>
      <c r="J66" s="246" t="s">
        <v>1282</v>
      </c>
      <c r="K66" s="246" t="s">
        <v>1283</v>
      </c>
      <c r="L66" s="248" t="s">
        <v>1284</v>
      </c>
      <c r="M66" s="256" t="s">
        <v>1285</v>
      </c>
      <c r="N66" s="246" t="s">
        <v>1286</v>
      </c>
      <c r="O66" s="246" t="s">
        <v>1287</v>
      </c>
      <c r="P66" s="246" t="s">
        <v>1288</v>
      </c>
      <c r="Q66" s="249" t="s">
        <v>1289</v>
      </c>
      <c r="R66" s="229" t="s">
        <v>1290</v>
      </c>
      <c r="S66" s="246" t="s">
        <v>1291</v>
      </c>
      <c r="T66" s="246"/>
      <c r="U66" s="246" t="s">
        <v>1284</v>
      </c>
      <c r="V66" s="250" t="s">
        <v>1285</v>
      </c>
      <c r="W66" s="246" t="s">
        <v>117</v>
      </c>
      <c r="X66" s="237" t="s">
        <v>137</v>
      </c>
      <c r="Y66" s="266"/>
      <c r="Z66" s="246" t="s">
        <v>1292</v>
      </c>
      <c r="AA66" s="261">
        <v>8030658</v>
      </c>
      <c r="AB66" s="227" t="s">
        <v>10</v>
      </c>
      <c r="AD66" s="245">
        <v>44364</v>
      </c>
      <c r="AE66" s="241">
        <v>5</v>
      </c>
      <c r="AF66" s="241">
        <v>5</v>
      </c>
      <c r="AG66" s="241">
        <f t="shared" si="9"/>
        <v>10</v>
      </c>
      <c r="AH66" s="227" t="s">
        <v>38</v>
      </c>
      <c r="AI66" s="252">
        <v>44386</v>
      </c>
      <c r="AJ66" s="253">
        <v>3</v>
      </c>
      <c r="AK66" s="253">
        <v>3</v>
      </c>
      <c r="AL66" s="253">
        <v>2</v>
      </c>
      <c r="AM66" s="253">
        <v>2</v>
      </c>
      <c r="AN66" s="253">
        <v>0</v>
      </c>
      <c r="AO66" s="253">
        <v>0</v>
      </c>
      <c r="AP66" s="253">
        <f t="shared" ref="AP66:AP97" si="10">AJ66+AK66+AL66+AM66+AN66+AO66</f>
        <v>10</v>
      </c>
      <c r="AQ66" s="240">
        <v>44398</v>
      </c>
      <c r="AR66" s="227" t="s">
        <v>1293</v>
      </c>
      <c r="AS66" s="256" t="s">
        <v>120</v>
      </c>
      <c r="AT66" s="256" t="s">
        <v>19</v>
      </c>
      <c r="AU66" s="256" t="s">
        <v>120</v>
      </c>
      <c r="AV66" s="241">
        <v>2330000</v>
      </c>
      <c r="AW66" s="338" t="s">
        <v>1294</v>
      </c>
      <c r="AX66" s="363" t="s">
        <v>1295</v>
      </c>
      <c r="AY66" s="335" t="s">
        <v>159</v>
      </c>
      <c r="AZ66" s="237"/>
      <c r="BA66" s="237"/>
      <c r="BB66" s="237"/>
      <c r="BC66" s="237"/>
      <c r="BD66" s="255" t="str">
        <f t="shared" ca="1" si="8"/>
        <v>Concord</v>
      </c>
      <c r="BE66" s="340" t="s">
        <v>1296</v>
      </c>
    </row>
    <row r="67" spans="1:58" s="227" customFormat="1" ht="15.75" customHeight="1" x14ac:dyDescent="0.55000000000000004">
      <c r="A67" s="240">
        <v>44490</v>
      </c>
      <c r="B67" s="335" t="s">
        <v>47</v>
      </c>
      <c r="C67" s="227" t="s">
        <v>26</v>
      </c>
      <c r="D67" s="227" t="s">
        <v>40</v>
      </c>
      <c r="E67" s="240">
        <v>43894</v>
      </c>
      <c r="F67" s="246" t="s">
        <v>1297</v>
      </c>
      <c r="G67" s="228" t="s">
        <v>1298</v>
      </c>
      <c r="H67" s="248" t="s">
        <v>1299</v>
      </c>
      <c r="I67" s="341" t="s">
        <v>145</v>
      </c>
      <c r="J67" s="246" t="s">
        <v>1300</v>
      </c>
      <c r="K67" s="246"/>
      <c r="L67" s="248" t="s">
        <v>1301</v>
      </c>
      <c r="M67" s="256" t="s">
        <v>1302</v>
      </c>
      <c r="N67" s="246" t="s">
        <v>1303</v>
      </c>
      <c r="O67" s="246" t="s">
        <v>1304</v>
      </c>
      <c r="P67" s="246" t="s">
        <v>1305</v>
      </c>
      <c r="Q67" s="249" t="s">
        <v>1306</v>
      </c>
      <c r="R67" s="336" t="s">
        <v>1307</v>
      </c>
      <c r="S67" s="246" t="s">
        <v>1308</v>
      </c>
      <c r="T67" s="246"/>
      <c r="U67" s="246" t="s">
        <v>1309</v>
      </c>
      <c r="V67" s="250" t="s">
        <v>1302</v>
      </c>
      <c r="W67" s="246" t="s">
        <v>117</v>
      </c>
      <c r="X67" s="237" t="s">
        <v>118</v>
      </c>
      <c r="Y67" s="266"/>
      <c r="Z67" s="246" t="s">
        <v>1310</v>
      </c>
      <c r="AA67" s="261">
        <v>8029093</v>
      </c>
      <c r="AB67" s="227" t="s">
        <v>10</v>
      </c>
      <c r="AC67" s="227" t="s">
        <v>388</v>
      </c>
      <c r="AD67" s="245">
        <v>44156</v>
      </c>
      <c r="AE67" s="253">
        <f>AJ67+AL67+AN67</f>
        <v>6</v>
      </c>
      <c r="AF67" s="253">
        <f>AK67+AM67+AO67</f>
        <v>6</v>
      </c>
      <c r="AG67" s="241">
        <f t="shared" si="9"/>
        <v>12</v>
      </c>
      <c r="AH67" s="227" t="s">
        <v>38</v>
      </c>
      <c r="AI67" s="252">
        <v>44156</v>
      </c>
      <c r="AJ67" s="253">
        <v>0</v>
      </c>
      <c r="AK67" s="241">
        <v>0</v>
      </c>
      <c r="AL67" s="241">
        <v>5</v>
      </c>
      <c r="AM67" s="241">
        <v>6</v>
      </c>
      <c r="AN67" s="241">
        <v>1</v>
      </c>
      <c r="AO67" s="241">
        <v>0</v>
      </c>
      <c r="AP67" s="253">
        <f t="shared" si="10"/>
        <v>12</v>
      </c>
      <c r="AQ67" s="240" t="s">
        <v>389</v>
      </c>
      <c r="AR67" s="227" t="s">
        <v>1209</v>
      </c>
      <c r="AS67" s="256" t="s">
        <v>189</v>
      </c>
      <c r="AT67" s="256" t="s">
        <v>12</v>
      </c>
      <c r="AU67" s="256" t="s">
        <v>120</v>
      </c>
      <c r="AV67" s="241">
        <v>3035000</v>
      </c>
      <c r="AW67" s="233" t="s">
        <v>272</v>
      </c>
      <c r="AX67" s="343" t="s">
        <v>273</v>
      </c>
      <c r="AY67" s="335" t="s">
        <v>159</v>
      </c>
      <c r="AZ67" s="237"/>
      <c r="BA67" s="237"/>
      <c r="BB67" s="237"/>
      <c r="BC67" s="237"/>
      <c r="BD67" s="255" t="str">
        <f t="shared" ca="1" si="8"/>
        <v>East Boston</v>
      </c>
      <c r="BE67" s="382" t="s">
        <v>1296</v>
      </c>
    </row>
    <row r="68" spans="1:58" s="227" customFormat="1" ht="15.75" customHeight="1" x14ac:dyDescent="0.55000000000000004">
      <c r="A68" s="240">
        <v>44490</v>
      </c>
      <c r="B68" s="335" t="s">
        <v>47</v>
      </c>
      <c r="C68" s="227" t="s">
        <v>26</v>
      </c>
      <c r="D68" s="227" t="s">
        <v>46</v>
      </c>
      <c r="E68" s="240">
        <v>44291</v>
      </c>
      <c r="F68" s="227" t="s">
        <v>1311</v>
      </c>
      <c r="G68" s="227" t="s">
        <v>1312</v>
      </c>
      <c r="H68" s="387" t="s">
        <v>1313</v>
      </c>
      <c r="I68" s="247" t="s">
        <v>145</v>
      </c>
      <c r="J68" s="227" t="s">
        <v>1314</v>
      </c>
      <c r="L68" s="248" t="s">
        <v>1315</v>
      </c>
      <c r="M68" s="242" t="s">
        <v>1316</v>
      </c>
      <c r="N68" s="227" t="s">
        <v>1317</v>
      </c>
      <c r="O68" s="227" t="s">
        <v>1318</v>
      </c>
      <c r="P68" s="227" t="s">
        <v>492</v>
      </c>
      <c r="Q68" s="249" t="s">
        <v>1319</v>
      </c>
      <c r="R68" s="336" t="s">
        <v>1320</v>
      </c>
      <c r="S68" s="227" t="s">
        <v>1321</v>
      </c>
      <c r="U68" s="227" t="s">
        <v>1322</v>
      </c>
      <c r="V68" s="250">
        <v>2333</v>
      </c>
      <c r="W68" s="227" t="s">
        <v>155</v>
      </c>
      <c r="X68" s="237" t="s">
        <v>137</v>
      </c>
      <c r="Y68" s="237"/>
      <c r="Z68" s="227" t="s">
        <v>1323</v>
      </c>
      <c r="AA68" s="223" t="s">
        <v>1324</v>
      </c>
      <c r="AB68" s="227" t="s">
        <v>10</v>
      </c>
      <c r="AC68" s="227" t="s">
        <v>388</v>
      </c>
      <c r="AD68" s="245">
        <v>44315</v>
      </c>
      <c r="AE68" s="241">
        <v>5</v>
      </c>
      <c r="AF68" s="241">
        <v>5</v>
      </c>
      <c r="AG68" s="241">
        <f t="shared" si="9"/>
        <v>10</v>
      </c>
      <c r="AH68" s="227" t="s">
        <v>38</v>
      </c>
      <c r="AI68" s="252">
        <v>44349</v>
      </c>
      <c r="AJ68" s="253">
        <v>3</v>
      </c>
      <c r="AK68" s="253">
        <v>5</v>
      </c>
      <c r="AL68" s="253">
        <v>2</v>
      </c>
      <c r="AM68" s="253">
        <v>0</v>
      </c>
      <c r="AN68" s="253">
        <v>0</v>
      </c>
      <c r="AO68" s="253">
        <v>0</v>
      </c>
      <c r="AP68" s="253">
        <f t="shared" si="10"/>
        <v>10</v>
      </c>
      <c r="AQ68" s="240">
        <v>44351</v>
      </c>
      <c r="AS68" s="241" t="s">
        <v>120</v>
      </c>
      <c r="AT68" s="256" t="s">
        <v>25</v>
      </c>
      <c r="AU68" s="256" t="s">
        <v>120</v>
      </c>
      <c r="AV68" s="224">
        <v>4083000</v>
      </c>
      <c r="AW68" s="342" t="s">
        <v>343</v>
      </c>
      <c r="AX68" s="339" t="s">
        <v>1325</v>
      </c>
      <c r="AY68" s="335" t="s">
        <v>159</v>
      </c>
      <c r="AZ68" s="237"/>
      <c r="BA68" s="237"/>
      <c r="BB68" s="237"/>
      <c r="BC68" s="237"/>
      <c r="BD68" s="266"/>
      <c r="BE68" s="238"/>
      <c r="BF68" s="237"/>
    </row>
    <row r="69" spans="1:58" s="227" customFormat="1" ht="15.75" customHeight="1" x14ac:dyDescent="0.55000000000000004">
      <c r="A69" s="240">
        <v>44490</v>
      </c>
      <c r="B69" s="335" t="s">
        <v>47</v>
      </c>
      <c r="C69" s="227" t="s">
        <v>26</v>
      </c>
      <c r="D69" s="227" t="s">
        <v>46</v>
      </c>
      <c r="E69" s="240">
        <v>43896</v>
      </c>
      <c r="F69" s="246" t="s">
        <v>1326</v>
      </c>
      <c r="G69" s="228" t="s">
        <v>1327</v>
      </c>
      <c r="H69" s="248" t="s">
        <v>1328</v>
      </c>
      <c r="I69" s="341" t="s">
        <v>145</v>
      </c>
      <c r="J69" s="246" t="s">
        <v>1329</v>
      </c>
      <c r="K69" s="246"/>
      <c r="L69" s="248" t="s">
        <v>1330</v>
      </c>
      <c r="M69" s="256" t="s">
        <v>1331</v>
      </c>
      <c r="N69" s="246" t="s">
        <v>1332</v>
      </c>
      <c r="O69" s="246" t="s">
        <v>1333</v>
      </c>
      <c r="P69" s="246" t="s">
        <v>243</v>
      </c>
      <c r="Q69" s="249" t="s">
        <v>1334</v>
      </c>
      <c r="R69" s="229" t="s">
        <v>1335</v>
      </c>
      <c r="S69" s="246" t="s">
        <v>1336</v>
      </c>
      <c r="T69" s="246"/>
      <c r="U69" s="246" t="s">
        <v>1330</v>
      </c>
      <c r="V69" s="250" t="s">
        <v>1331</v>
      </c>
      <c r="W69" s="246" t="s">
        <v>155</v>
      </c>
      <c r="X69" s="237" t="s">
        <v>137</v>
      </c>
      <c r="Y69" s="266"/>
      <c r="Z69" s="246" t="s">
        <v>1337</v>
      </c>
      <c r="AA69" s="261">
        <v>8030609</v>
      </c>
      <c r="AB69" s="227" t="s">
        <v>10</v>
      </c>
      <c r="AC69" s="227" t="s">
        <v>388</v>
      </c>
      <c r="AD69" s="245">
        <v>44184</v>
      </c>
      <c r="AE69" s="253">
        <f t="shared" ref="AE69:AF71" si="11">AJ69+AL69+AN69</f>
        <v>11</v>
      </c>
      <c r="AF69" s="253">
        <f t="shared" si="11"/>
        <v>10</v>
      </c>
      <c r="AG69" s="241">
        <f t="shared" si="9"/>
        <v>21</v>
      </c>
      <c r="AH69" s="227" t="s">
        <v>38</v>
      </c>
      <c r="AI69" s="252">
        <v>44204</v>
      </c>
      <c r="AJ69" s="253">
        <v>10</v>
      </c>
      <c r="AK69" s="241">
        <v>10</v>
      </c>
      <c r="AL69" s="241">
        <v>1</v>
      </c>
      <c r="AM69" s="241">
        <v>0</v>
      </c>
      <c r="AN69" s="241">
        <v>0</v>
      </c>
      <c r="AO69" s="241">
        <v>0</v>
      </c>
      <c r="AP69" s="253">
        <f t="shared" si="10"/>
        <v>21</v>
      </c>
      <c r="AQ69" s="240" t="s">
        <v>561</v>
      </c>
      <c r="AR69" s="227" t="s">
        <v>1338</v>
      </c>
      <c r="AS69" s="256" t="s">
        <v>189</v>
      </c>
      <c r="AT69" s="256" t="s">
        <v>12</v>
      </c>
      <c r="AU69" s="256" t="s">
        <v>120</v>
      </c>
      <c r="AV69" s="224">
        <v>3100000</v>
      </c>
      <c r="AW69" s="342" t="s">
        <v>343</v>
      </c>
      <c r="AX69" s="343" t="s">
        <v>1339</v>
      </c>
      <c r="AY69" s="335" t="s">
        <v>159</v>
      </c>
      <c r="BD69" s="255" t="str">
        <f t="shared" ref="BD69:BD75" ca="1" si="12">IF(ISBLANK(AD69),"",IF(AD69&lt;TODAY(),L69,""))</f>
        <v>Framingham</v>
      </c>
      <c r="BE69" s="259"/>
    </row>
    <row r="70" spans="1:58" s="227" customFormat="1" ht="15" customHeight="1" x14ac:dyDescent="0.55000000000000004">
      <c r="A70" s="240">
        <v>44490</v>
      </c>
      <c r="B70" s="335" t="s">
        <v>47</v>
      </c>
      <c r="C70" s="227" t="s">
        <v>26</v>
      </c>
      <c r="D70" s="227" t="s">
        <v>40</v>
      </c>
      <c r="E70" s="240">
        <v>43895</v>
      </c>
      <c r="F70" s="246" t="s">
        <v>1340</v>
      </c>
      <c r="G70" s="228" t="s">
        <v>1341</v>
      </c>
      <c r="H70" s="248" t="s">
        <v>1342</v>
      </c>
      <c r="I70" s="341" t="s">
        <v>145</v>
      </c>
      <c r="J70" s="246" t="s">
        <v>1343</v>
      </c>
      <c r="K70" s="246"/>
      <c r="L70" s="248" t="s">
        <v>1344</v>
      </c>
      <c r="M70" s="256" t="s">
        <v>1345</v>
      </c>
      <c r="N70" s="246" t="s">
        <v>1346</v>
      </c>
      <c r="O70" s="246" t="s">
        <v>1347</v>
      </c>
      <c r="P70" s="246" t="s">
        <v>1348</v>
      </c>
      <c r="Q70" s="249" t="s">
        <v>1349</v>
      </c>
      <c r="R70" s="229" t="s">
        <v>1350</v>
      </c>
      <c r="S70" s="246" t="s">
        <v>1351</v>
      </c>
      <c r="T70" s="246"/>
      <c r="U70" s="246" t="s">
        <v>1330</v>
      </c>
      <c r="V70" s="250" t="s">
        <v>1345</v>
      </c>
      <c r="W70" s="246" t="s">
        <v>117</v>
      </c>
      <c r="X70" s="237" t="s">
        <v>118</v>
      </c>
      <c r="Y70" s="266"/>
      <c r="Z70" s="246" t="s">
        <v>1352</v>
      </c>
      <c r="AA70" s="261">
        <v>200410</v>
      </c>
      <c r="AB70" s="227" t="s">
        <v>10</v>
      </c>
      <c r="AC70" s="227" t="s">
        <v>388</v>
      </c>
      <c r="AD70" s="245">
        <v>44184</v>
      </c>
      <c r="AE70" s="253">
        <f t="shared" si="11"/>
        <v>10</v>
      </c>
      <c r="AF70" s="253">
        <f t="shared" si="11"/>
        <v>10</v>
      </c>
      <c r="AG70" s="241">
        <f t="shared" si="9"/>
        <v>20</v>
      </c>
      <c r="AH70" s="227" t="s">
        <v>38</v>
      </c>
      <c r="AI70" s="252">
        <v>44204</v>
      </c>
      <c r="AJ70" s="253">
        <v>0</v>
      </c>
      <c r="AK70" s="241">
        <v>4</v>
      </c>
      <c r="AL70" s="241">
        <v>9</v>
      </c>
      <c r="AM70" s="241">
        <v>6</v>
      </c>
      <c r="AN70" s="241">
        <v>1</v>
      </c>
      <c r="AO70" s="241">
        <v>0</v>
      </c>
      <c r="AP70" s="253">
        <f t="shared" si="10"/>
        <v>20</v>
      </c>
      <c r="AQ70" s="240" t="s">
        <v>561</v>
      </c>
      <c r="AR70" s="227" t="s">
        <v>1338</v>
      </c>
      <c r="AS70" s="241" t="s">
        <v>189</v>
      </c>
      <c r="AT70" s="256" t="s">
        <v>12</v>
      </c>
      <c r="AU70" s="256" t="s">
        <v>120</v>
      </c>
      <c r="AV70" s="224">
        <v>3100000</v>
      </c>
      <c r="AW70" s="342" t="s">
        <v>343</v>
      </c>
      <c r="AX70" s="343" t="s">
        <v>1339</v>
      </c>
      <c r="AY70" s="335" t="s">
        <v>159</v>
      </c>
      <c r="BD70" s="255" t="str">
        <f t="shared" ca="1" si="12"/>
        <v xml:space="preserve">Framingham </v>
      </c>
      <c r="BE70" s="382" t="s">
        <v>1353</v>
      </c>
    </row>
    <row r="71" spans="1:58" s="227" customFormat="1" ht="15" customHeight="1" x14ac:dyDescent="0.55000000000000004">
      <c r="A71" s="240">
        <v>44490</v>
      </c>
      <c r="B71" s="335" t="s">
        <v>47</v>
      </c>
      <c r="C71" s="227" t="s">
        <v>26</v>
      </c>
      <c r="D71" s="227" t="s">
        <v>48</v>
      </c>
      <c r="E71" s="240">
        <v>43896</v>
      </c>
      <c r="F71" s="246" t="s">
        <v>1354</v>
      </c>
      <c r="G71" s="228" t="s">
        <v>1355</v>
      </c>
      <c r="H71" s="248" t="s">
        <v>1356</v>
      </c>
      <c r="I71" s="341" t="s">
        <v>108</v>
      </c>
      <c r="J71" s="246" t="s">
        <v>1357</v>
      </c>
      <c r="K71" s="246"/>
      <c r="L71" s="248" t="s">
        <v>1358</v>
      </c>
      <c r="M71" s="256" t="s">
        <v>1359</v>
      </c>
      <c r="N71" s="246" t="s">
        <v>1360</v>
      </c>
      <c r="O71" s="246" t="s">
        <v>1361</v>
      </c>
      <c r="P71" s="246" t="s">
        <v>1362</v>
      </c>
      <c r="Q71" s="249" t="s">
        <v>1363</v>
      </c>
      <c r="R71" s="408" t="s">
        <v>1364</v>
      </c>
      <c r="S71" s="246" t="s">
        <v>1365</v>
      </c>
      <c r="T71" s="246"/>
      <c r="U71" s="246" t="s">
        <v>1358</v>
      </c>
      <c r="V71" s="250" t="s">
        <v>1359</v>
      </c>
      <c r="W71" s="246" t="s">
        <v>117</v>
      </c>
      <c r="X71" s="237" t="s">
        <v>118</v>
      </c>
      <c r="Y71" s="266"/>
      <c r="Z71" s="246" t="s">
        <v>1366</v>
      </c>
      <c r="AA71" s="352" t="s">
        <v>1367</v>
      </c>
      <c r="AB71" s="227" t="s">
        <v>10</v>
      </c>
      <c r="AC71" s="227" t="s">
        <v>388</v>
      </c>
      <c r="AD71" s="245">
        <v>44261</v>
      </c>
      <c r="AE71" s="253">
        <f t="shared" si="11"/>
        <v>73</v>
      </c>
      <c r="AF71" s="253">
        <f t="shared" si="11"/>
        <v>65</v>
      </c>
      <c r="AG71" s="241">
        <f t="shared" si="9"/>
        <v>138</v>
      </c>
      <c r="AH71" s="227" t="s">
        <v>38</v>
      </c>
      <c r="AI71" s="252"/>
      <c r="AJ71" s="253">
        <v>18</v>
      </c>
      <c r="AK71" s="253">
        <v>34</v>
      </c>
      <c r="AL71" s="253">
        <v>47</v>
      </c>
      <c r="AM71" s="253">
        <v>28</v>
      </c>
      <c r="AN71" s="253">
        <v>8</v>
      </c>
      <c r="AO71" s="253">
        <v>3</v>
      </c>
      <c r="AP71" s="253">
        <f t="shared" si="10"/>
        <v>138</v>
      </c>
      <c r="AQ71" s="240">
        <v>44300</v>
      </c>
      <c r="AR71" s="227" t="s">
        <v>1368</v>
      </c>
      <c r="AS71" s="256" t="s">
        <v>120</v>
      </c>
      <c r="AT71" s="256" t="s">
        <v>19</v>
      </c>
      <c r="AU71" s="256" t="s">
        <v>120</v>
      </c>
      <c r="AV71" s="224">
        <v>2101000</v>
      </c>
      <c r="AW71" s="226" t="s">
        <v>1369</v>
      </c>
      <c r="AX71" s="339" t="s">
        <v>1370</v>
      </c>
      <c r="AY71" s="335" t="s">
        <v>649</v>
      </c>
      <c r="BD71" s="255" t="str">
        <f t="shared" ca="1" si="12"/>
        <v>Franklin</v>
      </c>
      <c r="BE71" s="354" t="s">
        <v>1371</v>
      </c>
    </row>
    <row r="72" spans="1:58" s="227" customFormat="1" ht="15" customHeight="1" x14ac:dyDescent="1.05">
      <c r="A72" s="240">
        <v>44490</v>
      </c>
      <c r="B72" s="335" t="s">
        <v>47</v>
      </c>
      <c r="C72" s="227" t="s">
        <v>26</v>
      </c>
      <c r="D72" s="227" t="s">
        <v>40</v>
      </c>
      <c r="E72" s="240">
        <v>44210</v>
      </c>
      <c r="F72" s="227" t="s">
        <v>1372</v>
      </c>
      <c r="G72" s="228" t="s">
        <v>1373</v>
      </c>
      <c r="H72" s="387" t="s">
        <v>1374</v>
      </c>
      <c r="I72" s="247" t="s">
        <v>145</v>
      </c>
      <c r="J72" s="227" t="s">
        <v>1375</v>
      </c>
      <c r="L72" s="248" t="s">
        <v>1376</v>
      </c>
      <c r="M72" s="242" t="s">
        <v>1377</v>
      </c>
      <c r="N72" s="227" t="s">
        <v>1378</v>
      </c>
      <c r="O72" s="227" t="s">
        <v>1379</v>
      </c>
      <c r="P72" s="227" t="s">
        <v>1380</v>
      </c>
      <c r="Q72" s="249" t="s">
        <v>1381</v>
      </c>
      <c r="R72" s="348" t="s">
        <v>1382</v>
      </c>
      <c r="S72" s="227" t="s">
        <v>1383</v>
      </c>
      <c r="U72" s="227" t="s">
        <v>1384</v>
      </c>
      <c r="V72" s="337" t="s">
        <v>1377</v>
      </c>
      <c r="W72" s="227" t="s">
        <v>155</v>
      </c>
      <c r="X72" s="237" t="s">
        <v>235</v>
      </c>
      <c r="Y72" s="237"/>
      <c r="AA72" s="251">
        <v>212416</v>
      </c>
      <c r="AB72" s="227" t="s">
        <v>10</v>
      </c>
      <c r="AC72" s="369" t="s">
        <v>388</v>
      </c>
      <c r="AD72" s="245">
        <v>44394</v>
      </c>
      <c r="AE72" s="241">
        <v>13</v>
      </c>
      <c r="AF72" s="241">
        <v>13</v>
      </c>
      <c r="AG72" s="241">
        <f t="shared" si="9"/>
        <v>26</v>
      </c>
      <c r="AH72" s="227" t="s">
        <v>38</v>
      </c>
      <c r="AI72" s="252">
        <v>44418</v>
      </c>
      <c r="AJ72" s="253">
        <v>9</v>
      </c>
      <c r="AK72" s="253">
        <v>8</v>
      </c>
      <c r="AL72" s="253">
        <v>2</v>
      </c>
      <c r="AM72" s="253">
        <v>4</v>
      </c>
      <c r="AN72" s="253">
        <v>2</v>
      </c>
      <c r="AO72" s="253">
        <v>1</v>
      </c>
      <c r="AP72" s="253">
        <f t="shared" si="10"/>
        <v>26</v>
      </c>
      <c r="AQ72" s="240">
        <v>44428</v>
      </c>
      <c r="AR72" s="227" t="s">
        <v>1385</v>
      </c>
      <c r="AS72" s="256" t="s">
        <v>120</v>
      </c>
      <c r="AT72" s="256" t="s">
        <v>19</v>
      </c>
      <c r="AU72" s="256" t="s">
        <v>120</v>
      </c>
      <c r="AV72" s="224">
        <v>2103000</v>
      </c>
      <c r="AW72" s="233" t="s">
        <v>1386</v>
      </c>
      <c r="AX72" s="350" t="s">
        <v>1387</v>
      </c>
      <c r="AY72" s="348" t="s">
        <v>159</v>
      </c>
      <c r="BD72" s="255" t="str">
        <f t="shared" ca="1" si="12"/>
        <v>Gardner</v>
      </c>
      <c r="BE72" s="382"/>
      <c r="BF72" s="237"/>
    </row>
    <row r="73" spans="1:58" s="227" customFormat="1" ht="15" customHeight="1" x14ac:dyDescent="0.55000000000000004">
      <c r="A73" s="240">
        <v>44490</v>
      </c>
      <c r="B73" s="335" t="s">
        <v>47</v>
      </c>
      <c r="C73" s="227" t="s">
        <v>26</v>
      </c>
      <c r="D73" s="227" t="s">
        <v>46</v>
      </c>
      <c r="E73" s="240">
        <v>43896</v>
      </c>
      <c r="F73" s="246" t="s">
        <v>1388</v>
      </c>
      <c r="G73" s="228" t="s">
        <v>1389</v>
      </c>
      <c r="H73" s="248" t="s">
        <v>1390</v>
      </c>
      <c r="I73" s="341" t="s">
        <v>145</v>
      </c>
      <c r="J73" s="246" t="s">
        <v>1391</v>
      </c>
      <c r="K73" s="246"/>
      <c r="L73" s="248" t="s">
        <v>1392</v>
      </c>
      <c r="M73" s="256" t="s">
        <v>1393</v>
      </c>
      <c r="N73" s="246" t="s">
        <v>1394</v>
      </c>
      <c r="O73" s="246" t="s">
        <v>1395</v>
      </c>
      <c r="P73" s="246" t="s">
        <v>243</v>
      </c>
      <c r="Q73" s="249" t="s">
        <v>1396</v>
      </c>
      <c r="R73" s="229" t="s">
        <v>1397</v>
      </c>
      <c r="S73" s="246" t="s">
        <v>1391</v>
      </c>
      <c r="T73" s="246"/>
      <c r="U73" s="246" t="s">
        <v>1392</v>
      </c>
      <c r="V73" s="250" t="s">
        <v>1393</v>
      </c>
      <c r="W73" s="246" t="s">
        <v>117</v>
      </c>
      <c r="X73" s="237" t="s">
        <v>235</v>
      </c>
      <c r="Y73" s="266"/>
      <c r="Z73" s="246" t="s">
        <v>1398</v>
      </c>
      <c r="AA73" s="261">
        <v>200592</v>
      </c>
      <c r="AB73" s="227" t="s">
        <v>10</v>
      </c>
      <c r="AC73" s="227" t="s">
        <v>388</v>
      </c>
      <c r="AD73" s="245">
        <v>44177</v>
      </c>
      <c r="AE73" s="253">
        <f>AJ73+AL73+AN73</f>
        <v>4</v>
      </c>
      <c r="AF73" s="253">
        <f>AK73+AM73+AO73</f>
        <v>3</v>
      </c>
      <c r="AG73" s="241">
        <f t="shared" si="9"/>
        <v>7</v>
      </c>
      <c r="AH73" s="227" t="s">
        <v>38</v>
      </c>
      <c r="AI73" s="252">
        <v>44204</v>
      </c>
      <c r="AJ73" s="253">
        <v>0</v>
      </c>
      <c r="AK73" s="241">
        <v>2</v>
      </c>
      <c r="AL73" s="241">
        <v>4</v>
      </c>
      <c r="AM73" s="241">
        <v>1</v>
      </c>
      <c r="AN73" s="241">
        <v>0</v>
      </c>
      <c r="AO73" s="241">
        <v>0</v>
      </c>
      <c r="AP73" s="253">
        <f t="shared" si="10"/>
        <v>7</v>
      </c>
      <c r="AQ73" s="240" t="s">
        <v>561</v>
      </c>
      <c r="AR73" s="227" t="s">
        <v>1399</v>
      </c>
      <c r="AS73" s="256" t="s">
        <v>120</v>
      </c>
      <c r="AT73" s="256" t="s">
        <v>19</v>
      </c>
      <c r="AU73" s="256" t="s">
        <v>120</v>
      </c>
      <c r="AV73" s="224">
        <v>2139000</v>
      </c>
      <c r="AW73" s="226" t="s">
        <v>1400</v>
      </c>
      <c r="AX73" s="339" t="s">
        <v>1401</v>
      </c>
      <c r="AY73" s="335" t="s">
        <v>159</v>
      </c>
      <c r="BD73" s="255" t="str">
        <f t="shared" ca="1" si="12"/>
        <v>Hopkinton</v>
      </c>
      <c r="BE73" s="259" t="s">
        <v>1402</v>
      </c>
    </row>
    <row r="74" spans="1:58" s="227" customFormat="1" ht="15" customHeight="1" x14ac:dyDescent="1.05">
      <c r="A74" s="240">
        <v>44476</v>
      </c>
      <c r="B74" s="353" t="s">
        <v>47</v>
      </c>
      <c r="C74" s="237" t="s">
        <v>13</v>
      </c>
      <c r="E74" s="240">
        <v>44298</v>
      </c>
      <c r="F74" s="227" t="s">
        <v>1403</v>
      </c>
      <c r="G74" s="227" t="s">
        <v>1404</v>
      </c>
      <c r="H74" s="387" t="s">
        <v>1405</v>
      </c>
      <c r="I74" s="247" t="s">
        <v>127</v>
      </c>
      <c r="J74" s="227" t="s">
        <v>1406</v>
      </c>
      <c r="K74" s="409" t="s">
        <v>1407</v>
      </c>
      <c r="L74" s="248" t="s">
        <v>1408</v>
      </c>
      <c r="M74" s="242" t="s">
        <v>1409</v>
      </c>
      <c r="N74" s="227" t="s">
        <v>1410</v>
      </c>
      <c r="O74" s="227" t="s">
        <v>1411</v>
      </c>
      <c r="P74" s="227" t="s">
        <v>760</v>
      </c>
      <c r="Q74" s="249" t="s">
        <v>1412</v>
      </c>
      <c r="R74" s="348" t="s">
        <v>1413</v>
      </c>
      <c r="S74" s="227" t="s">
        <v>1414</v>
      </c>
      <c r="T74" s="227" t="s">
        <v>1415</v>
      </c>
      <c r="U74" s="227" t="s">
        <v>1416</v>
      </c>
      <c r="V74" s="250">
        <v>1843</v>
      </c>
      <c r="W74" s="227" t="s">
        <v>155</v>
      </c>
      <c r="X74" s="237" t="s">
        <v>137</v>
      </c>
      <c r="Y74" s="237"/>
      <c r="Z74" s="391" t="s">
        <v>1417</v>
      </c>
      <c r="AA74" s="251" t="s">
        <v>1418</v>
      </c>
      <c r="AB74" s="227" t="s">
        <v>442</v>
      </c>
      <c r="AC74" s="227" t="s">
        <v>443</v>
      </c>
      <c r="AD74" s="245">
        <v>44348</v>
      </c>
      <c r="AE74" s="241">
        <v>3</v>
      </c>
      <c r="AF74" s="241">
        <v>3</v>
      </c>
      <c r="AG74" s="241">
        <f t="shared" si="9"/>
        <v>6</v>
      </c>
      <c r="AH74" s="227" t="s">
        <v>38</v>
      </c>
      <c r="AI74" s="252">
        <v>44371</v>
      </c>
      <c r="AJ74" s="253">
        <v>3</v>
      </c>
      <c r="AK74" s="253">
        <v>3</v>
      </c>
      <c r="AL74" s="253">
        <v>0</v>
      </c>
      <c r="AM74" s="253">
        <v>0</v>
      </c>
      <c r="AN74" s="253">
        <v>0</v>
      </c>
      <c r="AO74" s="253">
        <v>0</v>
      </c>
      <c r="AP74" s="253">
        <f t="shared" si="10"/>
        <v>6</v>
      </c>
      <c r="AQ74" s="240">
        <v>44372</v>
      </c>
      <c r="AS74" s="231" t="s">
        <v>120</v>
      </c>
      <c r="AT74" s="232" t="s">
        <v>12</v>
      </c>
      <c r="AU74" s="232" t="s">
        <v>120</v>
      </c>
      <c r="AV74" s="241">
        <v>3149000</v>
      </c>
      <c r="AW74" s="335" t="s">
        <v>343</v>
      </c>
      <c r="AX74" s="350" t="s">
        <v>1419</v>
      </c>
      <c r="AY74" s="236" t="s">
        <v>274</v>
      </c>
      <c r="AZ74" s="237"/>
      <c r="BA74" s="237"/>
      <c r="BB74" s="237"/>
      <c r="BC74" s="237"/>
      <c r="BD74" s="255" t="str">
        <f t="shared" ca="1" si="12"/>
        <v>Lawrence</v>
      </c>
      <c r="BE74" s="354" t="s">
        <v>1420</v>
      </c>
    </row>
    <row r="75" spans="1:58" s="227" customFormat="1" ht="15" customHeight="1" x14ac:dyDescent="0.55000000000000004">
      <c r="A75" s="240">
        <v>44490</v>
      </c>
      <c r="B75" s="335" t="s">
        <v>47</v>
      </c>
      <c r="C75" s="227" t="s">
        <v>13</v>
      </c>
      <c r="E75" s="240">
        <v>44046</v>
      </c>
      <c r="F75" s="227" t="s">
        <v>1421</v>
      </c>
      <c r="G75" s="228" t="s">
        <v>1422</v>
      </c>
      <c r="H75" s="387" t="s">
        <v>1423</v>
      </c>
      <c r="I75" s="247" t="s">
        <v>145</v>
      </c>
      <c r="J75" s="227" t="s">
        <v>1424</v>
      </c>
      <c r="L75" s="248" t="s">
        <v>1425</v>
      </c>
      <c r="M75" s="242" t="s">
        <v>1426</v>
      </c>
      <c r="N75" s="227" t="s">
        <v>1427</v>
      </c>
      <c r="O75" s="227" t="s">
        <v>1428</v>
      </c>
      <c r="P75" s="227" t="s">
        <v>151</v>
      </c>
      <c r="Q75" s="249" t="s">
        <v>1429</v>
      </c>
      <c r="R75" s="336" t="s">
        <v>1430</v>
      </c>
      <c r="S75" s="227" t="s">
        <v>1431</v>
      </c>
      <c r="U75" s="227" t="s">
        <v>1425</v>
      </c>
      <c r="V75" s="337" t="s">
        <v>1426</v>
      </c>
      <c r="W75" s="227" t="s">
        <v>117</v>
      </c>
      <c r="X75" s="237" t="s">
        <v>118</v>
      </c>
      <c r="Y75" s="237"/>
      <c r="Z75" s="246" t="s">
        <v>1432</v>
      </c>
      <c r="AA75" s="251">
        <v>2912180</v>
      </c>
      <c r="AB75" s="227" t="s">
        <v>10</v>
      </c>
      <c r="AC75" s="227" t="s">
        <v>388</v>
      </c>
      <c r="AD75" s="245">
        <v>44267</v>
      </c>
      <c r="AE75" s="241">
        <v>10</v>
      </c>
      <c r="AF75" s="241">
        <v>10</v>
      </c>
      <c r="AG75" s="241">
        <f t="shared" si="9"/>
        <v>20</v>
      </c>
      <c r="AH75" s="227" t="s">
        <v>38</v>
      </c>
      <c r="AI75" s="252">
        <v>44287</v>
      </c>
      <c r="AJ75" s="253">
        <v>9</v>
      </c>
      <c r="AK75" s="253">
        <v>9</v>
      </c>
      <c r="AL75" s="253">
        <v>0</v>
      </c>
      <c r="AM75" s="253">
        <v>1</v>
      </c>
      <c r="AN75" s="253">
        <v>1</v>
      </c>
      <c r="AO75" s="253">
        <v>0</v>
      </c>
      <c r="AP75" s="253">
        <f t="shared" si="10"/>
        <v>20</v>
      </c>
      <c r="AQ75" s="240">
        <v>44291</v>
      </c>
      <c r="AR75" s="227" t="s">
        <v>1433</v>
      </c>
      <c r="AS75" s="256" t="s">
        <v>120</v>
      </c>
      <c r="AT75" s="256" t="s">
        <v>19</v>
      </c>
      <c r="AU75" s="256" t="s">
        <v>120</v>
      </c>
      <c r="AV75" s="224">
        <v>2153000</v>
      </c>
      <c r="AW75" s="226" t="s">
        <v>1434</v>
      </c>
      <c r="AX75" s="339" t="s">
        <v>1435</v>
      </c>
      <c r="AY75" s="335" t="s">
        <v>159</v>
      </c>
      <c r="BD75" s="255" t="str">
        <f t="shared" ca="1" si="12"/>
        <v>Leominster</v>
      </c>
      <c r="BE75" s="340" t="s">
        <v>1436</v>
      </c>
    </row>
    <row r="76" spans="1:58" s="227" customFormat="1" ht="15" customHeight="1" x14ac:dyDescent="0.55000000000000004">
      <c r="A76" s="240">
        <v>44490</v>
      </c>
      <c r="B76" s="335" t="s">
        <v>47</v>
      </c>
      <c r="C76" s="227" t="s">
        <v>26</v>
      </c>
      <c r="D76" s="227" t="s">
        <v>46</v>
      </c>
      <c r="E76" s="240">
        <v>43896</v>
      </c>
      <c r="F76" s="246" t="s">
        <v>1437</v>
      </c>
      <c r="G76" s="228" t="s">
        <v>1438</v>
      </c>
      <c r="H76" s="248" t="s">
        <v>1439</v>
      </c>
      <c r="I76" s="341" t="s">
        <v>145</v>
      </c>
      <c r="J76" s="246" t="s">
        <v>1440</v>
      </c>
      <c r="K76" s="246"/>
      <c r="L76" s="248" t="s">
        <v>807</v>
      </c>
      <c r="M76" s="256" t="s">
        <v>808</v>
      </c>
      <c r="N76" s="246" t="s">
        <v>1441</v>
      </c>
      <c r="O76" s="246" t="s">
        <v>1442</v>
      </c>
      <c r="P76" s="246" t="s">
        <v>243</v>
      </c>
      <c r="Q76" s="249" t="s">
        <v>1443</v>
      </c>
      <c r="R76" s="229" t="s">
        <v>1444</v>
      </c>
      <c r="S76" s="246" t="s">
        <v>1445</v>
      </c>
      <c r="T76" s="246"/>
      <c r="U76" s="246" t="s">
        <v>807</v>
      </c>
      <c r="V76" s="250" t="s">
        <v>808</v>
      </c>
      <c r="W76" s="246" t="s">
        <v>155</v>
      </c>
      <c r="X76" s="237" t="s">
        <v>235</v>
      </c>
      <c r="Y76" s="266"/>
      <c r="Z76" s="246" t="s">
        <v>1446</v>
      </c>
      <c r="AA76" s="261">
        <v>8031418</v>
      </c>
      <c r="AB76" s="227" t="s">
        <v>10</v>
      </c>
      <c r="AC76" s="227" t="s">
        <v>388</v>
      </c>
      <c r="AD76" s="245">
        <v>44366</v>
      </c>
      <c r="AE76" s="241">
        <v>10</v>
      </c>
      <c r="AF76" s="241">
        <v>10</v>
      </c>
      <c r="AG76" s="241">
        <f t="shared" si="9"/>
        <v>20</v>
      </c>
      <c r="AH76" s="227" t="s">
        <v>38</v>
      </c>
      <c r="AI76" s="252">
        <v>44386</v>
      </c>
      <c r="AJ76" s="253">
        <v>8</v>
      </c>
      <c r="AK76" s="253">
        <v>10</v>
      </c>
      <c r="AL76" s="253">
        <v>2</v>
      </c>
      <c r="AM76" s="253">
        <v>0</v>
      </c>
      <c r="AN76" s="253">
        <v>0</v>
      </c>
      <c r="AO76" s="253">
        <v>0</v>
      </c>
      <c r="AP76" s="253">
        <f t="shared" si="10"/>
        <v>20</v>
      </c>
      <c r="AQ76" s="240">
        <v>44398</v>
      </c>
      <c r="AR76" s="227" t="s">
        <v>1293</v>
      </c>
      <c r="AS76" s="256" t="s">
        <v>120</v>
      </c>
      <c r="AT76" s="256" t="s">
        <v>12</v>
      </c>
      <c r="AU76" s="256" t="s">
        <v>120</v>
      </c>
      <c r="AV76" s="224">
        <v>3181000</v>
      </c>
      <c r="AW76" s="342" t="s">
        <v>343</v>
      </c>
      <c r="AX76" s="339" t="s">
        <v>815</v>
      </c>
      <c r="AY76" s="233" t="s">
        <v>159</v>
      </c>
      <c r="AZ76" s="237"/>
      <c r="BA76" s="237"/>
      <c r="BB76" s="237"/>
      <c r="BC76" s="237"/>
      <c r="BD76" s="266"/>
      <c r="BE76" s="238"/>
      <c r="BF76" s="237"/>
    </row>
    <row r="77" spans="1:58" s="227" customFormat="1" ht="15" customHeight="1" x14ac:dyDescent="0.55000000000000004">
      <c r="A77" s="239">
        <v>44490</v>
      </c>
      <c r="B77" s="335" t="s">
        <v>47</v>
      </c>
      <c r="C77" s="227" t="s">
        <v>26</v>
      </c>
      <c r="D77" s="227" t="s">
        <v>46</v>
      </c>
      <c r="E77" s="239">
        <v>44315</v>
      </c>
      <c r="F77" s="369" t="s">
        <v>1447</v>
      </c>
      <c r="G77" s="368" t="s">
        <v>1448</v>
      </c>
      <c r="H77" s="370" t="s">
        <v>1449</v>
      </c>
      <c r="I77" s="402" t="s">
        <v>145</v>
      </c>
      <c r="J77" s="368" t="s">
        <v>1450</v>
      </c>
      <c r="K77" s="378"/>
      <c r="L77" s="403" t="s">
        <v>807</v>
      </c>
      <c r="M77" s="411" t="s">
        <v>808</v>
      </c>
      <c r="N77" s="378" t="s">
        <v>1451</v>
      </c>
      <c r="O77" s="405" t="s">
        <v>1452</v>
      </c>
      <c r="P77" s="405" t="s">
        <v>1453</v>
      </c>
      <c r="Q77" s="412" t="s">
        <v>1454</v>
      </c>
      <c r="R77" s="348" t="s">
        <v>1455</v>
      </c>
      <c r="S77" s="378" t="s">
        <v>1456</v>
      </c>
      <c r="T77" s="378"/>
      <c r="U77" s="405" t="s">
        <v>1457</v>
      </c>
      <c r="V77" s="413" t="s">
        <v>1458</v>
      </c>
      <c r="W77" s="378" t="s">
        <v>117</v>
      </c>
      <c r="X77" s="266" t="s">
        <v>235</v>
      </c>
      <c r="Y77" s="237"/>
      <c r="Z77" s="237" t="s">
        <v>1459</v>
      </c>
      <c r="AA77" s="251">
        <v>8032021</v>
      </c>
      <c r="AB77" s="237" t="s">
        <v>10</v>
      </c>
      <c r="AC77" s="237" t="s">
        <v>1460</v>
      </c>
      <c r="AD77" s="245">
        <v>44366</v>
      </c>
      <c r="AE77" s="244">
        <v>5</v>
      </c>
      <c r="AF77" s="244">
        <v>5</v>
      </c>
      <c r="AG77" s="241">
        <f t="shared" si="9"/>
        <v>10</v>
      </c>
      <c r="AH77" s="237" t="s">
        <v>38</v>
      </c>
      <c r="AI77" s="257">
        <v>44386</v>
      </c>
      <c r="AJ77" s="258">
        <v>5</v>
      </c>
      <c r="AK77" s="258">
        <v>5</v>
      </c>
      <c r="AL77" s="258">
        <v>0</v>
      </c>
      <c r="AM77" s="258">
        <v>0</v>
      </c>
      <c r="AN77" s="258">
        <v>0</v>
      </c>
      <c r="AO77" s="258">
        <v>0</v>
      </c>
      <c r="AP77" s="253">
        <f t="shared" si="10"/>
        <v>10</v>
      </c>
      <c r="AQ77" s="239">
        <v>44397</v>
      </c>
      <c r="AR77" s="237" t="s">
        <v>1461</v>
      </c>
      <c r="AS77" s="232" t="s">
        <v>120</v>
      </c>
      <c r="AT77" s="232" t="s">
        <v>12</v>
      </c>
      <c r="AU77" s="232" t="s">
        <v>120</v>
      </c>
      <c r="AV77" s="351">
        <v>3181000</v>
      </c>
      <c r="AW77" s="414" t="s">
        <v>343</v>
      </c>
      <c r="AX77" s="339" t="s">
        <v>815</v>
      </c>
      <c r="AY77" s="353" t="s">
        <v>159</v>
      </c>
      <c r="BD77" s="255" t="str">
        <f t="shared" ref="BD77:BD88" ca="1" si="13">IF(ISBLANK(AD77),"",IF(AD77&lt;TODAY(),L77,""))</f>
        <v>Methuen</v>
      </c>
      <c r="BE77" s="340" t="s">
        <v>1462</v>
      </c>
    </row>
    <row r="78" spans="1:58" s="227" customFormat="1" ht="15" customHeight="1" x14ac:dyDescent="0.55000000000000004">
      <c r="A78" s="240">
        <v>44490</v>
      </c>
      <c r="B78" s="335" t="s">
        <v>47</v>
      </c>
      <c r="C78" s="227" t="s">
        <v>26</v>
      </c>
      <c r="D78" s="227" t="s">
        <v>46</v>
      </c>
      <c r="E78" s="240">
        <v>44046</v>
      </c>
      <c r="F78" s="227" t="s">
        <v>1463</v>
      </c>
      <c r="G78" s="228" t="s">
        <v>1464</v>
      </c>
      <c r="H78" s="387" t="s">
        <v>1465</v>
      </c>
      <c r="I78" s="247" t="s">
        <v>145</v>
      </c>
      <c r="J78" s="227" t="s">
        <v>1466</v>
      </c>
      <c r="L78" s="248" t="s">
        <v>1467</v>
      </c>
      <c r="M78" s="242" t="s">
        <v>1468</v>
      </c>
      <c r="N78" s="227" t="s">
        <v>1469</v>
      </c>
      <c r="O78" s="227" t="s">
        <v>1470</v>
      </c>
      <c r="P78" s="227" t="s">
        <v>1471</v>
      </c>
      <c r="Q78" s="249" t="s">
        <v>1472</v>
      </c>
      <c r="R78" s="336" t="s">
        <v>1473</v>
      </c>
      <c r="S78" s="227" t="s">
        <v>1474</v>
      </c>
      <c r="U78" s="227" t="s">
        <v>1467</v>
      </c>
      <c r="V78" s="250">
        <v>1757</v>
      </c>
      <c r="W78" s="227" t="s">
        <v>117</v>
      </c>
      <c r="X78" s="237" t="s">
        <v>118</v>
      </c>
      <c r="Y78" s="237"/>
      <c r="Z78" s="227" t="s">
        <v>1475</v>
      </c>
      <c r="AA78" s="251">
        <v>2912368</v>
      </c>
      <c r="AB78" s="227" t="s">
        <v>10</v>
      </c>
      <c r="AC78" s="227" t="s">
        <v>388</v>
      </c>
      <c r="AD78" s="245">
        <v>44177</v>
      </c>
      <c r="AE78" s="253">
        <f>AJ78+AL78+AN78</f>
        <v>11</v>
      </c>
      <c r="AF78" s="253">
        <f>AK78+AM78+AO78</f>
        <v>8</v>
      </c>
      <c r="AG78" s="241">
        <f t="shared" si="9"/>
        <v>19</v>
      </c>
      <c r="AH78" s="227" t="s">
        <v>38</v>
      </c>
      <c r="AI78" s="252">
        <v>44204</v>
      </c>
      <c r="AJ78" s="253">
        <v>6</v>
      </c>
      <c r="AK78" s="253">
        <v>8</v>
      </c>
      <c r="AL78" s="253">
        <v>4</v>
      </c>
      <c r="AM78" s="253">
        <v>0</v>
      </c>
      <c r="AN78" s="253">
        <v>1</v>
      </c>
      <c r="AO78" s="253">
        <v>0</v>
      </c>
      <c r="AP78" s="253">
        <f t="shared" si="10"/>
        <v>19</v>
      </c>
      <c r="AQ78" s="240">
        <v>44211</v>
      </c>
      <c r="AR78" s="227" t="s">
        <v>1476</v>
      </c>
      <c r="AS78" s="241" t="s">
        <v>120</v>
      </c>
      <c r="AT78" s="256" t="s">
        <v>19</v>
      </c>
      <c r="AU78" s="256" t="s">
        <v>120</v>
      </c>
      <c r="AV78" s="224">
        <v>2185000</v>
      </c>
      <c r="AW78" s="226" t="s">
        <v>1477</v>
      </c>
      <c r="AX78" s="343" t="s">
        <v>1478</v>
      </c>
      <c r="AY78" s="335" t="s">
        <v>159</v>
      </c>
      <c r="BD78" s="255" t="str">
        <f t="shared" ca="1" si="13"/>
        <v>Milford</v>
      </c>
      <c r="BE78" s="340"/>
    </row>
    <row r="79" spans="1:58" s="227" customFormat="1" ht="15" customHeight="1" x14ac:dyDescent="0.55000000000000004">
      <c r="A79" s="240">
        <v>44490</v>
      </c>
      <c r="B79" s="335" t="s">
        <v>47</v>
      </c>
      <c r="C79" s="227" t="s">
        <v>26</v>
      </c>
      <c r="D79" s="227" t="s">
        <v>46</v>
      </c>
      <c r="E79" s="240">
        <v>43986</v>
      </c>
      <c r="F79" s="227" t="s">
        <v>1479</v>
      </c>
      <c r="G79" s="228" t="s">
        <v>1480</v>
      </c>
      <c r="H79" s="387" t="s">
        <v>1481</v>
      </c>
      <c r="I79" s="247" t="s">
        <v>145</v>
      </c>
      <c r="J79" s="227" t="s">
        <v>1482</v>
      </c>
      <c r="L79" s="248" t="s">
        <v>1483</v>
      </c>
      <c r="M79" s="242" t="s">
        <v>1484</v>
      </c>
      <c r="N79" s="227" t="s">
        <v>398</v>
      </c>
      <c r="O79" s="227" t="s">
        <v>1188</v>
      </c>
      <c r="P79" s="227" t="s">
        <v>114</v>
      </c>
      <c r="Q79" s="249" t="s">
        <v>1485</v>
      </c>
      <c r="R79" s="336" t="s">
        <v>1190</v>
      </c>
      <c r="S79" s="227" t="s">
        <v>1486</v>
      </c>
      <c r="U79" s="227" t="s">
        <v>1483</v>
      </c>
      <c r="V79" s="337" t="s">
        <v>1484</v>
      </c>
      <c r="W79" s="227" t="s">
        <v>155</v>
      </c>
      <c r="X79" s="237" t="s">
        <v>118</v>
      </c>
      <c r="Y79" s="237"/>
      <c r="Z79" s="227" t="s">
        <v>1487</v>
      </c>
      <c r="AA79" s="251">
        <v>211568</v>
      </c>
      <c r="AB79" s="227" t="s">
        <v>10</v>
      </c>
      <c r="AC79" s="227" t="s">
        <v>388</v>
      </c>
      <c r="AD79" s="245">
        <v>44177</v>
      </c>
      <c r="AE79" s="253">
        <f>AJ79+AL79+AN79</f>
        <v>27</v>
      </c>
      <c r="AF79" s="253">
        <f>AK79+AM79+AO79</f>
        <v>22</v>
      </c>
      <c r="AG79" s="241">
        <f t="shared" si="9"/>
        <v>49</v>
      </c>
      <c r="AH79" s="227" t="s">
        <v>38</v>
      </c>
      <c r="AI79" s="252">
        <v>44204</v>
      </c>
      <c r="AJ79" s="253">
        <v>21</v>
      </c>
      <c r="AK79" s="253">
        <v>22</v>
      </c>
      <c r="AL79" s="253">
        <v>6</v>
      </c>
      <c r="AM79" s="253">
        <v>0</v>
      </c>
      <c r="AN79" s="253">
        <v>0</v>
      </c>
      <c r="AO79" s="253">
        <v>0</v>
      </c>
      <c r="AP79" s="253">
        <f t="shared" si="10"/>
        <v>49</v>
      </c>
      <c r="AQ79" s="240">
        <v>44211</v>
      </c>
      <c r="AR79" s="227" t="s">
        <v>1193</v>
      </c>
      <c r="AS79" s="241" t="s">
        <v>120</v>
      </c>
      <c r="AT79" s="256" t="s">
        <v>19</v>
      </c>
      <c r="AU79" s="256" t="s">
        <v>120</v>
      </c>
      <c r="AV79" s="224">
        <v>2186000</v>
      </c>
      <c r="AW79" s="226" t="s">
        <v>1488</v>
      </c>
      <c r="AX79" s="339" t="s">
        <v>1489</v>
      </c>
      <c r="AY79" s="335" t="s">
        <v>159</v>
      </c>
      <c r="AZ79" s="237"/>
      <c r="BA79" s="237"/>
      <c r="BB79" s="237"/>
      <c r="BC79" s="237"/>
      <c r="BD79" s="255" t="str">
        <f t="shared" ca="1" si="13"/>
        <v>Millbury</v>
      </c>
      <c r="BE79" s="340"/>
      <c r="BF79" s="378"/>
    </row>
    <row r="80" spans="1:58" s="227" customFormat="1" ht="15" customHeight="1" x14ac:dyDescent="1.05">
      <c r="A80" s="240">
        <v>44490</v>
      </c>
      <c r="B80" s="335" t="s">
        <v>47</v>
      </c>
      <c r="C80" s="227" t="s">
        <v>26</v>
      </c>
      <c r="D80" s="227" t="s">
        <v>46</v>
      </c>
      <c r="E80" s="240">
        <v>44293</v>
      </c>
      <c r="F80" s="227" t="s">
        <v>1490</v>
      </c>
      <c r="G80" s="227" t="s">
        <v>1491</v>
      </c>
      <c r="H80" s="497" t="s">
        <v>1492</v>
      </c>
      <c r="I80" s="247" t="s">
        <v>145</v>
      </c>
      <c r="J80" s="227" t="s">
        <v>1493</v>
      </c>
      <c r="L80" s="248" t="s">
        <v>837</v>
      </c>
      <c r="M80" s="242" t="s">
        <v>838</v>
      </c>
      <c r="N80" s="227" t="s">
        <v>1494</v>
      </c>
      <c r="O80" s="227" t="s">
        <v>1495</v>
      </c>
      <c r="P80" s="227" t="s">
        <v>1496</v>
      </c>
      <c r="Q80" s="249" t="s">
        <v>1497</v>
      </c>
      <c r="R80" s="348" t="s">
        <v>1498</v>
      </c>
      <c r="S80" s="227" t="s">
        <v>1499</v>
      </c>
      <c r="U80" s="227" t="s">
        <v>837</v>
      </c>
      <c r="V80" s="250">
        <v>2740</v>
      </c>
      <c r="W80" s="227" t="s">
        <v>117</v>
      </c>
      <c r="X80" s="237" t="s">
        <v>118</v>
      </c>
      <c r="Y80" s="237"/>
      <c r="AA80" s="251">
        <v>212650</v>
      </c>
      <c r="AB80" s="227" t="s">
        <v>10</v>
      </c>
      <c r="AC80" s="227" t="s">
        <v>388</v>
      </c>
      <c r="AD80" s="245">
        <v>44336</v>
      </c>
      <c r="AE80" s="241">
        <v>23</v>
      </c>
      <c r="AF80" s="241">
        <v>23</v>
      </c>
      <c r="AG80" s="241">
        <f t="shared" si="9"/>
        <v>46</v>
      </c>
      <c r="AH80" s="227" t="s">
        <v>38</v>
      </c>
      <c r="AI80" s="252">
        <v>44358</v>
      </c>
      <c r="AJ80" s="253">
        <v>13</v>
      </c>
      <c r="AK80" s="253">
        <v>22</v>
      </c>
      <c r="AL80" s="253">
        <v>8</v>
      </c>
      <c r="AM80" s="253">
        <v>1</v>
      </c>
      <c r="AN80" s="253">
        <v>2</v>
      </c>
      <c r="AO80" s="253">
        <v>0</v>
      </c>
      <c r="AP80" s="253">
        <f t="shared" si="10"/>
        <v>46</v>
      </c>
      <c r="AQ80" s="240">
        <v>44376</v>
      </c>
      <c r="AS80" s="241" t="s">
        <v>120</v>
      </c>
      <c r="AT80" s="256" t="s">
        <v>25</v>
      </c>
      <c r="AU80" s="256" t="s">
        <v>120</v>
      </c>
      <c r="AV80" s="224">
        <v>4201000</v>
      </c>
      <c r="AW80" s="233" t="s">
        <v>847</v>
      </c>
      <c r="AX80" s="350" t="s">
        <v>848</v>
      </c>
      <c r="AY80" s="233" t="s">
        <v>159</v>
      </c>
      <c r="BD80" s="255" t="str">
        <f t="shared" ca="1" si="13"/>
        <v>New Bedford</v>
      </c>
      <c r="BE80" s="340" t="s">
        <v>1500</v>
      </c>
    </row>
    <row r="81" spans="1:58" s="227" customFormat="1" ht="15" customHeight="1" x14ac:dyDescent="0.55000000000000004">
      <c r="A81" s="240">
        <v>44490</v>
      </c>
      <c r="B81" s="335" t="s">
        <v>47</v>
      </c>
      <c r="C81" s="227" t="s">
        <v>26</v>
      </c>
      <c r="D81" s="227" t="s">
        <v>46</v>
      </c>
      <c r="E81" s="240">
        <v>43986</v>
      </c>
      <c r="F81" s="227" t="s">
        <v>1501</v>
      </c>
      <c r="G81" s="228" t="s">
        <v>1502</v>
      </c>
      <c r="H81" s="387" t="s">
        <v>1503</v>
      </c>
      <c r="I81" s="247" t="s">
        <v>145</v>
      </c>
      <c r="J81" s="227" t="s">
        <v>1504</v>
      </c>
      <c r="L81" s="248" t="s">
        <v>1505</v>
      </c>
      <c r="M81" s="242" t="s">
        <v>1506</v>
      </c>
      <c r="N81" s="227" t="s">
        <v>1171</v>
      </c>
      <c r="O81" s="227" t="s">
        <v>1507</v>
      </c>
      <c r="P81" s="227" t="s">
        <v>334</v>
      </c>
      <c r="Q81" s="249" t="s">
        <v>1508</v>
      </c>
      <c r="R81" s="336" t="s">
        <v>1509</v>
      </c>
      <c r="S81" s="227" t="s">
        <v>1510</v>
      </c>
      <c r="U81" s="227" t="s">
        <v>1511</v>
      </c>
      <c r="V81" s="337" t="s">
        <v>1506</v>
      </c>
      <c r="W81" s="227" t="s">
        <v>117</v>
      </c>
      <c r="X81" s="237" t="s">
        <v>118</v>
      </c>
      <c r="Y81" s="237"/>
      <c r="Z81" s="227" t="s">
        <v>1512</v>
      </c>
      <c r="AA81" s="251" t="s">
        <v>1513</v>
      </c>
      <c r="AB81" s="227" t="s">
        <v>10</v>
      </c>
      <c r="AC81" s="227" t="s">
        <v>388</v>
      </c>
      <c r="AD81" s="245">
        <v>44177</v>
      </c>
      <c r="AE81" s="253">
        <f>AJ81+AL81+AN81</f>
        <v>2</v>
      </c>
      <c r="AF81" s="253">
        <f>AK81+AM81+AO81</f>
        <v>2</v>
      </c>
      <c r="AG81" s="241">
        <f t="shared" si="9"/>
        <v>4</v>
      </c>
      <c r="AH81" s="227" t="s">
        <v>38</v>
      </c>
      <c r="AI81" s="252">
        <v>44204</v>
      </c>
      <c r="AJ81" s="253">
        <v>1</v>
      </c>
      <c r="AK81" s="253">
        <v>2</v>
      </c>
      <c r="AL81" s="253">
        <v>1</v>
      </c>
      <c r="AM81" s="253">
        <v>0</v>
      </c>
      <c r="AN81" s="253">
        <v>0</v>
      </c>
      <c r="AO81" s="253">
        <v>0</v>
      </c>
      <c r="AP81" s="253">
        <f t="shared" si="10"/>
        <v>4</v>
      </c>
      <c r="AQ81" s="240">
        <v>44211</v>
      </c>
      <c r="AR81" s="227" t="s">
        <v>1399</v>
      </c>
      <c r="AS81" s="256" t="s">
        <v>120</v>
      </c>
      <c r="AT81" s="256" t="s">
        <v>25</v>
      </c>
      <c r="AU81" s="256" t="s">
        <v>120</v>
      </c>
      <c r="AV81" s="224">
        <v>4211000</v>
      </c>
      <c r="AW81" s="226" t="s">
        <v>1514</v>
      </c>
      <c r="AX81" s="339" t="s">
        <v>1515</v>
      </c>
      <c r="AY81" s="335" t="s">
        <v>159</v>
      </c>
      <c r="BD81" s="255" t="str">
        <f t="shared" ca="1" si="13"/>
        <v>North Attleboro</v>
      </c>
      <c r="BE81" s="382" t="s">
        <v>849</v>
      </c>
      <c r="BF81" s="237"/>
    </row>
    <row r="82" spans="1:58" s="227" customFormat="1" ht="15" customHeight="1" x14ac:dyDescent="0.55000000000000004">
      <c r="A82" s="240">
        <v>44490</v>
      </c>
      <c r="B82" s="335" t="s">
        <v>47</v>
      </c>
      <c r="C82" s="227" t="s">
        <v>26</v>
      </c>
      <c r="D82" s="227" t="s">
        <v>46</v>
      </c>
      <c r="E82" s="240">
        <v>43894</v>
      </c>
      <c r="F82" s="246" t="s">
        <v>1516</v>
      </c>
      <c r="G82" s="228" t="s">
        <v>1517</v>
      </c>
      <c r="H82" s="248" t="s">
        <v>1518</v>
      </c>
      <c r="I82" s="341" t="s">
        <v>145</v>
      </c>
      <c r="J82" s="246" t="s">
        <v>1519</v>
      </c>
      <c r="K82" s="246"/>
      <c r="L82" s="248" t="s">
        <v>1520</v>
      </c>
      <c r="M82" s="256" t="s">
        <v>1521</v>
      </c>
      <c r="N82" s="246" t="s">
        <v>1522</v>
      </c>
      <c r="O82" s="246" t="s">
        <v>1523</v>
      </c>
      <c r="P82" s="246" t="s">
        <v>243</v>
      </c>
      <c r="Q82" s="249" t="s">
        <v>1524</v>
      </c>
      <c r="R82" s="408" t="s">
        <v>1525</v>
      </c>
      <c r="S82" s="246" t="s">
        <v>1519</v>
      </c>
      <c r="T82" s="246"/>
      <c r="U82" s="246" t="s">
        <v>1520</v>
      </c>
      <c r="V82" s="250" t="s">
        <v>1521</v>
      </c>
      <c r="W82" s="246" t="s">
        <v>117</v>
      </c>
      <c r="X82" s="237" t="s">
        <v>118</v>
      </c>
      <c r="Y82" s="266"/>
      <c r="Z82" s="227" t="s">
        <v>1526</v>
      </c>
      <c r="AA82" s="261">
        <v>201838</v>
      </c>
      <c r="AB82" s="227" t="s">
        <v>10</v>
      </c>
      <c r="AC82" s="227" t="s">
        <v>388</v>
      </c>
      <c r="AD82" s="245">
        <v>44296</v>
      </c>
      <c r="AE82" s="241">
        <v>18</v>
      </c>
      <c r="AF82" s="241">
        <v>18</v>
      </c>
      <c r="AG82" s="241">
        <f t="shared" si="9"/>
        <v>36</v>
      </c>
      <c r="AH82" s="227" t="s">
        <v>38</v>
      </c>
      <c r="AI82" s="252" t="s">
        <v>749</v>
      </c>
      <c r="AJ82" s="253">
        <v>11</v>
      </c>
      <c r="AK82" s="253">
        <v>17</v>
      </c>
      <c r="AL82" s="253">
        <v>7</v>
      </c>
      <c r="AM82" s="253">
        <v>1</v>
      </c>
      <c r="AN82" s="253">
        <v>0</v>
      </c>
      <c r="AO82" s="253">
        <v>0</v>
      </c>
      <c r="AP82" s="253">
        <f t="shared" si="10"/>
        <v>36</v>
      </c>
      <c r="AQ82" s="240">
        <v>44320</v>
      </c>
      <c r="AR82" s="227" t="s">
        <v>1527</v>
      </c>
      <c r="AS82" s="256" t="s">
        <v>189</v>
      </c>
      <c r="AT82" s="256" t="s">
        <v>12</v>
      </c>
      <c r="AU82" s="256" t="s">
        <v>120</v>
      </c>
      <c r="AV82" s="241">
        <v>3035000</v>
      </c>
      <c r="AW82" s="233" t="s">
        <v>272</v>
      </c>
      <c r="AX82" s="339" t="s">
        <v>273</v>
      </c>
      <c r="AY82" s="335" t="s">
        <v>159</v>
      </c>
      <c r="BD82" s="255" t="str">
        <f t="shared" ca="1" si="13"/>
        <v>Roslindale</v>
      </c>
      <c r="BE82" s="259" t="s">
        <v>1528</v>
      </c>
    </row>
    <row r="83" spans="1:58" s="227" customFormat="1" ht="15" customHeight="1" x14ac:dyDescent="1.05">
      <c r="A83" s="240">
        <v>44490</v>
      </c>
      <c r="B83" s="335" t="s">
        <v>47</v>
      </c>
      <c r="C83" s="227" t="s">
        <v>26</v>
      </c>
      <c r="D83" s="227" t="s">
        <v>46</v>
      </c>
      <c r="E83" s="240">
        <v>43895</v>
      </c>
      <c r="F83" s="246" t="s">
        <v>1529</v>
      </c>
      <c r="G83" s="228" t="s">
        <v>1530</v>
      </c>
      <c r="H83" s="248" t="s">
        <v>1531</v>
      </c>
      <c r="I83" s="341" t="s">
        <v>145</v>
      </c>
      <c r="J83" s="246" t="s">
        <v>1532</v>
      </c>
      <c r="K83" s="246"/>
      <c r="L83" s="248" t="s">
        <v>1533</v>
      </c>
      <c r="M83" s="256" t="s">
        <v>1534</v>
      </c>
      <c r="N83" s="246" t="s">
        <v>1535</v>
      </c>
      <c r="O83" s="246" t="s">
        <v>1536</v>
      </c>
      <c r="P83" s="246" t="s">
        <v>243</v>
      </c>
      <c r="Q83" s="249" t="s">
        <v>1537</v>
      </c>
      <c r="R83" s="229" t="s">
        <v>1538</v>
      </c>
      <c r="S83" s="246" t="s">
        <v>1539</v>
      </c>
      <c r="T83" s="246"/>
      <c r="U83" s="246" t="s">
        <v>1533</v>
      </c>
      <c r="V83" s="250" t="s">
        <v>1534</v>
      </c>
      <c r="W83" s="246" t="s">
        <v>155</v>
      </c>
      <c r="X83" s="237" t="s">
        <v>137</v>
      </c>
      <c r="Y83" s="266"/>
      <c r="Z83" s="246" t="s">
        <v>1540</v>
      </c>
      <c r="AA83" s="261">
        <v>8029897</v>
      </c>
      <c r="AB83" s="227" t="s">
        <v>10</v>
      </c>
      <c r="AC83" s="227" t="s">
        <v>388</v>
      </c>
      <c r="AD83" s="245">
        <v>44296</v>
      </c>
      <c r="AE83" s="241">
        <v>10</v>
      </c>
      <c r="AF83" s="241">
        <v>10</v>
      </c>
      <c r="AG83" s="241">
        <f t="shared" si="9"/>
        <v>20</v>
      </c>
      <c r="AH83" s="227" t="s">
        <v>38</v>
      </c>
      <c r="AI83" s="252">
        <v>44314</v>
      </c>
      <c r="AJ83" s="253">
        <v>6</v>
      </c>
      <c r="AK83" s="253">
        <v>6</v>
      </c>
      <c r="AL83" s="253">
        <v>0</v>
      </c>
      <c r="AM83" s="253">
        <v>0</v>
      </c>
      <c r="AN83" s="253">
        <v>0</v>
      </c>
      <c r="AO83" s="253">
        <v>0</v>
      </c>
      <c r="AP83" s="253">
        <f t="shared" si="10"/>
        <v>12</v>
      </c>
      <c r="AQ83" s="240">
        <v>44320</v>
      </c>
      <c r="AR83" s="227" t="s">
        <v>1541</v>
      </c>
      <c r="AS83" s="241" t="s">
        <v>189</v>
      </c>
      <c r="AT83" s="256" t="s">
        <v>12</v>
      </c>
      <c r="AU83" s="256" t="s">
        <v>120</v>
      </c>
      <c r="AV83" s="224">
        <v>3274000</v>
      </c>
      <c r="AW83" s="233" t="s">
        <v>1542</v>
      </c>
      <c r="AX83" s="350" t="s">
        <v>1543</v>
      </c>
      <c r="AY83" s="335" t="s">
        <v>159</v>
      </c>
      <c r="BD83" s="255" t="str">
        <f t="shared" ca="1" si="13"/>
        <v>Somerville</v>
      </c>
      <c r="BE83" s="340" t="s">
        <v>1544</v>
      </c>
    </row>
    <row r="84" spans="1:58" s="227" customFormat="1" ht="15" customHeight="1" x14ac:dyDescent="0.55000000000000004">
      <c r="A84" s="240">
        <v>44490</v>
      </c>
      <c r="B84" s="335" t="s">
        <v>47</v>
      </c>
      <c r="C84" s="227" t="s">
        <v>13</v>
      </c>
      <c r="E84" s="240">
        <v>43895</v>
      </c>
      <c r="F84" s="246" t="s">
        <v>1545</v>
      </c>
      <c r="G84" s="228" t="s">
        <v>1546</v>
      </c>
      <c r="H84" s="248" t="s">
        <v>1547</v>
      </c>
      <c r="I84" s="341" t="s">
        <v>145</v>
      </c>
      <c r="J84" s="246" t="s">
        <v>1548</v>
      </c>
      <c r="K84" s="246"/>
      <c r="L84" s="248" t="s">
        <v>1533</v>
      </c>
      <c r="M84" s="256" t="s">
        <v>1534</v>
      </c>
      <c r="N84" s="246" t="s">
        <v>1549</v>
      </c>
      <c r="O84" s="246" t="s">
        <v>1536</v>
      </c>
      <c r="P84" s="246" t="s">
        <v>243</v>
      </c>
      <c r="Q84" s="249" t="s">
        <v>1537</v>
      </c>
      <c r="R84" s="229" t="s">
        <v>1538</v>
      </c>
      <c r="S84" s="246" t="s">
        <v>1550</v>
      </c>
      <c r="T84" s="246"/>
      <c r="U84" s="246" t="s">
        <v>1533</v>
      </c>
      <c r="V84" s="250" t="s">
        <v>1534</v>
      </c>
      <c r="W84" s="246" t="s">
        <v>155</v>
      </c>
      <c r="X84" s="237" t="s">
        <v>137</v>
      </c>
      <c r="Y84" s="266"/>
      <c r="Z84" s="246" t="s">
        <v>1540</v>
      </c>
      <c r="AA84" s="261">
        <v>2912297</v>
      </c>
      <c r="AB84" s="227" t="s">
        <v>10</v>
      </c>
      <c r="AC84" s="227" t="s">
        <v>388</v>
      </c>
      <c r="AD84" s="245">
        <v>44296</v>
      </c>
      <c r="AE84" s="241">
        <v>6</v>
      </c>
      <c r="AF84" s="241">
        <v>6</v>
      </c>
      <c r="AG84" s="241">
        <f t="shared" si="9"/>
        <v>12</v>
      </c>
      <c r="AH84" s="227" t="s">
        <v>38</v>
      </c>
      <c r="AI84" s="252">
        <v>44314</v>
      </c>
      <c r="AJ84" s="253">
        <v>10</v>
      </c>
      <c r="AK84" s="253">
        <v>10</v>
      </c>
      <c r="AL84" s="253">
        <v>0</v>
      </c>
      <c r="AM84" s="253">
        <v>0</v>
      </c>
      <c r="AN84" s="253">
        <v>0</v>
      </c>
      <c r="AO84" s="253">
        <v>0</v>
      </c>
      <c r="AP84" s="253">
        <f t="shared" si="10"/>
        <v>20</v>
      </c>
      <c r="AQ84" s="240">
        <v>44320</v>
      </c>
      <c r="AR84" s="227" t="s">
        <v>1541</v>
      </c>
      <c r="AS84" s="241" t="s">
        <v>189</v>
      </c>
      <c r="AT84" s="256" t="s">
        <v>12</v>
      </c>
      <c r="AU84" s="256" t="s">
        <v>120</v>
      </c>
      <c r="AV84" s="224">
        <v>3274000</v>
      </c>
      <c r="AW84" s="342" t="s">
        <v>1542</v>
      </c>
      <c r="AX84" s="363" t="s">
        <v>1543</v>
      </c>
      <c r="AY84" s="335" t="s">
        <v>159</v>
      </c>
      <c r="BD84" s="255" t="str">
        <f t="shared" ca="1" si="13"/>
        <v>Somerville</v>
      </c>
      <c r="BE84" s="259" t="s">
        <v>1551</v>
      </c>
    </row>
    <row r="85" spans="1:58" s="227" customFormat="1" ht="15" customHeight="1" x14ac:dyDescent="0.55000000000000004">
      <c r="A85" s="240">
        <v>44490</v>
      </c>
      <c r="B85" s="335" t="s">
        <v>47</v>
      </c>
      <c r="C85" s="227" t="s">
        <v>26</v>
      </c>
      <c r="D85" s="227" t="s">
        <v>40</v>
      </c>
      <c r="E85" s="240">
        <v>43895</v>
      </c>
      <c r="F85" s="246" t="s">
        <v>1552</v>
      </c>
      <c r="G85" s="228" t="s">
        <v>1553</v>
      </c>
      <c r="H85" s="248" t="s">
        <v>1554</v>
      </c>
      <c r="I85" s="341" t="s">
        <v>145</v>
      </c>
      <c r="J85" s="246" t="s">
        <v>1555</v>
      </c>
      <c r="K85" s="246"/>
      <c r="L85" s="248" t="s">
        <v>1533</v>
      </c>
      <c r="M85" s="256" t="s">
        <v>1556</v>
      </c>
      <c r="N85" s="246" t="s">
        <v>1557</v>
      </c>
      <c r="O85" s="246" t="s">
        <v>1558</v>
      </c>
      <c r="P85" s="246" t="s">
        <v>1559</v>
      </c>
      <c r="Q85" s="249" t="s">
        <v>1560</v>
      </c>
      <c r="R85" s="408" t="s">
        <v>1561</v>
      </c>
      <c r="S85" s="246" t="s">
        <v>1562</v>
      </c>
      <c r="T85" s="246" t="s">
        <v>1554</v>
      </c>
      <c r="U85" s="246" t="s">
        <v>1533</v>
      </c>
      <c r="V85" s="250" t="s">
        <v>1556</v>
      </c>
      <c r="W85" s="246" t="s">
        <v>117</v>
      </c>
      <c r="X85" s="237" t="s">
        <v>118</v>
      </c>
      <c r="Y85" s="266"/>
      <c r="Z85" s="246" t="s">
        <v>1563</v>
      </c>
      <c r="AA85" s="261">
        <v>201425</v>
      </c>
      <c r="AB85" s="227" t="s">
        <v>10</v>
      </c>
      <c r="AC85" s="227" t="s">
        <v>388</v>
      </c>
      <c r="AD85" s="245">
        <v>44296</v>
      </c>
      <c r="AE85" s="241">
        <v>3</v>
      </c>
      <c r="AF85" s="241">
        <v>3</v>
      </c>
      <c r="AG85" s="241">
        <f t="shared" si="9"/>
        <v>6</v>
      </c>
      <c r="AH85" s="227" t="s">
        <v>38</v>
      </c>
      <c r="AI85" s="252">
        <v>44314</v>
      </c>
      <c r="AJ85" s="253">
        <v>0</v>
      </c>
      <c r="AK85" s="253">
        <v>0</v>
      </c>
      <c r="AL85" s="253">
        <v>3</v>
      </c>
      <c r="AM85" s="253">
        <v>3</v>
      </c>
      <c r="AN85" s="253">
        <v>0</v>
      </c>
      <c r="AO85" s="253">
        <v>0</v>
      </c>
      <c r="AP85" s="253">
        <f t="shared" si="10"/>
        <v>6</v>
      </c>
      <c r="AQ85" s="240">
        <v>44320</v>
      </c>
      <c r="AR85" s="227" t="s">
        <v>1564</v>
      </c>
      <c r="AS85" s="241" t="s">
        <v>189</v>
      </c>
      <c r="AT85" s="256" t="s">
        <v>12</v>
      </c>
      <c r="AU85" s="256" t="s">
        <v>120</v>
      </c>
      <c r="AV85" s="224">
        <v>3274000</v>
      </c>
      <c r="AW85" s="342" t="s">
        <v>1542</v>
      </c>
      <c r="AX85" s="339" t="s">
        <v>1543</v>
      </c>
      <c r="AY85" s="335" t="s">
        <v>159</v>
      </c>
      <c r="BD85" s="255" t="str">
        <f t="shared" ca="1" si="13"/>
        <v>Somerville</v>
      </c>
      <c r="BE85" s="340" t="s">
        <v>1565</v>
      </c>
    </row>
    <row r="86" spans="1:58" s="227" customFormat="1" ht="15.75" customHeight="1" x14ac:dyDescent="1.05">
      <c r="A86" s="240">
        <v>44490</v>
      </c>
      <c r="B86" s="335" t="s">
        <v>47</v>
      </c>
      <c r="C86" s="227" t="s">
        <v>26</v>
      </c>
      <c r="D86" s="227" t="s">
        <v>46</v>
      </c>
      <c r="E86" s="240">
        <v>44295</v>
      </c>
      <c r="F86" s="227" t="s">
        <v>1566</v>
      </c>
      <c r="G86" s="227" t="s">
        <v>1567</v>
      </c>
      <c r="H86" s="387" t="s">
        <v>1568</v>
      </c>
      <c r="I86" s="247" t="s">
        <v>145</v>
      </c>
      <c r="J86" s="227" t="s">
        <v>1569</v>
      </c>
      <c r="K86" s="227" t="s">
        <v>1570</v>
      </c>
      <c r="L86" s="248" t="s">
        <v>1571</v>
      </c>
      <c r="M86" s="242" t="s">
        <v>1572</v>
      </c>
      <c r="N86" s="227" t="s">
        <v>1378</v>
      </c>
      <c r="O86" s="227" t="s">
        <v>1573</v>
      </c>
      <c r="P86" s="227" t="s">
        <v>1453</v>
      </c>
      <c r="Q86" s="249" t="s">
        <v>1574</v>
      </c>
      <c r="R86" s="348" t="s">
        <v>1575</v>
      </c>
      <c r="S86" s="227" t="s">
        <v>1570</v>
      </c>
      <c r="T86" s="227" t="s">
        <v>1569</v>
      </c>
      <c r="U86" s="227" t="s">
        <v>1571</v>
      </c>
      <c r="V86" s="250">
        <v>1590</v>
      </c>
      <c r="W86" s="227" t="s">
        <v>117</v>
      </c>
      <c r="X86" s="237" t="s">
        <v>118</v>
      </c>
      <c r="Y86" s="237"/>
      <c r="Z86" s="227" t="s">
        <v>1576</v>
      </c>
      <c r="AA86" s="223" t="s">
        <v>1577</v>
      </c>
      <c r="AB86" s="227" t="s">
        <v>10</v>
      </c>
      <c r="AC86" s="227" t="s">
        <v>388</v>
      </c>
      <c r="AD86" s="245">
        <v>44393</v>
      </c>
      <c r="AE86" s="241">
        <v>9</v>
      </c>
      <c r="AF86" s="241">
        <v>9</v>
      </c>
      <c r="AG86" s="241">
        <f t="shared" si="9"/>
        <v>18</v>
      </c>
      <c r="AH86" s="227" t="s">
        <v>38</v>
      </c>
      <c r="AI86" s="252">
        <v>44418</v>
      </c>
      <c r="AJ86" s="253">
        <v>4</v>
      </c>
      <c r="AK86" s="253">
        <v>9</v>
      </c>
      <c r="AL86" s="253">
        <v>5</v>
      </c>
      <c r="AM86" s="253">
        <v>0</v>
      </c>
      <c r="AN86" s="253">
        <v>0</v>
      </c>
      <c r="AO86" s="253">
        <v>0</v>
      </c>
      <c r="AP86" s="253">
        <f t="shared" si="10"/>
        <v>18</v>
      </c>
      <c r="AQ86" s="240">
        <v>44428</v>
      </c>
      <c r="AR86" s="227" t="s">
        <v>1578</v>
      </c>
      <c r="AS86" s="241" t="s">
        <v>120</v>
      </c>
      <c r="AT86" s="241" t="s">
        <v>19</v>
      </c>
      <c r="AU86" s="241" t="s">
        <v>189</v>
      </c>
      <c r="AV86" s="351">
        <v>2290029</v>
      </c>
      <c r="AW86" s="233" t="s">
        <v>1579</v>
      </c>
      <c r="AX86" s="350" t="s">
        <v>1580</v>
      </c>
      <c r="AY86" s="335" t="s">
        <v>159</v>
      </c>
      <c r="BD86" s="255" t="str">
        <f t="shared" ca="1" si="13"/>
        <v>Sutton</v>
      </c>
      <c r="BE86" s="382" t="s">
        <v>1581</v>
      </c>
    </row>
    <row r="87" spans="1:58" s="227" customFormat="1" ht="15" customHeight="1" x14ac:dyDescent="0.55000000000000004">
      <c r="A87" s="240">
        <v>44490</v>
      </c>
      <c r="B87" s="335" t="s">
        <v>47</v>
      </c>
      <c r="C87" s="227" t="s">
        <v>26</v>
      </c>
      <c r="D87" s="227" t="s">
        <v>46</v>
      </c>
      <c r="E87" s="240">
        <v>43895</v>
      </c>
      <c r="F87" s="246" t="s">
        <v>1582</v>
      </c>
      <c r="G87" s="228" t="s">
        <v>1583</v>
      </c>
      <c r="H87" s="248" t="s">
        <v>1584</v>
      </c>
      <c r="I87" s="341" t="s">
        <v>145</v>
      </c>
      <c r="J87" s="246" t="s">
        <v>1585</v>
      </c>
      <c r="K87" s="246"/>
      <c r="L87" s="248" t="s">
        <v>1586</v>
      </c>
      <c r="M87" s="256" t="s">
        <v>1587</v>
      </c>
      <c r="N87" s="246" t="s">
        <v>1588</v>
      </c>
      <c r="O87" s="246" t="s">
        <v>1589</v>
      </c>
      <c r="P87" s="246" t="s">
        <v>1590</v>
      </c>
      <c r="Q87" s="249" t="s">
        <v>1591</v>
      </c>
      <c r="R87" s="229" t="s">
        <v>1592</v>
      </c>
      <c r="S87" s="246" t="s">
        <v>1593</v>
      </c>
      <c r="T87" s="246"/>
      <c r="U87" s="246" t="s">
        <v>1586</v>
      </c>
      <c r="V87" s="250" t="s">
        <v>1587</v>
      </c>
      <c r="W87" s="246" t="s">
        <v>117</v>
      </c>
      <c r="X87" s="237" t="s">
        <v>137</v>
      </c>
      <c r="Y87" s="266"/>
      <c r="Z87" s="227" t="s">
        <v>1594</v>
      </c>
      <c r="AA87" s="261">
        <v>8033132</v>
      </c>
      <c r="AB87" s="227" t="s">
        <v>10</v>
      </c>
      <c r="AC87" s="227" t="s">
        <v>388</v>
      </c>
      <c r="AD87" s="245">
        <v>44296</v>
      </c>
      <c r="AE87" s="241">
        <v>15</v>
      </c>
      <c r="AF87" s="241">
        <v>15</v>
      </c>
      <c r="AG87" s="241">
        <f t="shared" si="9"/>
        <v>30</v>
      </c>
      <c r="AH87" s="227" t="s">
        <v>38</v>
      </c>
      <c r="AI87" s="252" t="s">
        <v>749</v>
      </c>
      <c r="AJ87" s="253">
        <v>8</v>
      </c>
      <c r="AK87" s="253">
        <v>9</v>
      </c>
      <c r="AL87" s="253">
        <v>7</v>
      </c>
      <c r="AM87" s="253">
        <v>6</v>
      </c>
      <c r="AN87" s="253">
        <v>0</v>
      </c>
      <c r="AO87" s="253">
        <v>0</v>
      </c>
      <c r="AP87" s="253">
        <f t="shared" si="10"/>
        <v>30</v>
      </c>
      <c r="AQ87" s="240">
        <v>44330</v>
      </c>
      <c r="AR87" s="227" t="s">
        <v>1595</v>
      </c>
      <c r="AS87" s="256" t="s">
        <v>189</v>
      </c>
      <c r="AT87" s="256" t="s">
        <v>12</v>
      </c>
      <c r="AU87" s="256" t="s">
        <v>120</v>
      </c>
      <c r="AV87" s="224">
        <v>3314000</v>
      </c>
      <c r="AW87" s="226" t="s">
        <v>1596</v>
      </c>
      <c r="AX87" s="339" t="s">
        <v>1597</v>
      </c>
      <c r="AY87" s="335" t="s">
        <v>159</v>
      </c>
      <c r="BD87" s="255" t="str">
        <f t="shared" ca="1" si="13"/>
        <v>Watertown</v>
      </c>
      <c r="BE87" s="340" t="s">
        <v>1598</v>
      </c>
    </row>
    <row r="88" spans="1:58" s="227" customFormat="1" ht="15" customHeight="1" x14ac:dyDescent="0.55000000000000004">
      <c r="A88" s="240">
        <v>44490</v>
      </c>
      <c r="B88" s="335" t="s">
        <v>47</v>
      </c>
      <c r="C88" s="227" t="s">
        <v>26</v>
      </c>
      <c r="D88" s="227" t="s">
        <v>46</v>
      </c>
      <c r="E88" s="240">
        <v>43896</v>
      </c>
      <c r="F88" s="246" t="s">
        <v>1599</v>
      </c>
      <c r="G88" s="228" t="s">
        <v>1600</v>
      </c>
      <c r="H88" s="248" t="s">
        <v>1601</v>
      </c>
      <c r="I88" s="341" t="s">
        <v>145</v>
      </c>
      <c r="J88" s="246" t="s">
        <v>1602</v>
      </c>
      <c r="K88" s="246"/>
      <c r="L88" s="248" t="s">
        <v>1603</v>
      </c>
      <c r="M88" s="256" t="s">
        <v>1604</v>
      </c>
      <c r="N88" s="246" t="s">
        <v>197</v>
      </c>
      <c r="O88" s="246" t="s">
        <v>1605</v>
      </c>
      <c r="P88" s="246" t="s">
        <v>243</v>
      </c>
      <c r="Q88" s="249" t="s">
        <v>1606</v>
      </c>
      <c r="R88" s="229" t="s">
        <v>1607</v>
      </c>
      <c r="S88" s="246" t="s">
        <v>1608</v>
      </c>
      <c r="T88" s="246"/>
      <c r="U88" s="246" t="s">
        <v>1603</v>
      </c>
      <c r="V88" s="250" t="s">
        <v>1604</v>
      </c>
      <c r="W88" s="246" t="s">
        <v>155</v>
      </c>
      <c r="X88" s="237" t="s">
        <v>118</v>
      </c>
      <c r="Y88" s="266"/>
      <c r="Z88" s="246" t="s">
        <v>1609</v>
      </c>
      <c r="AA88" s="261">
        <v>8032311</v>
      </c>
      <c r="AB88" s="227" t="s">
        <v>10</v>
      </c>
      <c r="AC88" s="227" t="s">
        <v>388</v>
      </c>
      <c r="AD88" s="245">
        <v>44268</v>
      </c>
      <c r="AE88" s="241">
        <v>36</v>
      </c>
      <c r="AF88" s="241">
        <v>36</v>
      </c>
      <c r="AG88" s="241">
        <f t="shared" si="9"/>
        <v>72</v>
      </c>
      <c r="AH88" s="227" t="s">
        <v>38</v>
      </c>
      <c r="AI88" s="252">
        <v>44287</v>
      </c>
      <c r="AJ88" s="253">
        <v>22</v>
      </c>
      <c r="AK88" s="253">
        <v>35</v>
      </c>
      <c r="AL88" s="253">
        <v>13</v>
      </c>
      <c r="AM88" s="253">
        <v>1</v>
      </c>
      <c r="AN88" s="253">
        <v>1</v>
      </c>
      <c r="AO88" s="253">
        <v>0</v>
      </c>
      <c r="AP88" s="253">
        <f t="shared" si="10"/>
        <v>72</v>
      </c>
      <c r="AQ88" s="240">
        <v>44320</v>
      </c>
      <c r="AR88" s="227" t="s">
        <v>1610</v>
      </c>
      <c r="AS88" s="256" t="s">
        <v>120</v>
      </c>
      <c r="AT88" s="256" t="s">
        <v>12</v>
      </c>
      <c r="AU88" s="256" t="s">
        <v>120</v>
      </c>
      <c r="AV88" s="224">
        <v>3330000</v>
      </c>
      <c r="AW88" s="226" t="s">
        <v>1611</v>
      </c>
      <c r="AX88" s="339" t="s">
        <v>1612</v>
      </c>
      <c r="AY88" s="335" t="s">
        <v>159</v>
      </c>
      <c r="AZ88" s="228"/>
      <c r="BD88" s="255" t="str">
        <f t="shared" ca="1" si="13"/>
        <v>Westford</v>
      </c>
      <c r="BE88" s="354" t="s">
        <v>1420</v>
      </c>
      <c r="BF88" s="228"/>
    </row>
    <row r="89" spans="1:58" s="227" customFormat="1" ht="15" customHeight="1" x14ac:dyDescent="0.55000000000000004">
      <c r="A89" s="362">
        <v>44490</v>
      </c>
      <c r="B89" s="335" t="s">
        <v>47</v>
      </c>
      <c r="C89" s="227" t="s">
        <v>26</v>
      </c>
      <c r="D89" s="227" t="s">
        <v>46</v>
      </c>
      <c r="E89" s="239">
        <v>44386</v>
      </c>
      <c r="F89" s="227" t="s">
        <v>1613</v>
      </c>
      <c r="G89" s="227" t="s">
        <v>1614</v>
      </c>
      <c r="H89" s="387" t="s">
        <v>1615</v>
      </c>
      <c r="I89" s="341" t="s">
        <v>145</v>
      </c>
      <c r="J89" s="420" t="s">
        <v>1616</v>
      </c>
      <c r="K89" s="420"/>
      <c r="L89" s="248" t="s">
        <v>1617</v>
      </c>
      <c r="M89" s="422">
        <v>2130</v>
      </c>
      <c r="N89" s="227" t="s">
        <v>265</v>
      </c>
      <c r="O89" s="227" t="s">
        <v>266</v>
      </c>
      <c r="P89" s="227" t="s">
        <v>267</v>
      </c>
      <c r="Q89" s="249" t="s">
        <v>268</v>
      </c>
      <c r="R89" s="478" t="s">
        <v>269</v>
      </c>
      <c r="S89" s="369" t="s">
        <v>1618</v>
      </c>
      <c r="T89" s="369"/>
      <c r="U89" s="228" t="s">
        <v>263</v>
      </c>
      <c r="V89" s="250">
        <v>2119</v>
      </c>
      <c r="W89" s="369" t="s">
        <v>155</v>
      </c>
      <c r="X89" s="455" t="s">
        <v>118</v>
      </c>
      <c r="Y89" s="464"/>
      <c r="Z89" s="369"/>
      <c r="AA89" s="251">
        <v>201013</v>
      </c>
      <c r="AB89" s="228" t="s">
        <v>10</v>
      </c>
      <c r="AC89" s="369" t="s">
        <v>388</v>
      </c>
      <c r="AD89" s="245">
        <v>44408</v>
      </c>
      <c r="AE89" s="369">
        <v>29</v>
      </c>
      <c r="AF89" s="383">
        <v>29</v>
      </c>
      <c r="AG89" s="241">
        <f t="shared" si="9"/>
        <v>58</v>
      </c>
      <c r="AH89" s="369" t="s">
        <v>38</v>
      </c>
      <c r="AI89" s="433">
        <v>44481</v>
      </c>
      <c r="AJ89" s="434">
        <v>26</v>
      </c>
      <c r="AK89" s="434">
        <v>29</v>
      </c>
      <c r="AL89" s="434">
        <v>3</v>
      </c>
      <c r="AM89" s="434">
        <v>0</v>
      </c>
      <c r="AN89" s="434">
        <v>0</v>
      </c>
      <c r="AO89" s="434">
        <v>0</v>
      </c>
      <c r="AP89" s="253">
        <f t="shared" si="10"/>
        <v>58</v>
      </c>
      <c r="AQ89" s="423">
        <v>44484</v>
      </c>
      <c r="AR89" s="369" t="s">
        <v>1619</v>
      </c>
      <c r="AS89" s="256" t="s">
        <v>189</v>
      </c>
      <c r="AT89" s="359" t="s">
        <v>12</v>
      </c>
      <c r="AU89" s="256" t="s">
        <v>120</v>
      </c>
      <c r="AV89" s="434">
        <v>3035000</v>
      </c>
      <c r="AW89" s="374" t="s">
        <v>272</v>
      </c>
      <c r="AX89" s="479" t="s">
        <v>273</v>
      </c>
      <c r="AY89" s="335" t="s">
        <v>159</v>
      </c>
      <c r="AZ89" s="228"/>
      <c r="BD89" s="246"/>
      <c r="BE89" s="340"/>
      <c r="BF89" s="228"/>
    </row>
    <row r="90" spans="1:58" s="227" customFormat="1" ht="15" customHeight="1" x14ac:dyDescent="0.55000000000000004">
      <c r="A90" s="240">
        <v>44490</v>
      </c>
      <c r="B90" s="335" t="s">
        <v>47</v>
      </c>
      <c r="C90" s="227" t="s">
        <v>26</v>
      </c>
      <c r="D90" s="227" t="s">
        <v>46</v>
      </c>
      <c r="E90" s="239">
        <v>44292</v>
      </c>
      <c r="F90" s="237" t="s">
        <v>1620</v>
      </c>
      <c r="G90" s="237" t="s">
        <v>1621</v>
      </c>
      <c r="H90" s="496" t="s">
        <v>1622</v>
      </c>
      <c r="I90" s="344" t="s">
        <v>145</v>
      </c>
      <c r="J90" s="237" t="s">
        <v>1623</v>
      </c>
      <c r="K90" s="237"/>
      <c r="L90" s="345" t="s">
        <v>1624</v>
      </c>
      <c r="M90" s="346" t="s">
        <v>1625</v>
      </c>
      <c r="N90" s="237" t="s">
        <v>1626</v>
      </c>
      <c r="O90" s="237" t="s">
        <v>1627</v>
      </c>
      <c r="P90" s="237" t="s">
        <v>1628</v>
      </c>
      <c r="Q90" s="347" t="s">
        <v>1629</v>
      </c>
      <c r="R90" s="480" t="s">
        <v>1630</v>
      </c>
      <c r="S90" s="237" t="s">
        <v>1631</v>
      </c>
      <c r="T90" s="237"/>
      <c r="U90" s="237" t="s">
        <v>1632</v>
      </c>
      <c r="V90" s="349">
        <v>2155</v>
      </c>
      <c r="W90" s="237" t="s">
        <v>117</v>
      </c>
      <c r="X90" s="237" t="s">
        <v>118</v>
      </c>
      <c r="Y90" s="237"/>
      <c r="Z90" s="237" t="s">
        <v>1633</v>
      </c>
      <c r="AA90" s="251">
        <v>200779</v>
      </c>
      <c r="AB90" s="237" t="s">
        <v>10</v>
      </c>
      <c r="AC90" s="237" t="s">
        <v>388</v>
      </c>
      <c r="AD90" s="245">
        <v>44427</v>
      </c>
      <c r="AE90" s="244">
        <v>8</v>
      </c>
      <c r="AF90" s="244">
        <v>8</v>
      </c>
      <c r="AG90" s="241">
        <f t="shared" si="9"/>
        <v>16</v>
      </c>
      <c r="AH90" s="237" t="s">
        <v>38</v>
      </c>
      <c r="AI90" s="257">
        <v>44481</v>
      </c>
      <c r="AJ90" s="258">
        <v>2</v>
      </c>
      <c r="AK90" s="258">
        <v>8</v>
      </c>
      <c r="AL90" s="258">
        <v>6</v>
      </c>
      <c r="AM90" s="258">
        <v>0</v>
      </c>
      <c r="AN90" s="258">
        <v>0</v>
      </c>
      <c r="AO90" s="258">
        <v>0</v>
      </c>
      <c r="AP90" s="253">
        <f t="shared" si="10"/>
        <v>16</v>
      </c>
      <c r="AQ90" s="239">
        <v>44484</v>
      </c>
      <c r="AR90" s="237" t="s">
        <v>1634</v>
      </c>
      <c r="AS90" s="244" t="s">
        <v>189</v>
      </c>
      <c r="AT90" s="244" t="s">
        <v>12</v>
      </c>
      <c r="AU90" s="244" t="s">
        <v>120</v>
      </c>
      <c r="AV90" s="224">
        <v>3176000</v>
      </c>
      <c r="AW90" s="226" t="s">
        <v>1635</v>
      </c>
      <c r="AX90" s="479" t="s">
        <v>1636</v>
      </c>
      <c r="AY90" s="233" t="s">
        <v>159</v>
      </c>
      <c r="BD90" s="255" t="str">
        <f ca="1">IF(ISBLANK(AD90),"",IF(AD90&lt;TODAY(),L90,""))</f>
        <v>Medford</v>
      </c>
      <c r="BE90" s="382" t="s">
        <v>1637</v>
      </c>
      <c r="BF90" s="237"/>
    </row>
    <row r="91" spans="1:58" s="227" customFormat="1" ht="15" customHeight="1" x14ac:dyDescent="0.55000000000000004">
      <c r="A91" s="239">
        <v>44490</v>
      </c>
      <c r="B91" s="233" t="s">
        <v>47</v>
      </c>
      <c r="C91" s="237" t="s">
        <v>26</v>
      </c>
      <c r="D91" s="237" t="s">
        <v>46</v>
      </c>
      <c r="E91" s="239">
        <v>44397</v>
      </c>
      <c r="F91" s="233" t="s">
        <v>1638</v>
      </c>
      <c r="G91" s="228" t="s">
        <v>1639</v>
      </c>
      <c r="H91" s="356" t="s">
        <v>1640</v>
      </c>
      <c r="I91" s="289" t="s">
        <v>127</v>
      </c>
      <c r="J91" s="228" t="s">
        <v>1641</v>
      </c>
      <c r="K91" s="233"/>
      <c r="L91" s="248" t="s">
        <v>1214</v>
      </c>
      <c r="M91" s="357" t="s">
        <v>1642</v>
      </c>
      <c r="N91" s="228" t="s">
        <v>1643</v>
      </c>
      <c r="O91" s="233" t="s">
        <v>1644</v>
      </c>
      <c r="P91" s="228" t="s">
        <v>929</v>
      </c>
      <c r="Q91" s="228" t="s">
        <v>1645</v>
      </c>
      <c r="R91" s="374" t="s">
        <v>1646</v>
      </c>
      <c r="S91" s="233" t="s">
        <v>1647</v>
      </c>
      <c r="T91" s="233"/>
      <c r="U91" s="228" t="s">
        <v>1221</v>
      </c>
      <c r="V91" s="358" t="s">
        <v>1642</v>
      </c>
      <c r="W91" s="233" t="s">
        <v>117</v>
      </c>
      <c r="X91" s="353" t="s">
        <v>137</v>
      </c>
      <c r="Y91" s="237"/>
      <c r="Z91" s="418" t="s">
        <v>1648</v>
      </c>
      <c r="AA91" s="261" t="s">
        <v>1649</v>
      </c>
      <c r="AB91" s="237" t="s">
        <v>203</v>
      </c>
      <c r="AC91" s="237" t="s">
        <v>1650</v>
      </c>
      <c r="AD91" s="245">
        <v>44437</v>
      </c>
      <c r="AE91" s="244">
        <v>3</v>
      </c>
      <c r="AF91" s="244">
        <v>3</v>
      </c>
      <c r="AG91" s="241">
        <f t="shared" si="9"/>
        <v>6</v>
      </c>
      <c r="AH91" s="237" t="s">
        <v>38</v>
      </c>
      <c r="AI91" s="257">
        <v>44481</v>
      </c>
      <c r="AJ91" s="258">
        <v>2</v>
      </c>
      <c r="AK91" s="258">
        <v>3</v>
      </c>
      <c r="AL91" s="258">
        <v>1</v>
      </c>
      <c r="AM91" s="258">
        <v>0</v>
      </c>
      <c r="AN91" s="258">
        <v>0</v>
      </c>
      <c r="AO91" s="258">
        <v>0</v>
      </c>
      <c r="AP91" s="253">
        <f t="shared" si="10"/>
        <v>6</v>
      </c>
      <c r="AQ91" s="239">
        <v>44489</v>
      </c>
      <c r="AR91" s="237" t="s">
        <v>1651</v>
      </c>
      <c r="AS91" s="244" t="s">
        <v>120</v>
      </c>
      <c r="AT91" s="244" t="s">
        <v>25</v>
      </c>
      <c r="AU91" s="244" t="s">
        <v>189</v>
      </c>
      <c r="AV91" s="244">
        <v>4044000</v>
      </c>
      <c r="AW91" s="313" t="s">
        <v>597</v>
      </c>
      <c r="AX91" s="374" t="s">
        <v>1223</v>
      </c>
      <c r="AY91" s="233" t="s">
        <v>159</v>
      </c>
      <c r="BD91" s="255" t="str">
        <f ca="1">IF(ISBLANK(AD91),"",IF(AD91&lt;TODAY(),L91,""))</f>
        <v>Brockton</v>
      </c>
      <c r="BE91" s="259" t="s">
        <v>1652</v>
      </c>
    </row>
    <row r="92" spans="1:58" s="227" customFormat="1" ht="15" customHeight="1" x14ac:dyDescent="0.55000000000000004">
      <c r="A92" s="240">
        <v>44490</v>
      </c>
      <c r="B92" s="335" t="s">
        <v>47</v>
      </c>
      <c r="C92" s="227" t="s">
        <v>26</v>
      </c>
      <c r="D92" s="227" t="s">
        <v>46</v>
      </c>
      <c r="E92" s="240">
        <v>44292</v>
      </c>
      <c r="F92" s="227" t="s">
        <v>1653</v>
      </c>
      <c r="G92" s="227" t="s">
        <v>1654</v>
      </c>
      <c r="H92" s="387" t="s">
        <v>1655</v>
      </c>
      <c r="I92" s="247" t="s">
        <v>127</v>
      </c>
      <c r="J92" s="227" t="s">
        <v>1656</v>
      </c>
      <c r="K92" s="227" t="s">
        <v>1657</v>
      </c>
      <c r="L92" s="248" t="s">
        <v>1301</v>
      </c>
      <c r="M92" s="242" t="s">
        <v>1302</v>
      </c>
      <c r="N92" s="227" t="s">
        <v>1658</v>
      </c>
      <c r="O92" s="227" t="s">
        <v>1659</v>
      </c>
      <c r="P92" s="227" t="s">
        <v>133</v>
      </c>
      <c r="Q92" s="249" t="s">
        <v>1660</v>
      </c>
      <c r="R92" s="336" t="s">
        <v>1661</v>
      </c>
      <c r="S92" s="227" t="s">
        <v>1662</v>
      </c>
      <c r="U92" s="227" t="s">
        <v>1301</v>
      </c>
      <c r="V92" s="250">
        <v>2139</v>
      </c>
      <c r="W92" s="227" t="s">
        <v>117</v>
      </c>
      <c r="X92" s="237" t="s">
        <v>137</v>
      </c>
      <c r="Y92" s="237"/>
      <c r="Z92" s="364" t="s">
        <v>1663</v>
      </c>
      <c r="AA92" s="223">
        <v>702160</v>
      </c>
      <c r="AB92" s="227" t="s">
        <v>203</v>
      </c>
      <c r="AC92" s="227" t="s">
        <v>1664</v>
      </c>
      <c r="AD92" s="245">
        <v>44433</v>
      </c>
      <c r="AE92" s="241">
        <v>2</v>
      </c>
      <c r="AF92" s="241">
        <v>2</v>
      </c>
      <c r="AG92" s="241">
        <f t="shared" si="9"/>
        <v>4</v>
      </c>
      <c r="AH92" s="228" t="s">
        <v>38</v>
      </c>
      <c r="AI92" s="252">
        <v>44481</v>
      </c>
      <c r="AJ92" s="253">
        <v>1</v>
      </c>
      <c r="AK92" s="253">
        <v>2</v>
      </c>
      <c r="AL92" s="253">
        <v>1</v>
      </c>
      <c r="AM92" s="253">
        <v>0</v>
      </c>
      <c r="AN92" s="253">
        <v>0</v>
      </c>
      <c r="AO92" s="253">
        <v>0</v>
      </c>
      <c r="AP92" s="253">
        <f t="shared" si="10"/>
        <v>4</v>
      </c>
      <c r="AQ92" s="240">
        <v>44489</v>
      </c>
      <c r="AR92" s="227" t="s">
        <v>1665</v>
      </c>
      <c r="AS92" s="241" t="s">
        <v>189</v>
      </c>
      <c r="AT92" s="256" t="s">
        <v>12</v>
      </c>
      <c r="AU92" s="256" t="s">
        <v>120</v>
      </c>
      <c r="AV92" s="241">
        <v>3035000</v>
      </c>
      <c r="AW92" s="374" t="s">
        <v>272</v>
      </c>
      <c r="AX92" s="479" t="s">
        <v>273</v>
      </c>
      <c r="AY92" s="335" t="s">
        <v>159</v>
      </c>
      <c r="BD92" s="255" t="str">
        <f ca="1">IF(ISBLANK(AD92),"",IF(AD92&lt;TODAY(),L92,""))</f>
        <v>East Boston</v>
      </c>
      <c r="BE92" s="340" t="s">
        <v>1666</v>
      </c>
    </row>
    <row r="93" spans="1:58" s="227" customFormat="1" ht="15" customHeight="1" x14ac:dyDescent="0.55000000000000004">
      <c r="A93" s="239">
        <v>44490</v>
      </c>
      <c r="B93" s="353" t="s">
        <v>47</v>
      </c>
      <c r="C93" s="237" t="s">
        <v>13</v>
      </c>
      <c r="D93" s="237"/>
      <c r="E93" s="239">
        <v>44417</v>
      </c>
      <c r="F93" s="396" t="s">
        <v>1667</v>
      </c>
      <c r="G93" s="353" t="s">
        <v>1668</v>
      </c>
      <c r="H93" s="496" t="s">
        <v>1669</v>
      </c>
      <c r="I93" s="344" t="s">
        <v>127</v>
      </c>
      <c r="J93" s="396" t="s">
        <v>1670</v>
      </c>
      <c r="K93" s="396"/>
      <c r="L93" s="419" t="s">
        <v>1671</v>
      </c>
      <c r="M93" s="397" t="s">
        <v>1672</v>
      </c>
      <c r="N93" s="396" t="s">
        <v>1673</v>
      </c>
      <c r="O93" s="396" t="s">
        <v>1674</v>
      </c>
      <c r="P93" s="452" t="s">
        <v>283</v>
      </c>
      <c r="Q93" s="353" t="s">
        <v>1675</v>
      </c>
      <c r="R93" s="374" t="s">
        <v>1676</v>
      </c>
      <c r="S93" s="396" t="s">
        <v>1670</v>
      </c>
      <c r="T93" s="396"/>
      <c r="U93" s="452" t="s">
        <v>1671</v>
      </c>
      <c r="V93" s="398" t="s">
        <v>1672</v>
      </c>
      <c r="W93" s="396" t="s">
        <v>155</v>
      </c>
      <c r="X93" s="237" t="s">
        <v>235</v>
      </c>
      <c r="Y93" s="237"/>
      <c r="Z93" s="399" t="s">
        <v>1677</v>
      </c>
      <c r="AA93" s="504">
        <v>7025488</v>
      </c>
      <c r="AB93" s="237" t="s">
        <v>203</v>
      </c>
      <c r="AC93" s="237" t="s">
        <v>1678</v>
      </c>
      <c r="AD93" s="245">
        <v>44448</v>
      </c>
      <c r="AE93" s="244">
        <v>4</v>
      </c>
      <c r="AF93" s="244">
        <v>4</v>
      </c>
      <c r="AG93" s="244">
        <v>8</v>
      </c>
      <c r="AH93" s="237" t="s">
        <v>38</v>
      </c>
      <c r="AI93" s="257">
        <v>44481</v>
      </c>
      <c r="AJ93" s="258">
        <v>3</v>
      </c>
      <c r="AK93" s="258">
        <v>3</v>
      </c>
      <c r="AL93" s="258">
        <v>0</v>
      </c>
      <c r="AM93" s="258">
        <v>0</v>
      </c>
      <c r="AN93" s="258">
        <v>0</v>
      </c>
      <c r="AO93" s="258">
        <v>0</v>
      </c>
      <c r="AP93" s="253">
        <f t="shared" si="10"/>
        <v>6</v>
      </c>
      <c r="AQ93" s="239">
        <v>44489</v>
      </c>
      <c r="AR93" s="237" t="s">
        <v>1679</v>
      </c>
      <c r="AS93" s="244" t="s">
        <v>120</v>
      </c>
      <c r="AT93" s="244" t="s">
        <v>25</v>
      </c>
      <c r="AU93" s="244" t="s">
        <v>120</v>
      </c>
      <c r="AV93" s="244">
        <v>4020004</v>
      </c>
      <c r="AW93" s="313" t="s">
        <v>597</v>
      </c>
      <c r="AX93" s="400" t="s">
        <v>1680</v>
      </c>
      <c r="AY93" s="233" t="s">
        <v>159</v>
      </c>
      <c r="AZ93" s="237"/>
      <c r="BA93" s="237"/>
      <c r="BB93" s="237"/>
      <c r="BC93" s="237"/>
      <c r="BD93" s="266"/>
      <c r="BE93" s="238"/>
      <c r="BF93" s="237"/>
    </row>
    <row r="94" spans="1:58" s="227" customFormat="1" ht="15.75" customHeight="1" x14ac:dyDescent="1.05">
      <c r="A94" s="239">
        <v>44490</v>
      </c>
      <c r="B94" s="353" t="s">
        <v>45</v>
      </c>
      <c r="E94" s="239">
        <v>44358</v>
      </c>
      <c r="F94" s="369" t="s">
        <v>1681</v>
      </c>
      <c r="G94" s="368" t="s">
        <v>1682</v>
      </c>
      <c r="H94" s="370" t="s">
        <v>1683</v>
      </c>
      <c r="I94" s="383" t="s">
        <v>145</v>
      </c>
      <c r="J94" s="368" t="s">
        <v>1684</v>
      </c>
      <c r="K94" s="369"/>
      <c r="L94" s="370" t="s">
        <v>1685</v>
      </c>
      <c r="M94" s="410" t="s">
        <v>1686</v>
      </c>
      <c r="N94" s="368" t="s">
        <v>1687</v>
      </c>
      <c r="O94" s="368" t="s">
        <v>1688</v>
      </c>
      <c r="P94" s="368" t="s">
        <v>243</v>
      </c>
      <c r="Q94" s="368" t="s">
        <v>1689</v>
      </c>
      <c r="R94" s="368" t="s">
        <v>1690</v>
      </c>
      <c r="S94" s="369" t="s">
        <v>1684</v>
      </c>
      <c r="T94" s="369"/>
      <c r="U94" s="368" t="s">
        <v>1685</v>
      </c>
      <c r="V94" s="385" t="s">
        <v>1686</v>
      </c>
      <c r="W94" s="369" t="s">
        <v>117</v>
      </c>
      <c r="X94" s="464" t="s">
        <v>118</v>
      </c>
      <c r="Y94" s="237"/>
      <c r="Z94" s="237" t="s">
        <v>1691</v>
      </c>
      <c r="AA94" s="251">
        <v>390710</v>
      </c>
      <c r="AB94" s="228" t="s">
        <v>442</v>
      </c>
      <c r="AC94" s="237" t="s">
        <v>443</v>
      </c>
      <c r="AD94" s="245">
        <v>44369</v>
      </c>
      <c r="AE94" s="244">
        <v>14</v>
      </c>
      <c r="AF94" s="244">
        <v>14</v>
      </c>
      <c r="AG94" s="241">
        <f>AE94+AF94</f>
        <v>28</v>
      </c>
      <c r="AH94" s="237" t="s">
        <v>38</v>
      </c>
      <c r="AI94" s="257">
        <v>44386</v>
      </c>
      <c r="AJ94" s="258">
        <v>7</v>
      </c>
      <c r="AK94" s="258">
        <v>12</v>
      </c>
      <c r="AL94" s="258">
        <v>7</v>
      </c>
      <c r="AM94" s="258">
        <v>2</v>
      </c>
      <c r="AN94" s="258">
        <v>0</v>
      </c>
      <c r="AO94" s="258">
        <v>0</v>
      </c>
      <c r="AP94" s="253">
        <f t="shared" si="10"/>
        <v>28</v>
      </c>
      <c r="AQ94" s="239">
        <v>44398</v>
      </c>
      <c r="AR94" s="237"/>
      <c r="AS94" s="244" t="s">
        <v>189</v>
      </c>
      <c r="AT94" s="244" t="s">
        <v>12</v>
      </c>
      <c r="AU94" s="244" t="s">
        <v>189</v>
      </c>
      <c r="AV94" s="244">
        <v>3165000</v>
      </c>
      <c r="AW94" s="233" t="s">
        <v>1692</v>
      </c>
      <c r="AX94" s="350" t="s">
        <v>1693</v>
      </c>
      <c r="AY94" s="353" t="s">
        <v>159</v>
      </c>
      <c r="BD94" s="255" t="str">
        <f ca="1">IF(ISBLANK(AD94),"",IF(AD94&lt;TODAY(),L94,""))</f>
        <v>Malden</v>
      </c>
      <c r="BE94" s="340"/>
    </row>
    <row r="95" spans="1:58" s="227" customFormat="1" ht="15.75" customHeight="1" x14ac:dyDescent="1.05">
      <c r="A95" s="239">
        <v>44398</v>
      </c>
      <c r="B95" s="502" t="s">
        <v>45</v>
      </c>
      <c r="C95" s="391" t="s">
        <v>32</v>
      </c>
      <c r="D95" s="391" t="s">
        <v>50</v>
      </c>
      <c r="E95" s="239">
        <v>44358</v>
      </c>
      <c r="F95" s="369" t="s">
        <v>1694</v>
      </c>
      <c r="G95" s="368" t="s">
        <v>1695</v>
      </c>
      <c r="H95" s="370" t="s">
        <v>1696</v>
      </c>
      <c r="I95" s="383" t="s">
        <v>145</v>
      </c>
      <c r="J95" s="368" t="s">
        <v>1697</v>
      </c>
      <c r="K95" s="369"/>
      <c r="L95" s="370" t="s">
        <v>1624</v>
      </c>
      <c r="M95" s="410" t="s">
        <v>1625</v>
      </c>
      <c r="N95" s="368" t="s">
        <v>1698</v>
      </c>
      <c r="O95" s="369" t="s">
        <v>1699</v>
      </c>
      <c r="P95" s="368" t="s">
        <v>1700</v>
      </c>
      <c r="Q95" s="368" t="s">
        <v>1701</v>
      </c>
      <c r="R95" s="368" t="s">
        <v>1702</v>
      </c>
      <c r="S95" s="369" t="s">
        <v>1697</v>
      </c>
      <c r="T95" s="369"/>
      <c r="U95" s="368" t="s">
        <v>1624</v>
      </c>
      <c r="V95" s="385" t="s">
        <v>1625</v>
      </c>
      <c r="W95" s="369" t="s">
        <v>117</v>
      </c>
      <c r="X95" s="464" t="s">
        <v>118</v>
      </c>
      <c r="Y95" s="237"/>
      <c r="Z95" s="237" t="s">
        <v>1703</v>
      </c>
      <c r="AA95" s="251">
        <v>2911923</v>
      </c>
      <c r="AB95" s="228" t="s">
        <v>442</v>
      </c>
      <c r="AC95" s="237" t="s">
        <v>443</v>
      </c>
      <c r="AD95" s="245">
        <v>44369</v>
      </c>
      <c r="AE95" s="244">
        <v>10</v>
      </c>
      <c r="AF95" s="244">
        <v>10</v>
      </c>
      <c r="AG95" s="241">
        <f>AE95+AF95</f>
        <v>20</v>
      </c>
      <c r="AH95" s="237" t="s">
        <v>38</v>
      </c>
      <c r="AI95" s="257">
        <v>44386</v>
      </c>
      <c r="AJ95" s="258">
        <v>2</v>
      </c>
      <c r="AK95" s="258">
        <v>10</v>
      </c>
      <c r="AL95" s="258">
        <v>7</v>
      </c>
      <c r="AM95" s="258">
        <v>0</v>
      </c>
      <c r="AN95" s="258">
        <v>1</v>
      </c>
      <c r="AO95" s="258">
        <v>0</v>
      </c>
      <c r="AP95" s="253">
        <f t="shared" si="10"/>
        <v>20</v>
      </c>
      <c r="AQ95" s="239">
        <v>44398</v>
      </c>
      <c r="AR95" s="237"/>
      <c r="AS95" s="244" t="s">
        <v>189</v>
      </c>
      <c r="AT95" s="244" t="s">
        <v>12</v>
      </c>
      <c r="AU95" s="244" t="s">
        <v>189</v>
      </c>
      <c r="AV95" s="244">
        <v>3176000</v>
      </c>
      <c r="AW95" s="233" t="s">
        <v>1635</v>
      </c>
      <c r="AX95" s="350" t="s">
        <v>1636</v>
      </c>
      <c r="AY95" s="353" t="s">
        <v>159</v>
      </c>
      <c r="BD95" s="255" t="str">
        <f ca="1">IF(ISBLANK(AD95),"",IF(AD95&lt;TODAY(),L95,""))</f>
        <v>Medford</v>
      </c>
      <c r="BE95" s="259" t="s">
        <v>1704</v>
      </c>
    </row>
    <row r="96" spans="1:58" s="227" customFormat="1" ht="15" customHeight="1" x14ac:dyDescent="1.05">
      <c r="A96" s="240">
        <v>44371</v>
      </c>
      <c r="B96" s="335" t="s">
        <v>45</v>
      </c>
      <c r="E96" s="240">
        <v>44298</v>
      </c>
      <c r="F96" s="227" t="s">
        <v>1705</v>
      </c>
      <c r="G96" s="227" t="s">
        <v>1706</v>
      </c>
      <c r="H96" s="387" t="s">
        <v>1707</v>
      </c>
      <c r="I96" s="247" t="s">
        <v>145</v>
      </c>
      <c r="J96" s="227" t="s">
        <v>1708</v>
      </c>
      <c r="L96" s="248" t="s">
        <v>1709</v>
      </c>
      <c r="M96" s="242" t="s">
        <v>1710</v>
      </c>
      <c r="N96" s="227" t="s">
        <v>451</v>
      </c>
      <c r="O96" s="227" t="s">
        <v>1711</v>
      </c>
      <c r="P96" s="227" t="s">
        <v>334</v>
      </c>
      <c r="Q96" s="249" t="s">
        <v>1712</v>
      </c>
      <c r="R96" s="336" t="s">
        <v>1713</v>
      </c>
      <c r="S96" s="227" t="s">
        <v>1708</v>
      </c>
      <c r="U96" s="227" t="s">
        <v>1709</v>
      </c>
      <c r="V96" s="250">
        <v>1867</v>
      </c>
      <c r="W96" s="227" t="s">
        <v>117</v>
      </c>
      <c r="X96" s="237" t="s">
        <v>118</v>
      </c>
      <c r="Y96" s="237"/>
      <c r="Z96" s="227" t="s">
        <v>1714</v>
      </c>
      <c r="AA96" s="251">
        <v>2912185</v>
      </c>
      <c r="AB96" s="227" t="s">
        <v>442</v>
      </c>
      <c r="AC96" s="227" t="s">
        <v>443</v>
      </c>
      <c r="AD96" s="245">
        <v>44344</v>
      </c>
      <c r="AE96" s="241">
        <v>4</v>
      </c>
      <c r="AF96" s="241">
        <v>4</v>
      </c>
      <c r="AG96" s="241">
        <f>AE96+AF96</f>
        <v>8</v>
      </c>
      <c r="AH96" s="227" t="s">
        <v>38</v>
      </c>
      <c r="AI96" s="252">
        <v>44369</v>
      </c>
      <c r="AJ96" s="253">
        <v>1</v>
      </c>
      <c r="AK96" s="253">
        <v>2</v>
      </c>
      <c r="AL96" s="253">
        <v>2</v>
      </c>
      <c r="AM96" s="253">
        <v>2</v>
      </c>
      <c r="AN96" s="253">
        <v>1</v>
      </c>
      <c r="AO96" s="253">
        <v>0</v>
      </c>
      <c r="AP96" s="253">
        <f t="shared" si="10"/>
        <v>8</v>
      </c>
      <c r="AQ96" s="240">
        <v>44371</v>
      </c>
      <c r="AS96" s="231" t="s">
        <v>189</v>
      </c>
      <c r="AT96" s="232" t="s">
        <v>12</v>
      </c>
      <c r="AU96" s="232" t="s">
        <v>120</v>
      </c>
      <c r="AV96" s="241">
        <v>3246000</v>
      </c>
      <c r="AW96" s="342" t="s">
        <v>343</v>
      </c>
      <c r="AX96" s="350" t="s">
        <v>1715</v>
      </c>
      <c r="AY96" s="236" t="s">
        <v>274</v>
      </c>
      <c r="BD96" s="255" t="str">
        <f ca="1">IF(ISBLANK(AD96),"",IF(AD96&lt;TODAY(),L96,""))</f>
        <v>Reading</v>
      </c>
      <c r="BE96" s="382" t="s">
        <v>1716</v>
      </c>
      <c r="BF96" s="237"/>
    </row>
    <row r="97" spans="1:58" s="227" customFormat="1" ht="15" customHeight="1" x14ac:dyDescent="0.55000000000000004">
      <c r="A97" s="239">
        <v>44484</v>
      </c>
      <c r="B97" s="353" t="s">
        <v>45</v>
      </c>
      <c r="C97" s="237"/>
      <c r="D97" s="237"/>
      <c r="E97" s="239">
        <v>44417</v>
      </c>
      <c r="F97" s="396" t="s">
        <v>1717</v>
      </c>
      <c r="G97" s="353" t="s">
        <v>1718</v>
      </c>
      <c r="H97" s="419" t="s">
        <v>1719</v>
      </c>
      <c r="I97" s="344" t="s">
        <v>145</v>
      </c>
      <c r="J97" s="396" t="s">
        <v>1720</v>
      </c>
      <c r="K97" s="396"/>
      <c r="L97" s="419" t="s">
        <v>1228</v>
      </c>
      <c r="M97" s="397" t="s">
        <v>1721</v>
      </c>
      <c r="N97" s="396" t="s">
        <v>1095</v>
      </c>
      <c r="O97" s="396" t="s">
        <v>1722</v>
      </c>
      <c r="P97" s="452" t="s">
        <v>1288</v>
      </c>
      <c r="Q97" s="353" t="s">
        <v>1723</v>
      </c>
      <c r="R97" s="481" t="s">
        <v>1724</v>
      </c>
      <c r="S97" s="396" t="s">
        <v>1720</v>
      </c>
      <c r="T97" s="396"/>
      <c r="U97" s="452" t="s">
        <v>1228</v>
      </c>
      <c r="V97" s="250">
        <v>2128</v>
      </c>
      <c r="W97" s="396" t="s">
        <v>117</v>
      </c>
      <c r="X97" s="237" t="s">
        <v>235</v>
      </c>
      <c r="Y97" s="237"/>
      <c r="Z97" s="237" t="s">
        <v>1725</v>
      </c>
      <c r="AA97" s="504">
        <v>8030802</v>
      </c>
      <c r="AB97" s="237" t="s">
        <v>442</v>
      </c>
      <c r="AC97" s="237" t="s">
        <v>443</v>
      </c>
      <c r="AD97" s="245">
        <v>44429</v>
      </c>
      <c r="AE97" s="244">
        <v>3</v>
      </c>
      <c r="AF97" s="244">
        <v>3</v>
      </c>
      <c r="AG97" s="244">
        <v>6</v>
      </c>
      <c r="AH97" s="237" t="s">
        <v>38</v>
      </c>
      <c r="AI97" s="257">
        <v>44481</v>
      </c>
      <c r="AJ97" s="258">
        <v>3</v>
      </c>
      <c r="AK97" s="258">
        <v>3</v>
      </c>
      <c r="AL97" s="258">
        <v>0</v>
      </c>
      <c r="AM97" s="258">
        <v>0</v>
      </c>
      <c r="AN97" s="258">
        <v>0</v>
      </c>
      <c r="AO97" s="258">
        <v>0</v>
      </c>
      <c r="AP97" s="253">
        <f t="shared" si="10"/>
        <v>6</v>
      </c>
      <c r="AQ97" s="239">
        <v>44484</v>
      </c>
      <c r="AR97" s="237"/>
      <c r="AS97" s="244" t="s">
        <v>120</v>
      </c>
      <c r="AT97" s="244" t="s">
        <v>12</v>
      </c>
      <c r="AU97" s="244" t="s">
        <v>189</v>
      </c>
      <c r="AV97" s="244">
        <v>3049000</v>
      </c>
      <c r="AW97" s="400" t="s">
        <v>1237</v>
      </c>
      <c r="AX97" s="400" t="s">
        <v>1726</v>
      </c>
      <c r="AY97" s="335" t="s">
        <v>159</v>
      </c>
      <c r="AZ97" s="228"/>
      <c r="BD97" s="246"/>
      <c r="BE97" s="340"/>
      <c r="BF97" s="228"/>
    </row>
    <row r="98" spans="1:58" s="227" customFormat="1" ht="15" customHeight="1" x14ac:dyDescent="0.55000000000000004">
      <c r="A98" s="239">
        <v>44484</v>
      </c>
      <c r="B98" s="502" t="s">
        <v>45</v>
      </c>
      <c r="C98" s="391" t="s">
        <v>13</v>
      </c>
      <c r="E98" s="239">
        <v>44396</v>
      </c>
      <c r="F98" s="237" t="s">
        <v>1727</v>
      </c>
      <c r="G98" s="237" t="s">
        <v>1728</v>
      </c>
      <c r="H98" s="496" t="s">
        <v>1729</v>
      </c>
      <c r="I98" s="289" t="s">
        <v>145</v>
      </c>
      <c r="J98" s="228" t="s">
        <v>1730</v>
      </c>
      <c r="K98" s="233"/>
      <c r="L98" s="248" t="s">
        <v>1425</v>
      </c>
      <c r="M98" s="242" t="s">
        <v>1426</v>
      </c>
      <c r="N98" s="228" t="s">
        <v>1731</v>
      </c>
      <c r="O98" s="228" t="s">
        <v>1732</v>
      </c>
      <c r="P98" s="228" t="s">
        <v>1733</v>
      </c>
      <c r="Q98" s="249" t="s">
        <v>1734</v>
      </c>
      <c r="R98" s="374" t="s">
        <v>1735</v>
      </c>
      <c r="S98" s="233" t="s">
        <v>1736</v>
      </c>
      <c r="T98" s="233"/>
      <c r="U98" s="228" t="s">
        <v>1425</v>
      </c>
      <c r="V98" s="435">
        <v>1453</v>
      </c>
      <c r="W98" s="233" t="s">
        <v>117</v>
      </c>
      <c r="X98" s="353" t="s">
        <v>137</v>
      </c>
      <c r="Y98" s="237"/>
      <c r="Z98" s="237" t="s">
        <v>1737</v>
      </c>
      <c r="AA98" s="251">
        <v>211701</v>
      </c>
      <c r="AB98" s="237" t="s">
        <v>442</v>
      </c>
      <c r="AC98" s="237" t="s">
        <v>443</v>
      </c>
      <c r="AD98" s="245">
        <v>44404</v>
      </c>
      <c r="AE98" s="244">
        <v>11</v>
      </c>
      <c r="AF98" s="244">
        <v>11</v>
      </c>
      <c r="AG98" s="241">
        <f>AE98+AF98</f>
        <v>22</v>
      </c>
      <c r="AH98" s="237" t="s">
        <v>38</v>
      </c>
      <c r="AI98" s="257">
        <v>44481</v>
      </c>
      <c r="AJ98" s="258">
        <v>10</v>
      </c>
      <c r="AK98" s="258">
        <v>10</v>
      </c>
      <c r="AL98" s="258">
        <v>1</v>
      </c>
      <c r="AM98" s="258">
        <v>1</v>
      </c>
      <c r="AN98" s="258">
        <v>0</v>
      </c>
      <c r="AO98" s="258">
        <v>0</v>
      </c>
      <c r="AP98" s="253">
        <f t="shared" ref="AP98:AP129" si="14">AJ98+AK98+AL98+AM98+AN98+AO98</f>
        <v>22</v>
      </c>
      <c r="AQ98" s="239">
        <v>44484</v>
      </c>
      <c r="AR98" s="237"/>
      <c r="AS98" s="244" t="s">
        <v>120</v>
      </c>
      <c r="AT98" s="244" t="s">
        <v>19</v>
      </c>
      <c r="AU98" s="244" t="s">
        <v>189</v>
      </c>
      <c r="AV98" s="244">
        <v>2153000</v>
      </c>
      <c r="AW98" s="374" t="s">
        <v>1738</v>
      </c>
      <c r="AX98" s="374" t="s">
        <v>1739</v>
      </c>
      <c r="AY98" s="335" t="s">
        <v>159</v>
      </c>
      <c r="BD98" s="255" t="str">
        <f ca="1">IF(ISBLANK(AD98),"",IF(AD98&lt;TODAY(),L98,""))</f>
        <v>Leominster</v>
      </c>
      <c r="BE98" s="259"/>
    </row>
    <row r="99" spans="1:58" s="227" customFormat="1" ht="15" customHeight="1" x14ac:dyDescent="0.55000000000000004">
      <c r="A99" s="239">
        <v>44489</v>
      </c>
      <c r="B99" s="233" t="s">
        <v>45</v>
      </c>
      <c r="C99" s="237"/>
      <c r="D99" s="237"/>
      <c r="E99" s="239">
        <v>44397</v>
      </c>
      <c r="F99" s="233" t="s">
        <v>1740</v>
      </c>
      <c r="G99" s="228" t="s">
        <v>1741</v>
      </c>
      <c r="H99" s="356" t="s">
        <v>1742</v>
      </c>
      <c r="I99" s="289" t="s">
        <v>127</v>
      </c>
      <c r="J99" s="228" t="s">
        <v>1743</v>
      </c>
      <c r="K99" s="233"/>
      <c r="L99" s="248" t="s">
        <v>1186</v>
      </c>
      <c r="M99" s="242" t="s">
        <v>1187</v>
      </c>
      <c r="N99" s="228" t="s">
        <v>1744</v>
      </c>
      <c r="O99" s="228" t="s">
        <v>1745</v>
      </c>
      <c r="P99" s="228" t="s">
        <v>1746</v>
      </c>
      <c r="Q99" s="228" t="s">
        <v>1747</v>
      </c>
      <c r="R99" s="348" t="s">
        <v>1748</v>
      </c>
      <c r="S99" s="233" t="s">
        <v>1749</v>
      </c>
      <c r="T99" s="233"/>
      <c r="U99" s="228" t="s">
        <v>1750</v>
      </c>
      <c r="V99" s="415" t="s">
        <v>1187</v>
      </c>
      <c r="W99" s="233" t="s">
        <v>117</v>
      </c>
      <c r="X99" s="237" t="s">
        <v>137</v>
      </c>
      <c r="Y99" s="237"/>
      <c r="Z99" s="237" t="s">
        <v>1751</v>
      </c>
      <c r="AA99" s="261" t="s">
        <v>1752</v>
      </c>
      <c r="AB99" s="237" t="s">
        <v>203</v>
      </c>
      <c r="AC99" s="237"/>
      <c r="AD99" s="245">
        <v>44458</v>
      </c>
      <c r="AE99" s="244">
        <v>4</v>
      </c>
      <c r="AF99" s="244">
        <v>4</v>
      </c>
      <c r="AG99" s="241">
        <f>AE99+AF99</f>
        <v>8</v>
      </c>
      <c r="AH99" s="237" t="s">
        <v>38</v>
      </c>
      <c r="AI99" s="257">
        <v>44481</v>
      </c>
      <c r="AJ99" s="258">
        <v>3</v>
      </c>
      <c r="AK99" s="258">
        <v>4</v>
      </c>
      <c r="AL99" s="258">
        <v>1</v>
      </c>
      <c r="AM99" s="258">
        <v>0</v>
      </c>
      <c r="AN99" s="258">
        <v>0</v>
      </c>
      <c r="AO99" s="258">
        <v>0</v>
      </c>
      <c r="AP99" s="253">
        <f t="shared" si="14"/>
        <v>8</v>
      </c>
      <c r="AQ99" s="239">
        <v>44489</v>
      </c>
      <c r="AR99" s="237"/>
      <c r="AS99" s="244" t="s">
        <v>120</v>
      </c>
      <c r="AT99" s="244" t="s">
        <v>19</v>
      </c>
      <c r="AU99" s="244" t="s">
        <v>120</v>
      </c>
      <c r="AV99" s="244">
        <v>2348000</v>
      </c>
      <c r="AW99" s="313" t="s">
        <v>597</v>
      </c>
      <c r="AX99" s="374" t="s">
        <v>1753</v>
      </c>
      <c r="AY99" s="233" t="s">
        <v>159</v>
      </c>
      <c r="BD99" s="255" t="str">
        <f ca="1">IF(ISBLANK(AD99),"",IF(AD99&lt;TODAY(),L99,""))</f>
        <v>Auburn</v>
      </c>
      <c r="BE99" s="259"/>
    </row>
    <row r="100" spans="1:58" s="227" customFormat="1" ht="15" customHeight="1" x14ac:dyDescent="0.55000000000000004">
      <c r="A100" s="240">
        <v>44494</v>
      </c>
      <c r="B100" s="335" t="s">
        <v>45</v>
      </c>
      <c r="E100" s="240">
        <v>43895</v>
      </c>
      <c r="F100" s="246" t="s">
        <v>1754</v>
      </c>
      <c r="G100" s="228" t="s">
        <v>1755</v>
      </c>
      <c r="H100" s="248" t="s">
        <v>1756</v>
      </c>
      <c r="I100" s="341" t="s">
        <v>145</v>
      </c>
      <c r="J100" s="246" t="s">
        <v>1757</v>
      </c>
      <c r="K100" s="246"/>
      <c r="L100" s="248" t="s">
        <v>1122</v>
      </c>
      <c r="M100" s="256" t="s">
        <v>1123</v>
      </c>
      <c r="N100" s="246" t="s">
        <v>1758</v>
      </c>
      <c r="O100" s="246" t="s">
        <v>1759</v>
      </c>
      <c r="P100" s="246" t="s">
        <v>114</v>
      </c>
      <c r="Q100" s="249" t="s">
        <v>1760</v>
      </c>
      <c r="R100" s="539" t="s">
        <v>1761</v>
      </c>
      <c r="S100" s="246" t="s">
        <v>1762</v>
      </c>
      <c r="T100" s="246" t="s">
        <v>1763</v>
      </c>
      <c r="U100" s="246" t="s">
        <v>1122</v>
      </c>
      <c r="V100" s="250" t="s">
        <v>1123</v>
      </c>
      <c r="W100" s="246" t="s">
        <v>117</v>
      </c>
      <c r="X100" s="237" t="s">
        <v>118</v>
      </c>
      <c r="Y100" s="266"/>
      <c r="Z100" s="246" t="s">
        <v>1764</v>
      </c>
      <c r="AA100" s="261">
        <v>201201</v>
      </c>
      <c r="AB100" s="227" t="s">
        <v>10</v>
      </c>
      <c r="AD100" s="245">
        <v>44411</v>
      </c>
      <c r="AE100" s="241">
        <v>20</v>
      </c>
      <c r="AF100" s="241">
        <v>17</v>
      </c>
      <c r="AG100" s="241">
        <f>AE100+AF100</f>
        <v>37</v>
      </c>
      <c r="AH100" s="227" t="s">
        <v>38</v>
      </c>
      <c r="AI100" s="252">
        <v>44481</v>
      </c>
      <c r="AJ100" s="253">
        <v>20</v>
      </c>
      <c r="AK100" s="253">
        <v>17</v>
      </c>
      <c r="AL100" s="253">
        <v>0</v>
      </c>
      <c r="AM100" s="253">
        <v>0</v>
      </c>
      <c r="AN100" s="253">
        <v>0</v>
      </c>
      <c r="AO100" s="253">
        <v>0</v>
      </c>
      <c r="AP100" s="253">
        <f t="shared" si="14"/>
        <v>37</v>
      </c>
      <c r="AQ100" s="240">
        <v>44494</v>
      </c>
      <c r="AR100" s="227" t="s">
        <v>1765</v>
      </c>
      <c r="AS100" s="256" t="s">
        <v>120</v>
      </c>
      <c r="AT100" s="256" t="s">
        <v>19</v>
      </c>
      <c r="AU100" s="256" t="s">
        <v>120</v>
      </c>
      <c r="AV100" s="241">
        <v>2216000</v>
      </c>
      <c r="AW100" s="374" t="s">
        <v>1133</v>
      </c>
      <c r="AX100" s="479" t="s">
        <v>1134</v>
      </c>
      <c r="AY100" s="335" t="s">
        <v>159</v>
      </c>
      <c r="AZ100" s="237"/>
      <c r="BA100" s="237"/>
      <c r="BB100" s="237"/>
      <c r="BC100" s="237"/>
      <c r="BD100" s="266"/>
      <c r="BE100" s="238"/>
      <c r="BF100" s="237"/>
    </row>
    <row r="101" spans="1:58" s="227" customFormat="1" ht="15" customHeight="1" x14ac:dyDescent="0.55000000000000004">
      <c r="A101" s="239">
        <v>44494</v>
      </c>
      <c r="B101" s="233" t="s">
        <v>45</v>
      </c>
      <c r="C101" s="237"/>
      <c r="D101" s="237"/>
      <c r="E101" s="239">
        <v>44396</v>
      </c>
      <c r="F101" s="237" t="s">
        <v>1766</v>
      </c>
      <c r="G101" s="237" t="s">
        <v>1767</v>
      </c>
      <c r="H101" s="496" t="s">
        <v>1768</v>
      </c>
      <c r="I101" s="289" t="s">
        <v>145</v>
      </c>
      <c r="J101" s="228" t="s">
        <v>1769</v>
      </c>
      <c r="K101" s="233"/>
      <c r="L101" s="356" t="s">
        <v>1770</v>
      </c>
      <c r="M101" s="432">
        <v>1230</v>
      </c>
      <c r="N101" s="228" t="s">
        <v>1771</v>
      </c>
      <c r="O101" s="228" t="s">
        <v>1772</v>
      </c>
      <c r="P101" s="228" t="s">
        <v>1773</v>
      </c>
      <c r="Q101" s="249" t="s">
        <v>1774</v>
      </c>
      <c r="R101" s="374" t="s">
        <v>1775</v>
      </c>
      <c r="S101" s="233" t="s">
        <v>1769</v>
      </c>
      <c r="T101" s="233"/>
      <c r="U101" s="228" t="s">
        <v>1770</v>
      </c>
      <c r="V101" s="417">
        <v>1230</v>
      </c>
      <c r="W101" s="233" t="s">
        <v>155</v>
      </c>
      <c r="X101" s="237" t="s">
        <v>137</v>
      </c>
      <c r="Y101" s="237"/>
      <c r="Z101" s="364" t="s">
        <v>1776</v>
      </c>
      <c r="AA101" s="251" t="s">
        <v>1777</v>
      </c>
      <c r="AB101" s="237" t="s">
        <v>203</v>
      </c>
      <c r="AC101" s="237" t="s">
        <v>1778</v>
      </c>
      <c r="AD101" s="245">
        <v>44467</v>
      </c>
      <c r="AE101" s="244">
        <v>5</v>
      </c>
      <c r="AF101" s="244">
        <v>5</v>
      </c>
      <c r="AG101" s="241">
        <f>AE101+AF101</f>
        <v>10</v>
      </c>
      <c r="AH101" s="237" t="s">
        <v>1779</v>
      </c>
      <c r="AI101" s="257">
        <v>44487</v>
      </c>
      <c r="AJ101" s="258">
        <v>1</v>
      </c>
      <c r="AK101" s="258">
        <v>4</v>
      </c>
      <c r="AL101" s="258">
        <v>4</v>
      </c>
      <c r="AM101" s="258">
        <v>1</v>
      </c>
      <c r="AN101" s="258">
        <v>0</v>
      </c>
      <c r="AO101" s="258">
        <v>0</v>
      </c>
      <c r="AP101" s="253">
        <f t="shared" si="14"/>
        <v>10</v>
      </c>
      <c r="AQ101" s="239">
        <v>44494</v>
      </c>
      <c r="AR101" s="237" t="s">
        <v>1780</v>
      </c>
      <c r="AS101" s="244" t="s">
        <v>120</v>
      </c>
      <c r="AT101" s="244" t="s">
        <v>31</v>
      </c>
      <c r="AU101" s="244" t="s">
        <v>120</v>
      </c>
      <c r="AV101" s="244">
        <v>1113000</v>
      </c>
      <c r="AW101" s="374" t="s">
        <v>1781</v>
      </c>
      <c r="AX101" s="228" t="s">
        <v>1782</v>
      </c>
      <c r="AY101" s="335" t="s">
        <v>159</v>
      </c>
      <c r="AZ101" s="237"/>
      <c r="BA101" s="237"/>
      <c r="BB101" s="237"/>
      <c r="BC101" s="237"/>
      <c r="BD101" s="266"/>
      <c r="BE101" s="238"/>
      <c r="BF101" s="237"/>
    </row>
    <row r="102" spans="1:58" s="227" customFormat="1" ht="15" customHeight="1" x14ac:dyDescent="0.55000000000000004">
      <c r="A102" s="239">
        <v>44494</v>
      </c>
      <c r="B102" s="233" t="s">
        <v>45</v>
      </c>
      <c r="C102" s="237"/>
      <c r="D102" s="237"/>
      <c r="E102" s="239">
        <v>44397</v>
      </c>
      <c r="F102" s="228" t="s">
        <v>1783</v>
      </c>
      <c r="G102" s="228" t="s">
        <v>1784</v>
      </c>
      <c r="H102" s="356" t="s">
        <v>1785</v>
      </c>
      <c r="I102" s="289" t="s">
        <v>127</v>
      </c>
      <c r="J102" s="228" t="s">
        <v>1786</v>
      </c>
      <c r="K102" s="233"/>
      <c r="L102" s="356" t="s">
        <v>1787</v>
      </c>
      <c r="M102" s="357" t="s">
        <v>1788</v>
      </c>
      <c r="N102" s="228" t="s">
        <v>1789</v>
      </c>
      <c r="O102" s="228" t="s">
        <v>1790</v>
      </c>
      <c r="P102" s="228" t="s">
        <v>1791</v>
      </c>
      <c r="Q102" s="228" t="s">
        <v>1792</v>
      </c>
      <c r="R102" s="374" t="s">
        <v>1793</v>
      </c>
      <c r="S102" s="228" t="s">
        <v>1786</v>
      </c>
      <c r="T102" s="233"/>
      <c r="U102" s="228" t="s">
        <v>1787</v>
      </c>
      <c r="V102" s="358" t="s">
        <v>1788</v>
      </c>
      <c r="W102" s="233" t="s">
        <v>155</v>
      </c>
      <c r="X102" s="237" t="s">
        <v>137</v>
      </c>
      <c r="Y102" s="237"/>
      <c r="Z102" s="237" t="s">
        <v>1794</v>
      </c>
      <c r="AA102" s="261" t="s">
        <v>1795</v>
      </c>
      <c r="AB102" s="237" t="s">
        <v>203</v>
      </c>
      <c r="AC102" s="237" t="s">
        <v>1796</v>
      </c>
      <c r="AD102" s="245">
        <v>44464</v>
      </c>
      <c r="AE102" s="244">
        <v>5</v>
      </c>
      <c r="AF102" s="244">
        <v>5</v>
      </c>
      <c r="AG102" s="241">
        <f>AE102+AF102</f>
        <v>10</v>
      </c>
      <c r="AH102" s="237" t="s">
        <v>38</v>
      </c>
      <c r="AI102" s="257">
        <v>44489</v>
      </c>
      <c r="AJ102" s="258">
        <v>1</v>
      </c>
      <c r="AK102" s="258">
        <v>3</v>
      </c>
      <c r="AL102" s="258">
        <v>4</v>
      </c>
      <c r="AM102" s="258">
        <v>2</v>
      </c>
      <c r="AN102" s="258">
        <v>0</v>
      </c>
      <c r="AO102" s="258">
        <v>0</v>
      </c>
      <c r="AP102" s="253">
        <f t="shared" si="14"/>
        <v>10</v>
      </c>
      <c r="AQ102" s="239">
        <v>44494</v>
      </c>
      <c r="AR102" s="237"/>
      <c r="AS102" s="244" t="s">
        <v>120</v>
      </c>
      <c r="AT102" s="244" t="s">
        <v>25</v>
      </c>
      <c r="AU102" s="244" t="s">
        <v>120</v>
      </c>
      <c r="AV102" s="244">
        <v>4027001</v>
      </c>
      <c r="AW102" s="374" t="s">
        <v>1797</v>
      </c>
      <c r="AX102" s="555" t="s">
        <v>1798</v>
      </c>
      <c r="AY102" s="233" t="s">
        <v>159</v>
      </c>
      <c r="AZ102" s="237"/>
      <c r="BA102" s="237"/>
      <c r="BB102" s="237"/>
      <c r="BC102" s="237"/>
      <c r="BD102" s="266"/>
      <c r="BE102" s="238"/>
      <c r="BF102" s="237"/>
    </row>
    <row r="103" spans="1:58" s="227" customFormat="1" ht="15" customHeight="1" x14ac:dyDescent="0.55000000000000004">
      <c r="A103" s="362">
        <v>44494</v>
      </c>
      <c r="B103" s="353" t="s">
        <v>45</v>
      </c>
      <c r="C103" s="228"/>
      <c r="D103" s="228"/>
      <c r="E103" s="426">
        <v>44417</v>
      </c>
      <c r="F103" s="427" t="s">
        <v>1799</v>
      </c>
      <c r="G103" s="495" t="s">
        <v>1800</v>
      </c>
      <c r="H103" s="429" t="s">
        <v>1801</v>
      </c>
      <c r="I103" s="428" t="s">
        <v>127</v>
      </c>
      <c r="J103" s="427" t="s">
        <v>1802</v>
      </c>
      <c r="K103" s="427"/>
      <c r="L103" s="429" t="s">
        <v>1139</v>
      </c>
      <c r="M103" s="430" t="s">
        <v>1140</v>
      </c>
      <c r="N103" s="427" t="s">
        <v>1803</v>
      </c>
      <c r="O103" s="427" t="s">
        <v>1804</v>
      </c>
      <c r="P103" s="506" t="s">
        <v>1805</v>
      </c>
      <c r="Q103" s="553" t="s">
        <v>1806</v>
      </c>
      <c r="R103" s="554" t="s">
        <v>1807</v>
      </c>
      <c r="S103" s="427" t="s">
        <v>1802</v>
      </c>
      <c r="T103" s="427"/>
      <c r="U103" s="506" t="s">
        <v>1139</v>
      </c>
      <c r="V103" s="431" t="s">
        <v>1140</v>
      </c>
      <c r="W103" s="427" t="s">
        <v>155</v>
      </c>
      <c r="X103" s="396" t="s">
        <v>118</v>
      </c>
      <c r="Y103" s="237"/>
      <c r="Z103" s="399" t="s">
        <v>1808</v>
      </c>
      <c r="AA103" s="503" t="s">
        <v>1809</v>
      </c>
      <c r="AB103" s="228" t="s">
        <v>203</v>
      </c>
      <c r="AC103" s="228"/>
      <c r="AD103" s="245">
        <v>44453</v>
      </c>
      <c r="AE103" s="359">
        <v>3</v>
      </c>
      <c r="AF103" s="359">
        <v>3</v>
      </c>
      <c r="AG103" s="359">
        <v>6</v>
      </c>
      <c r="AH103" s="228" t="s">
        <v>38</v>
      </c>
      <c r="AI103" s="360">
        <v>44489</v>
      </c>
      <c r="AJ103" s="361">
        <v>0</v>
      </c>
      <c r="AK103" s="361">
        <v>0</v>
      </c>
      <c r="AL103" s="361">
        <v>3</v>
      </c>
      <c r="AM103" s="361">
        <v>3</v>
      </c>
      <c r="AN103" s="361">
        <v>0</v>
      </c>
      <c r="AO103" s="361">
        <v>0</v>
      </c>
      <c r="AP103" s="253">
        <f t="shared" si="14"/>
        <v>6</v>
      </c>
      <c r="AQ103" s="362">
        <v>44494</v>
      </c>
      <c r="AR103" s="395" t="s">
        <v>1810</v>
      </c>
      <c r="AS103" s="359" t="s">
        <v>120</v>
      </c>
      <c r="AT103" s="359" t="s">
        <v>12</v>
      </c>
      <c r="AU103" s="359" t="s">
        <v>189</v>
      </c>
      <c r="AV103" s="359">
        <v>3057000</v>
      </c>
      <c r="AW103" s="365" t="s">
        <v>1150</v>
      </c>
      <c r="AX103" s="365" t="s">
        <v>1811</v>
      </c>
      <c r="AY103" s="335" t="s">
        <v>159</v>
      </c>
      <c r="BD103" s="255" t="str">
        <f ca="1">IF(ISBLANK(AD103),"",IF(AD103&lt;TODAY(),L103,""))</f>
        <v>Chelsea</v>
      </c>
      <c r="BE103" s="259"/>
    </row>
    <row r="104" spans="1:58" s="227" customFormat="1" ht="15" customHeight="1" x14ac:dyDescent="0.55000000000000004">
      <c r="A104" s="239">
        <v>44483</v>
      </c>
      <c r="B104" s="502" t="s">
        <v>41</v>
      </c>
      <c r="C104" s="391" t="s">
        <v>13</v>
      </c>
      <c r="D104" s="237"/>
      <c r="E104" s="239">
        <v>44396</v>
      </c>
      <c r="F104" s="237" t="s">
        <v>1153</v>
      </c>
      <c r="G104" s="237" t="s">
        <v>1812</v>
      </c>
      <c r="H104" s="496" t="s">
        <v>1813</v>
      </c>
      <c r="I104" s="289" t="s">
        <v>145</v>
      </c>
      <c r="J104" s="228" t="s">
        <v>1814</v>
      </c>
      <c r="K104" s="233"/>
      <c r="L104" s="248" t="s">
        <v>263</v>
      </c>
      <c r="M104" s="416">
        <v>2118</v>
      </c>
      <c r="N104" s="228" t="s">
        <v>1157</v>
      </c>
      <c r="O104" s="228" t="s">
        <v>1158</v>
      </c>
      <c r="P104" s="228" t="s">
        <v>1159</v>
      </c>
      <c r="Q104" s="249" t="s">
        <v>1160</v>
      </c>
      <c r="R104" s="228" t="s">
        <v>1161</v>
      </c>
      <c r="S104" s="233" t="s">
        <v>1162</v>
      </c>
      <c r="T104" s="233"/>
      <c r="U104" s="228" t="s">
        <v>263</v>
      </c>
      <c r="V104" s="417">
        <v>2118</v>
      </c>
      <c r="W104" s="233" t="s">
        <v>117</v>
      </c>
      <c r="X104" s="353" t="s">
        <v>137</v>
      </c>
      <c r="Y104" s="237"/>
      <c r="Z104" s="237" t="s">
        <v>1815</v>
      </c>
      <c r="AA104" s="251" t="s">
        <v>1816</v>
      </c>
      <c r="AB104" s="237" t="s">
        <v>442</v>
      </c>
      <c r="AC104" s="237" t="s">
        <v>443</v>
      </c>
      <c r="AD104" s="245">
        <v>44415</v>
      </c>
      <c r="AE104" s="244">
        <v>2</v>
      </c>
      <c r="AF104" s="244">
        <v>2</v>
      </c>
      <c r="AG104" s="241">
        <v>4</v>
      </c>
      <c r="AH104" s="237" t="s">
        <v>38</v>
      </c>
      <c r="AI104" s="257"/>
      <c r="AJ104" s="258"/>
      <c r="AK104" s="258"/>
      <c r="AL104" s="258"/>
      <c r="AM104" s="258"/>
      <c r="AN104" s="258"/>
      <c r="AO104" s="258"/>
      <c r="AP104" s="253">
        <f t="shared" si="14"/>
        <v>0</v>
      </c>
      <c r="AQ104" s="239"/>
      <c r="AR104" s="237"/>
      <c r="AS104" s="244" t="s">
        <v>189</v>
      </c>
      <c r="AT104" s="244" t="s">
        <v>12</v>
      </c>
      <c r="AU104" s="244" t="s">
        <v>120</v>
      </c>
      <c r="AV104" s="241">
        <v>3035000</v>
      </c>
      <c r="AW104" s="233" t="s">
        <v>272</v>
      </c>
      <c r="AX104" s="343" t="s">
        <v>273</v>
      </c>
      <c r="AY104" s="335" t="s">
        <v>159</v>
      </c>
      <c r="AZ104" s="237"/>
      <c r="BA104" s="237"/>
      <c r="BB104" s="237"/>
      <c r="BC104" s="237"/>
      <c r="BD104" s="266"/>
      <c r="BE104" s="238"/>
      <c r="BF104" s="237"/>
    </row>
    <row r="105" spans="1:58" s="227" customFormat="1" ht="15" customHeight="1" x14ac:dyDescent="0.55000000000000004">
      <c r="A105" s="239">
        <v>44409</v>
      </c>
      <c r="B105" s="233" t="s">
        <v>41</v>
      </c>
      <c r="C105" s="237"/>
      <c r="D105" s="237"/>
      <c r="E105" s="239">
        <v>44396</v>
      </c>
      <c r="F105" s="237" t="s">
        <v>1817</v>
      </c>
      <c r="G105" s="237" t="s">
        <v>1818</v>
      </c>
      <c r="H105" s="496" t="s">
        <v>1819</v>
      </c>
      <c r="I105" s="289" t="s">
        <v>145</v>
      </c>
      <c r="J105" s="228" t="s">
        <v>1820</v>
      </c>
      <c r="K105" s="233"/>
      <c r="L105" s="248" t="s">
        <v>263</v>
      </c>
      <c r="M105" s="416">
        <v>2111</v>
      </c>
      <c r="N105" s="233" t="s">
        <v>1821</v>
      </c>
      <c r="O105" s="228" t="s">
        <v>1822</v>
      </c>
      <c r="P105" s="228" t="s">
        <v>1823</v>
      </c>
      <c r="Q105" s="249" t="s">
        <v>1824</v>
      </c>
      <c r="R105" s="228" t="s">
        <v>1825</v>
      </c>
      <c r="S105" s="233" t="s">
        <v>1820</v>
      </c>
      <c r="T105" s="233" t="s">
        <v>1826</v>
      </c>
      <c r="U105" s="228" t="s">
        <v>263</v>
      </c>
      <c r="V105" s="417">
        <v>2111</v>
      </c>
      <c r="W105" s="233" t="s">
        <v>155</v>
      </c>
      <c r="X105" s="237" t="s">
        <v>235</v>
      </c>
      <c r="Y105" s="237"/>
      <c r="Z105" s="237" t="s">
        <v>1827</v>
      </c>
      <c r="AA105" s="251">
        <v>200910</v>
      </c>
      <c r="AB105" s="237" t="s">
        <v>442</v>
      </c>
      <c r="AC105" s="237" t="s">
        <v>443</v>
      </c>
      <c r="AD105" s="245">
        <v>44415</v>
      </c>
      <c r="AE105" s="244">
        <v>42</v>
      </c>
      <c r="AF105" s="244">
        <v>42</v>
      </c>
      <c r="AG105" s="241">
        <v>84</v>
      </c>
      <c r="AH105" s="237" t="s">
        <v>38</v>
      </c>
      <c r="AI105" s="257"/>
      <c r="AJ105" s="258"/>
      <c r="AK105" s="258"/>
      <c r="AL105" s="258"/>
      <c r="AM105" s="258"/>
      <c r="AN105" s="258"/>
      <c r="AO105" s="258"/>
      <c r="AP105" s="253">
        <f t="shared" si="14"/>
        <v>0</v>
      </c>
      <c r="AQ105" s="239"/>
      <c r="AR105" s="237"/>
      <c r="AS105" s="244" t="s">
        <v>189</v>
      </c>
      <c r="AT105" s="244" t="s">
        <v>12</v>
      </c>
      <c r="AU105" s="244" t="s">
        <v>120</v>
      </c>
      <c r="AV105" s="241">
        <v>3035000</v>
      </c>
      <c r="AW105" s="233" t="s">
        <v>272</v>
      </c>
      <c r="AX105" s="343" t="s">
        <v>273</v>
      </c>
      <c r="AY105" s="335" t="s">
        <v>159</v>
      </c>
      <c r="BD105" s="255" t="str">
        <f ca="1">IF(ISBLANK(AD105),"",IF(AD105&lt;TODAY(),L105,""))</f>
        <v>Boston</v>
      </c>
      <c r="BE105" s="340" t="s">
        <v>1828</v>
      </c>
    </row>
    <row r="106" spans="1:58" s="227" customFormat="1" ht="15" customHeight="1" x14ac:dyDescent="1.05">
      <c r="A106" s="362">
        <v>44410</v>
      </c>
      <c r="B106" s="335" t="s">
        <v>41</v>
      </c>
      <c r="E106" s="239">
        <v>44386</v>
      </c>
      <c r="F106" s="227" t="s">
        <v>1829</v>
      </c>
      <c r="G106" s="227" t="s">
        <v>1830</v>
      </c>
      <c r="H106" s="387" t="s">
        <v>261</v>
      </c>
      <c r="I106" s="341" t="s">
        <v>145</v>
      </c>
      <c r="J106" s="420" t="s">
        <v>1831</v>
      </c>
      <c r="K106" s="420"/>
      <c r="L106" s="421" t="s">
        <v>1228</v>
      </c>
      <c r="M106" s="422">
        <v>2139</v>
      </c>
      <c r="N106" s="227" t="s">
        <v>265</v>
      </c>
      <c r="O106" s="227" t="s">
        <v>266</v>
      </c>
      <c r="P106" s="227" t="s">
        <v>267</v>
      </c>
      <c r="Q106" s="249" t="s">
        <v>268</v>
      </c>
      <c r="R106" s="368" t="s">
        <v>269</v>
      </c>
      <c r="S106" s="369" t="s">
        <v>1618</v>
      </c>
      <c r="T106" s="369"/>
      <c r="U106" s="228" t="s">
        <v>263</v>
      </c>
      <c r="V106" s="250">
        <v>2119</v>
      </c>
      <c r="W106" s="369" t="s">
        <v>155</v>
      </c>
      <c r="X106" s="455" t="s">
        <v>118</v>
      </c>
      <c r="Y106" s="464"/>
      <c r="Z106" s="369"/>
      <c r="AA106" s="251">
        <v>200480</v>
      </c>
      <c r="AB106" s="228" t="s">
        <v>10</v>
      </c>
      <c r="AC106" s="369" t="s">
        <v>388</v>
      </c>
      <c r="AD106" s="245">
        <v>44408</v>
      </c>
      <c r="AE106" s="369">
        <v>16</v>
      </c>
      <c r="AF106" s="383">
        <v>16</v>
      </c>
      <c r="AG106" s="241">
        <f>AE106+AF106</f>
        <v>32</v>
      </c>
      <c r="AH106" s="369" t="s">
        <v>38</v>
      </c>
      <c r="AI106" s="369"/>
      <c r="AJ106" s="369"/>
      <c r="AK106" s="369"/>
      <c r="AL106" s="369"/>
      <c r="AM106" s="369"/>
      <c r="AN106" s="369"/>
      <c r="AO106" s="369"/>
      <c r="AP106" s="253">
        <f t="shared" si="14"/>
        <v>0</v>
      </c>
      <c r="AQ106" s="423"/>
      <c r="AR106" s="369" t="s">
        <v>1619</v>
      </c>
      <c r="AS106" s="256" t="s">
        <v>189</v>
      </c>
      <c r="AT106" s="359" t="s">
        <v>12</v>
      </c>
      <c r="AU106" s="383" t="s">
        <v>120</v>
      </c>
      <c r="AV106" s="424">
        <v>3049000</v>
      </c>
      <c r="AW106" s="226" t="s">
        <v>1237</v>
      </c>
      <c r="AX106" s="401" t="s">
        <v>1238</v>
      </c>
      <c r="AY106" s="335" t="s">
        <v>159</v>
      </c>
      <c r="AZ106" s="228"/>
      <c r="BD106" s="246"/>
      <c r="BE106" s="425" t="s">
        <v>1832</v>
      </c>
      <c r="BF106" s="228"/>
    </row>
    <row r="107" spans="1:58" s="227" customFormat="1" ht="15" customHeight="1" x14ac:dyDescent="1.05">
      <c r="A107" s="239">
        <v>44407</v>
      </c>
      <c r="B107" s="502" t="s">
        <v>41</v>
      </c>
      <c r="C107" s="391" t="s">
        <v>13</v>
      </c>
      <c r="D107" s="237"/>
      <c r="E107" s="239">
        <v>44396</v>
      </c>
      <c r="F107" s="237" t="s">
        <v>1833</v>
      </c>
      <c r="G107" s="237" t="s">
        <v>1834</v>
      </c>
      <c r="H107" s="496" t="s">
        <v>1835</v>
      </c>
      <c r="I107" s="289" t="s">
        <v>127</v>
      </c>
      <c r="J107" s="228" t="s">
        <v>1836</v>
      </c>
      <c r="K107" s="233"/>
      <c r="L107" s="356" t="s">
        <v>1457</v>
      </c>
      <c r="M107" s="416">
        <v>1832</v>
      </c>
      <c r="N107" s="228" t="s">
        <v>1837</v>
      </c>
      <c r="O107" s="228" t="s">
        <v>1838</v>
      </c>
      <c r="P107" s="228" t="s">
        <v>1062</v>
      </c>
      <c r="Q107" s="249" t="s">
        <v>1839</v>
      </c>
      <c r="R107" s="228" t="s">
        <v>1840</v>
      </c>
      <c r="S107" s="233" t="s">
        <v>1841</v>
      </c>
      <c r="T107" s="233" t="s">
        <v>1840</v>
      </c>
      <c r="U107" s="228" t="s">
        <v>1457</v>
      </c>
      <c r="V107" s="417">
        <v>1832</v>
      </c>
      <c r="W107" s="233" t="s">
        <v>117</v>
      </c>
      <c r="X107" s="353" t="s">
        <v>137</v>
      </c>
      <c r="Y107" s="237"/>
      <c r="Z107" s="237" t="s">
        <v>1842</v>
      </c>
      <c r="AA107" s="251" t="s">
        <v>1843</v>
      </c>
      <c r="AB107" s="237" t="s">
        <v>442</v>
      </c>
      <c r="AC107" s="237" t="s">
        <v>443</v>
      </c>
      <c r="AD107" s="245">
        <v>44407</v>
      </c>
      <c r="AE107" s="244">
        <v>5</v>
      </c>
      <c r="AF107" s="244">
        <v>5</v>
      </c>
      <c r="AG107" s="241">
        <f>AE107+AF107</f>
        <v>10</v>
      </c>
      <c r="AH107" s="237" t="s">
        <v>38</v>
      </c>
      <c r="AI107" s="257">
        <v>44407</v>
      </c>
      <c r="AJ107" s="258"/>
      <c r="AK107" s="258"/>
      <c r="AL107" s="258"/>
      <c r="AM107" s="258"/>
      <c r="AN107" s="258"/>
      <c r="AO107" s="258"/>
      <c r="AP107" s="253">
        <f t="shared" si="14"/>
        <v>0</v>
      </c>
      <c r="AQ107" s="239"/>
      <c r="AR107" s="237"/>
      <c r="AS107" s="244" t="s">
        <v>120</v>
      </c>
      <c r="AT107" s="244" t="s">
        <v>12</v>
      </c>
      <c r="AU107" s="244" t="s">
        <v>120</v>
      </c>
      <c r="AV107" s="244">
        <v>3128000</v>
      </c>
      <c r="AW107" s="233" t="s">
        <v>1844</v>
      </c>
      <c r="AX107" s="350" t="s">
        <v>1845</v>
      </c>
      <c r="AY107" s="335" t="s">
        <v>159</v>
      </c>
      <c r="BD107" s="255" t="str">
        <f ca="1">IF(ISBLANK(AD107),"",IF(AD107&lt;TODAY(),L107,""))</f>
        <v>Haverhill</v>
      </c>
      <c r="BE107" s="382" t="s">
        <v>832</v>
      </c>
      <c r="BF107" s="237"/>
    </row>
    <row r="108" spans="1:58" s="227" customFormat="1" ht="15" customHeight="1" x14ac:dyDescent="1.05">
      <c r="A108" s="239">
        <v>44409</v>
      </c>
      <c r="B108" s="233" t="s">
        <v>41</v>
      </c>
      <c r="C108" s="237"/>
      <c r="D108" s="237"/>
      <c r="E108" s="239">
        <v>44396</v>
      </c>
      <c r="F108" s="237" t="s">
        <v>1846</v>
      </c>
      <c r="G108" s="237" t="s">
        <v>1847</v>
      </c>
      <c r="H108" s="496" t="s">
        <v>1848</v>
      </c>
      <c r="I108" s="289" t="s">
        <v>145</v>
      </c>
      <c r="J108" s="228" t="s">
        <v>1849</v>
      </c>
      <c r="K108" s="233"/>
      <c r="L108" s="248" t="s">
        <v>129</v>
      </c>
      <c r="M108" s="416">
        <v>1854</v>
      </c>
      <c r="N108" s="228" t="s">
        <v>1850</v>
      </c>
      <c r="O108" s="228" t="s">
        <v>1851</v>
      </c>
      <c r="P108" s="228" t="s">
        <v>114</v>
      </c>
      <c r="Q108" s="249" t="s">
        <v>1852</v>
      </c>
      <c r="R108" s="228" t="s">
        <v>1853</v>
      </c>
      <c r="S108" s="233" t="s">
        <v>1849</v>
      </c>
      <c r="T108" s="233"/>
      <c r="U108" s="228" t="s">
        <v>129</v>
      </c>
      <c r="V108" s="417">
        <v>1854</v>
      </c>
      <c r="W108" s="233" t="s">
        <v>117</v>
      </c>
      <c r="X108" s="237" t="s">
        <v>118</v>
      </c>
      <c r="Y108" s="237"/>
      <c r="Z108" s="237" t="s">
        <v>1854</v>
      </c>
      <c r="AA108" s="251">
        <v>200726</v>
      </c>
      <c r="AB108" s="237" t="s">
        <v>442</v>
      </c>
      <c r="AC108" s="237" t="s">
        <v>443</v>
      </c>
      <c r="AD108" s="245">
        <v>44415</v>
      </c>
      <c r="AE108" s="244">
        <v>13</v>
      </c>
      <c r="AF108" s="244">
        <v>13</v>
      </c>
      <c r="AG108" s="241">
        <v>26</v>
      </c>
      <c r="AH108" s="237" t="s">
        <v>38</v>
      </c>
      <c r="AI108" s="257"/>
      <c r="AJ108" s="258"/>
      <c r="AK108" s="258"/>
      <c r="AL108" s="258"/>
      <c r="AM108" s="258"/>
      <c r="AN108" s="258"/>
      <c r="AO108" s="258"/>
      <c r="AP108" s="253">
        <f t="shared" si="14"/>
        <v>0</v>
      </c>
      <c r="AQ108" s="239"/>
      <c r="AR108" s="237"/>
      <c r="AS108" s="244" t="s">
        <v>120</v>
      </c>
      <c r="AT108" s="244" t="s">
        <v>12</v>
      </c>
      <c r="AU108" s="244" t="s">
        <v>189</v>
      </c>
      <c r="AV108" s="424">
        <v>3160000</v>
      </c>
      <c r="AW108" s="313" t="s">
        <v>597</v>
      </c>
      <c r="AX108" s="350" t="s">
        <v>139</v>
      </c>
      <c r="AY108" s="335" t="s">
        <v>159</v>
      </c>
      <c r="BD108" s="255" t="str">
        <f ca="1">IF(ISBLANK(AD108),"",IF(AD108&lt;TODAY(),L108,""))</f>
        <v>Lowell</v>
      </c>
      <c r="BE108" s="340"/>
    </row>
    <row r="109" spans="1:58" s="227" customFormat="1" ht="15" customHeight="1" x14ac:dyDescent="1.05">
      <c r="A109" s="239">
        <v>44483</v>
      </c>
      <c r="B109" s="233" t="s">
        <v>41</v>
      </c>
      <c r="C109" s="237" t="s">
        <v>13</v>
      </c>
      <c r="D109" s="237"/>
      <c r="E109" s="239">
        <v>44397</v>
      </c>
      <c r="F109" s="233" t="s">
        <v>1855</v>
      </c>
      <c r="G109" s="228" t="s">
        <v>1856</v>
      </c>
      <c r="H109" s="356" t="s">
        <v>1857</v>
      </c>
      <c r="I109" s="289" t="s">
        <v>145</v>
      </c>
      <c r="J109" s="228" t="s">
        <v>1858</v>
      </c>
      <c r="K109" s="233"/>
      <c r="L109" s="356" t="s">
        <v>837</v>
      </c>
      <c r="M109" s="357" t="s">
        <v>1859</v>
      </c>
      <c r="N109" s="228" t="s">
        <v>1789</v>
      </c>
      <c r="O109" s="228" t="s">
        <v>1860</v>
      </c>
      <c r="P109" s="228" t="s">
        <v>1861</v>
      </c>
      <c r="Q109" s="228" t="s">
        <v>1862</v>
      </c>
      <c r="R109" s="228" t="s">
        <v>1863</v>
      </c>
      <c r="S109" s="233" t="s">
        <v>1858</v>
      </c>
      <c r="T109" s="233"/>
      <c r="U109" s="228" t="s">
        <v>837</v>
      </c>
      <c r="V109" s="415" t="s">
        <v>1859</v>
      </c>
      <c r="W109" s="233" t="s">
        <v>117</v>
      </c>
      <c r="X109" s="353" t="s">
        <v>137</v>
      </c>
      <c r="Y109" s="237"/>
      <c r="Z109" s="237" t="s">
        <v>1864</v>
      </c>
      <c r="AA109" s="261">
        <v>200137</v>
      </c>
      <c r="AB109" s="237" t="s">
        <v>442</v>
      </c>
      <c r="AC109" s="237" t="s">
        <v>443</v>
      </c>
      <c r="AD109" s="245">
        <v>44422</v>
      </c>
      <c r="AE109" s="244">
        <v>8</v>
      </c>
      <c r="AF109" s="244">
        <v>8</v>
      </c>
      <c r="AG109" s="241">
        <v>16</v>
      </c>
      <c r="AH109" s="237" t="s">
        <v>38</v>
      </c>
      <c r="AI109" s="257"/>
      <c r="AJ109" s="258"/>
      <c r="AK109" s="258"/>
      <c r="AL109" s="258"/>
      <c r="AM109" s="258"/>
      <c r="AN109" s="258"/>
      <c r="AO109" s="258"/>
      <c r="AP109" s="253">
        <f t="shared" si="14"/>
        <v>0</v>
      </c>
      <c r="AQ109" s="239"/>
      <c r="AR109" s="237"/>
      <c r="AS109" s="244" t="s">
        <v>120</v>
      </c>
      <c r="AT109" s="244" t="s">
        <v>25</v>
      </c>
      <c r="AU109" s="244" t="s">
        <v>120</v>
      </c>
      <c r="AV109" s="244">
        <v>4201000</v>
      </c>
      <c r="AW109" s="233" t="s">
        <v>847</v>
      </c>
      <c r="AX109" s="350" t="s">
        <v>848</v>
      </c>
      <c r="AY109" s="233" t="s">
        <v>159</v>
      </c>
      <c r="BD109" s="255" t="str">
        <f ca="1">IF(ISBLANK(AD109),"",IF(AD109&lt;TODAY(),L109,""))</f>
        <v>New Bedford</v>
      </c>
      <c r="BE109" s="354" t="s">
        <v>1071</v>
      </c>
    </row>
    <row r="110" spans="1:58" s="227" customFormat="1" ht="15" customHeight="1" x14ac:dyDescent="1.05">
      <c r="A110" s="239">
        <v>44483</v>
      </c>
      <c r="B110" s="233" t="s">
        <v>41</v>
      </c>
      <c r="C110" s="237" t="s">
        <v>13</v>
      </c>
      <c r="D110" s="237"/>
      <c r="E110" s="239">
        <v>44397</v>
      </c>
      <c r="F110" s="233" t="s">
        <v>1865</v>
      </c>
      <c r="G110" s="228" t="s">
        <v>1866</v>
      </c>
      <c r="H110" s="356" t="s">
        <v>1867</v>
      </c>
      <c r="I110" s="289" t="s">
        <v>145</v>
      </c>
      <c r="J110" s="228" t="s">
        <v>1868</v>
      </c>
      <c r="K110" s="233"/>
      <c r="L110" s="356" t="s">
        <v>1869</v>
      </c>
      <c r="M110" s="357" t="s">
        <v>1870</v>
      </c>
      <c r="N110" s="228" t="s">
        <v>1871</v>
      </c>
      <c r="O110" s="228" t="s">
        <v>1872</v>
      </c>
      <c r="P110" s="228" t="s">
        <v>243</v>
      </c>
      <c r="Q110" s="233" t="s">
        <v>1873</v>
      </c>
      <c r="R110" s="228" t="s">
        <v>1874</v>
      </c>
      <c r="S110" s="233" t="s">
        <v>1868</v>
      </c>
      <c r="T110" s="233" t="s">
        <v>1875</v>
      </c>
      <c r="U110" s="228" t="s">
        <v>1869</v>
      </c>
      <c r="V110" s="358" t="s">
        <v>1870</v>
      </c>
      <c r="W110" s="233" t="s">
        <v>155</v>
      </c>
      <c r="X110" s="353" t="s">
        <v>137</v>
      </c>
      <c r="Y110" s="237"/>
      <c r="Z110" s="237" t="s">
        <v>1876</v>
      </c>
      <c r="AA110" s="261" t="s">
        <v>1877</v>
      </c>
      <c r="AB110" s="237" t="s">
        <v>442</v>
      </c>
      <c r="AC110" s="237" t="s">
        <v>443</v>
      </c>
      <c r="AD110" s="245">
        <v>44422</v>
      </c>
      <c r="AE110" s="244">
        <v>13</v>
      </c>
      <c r="AF110" s="244">
        <v>13</v>
      </c>
      <c r="AG110" s="241">
        <v>26</v>
      </c>
      <c r="AH110" s="237" t="s">
        <v>38</v>
      </c>
      <c r="AI110" s="257"/>
      <c r="AJ110" s="258"/>
      <c r="AK110" s="258"/>
      <c r="AL110" s="258"/>
      <c r="AM110" s="258"/>
      <c r="AN110" s="258"/>
      <c r="AO110" s="258"/>
      <c r="AP110" s="253">
        <f t="shared" si="14"/>
        <v>0</v>
      </c>
      <c r="AQ110" s="239"/>
      <c r="AR110" s="237"/>
      <c r="AS110" s="244" t="s">
        <v>120</v>
      </c>
      <c r="AT110" s="244" t="s">
        <v>25</v>
      </c>
      <c r="AU110" s="244" t="s">
        <v>120</v>
      </c>
      <c r="AV110" s="244">
        <v>4245000</v>
      </c>
      <c r="AW110" s="233" t="s">
        <v>1878</v>
      </c>
      <c r="AX110" s="350" t="s">
        <v>1879</v>
      </c>
      <c r="AY110" s="233" t="s">
        <v>159</v>
      </c>
      <c r="AZ110" s="237"/>
      <c r="BA110" s="237"/>
      <c r="BB110" s="237"/>
      <c r="BC110" s="237"/>
      <c r="BD110" s="266"/>
      <c r="BE110" s="238"/>
      <c r="BF110" s="237"/>
    </row>
    <row r="111" spans="1:58" s="227" customFormat="1" ht="15" customHeight="1" x14ac:dyDescent="0.55000000000000004">
      <c r="A111" s="240">
        <v>44419</v>
      </c>
      <c r="B111" s="335" t="s">
        <v>41</v>
      </c>
      <c r="E111" s="239">
        <v>44292</v>
      </c>
      <c r="F111" s="237" t="s">
        <v>1880</v>
      </c>
      <c r="G111" s="237" t="s">
        <v>1881</v>
      </c>
      <c r="H111" s="496" t="s">
        <v>1882</v>
      </c>
      <c r="I111" s="344" t="s">
        <v>127</v>
      </c>
      <c r="J111" s="237" t="s">
        <v>1883</v>
      </c>
      <c r="K111" s="237"/>
      <c r="L111" s="345" t="s">
        <v>933</v>
      </c>
      <c r="M111" s="346" t="s">
        <v>926</v>
      </c>
      <c r="N111" s="237" t="s">
        <v>1884</v>
      </c>
      <c r="O111" s="237" t="s">
        <v>1885</v>
      </c>
      <c r="P111" s="237" t="s">
        <v>1886</v>
      </c>
      <c r="Q111" s="347" t="s">
        <v>1887</v>
      </c>
      <c r="R111" s="238" t="s">
        <v>1888</v>
      </c>
      <c r="S111" s="237" t="s">
        <v>1889</v>
      </c>
      <c r="T111" s="237"/>
      <c r="U111" s="237" t="s">
        <v>933</v>
      </c>
      <c r="V111" s="349">
        <v>2151</v>
      </c>
      <c r="W111" s="237" t="s">
        <v>117</v>
      </c>
      <c r="X111" s="237" t="s">
        <v>137</v>
      </c>
      <c r="Y111" s="237" t="s">
        <v>1890</v>
      </c>
      <c r="Z111" s="237" t="s">
        <v>1891</v>
      </c>
      <c r="AA111" s="251" t="s">
        <v>1892</v>
      </c>
      <c r="AB111" s="237" t="s">
        <v>203</v>
      </c>
      <c r="AC111" s="237" t="s">
        <v>1890</v>
      </c>
      <c r="AD111" s="245">
        <v>44419</v>
      </c>
      <c r="AE111" s="244">
        <v>2</v>
      </c>
      <c r="AF111" s="244">
        <v>2</v>
      </c>
      <c r="AG111" s="241">
        <f t="shared" ref="AG111:AG116" si="15">AE111+AF111</f>
        <v>4</v>
      </c>
      <c r="AH111" s="237" t="s">
        <v>38</v>
      </c>
      <c r="AI111" s="257"/>
      <c r="AJ111" s="258"/>
      <c r="AK111" s="258"/>
      <c r="AL111" s="258"/>
      <c r="AM111" s="258"/>
      <c r="AN111" s="258"/>
      <c r="AO111" s="258"/>
      <c r="AP111" s="253">
        <f t="shared" si="14"/>
        <v>0</v>
      </c>
      <c r="AQ111" s="239"/>
      <c r="AR111" s="237" t="s">
        <v>1893</v>
      </c>
      <c r="AS111" s="244" t="s">
        <v>189</v>
      </c>
      <c r="AT111" s="244" t="s">
        <v>12</v>
      </c>
      <c r="AU111" s="244" t="s">
        <v>120</v>
      </c>
      <c r="AV111" s="224">
        <v>3248000</v>
      </c>
      <c r="AW111" s="313" t="s">
        <v>343</v>
      </c>
      <c r="AX111" s="339" t="s">
        <v>937</v>
      </c>
      <c r="AY111" s="335" t="s">
        <v>159</v>
      </c>
      <c r="BD111" s="255" t="str">
        <f t="shared" ref="BD111:BD118" ca="1" si="16">IF(ISBLANK(AD111),"",IF(AD111&lt;TODAY(),L111,""))</f>
        <v>Revere</v>
      </c>
      <c r="BE111" s="340" t="s">
        <v>1894</v>
      </c>
    </row>
    <row r="112" spans="1:58" s="227" customFormat="1" ht="15" customHeight="1" x14ac:dyDescent="0.55000000000000004">
      <c r="A112" s="240">
        <v>44433</v>
      </c>
      <c r="B112" s="335" t="s">
        <v>41</v>
      </c>
      <c r="E112" s="240">
        <v>44293</v>
      </c>
      <c r="F112" s="227" t="s">
        <v>1895</v>
      </c>
      <c r="G112" s="227" t="s">
        <v>1896</v>
      </c>
      <c r="H112" s="387" t="s">
        <v>1897</v>
      </c>
      <c r="I112" s="247" t="s">
        <v>127</v>
      </c>
      <c r="J112" s="227" t="s">
        <v>1898</v>
      </c>
      <c r="L112" s="248" t="s">
        <v>1899</v>
      </c>
      <c r="M112" s="371">
        <v>2131</v>
      </c>
      <c r="N112" s="227" t="s">
        <v>1900</v>
      </c>
      <c r="O112" s="227" t="s">
        <v>1901</v>
      </c>
      <c r="P112" s="227" t="s">
        <v>1902</v>
      </c>
      <c r="Q112" s="249" t="s">
        <v>1903</v>
      </c>
      <c r="R112" s="336" t="s">
        <v>1904</v>
      </c>
      <c r="S112" s="227" t="s">
        <v>1905</v>
      </c>
      <c r="U112" s="227" t="s">
        <v>1520</v>
      </c>
      <c r="V112" s="250">
        <v>2131</v>
      </c>
      <c r="W112" s="227" t="s">
        <v>117</v>
      </c>
      <c r="X112" s="237" t="s">
        <v>137</v>
      </c>
      <c r="Y112" s="237" t="s">
        <v>1906</v>
      </c>
      <c r="Z112" s="228" t="s">
        <v>1907</v>
      </c>
      <c r="AA112" s="251">
        <v>7023959</v>
      </c>
      <c r="AB112" s="227" t="s">
        <v>203</v>
      </c>
      <c r="AC112" s="227" t="s">
        <v>1908</v>
      </c>
      <c r="AD112" s="245">
        <v>44433</v>
      </c>
      <c r="AE112" s="241">
        <v>2</v>
      </c>
      <c r="AF112" s="241">
        <v>2</v>
      </c>
      <c r="AG112" s="241">
        <f t="shared" si="15"/>
        <v>4</v>
      </c>
      <c r="AH112" s="227" t="s">
        <v>38</v>
      </c>
      <c r="AI112" s="252"/>
      <c r="AJ112" s="253"/>
      <c r="AK112" s="253"/>
      <c r="AL112" s="253"/>
      <c r="AM112" s="253"/>
      <c r="AN112" s="253"/>
      <c r="AO112" s="253"/>
      <c r="AP112" s="253">
        <f t="shared" si="14"/>
        <v>0</v>
      </c>
      <c r="AQ112" s="240"/>
      <c r="AR112" s="227" t="s">
        <v>1909</v>
      </c>
      <c r="AS112" s="256" t="s">
        <v>189</v>
      </c>
      <c r="AT112" s="256" t="s">
        <v>12</v>
      </c>
      <c r="AU112" s="256" t="s">
        <v>120</v>
      </c>
      <c r="AV112" s="256" t="s">
        <v>1910</v>
      </c>
      <c r="AW112" s="233" t="s">
        <v>272</v>
      </c>
      <c r="AX112" s="343" t="s">
        <v>273</v>
      </c>
      <c r="AY112" s="335" t="s">
        <v>159</v>
      </c>
      <c r="BD112" s="255" t="str">
        <f t="shared" ca="1" si="16"/>
        <v xml:space="preserve">Roslindale </v>
      </c>
      <c r="BE112" s="259" t="s">
        <v>1911</v>
      </c>
    </row>
    <row r="113" spans="1:58" s="227" customFormat="1" ht="15" customHeight="1" x14ac:dyDescent="0.55000000000000004">
      <c r="A113" s="362">
        <v>44410</v>
      </c>
      <c r="B113" s="335" t="s">
        <v>41</v>
      </c>
      <c r="E113" s="239">
        <v>44386</v>
      </c>
      <c r="F113" s="227" t="s">
        <v>1912</v>
      </c>
      <c r="G113" s="227" t="s">
        <v>1913</v>
      </c>
      <c r="H113" s="387" t="s">
        <v>261</v>
      </c>
      <c r="I113" s="341" t="s">
        <v>145</v>
      </c>
      <c r="J113" s="420" t="s">
        <v>1914</v>
      </c>
      <c r="K113" s="420"/>
      <c r="L113" s="248" t="s">
        <v>1915</v>
      </c>
      <c r="M113" s="422">
        <v>2119</v>
      </c>
      <c r="N113" s="227" t="s">
        <v>265</v>
      </c>
      <c r="O113" s="227" t="s">
        <v>266</v>
      </c>
      <c r="P113" s="227" t="s">
        <v>267</v>
      </c>
      <c r="Q113" s="249" t="s">
        <v>268</v>
      </c>
      <c r="R113" s="368" t="s">
        <v>269</v>
      </c>
      <c r="S113" s="369" t="s">
        <v>1618</v>
      </c>
      <c r="T113" s="369"/>
      <c r="U113" s="228" t="s">
        <v>263</v>
      </c>
      <c r="V113" s="250">
        <v>2119</v>
      </c>
      <c r="W113" s="369" t="s">
        <v>155</v>
      </c>
      <c r="X113" s="455" t="s">
        <v>118</v>
      </c>
      <c r="Y113" s="464"/>
      <c r="Z113" s="369"/>
      <c r="AA113" s="251">
        <v>201057</v>
      </c>
      <c r="AB113" s="228" t="s">
        <v>10</v>
      </c>
      <c r="AC113" s="369" t="s">
        <v>388</v>
      </c>
      <c r="AD113" s="245">
        <v>44408</v>
      </c>
      <c r="AE113" s="369">
        <v>25</v>
      </c>
      <c r="AF113" s="383">
        <v>20</v>
      </c>
      <c r="AG113" s="241">
        <f t="shared" si="15"/>
        <v>45</v>
      </c>
      <c r="AH113" s="369" t="s">
        <v>38</v>
      </c>
      <c r="AI113" s="369"/>
      <c r="AJ113" s="369"/>
      <c r="AK113" s="369"/>
      <c r="AL113" s="369"/>
      <c r="AM113" s="369"/>
      <c r="AN113" s="369"/>
      <c r="AO113" s="369"/>
      <c r="AP113" s="253">
        <f t="shared" si="14"/>
        <v>0</v>
      </c>
      <c r="AQ113" s="423"/>
      <c r="AR113" s="369" t="s">
        <v>1619</v>
      </c>
      <c r="AS113" s="256" t="s">
        <v>189</v>
      </c>
      <c r="AT113" s="359" t="s">
        <v>12</v>
      </c>
      <c r="AU113" s="256" t="s">
        <v>120</v>
      </c>
      <c r="AV113" s="434">
        <v>3035000</v>
      </c>
      <c r="AW113" s="233" t="s">
        <v>272</v>
      </c>
      <c r="AX113" s="339" t="s">
        <v>273</v>
      </c>
      <c r="AY113" s="335" t="s">
        <v>159</v>
      </c>
      <c r="BD113" s="255" t="str">
        <f t="shared" ca="1" si="16"/>
        <v>Roxbury</v>
      </c>
      <c r="BE113" s="259" t="s">
        <v>1916</v>
      </c>
    </row>
    <row r="114" spans="1:58" s="227" customFormat="1" ht="15" customHeight="1" x14ac:dyDescent="0.55000000000000004">
      <c r="A114" s="362">
        <v>44410</v>
      </c>
      <c r="B114" s="335" t="s">
        <v>41</v>
      </c>
      <c r="E114" s="239">
        <v>44386</v>
      </c>
      <c r="F114" s="369" t="s">
        <v>1917</v>
      </c>
      <c r="G114" s="368" t="s">
        <v>1918</v>
      </c>
      <c r="H114" s="387" t="s">
        <v>261</v>
      </c>
      <c r="I114" s="341" t="s">
        <v>145</v>
      </c>
      <c r="J114" s="368" t="s">
        <v>1919</v>
      </c>
      <c r="K114" s="369"/>
      <c r="L114" s="248" t="s">
        <v>1915</v>
      </c>
      <c r="M114" s="422">
        <v>2120</v>
      </c>
      <c r="N114" s="227" t="s">
        <v>265</v>
      </c>
      <c r="O114" s="227" t="s">
        <v>266</v>
      </c>
      <c r="P114" s="227" t="s">
        <v>267</v>
      </c>
      <c r="Q114" s="249" t="s">
        <v>268</v>
      </c>
      <c r="R114" s="368" t="s">
        <v>269</v>
      </c>
      <c r="S114" s="369" t="s">
        <v>1618</v>
      </c>
      <c r="T114" s="369"/>
      <c r="U114" s="228" t="s">
        <v>263</v>
      </c>
      <c r="V114" s="250">
        <v>2119</v>
      </c>
      <c r="W114" s="369" t="s">
        <v>155</v>
      </c>
      <c r="X114" s="455" t="s">
        <v>118</v>
      </c>
      <c r="Y114" s="464"/>
      <c r="Z114" s="369"/>
      <c r="AA114" s="251">
        <v>201056</v>
      </c>
      <c r="AB114" s="228" t="s">
        <v>10</v>
      </c>
      <c r="AC114" s="369" t="s">
        <v>388</v>
      </c>
      <c r="AD114" s="245">
        <v>44408</v>
      </c>
      <c r="AE114" s="369">
        <v>20</v>
      </c>
      <c r="AF114" s="383">
        <v>20</v>
      </c>
      <c r="AG114" s="241">
        <f t="shared" si="15"/>
        <v>40</v>
      </c>
      <c r="AH114" s="369" t="s">
        <v>38</v>
      </c>
      <c r="AI114" s="369"/>
      <c r="AJ114" s="369"/>
      <c r="AK114" s="369"/>
      <c r="AL114" s="369"/>
      <c r="AM114" s="369"/>
      <c r="AN114" s="369"/>
      <c r="AO114" s="369"/>
      <c r="AP114" s="253">
        <f t="shared" si="14"/>
        <v>0</v>
      </c>
      <c r="AQ114" s="423"/>
      <c r="AR114" s="369" t="s">
        <v>1619</v>
      </c>
      <c r="AS114" s="256" t="s">
        <v>189</v>
      </c>
      <c r="AT114" s="359" t="s">
        <v>12</v>
      </c>
      <c r="AU114" s="256" t="s">
        <v>120</v>
      </c>
      <c r="AV114" s="434">
        <v>3035000</v>
      </c>
      <c r="AW114" s="233" t="s">
        <v>272</v>
      </c>
      <c r="AX114" s="339" t="s">
        <v>273</v>
      </c>
      <c r="AY114" s="335" t="s">
        <v>159</v>
      </c>
      <c r="BD114" s="255" t="str">
        <f t="shared" ca="1" si="16"/>
        <v>Roxbury</v>
      </c>
      <c r="BE114" s="259" t="s">
        <v>1920</v>
      </c>
    </row>
    <row r="115" spans="1:58" s="227" customFormat="1" ht="15.75" customHeight="1" x14ac:dyDescent="1.05">
      <c r="A115" s="239">
        <v>44403</v>
      </c>
      <c r="B115" s="335" t="s">
        <v>41</v>
      </c>
      <c r="E115" s="239">
        <v>44342</v>
      </c>
      <c r="F115" s="369" t="s">
        <v>1921</v>
      </c>
      <c r="G115" s="405" t="s">
        <v>1922</v>
      </c>
      <c r="H115" s="370" t="s">
        <v>1923</v>
      </c>
      <c r="I115" s="436" t="s">
        <v>145</v>
      </c>
      <c r="J115" s="368" t="s">
        <v>1924</v>
      </c>
      <c r="K115" s="378"/>
      <c r="L115" s="437" t="s">
        <v>1925</v>
      </c>
      <c r="M115" s="404" t="s">
        <v>1926</v>
      </c>
      <c r="N115" s="378" t="s">
        <v>1346</v>
      </c>
      <c r="O115" s="405" t="s">
        <v>1927</v>
      </c>
      <c r="P115" s="405" t="s">
        <v>948</v>
      </c>
      <c r="Q115" s="405" t="s">
        <v>1928</v>
      </c>
      <c r="R115" s="348" t="s">
        <v>1929</v>
      </c>
      <c r="S115" s="369" t="s">
        <v>1924</v>
      </c>
      <c r="T115" s="378"/>
      <c r="U115" s="368" t="s">
        <v>1925</v>
      </c>
      <c r="V115" s="413" t="s">
        <v>1926</v>
      </c>
      <c r="W115" s="378" t="s">
        <v>117</v>
      </c>
      <c r="X115" s="461" t="s">
        <v>118</v>
      </c>
      <c r="Y115" s="237"/>
      <c r="Z115" s="228" t="s">
        <v>1930</v>
      </c>
      <c r="AA115" s="251">
        <v>201339</v>
      </c>
      <c r="AB115" s="228" t="s">
        <v>203</v>
      </c>
      <c r="AC115" s="228" t="s">
        <v>1931</v>
      </c>
      <c r="AD115" s="245">
        <v>44405</v>
      </c>
      <c r="AE115" s="359">
        <v>4</v>
      </c>
      <c r="AF115" s="359">
        <v>4</v>
      </c>
      <c r="AG115" s="241">
        <f t="shared" si="15"/>
        <v>8</v>
      </c>
      <c r="AH115" s="228" t="s">
        <v>28</v>
      </c>
      <c r="AI115" s="360"/>
      <c r="AJ115" s="361"/>
      <c r="AK115" s="361"/>
      <c r="AL115" s="361"/>
      <c r="AM115" s="361"/>
      <c r="AN115" s="361"/>
      <c r="AO115" s="361"/>
      <c r="AP115" s="253">
        <f t="shared" si="14"/>
        <v>0</v>
      </c>
      <c r="AQ115" s="362"/>
      <c r="AS115" s="359" t="s">
        <v>120</v>
      </c>
      <c r="AT115" s="359" t="s">
        <v>31</v>
      </c>
      <c r="AU115" s="438" t="s">
        <v>29</v>
      </c>
      <c r="AV115" s="359">
        <v>1268000</v>
      </c>
      <c r="AW115" s="233" t="s">
        <v>1932</v>
      </c>
      <c r="AX115" s="350" t="s">
        <v>1933</v>
      </c>
      <c r="AY115" s="335" t="s">
        <v>159</v>
      </c>
      <c r="BD115" s="255" t="str">
        <f t="shared" ca="1" si="16"/>
        <v>Shelburne Falls</v>
      </c>
      <c r="BE115" s="259"/>
    </row>
    <row r="116" spans="1:58" s="227" customFormat="1" ht="15" customHeight="1" x14ac:dyDescent="0.55000000000000004">
      <c r="A116" s="240">
        <v>44432</v>
      </c>
      <c r="B116" s="335" t="s">
        <v>41</v>
      </c>
      <c r="E116" s="240">
        <v>43894</v>
      </c>
      <c r="F116" s="246" t="s">
        <v>1934</v>
      </c>
      <c r="G116" s="228" t="s">
        <v>1935</v>
      </c>
      <c r="H116" s="248" t="s">
        <v>1936</v>
      </c>
      <c r="I116" s="341" t="s">
        <v>145</v>
      </c>
      <c r="J116" s="246" t="s">
        <v>1937</v>
      </c>
      <c r="K116" s="246"/>
      <c r="L116" s="248" t="s">
        <v>1533</v>
      </c>
      <c r="M116" s="256" t="s">
        <v>1938</v>
      </c>
      <c r="N116" s="246" t="s">
        <v>17</v>
      </c>
      <c r="O116" s="246" t="s">
        <v>1939</v>
      </c>
      <c r="P116" s="246" t="s">
        <v>1940</v>
      </c>
      <c r="Q116" s="249" t="s">
        <v>1941</v>
      </c>
      <c r="R116" s="229" t="s">
        <v>1942</v>
      </c>
      <c r="S116" s="246" t="s">
        <v>1943</v>
      </c>
      <c r="T116" s="246"/>
      <c r="U116" s="246" t="s">
        <v>1533</v>
      </c>
      <c r="V116" s="250" t="s">
        <v>1938</v>
      </c>
      <c r="W116" s="246" t="s">
        <v>117</v>
      </c>
      <c r="X116" s="237" t="s">
        <v>118</v>
      </c>
      <c r="Y116" s="266"/>
      <c r="Z116" s="227" t="s">
        <v>1944</v>
      </c>
      <c r="AA116" s="261">
        <v>201423</v>
      </c>
      <c r="AB116" s="227" t="s">
        <v>10</v>
      </c>
      <c r="AC116" s="227" t="s">
        <v>388</v>
      </c>
      <c r="AD116" s="245">
        <v>44428</v>
      </c>
      <c r="AE116" s="241">
        <v>12</v>
      </c>
      <c r="AF116" s="241">
        <v>12</v>
      </c>
      <c r="AG116" s="241">
        <f t="shared" si="15"/>
        <v>24</v>
      </c>
      <c r="AH116" s="227" t="s">
        <v>38</v>
      </c>
      <c r="AI116" s="252"/>
      <c r="AJ116" s="253"/>
      <c r="AK116" s="253"/>
      <c r="AL116" s="253"/>
      <c r="AM116" s="253"/>
      <c r="AN116" s="253"/>
      <c r="AO116" s="253"/>
      <c r="AP116" s="253">
        <f t="shared" si="14"/>
        <v>0</v>
      </c>
      <c r="AQ116" s="240"/>
      <c r="AR116" s="227" t="s">
        <v>1945</v>
      </c>
      <c r="AS116" s="241" t="s">
        <v>189</v>
      </c>
      <c r="AT116" s="256" t="s">
        <v>12</v>
      </c>
      <c r="AU116" s="256" t="s">
        <v>120</v>
      </c>
      <c r="AV116" s="224">
        <v>3274000</v>
      </c>
      <c r="AW116" s="342" t="s">
        <v>1542</v>
      </c>
      <c r="AX116" s="339" t="s">
        <v>1543</v>
      </c>
      <c r="AY116" s="233" t="s">
        <v>159</v>
      </c>
      <c r="BD116" s="255" t="str">
        <f t="shared" ca="1" si="16"/>
        <v>Somerville</v>
      </c>
      <c r="BE116" s="340" t="s">
        <v>1946</v>
      </c>
    </row>
    <row r="117" spans="1:58" s="227" customFormat="1" ht="15" customHeight="1" x14ac:dyDescent="0.55000000000000004">
      <c r="A117" s="239">
        <v>44468</v>
      </c>
      <c r="B117" s="353" t="s">
        <v>41</v>
      </c>
      <c r="C117" s="237"/>
      <c r="D117" s="237"/>
      <c r="E117" s="239">
        <v>44417</v>
      </c>
      <c r="F117" s="396" t="s">
        <v>1947</v>
      </c>
      <c r="G117" s="353" t="s">
        <v>1948</v>
      </c>
      <c r="H117" s="419" t="s">
        <v>1949</v>
      </c>
      <c r="I117" s="344" t="s">
        <v>127</v>
      </c>
      <c r="J117" s="396" t="s">
        <v>1950</v>
      </c>
      <c r="K117" s="396"/>
      <c r="L117" s="419" t="s">
        <v>1093</v>
      </c>
      <c r="M117" s="397" t="s">
        <v>1094</v>
      </c>
      <c r="N117" s="396" t="s">
        <v>1951</v>
      </c>
      <c r="O117" s="396" t="s">
        <v>1272</v>
      </c>
      <c r="P117" s="452" t="s">
        <v>1952</v>
      </c>
      <c r="Q117" s="353" t="s">
        <v>1953</v>
      </c>
      <c r="R117" s="396" t="s">
        <v>1954</v>
      </c>
      <c r="S117" s="396" t="s">
        <v>1950</v>
      </c>
      <c r="T117" s="396"/>
      <c r="U117" s="452" t="s">
        <v>1093</v>
      </c>
      <c r="V117" s="439" t="s">
        <v>1094</v>
      </c>
      <c r="W117" s="396" t="s">
        <v>155</v>
      </c>
      <c r="X117" s="396" t="s">
        <v>137</v>
      </c>
      <c r="Y117" s="237"/>
      <c r="Z117" s="399" t="s">
        <v>1955</v>
      </c>
      <c r="AA117" s="504" t="s">
        <v>1956</v>
      </c>
      <c r="AB117" s="237" t="s">
        <v>203</v>
      </c>
      <c r="AC117" s="237"/>
      <c r="AD117" s="245" t="s">
        <v>1957</v>
      </c>
      <c r="AE117" s="244"/>
      <c r="AF117" s="244"/>
      <c r="AG117" s="244"/>
      <c r="AH117" s="237"/>
      <c r="AI117" s="257"/>
      <c r="AJ117" s="258"/>
      <c r="AK117" s="258"/>
      <c r="AL117" s="258"/>
      <c r="AM117" s="258"/>
      <c r="AN117" s="258"/>
      <c r="AO117" s="258"/>
      <c r="AP117" s="244"/>
      <c r="AQ117" s="239"/>
      <c r="AR117" s="237"/>
      <c r="AS117" s="244" t="s">
        <v>120</v>
      </c>
      <c r="AT117" s="244" t="s">
        <v>12</v>
      </c>
      <c r="AU117" s="244" t="s">
        <v>189</v>
      </c>
      <c r="AV117" s="244">
        <v>3317000</v>
      </c>
      <c r="AW117" s="400" t="s">
        <v>1100</v>
      </c>
      <c r="AX117" s="400" t="s">
        <v>1101</v>
      </c>
      <c r="AY117" s="335" t="s">
        <v>159</v>
      </c>
      <c r="BD117" s="255" t="str">
        <f t="shared" ca="1" si="16"/>
        <v/>
      </c>
      <c r="BE117" s="340" t="s">
        <v>1958</v>
      </c>
    </row>
    <row r="118" spans="1:58" s="227" customFormat="1" ht="15" customHeight="1" x14ac:dyDescent="0.55000000000000004">
      <c r="A118" s="239">
        <v>44418</v>
      </c>
      <c r="B118" s="353" t="s">
        <v>41</v>
      </c>
      <c r="C118" s="237"/>
      <c r="D118" s="237"/>
      <c r="E118" s="239">
        <v>44417</v>
      </c>
      <c r="F118" s="396" t="s">
        <v>1959</v>
      </c>
      <c r="G118" s="353" t="s">
        <v>1960</v>
      </c>
      <c r="H118" s="419" t="s">
        <v>1961</v>
      </c>
      <c r="I118" s="344" t="s">
        <v>145</v>
      </c>
      <c r="J118" s="396" t="s">
        <v>1962</v>
      </c>
      <c r="K118" s="440" t="s">
        <v>1963</v>
      </c>
      <c r="L118" s="419" t="s">
        <v>1964</v>
      </c>
      <c r="M118" s="397" t="s">
        <v>1965</v>
      </c>
      <c r="N118" s="396" t="s">
        <v>1966</v>
      </c>
      <c r="O118" s="396" t="s">
        <v>1967</v>
      </c>
      <c r="P118" s="452" t="s">
        <v>1968</v>
      </c>
      <c r="Q118" s="353" t="s">
        <v>1969</v>
      </c>
      <c r="R118" s="396" t="s">
        <v>1970</v>
      </c>
      <c r="S118" s="396" t="s">
        <v>1971</v>
      </c>
      <c r="T118" s="396" t="s">
        <v>1972</v>
      </c>
      <c r="U118" s="452" t="s">
        <v>1973</v>
      </c>
      <c r="V118" s="398" t="s">
        <v>1965</v>
      </c>
      <c r="W118" s="396" t="s">
        <v>117</v>
      </c>
      <c r="X118" s="237" t="s">
        <v>235</v>
      </c>
      <c r="Y118" s="237"/>
      <c r="Z118" s="237" t="s">
        <v>1974</v>
      </c>
      <c r="AA118" s="504">
        <v>290502</v>
      </c>
      <c r="AB118" s="237" t="s">
        <v>442</v>
      </c>
      <c r="AC118" s="237" t="s">
        <v>443</v>
      </c>
      <c r="AD118" s="245">
        <v>44428</v>
      </c>
      <c r="AE118" s="244">
        <v>14</v>
      </c>
      <c r="AF118" s="244">
        <v>14</v>
      </c>
      <c r="AG118" s="244">
        <v>28</v>
      </c>
      <c r="AH118" s="237"/>
      <c r="AI118" s="257"/>
      <c r="AJ118" s="258"/>
      <c r="AK118" s="258"/>
      <c r="AL118" s="258"/>
      <c r="AM118" s="258"/>
      <c r="AN118" s="258"/>
      <c r="AO118" s="258"/>
      <c r="AP118" s="244"/>
      <c r="AQ118" s="239"/>
      <c r="AR118" s="237"/>
      <c r="AS118" s="244" t="s">
        <v>120</v>
      </c>
      <c r="AT118" s="244" t="s">
        <v>12</v>
      </c>
      <c r="AU118" s="244" t="s">
        <v>189</v>
      </c>
      <c r="AV118" s="244">
        <v>3347000</v>
      </c>
      <c r="AW118" s="400" t="s">
        <v>1975</v>
      </c>
      <c r="AX118" s="400" t="s">
        <v>1976</v>
      </c>
      <c r="AY118" s="335" t="s">
        <v>159</v>
      </c>
      <c r="BD118" s="255" t="str">
        <f t="shared" ca="1" si="16"/>
        <v>Woburn</v>
      </c>
      <c r="BE118" s="259" t="s">
        <v>880</v>
      </c>
    </row>
    <row r="119" spans="1:58" s="227" customFormat="1" ht="15" customHeight="1" x14ac:dyDescent="1.05">
      <c r="A119" s="239">
        <v>44481</v>
      </c>
      <c r="B119" s="233" t="s">
        <v>41</v>
      </c>
      <c r="C119" s="237"/>
      <c r="D119" s="237"/>
      <c r="E119" s="239">
        <v>44397</v>
      </c>
      <c r="F119" s="233" t="s">
        <v>1977</v>
      </c>
      <c r="G119" s="228" t="s">
        <v>1978</v>
      </c>
      <c r="H119" s="356" t="s">
        <v>1979</v>
      </c>
      <c r="I119" s="289" t="s">
        <v>127</v>
      </c>
      <c r="J119" s="228" t="s">
        <v>1980</v>
      </c>
      <c r="K119" s="233"/>
      <c r="L119" s="248" t="s">
        <v>1505</v>
      </c>
      <c r="M119" s="242" t="s">
        <v>1506</v>
      </c>
      <c r="N119" s="228" t="s">
        <v>1981</v>
      </c>
      <c r="O119" s="228" t="s">
        <v>1982</v>
      </c>
      <c r="P119" s="228" t="s">
        <v>1983</v>
      </c>
      <c r="Q119" s="228" t="s">
        <v>1984</v>
      </c>
      <c r="R119" s="228" t="s">
        <v>1985</v>
      </c>
      <c r="S119" s="233" t="s">
        <v>1986</v>
      </c>
      <c r="T119" s="233"/>
      <c r="U119" s="228" t="s">
        <v>1505</v>
      </c>
      <c r="V119" s="415" t="s">
        <v>1506</v>
      </c>
      <c r="W119" s="233" t="s">
        <v>117</v>
      </c>
      <c r="X119" s="353" t="s">
        <v>137</v>
      </c>
      <c r="Y119" s="237"/>
      <c r="Z119" s="237" t="s">
        <v>1987</v>
      </c>
      <c r="AA119" s="261">
        <v>8031427</v>
      </c>
      <c r="AB119" s="237" t="s">
        <v>203</v>
      </c>
      <c r="AC119" s="237"/>
      <c r="AD119" s="245">
        <v>44481</v>
      </c>
      <c r="AE119" s="244">
        <v>4</v>
      </c>
      <c r="AF119" s="244">
        <v>4</v>
      </c>
      <c r="AG119" s="241">
        <f t="shared" ref="AG119:AG138" si="17">AE119+AF119</f>
        <v>8</v>
      </c>
      <c r="AH119" s="237" t="s">
        <v>38</v>
      </c>
      <c r="AI119" s="257"/>
      <c r="AJ119" s="258"/>
      <c r="AK119" s="258"/>
      <c r="AL119" s="258"/>
      <c r="AM119" s="258"/>
      <c r="AN119" s="258"/>
      <c r="AO119" s="258"/>
      <c r="AP119" s="253">
        <f t="shared" ref="AP119:AP138" si="18">AJ119+AK119+AL119+AM119+AN119+AO119</f>
        <v>0</v>
      </c>
      <c r="AQ119" s="239"/>
      <c r="AR119" s="237" t="s">
        <v>1988</v>
      </c>
      <c r="AS119" s="244" t="s">
        <v>120</v>
      </c>
      <c r="AT119" s="244" t="s">
        <v>25</v>
      </c>
      <c r="AU119" s="244" t="s">
        <v>120</v>
      </c>
      <c r="AV119" s="244">
        <v>4211000</v>
      </c>
      <c r="AW119" s="233" t="s">
        <v>1514</v>
      </c>
      <c r="AX119" s="350" t="s">
        <v>1515</v>
      </c>
      <c r="AY119" s="233" t="s">
        <v>159</v>
      </c>
      <c r="AZ119" s="237"/>
      <c r="BA119" s="237"/>
      <c r="BB119" s="237"/>
      <c r="BC119" s="237"/>
      <c r="BD119" s="266"/>
      <c r="BE119" s="238"/>
      <c r="BF119" s="237"/>
    </row>
    <row r="120" spans="1:58" s="227" customFormat="1" ht="15" customHeight="1" x14ac:dyDescent="0.55000000000000004">
      <c r="A120" s="240">
        <v>44481</v>
      </c>
      <c r="B120" s="335" t="s">
        <v>41</v>
      </c>
      <c r="E120" s="240">
        <v>44008</v>
      </c>
      <c r="F120" s="246" t="s">
        <v>1989</v>
      </c>
      <c r="G120" s="228" t="s">
        <v>1990</v>
      </c>
      <c r="H120" s="248" t="s">
        <v>1991</v>
      </c>
      <c r="I120" s="341" t="s">
        <v>127</v>
      </c>
      <c r="J120" s="246" t="s">
        <v>1992</v>
      </c>
      <c r="K120" s="246" t="s">
        <v>1657</v>
      </c>
      <c r="L120" s="248" t="s">
        <v>1750</v>
      </c>
      <c r="M120" s="256" t="s">
        <v>1993</v>
      </c>
      <c r="N120" s="246" t="s">
        <v>1994</v>
      </c>
      <c r="O120" s="246" t="s">
        <v>1995</v>
      </c>
      <c r="P120" s="246" t="s">
        <v>1996</v>
      </c>
      <c r="Q120" s="249" t="s">
        <v>1997</v>
      </c>
      <c r="R120" s="229" t="s">
        <v>1998</v>
      </c>
      <c r="S120" s="246" t="s">
        <v>1992</v>
      </c>
      <c r="T120" s="246" t="s">
        <v>1657</v>
      </c>
      <c r="U120" s="246" t="s">
        <v>1999</v>
      </c>
      <c r="V120" s="250" t="s">
        <v>1993</v>
      </c>
      <c r="W120" s="246" t="s">
        <v>117</v>
      </c>
      <c r="X120" s="237" t="s">
        <v>137</v>
      </c>
      <c r="Y120" s="490" t="s">
        <v>2000</v>
      </c>
      <c r="Z120" s="227" t="s">
        <v>2001</v>
      </c>
      <c r="AA120" s="261" t="s">
        <v>2002</v>
      </c>
      <c r="AB120" s="227" t="s">
        <v>10</v>
      </c>
      <c r="AD120" s="245"/>
      <c r="AE120" s="241">
        <v>3</v>
      </c>
      <c r="AF120" s="241">
        <v>3</v>
      </c>
      <c r="AG120" s="241">
        <f t="shared" si="17"/>
        <v>6</v>
      </c>
      <c r="AI120" s="252"/>
      <c r="AJ120" s="253"/>
      <c r="AK120" s="253"/>
      <c r="AL120" s="253"/>
      <c r="AM120" s="253"/>
      <c r="AN120" s="253"/>
      <c r="AO120" s="253"/>
      <c r="AP120" s="253">
        <f t="shared" si="18"/>
        <v>0</v>
      </c>
      <c r="AQ120" s="240"/>
      <c r="AR120" s="227" t="s">
        <v>2003</v>
      </c>
      <c r="AS120" s="256" t="s">
        <v>120</v>
      </c>
      <c r="AT120" s="256" t="s">
        <v>19</v>
      </c>
      <c r="AU120" s="256" t="s">
        <v>120</v>
      </c>
      <c r="AV120" s="224">
        <v>2348000</v>
      </c>
      <c r="AW120" s="342" t="s">
        <v>343</v>
      </c>
      <c r="AX120" s="343" t="s">
        <v>1753</v>
      </c>
      <c r="AY120" s="335" t="s">
        <v>159</v>
      </c>
      <c r="BD120" s="255" t="str">
        <f ca="1">IF(ISBLANK(AD120),"",IF(AD120&lt;TODAY(),L120,""))</f>
        <v/>
      </c>
      <c r="BE120" s="259"/>
    </row>
    <row r="121" spans="1:58" s="227" customFormat="1" ht="15" customHeight="1" x14ac:dyDescent="0.55000000000000004">
      <c r="A121" s="240">
        <v>44490</v>
      </c>
      <c r="B121" s="335" t="s">
        <v>41</v>
      </c>
      <c r="E121" s="240">
        <v>43895</v>
      </c>
      <c r="F121" s="246" t="s">
        <v>2004</v>
      </c>
      <c r="G121" s="228" t="s">
        <v>2005</v>
      </c>
      <c r="H121" s="248" t="s">
        <v>2006</v>
      </c>
      <c r="I121" s="247" t="s">
        <v>145</v>
      </c>
      <c r="J121" s="246" t="s">
        <v>2007</v>
      </c>
      <c r="K121" s="246" t="s">
        <v>2008</v>
      </c>
      <c r="L121" s="248" t="s">
        <v>2009</v>
      </c>
      <c r="M121" s="256" t="s">
        <v>2010</v>
      </c>
      <c r="N121" s="246" t="s">
        <v>2011</v>
      </c>
      <c r="O121" s="246" t="s">
        <v>2012</v>
      </c>
      <c r="P121" s="246" t="s">
        <v>2013</v>
      </c>
      <c r="Q121" s="249" t="s">
        <v>2014</v>
      </c>
      <c r="R121" s="229" t="s">
        <v>2015</v>
      </c>
      <c r="S121" s="246" t="s">
        <v>2016</v>
      </c>
      <c r="T121" s="246"/>
      <c r="U121" s="246" t="s">
        <v>2017</v>
      </c>
      <c r="V121" s="250" t="s">
        <v>2018</v>
      </c>
      <c r="W121" s="246" t="s">
        <v>117</v>
      </c>
      <c r="X121" s="237" t="s">
        <v>118</v>
      </c>
      <c r="Y121" s="266"/>
      <c r="Z121" s="246" t="s">
        <v>2019</v>
      </c>
      <c r="AA121" s="261">
        <v>8028495</v>
      </c>
      <c r="AB121" s="227" t="s">
        <v>10</v>
      </c>
      <c r="AD121" s="245"/>
      <c r="AE121" s="241">
        <v>14</v>
      </c>
      <c r="AF121" s="241">
        <v>14</v>
      </c>
      <c r="AG121" s="241">
        <f t="shared" si="17"/>
        <v>28</v>
      </c>
      <c r="AI121" s="252"/>
      <c r="AJ121" s="253"/>
      <c r="AK121" s="253"/>
      <c r="AL121" s="253"/>
      <c r="AM121" s="253"/>
      <c r="AN121" s="253"/>
      <c r="AO121" s="253"/>
      <c r="AP121" s="253">
        <f t="shared" si="18"/>
        <v>0</v>
      </c>
      <c r="AQ121" s="240"/>
      <c r="AR121" s="227" t="s">
        <v>2020</v>
      </c>
      <c r="AS121" s="241" t="s">
        <v>120</v>
      </c>
      <c r="AT121" s="256" t="s">
        <v>12</v>
      </c>
      <c r="AU121" s="256" t="s">
        <v>189</v>
      </c>
      <c r="AV121" s="224">
        <v>3157000</v>
      </c>
      <c r="AW121" s="342" t="s">
        <v>343</v>
      </c>
      <c r="AX121" s="339" t="s">
        <v>2021</v>
      </c>
      <c r="AY121" s="335" t="s">
        <v>159</v>
      </c>
      <c r="AZ121" s="228"/>
      <c r="BD121" s="246"/>
      <c r="BE121" s="340"/>
      <c r="BF121" s="228"/>
    </row>
    <row r="122" spans="1:58" s="227" customFormat="1" ht="15" customHeight="1" x14ac:dyDescent="0.55000000000000004">
      <c r="A122" s="240">
        <v>44490</v>
      </c>
      <c r="B122" s="335" t="s">
        <v>41</v>
      </c>
      <c r="E122" s="240">
        <v>43895</v>
      </c>
      <c r="F122" s="246" t="s">
        <v>2022</v>
      </c>
      <c r="G122" s="228" t="s">
        <v>2023</v>
      </c>
      <c r="H122" s="248" t="s">
        <v>2024</v>
      </c>
      <c r="I122" s="341" t="s">
        <v>145</v>
      </c>
      <c r="J122" s="246" t="s">
        <v>2025</v>
      </c>
      <c r="K122" s="246"/>
      <c r="L122" s="248" t="s">
        <v>2026</v>
      </c>
      <c r="M122" s="256" t="s">
        <v>2027</v>
      </c>
      <c r="N122" s="246" t="s">
        <v>2028</v>
      </c>
      <c r="O122" s="246" t="s">
        <v>2029</v>
      </c>
      <c r="P122" s="246" t="s">
        <v>2030</v>
      </c>
      <c r="Q122" s="249" t="s">
        <v>2031</v>
      </c>
      <c r="R122" s="229" t="s">
        <v>2032</v>
      </c>
      <c r="S122" s="246" t="s">
        <v>2033</v>
      </c>
      <c r="T122" s="246"/>
      <c r="U122" s="246" t="s">
        <v>2026</v>
      </c>
      <c r="V122" s="250" t="s">
        <v>2027</v>
      </c>
      <c r="W122" s="246" t="s">
        <v>117</v>
      </c>
      <c r="X122" s="237" t="s">
        <v>118</v>
      </c>
      <c r="Y122" s="266"/>
      <c r="Z122" s="246" t="s">
        <v>2034</v>
      </c>
      <c r="AA122" s="261">
        <v>200697</v>
      </c>
      <c r="AB122" s="227" t="s">
        <v>10</v>
      </c>
      <c r="AD122" s="245"/>
      <c r="AE122" s="241"/>
      <c r="AF122" s="241"/>
      <c r="AG122" s="241">
        <f t="shared" si="17"/>
        <v>0</v>
      </c>
      <c r="AI122" s="252"/>
      <c r="AJ122" s="253"/>
      <c r="AK122" s="253"/>
      <c r="AL122" s="253"/>
      <c r="AM122" s="253"/>
      <c r="AN122" s="253"/>
      <c r="AO122" s="253"/>
      <c r="AP122" s="253">
        <f t="shared" si="18"/>
        <v>0</v>
      </c>
      <c r="AQ122" s="240"/>
      <c r="AR122" s="227" t="s">
        <v>2035</v>
      </c>
      <c r="AS122" s="241" t="s">
        <v>120</v>
      </c>
      <c r="AT122" s="256" t="s">
        <v>12</v>
      </c>
      <c r="AU122" s="256" t="s">
        <v>120</v>
      </c>
      <c r="AV122" s="241">
        <v>3119000</v>
      </c>
      <c r="AW122" s="365" t="s">
        <v>2036</v>
      </c>
      <c r="AX122" s="339" t="s">
        <v>2037</v>
      </c>
      <c r="AY122" s="335" t="s">
        <v>159</v>
      </c>
      <c r="BD122" s="255" t="str">
        <f ca="1">IF(ISBLANK(AD122),"",IF(AD122&lt;TODAY(),L122,""))</f>
        <v/>
      </c>
      <c r="BE122" s="259"/>
    </row>
    <row r="123" spans="1:58" s="227" customFormat="1" ht="15" customHeight="1" x14ac:dyDescent="0.55000000000000004">
      <c r="A123" s="240">
        <v>44490</v>
      </c>
      <c r="B123" s="335" t="s">
        <v>41</v>
      </c>
      <c r="E123" s="240">
        <v>43895</v>
      </c>
      <c r="F123" s="246" t="s">
        <v>2038</v>
      </c>
      <c r="G123" s="228" t="s">
        <v>2039</v>
      </c>
      <c r="H123" s="248" t="s">
        <v>2040</v>
      </c>
      <c r="I123" s="341" t="s">
        <v>145</v>
      </c>
      <c r="J123" s="246" t="s">
        <v>2041</v>
      </c>
      <c r="K123" s="246"/>
      <c r="L123" s="248" t="s">
        <v>2042</v>
      </c>
      <c r="M123" s="256" t="s">
        <v>2043</v>
      </c>
      <c r="N123" s="246" t="s">
        <v>2044</v>
      </c>
      <c r="O123" s="246" t="s">
        <v>2045</v>
      </c>
      <c r="P123" s="246" t="s">
        <v>243</v>
      </c>
      <c r="Q123" s="249" t="s">
        <v>2046</v>
      </c>
      <c r="R123" s="229" t="s">
        <v>2047</v>
      </c>
      <c r="S123" s="246" t="s">
        <v>2048</v>
      </c>
      <c r="T123" s="246"/>
      <c r="U123" s="246" t="s">
        <v>2042</v>
      </c>
      <c r="V123" s="250" t="s">
        <v>2043</v>
      </c>
      <c r="W123" s="246" t="s">
        <v>117</v>
      </c>
      <c r="X123" s="237" t="s">
        <v>118</v>
      </c>
      <c r="Y123" s="266"/>
      <c r="Z123" s="246" t="s">
        <v>2049</v>
      </c>
      <c r="AA123" s="261">
        <v>200865</v>
      </c>
      <c r="AB123" s="227" t="s">
        <v>10</v>
      </c>
      <c r="AD123" s="245"/>
      <c r="AE123" s="241"/>
      <c r="AF123" s="241"/>
      <c r="AG123" s="241">
        <f t="shared" si="17"/>
        <v>0</v>
      </c>
      <c r="AI123" s="252"/>
      <c r="AJ123" s="253"/>
      <c r="AK123" s="253"/>
      <c r="AL123" s="253"/>
      <c r="AM123" s="253"/>
      <c r="AN123" s="253"/>
      <c r="AO123" s="253"/>
      <c r="AP123" s="253">
        <f t="shared" si="18"/>
        <v>0</v>
      </c>
      <c r="AQ123" s="240"/>
      <c r="AR123" s="227" t="s">
        <v>2050</v>
      </c>
      <c r="AS123" s="256" t="s">
        <v>189</v>
      </c>
      <c r="AT123" s="256" t="s">
        <v>12</v>
      </c>
      <c r="AU123" s="256" t="s">
        <v>120</v>
      </c>
      <c r="AV123" s="224">
        <v>3284000</v>
      </c>
      <c r="AW123" s="226" t="s">
        <v>2051</v>
      </c>
      <c r="AX123" s="339" t="s">
        <v>2052</v>
      </c>
      <c r="AY123" s="335" t="s">
        <v>159</v>
      </c>
      <c r="BD123" s="255" t="str">
        <f ca="1">IF(ISBLANK(AD123),"",IF(AD123&lt;TODAY(),L123,""))</f>
        <v/>
      </c>
      <c r="BE123" s="382" t="s">
        <v>291</v>
      </c>
    </row>
    <row r="124" spans="1:58" s="227" customFormat="1" ht="15" customHeight="1" x14ac:dyDescent="0.55000000000000004">
      <c r="A124" s="240">
        <v>44490</v>
      </c>
      <c r="B124" s="335" t="s">
        <v>41</v>
      </c>
      <c r="E124" s="240">
        <v>43895</v>
      </c>
      <c r="F124" s="246" t="s">
        <v>2053</v>
      </c>
      <c r="G124" s="228" t="s">
        <v>2054</v>
      </c>
      <c r="H124" s="248" t="s">
        <v>2055</v>
      </c>
      <c r="I124" s="341" t="s">
        <v>145</v>
      </c>
      <c r="J124" s="246" t="s">
        <v>2056</v>
      </c>
      <c r="K124" s="246"/>
      <c r="L124" s="248" t="s">
        <v>2057</v>
      </c>
      <c r="M124" s="256" t="s">
        <v>2058</v>
      </c>
      <c r="N124" s="246" t="s">
        <v>2059</v>
      </c>
      <c r="O124" s="246" t="s">
        <v>2060</v>
      </c>
      <c r="P124" s="246" t="s">
        <v>243</v>
      </c>
      <c r="Q124" s="249" t="s">
        <v>2061</v>
      </c>
      <c r="R124" s="229" t="s">
        <v>2062</v>
      </c>
      <c r="S124" s="246" t="s">
        <v>2063</v>
      </c>
      <c r="T124" s="246"/>
      <c r="U124" s="246" t="s">
        <v>2057</v>
      </c>
      <c r="V124" s="250" t="s">
        <v>2058</v>
      </c>
      <c r="W124" s="246" t="s">
        <v>117</v>
      </c>
      <c r="X124" s="237" t="s">
        <v>118</v>
      </c>
      <c r="Y124" s="266"/>
      <c r="Z124" s="246" t="s">
        <v>2064</v>
      </c>
      <c r="AA124" s="261">
        <v>8030837</v>
      </c>
      <c r="AB124" s="227" t="s">
        <v>10</v>
      </c>
      <c r="AD124" s="245"/>
      <c r="AE124" s="241">
        <v>7</v>
      </c>
      <c r="AF124" s="241">
        <v>7</v>
      </c>
      <c r="AG124" s="241">
        <f t="shared" si="17"/>
        <v>14</v>
      </c>
      <c r="AI124" s="252"/>
      <c r="AJ124" s="253"/>
      <c r="AK124" s="253"/>
      <c r="AL124" s="253"/>
      <c r="AM124" s="253"/>
      <c r="AN124" s="253"/>
      <c r="AO124" s="253"/>
      <c r="AP124" s="253">
        <f t="shared" si="18"/>
        <v>0</v>
      </c>
      <c r="AQ124" s="240"/>
      <c r="AR124" s="227" t="s">
        <v>2065</v>
      </c>
      <c r="AS124" s="256" t="s">
        <v>120</v>
      </c>
      <c r="AT124" s="256" t="s">
        <v>12</v>
      </c>
      <c r="AU124" s="256" t="s">
        <v>120</v>
      </c>
      <c r="AV124" s="224">
        <v>3291000</v>
      </c>
      <c r="AW124" s="342" t="s">
        <v>343</v>
      </c>
      <c r="AX124" s="339" t="s">
        <v>2066</v>
      </c>
      <c r="AY124" s="335" t="s">
        <v>159</v>
      </c>
      <c r="BD124" s="255" t="str">
        <f ca="1">IF(ISBLANK(AD124),"",IF(AD124&lt;TODAY(),L124,""))</f>
        <v/>
      </c>
      <c r="BE124" s="382" t="s">
        <v>2067</v>
      </c>
    </row>
    <row r="125" spans="1:58" s="227" customFormat="1" ht="15" customHeight="1" x14ac:dyDescent="0.55000000000000004">
      <c r="A125" s="240">
        <v>44490</v>
      </c>
      <c r="B125" s="335" t="s">
        <v>41</v>
      </c>
      <c r="E125" s="240">
        <v>44155</v>
      </c>
      <c r="F125" s="227" t="s">
        <v>2068</v>
      </c>
      <c r="G125" s="228" t="s">
        <v>2069</v>
      </c>
      <c r="H125" s="387" t="s">
        <v>2070</v>
      </c>
      <c r="I125" s="247" t="s">
        <v>127</v>
      </c>
      <c r="J125" s="227" t="s">
        <v>2071</v>
      </c>
      <c r="K125" s="227" t="s">
        <v>2072</v>
      </c>
      <c r="L125" s="248" t="s">
        <v>2073</v>
      </c>
      <c r="M125" s="242" t="s">
        <v>2074</v>
      </c>
      <c r="N125" s="227" t="s">
        <v>2075</v>
      </c>
      <c r="O125" s="227" t="s">
        <v>2076</v>
      </c>
      <c r="P125" s="227" t="s">
        <v>1952</v>
      </c>
      <c r="Q125" s="249" t="s">
        <v>2077</v>
      </c>
      <c r="R125" s="336" t="s">
        <v>2078</v>
      </c>
      <c r="S125" s="227" t="s">
        <v>2079</v>
      </c>
      <c r="U125" s="227" t="s">
        <v>2073</v>
      </c>
      <c r="V125" s="337" t="s">
        <v>2074</v>
      </c>
      <c r="W125" s="227" t="s">
        <v>155</v>
      </c>
      <c r="X125" s="237" t="s">
        <v>235</v>
      </c>
      <c r="Y125" s="237" t="s">
        <v>2080</v>
      </c>
      <c r="Z125" s="227" t="s">
        <v>2081</v>
      </c>
      <c r="AA125" s="251">
        <v>7025189</v>
      </c>
      <c r="AB125" s="227" t="s">
        <v>10</v>
      </c>
      <c r="AD125" s="245"/>
      <c r="AE125" s="241">
        <v>4</v>
      </c>
      <c r="AF125" s="241">
        <v>4</v>
      </c>
      <c r="AG125" s="241">
        <f t="shared" si="17"/>
        <v>8</v>
      </c>
      <c r="AI125" s="252"/>
      <c r="AJ125" s="253"/>
      <c r="AK125" s="253"/>
      <c r="AL125" s="253"/>
      <c r="AM125" s="253"/>
      <c r="AN125" s="253"/>
      <c r="AO125" s="253"/>
      <c r="AP125" s="253">
        <f t="shared" si="18"/>
        <v>0</v>
      </c>
      <c r="AQ125" s="240"/>
      <c r="AR125" s="227" t="s">
        <v>2082</v>
      </c>
      <c r="AS125" s="256" t="s">
        <v>189</v>
      </c>
      <c r="AT125" s="256" t="s">
        <v>19</v>
      </c>
      <c r="AU125" s="256" t="s">
        <v>120</v>
      </c>
      <c r="AV125" s="241">
        <v>3035000</v>
      </c>
      <c r="AW125" s="233" t="s">
        <v>272</v>
      </c>
      <c r="AX125" s="343" t="s">
        <v>273</v>
      </c>
      <c r="AY125" s="335" t="s">
        <v>159</v>
      </c>
      <c r="AZ125" s="237"/>
      <c r="BA125" s="237"/>
      <c r="BB125" s="237"/>
      <c r="BC125" s="237"/>
      <c r="BD125" s="266"/>
      <c r="BE125" s="238"/>
      <c r="BF125" s="237"/>
    </row>
    <row r="126" spans="1:58" s="227" customFormat="1" ht="15" customHeight="1" x14ac:dyDescent="0.55000000000000004">
      <c r="A126" s="240">
        <v>44490</v>
      </c>
      <c r="B126" s="335" t="s">
        <v>41</v>
      </c>
      <c r="E126" s="240">
        <v>44225</v>
      </c>
      <c r="F126" s="227" t="s">
        <v>2083</v>
      </c>
      <c r="G126" s="228" t="s">
        <v>2084</v>
      </c>
      <c r="H126" s="387" t="s">
        <v>2085</v>
      </c>
      <c r="I126" s="247" t="s">
        <v>127</v>
      </c>
      <c r="J126" s="227" t="s">
        <v>2086</v>
      </c>
      <c r="K126" s="227" t="s">
        <v>2087</v>
      </c>
      <c r="L126" s="248" t="s">
        <v>2073</v>
      </c>
      <c r="M126" s="242" t="s">
        <v>2088</v>
      </c>
      <c r="N126" s="227" t="s">
        <v>2089</v>
      </c>
      <c r="O126" s="227" t="s">
        <v>2090</v>
      </c>
      <c r="P126" s="227" t="s">
        <v>1952</v>
      </c>
      <c r="Q126" s="249" t="s">
        <v>2091</v>
      </c>
      <c r="R126" s="336" t="s">
        <v>2092</v>
      </c>
      <c r="S126" s="227" t="s">
        <v>2093</v>
      </c>
      <c r="U126" s="227" t="s">
        <v>2073</v>
      </c>
      <c r="V126" s="337" t="s">
        <v>2088</v>
      </c>
      <c r="W126" s="227" t="s">
        <v>155</v>
      </c>
      <c r="X126" s="237" t="s">
        <v>235</v>
      </c>
      <c r="Y126" s="237" t="s">
        <v>2094</v>
      </c>
      <c r="Z126" s="227" t="s">
        <v>2095</v>
      </c>
      <c r="AA126" s="251">
        <v>7029321</v>
      </c>
      <c r="AB126" s="227" t="s">
        <v>10</v>
      </c>
      <c r="AD126" s="245"/>
      <c r="AE126" s="241">
        <v>2</v>
      </c>
      <c r="AF126" s="241">
        <v>2</v>
      </c>
      <c r="AG126" s="241">
        <f t="shared" si="17"/>
        <v>4</v>
      </c>
      <c r="AI126" s="252"/>
      <c r="AJ126" s="253"/>
      <c r="AK126" s="253"/>
      <c r="AL126" s="253"/>
      <c r="AM126" s="253"/>
      <c r="AN126" s="253"/>
      <c r="AO126" s="253"/>
      <c r="AP126" s="253">
        <f t="shared" si="18"/>
        <v>0</v>
      </c>
      <c r="AQ126" s="240"/>
      <c r="AR126" s="227" t="s">
        <v>2082</v>
      </c>
      <c r="AS126" s="256" t="s">
        <v>189</v>
      </c>
      <c r="AT126" s="256" t="s">
        <v>12</v>
      </c>
      <c r="AU126" s="256" t="s">
        <v>120</v>
      </c>
      <c r="AV126" s="241">
        <v>3035000</v>
      </c>
      <c r="AW126" s="233" t="s">
        <v>272</v>
      </c>
      <c r="AX126" s="339" t="s">
        <v>273</v>
      </c>
      <c r="AY126" s="335" t="s">
        <v>159</v>
      </c>
      <c r="AZ126" s="228"/>
      <c r="BD126" s="246"/>
      <c r="BE126" s="340"/>
      <c r="BF126" s="228"/>
    </row>
    <row r="127" spans="1:58" s="227" customFormat="1" ht="15" customHeight="1" x14ac:dyDescent="0.55000000000000004">
      <c r="A127" s="240">
        <v>44490</v>
      </c>
      <c r="B127" s="335" t="s">
        <v>41</v>
      </c>
      <c r="E127" s="240">
        <v>44166</v>
      </c>
      <c r="F127" s="227" t="s">
        <v>2096</v>
      </c>
      <c r="G127" s="228" t="s">
        <v>2097</v>
      </c>
      <c r="H127" s="387" t="s">
        <v>2098</v>
      </c>
      <c r="I127" s="247" t="s">
        <v>127</v>
      </c>
      <c r="J127" s="227" t="s">
        <v>2099</v>
      </c>
      <c r="L127" s="248" t="s">
        <v>2100</v>
      </c>
      <c r="M127" s="242" t="s">
        <v>2101</v>
      </c>
      <c r="N127" s="227" t="s">
        <v>1744</v>
      </c>
      <c r="O127" s="227" t="s">
        <v>2102</v>
      </c>
      <c r="P127" s="227" t="s">
        <v>2103</v>
      </c>
      <c r="Q127" s="249" t="s">
        <v>2104</v>
      </c>
      <c r="R127" s="336" t="s">
        <v>2105</v>
      </c>
      <c r="S127" s="227" t="s">
        <v>2106</v>
      </c>
      <c r="U127" s="227" t="s">
        <v>2100</v>
      </c>
      <c r="V127" s="337" t="s">
        <v>2101</v>
      </c>
      <c r="W127" s="227" t="s">
        <v>155</v>
      </c>
      <c r="X127" s="237" t="s">
        <v>235</v>
      </c>
      <c r="Y127" s="237" t="s">
        <v>2107</v>
      </c>
      <c r="Z127" s="227" t="s">
        <v>2108</v>
      </c>
      <c r="AA127" s="251">
        <v>698728</v>
      </c>
      <c r="AB127" s="227" t="s">
        <v>10</v>
      </c>
      <c r="AD127" s="245"/>
      <c r="AE127" s="241">
        <v>2</v>
      </c>
      <c r="AF127" s="241">
        <v>2</v>
      </c>
      <c r="AG127" s="241">
        <f t="shared" si="17"/>
        <v>4</v>
      </c>
      <c r="AI127" s="252"/>
      <c r="AJ127" s="253"/>
      <c r="AK127" s="253"/>
      <c r="AL127" s="253"/>
      <c r="AM127" s="253"/>
      <c r="AN127" s="253"/>
      <c r="AO127" s="253"/>
      <c r="AP127" s="253">
        <f t="shared" si="18"/>
        <v>0</v>
      </c>
      <c r="AQ127" s="240"/>
      <c r="AR127" s="227" t="s">
        <v>2109</v>
      </c>
      <c r="AS127" s="241" t="s">
        <v>120</v>
      </c>
      <c r="AT127" s="256" t="s">
        <v>12</v>
      </c>
      <c r="AU127" s="256" t="s">
        <v>120</v>
      </c>
      <c r="AV127" s="224">
        <v>3149000</v>
      </c>
      <c r="AW127" s="342" t="s">
        <v>343</v>
      </c>
      <c r="AX127" s="343" t="s">
        <v>1419</v>
      </c>
      <c r="AY127" s="233" t="s">
        <v>159</v>
      </c>
      <c r="AZ127" s="237"/>
      <c r="BA127" s="237"/>
      <c r="BB127" s="237"/>
      <c r="BC127" s="237"/>
      <c r="BD127" s="255" t="str">
        <f ca="1">IF(ISBLANK(AD127),"",IF(AD127&lt;TODAY(),L127,""))</f>
        <v/>
      </c>
      <c r="BE127" s="340"/>
      <c r="BF127" s="378"/>
    </row>
    <row r="128" spans="1:58" s="227" customFormat="1" ht="15" customHeight="1" x14ac:dyDescent="0.55000000000000004">
      <c r="A128" s="240">
        <v>44490</v>
      </c>
      <c r="B128" s="335" t="s">
        <v>41</v>
      </c>
      <c r="E128" s="240">
        <v>44201</v>
      </c>
      <c r="F128" s="227" t="s">
        <v>2110</v>
      </c>
      <c r="G128" s="228" t="s">
        <v>2111</v>
      </c>
      <c r="H128" s="387" t="s">
        <v>2112</v>
      </c>
      <c r="I128" s="247" t="s">
        <v>127</v>
      </c>
      <c r="J128" s="227" t="s">
        <v>2113</v>
      </c>
      <c r="L128" s="248" t="s">
        <v>933</v>
      </c>
      <c r="M128" s="446">
        <v>2151</v>
      </c>
      <c r="N128" s="227" t="s">
        <v>1410</v>
      </c>
      <c r="O128" s="227" t="s">
        <v>2114</v>
      </c>
      <c r="P128" s="227" t="s">
        <v>133</v>
      </c>
      <c r="Q128" s="249" t="s">
        <v>2115</v>
      </c>
      <c r="R128" s="336" t="s">
        <v>2116</v>
      </c>
      <c r="S128" s="227" t="s">
        <v>2112</v>
      </c>
      <c r="T128" s="227" t="s">
        <v>2117</v>
      </c>
      <c r="U128" s="227" t="s">
        <v>933</v>
      </c>
      <c r="V128" s="337" t="s">
        <v>926</v>
      </c>
      <c r="W128" s="227" t="s">
        <v>155</v>
      </c>
      <c r="X128" s="237" t="s">
        <v>118</v>
      </c>
      <c r="Y128" s="237" t="s">
        <v>2118</v>
      </c>
      <c r="Z128" s="227" t="s">
        <v>2119</v>
      </c>
      <c r="AA128" s="251">
        <v>693457</v>
      </c>
      <c r="AB128" s="227" t="s">
        <v>10</v>
      </c>
      <c r="AD128" s="245"/>
      <c r="AE128" s="241">
        <v>2</v>
      </c>
      <c r="AF128" s="241">
        <v>2</v>
      </c>
      <c r="AG128" s="241">
        <f t="shared" si="17"/>
        <v>4</v>
      </c>
      <c r="AI128" s="252"/>
      <c r="AJ128" s="253"/>
      <c r="AK128" s="253"/>
      <c r="AL128" s="253"/>
      <c r="AM128" s="253"/>
      <c r="AN128" s="253"/>
      <c r="AO128" s="253"/>
      <c r="AP128" s="253">
        <f t="shared" si="18"/>
        <v>0</v>
      </c>
      <c r="AQ128" s="240"/>
      <c r="AR128" s="227" t="s">
        <v>2082</v>
      </c>
      <c r="AS128" s="241" t="s">
        <v>189</v>
      </c>
      <c r="AT128" s="256" t="s">
        <v>12</v>
      </c>
      <c r="AU128" s="256" t="s">
        <v>120</v>
      </c>
      <c r="AV128" s="224">
        <v>3248000</v>
      </c>
      <c r="AW128" s="313" t="s">
        <v>343</v>
      </c>
      <c r="AX128" s="343" t="s">
        <v>937</v>
      </c>
      <c r="AY128" s="233" t="s">
        <v>159</v>
      </c>
      <c r="BD128" s="255" t="str">
        <f ca="1">IF(ISBLANK(AD128),"",IF(AD128&lt;TODAY(),L128,""))</f>
        <v/>
      </c>
      <c r="BE128" s="340"/>
    </row>
    <row r="129" spans="1:58" s="227" customFormat="1" ht="15" customHeight="1" x14ac:dyDescent="0.55000000000000004">
      <c r="A129" s="240">
        <v>44490</v>
      </c>
      <c r="B129" s="335" t="s">
        <v>41</v>
      </c>
      <c r="E129" s="240">
        <v>44204</v>
      </c>
      <c r="F129" s="227" t="s">
        <v>2120</v>
      </c>
      <c r="G129" s="228" t="s">
        <v>2121</v>
      </c>
      <c r="H129" s="387" t="s">
        <v>2122</v>
      </c>
      <c r="I129" s="247" t="s">
        <v>127</v>
      </c>
      <c r="J129" s="227" t="s">
        <v>2123</v>
      </c>
      <c r="L129" s="248" t="s">
        <v>933</v>
      </c>
      <c r="M129" s="242" t="s">
        <v>926</v>
      </c>
      <c r="N129" s="227" t="s">
        <v>2124</v>
      </c>
      <c r="O129" s="227" t="s">
        <v>2125</v>
      </c>
      <c r="P129" s="227" t="s">
        <v>133</v>
      </c>
      <c r="Q129" s="249" t="s">
        <v>2126</v>
      </c>
      <c r="R129" s="336" t="s">
        <v>2127</v>
      </c>
      <c r="S129" s="227" t="s">
        <v>2128</v>
      </c>
      <c r="U129" s="227" t="s">
        <v>933</v>
      </c>
      <c r="V129" s="337" t="s">
        <v>926</v>
      </c>
      <c r="W129" s="227" t="s">
        <v>117</v>
      </c>
      <c r="X129" s="237" t="s">
        <v>137</v>
      </c>
      <c r="Y129" s="237" t="s">
        <v>2129</v>
      </c>
      <c r="Z129" s="227" t="s">
        <v>2130</v>
      </c>
      <c r="AA129" s="251">
        <v>7025745</v>
      </c>
      <c r="AB129" s="227" t="s">
        <v>10</v>
      </c>
      <c r="AD129" s="245"/>
      <c r="AE129" s="241">
        <v>2</v>
      </c>
      <c r="AF129" s="241">
        <v>2</v>
      </c>
      <c r="AG129" s="241">
        <f t="shared" si="17"/>
        <v>4</v>
      </c>
      <c r="AI129" s="252"/>
      <c r="AJ129" s="253"/>
      <c r="AK129" s="253"/>
      <c r="AL129" s="253"/>
      <c r="AM129" s="253"/>
      <c r="AN129" s="253"/>
      <c r="AO129" s="253"/>
      <c r="AP129" s="253">
        <f t="shared" si="18"/>
        <v>0</v>
      </c>
      <c r="AQ129" s="240"/>
      <c r="AR129" s="227" t="s">
        <v>2082</v>
      </c>
      <c r="AS129" s="241" t="s">
        <v>189</v>
      </c>
      <c r="AT129" s="256" t="s">
        <v>12</v>
      </c>
      <c r="AU129" s="256" t="s">
        <v>120</v>
      </c>
      <c r="AV129" s="224">
        <v>3248000</v>
      </c>
      <c r="AW129" s="313" t="s">
        <v>343</v>
      </c>
      <c r="AX129" s="343" t="s">
        <v>937</v>
      </c>
      <c r="AY129" s="233" t="s">
        <v>159</v>
      </c>
      <c r="BD129" s="255" t="str">
        <f ca="1">IF(ISBLANK(AD129),"",IF(AD129&lt;TODAY(),L129,""))</f>
        <v/>
      </c>
      <c r="BE129" s="259"/>
    </row>
    <row r="130" spans="1:58" s="227" customFormat="1" ht="15" customHeight="1" x14ac:dyDescent="0.55000000000000004">
      <c r="A130" s="240">
        <v>44490</v>
      </c>
      <c r="B130" s="335" t="s">
        <v>41</v>
      </c>
      <c r="E130" s="240">
        <v>44298</v>
      </c>
      <c r="F130" s="227" t="s">
        <v>2131</v>
      </c>
      <c r="G130" s="227" t="s">
        <v>2132</v>
      </c>
      <c r="H130" s="387" t="s">
        <v>2133</v>
      </c>
      <c r="I130" s="247" t="s">
        <v>145</v>
      </c>
      <c r="J130" s="227" t="s">
        <v>2134</v>
      </c>
      <c r="L130" s="248" t="s">
        <v>1533</v>
      </c>
      <c r="M130" s="242" t="s">
        <v>1534</v>
      </c>
      <c r="N130" s="227" t="s">
        <v>2135</v>
      </c>
      <c r="O130" s="227" t="s">
        <v>2136</v>
      </c>
      <c r="P130" s="227" t="s">
        <v>243</v>
      </c>
      <c r="Q130" s="249" t="s">
        <v>2137</v>
      </c>
      <c r="R130" s="336" t="s">
        <v>2138</v>
      </c>
      <c r="S130" s="227" t="s">
        <v>2134</v>
      </c>
      <c r="U130" s="227" t="s">
        <v>1533</v>
      </c>
      <c r="V130" s="337" t="s">
        <v>1534</v>
      </c>
      <c r="W130" s="227" t="s">
        <v>155</v>
      </c>
      <c r="X130" s="237" t="s">
        <v>137</v>
      </c>
      <c r="Y130" s="237"/>
      <c r="Z130" s="227" t="s">
        <v>2139</v>
      </c>
      <c r="AA130" s="251">
        <v>8029593</v>
      </c>
      <c r="AB130" s="227" t="s">
        <v>10</v>
      </c>
      <c r="AD130" s="245"/>
      <c r="AE130" s="241"/>
      <c r="AF130" s="241"/>
      <c r="AG130" s="241">
        <f t="shared" si="17"/>
        <v>0</v>
      </c>
      <c r="AI130" s="252"/>
      <c r="AJ130" s="253"/>
      <c r="AK130" s="253"/>
      <c r="AL130" s="253"/>
      <c r="AM130" s="253"/>
      <c r="AN130" s="253"/>
      <c r="AO130" s="253"/>
      <c r="AP130" s="253">
        <f t="shared" si="18"/>
        <v>0</v>
      </c>
      <c r="AQ130" s="240"/>
      <c r="AR130" s="227" t="s">
        <v>2082</v>
      </c>
      <c r="AS130" s="231" t="s">
        <v>189</v>
      </c>
      <c r="AT130" s="232" t="s">
        <v>25</v>
      </c>
      <c r="AU130" s="232" t="s">
        <v>120</v>
      </c>
      <c r="AV130" s="241">
        <v>3274000</v>
      </c>
      <c r="AW130" s="233" t="s">
        <v>2140</v>
      </c>
      <c r="AX130" s="343" t="s">
        <v>1543</v>
      </c>
      <c r="AY130" s="236" t="s">
        <v>274</v>
      </c>
      <c r="BD130" s="255" t="str">
        <f ca="1">IF(ISBLANK(AD130),"",IF(AD130&lt;TODAY(),L130,""))</f>
        <v/>
      </c>
      <c r="BE130" s="340" t="s">
        <v>2141</v>
      </c>
    </row>
    <row r="131" spans="1:58" s="237" customFormat="1" ht="15" customHeight="1" x14ac:dyDescent="0.55000000000000004">
      <c r="A131" s="240">
        <v>44490</v>
      </c>
      <c r="B131" s="335" t="s">
        <v>41</v>
      </c>
      <c r="C131" s="227"/>
      <c r="D131" s="227"/>
      <c r="E131" s="240">
        <v>44008</v>
      </c>
      <c r="F131" s="227" t="s">
        <v>2142</v>
      </c>
      <c r="G131" s="228" t="s">
        <v>2143</v>
      </c>
      <c r="H131" s="387" t="s">
        <v>2144</v>
      </c>
      <c r="I131" s="247" t="s">
        <v>127</v>
      </c>
      <c r="J131" s="227" t="s">
        <v>2145</v>
      </c>
      <c r="K131" s="227"/>
      <c r="L131" s="248" t="s">
        <v>1999</v>
      </c>
      <c r="M131" s="241" t="s">
        <v>2146</v>
      </c>
      <c r="N131" s="227" t="s">
        <v>2147</v>
      </c>
      <c r="O131" s="227" t="s">
        <v>2148</v>
      </c>
      <c r="P131" s="227" t="s">
        <v>760</v>
      </c>
      <c r="Q131" s="249" t="s">
        <v>2149</v>
      </c>
      <c r="R131" s="336" t="s">
        <v>2150</v>
      </c>
      <c r="S131" s="227" t="s">
        <v>2151</v>
      </c>
      <c r="T131" s="227"/>
      <c r="U131" s="227" t="s">
        <v>1999</v>
      </c>
      <c r="V131" s="250" t="s">
        <v>2146</v>
      </c>
      <c r="W131" s="227" t="s">
        <v>155</v>
      </c>
      <c r="X131" s="237" t="s">
        <v>137</v>
      </c>
      <c r="Y131" s="237" t="s">
        <v>2152</v>
      </c>
      <c r="Z131" s="227" t="s">
        <v>2153</v>
      </c>
      <c r="AA131" s="251" t="s">
        <v>2154</v>
      </c>
      <c r="AB131" s="227" t="s">
        <v>10</v>
      </c>
      <c r="AC131" s="227"/>
      <c r="AD131" s="245"/>
      <c r="AE131" s="241">
        <v>3</v>
      </c>
      <c r="AF131" s="241">
        <v>3</v>
      </c>
      <c r="AG131" s="241">
        <f t="shared" si="17"/>
        <v>6</v>
      </c>
      <c r="AH131" s="227"/>
      <c r="AI131" s="252"/>
      <c r="AJ131" s="253"/>
      <c r="AK131" s="253"/>
      <c r="AL131" s="253"/>
      <c r="AM131" s="253"/>
      <c r="AN131" s="253"/>
      <c r="AO131" s="253"/>
      <c r="AP131" s="253">
        <f t="shared" si="18"/>
        <v>0</v>
      </c>
      <c r="AQ131" s="240"/>
      <c r="AR131" s="227" t="s">
        <v>2155</v>
      </c>
      <c r="AS131" s="256" t="s">
        <v>120</v>
      </c>
      <c r="AT131" s="256" t="s">
        <v>19</v>
      </c>
      <c r="AU131" s="256" t="s">
        <v>120</v>
      </c>
      <c r="AV131" s="386">
        <v>2348000</v>
      </c>
      <c r="AW131" s="342" t="s">
        <v>343</v>
      </c>
      <c r="AX131" s="343" t="s">
        <v>1753</v>
      </c>
      <c r="AY131" s="335" t="s">
        <v>159</v>
      </c>
      <c r="AZ131" s="227"/>
      <c r="BA131" s="227"/>
      <c r="BB131" s="227"/>
      <c r="BC131" s="227"/>
      <c r="BD131" s="255" t="str">
        <f ca="1">IF(ISBLANK(AD131),"",IF(AD131&lt;TODAY(),L131,""))</f>
        <v/>
      </c>
      <c r="BE131" s="259" t="s">
        <v>409</v>
      </c>
      <c r="BF131" s="227"/>
    </row>
    <row r="132" spans="1:58" s="237" customFormat="1" ht="15" customHeight="1" x14ac:dyDescent="0.55000000000000004">
      <c r="A132" s="240">
        <v>44490</v>
      </c>
      <c r="B132" s="335" t="s">
        <v>41</v>
      </c>
      <c r="C132" s="227"/>
      <c r="D132" s="227"/>
      <c r="E132" s="240">
        <v>44298</v>
      </c>
      <c r="F132" s="227" t="s">
        <v>2156</v>
      </c>
      <c r="G132" s="227" t="s">
        <v>2157</v>
      </c>
      <c r="H132" s="387" t="s">
        <v>2158</v>
      </c>
      <c r="I132" s="247" t="s">
        <v>127</v>
      </c>
      <c r="J132" s="227" t="s">
        <v>2159</v>
      </c>
      <c r="K132" s="227"/>
      <c r="L132" s="248" t="s">
        <v>2042</v>
      </c>
      <c r="M132" s="242" t="s">
        <v>2043</v>
      </c>
      <c r="N132" s="227" t="s">
        <v>1731</v>
      </c>
      <c r="O132" s="227" t="s">
        <v>2160</v>
      </c>
      <c r="P132" s="227" t="s">
        <v>2161</v>
      </c>
      <c r="Q132" s="249" t="s">
        <v>2162</v>
      </c>
      <c r="R132" s="336" t="s">
        <v>2163</v>
      </c>
      <c r="S132" s="227" t="s">
        <v>2159</v>
      </c>
      <c r="T132" s="227"/>
      <c r="U132" s="227" t="s">
        <v>2042</v>
      </c>
      <c r="V132" s="250">
        <v>2180</v>
      </c>
      <c r="W132" s="227" t="s">
        <v>117</v>
      </c>
      <c r="X132" s="266" t="s">
        <v>235</v>
      </c>
      <c r="Z132" s="227" t="s">
        <v>2164</v>
      </c>
      <c r="AA132" s="251">
        <v>8031059</v>
      </c>
      <c r="AB132" s="227" t="s">
        <v>10</v>
      </c>
      <c r="AC132" s="227"/>
      <c r="AD132" s="245"/>
      <c r="AE132" s="241">
        <v>3</v>
      </c>
      <c r="AF132" s="241">
        <v>3</v>
      </c>
      <c r="AG132" s="241">
        <f t="shared" si="17"/>
        <v>6</v>
      </c>
      <c r="AH132" s="227"/>
      <c r="AI132" s="252"/>
      <c r="AJ132" s="253"/>
      <c r="AK132" s="253"/>
      <c r="AL132" s="253"/>
      <c r="AM132" s="253"/>
      <c r="AN132" s="253"/>
      <c r="AO132" s="253"/>
      <c r="AP132" s="253">
        <f t="shared" si="18"/>
        <v>0</v>
      </c>
      <c r="AQ132" s="240"/>
      <c r="AR132" s="227" t="s">
        <v>2020</v>
      </c>
      <c r="AS132" s="231" t="s">
        <v>189</v>
      </c>
      <c r="AT132" s="232" t="s">
        <v>12</v>
      </c>
      <c r="AU132" s="232" t="s">
        <v>120</v>
      </c>
      <c r="AV132" s="241">
        <v>3284000</v>
      </c>
      <c r="AW132" s="233" t="s">
        <v>2051</v>
      </c>
      <c r="AX132" s="343" t="s">
        <v>2052</v>
      </c>
      <c r="AY132" s="236" t="s">
        <v>274</v>
      </c>
      <c r="BD132" s="266"/>
      <c r="BE132" s="238"/>
    </row>
    <row r="133" spans="1:58" s="237" customFormat="1" ht="15" customHeight="1" x14ac:dyDescent="1.05">
      <c r="A133" s="240">
        <v>44474</v>
      </c>
      <c r="B133" s="335" t="s">
        <v>39</v>
      </c>
      <c r="C133" s="227"/>
      <c r="D133" s="227"/>
      <c r="E133" s="240">
        <v>44291</v>
      </c>
      <c r="F133" s="227" t="s">
        <v>2165</v>
      </c>
      <c r="G133" s="227" t="s">
        <v>1241</v>
      </c>
      <c r="H133" s="387" t="s">
        <v>1242</v>
      </c>
      <c r="I133" s="247" t="s">
        <v>145</v>
      </c>
      <c r="J133" s="227" t="s">
        <v>2166</v>
      </c>
      <c r="K133" s="227"/>
      <c r="L133" s="248" t="s">
        <v>1228</v>
      </c>
      <c r="M133" s="242" t="s">
        <v>1229</v>
      </c>
      <c r="N133" s="227" t="s">
        <v>2167</v>
      </c>
      <c r="O133" s="227" t="s">
        <v>2168</v>
      </c>
      <c r="P133" s="227" t="s">
        <v>243</v>
      </c>
      <c r="Q133" s="249" t="s">
        <v>2169</v>
      </c>
      <c r="R133" s="441" t="s">
        <v>2170</v>
      </c>
      <c r="S133" s="227" t="s">
        <v>2171</v>
      </c>
      <c r="T133" s="227"/>
      <c r="U133" s="227" t="s">
        <v>1228</v>
      </c>
      <c r="V133" s="250">
        <v>2138</v>
      </c>
      <c r="W133" s="227" t="s">
        <v>117</v>
      </c>
      <c r="X133" s="237" t="s">
        <v>137</v>
      </c>
      <c r="Z133" s="227"/>
      <c r="AA133" s="251" t="s">
        <v>2172</v>
      </c>
      <c r="AB133" s="227" t="s">
        <v>10</v>
      </c>
      <c r="AC133" s="227"/>
      <c r="AD133" s="245"/>
      <c r="AE133" s="241">
        <v>11</v>
      </c>
      <c r="AF133" s="241">
        <v>11</v>
      </c>
      <c r="AG133" s="241">
        <f t="shared" si="17"/>
        <v>22</v>
      </c>
      <c r="AH133" s="227"/>
      <c r="AI133" s="252"/>
      <c r="AJ133" s="253"/>
      <c r="AK133" s="253"/>
      <c r="AL133" s="253"/>
      <c r="AM133" s="253"/>
      <c r="AN133" s="253"/>
      <c r="AO133" s="253"/>
      <c r="AP133" s="253">
        <f t="shared" si="18"/>
        <v>0</v>
      </c>
      <c r="AQ133" s="240"/>
      <c r="AR133" s="227" t="s">
        <v>2173</v>
      </c>
      <c r="AS133" s="241" t="s">
        <v>120</v>
      </c>
      <c r="AT133" s="256" t="s">
        <v>12</v>
      </c>
      <c r="AU133" s="256" t="s">
        <v>120</v>
      </c>
      <c r="AV133" s="241">
        <v>3314000</v>
      </c>
      <c r="AW133" s="226" t="s">
        <v>1237</v>
      </c>
      <c r="AX133" s="350" t="s">
        <v>1238</v>
      </c>
      <c r="AY133" s="335" t="s">
        <v>159</v>
      </c>
      <c r="AZ133" s="227"/>
      <c r="BA133" s="227"/>
      <c r="BB133" s="227"/>
      <c r="BC133" s="227"/>
      <c r="BD133" s="255" t="str">
        <f ca="1">IF(ISBLANK(AD133),"",IF(AD133&lt;TODAY(),L133,""))</f>
        <v/>
      </c>
      <c r="BE133" s="259" t="s">
        <v>311</v>
      </c>
      <c r="BF133" s="227"/>
    </row>
    <row r="134" spans="1:58" s="237" customFormat="1" ht="15" customHeight="1" x14ac:dyDescent="0.55000000000000004">
      <c r="A134" s="240">
        <v>44474</v>
      </c>
      <c r="B134" s="335" t="s">
        <v>39</v>
      </c>
      <c r="C134" s="227"/>
      <c r="D134" s="227"/>
      <c r="E134" s="240">
        <v>43894</v>
      </c>
      <c r="F134" s="246" t="s">
        <v>2174</v>
      </c>
      <c r="G134" s="228" t="s">
        <v>2175</v>
      </c>
      <c r="H134" s="248" t="s">
        <v>2176</v>
      </c>
      <c r="I134" s="341" t="s">
        <v>145</v>
      </c>
      <c r="J134" s="246" t="s">
        <v>2177</v>
      </c>
      <c r="K134" s="246"/>
      <c r="L134" s="248" t="s">
        <v>837</v>
      </c>
      <c r="M134" s="256" t="s">
        <v>838</v>
      </c>
      <c r="N134" s="246" t="s">
        <v>2178</v>
      </c>
      <c r="O134" s="246" t="s">
        <v>2179</v>
      </c>
      <c r="P134" s="246" t="s">
        <v>243</v>
      </c>
      <c r="Q134" s="249" t="s">
        <v>1497</v>
      </c>
      <c r="R134" s="229" t="s">
        <v>2180</v>
      </c>
      <c r="S134" s="246" t="s">
        <v>1499</v>
      </c>
      <c r="T134" s="246"/>
      <c r="U134" s="246" t="s">
        <v>837</v>
      </c>
      <c r="V134" s="250" t="s">
        <v>838</v>
      </c>
      <c r="W134" s="246" t="s">
        <v>117</v>
      </c>
      <c r="X134" s="237" t="s">
        <v>118</v>
      </c>
      <c r="Y134" s="266"/>
      <c r="Z134" s="246" t="s">
        <v>2181</v>
      </c>
      <c r="AA134" s="261" t="s">
        <v>2182</v>
      </c>
      <c r="AB134" s="227" t="s">
        <v>10</v>
      </c>
      <c r="AC134" s="227"/>
      <c r="AD134" s="245"/>
      <c r="AE134" s="241">
        <v>20</v>
      </c>
      <c r="AF134" s="241">
        <v>20</v>
      </c>
      <c r="AG134" s="241">
        <f t="shared" si="17"/>
        <v>40</v>
      </c>
      <c r="AH134" s="227"/>
      <c r="AI134" s="252"/>
      <c r="AJ134" s="253"/>
      <c r="AK134" s="253"/>
      <c r="AL134" s="253"/>
      <c r="AM134" s="253"/>
      <c r="AN134" s="253"/>
      <c r="AO134" s="253"/>
      <c r="AP134" s="253">
        <f t="shared" si="18"/>
        <v>0</v>
      </c>
      <c r="AQ134" s="240"/>
      <c r="AR134" s="227" t="s">
        <v>2183</v>
      </c>
      <c r="AS134" s="256" t="s">
        <v>120</v>
      </c>
      <c r="AT134" s="256" t="s">
        <v>25</v>
      </c>
      <c r="AU134" s="256" t="s">
        <v>120</v>
      </c>
      <c r="AV134" s="224">
        <v>4201000</v>
      </c>
      <c r="AW134" s="226" t="s">
        <v>847</v>
      </c>
      <c r="AX134" s="339" t="s">
        <v>848</v>
      </c>
      <c r="AY134" s="335" t="s">
        <v>159</v>
      </c>
      <c r="AZ134" s="227"/>
      <c r="BA134" s="227"/>
      <c r="BB134" s="227"/>
      <c r="BC134" s="227"/>
      <c r="BD134" s="255" t="str">
        <f ca="1">IF(ISBLANK(AD134),"",IF(AD134&lt;TODAY(),L134,""))</f>
        <v/>
      </c>
      <c r="BE134" s="259" t="s">
        <v>2184</v>
      </c>
      <c r="BF134" s="227"/>
    </row>
    <row r="135" spans="1:58" s="237" customFormat="1" ht="15" customHeight="1" x14ac:dyDescent="1.05">
      <c r="A135" s="239">
        <v>44474</v>
      </c>
      <c r="B135" s="233" t="s">
        <v>39</v>
      </c>
      <c r="E135" s="239">
        <v>44397</v>
      </c>
      <c r="F135" s="233" t="s">
        <v>2185</v>
      </c>
      <c r="G135" s="228" t="s">
        <v>2186</v>
      </c>
      <c r="H135" s="356" t="s">
        <v>2187</v>
      </c>
      <c r="I135" s="289" t="s">
        <v>127</v>
      </c>
      <c r="J135" s="228" t="s">
        <v>2188</v>
      </c>
      <c r="K135" s="233"/>
      <c r="L135" s="248" t="s">
        <v>885</v>
      </c>
      <c r="M135" s="256" t="s">
        <v>886</v>
      </c>
      <c r="N135" s="228" t="s">
        <v>2189</v>
      </c>
      <c r="O135" s="233" t="s">
        <v>2190</v>
      </c>
      <c r="P135" s="228" t="s">
        <v>929</v>
      </c>
      <c r="Q135" s="233" t="s">
        <v>2191</v>
      </c>
      <c r="R135" s="228" t="s">
        <v>2192</v>
      </c>
      <c r="S135" s="233" t="s">
        <v>2193</v>
      </c>
      <c r="T135" s="233"/>
      <c r="U135" s="228" t="s">
        <v>905</v>
      </c>
      <c r="V135" s="415" t="s">
        <v>886</v>
      </c>
      <c r="W135" s="233" t="s">
        <v>117</v>
      </c>
      <c r="X135" s="237" t="s">
        <v>118</v>
      </c>
      <c r="Z135" s="399" t="s">
        <v>2194</v>
      </c>
      <c r="AA135" s="261">
        <v>8028910</v>
      </c>
      <c r="AB135" s="237" t="s">
        <v>203</v>
      </c>
      <c r="AC135" s="237" t="s">
        <v>2195</v>
      </c>
      <c r="AD135" s="245">
        <v>44486</v>
      </c>
      <c r="AE135" s="244">
        <v>4</v>
      </c>
      <c r="AF135" s="244">
        <v>4</v>
      </c>
      <c r="AG135" s="241">
        <f t="shared" si="17"/>
        <v>8</v>
      </c>
      <c r="AH135" s="237" t="s">
        <v>28</v>
      </c>
      <c r="AI135" s="257"/>
      <c r="AJ135" s="258"/>
      <c r="AK135" s="258"/>
      <c r="AL135" s="258"/>
      <c r="AM135" s="258"/>
      <c r="AN135" s="258"/>
      <c r="AO135" s="258"/>
      <c r="AP135" s="253">
        <f t="shared" si="18"/>
        <v>0</v>
      </c>
      <c r="AQ135" s="239"/>
      <c r="AR135" s="237" t="s">
        <v>2196</v>
      </c>
      <c r="AS135" s="244" t="s">
        <v>120</v>
      </c>
      <c r="AT135" s="244" t="s">
        <v>31</v>
      </c>
      <c r="AU135" s="244" t="s">
        <v>120</v>
      </c>
      <c r="AV135" s="244">
        <v>1236000</v>
      </c>
      <c r="AW135" s="233" t="s">
        <v>898</v>
      </c>
      <c r="AX135" s="350" t="s">
        <v>899</v>
      </c>
      <c r="AY135" s="233" t="s">
        <v>159</v>
      </c>
      <c r="AZ135" s="227"/>
      <c r="BA135" s="227"/>
      <c r="BB135" s="227"/>
      <c r="BC135" s="227"/>
      <c r="BD135" s="255" t="str">
        <f ca="1">IF(ISBLANK(AD135),"",IF(AD135&lt;TODAY(),L135,""))</f>
        <v>Pittsfield</v>
      </c>
      <c r="BE135" s="259" t="s">
        <v>2197</v>
      </c>
      <c r="BF135" s="227"/>
    </row>
    <row r="136" spans="1:58" s="237" customFormat="1" ht="15" customHeight="1" x14ac:dyDescent="0.55000000000000004">
      <c r="A136" s="240">
        <v>44481</v>
      </c>
      <c r="B136" s="335" t="s">
        <v>39</v>
      </c>
      <c r="C136" s="227"/>
      <c r="D136" s="227"/>
      <c r="E136" s="240">
        <v>44008</v>
      </c>
      <c r="F136" s="246" t="s">
        <v>2198</v>
      </c>
      <c r="G136" s="228" t="s">
        <v>2199</v>
      </c>
      <c r="H136" s="248" t="s">
        <v>2200</v>
      </c>
      <c r="I136" s="341" t="s">
        <v>127</v>
      </c>
      <c r="J136" s="246" t="s">
        <v>2201</v>
      </c>
      <c r="K136" s="246"/>
      <c r="L136" s="248" t="s">
        <v>2202</v>
      </c>
      <c r="M136" s="256" t="s">
        <v>2203</v>
      </c>
      <c r="N136" s="246" t="s">
        <v>2204</v>
      </c>
      <c r="O136" s="246" t="s">
        <v>2205</v>
      </c>
      <c r="P136" s="246" t="s">
        <v>2206</v>
      </c>
      <c r="Q136" s="249" t="s">
        <v>2207</v>
      </c>
      <c r="R136" s="229" t="s">
        <v>2208</v>
      </c>
      <c r="S136" s="246" t="s">
        <v>2209</v>
      </c>
      <c r="T136" s="246"/>
      <c r="U136" s="246" t="s">
        <v>2202</v>
      </c>
      <c r="V136" s="250" t="s">
        <v>2203</v>
      </c>
      <c r="W136" s="246" t="s">
        <v>155</v>
      </c>
      <c r="X136" s="237" t="s">
        <v>118</v>
      </c>
      <c r="Y136" s="490" t="s">
        <v>2210</v>
      </c>
      <c r="Z136" s="227" t="s">
        <v>2211</v>
      </c>
      <c r="AA136" s="261" t="s">
        <v>2212</v>
      </c>
      <c r="AB136" s="227" t="s">
        <v>10</v>
      </c>
      <c r="AC136" s="227"/>
      <c r="AD136" s="245"/>
      <c r="AE136" s="241">
        <v>3</v>
      </c>
      <c r="AF136" s="241">
        <v>3</v>
      </c>
      <c r="AG136" s="241">
        <f t="shared" si="17"/>
        <v>6</v>
      </c>
      <c r="AH136" s="227"/>
      <c r="AI136" s="252"/>
      <c r="AJ136" s="253"/>
      <c r="AK136" s="253"/>
      <c r="AL136" s="253"/>
      <c r="AM136" s="253"/>
      <c r="AN136" s="253"/>
      <c r="AO136" s="253"/>
      <c r="AP136" s="253">
        <f t="shared" si="18"/>
        <v>0</v>
      </c>
      <c r="AQ136" s="240"/>
      <c r="AR136" s="227" t="s">
        <v>2155</v>
      </c>
      <c r="AS136" s="256" t="s">
        <v>189</v>
      </c>
      <c r="AT136" s="256" t="s">
        <v>19</v>
      </c>
      <c r="AU136" s="256" t="s">
        <v>120</v>
      </c>
      <c r="AV136" s="224">
        <v>2080000</v>
      </c>
      <c r="AW136" s="226" t="s">
        <v>2213</v>
      </c>
      <c r="AX136" s="363" t="s">
        <v>2214</v>
      </c>
      <c r="AY136" s="335" t="s">
        <v>159</v>
      </c>
      <c r="AZ136" s="227"/>
      <c r="BA136" s="227"/>
      <c r="BB136" s="227"/>
      <c r="BC136" s="227"/>
      <c r="BD136" s="255" t="str">
        <f ca="1">IF(ISBLANK(AD136),"",IF(AD136&lt;TODAY(),L136,""))</f>
        <v/>
      </c>
      <c r="BE136" s="354" t="s">
        <v>427</v>
      </c>
      <c r="BF136" s="227"/>
    </row>
    <row r="137" spans="1:58" s="237" customFormat="1" ht="15" customHeight="1" x14ac:dyDescent="0.55000000000000004">
      <c r="A137" s="240">
        <v>44483</v>
      </c>
      <c r="B137" s="335" t="s">
        <v>39</v>
      </c>
      <c r="C137" s="227"/>
      <c r="D137" s="227"/>
      <c r="E137" s="240">
        <v>43895</v>
      </c>
      <c r="F137" s="246" t="s">
        <v>2215</v>
      </c>
      <c r="G137" s="228" t="s">
        <v>2216</v>
      </c>
      <c r="H137" s="248" t="s">
        <v>2217</v>
      </c>
      <c r="I137" s="341" t="s">
        <v>145</v>
      </c>
      <c r="J137" s="246" t="s">
        <v>2218</v>
      </c>
      <c r="K137" s="246"/>
      <c r="L137" s="248" t="s">
        <v>773</v>
      </c>
      <c r="M137" s="256" t="s">
        <v>774</v>
      </c>
      <c r="N137" s="246" t="s">
        <v>2219</v>
      </c>
      <c r="O137" s="246" t="s">
        <v>2220</v>
      </c>
      <c r="P137" s="246" t="s">
        <v>2221</v>
      </c>
      <c r="Q137" s="249" t="s">
        <v>2222</v>
      </c>
      <c r="R137" s="229" t="s">
        <v>2223</v>
      </c>
      <c r="S137" s="227" t="s">
        <v>2224</v>
      </c>
      <c r="T137" s="227"/>
      <c r="U137" s="227" t="s">
        <v>773</v>
      </c>
      <c r="V137" s="250" t="s">
        <v>774</v>
      </c>
      <c r="W137" s="246" t="s">
        <v>117</v>
      </c>
      <c r="X137" s="237" t="s">
        <v>118</v>
      </c>
      <c r="Y137" s="266"/>
      <c r="Z137" s="246"/>
      <c r="AA137" s="261">
        <v>3910848</v>
      </c>
      <c r="AB137" s="227" t="s">
        <v>10</v>
      </c>
      <c r="AC137" s="227"/>
      <c r="AD137" s="245"/>
      <c r="AE137" s="241">
        <v>10</v>
      </c>
      <c r="AF137" s="241">
        <v>10</v>
      </c>
      <c r="AG137" s="241">
        <f t="shared" si="17"/>
        <v>20</v>
      </c>
      <c r="AH137" s="227"/>
      <c r="AI137" s="252"/>
      <c r="AJ137" s="253"/>
      <c r="AK137" s="253"/>
      <c r="AL137" s="253"/>
      <c r="AM137" s="253"/>
      <c r="AN137" s="253"/>
      <c r="AO137" s="253"/>
      <c r="AP137" s="253">
        <f t="shared" si="18"/>
        <v>0</v>
      </c>
      <c r="AQ137" s="240"/>
      <c r="AR137" s="227" t="s">
        <v>2225</v>
      </c>
      <c r="AS137" s="256" t="s">
        <v>120</v>
      </c>
      <c r="AT137" s="256" t="s">
        <v>31</v>
      </c>
      <c r="AU137" s="256" t="s">
        <v>120</v>
      </c>
      <c r="AV137" s="241">
        <v>1161002</v>
      </c>
      <c r="AW137" s="342" t="s">
        <v>786</v>
      </c>
      <c r="AX137" s="339" t="s">
        <v>787</v>
      </c>
      <c r="AY137" s="335" t="s">
        <v>159</v>
      </c>
      <c r="BD137" s="266"/>
      <c r="BE137" s="238"/>
    </row>
    <row r="138" spans="1:58" s="237" customFormat="1" ht="15" customHeight="1" x14ac:dyDescent="0.55000000000000004">
      <c r="A138" s="240">
        <v>44483</v>
      </c>
      <c r="B138" s="335" t="s">
        <v>39</v>
      </c>
      <c r="C138" s="227"/>
      <c r="D138" s="227"/>
      <c r="E138" s="240">
        <v>44298</v>
      </c>
      <c r="F138" s="227" t="s">
        <v>2226</v>
      </c>
      <c r="G138" s="227" t="s">
        <v>2227</v>
      </c>
      <c r="H138" s="387" t="s">
        <v>2228</v>
      </c>
      <c r="I138" s="247" t="s">
        <v>127</v>
      </c>
      <c r="J138" s="227" t="s">
        <v>2229</v>
      </c>
      <c r="K138" s="227"/>
      <c r="L138" s="248" t="s">
        <v>1617</v>
      </c>
      <c r="M138" s="242" t="s">
        <v>2230</v>
      </c>
      <c r="N138" s="227" t="s">
        <v>2231</v>
      </c>
      <c r="O138" s="227" t="s">
        <v>2232</v>
      </c>
      <c r="P138" s="227" t="s">
        <v>334</v>
      </c>
      <c r="Q138" s="249" t="s">
        <v>2233</v>
      </c>
      <c r="R138" s="336" t="s">
        <v>2234</v>
      </c>
      <c r="S138" s="227" t="s">
        <v>2235</v>
      </c>
      <c r="T138" s="227"/>
      <c r="U138" s="227" t="s">
        <v>1617</v>
      </c>
      <c r="V138" s="250">
        <v>2130</v>
      </c>
      <c r="W138" s="227" t="s">
        <v>117</v>
      </c>
      <c r="X138" s="237" t="s">
        <v>137</v>
      </c>
      <c r="Z138" s="227"/>
      <c r="AA138" s="251">
        <v>692511</v>
      </c>
      <c r="AB138" s="227" t="s">
        <v>10</v>
      </c>
      <c r="AC138" s="227"/>
      <c r="AD138" s="245"/>
      <c r="AE138" s="241">
        <v>2</v>
      </c>
      <c r="AF138" s="241">
        <v>2</v>
      </c>
      <c r="AG138" s="241">
        <f t="shared" si="17"/>
        <v>4</v>
      </c>
      <c r="AH138" s="227"/>
      <c r="AI138" s="252"/>
      <c r="AJ138" s="253"/>
      <c r="AK138" s="253"/>
      <c r="AL138" s="253"/>
      <c r="AM138" s="253"/>
      <c r="AN138" s="253"/>
      <c r="AO138" s="253"/>
      <c r="AP138" s="253">
        <f t="shared" si="18"/>
        <v>0</v>
      </c>
      <c r="AQ138" s="240"/>
      <c r="AR138" s="227" t="s">
        <v>2020</v>
      </c>
      <c r="AS138" s="231" t="s">
        <v>189</v>
      </c>
      <c r="AT138" s="232" t="s">
        <v>12</v>
      </c>
      <c r="AU138" s="232" t="s">
        <v>120</v>
      </c>
      <c r="AV138" s="241">
        <v>3035000</v>
      </c>
      <c r="AW138" s="233" t="s">
        <v>272</v>
      </c>
      <c r="AX138" s="343" t="s">
        <v>273</v>
      </c>
      <c r="AY138" s="236" t="s">
        <v>274</v>
      </c>
      <c r="AZ138" s="227"/>
      <c r="BA138" s="227"/>
      <c r="BB138" s="227"/>
      <c r="BC138" s="227"/>
      <c r="BD138" s="255" t="str">
        <f ca="1">IF(ISBLANK(AD138),"",IF(AD138&lt;TODAY(),L138,""))</f>
        <v/>
      </c>
      <c r="BE138" s="340" t="s">
        <v>2236</v>
      </c>
      <c r="BF138" s="227"/>
    </row>
    <row r="139" spans="1:58" s="227" customFormat="1" ht="15" customHeight="1" x14ac:dyDescent="0.55000000000000004">
      <c r="A139" s="239">
        <v>44491</v>
      </c>
      <c r="B139" s="353" t="s">
        <v>39</v>
      </c>
      <c r="C139" s="228"/>
      <c r="D139" s="228"/>
      <c r="E139" s="239">
        <v>44475</v>
      </c>
      <c r="F139" s="348" t="s">
        <v>2237</v>
      </c>
      <c r="G139" s="233" t="s">
        <v>2238</v>
      </c>
      <c r="H139" s="419" t="s">
        <v>2239</v>
      </c>
      <c r="I139" s="428" t="s">
        <v>127</v>
      </c>
      <c r="J139" s="348" t="s">
        <v>2240</v>
      </c>
      <c r="K139" s="348"/>
      <c r="L139" s="466" t="s">
        <v>2241</v>
      </c>
      <c r="M139" s="442" t="s">
        <v>2242</v>
      </c>
      <c r="N139" s="348" t="s">
        <v>2243</v>
      </c>
      <c r="O139" s="348" t="s">
        <v>2244</v>
      </c>
      <c r="P139" s="505" t="s">
        <v>2245</v>
      </c>
      <c r="Q139" s="228" t="s">
        <v>2246</v>
      </c>
      <c r="R139" s="348" t="s">
        <v>2247</v>
      </c>
      <c r="S139" s="348" t="s">
        <v>2240</v>
      </c>
      <c r="T139" s="348"/>
      <c r="U139" s="505" t="s">
        <v>2241</v>
      </c>
      <c r="V139" s="467" t="s">
        <v>2242</v>
      </c>
      <c r="W139" s="348" t="s">
        <v>155</v>
      </c>
      <c r="X139" s="396" t="s">
        <v>137</v>
      </c>
      <c r="Y139" s="237"/>
      <c r="Z139" s="228"/>
      <c r="AA139" s="251" t="s">
        <v>2248</v>
      </c>
      <c r="AB139" s="228" t="s">
        <v>442</v>
      </c>
      <c r="AC139" s="228"/>
      <c r="AD139" s="245"/>
      <c r="AE139" s="359"/>
      <c r="AF139" s="359"/>
      <c r="AG139" s="359"/>
      <c r="AH139" s="228"/>
      <c r="AI139" s="360"/>
      <c r="AJ139" s="361"/>
      <c r="AK139" s="361"/>
      <c r="AL139" s="361"/>
      <c r="AM139" s="361"/>
      <c r="AN139" s="361"/>
      <c r="AO139" s="361"/>
      <c r="AP139" s="359"/>
      <c r="AQ139" s="362"/>
      <c r="AS139" s="359"/>
      <c r="AT139" s="359"/>
      <c r="AU139" s="359"/>
      <c r="AV139" s="359"/>
      <c r="AW139" s="342"/>
      <c r="AX139" s="363"/>
      <c r="AY139" s="335"/>
      <c r="AZ139" s="228"/>
      <c r="BD139" s="246"/>
      <c r="BE139" s="340"/>
      <c r="BF139" s="228"/>
    </row>
    <row r="140" spans="1:58" s="227" customFormat="1" ht="15" customHeight="1" x14ac:dyDescent="0.55000000000000004">
      <c r="A140" s="362">
        <v>44491</v>
      </c>
      <c r="B140" s="353" t="s">
        <v>39</v>
      </c>
      <c r="C140" s="228"/>
      <c r="D140" s="228"/>
      <c r="E140" s="493">
        <v>44476</v>
      </c>
      <c r="F140" s="483" t="s">
        <v>2249</v>
      </c>
      <c r="G140" s="464" t="s">
        <v>2250</v>
      </c>
      <c r="H140" s="470" t="s">
        <v>2251</v>
      </c>
      <c r="I140" s="482" t="s">
        <v>145</v>
      </c>
      <c r="J140" s="483" t="s">
        <v>2252</v>
      </c>
      <c r="K140" s="483"/>
      <c r="L140" s="470" t="s">
        <v>2253</v>
      </c>
      <c r="M140" s="484" t="s">
        <v>2254</v>
      </c>
      <c r="N140" s="483" t="s">
        <v>1141</v>
      </c>
      <c r="O140" s="483" t="s">
        <v>2255</v>
      </c>
      <c r="P140" s="507" t="s">
        <v>232</v>
      </c>
      <c r="Q140" s="455" t="s">
        <v>2256</v>
      </c>
      <c r="R140" s="483" t="s">
        <v>2257</v>
      </c>
      <c r="S140" s="483" t="s">
        <v>2252</v>
      </c>
      <c r="T140" s="483"/>
      <c r="U140" s="507" t="s">
        <v>2253</v>
      </c>
      <c r="V140" s="486" t="s">
        <v>2254</v>
      </c>
      <c r="W140" s="483" t="s">
        <v>117</v>
      </c>
      <c r="X140" s="487" t="s">
        <v>235</v>
      </c>
      <c r="Y140" s="237"/>
      <c r="Z140" s="228"/>
      <c r="AA140" s="251" t="s">
        <v>2258</v>
      </c>
      <c r="AB140" s="228" t="s">
        <v>442</v>
      </c>
      <c r="AC140" s="228"/>
      <c r="AD140" s="245"/>
      <c r="AE140" s="359"/>
      <c r="AF140" s="359"/>
      <c r="AG140" s="359"/>
      <c r="AH140" s="228"/>
      <c r="AI140" s="360"/>
      <c r="AJ140" s="361"/>
      <c r="AK140" s="361"/>
      <c r="AL140" s="361"/>
      <c r="AM140" s="361"/>
      <c r="AN140" s="361"/>
      <c r="AO140" s="361"/>
      <c r="AP140" s="359"/>
      <c r="AQ140" s="362"/>
      <c r="AS140" s="359"/>
      <c r="AT140" s="359"/>
      <c r="AU140" s="359"/>
      <c r="AV140" s="359"/>
      <c r="AW140" s="342"/>
      <c r="AX140" s="363"/>
      <c r="AY140" s="335"/>
      <c r="AZ140" s="228"/>
      <c r="BD140" s="246"/>
      <c r="BE140" s="340"/>
      <c r="BF140" s="228"/>
    </row>
    <row r="141" spans="1:58" s="227" customFormat="1" ht="15" customHeight="1" x14ac:dyDescent="0.55000000000000004">
      <c r="A141" s="362">
        <v>44491</v>
      </c>
      <c r="B141" s="353" t="s">
        <v>39</v>
      </c>
      <c r="C141" s="228"/>
      <c r="D141" s="228"/>
      <c r="E141" s="493">
        <v>44476</v>
      </c>
      <c r="F141" s="396" t="s">
        <v>2259</v>
      </c>
      <c r="G141" s="353" t="s">
        <v>2260</v>
      </c>
      <c r="H141" s="419" t="s">
        <v>2261</v>
      </c>
      <c r="I141" s="482" t="s">
        <v>127</v>
      </c>
      <c r="J141" s="396" t="s">
        <v>2262</v>
      </c>
      <c r="K141" s="396"/>
      <c r="L141" s="419" t="s">
        <v>2241</v>
      </c>
      <c r="M141" s="485" t="s">
        <v>2242</v>
      </c>
      <c r="N141" s="396" t="s">
        <v>2263</v>
      </c>
      <c r="O141" s="396" t="s">
        <v>2264</v>
      </c>
      <c r="P141" s="452" t="s">
        <v>133</v>
      </c>
      <c r="Q141" s="237" t="s">
        <v>2265</v>
      </c>
      <c r="R141" s="396" t="s">
        <v>2266</v>
      </c>
      <c r="S141" s="396" t="s">
        <v>2262</v>
      </c>
      <c r="T141" s="396"/>
      <c r="U141" s="452" t="s">
        <v>2241</v>
      </c>
      <c r="V141" s="398" t="s">
        <v>2242</v>
      </c>
      <c r="W141" s="396" t="s">
        <v>117</v>
      </c>
      <c r="X141" s="396" t="s">
        <v>118</v>
      </c>
      <c r="Y141" s="237"/>
      <c r="Z141" s="228"/>
      <c r="AA141" s="251" t="s">
        <v>2267</v>
      </c>
      <c r="AB141" s="228" t="s">
        <v>442</v>
      </c>
      <c r="AC141" s="228"/>
      <c r="AD141" s="245"/>
      <c r="AE141" s="359"/>
      <c r="AF141" s="359"/>
      <c r="AG141" s="359"/>
      <c r="AH141" s="228"/>
      <c r="AI141" s="360"/>
      <c r="AJ141" s="361"/>
      <c r="AK141" s="361"/>
      <c r="AL141" s="361"/>
      <c r="AM141" s="361"/>
      <c r="AN141" s="361"/>
      <c r="AO141" s="361"/>
      <c r="AP141" s="359"/>
      <c r="AQ141" s="362"/>
      <c r="AS141" s="359"/>
      <c r="AT141" s="359"/>
      <c r="AU141" s="359"/>
      <c r="AV141" s="359"/>
      <c r="AW141" s="342"/>
      <c r="AX141" s="363"/>
      <c r="AY141" s="335"/>
      <c r="AZ141" s="228"/>
      <c r="BD141" s="246"/>
      <c r="BE141" s="340"/>
      <c r="BF141" s="228"/>
    </row>
    <row r="142" spans="1:58" s="227" customFormat="1" ht="15" customHeight="1" x14ac:dyDescent="0.55000000000000004">
      <c r="A142" s="362">
        <v>44491</v>
      </c>
      <c r="B142" s="353" t="s">
        <v>39</v>
      </c>
      <c r="C142" s="228"/>
      <c r="D142" s="228"/>
      <c r="E142" s="493">
        <v>44477</v>
      </c>
      <c r="F142" s="396" t="s">
        <v>2268</v>
      </c>
      <c r="G142" s="353" t="s">
        <v>2269</v>
      </c>
      <c r="H142" s="419" t="s">
        <v>2270</v>
      </c>
      <c r="I142" s="482" t="s">
        <v>145</v>
      </c>
      <c r="J142" s="396" t="s">
        <v>2271</v>
      </c>
      <c r="K142" s="396"/>
      <c r="L142" s="419" t="s">
        <v>2241</v>
      </c>
      <c r="M142" s="485" t="s">
        <v>2242</v>
      </c>
      <c r="N142" s="396" t="s">
        <v>2272</v>
      </c>
      <c r="O142" s="396" t="s">
        <v>2273</v>
      </c>
      <c r="P142" s="452" t="s">
        <v>114</v>
      </c>
      <c r="Q142" s="237" t="s">
        <v>2274</v>
      </c>
      <c r="R142" s="488" t="s">
        <v>2275</v>
      </c>
      <c r="S142" s="396" t="s">
        <v>2271</v>
      </c>
      <c r="T142" s="396"/>
      <c r="U142" s="452" t="s">
        <v>2241</v>
      </c>
      <c r="V142" s="398" t="s">
        <v>2242</v>
      </c>
      <c r="W142" s="396" t="s">
        <v>155</v>
      </c>
      <c r="X142" s="396" t="s">
        <v>137</v>
      </c>
      <c r="Y142" s="237"/>
      <c r="Z142" s="228"/>
      <c r="AA142" s="251">
        <v>8029168</v>
      </c>
      <c r="AB142" s="228" t="s">
        <v>442</v>
      </c>
      <c r="AC142" s="228"/>
      <c r="AD142" s="245"/>
      <c r="AE142" s="359"/>
      <c r="AF142" s="359"/>
      <c r="AG142" s="359"/>
      <c r="AH142" s="228"/>
      <c r="AI142" s="360"/>
      <c r="AJ142" s="361"/>
      <c r="AK142" s="361"/>
      <c r="AL142" s="361"/>
      <c r="AM142" s="361"/>
      <c r="AN142" s="361"/>
      <c r="AO142" s="361"/>
      <c r="AP142" s="359"/>
      <c r="AQ142" s="362"/>
      <c r="AS142" s="359"/>
      <c r="AT142" s="359"/>
      <c r="AU142" s="359"/>
      <c r="AV142" s="359"/>
      <c r="AW142" s="342"/>
      <c r="AX142" s="363"/>
      <c r="AY142" s="335"/>
      <c r="AZ142" s="228"/>
      <c r="BD142" s="246"/>
      <c r="BE142" s="340"/>
      <c r="BF142" s="228"/>
    </row>
    <row r="143" spans="1:58" s="227" customFormat="1" ht="15" customHeight="1" x14ac:dyDescent="0.55000000000000004">
      <c r="A143" s="362">
        <v>44491</v>
      </c>
      <c r="B143" s="353" t="s">
        <v>39</v>
      </c>
      <c r="C143" s="228"/>
      <c r="D143" s="228"/>
      <c r="E143" s="493">
        <v>44477</v>
      </c>
      <c r="F143" s="396" t="s">
        <v>2276</v>
      </c>
      <c r="G143" s="353" t="s">
        <v>2277</v>
      </c>
      <c r="H143" s="419" t="s">
        <v>2278</v>
      </c>
      <c r="I143" s="482" t="s">
        <v>145</v>
      </c>
      <c r="J143" s="396" t="s">
        <v>2279</v>
      </c>
      <c r="K143" s="396"/>
      <c r="L143" s="419" t="s">
        <v>2017</v>
      </c>
      <c r="M143" s="485" t="s">
        <v>2280</v>
      </c>
      <c r="N143" s="396" t="s">
        <v>520</v>
      </c>
      <c r="O143" s="396" t="s">
        <v>2281</v>
      </c>
      <c r="P143" s="452" t="s">
        <v>243</v>
      </c>
      <c r="Q143" s="237" t="s">
        <v>2282</v>
      </c>
      <c r="R143" s="396" t="s">
        <v>2283</v>
      </c>
      <c r="S143" s="396" t="s">
        <v>2279</v>
      </c>
      <c r="T143" s="396" t="s">
        <v>2284</v>
      </c>
      <c r="U143" s="452" t="s">
        <v>2017</v>
      </c>
      <c r="V143" s="398" t="s">
        <v>2280</v>
      </c>
      <c r="W143" s="396" t="s">
        <v>117</v>
      </c>
      <c r="X143" s="396" t="s">
        <v>118</v>
      </c>
      <c r="Y143" s="237"/>
      <c r="Z143" s="228"/>
      <c r="AA143" s="251">
        <v>200609</v>
      </c>
      <c r="AB143" s="228" t="s">
        <v>442</v>
      </c>
      <c r="AC143" s="228"/>
      <c r="AD143" s="245"/>
      <c r="AE143" s="359"/>
      <c r="AF143" s="359"/>
      <c r="AG143" s="359"/>
      <c r="AH143" s="228"/>
      <c r="AI143" s="360"/>
      <c r="AJ143" s="361"/>
      <c r="AK143" s="361"/>
      <c r="AL143" s="361"/>
      <c r="AM143" s="361"/>
      <c r="AN143" s="361"/>
      <c r="AO143" s="361"/>
      <c r="AP143" s="359"/>
      <c r="AQ143" s="362"/>
      <c r="AS143" s="359"/>
      <c r="AT143" s="359"/>
      <c r="AU143" s="359"/>
      <c r="AV143" s="359"/>
      <c r="AW143" s="342"/>
      <c r="AX143" s="363"/>
      <c r="AY143" s="335"/>
      <c r="AZ143" s="228"/>
      <c r="BD143" s="246"/>
      <c r="BE143" s="340"/>
      <c r="BF143" s="228"/>
    </row>
    <row r="144" spans="1:58" s="227" customFormat="1" ht="15" customHeight="1" x14ac:dyDescent="0.55000000000000004">
      <c r="A144" s="239">
        <v>44491</v>
      </c>
      <c r="B144" s="233" t="s">
        <v>39</v>
      </c>
      <c r="C144" s="237"/>
      <c r="D144" s="237"/>
      <c r="E144" s="362">
        <v>44490</v>
      </c>
      <c r="F144" s="228" t="s">
        <v>2285</v>
      </c>
      <c r="G144" s="228" t="s">
        <v>2286</v>
      </c>
      <c r="H144" s="356" t="s">
        <v>2287</v>
      </c>
      <c r="I144" s="359" t="s">
        <v>127</v>
      </c>
      <c r="J144" s="228" t="s">
        <v>2288</v>
      </c>
      <c r="K144" s="228"/>
      <c r="L144" s="356" t="s">
        <v>1750</v>
      </c>
      <c r="M144" s="357" t="s">
        <v>2289</v>
      </c>
      <c r="N144" s="228" t="s">
        <v>2290</v>
      </c>
      <c r="O144" s="228" t="s">
        <v>657</v>
      </c>
      <c r="P144" s="228" t="s">
        <v>2291</v>
      </c>
      <c r="Q144" s="228" t="s">
        <v>2292</v>
      </c>
      <c r="R144" s="228" t="s">
        <v>2293</v>
      </c>
      <c r="S144" s="228" t="s">
        <v>2294</v>
      </c>
      <c r="T144" s="228"/>
      <c r="U144" s="228" t="s">
        <v>1750</v>
      </c>
      <c r="V144" s="415" t="s">
        <v>2289</v>
      </c>
      <c r="W144" s="228" t="s">
        <v>155</v>
      </c>
      <c r="X144" s="228" t="s">
        <v>137</v>
      </c>
      <c r="Y144" s="237"/>
      <c r="Z144" s="237"/>
      <c r="AA144" s="251">
        <v>698991</v>
      </c>
      <c r="AB144" s="237" t="s">
        <v>442</v>
      </c>
      <c r="AC144" s="237"/>
      <c r="AD144" s="245"/>
      <c r="AE144" s="244"/>
      <c r="AF144" s="244"/>
      <c r="AG144" s="244"/>
      <c r="AH144" s="237"/>
      <c r="AI144" s="257"/>
      <c r="AJ144" s="258"/>
      <c r="AK144" s="258"/>
      <c r="AL144" s="258"/>
      <c r="AM144" s="258"/>
      <c r="AN144" s="258"/>
      <c r="AO144" s="258"/>
      <c r="AP144" s="244"/>
      <c r="AQ144" s="239"/>
      <c r="AR144" s="237"/>
      <c r="AS144" s="244"/>
      <c r="AT144" s="244"/>
      <c r="AU144" s="244"/>
      <c r="AV144" s="244"/>
      <c r="AW144" s="313"/>
      <c r="AX144" s="468"/>
      <c r="AY144" s="353"/>
      <c r="AZ144" s="237"/>
      <c r="BA144" s="237"/>
      <c r="BB144" s="237"/>
      <c r="BC144" s="237"/>
      <c r="BD144" s="266"/>
      <c r="BE144" s="238"/>
      <c r="BF144" s="237"/>
    </row>
    <row r="145" spans="1:58" s="227" customFormat="1" ht="15" customHeight="1" x14ac:dyDescent="0.55000000000000004">
      <c r="A145" s="240">
        <v>44374</v>
      </c>
      <c r="B145" s="335" t="s">
        <v>35</v>
      </c>
      <c r="E145" s="240">
        <v>44292</v>
      </c>
      <c r="F145" s="227" t="s">
        <v>2295</v>
      </c>
      <c r="G145" s="227" t="s">
        <v>2296</v>
      </c>
      <c r="H145" s="387" t="s">
        <v>2297</v>
      </c>
      <c r="I145" s="247" t="s">
        <v>145</v>
      </c>
      <c r="J145" s="227" t="s">
        <v>2298</v>
      </c>
      <c r="L145" s="248" t="s">
        <v>2299</v>
      </c>
      <c r="M145" s="242" t="s">
        <v>2300</v>
      </c>
      <c r="N145" s="227" t="s">
        <v>2301</v>
      </c>
      <c r="O145" s="227" t="s">
        <v>2302</v>
      </c>
      <c r="P145" s="227" t="s">
        <v>243</v>
      </c>
      <c r="Q145" s="249" t="s">
        <v>2303</v>
      </c>
      <c r="R145" s="336" t="s">
        <v>2304</v>
      </c>
      <c r="S145" s="227" t="s">
        <v>2305</v>
      </c>
      <c r="U145" s="227" t="s">
        <v>2299</v>
      </c>
      <c r="V145" s="250">
        <v>2633</v>
      </c>
      <c r="W145" s="227" t="s">
        <v>117</v>
      </c>
      <c r="X145" s="237" t="s">
        <v>118</v>
      </c>
      <c r="Y145" s="237"/>
      <c r="Z145" s="227" t="s">
        <v>2306</v>
      </c>
      <c r="AA145" s="251">
        <v>301112</v>
      </c>
      <c r="AB145" s="227" t="s">
        <v>10</v>
      </c>
      <c r="AD145" s="245"/>
      <c r="AE145" s="241"/>
      <c r="AF145" s="241"/>
      <c r="AG145" s="241">
        <f t="shared" ref="AG145:AG160" si="19">AE145+AF145</f>
        <v>0</v>
      </c>
      <c r="AI145" s="252"/>
      <c r="AJ145" s="253"/>
      <c r="AK145" s="253"/>
      <c r="AL145" s="253"/>
      <c r="AM145" s="253"/>
      <c r="AN145" s="253"/>
      <c r="AO145" s="253"/>
      <c r="AP145" s="253">
        <f t="shared" ref="AP145:AP160" si="20">AJ145+AK145+AL145+AM145+AN145+AO145</f>
        <v>0</v>
      </c>
      <c r="AQ145" s="240"/>
      <c r="AR145" s="227" t="s">
        <v>2307</v>
      </c>
      <c r="AS145" s="241" t="s">
        <v>120</v>
      </c>
      <c r="AT145" s="256" t="s">
        <v>25</v>
      </c>
      <c r="AU145" s="256" t="s">
        <v>120</v>
      </c>
      <c r="AV145" s="224">
        <v>4055000</v>
      </c>
      <c r="AW145" s="342" t="s">
        <v>343</v>
      </c>
      <c r="AX145" s="339" t="s">
        <v>2308</v>
      </c>
      <c r="AY145" s="335" t="s">
        <v>159</v>
      </c>
      <c r="BD145" s="255" t="str">
        <f ca="1">IF(ISBLANK(AD145),"",IF(AD145&lt;TODAY(),L145,""))</f>
        <v/>
      </c>
      <c r="BE145" s="259"/>
    </row>
    <row r="146" spans="1:58" s="227" customFormat="1" ht="15" customHeight="1" x14ac:dyDescent="0.55000000000000004">
      <c r="A146" s="240">
        <v>44374</v>
      </c>
      <c r="B146" s="335" t="s">
        <v>35</v>
      </c>
      <c r="E146" s="240">
        <v>44166</v>
      </c>
      <c r="F146" s="227" t="s">
        <v>2309</v>
      </c>
      <c r="G146" s="228" t="s">
        <v>2310</v>
      </c>
      <c r="H146" s="387" t="s">
        <v>2311</v>
      </c>
      <c r="I146" s="247" t="s">
        <v>127</v>
      </c>
      <c r="J146" s="227" t="s">
        <v>2312</v>
      </c>
      <c r="L146" s="248" t="s">
        <v>2073</v>
      </c>
      <c r="M146" s="242" t="s">
        <v>2313</v>
      </c>
      <c r="N146" s="227" t="s">
        <v>2314</v>
      </c>
      <c r="O146" s="227" t="s">
        <v>2315</v>
      </c>
      <c r="P146" s="227" t="s">
        <v>760</v>
      </c>
      <c r="Q146" s="249" t="s">
        <v>2316</v>
      </c>
      <c r="R146" s="336" t="s">
        <v>2317</v>
      </c>
      <c r="S146" s="227" t="s">
        <v>2318</v>
      </c>
      <c r="T146" s="227" t="s">
        <v>2319</v>
      </c>
      <c r="U146" s="227" t="s">
        <v>263</v>
      </c>
      <c r="V146" s="337" t="s">
        <v>2313</v>
      </c>
      <c r="W146" s="227" t="s">
        <v>155</v>
      </c>
      <c r="X146" s="237" t="s">
        <v>137</v>
      </c>
      <c r="Y146" s="237" t="s">
        <v>2320</v>
      </c>
      <c r="Z146" s="227" t="s">
        <v>2321</v>
      </c>
      <c r="AA146" s="251">
        <v>8032020</v>
      </c>
      <c r="AB146" s="227" t="s">
        <v>10</v>
      </c>
      <c r="AD146" s="245"/>
      <c r="AE146" s="241">
        <v>2</v>
      </c>
      <c r="AF146" s="241">
        <v>2</v>
      </c>
      <c r="AG146" s="241">
        <f t="shared" si="19"/>
        <v>4</v>
      </c>
      <c r="AI146" s="252"/>
      <c r="AJ146" s="253"/>
      <c r="AK146" s="253"/>
      <c r="AL146" s="253"/>
      <c r="AM146" s="253"/>
      <c r="AN146" s="253"/>
      <c r="AO146" s="253"/>
      <c r="AP146" s="253">
        <f t="shared" si="20"/>
        <v>0</v>
      </c>
      <c r="AQ146" s="240"/>
      <c r="AR146" s="227" t="s">
        <v>2322</v>
      </c>
      <c r="AS146" s="256" t="s">
        <v>189</v>
      </c>
      <c r="AT146" s="256" t="s">
        <v>12</v>
      </c>
      <c r="AU146" s="256" t="s">
        <v>120</v>
      </c>
      <c r="AV146" s="241">
        <v>3035000</v>
      </c>
      <c r="AW146" s="233" t="s">
        <v>272</v>
      </c>
      <c r="AX146" s="343" t="s">
        <v>273</v>
      </c>
      <c r="AY146" s="335" t="s">
        <v>159</v>
      </c>
      <c r="BD146" s="255" t="str">
        <f ca="1">IF(ISBLANK(AD146),"",IF(AD146&lt;TODAY(),L146,""))</f>
        <v/>
      </c>
      <c r="BE146" s="259"/>
    </row>
    <row r="147" spans="1:58" s="227" customFormat="1" ht="15" customHeight="1" x14ac:dyDescent="0.55000000000000004">
      <c r="A147" s="239">
        <v>44487</v>
      </c>
      <c r="B147" s="233" t="s">
        <v>35</v>
      </c>
      <c r="C147" s="237"/>
      <c r="D147" s="237"/>
      <c r="E147" s="367">
        <v>44393</v>
      </c>
      <c r="F147" s="237" t="s">
        <v>2323</v>
      </c>
      <c r="G147" s="237" t="s">
        <v>2324</v>
      </c>
      <c r="H147" s="496" t="s">
        <v>2325</v>
      </c>
      <c r="I147" s="344" t="s">
        <v>127</v>
      </c>
      <c r="J147" s="368" t="s">
        <v>2326</v>
      </c>
      <c r="K147" s="369"/>
      <c r="L147" s="248" t="s">
        <v>1301</v>
      </c>
      <c r="M147" s="371">
        <v>2128</v>
      </c>
      <c r="N147" s="369" t="s">
        <v>2327</v>
      </c>
      <c r="O147" s="369" t="s">
        <v>2328</v>
      </c>
      <c r="P147" s="246" t="s">
        <v>760</v>
      </c>
      <c r="Q147" s="249" t="s">
        <v>2329</v>
      </c>
      <c r="R147" s="443" t="s">
        <v>2330</v>
      </c>
      <c r="S147" s="227" t="s">
        <v>2331</v>
      </c>
      <c r="U147" s="227" t="s">
        <v>1301</v>
      </c>
      <c r="V147" s="337">
        <v>2128</v>
      </c>
      <c r="W147" s="369" t="s">
        <v>155</v>
      </c>
      <c r="X147" s="237" t="s">
        <v>235</v>
      </c>
      <c r="Y147" s="464" t="s">
        <v>2332</v>
      </c>
      <c r="Z147" s="369" t="s">
        <v>2333</v>
      </c>
      <c r="AA147" s="251" t="s">
        <v>2334</v>
      </c>
      <c r="AB147" s="237" t="s">
        <v>203</v>
      </c>
      <c r="AC147" s="237" t="s">
        <v>2332</v>
      </c>
      <c r="AD147" s="245"/>
      <c r="AE147" s="244">
        <v>2</v>
      </c>
      <c r="AF147" s="244">
        <v>2</v>
      </c>
      <c r="AG147" s="241">
        <f t="shared" si="19"/>
        <v>4</v>
      </c>
      <c r="AH147" s="237" t="s">
        <v>38</v>
      </c>
      <c r="AI147" s="257"/>
      <c r="AJ147" s="258"/>
      <c r="AK147" s="258"/>
      <c r="AL147" s="258"/>
      <c r="AM147" s="258"/>
      <c r="AN147" s="258"/>
      <c r="AO147" s="258"/>
      <c r="AP147" s="253">
        <f t="shared" si="20"/>
        <v>0</v>
      </c>
      <c r="AQ147" s="239"/>
      <c r="AR147" s="237" t="s">
        <v>2335</v>
      </c>
      <c r="AS147" s="244" t="s">
        <v>189</v>
      </c>
      <c r="AT147" s="244" t="s">
        <v>12</v>
      </c>
      <c r="AU147" s="244" t="s">
        <v>120</v>
      </c>
      <c r="AV147" s="241">
        <v>3035000</v>
      </c>
      <c r="AW147" s="233" t="s">
        <v>272</v>
      </c>
      <c r="AX147" s="343" t="s">
        <v>273</v>
      </c>
      <c r="AY147" s="335" t="s">
        <v>159</v>
      </c>
      <c r="BD147" s="255" t="str">
        <f ca="1">IF(ISBLANK(AD147),"",IF(AD147&lt;TODAY(),L147,""))</f>
        <v/>
      </c>
      <c r="BE147" s="340"/>
    </row>
    <row r="148" spans="1:58" s="227" customFormat="1" ht="15" customHeight="1" x14ac:dyDescent="0.55000000000000004">
      <c r="A148" s="240">
        <v>44369</v>
      </c>
      <c r="B148" s="335" t="s">
        <v>35</v>
      </c>
      <c r="E148" s="239">
        <v>44292</v>
      </c>
      <c r="F148" s="237" t="s">
        <v>2336</v>
      </c>
      <c r="G148" s="237" t="s">
        <v>2337</v>
      </c>
      <c r="H148" s="496" t="s">
        <v>2338</v>
      </c>
      <c r="I148" s="344" t="s">
        <v>145</v>
      </c>
      <c r="J148" s="237" t="s">
        <v>2339</v>
      </c>
      <c r="K148" s="237"/>
      <c r="L148" s="345" t="s">
        <v>1408</v>
      </c>
      <c r="M148" s="346" t="s">
        <v>2340</v>
      </c>
      <c r="N148" s="237" t="s">
        <v>2341</v>
      </c>
      <c r="O148" s="237" t="s">
        <v>2342</v>
      </c>
      <c r="P148" s="237" t="s">
        <v>2343</v>
      </c>
      <c r="Q148" s="347" t="s">
        <v>2344</v>
      </c>
      <c r="R148" s="238" t="s">
        <v>2345</v>
      </c>
      <c r="S148" s="237" t="s">
        <v>2346</v>
      </c>
      <c r="T148" s="237"/>
      <c r="U148" s="237" t="s">
        <v>1408</v>
      </c>
      <c r="V148" s="349">
        <v>1840</v>
      </c>
      <c r="W148" s="237" t="s">
        <v>117</v>
      </c>
      <c r="X148" s="237" t="s">
        <v>235</v>
      </c>
      <c r="Y148" s="237"/>
      <c r="Z148" s="237" t="s">
        <v>2347</v>
      </c>
      <c r="AA148" s="251">
        <v>291000</v>
      </c>
      <c r="AB148" s="237" t="s">
        <v>10</v>
      </c>
      <c r="AC148" s="237"/>
      <c r="AD148" s="245"/>
      <c r="AE148" s="244">
        <v>14</v>
      </c>
      <c r="AF148" s="244">
        <v>14</v>
      </c>
      <c r="AG148" s="241">
        <f t="shared" si="19"/>
        <v>28</v>
      </c>
      <c r="AH148" s="237"/>
      <c r="AI148" s="257"/>
      <c r="AJ148" s="258"/>
      <c r="AK148" s="258"/>
      <c r="AL148" s="258"/>
      <c r="AM148" s="258"/>
      <c r="AN148" s="258"/>
      <c r="AO148" s="258"/>
      <c r="AP148" s="253">
        <f t="shared" si="20"/>
        <v>0</v>
      </c>
      <c r="AQ148" s="239"/>
      <c r="AR148" s="237"/>
      <c r="AS148" s="244" t="s">
        <v>120</v>
      </c>
      <c r="AT148" s="244" t="s">
        <v>12</v>
      </c>
      <c r="AU148" s="244" t="s">
        <v>120</v>
      </c>
      <c r="AV148" s="224">
        <v>3149000</v>
      </c>
      <c r="AW148" s="313" t="s">
        <v>343</v>
      </c>
      <c r="AX148" s="339" t="s">
        <v>1419</v>
      </c>
      <c r="AY148" s="233" t="s">
        <v>159</v>
      </c>
      <c r="BD148" s="255" t="str">
        <f ca="1">IF(ISBLANK(AD148),"",IF(AD148&lt;TODAY(),L148,""))</f>
        <v/>
      </c>
      <c r="BE148" s="259" t="s">
        <v>2348</v>
      </c>
    </row>
    <row r="149" spans="1:58" s="227" customFormat="1" ht="15" customHeight="1" x14ac:dyDescent="0.55000000000000004">
      <c r="A149" s="240">
        <v>44369</v>
      </c>
      <c r="B149" s="335" t="s">
        <v>35</v>
      </c>
      <c r="E149" s="240">
        <v>44293</v>
      </c>
      <c r="F149" s="227" t="s">
        <v>2349</v>
      </c>
      <c r="G149" s="227" t="s">
        <v>2350</v>
      </c>
      <c r="H149" s="387" t="s">
        <v>2351</v>
      </c>
      <c r="I149" s="247" t="s">
        <v>145</v>
      </c>
      <c r="J149" s="227" t="s">
        <v>2352</v>
      </c>
      <c r="L149" s="248" t="s">
        <v>129</v>
      </c>
      <c r="M149" s="242" t="s">
        <v>130</v>
      </c>
      <c r="N149" s="227" t="s">
        <v>2353</v>
      </c>
      <c r="O149" s="227" t="s">
        <v>2354</v>
      </c>
      <c r="P149" s="227" t="s">
        <v>151</v>
      </c>
      <c r="Q149" s="249" t="s">
        <v>2355</v>
      </c>
      <c r="R149" s="336" t="s">
        <v>2356</v>
      </c>
      <c r="S149" s="227" t="s">
        <v>2357</v>
      </c>
      <c r="T149" s="227" t="s">
        <v>2358</v>
      </c>
      <c r="U149" s="227" t="s">
        <v>129</v>
      </c>
      <c r="V149" s="250">
        <v>1852</v>
      </c>
      <c r="W149" s="227" t="s">
        <v>117</v>
      </c>
      <c r="X149" s="237" t="s">
        <v>235</v>
      </c>
      <c r="Y149" s="237"/>
      <c r="Z149" s="227" t="s">
        <v>2359</v>
      </c>
      <c r="AA149" s="251">
        <v>290212</v>
      </c>
      <c r="AB149" s="227" t="s">
        <v>10</v>
      </c>
      <c r="AD149" s="245"/>
      <c r="AE149" s="241">
        <v>14</v>
      </c>
      <c r="AF149" s="241">
        <v>14</v>
      </c>
      <c r="AG149" s="241">
        <f t="shared" si="19"/>
        <v>28</v>
      </c>
      <c r="AI149" s="252"/>
      <c r="AJ149" s="253"/>
      <c r="AK149" s="253"/>
      <c r="AL149" s="253"/>
      <c r="AM149" s="253"/>
      <c r="AN149" s="253"/>
      <c r="AO149" s="253"/>
      <c r="AP149" s="253">
        <f t="shared" si="20"/>
        <v>0</v>
      </c>
      <c r="AQ149" s="240"/>
      <c r="AS149" s="241" t="s">
        <v>120</v>
      </c>
      <c r="AT149" s="256" t="s">
        <v>12</v>
      </c>
      <c r="AU149" s="256" t="s">
        <v>120</v>
      </c>
      <c r="AV149" s="224">
        <v>3160000</v>
      </c>
      <c r="AW149" s="342" t="s">
        <v>343</v>
      </c>
      <c r="AX149" s="339" t="s">
        <v>139</v>
      </c>
      <c r="AY149" s="233" t="s">
        <v>159</v>
      </c>
      <c r="AZ149" s="237"/>
      <c r="BA149" s="237"/>
      <c r="BB149" s="237"/>
      <c r="BC149" s="237"/>
      <c r="BD149" s="266"/>
      <c r="BE149" s="238"/>
      <c r="BF149" s="237"/>
    </row>
    <row r="150" spans="1:58" s="227" customFormat="1" ht="15" customHeight="1" x14ac:dyDescent="0.55000000000000004">
      <c r="A150" s="240">
        <v>44193</v>
      </c>
      <c r="B150" s="335" t="s">
        <v>35</v>
      </c>
      <c r="E150" s="240">
        <v>44166</v>
      </c>
      <c r="F150" s="227" t="s">
        <v>2360</v>
      </c>
      <c r="G150" s="228" t="s">
        <v>2361</v>
      </c>
      <c r="H150" s="387" t="s">
        <v>2362</v>
      </c>
      <c r="I150" s="247" t="s">
        <v>127</v>
      </c>
      <c r="J150" s="227" t="s">
        <v>2363</v>
      </c>
      <c r="L150" s="248" t="s">
        <v>2364</v>
      </c>
      <c r="M150" s="242" t="s">
        <v>2365</v>
      </c>
      <c r="N150" s="227" t="s">
        <v>2366</v>
      </c>
      <c r="O150" s="227" t="s">
        <v>2367</v>
      </c>
      <c r="P150" s="227" t="s">
        <v>2368</v>
      </c>
      <c r="Q150" s="249" t="s">
        <v>2369</v>
      </c>
      <c r="R150" s="336" t="s">
        <v>2370</v>
      </c>
      <c r="S150" s="227" t="s">
        <v>2363</v>
      </c>
      <c r="U150" s="227" t="s">
        <v>2364</v>
      </c>
      <c r="V150" s="337" t="s">
        <v>2365</v>
      </c>
      <c r="W150" s="227" t="s">
        <v>117</v>
      </c>
      <c r="X150" s="237" t="s">
        <v>235</v>
      </c>
      <c r="Y150" s="237" t="s">
        <v>2371</v>
      </c>
      <c r="Z150" s="227" t="s">
        <v>2372</v>
      </c>
      <c r="AA150" s="251">
        <v>7027995</v>
      </c>
      <c r="AB150" s="227" t="s">
        <v>23</v>
      </c>
      <c r="AD150" s="245"/>
      <c r="AE150" s="241">
        <v>3</v>
      </c>
      <c r="AF150" s="241">
        <v>3</v>
      </c>
      <c r="AG150" s="241">
        <f t="shared" si="19"/>
        <v>6</v>
      </c>
      <c r="AH150" s="227" t="s">
        <v>22</v>
      </c>
      <c r="AI150" s="252"/>
      <c r="AJ150" s="253"/>
      <c r="AK150" s="253"/>
      <c r="AL150" s="253"/>
      <c r="AM150" s="253"/>
      <c r="AN150" s="253"/>
      <c r="AO150" s="253"/>
      <c r="AP150" s="253">
        <f t="shared" si="20"/>
        <v>0</v>
      </c>
      <c r="AQ150" s="240"/>
      <c r="AR150" s="227" t="s">
        <v>2373</v>
      </c>
      <c r="AS150" s="241" t="s">
        <v>120</v>
      </c>
      <c r="AT150" s="256" t="s">
        <v>25</v>
      </c>
      <c r="AU150" s="256" t="s">
        <v>120</v>
      </c>
      <c r="AV150" s="224">
        <v>4261000</v>
      </c>
      <c r="AW150" s="342" t="s">
        <v>343</v>
      </c>
      <c r="AX150" s="339" t="s">
        <v>2374</v>
      </c>
      <c r="AY150" s="335" t="s">
        <v>159</v>
      </c>
      <c r="BD150" s="255" t="str">
        <f t="shared" ref="BD150:BD155" ca="1" si="21">IF(ISBLANK(AD150),"",IF(AD150&lt;TODAY(),L150,""))</f>
        <v/>
      </c>
      <c r="BE150" s="259" t="s">
        <v>718</v>
      </c>
    </row>
    <row r="151" spans="1:58" s="227" customFormat="1" ht="15" customHeight="1" x14ac:dyDescent="0.55000000000000004">
      <c r="A151" s="239">
        <v>44487</v>
      </c>
      <c r="B151" s="335" t="s">
        <v>35</v>
      </c>
      <c r="E151" s="239">
        <v>44307</v>
      </c>
      <c r="F151" s="369" t="s">
        <v>2375</v>
      </c>
      <c r="G151" s="368" t="s">
        <v>2376</v>
      </c>
      <c r="H151" s="370" t="s">
        <v>2377</v>
      </c>
      <c r="I151" s="247" t="s">
        <v>145</v>
      </c>
      <c r="J151" s="368" t="s">
        <v>2378</v>
      </c>
      <c r="K151" s="378"/>
      <c r="L151" s="447" t="s">
        <v>983</v>
      </c>
      <c r="M151" s="411" t="s">
        <v>2379</v>
      </c>
      <c r="N151" s="405" t="s">
        <v>1078</v>
      </c>
      <c r="O151" s="405" t="s">
        <v>2380</v>
      </c>
      <c r="P151" s="405" t="s">
        <v>607</v>
      </c>
      <c r="Q151" s="406" t="s">
        <v>2381</v>
      </c>
      <c r="R151" s="444" t="s">
        <v>2382</v>
      </c>
      <c r="S151" s="378" t="s">
        <v>2383</v>
      </c>
      <c r="T151" s="378"/>
      <c r="U151" s="405" t="s">
        <v>983</v>
      </c>
      <c r="V151" s="413" t="s">
        <v>2379</v>
      </c>
      <c r="W151" s="378" t="s">
        <v>117</v>
      </c>
      <c r="X151" s="458" t="s">
        <v>137</v>
      </c>
      <c r="Y151" s="237"/>
      <c r="Z151" s="228" t="s">
        <v>2384</v>
      </c>
      <c r="AA151" s="251">
        <v>2912214</v>
      </c>
      <c r="AB151" s="237" t="s">
        <v>203</v>
      </c>
      <c r="AC151" s="237" t="s">
        <v>2385</v>
      </c>
      <c r="AD151" s="245"/>
      <c r="AE151" s="244">
        <v>9</v>
      </c>
      <c r="AF151" s="244">
        <v>9</v>
      </c>
      <c r="AG151" s="241">
        <f t="shared" si="19"/>
        <v>18</v>
      </c>
      <c r="AH151" s="237" t="s">
        <v>28</v>
      </c>
      <c r="AI151" s="257"/>
      <c r="AJ151" s="258"/>
      <c r="AK151" s="258"/>
      <c r="AL151" s="258"/>
      <c r="AM151" s="258"/>
      <c r="AN151" s="258"/>
      <c r="AO151" s="258"/>
      <c r="AP151" s="253">
        <f t="shared" si="20"/>
        <v>0</v>
      </c>
      <c r="AQ151" s="239"/>
      <c r="AR151" s="237" t="s">
        <v>2386</v>
      </c>
      <c r="AS151" s="244" t="s">
        <v>120</v>
      </c>
      <c r="AT151" s="232" t="s">
        <v>31</v>
      </c>
      <c r="AU151" s="244" t="s">
        <v>120</v>
      </c>
      <c r="AV151" s="244">
        <v>1281000</v>
      </c>
      <c r="AW151" s="233" t="s">
        <v>994</v>
      </c>
      <c r="AX151" s="343" t="s">
        <v>995</v>
      </c>
      <c r="AY151" s="335" t="s">
        <v>159</v>
      </c>
      <c r="BD151" s="255" t="str">
        <f t="shared" ca="1" si="21"/>
        <v/>
      </c>
      <c r="BE151" s="259" t="s">
        <v>2387</v>
      </c>
    </row>
    <row r="152" spans="1:58" s="227" customFormat="1" ht="15" customHeight="1" x14ac:dyDescent="0.55000000000000004">
      <c r="A152" s="240">
        <v>44043</v>
      </c>
      <c r="B152" s="335" t="s">
        <v>35</v>
      </c>
      <c r="E152" s="240">
        <v>43895</v>
      </c>
      <c r="F152" s="246" t="s">
        <v>2388</v>
      </c>
      <c r="G152" s="228" t="s">
        <v>2389</v>
      </c>
      <c r="H152" s="248" t="s">
        <v>2390</v>
      </c>
      <c r="I152" s="341" t="s">
        <v>145</v>
      </c>
      <c r="J152" s="246" t="s">
        <v>2391</v>
      </c>
      <c r="K152" s="246"/>
      <c r="L152" s="248" t="s">
        <v>2042</v>
      </c>
      <c r="M152" s="256" t="s">
        <v>2043</v>
      </c>
      <c r="N152" s="246" t="s">
        <v>2392</v>
      </c>
      <c r="O152" s="246" t="s">
        <v>2393</v>
      </c>
      <c r="P152" s="246" t="s">
        <v>2394</v>
      </c>
      <c r="Q152" s="249" t="s">
        <v>2395</v>
      </c>
      <c r="R152" s="229" t="s">
        <v>2396</v>
      </c>
      <c r="S152" s="246" t="s">
        <v>2391</v>
      </c>
      <c r="T152" s="246"/>
      <c r="U152" s="246" t="s">
        <v>2042</v>
      </c>
      <c r="V152" s="250" t="s">
        <v>2043</v>
      </c>
      <c r="W152" s="246" t="s">
        <v>117</v>
      </c>
      <c r="X152" s="237" t="s">
        <v>118</v>
      </c>
      <c r="Y152" s="266"/>
      <c r="Z152" s="246" t="s">
        <v>2397</v>
      </c>
      <c r="AA152" s="261">
        <v>8033048</v>
      </c>
      <c r="AB152" s="227" t="s">
        <v>10</v>
      </c>
      <c r="AD152" s="245"/>
      <c r="AE152" s="241"/>
      <c r="AF152" s="241"/>
      <c r="AG152" s="241">
        <f t="shared" si="19"/>
        <v>0</v>
      </c>
      <c r="AI152" s="252"/>
      <c r="AJ152" s="253"/>
      <c r="AK152" s="253"/>
      <c r="AL152" s="253"/>
      <c r="AM152" s="253"/>
      <c r="AN152" s="253"/>
      <c r="AO152" s="253"/>
      <c r="AP152" s="253">
        <f t="shared" si="20"/>
        <v>0</v>
      </c>
      <c r="AQ152" s="240"/>
      <c r="AR152" s="227" t="s">
        <v>2398</v>
      </c>
      <c r="AS152" s="256" t="s">
        <v>189</v>
      </c>
      <c r="AT152" s="256" t="s">
        <v>12</v>
      </c>
      <c r="AU152" s="256" t="s">
        <v>120</v>
      </c>
      <c r="AV152" s="224">
        <v>3284000</v>
      </c>
      <c r="AW152" s="226" t="s">
        <v>2051</v>
      </c>
      <c r="AX152" s="339" t="s">
        <v>2052</v>
      </c>
      <c r="AY152" s="335" t="s">
        <v>159</v>
      </c>
      <c r="BD152" s="255" t="str">
        <f t="shared" ca="1" si="21"/>
        <v/>
      </c>
      <c r="BE152" s="340"/>
    </row>
    <row r="153" spans="1:58" s="227" customFormat="1" ht="15" customHeight="1" x14ac:dyDescent="0.55000000000000004">
      <c r="A153" s="240">
        <v>44447</v>
      </c>
      <c r="B153" s="335" t="s">
        <v>35</v>
      </c>
      <c r="E153" s="240">
        <v>43895</v>
      </c>
      <c r="F153" s="227" t="s">
        <v>2399</v>
      </c>
      <c r="G153" s="227" t="s">
        <v>2400</v>
      </c>
      <c r="H153" s="387" t="s">
        <v>2401</v>
      </c>
      <c r="I153" s="341" t="s">
        <v>145</v>
      </c>
      <c r="J153" s="420" t="s">
        <v>2402</v>
      </c>
      <c r="K153" s="420"/>
      <c r="L153" s="421" t="s">
        <v>2403</v>
      </c>
      <c r="M153" s="404" t="s">
        <v>2404</v>
      </c>
      <c r="N153" s="405" t="s">
        <v>2405</v>
      </c>
      <c r="O153" s="405" t="s">
        <v>2406</v>
      </c>
      <c r="P153" s="405" t="s">
        <v>243</v>
      </c>
      <c r="Q153" s="249" t="s">
        <v>2407</v>
      </c>
      <c r="R153" s="229" t="s">
        <v>2408</v>
      </c>
      <c r="S153" s="246" t="s">
        <v>2401</v>
      </c>
      <c r="T153" s="246" t="s">
        <v>2402</v>
      </c>
      <c r="U153" s="246" t="s">
        <v>2403</v>
      </c>
      <c r="V153" s="448" t="s">
        <v>2404</v>
      </c>
      <c r="W153" s="246" t="s">
        <v>117</v>
      </c>
      <c r="X153" s="237" t="s">
        <v>118</v>
      </c>
      <c r="Y153" s="266"/>
      <c r="AA153" s="261">
        <v>201530</v>
      </c>
      <c r="AB153" s="227" t="s">
        <v>10</v>
      </c>
      <c r="AD153" s="245"/>
      <c r="AE153" s="241"/>
      <c r="AF153" s="241"/>
      <c r="AG153" s="241">
        <f t="shared" si="19"/>
        <v>0</v>
      </c>
      <c r="AI153" s="252"/>
      <c r="AJ153" s="253"/>
      <c r="AK153" s="253"/>
      <c r="AL153" s="253"/>
      <c r="AM153" s="253"/>
      <c r="AN153" s="253"/>
      <c r="AO153" s="253"/>
      <c r="AP153" s="253">
        <f t="shared" si="20"/>
        <v>0</v>
      </c>
      <c r="AQ153" s="240"/>
      <c r="AR153" s="227" t="s">
        <v>2409</v>
      </c>
      <c r="AS153" s="241" t="s">
        <v>120</v>
      </c>
      <c r="AT153" s="256" t="s">
        <v>12</v>
      </c>
      <c r="AU153" s="256" t="s">
        <v>120</v>
      </c>
      <c r="AV153" s="224">
        <v>3344000</v>
      </c>
      <c r="AW153" s="226" t="s">
        <v>2410</v>
      </c>
      <c r="AX153" s="339" t="s">
        <v>2411</v>
      </c>
      <c r="AY153" s="335" t="s">
        <v>159</v>
      </c>
      <c r="BD153" s="255" t="str">
        <f t="shared" ca="1" si="21"/>
        <v/>
      </c>
      <c r="BE153" s="340" t="s">
        <v>1353</v>
      </c>
    </row>
    <row r="154" spans="1:58" s="227" customFormat="1" ht="15" customHeight="1" x14ac:dyDescent="0.55000000000000004">
      <c r="A154" s="240">
        <v>44369</v>
      </c>
      <c r="B154" s="335" t="s">
        <v>35</v>
      </c>
      <c r="E154" s="240">
        <v>43894</v>
      </c>
      <c r="F154" s="246" t="s">
        <v>2412</v>
      </c>
      <c r="G154" s="228" t="s">
        <v>2413</v>
      </c>
      <c r="H154" s="248" t="s">
        <v>2414</v>
      </c>
      <c r="I154" s="341" t="s">
        <v>145</v>
      </c>
      <c r="J154" s="246" t="s">
        <v>2415</v>
      </c>
      <c r="K154" s="246"/>
      <c r="L154" s="248" t="s">
        <v>1750</v>
      </c>
      <c r="M154" s="256" t="s">
        <v>2416</v>
      </c>
      <c r="N154" s="246" t="s">
        <v>2417</v>
      </c>
      <c r="O154" s="246" t="s">
        <v>2418</v>
      </c>
      <c r="P154" s="246" t="s">
        <v>114</v>
      </c>
      <c r="Q154" s="249" t="s">
        <v>2419</v>
      </c>
      <c r="R154" s="229" t="s">
        <v>2420</v>
      </c>
      <c r="S154" s="246" t="s">
        <v>2421</v>
      </c>
      <c r="T154" s="246"/>
      <c r="U154" s="246" t="s">
        <v>1750</v>
      </c>
      <c r="V154" s="250" t="s">
        <v>2416</v>
      </c>
      <c r="W154" s="246" t="s">
        <v>117</v>
      </c>
      <c r="X154" s="237" t="s">
        <v>235</v>
      </c>
      <c r="Y154" s="266"/>
      <c r="Z154" s="246" t="s">
        <v>2422</v>
      </c>
      <c r="AA154" s="261">
        <v>201230</v>
      </c>
      <c r="AB154" s="227" t="s">
        <v>10</v>
      </c>
      <c r="AD154" s="245"/>
      <c r="AE154" s="241">
        <v>17</v>
      </c>
      <c r="AF154" s="241">
        <v>13</v>
      </c>
      <c r="AG154" s="241">
        <f t="shared" si="19"/>
        <v>30</v>
      </c>
      <c r="AI154" s="252"/>
      <c r="AJ154" s="253"/>
      <c r="AK154" s="253"/>
      <c r="AL154" s="253"/>
      <c r="AM154" s="253"/>
      <c r="AN154" s="253"/>
      <c r="AO154" s="253"/>
      <c r="AP154" s="253">
        <f t="shared" si="20"/>
        <v>0</v>
      </c>
      <c r="AQ154" s="240"/>
      <c r="AR154" s="227" t="s">
        <v>2423</v>
      </c>
      <c r="AS154" s="256" t="s">
        <v>120</v>
      </c>
      <c r="AT154" s="256" t="s">
        <v>19</v>
      </c>
      <c r="AU154" s="256" t="s">
        <v>120</v>
      </c>
      <c r="AV154" s="224">
        <v>2348000</v>
      </c>
      <c r="AW154" s="335" t="s">
        <v>343</v>
      </c>
      <c r="AX154" s="343" t="s">
        <v>1753</v>
      </c>
      <c r="AY154" s="335" t="s">
        <v>159</v>
      </c>
      <c r="BD154" s="255" t="str">
        <f t="shared" ca="1" si="21"/>
        <v/>
      </c>
      <c r="BE154" s="340" t="s">
        <v>1551</v>
      </c>
    </row>
    <row r="155" spans="1:58" s="227" customFormat="1" ht="15" customHeight="1" x14ac:dyDescent="1.05">
      <c r="A155" s="239">
        <v>44483</v>
      </c>
      <c r="B155" s="233" t="s">
        <v>35</v>
      </c>
      <c r="C155" s="237"/>
      <c r="D155" s="237"/>
      <c r="E155" s="367">
        <v>44393</v>
      </c>
      <c r="F155" s="237" t="s">
        <v>2424</v>
      </c>
      <c r="G155" s="237" t="s">
        <v>2425</v>
      </c>
      <c r="H155" s="496" t="s">
        <v>2426</v>
      </c>
      <c r="I155" s="344" t="s">
        <v>145</v>
      </c>
      <c r="J155" s="228" t="s">
        <v>2427</v>
      </c>
      <c r="K155" s="233"/>
      <c r="L155" s="356" t="s">
        <v>2428</v>
      </c>
      <c r="M155" s="371">
        <v>2702</v>
      </c>
      <c r="N155" s="228" t="s">
        <v>1789</v>
      </c>
      <c r="O155" s="228" t="s">
        <v>2429</v>
      </c>
      <c r="P155" s="246" t="s">
        <v>2430</v>
      </c>
      <c r="Q155" s="249" t="s">
        <v>2431</v>
      </c>
      <c r="R155" s="228" t="s">
        <v>2432</v>
      </c>
      <c r="S155" s="227" t="s">
        <v>2433</v>
      </c>
      <c r="U155" s="227" t="s">
        <v>2434</v>
      </c>
      <c r="V155" s="337">
        <v>2779</v>
      </c>
      <c r="W155" s="228" t="s">
        <v>155</v>
      </c>
      <c r="X155" s="237" t="s">
        <v>235</v>
      </c>
      <c r="Y155" s="353"/>
      <c r="Z155" s="233"/>
      <c r="AA155" s="251">
        <v>2912145</v>
      </c>
      <c r="AB155" s="237" t="s">
        <v>10</v>
      </c>
      <c r="AC155" s="237"/>
      <c r="AD155" s="245"/>
      <c r="AE155" s="244"/>
      <c r="AF155" s="244"/>
      <c r="AG155" s="241">
        <f t="shared" si="19"/>
        <v>0</v>
      </c>
      <c r="AH155" s="237"/>
      <c r="AI155" s="257"/>
      <c r="AJ155" s="258"/>
      <c r="AK155" s="258"/>
      <c r="AL155" s="258"/>
      <c r="AM155" s="258"/>
      <c r="AN155" s="258"/>
      <c r="AO155" s="258"/>
      <c r="AP155" s="253">
        <f t="shared" si="20"/>
        <v>0</v>
      </c>
      <c r="AQ155" s="239"/>
      <c r="AR155" s="237" t="s">
        <v>2435</v>
      </c>
      <c r="AS155" s="244" t="s">
        <v>120</v>
      </c>
      <c r="AT155" s="244" t="s">
        <v>25</v>
      </c>
      <c r="AU155" s="244" t="s">
        <v>189</v>
      </c>
      <c r="AV155" s="244">
        <v>4102035</v>
      </c>
      <c r="AW155" s="233" t="s">
        <v>2436</v>
      </c>
      <c r="AX155" s="350" t="s">
        <v>2437</v>
      </c>
      <c r="AY155" s="335" t="s">
        <v>159</v>
      </c>
      <c r="BD155" s="255" t="str">
        <f t="shared" ca="1" si="21"/>
        <v/>
      </c>
      <c r="BE155" s="340" t="s">
        <v>2438</v>
      </c>
    </row>
    <row r="156" spans="1:58" s="227" customFormat="1" ht="15" customHeight="1" x14ac:dyDescent="0.55000000000000004">
      <c r="A156" s="240">
        <v>44483</v>
      </c>
      <c r="B156" s="335" t="s">
        <v>35</v>
      </c>
      <c r="E156" s="240">
        <v>44295</v>
      </c>
      <c r="F156" s="227" t="s">
        <v>2439</v>
      </c>
      <c r="G156" s="227" t="s">
        <v>2440</v>
      </c>
      <c r="H156" s="387" t="s">
        <v>2441</v>
      </c>
      <c r="I156" s="247" t="s">
        <v>145</v>
      </c>
      <c r="J156" s="227" t="s">
        <v>2442</v>
      </c>
      <c r="L156" s="248" t="s">
        <v>263</v>
      </c>
      <c r="M156" s="242" t="s">
        <v>264</v>
      </c>
      <c r="N156" s="227" t="s">
        <v>2443</v>
      </c>
      <c r="O156" s="227" t="s">
        <v>2444</v>
      </c>
      <c r="P156" s="227" t="s">
        <v>2445</v>
      </c>
      <c r="Q156" s="249" t="s">
        <v>2446</v>
      </c>
      <c r="R156" s="336" t="s">
        <v>2447</v>
      </c>
      <c r="S156" s="227" t="s">
        <v>2442</v>
      </c>
      <c r="U156" s="227" t="s">
        <v>263</v>
      </c>
      <c r="V156" s="250">
        <v>2116</v>
      </c>
      <c r="W156" s="227" t="s">
        <v>117</v>
      </c>
      <c r="X156" s="237" t="s">
        <v>118</v>
      </c>
      <c r="Y156" s="237"/>
      <c r="AA156" s="223" t="s">
        <v>2448</v>
      </c>
      <c r="AB156" s="227" t="s">
        <v>10</v>
      </c>
      <c r="AD156" s="245"/>
      <c r="AE156" s="241"/>
      <c r="AF156" s="241"/>
      <c r="AG156" s="241">
        <f t="shared" si="19"/>
        <v>0</v>
      </c>
      <c r="AI156" s="252"/>
      <c r="AJ156" s="253"/>
      <c r="AK156" s="253"/>
      <c r="AL156" s="253"/>
      <c r="AM156" s="253"/>
      <c r="AN156" s="253"/>
      <c r="AO156" s="253"/>
      <c r="AP156" s="253">
        <f t="shared" si="20"/>
        <v>0</v>
      </c>
      <c r="AQ156" s="240"/>
      <c r="AR156" s="227" t="s">
        <v>2449</v>
      </c>
      <c r="AS156" s="256" t="s">
        <v>189</v>
      </c>
      <c r="AT156" s="256" t="s">
        <v>12</v>
      </c>
      <c r="AU156" s="256" t="s">
        <v>120</v>
      </c>
      <c r="AV156" s="241">
        <v>3035000</v>
      </c>
      <c r="AW156" s="233" t="s">
        <v>272</v>
      </c>
      <c r="AX156" s="339" t="s">
        <v>273</v>
      </c>
      <c r="AY156" s="335" t="s">
        <v>159</v>
      </c>
      <c r="AZ156" s="237"/>
      <c r="BA156" s="237"/>
      <c r="BB156" s="237"/>
      <c r="BC156" s="237"/>
      <c r="BD156" s="266"/>
      <c r="BE156" s="238"/>
      <c r="BF156" s="237"/>
    </row>
    <row r="157" spans="1:58" s="227" customFormat="1" ht="15" customHeight="1" x14ac:dyDescent="0.55000000000000004">
      <c r="A157" s="240">
        <v>44483</v>
      </c>
      <c r="B157" s="335" t="s">
        <v>35</v>
      </c>
      <c r="E157" s="240">
        <v>44295</v>
      </c>
      <c r="F157" s="227" t="s">
        <v>2439</v>
      </c>
      <c r="G157" s="227" t="s">
        <v>2440</v>
      </c>
      <c r="H157" s="387" t="s">
        <v>2441</v>
      </c>
      <c r="I157" s="247" t="s">
        <v>145</v>
      </c>
      <c r="J157" s="227" t="s">
        <v>2450</v>
      </c>
      <c r="L157" s="248" t="s">
        <v>263</v>
      </c>
      <c r="M157" s="242" t="s">
        <v>264</v>
      </c>
      <c r="N157" s="227" t="s">
        <v>2443</v>
      </c>
      <c r="O157" s="227" t="s">
        <v>2444</v>
      </c>
      <c r="P157" s="227" t="s">
        <v>2445</v>
      </c>
      <c r="Q157" s="249" t="s">
        <v>2446</v>
      </c>
      <c r="R157" s="336" t="s">
        <v>2447</v>
      </c>
      <c r="S157" s="227" t="s">
        <v>2450</v>
      </c>
      <c r="U157" s="227" t="s">
        <v>263</v>
      </c>
      <c r="V157" s="250">
        <v>2116</v>
      </c>
      <c r="W157" s="227" t="s">
        <v>117</v>
      </c>
      <c r="X157" s="237" t="s">
        <v>118</v>
      </c>
      <c r="Y157" s="237"/>
      <c r="AA157" s="223">
        <v>212144</v>
      </c>
      <c r="AB157" s="227" t="s">
        <v>10</v>
      </c>
      <c r="AD157" s="245"/>
      <c r="AE157" s="241"/>
      <c r="AF157" s="241"/>
      <c r="AG157" s="241">
        <f t="shared" si="19"/>
        <v>0</v>
      </c>
      <c r="AI157" s="252"/>
      <c r="AJ157" s="253"/>
      <c r="AK157" s="253"/>
      <c r="AL157" s="253"/>
      <c r="AM157" s="253"/>
      <c r="AN157" s="253"/>
      <c r="AO157" s="253"/>
      <c r="AP157" s="253">
        <f t="shared" si="20"/>
        <v>0</v>
      </c>
      <c r="AQ157" s="240"/>
      <c r="AR157" s="227" t="s">
        <v>2449</v>
      </c>
      <c r="AS157" s="256" t="s">
        <v>189</v>
      </c>
      <c r="AT157" s="256" t="s">
        <v>12</v>
      </c>
      <c r="AU157" s="256" t="s">
        <v>120</v>
      </c>
      <c r="AV157" s="241">
        <v>3035000</v>
      </c>
      <c r="AW157" s="233" t="s">
        <v>272</v>
      </c>
      <c r="AX157" s="343" t="s">
        <v>273</v>
      </c>
      <c r="AY157" s="335" t="s">
        <v>159</v>
      </c>
      <c r="AZ157" s="237"/>
      <c r="BA157" s="237"/>
      <c r="BB157" s="237"/>
      <c r="BC157" s="237"/>
      <c r="BD157" s="266"/>
      <c r="BE157" s="238"/>
      <c r="BF157" s="237"/>
    </row>
    <row r="158" spans="1:58" s="227" customFormat="1" ht="15" customHeight="1" x14ac:dyDescent="1.05">
      <c r="A158" s="240">
        <v>44483</v>
      </c>
      <c r="B158" s="335" t="s">
        <v>35</v>
      </c>
      <c r="E158" s="240">
        <v>44215</v>
      </c>
      <c r="F158" s="227" t="s">
        <v>2451</v>
      </c>
      <c r="G158" s="228" t="s">
        <v>2452</v>
      </c>
      <c r="H158" s="387" t="s">
        <v>2453</v>
      </c>
      <c r="I158" s="247" t="s">
        <v>145</v>
      </c>
      <c r="J158" s="227" t="s">
        <v>2454</v>
      </c>
      <c r="L158" s="248" t="s">
        <v>1228</v>
      </c>
      <c r="M158" s="242" t="s">
        <v>1244</v>
      </c>
      <c r="N158" s="227" t="s">
        <v>2455</v>
      </c>
      <c r="O158" s="227" t="s">
        <v>2456</v>
      </c>
      <c r="P158" s="227" t="s">
        <v>2457</v>
      </c>
      <c r="Q158" s="249" t="s">
        <v>2458</v>
      </c>
      <c r="R158" s="336" t="s">
        <v>2459</v>
      </c>
      <c r="S158" s="227" t="s">
        <v>2460</v>
      </c>
      <c r="U158" s="227" t="s">
        <v>1228</v>
      </c>
      <c r="V158" s="337" t="s">
        <v>1244</v>
      </c>
      <c r="W158" s="227" t="s">
        <v>117</v>
      </c>
      <c r="X158" s="237" t="s">
        <v>235</v>
      </c>
      <c r="Y158" s="237"/>
      <c r="AA158" s="251">
        <v>8033759</v>
      </c>
      <c r="AB158" s="227" t="s">
        <v>10</v>
      </c>
      <c r="AD158" s="245"/>
      <c r="AE158" s="241"/>
      <c r="AF158" s="241"/>
      <c r="AG158" s="241">
        <f t="shared" si="19"/>
        <v>0</v>
      </c>
      <c r="AI158" s="252"/>
      <c r="AJ158" s="253"/>
      <c r="AK158" s="253"/>
      <c r="AL158" s="253"/>
      <c r="AM158" s="253"/>
      <c r="AN158" s="253"/>
      <c r="AO158" s="253"/>
      <c r="AP158" s="253">
        <f t="shared" si="20"/>
        <v>0</v>
      </c>
      <c r="AQ158" s="240"/>
      <c r="AR158" s="227" t="s">
        <v>2449</v>
      </c>
      <c r="AS158" s="256" t="s">
        <v>120</v>
      </c>
      <c r="AT158" s="256" t="s">
        <v>12</v>
      </c>
      <c r="AU158" s="256" t="s">
        <v>120</v>
      </c>
      <c r="AV158" s="241">
        <v>3314000</v>
      </c>
      <c r="AW158" s="226" t="s">
        <v>1237</v>
      </c>
      <c r="AX158" s="401" t="s">
        <v>1238</v>
      </c>
      <c r="AY158" s="335" t="s">
        <v>159</v>
      </c>
      <c r="AZ158" s="237"/>
      <c r="BA158" s="237"/>
      <c r="BB158" s="237"/>
      <c r="BC158" s="237"/>
      <c r="BD158" s="255" t="str">
        <f ca="1">IF(ISBLANK(AD158),"",IF(AD158&lt;TODAY(),L158,""))</f>
        <v/>
      </c>
      <c r="BE158" s="354" t="s">
        <v>140</v>
      </c>
    </row>
    <row r="159" spans="1:58" s="227" customFormat="1" ht="15" customHeight="1" x14ac:dyDescent="1.05">
      <c r="A159" s="239">
        <v>44483</v>
      </c>
      <c r="B159" s="233" t="s">
        <v>35</v>
      </c>
      <c r="C159" s="237"/>
      <c r="D159" s="237"/>
      <c r="E159" s="367">
        <v>44393</v>
      </c>
      <c r="F159" s="237" t="s">
        <v>2461</v>
      </c>
      <c r="G159" s="237" t="s">
        <v>2462</v>
      </c>
      <c r="H159" s="496" t="s">
        <v>2463</v>
      </c>
      <c r="I159" s="344" t="s">
        <v>145</v>
      </c>
      <c r="J159" s="228" t="s">
        <v>2464</v>
      </c>
      <c r="K159" s="233"/>
      <c r="L159" s="356" t="s">
        <v>2465</v>
      </c>
      <c r="M159" s="371">
        <v>2026</v>
      </c>
      <c r="N159" s="228" t="s">
        <v>2466</v>
      </c>
      <c r="O159" s="228" t="s">
        <v>2467</v>
      </c>
      <c r="P159" s="246" t="s">
        <v>1733</v>
      </c>
      <c r="Q159" s="249" t="s">
        <v>2468</v>
      </c>
      <c r="R159" s="228" t="s">
        <v>2469</v>
      </c>
      <c r="S159" s="227" t="s">
        <v>2464</v>
      </c>
      <c r="U159" s="227" t="s">
        <v>2465</v>
      </c>
      <c r="V159" s="337">
        <v>2026</v>
      </c>
      <c r="W159" s="228" t="s">
        <v>117</v>
      </c>
      <c r="X159" s="353" t="s">
        <v>137</v>
      </c>
      <c r="Y159" s="353"/>
      <c r="Z159" s="233" t="s">
        <v>2470</v>
      </c>
      <c r="AA159" s="251">
        <v>8030347</v>
      </c>
      <c r="AB159" s="237" t="s">
        <v>10</v>
      </c>
      <c r="AC159" s="237"/>
      <c r="AD159" s="245"/>
      <c r="AE159" s="244"/>
      <c r="AF159" s="244"/>
      <c r="AG159" s="241">
        <f t="shared" si="19"/>
        <v>0</v>
      </c>
      <c r="AH159" s="237"/>
      <c r="AI159" s="257"/>
      <c r="AJ159" s="258"/>
      <c r="AK159" s="258"/>
      <c r="AL159" s="258"/>
      <c r="AM159" s="258"/>
      <c r="AN159" s="258"/>
      <c r="AO159" s="258"/>
      <c r="AP159" s="253">
        <f t="shared" si="20"/>
        <v>0</v>
      </c>
      <c r="AQ159" s="239"/>
      <c r="AR159" s="237" t="s">
        <v>2449</v>
      </c>
      <c r="AS159" s="244" t="s">
        <v>189</v>
      </c>
      <c r="AT159" s="244" t="s">
        <v>12</v>
      </c>
      <c r="AU159" s="244" t="s">
        <v>189</v>
      </c>
      <c r="AV159" s="244">
        <v>3073000</v>
      </c>
      <c r="AW159" s="233" t="s">
        <v>2471</v>
      </c>
      <c r="AX159" s="350" t="s">
        <v>2472</v>
      </c>
      <c r="AY159" s="335" t="s">
        <v>159</v>
      </c>
      <c r="BD159" s="255" t="str">
        <f ca="1">IF(ISBLANK(AD159),"",IF(AD159&lt;TODAY(),L159,""))</f>
        <v/>
      </c>
      <c r="BE159" s="259"/>
    </row>
    <row r="160" spans="1:58" s="227" customFormat="1" ht="15" customHeight="1" x14ac:dyDescent="0.55000000000000004">
      <c r="A160" s="239">
        <v>44483</v>
      </c>
      <c r="B160" s="233" t="s">
        <v>35</v>
      </c>
      <c r="C160" s="237"/>
      <c r="D160" s="237"/>
      <c r="E160" s="367">
        <v>44393</v>
      </c>
      <c r="F160" s="237" t="s">
        <v>2461</v>
      </c>
      <c r="G160" s="237" t="s">
        <v>2473</v>
      </c>
      <c r="H160" s="496" t="s">
        <v>2474</v>
      </c>
      <c r="I160" s="344" t="s">
        <v>145</v>
      </c>
      <c r="J160" s="228" t="s">
        <v>2475</v>
      </c>
      <c r="K160" s="233"/>
      <c r="L160" s="356" t="s">
        <v>2465</v>
      </c>
      <c r="M160" s="371">
        <v>2026</v>
      </c>
      <c r="N160" s="228" t="s">
        <v>2466</v>
      </c>
      <c r="O160" s="228" t="s">
        <v>2467</v>
      </c>
      <c r="P160" s="246" t="s">
        <v>1733</v>
      </c>
      <c r="Q160" s="249" t="s">
        <v>2468</v>
      </c>
      <c r="R160" s="228" t="s">
        <v>2469</v>
      </c>
      <c r="S160" s="227" t="s">
        <v>2464</v>
      </c>
      <c r="U160" s="227" t="s">
        <v>2465</v>
      </c>
      <c r="V160" s="337">
        <v>2026</v>
      </c>
      <c r="W160" s="228" t="s">
        <v>155</v>
      </c>
      <c r="X160" s="237" t="s">
        <v>235</v>
      </c>
      <c r="Y160" s="353"/>
      <c r="Z160" s="233" t="s">
        <v>2470</v>
      </c>
      <c r="AA160" s="251">
        <v>8028802</v>
      </c>
      <c r="AB160" s="237" t="s">
        <v>10</v>
      </c>
      <c r="AC160" s="237"/>
      <c r="AD160" s="245"/>
      <c r="AE160" s="244"/>
      <c r="AF160" s="244"/>
      <c r="AG160" s="241">
        <f t="shared" si="19"/>
        <v>0</v>
      </c>
      <c r="AH160" s="237"/>
      <c r="AI160" s="257"/>
      <c r="AJ160" s="258"/>
      <c r="AK160" s="258"/>
      <c r="AL160" s="258"/>
      <c r="AM160" s="258"/>
      <c r="AN160" s="258"/>
      <c r="AO160" s="258"/>
      <c r="AP160" s="253">
        <f t="shared" si="20"/>
        <v>0</v>
      </c>
      <c r="AQ160" s="239"/>
      <c r="AR160" s="237" t="s">
        <v>2449</v>
      </c>
      <c r="AS160" s="244" t="s">
        <v>189</v>
      </c>
      <c r="AT160" s="244" t="s">
        <v>12</v>
      </c>
      <c r="AU160" s="244" t="s">
        <v>189</v>
      </c>
      <c r="AV160" s="244">
        <v>3073000</v>
      </c>
      <c r="AW160" s="233" t="s">
        <v>2471</v>
      </c>
      <c r="AX160" s="463" t="s">
        <v>2472</v>
      </c>
      <c r="AY160" s="335" t="s">
        <v>159</v>
      </c>
      <c r="AZ160" s="237"/>
      <c r="BA160" s="237"/>
      <c r="BB160" s="237"/>
      <c r="BC160" s="237"/>
      <c r="BD160" s="255" t="str">
        <f ca="1">IF(ISBLANK(AD160),"",IF(AD160&lt;TODAY(),L160,""))</f>
        <v/>
      </c>
      <c r="BE160" s="377" t="s">
        <v>2476</v>
      </c>
      <c r="BF160" s="378"/>
    </row>
    <row r="161" spans="1:58" s="227" customFormat="1" ht="15" customHeight="1" x14ac:dyDescent="0.55000000000000004">
      <c r="A161" s="239">
        <v>44489</v>
      </c>
      <c r="B161" s="353" t="s">
        <v>35</v>
      </c>
      <c r="C161" s="237"/>
      <c r="D161" s="237"/>
      <c r="E161" s="239">
        <v>44475</v>
      </c>
      <c r="F161" s="348" t="s">
        <v>2477</v>
      </c>
      <c r="G161" s="233" t="s">
        <v>2478</v>
      </c>
      <c r="H161" s="419" t="s">
        <v>2479</v>
      </c>
      <c r="I161" s="428" t="s">
        <v>127</v>
      </c>
      <c r="J161" s="348" t="s">
        <v>2480</v>
      </c>
      <c r="K161" s="348"/>
      <c r="L161" s="466" t="s">
        <v>2465</v>
      </c>
      <c r="M161" s="442" t="s">
        <v>2481</v>
      </c>
      <c r="N161" s="348" t="s">
        <v>2482</v>
      </c>
      <c r="O161" s="348" t="s">
        <v>2483</v>
      </c>
      <c r="P161" s="505" t="s">
        <v>2291</v>
      </c>
      <c r="Q161" s="228" t="s">
        <v>2484</v>
      </c>
      <c r="R161" s="348" t="s">
        <v>2485</v>
      </c>
      <c r="S161" s="348" t="s">
        <v>2480</v>
      </c>
      <c r="T161" s="348"/>
      <c r="U161" s="505" t="s">
        <v>2465</v>
      </c>
      <c r="V161" s="467" t="s">
        <v>2481</v>
      </c>
      <c r="W161" s="348" t="s">
        <v>117</v>
      </c>
      <c r="X161" s="266" t="s">
        <v>235</v>
      </c>
      <c r="Y161" s="237"/>
      <c r="Z161" s="237" t="s">
        <v>2486</v>
      </c>
      <c r="AA161" s="251" t="s">
        <v>2487</v>
      </c>
      <c r="AB161" s="237" t="s">
        <v>203</v>
      </c>
      <c r="AC161" s="237" t="s">
        <v>2488</v>
      </c>
      <c r="AD161" s="245"/>
      <c r="AE161" s="244">
        <v>4</v>
      </c>
      <c r="AF161" s="244">
        <v>4</v>
      </c>
      <c r="AG161" s="244">
        <v>8</v>
      </c>
      <c r="AH161" s="237" t="s">
        <v>38</v>
      </c>
      <c r="AI161" s="257"/>
      <c r="AJ161" s="258"/>
      <c r="AK161" s="258"/>
      <c r="AL161" s="258"/>
      <c r="AM161" s="258"/>
      <c r="AN161" s="258"/>
      <c r="AO161" s="258"/>
      <c r="AP161" s="244"/>
      <c r="AQ161" s="239"/>
      <c r="AR161" s="237" t="s">
        <v>2489</v>
      </c>
      <c r="AS161" s="244"/>
      <c r="AT161" s="244"/>
      <c r="AU161" s="244"/>
      <c r="AV161" s="244"/>
      <c r="AW161" s="313"/>
      <c r="AX161" s="468"/>
      <c r="AY161" s="353"/>
      <c r="AZ161" s="237"/>
      <c r="BA161" s="237"/>
      <c r="BB161" s="237"/>
      <c r="BC161" s="237"/>
      <c r="BD161" s="266"/>
      <c r="BE161" s="238"/>
      <c r="BF161" s="237"/>
    </row>
    <row r="162" spans="1:58" s="227" customFormat="1" ht="15" customHeight="1" x14ac:dyDescent="0.55000000000000004">
      <c r="A162" s="239">
        <v>44489</v>
      </c>
      <c r="B162" s="353" t="s">
        <v>35</v>
      </c>
      <c r="C162" s="237"/>
      <c r="D162" s="237"/>
      <c r="E162" s="239">
        <v>44475</v>
      </c>
      <c r="F162" s="348" t="s">
        <v>2490</v>
      </c>
      <c r="G162" s="233" t="s">
        <v>2491</v>
      </c>
      <c r="H162" s="419" t="s">
        <v>2492</v>
      </c>
      <c r="I162" s="428" t="s">
        <v>127</v>
      </c>
      <c r="J162" s="348" t="s">
        <v>2493</v>
      </c>
      <c r="K162" s="348"/>
      <c r="L162" s="466" t="s">
        <v>1632</v>
      </c>
      <c r="M162" s="442" t="s">
        <v>1625</v>
      </c>
      <c r="N162" s="348" t="s">
        <v>2494</v>
      </c>
      <c r="O162" s="348" t="s">
        <v>2495</v>
      </c>
      <c r="P162" s="505" t="s">
        <v>760</v>
      </c>
      <c r="Q162" s="228" t="s">
        <v>2496</v>
      </c>
      <c r="R162" s="374" t="s">
        <v>2497</v>
      </c>
      <c r="S162" s="348" t="s">
        <v>2493</v>
      </c>
      <c r="T162" s="348"/>
      <c r="U162" s="505" t="s">
        <v>1624</v>
      </c>
      <c r="V162" s="467" t="s">
        <v>1625</v>
      </c>
      <c r="W162" s="348" t="s">
        <v>117</v>
      </c>
      <c r="X162" s="237" t="s">
        <v>137</v>
      </c>
      <c r="Y162" s="237"/>
      <c r="Z162" s="237" t="s">
        <v>2498</v>
      </c>
      <c r="AA162" s="251" t="s">
        <v>2499</v>
      </c>
      <c r="AB162" s="237" t="s">
        <v>203</v>
      </c>
      <c r="AC162" s="237" t="s">
        <v>2500</v>
      </c>
      <c r="AD162" s="245"/>
      <c r="AE162" s="244">
        <v>3</v>
      </c>
      <c r="AF162" s="244">
        <v>3</v>
      </c>
      <c r="AG162" s="244">
        <v>6</v>
      </c>
      <c r="AH162" s="237" t="s">
        <v>38</v>
      </c>
      <c r="AI162" s="257"/>
      <c r="AJ162" s="258"/>
      <c r="AK162" s="258"/>
      <c r="AL162" s="258"/>
      <c r="AM162" s="258"/>
      <c r="AN162" s="258"/>
      <c r="AO162" s="258"/>
      <c r="AP162" s="244"/>
      <c r="AQ162" s="239"/>
      <c r="AR162" s="237" t="s">
        <v>2489</v>
      </c>
      <c r="AS162" s="244"/>
      <c r="AT162" s="244"/>
      <c r="AU162" s="244"/>
      <c r="AV162" s="244"/>
      <c r="AW162" s="313"/>
      <c r="AX162" s="468"/>
      <c r="AY162" s="353"/>
      <c r="AZ162" s="237"/>
      <c r="BA162" s="237"/>
      <c r="BB162" s="237"/>
      <c r="BC162" s="237"/>
      <c r="BD162" s="266"/>
      <c r="BE162" s="238"/>
      <c r="BF162" s="237"/>
    </row>
    <row r="163" spans="1:58" s="227" customFormat="1" ht="15" customHeight="1" x14ac:dyDescent="0.55000000000000004">
      <c r="A163" s="239">
        <v>44489</v>
      </c>
      <c r="B163" s="353" t="s">
        <v>35</v>
      </c>
      <c r="C163" s="237"/>
      <c r="D163" s="237"/>
      <c r="E163" s="239">
        <v>44475</v>
      </c>
      <c r="F163" s="348" t="s">
        <v>2501</v>
      </c>
      <c r="G163" s="233" t="s">
        <v>2502</v>
      </c>
      <c r="H163" s="419" t="s">
        <v>2503</v>
      </c>
      <c r="I163" s="428" t="s">
        <v>127</v>
      </c>
      <c r="J163" s="348" t="s">
        <v>2504</v>
      </c>
      <c r="K163" s="348"/>
      <c r="L163" s="466" t="s">
        <v>2505</v>
      </c>
      <c r="M163" s="442" t="s">
        <v>2506</v>
      </c>
      <c r="N163" s="348" t="s">
        <v>2507</v>
      </c>
      <c r="O163" s="348" t="s">
        <v>2508</v>
      </c>
      <c r="P163" s="505" t="s">
        <v>1983</v>
      </c>
      <c r="Q163" s="228" t="s">
        <v>2509</v>
      </c>
      <c r="R163" s="374" t="s">
        <v>2510</v>
      </c>
      <c r="S163" s="348" t="s">
        <v>2504</v>
      </c>
      <c r="T163" s="348"/>
      <c r="U163" s="505" t="s">
        <v>2505</v>
      </c>
      <c r="V163" s="467" t="s">
        <v>2506</v>
      </c>
      <c r="W163" s="348" t="s">
        <v>155</v>
      </c>
      <c r="X163" s="237" t="s">
        <v>137</v>
      </c>
      <c r="Y163" s="237" t="s">
        <v>2511</v>
      </c>
      <c r="Z163" s="237" t="s">
        <v>2512</v>
      </c>
      <c r="AA163" s="251" t="s">
        <v>2513</v>
      </c>
      <c r="AB163" s="237" t="s">
        <v>203</v>
      </c>
      <c r="AC163" s="237" t="s">
        <v>2511</v>
      </c>
      <c r="AD163" s="245"/>
      <c r="AE163" s="244">
        <v>2</v>
      </c>
      <c r="AF163" s="244">
        <v>2</v>
      </c>
      <c r="AG163" s="244">
        <v>4</v>
      </c>
      <c r="AH163" s="237" t="s">
        <v>28</v>
      </c>
      <c r="AI163" s="257"/>
      <c r="AJ163" s="258"/>
      <c r="AK163" s="258"/>
      <c r="AL163" s="258"/>
      <c r="AM163" s="258"/>
      <c r="AN163" s="258"/>
      <c r="AO163" s="258"/>
      <c r="AP163" s="244"/>
      <c r="AQ163" s="239"/>
      <c r="AR163" s="237" t="s">
        <v>2489</v>
      </c>
      <c r="AS163" s="244"/>
      <c r="AT163" s="244"/>
      <c r="AU163" s="244"/>
      <c r="AV163" s="244"/>
      <c r="AW163" s="313"/>
      <c r="AX163" s="468"/>
      <c r="AY163" s="353"/>
      <c r="AZ163" s="237"/>
      <c r="BA163" s="237"/>
      <c r="BB163" s="237"/>
      <c r="BC163" s="237"/>
      <c r="BD163" s="266"/>
      <c r="BE163" s="238"/>
      <c r="BF163" s="237"/>
    </row>
    <row r="164" spans="1:58" s="227" customFormat="1" ht="15" customHeight="1" x14ac:dyDescent="0.55000000000000004">
      <c r="A164" s="239">
        <v>44494</v>
      </c>
      <c r="B164" s="353" t="s">
        <v>35</v>
      </c>
      <c r="C164" s="228"/>
      <c r="D164" s="228"/>
      <c r="E164" s="239">
        <v>44475</v>
      </c>
      <c r="F164" s="348" t="s">
        <v>2514</v>
      </c>
      <c r="G164" s="233" t="s">
        <v>2515</v>
      </c>
      <c r="H164" s="419" t="s">
        <v>2516</v>
      </c>
      <c r="I164" s="428" t="s">
        <v>127</v>
      </c>
      <c r="J164" s="348" t="s">
        <v>2517</v>
      </c>
      <c r="K164" s="348">
        <v>2</v>
      </c>
      <c r="L164" s="466" t="s">
        <v>2073</v>
      </c>
      <c r="M164" s="442" t="s">
        <v>2518</v>
      </c>
      <c r="N164" s="348" t="s">
        <v>2519</v>
      </c>
      <c r="O164" s="348" t="s">
        <v>2520</v>
      </c>
      <c r="P164" s="505" t="s">
        <v>334</v>
      </c>
      <c r="Q164" s="228" t="s">
        <v>2521</v>
      </c>
      <c r="R164" s="348" t="s">
        <v>2522</v>
      </c>
      <c r="S164" s="348" t="s">
        <v>2517</v>
      </c>
      <c r="T164" s="348">
        <v>2</v>
      </c>
      <c r="U164" s="505" t="s">
        <v>2073</v>
      </c>
      <c r="V164" s="467" t="s">
        <v>2518</v>
      </c>
      <c r="W164" s="348" t="s">
        <v>155</v>
      </c>
      <c r="X164" s="266" t="s">
        <v>235</v>
      </c>
      <c r="Y164" s="237"/>
      <c r="Z164" s="228" t="s">
        <v>2523</v>
      </c>
      <c r="AA164" s="251">
        <v>7025599</v>
      </c>
      <c r="AB164" s="237" t="s">
        <v>203</v>
      </c>
      <c r="AC164" s="228" t="s">
        <v>2524</v>
      </c>
      <c r="AD164" s="245"/>
      <c r="AE164" s="359">
        <v>3</v>
      </c>
      <c r="AF164" s="359">
        <v>3</v>
      </c>
      <c r="AG164" s="359">
        <v>6</v>
      </c>
      <c r="AH164" s="228" t="s">
        <v>28</v>
      </c>
      <c r="AI164" s="360"/>
      <c r="AJ164" s="361"/>
      <c r="AK164" s="361"/>
      <c r="AL164" s="361"/>
      <c r="AM164" s="361"/>
      <c r="AN164" s="361"/>
      <c r="AO164" s="361"/>
      <c r="AP164" s="359"/>
      <c r="AQ164" s="362"/>
      <c r="AR164" s="227" t="s">
        <v>2489</v>
      </c>
      <c r="AS164" s="359"/>
      <c r="AT164" s="359"/>
      <c r="AU164" s="359"/>
      <c r="AV164" s="359"/>
      <c r="AW164" s="342"/>
      <c r="AX164" s="363"/>
      <c r="AY164" s="335"/>
      <c r="AZ164" s="228"/>
      <c r="BD164" s="246"/>
      <c r="BE164" s="340"/>
      <c r="BF164" s="228"/>
    </row>
    <row r="165" spans="1:58" s="227" customFormat="1" ht="15" customHeight="1" x14ac:dyDescent="0.55000000000000004">
      <c r="A165" s="240">
        <v>44057</v>
      </c>
      <c r="B165" s="353" t="s">
        <v>24</v>
      </c>
      <c r="E165" s="240">
        <v>43895</v>
      </c>
      <c r="F165" s="227" t="s">
        <v>2525</v>
      </c>
      <c r="G165" s="228" t="s">
        <v>2526</v>
      </c>
      <c r="H165" s="387" t="s">
        <v>2527</v>
      </c>
      <c r="I165" s="341" t="s">
        <v>145</v>
      </c>
      <c r="J165" s="227" t="s">
        <v>2528</v>
      </c>
      <c r="L165" s="248" t="s">
        <v>2529</v>
      </c>
      <c r="M165" s="242" t="s">
        <v>2530</v>
      </c>
      <c r="N165" s="227" t="s">
        <v>2531</v>
      </c>
      <c r="O165" s="227" t="s">
        <v>2532</v>
      </c>
      <c r="P165" s="227" t="s">
        <v>2533</v>
      </c>
      <c r="Q165" s="249" t="s">
        <v>2534</v>
      </c>
      <c r="R165" s="336" t="s">
        <v>2535</v>
      </c>
      <c r="S165" s="227" t="s">
        <v>2536</v>
      </c>
      <c r="U165" s="227" t="s">
        <v>2529</v>
      </c>
      <c r="V165" s="337" t="s">
        <v>2530</v>
      </c>
      <c r="W165" s="227" t="s">
        <v>155</v>
      </c>
      <c r="X165" s="237" t="s">
        <v>118</v>
      </c>
      <c r="Y165" s="237"/>
      <c r="Z165" s="227" t="s">
        <v>2537</v>
      </c>
      <c r="AA165" s="251">
        <v>8034093</v>
      </c>
      <c r="AB165" s="227" t="s">
        <v>23</v>
      </c>
      <c r="AD165" s="245"/>
      <c r="AE165" s="241"/>
      <c r="AF165" s="241"/>
      <c r="AG165" s="241">
        <f t="shared" ref="AG165:AG187" si="22">AE165+AF165</f>
        <v>0</v>
      </c>
      <c r="AI165" s="252"/>
      <c r="AJ165" s="253"/>
      <c r="AK165" s="253"/>
      <c r="AL165" s="253"/>
      <c r="AM165" s="253"/>
      <c r="AN165" s="253"/>
      <c r="AO165" s="253"/>
      <c r="AP165" s="253">
        <f t="shared" ref="AP165:AP187" si="23">AJ165+AK165+AL165+AM165+AN165+AO165</f>
        <v>0</v>
      </c>
      <c r="AQ165" s="240"/>
      <c r="AR165" s="227" t="s">
        <v>2538</v>
      </c>
      <c r="AS165" s="256" t="s">
        <v>120</v>
      </c>
      <c r="AT165" s="256" t="s">
        <v>12</v>
      </c>
      <c r="AU165" s="256" t="s">
        <v>120</v>
      </c>
      <c r="AV165" s="241">
        <v>3160000</v>
      </c>
      <c r="AW165" s="342" t="s">
        <v>343</v>
      </c>
      <c r="AX165" s="339" t="s">
        <v>2539</v>
      </c>
      <c r="AY165" s="335" t="s">
        <v>159</v>
      </c>
      <c r="AZ165" s="237"/>
      <c r="BA165" s="237"/>
      <c r="BB165" s="237"/>
      <c r="BC165" s="237"/>
      <c r="BD165" s="255" t="str">
        <f t="shared" ref="BD165:BD170" ca="1" si="24">IF(ISBLANK(AD165),"",IF(AD165&lt;TODAY(),L165,""))</f>
        <v/>
      </c>
      <c r="BE165" s="340"/>
      <c r="BF165" s="237"/>
    </row>
    <row r="166" spans="1:58" s="227" customFormat="1" ht="15" customHeight="1" x14ac:dyDescent="0.55000000000000004">
      <c r="A166" s="240">
        <v>44225</v>
      </c>
      <c r="B166" s="335" t="s">
        <v>24</v>
      </c>
      <c r="E166" s="240">
        <v>44008</v>
      </c>
      <c r="F166" s="227" t="s">
        <v>2540</v>
      </c>
      <c r="G166" s="228" t="s">
        <v>2541</v>
      </c>
      <c r="H166" s="387" t="s">
        <v>2542</v>
      </c>
      <c r="I166" s="341" t="s">
        <v>145</v>
      </c>
      <c r="J166" s="227" t="s">
        <v>2543</v>
      </c>
      <c r="L166" s="248" t="s">
        <v>2544</v>
      </c>
      <c r="M166" s="241" t="s">
        <v>2545</v>
      </c>
      <c r="N166" s="227" t="s">
        <v>2546</v>
      </c>
      <c r="O166" s="227" t="s">
        <v>2547</v>
      </c>
      <c r="P166" s="227" t="s">
        <v>243</v>
      </c>
      <c r="Q166" s="249" t="s">
        <v>2548</v>
      </c>
      <c r="R166" s="336" t="s">
        <v>2549</v>
      </c>
      <c r="S166" s="227" t="s">
        <v>2550</v>
      </c>
      <c r="U166" s="227" t="s">
        <v>2544</v>
      </c>
      <c r="V166" s="250" t="s">
        <v>2545</v>
      </c>
      <c r="W166" s="227" t="s">
        <v>117</v>
      </c>
      <c r="X166" s="237" t="s">
        <v>118</v>
      </c>
      <c r="Y166" s="237"/>
      <c r="Z166" s="227" t="s">
        <v>2551</v>
      </c>
      <c r="AA166" s="251">
        <v>201082</v>
      </c>
      <c r="AB166" s="227" t="s">
        <v>10</v>
      </c>
      <c r="AD166" s="245"/>
      <c r="AE166" s="241"/>
      <c r="AF166" s="241"/>
      <c r="AG166" s="241">
        <f t="shared" si="22"/>
        <v>0</v>
      </c>
      <c r="AI166" s="252"/>
      <c r="AJ166" s="253"/>
      <c r="AK166" s="253"/>
      <c r="AL166" s="253"/>
      <c r="AM166" s="253"/>
      <c r="AN166" s="253"/>
      <c r="AO166" s="253"/>
      <c r="AP166" s="253">
        <f t="shared" si="23"/>
        <v>0</v>
      </c>
      <c r="AQ166" s="240"/>
      <c r="AR166" s="227" t="s">
        <v>2552</v>
      </c>
      <c r="AS166" s="256" t="s">
        <v>120</v>
      </c>
      <c r="AT166" s="256" t="s">
        <v>19</v>
      </c>
      <c r="AU166" s="256" t="s">
        <v>120</v>
      </c>
      <c r="AV166" s="224">
        <v>2019000</v>
      </c>
      <c r="AW166" s="226" t="s">
        <v>2553</v>
      </c>
      <c r="AX166" s="339" t="s">
        <v>751</v>
      </c>
      <c r="AY166" s="335" t="s">
        <v>159</v>
      </c>
      <c r="BD166" s="255" t="str">
        <f t="shared" ca="1" si="24"/>
        <v/>
      </c>
      <c r="BE166" s="259" t="s">
        <v>2554</v>
      </c>
    </row>
    <row r="167" spans="1:58" s="237" customFormat="1" ht="15" customHeight="1" x14ac:dyDescent="0.55000000000000004">
      <c r="A167" s="240">
        <v>44474</v>
      </c>
      <c r="B167" s="335" t="s">
        <v>24</v>
      </c>
      <c r="C167" s="227"/>
      <c r="D167" s="227"/>
      <c r="E167" s="240">
        <v>44292</v>
      </c>
      <c r="F167" s="227" t="s">
        <v>2555</v>
      </c>
      <c r="G167" s="227" t="s">
        <v>2556</v>
      </c>
      <c r="H167" s="387" t="s">
        <v>2557</v>
      </c>
      <c r="I167" s="247" t="s">
        <v>145</v>
      </c>
      <c r="J167" s="227" t="s">
        <v>2558</v>
      </c>
      <c r="K167" s="227"/>
      <c r="L167" s="248" t="s">
        <v>2559</v>
      </c>
      <c r="M167" s="242" t="s">
        <v>434</v>
      </c>
      <c r="N167" s="227" t="s">
        <v>2560</v>
      </c>
      <c r="O167" s="227" t="s">
        <v>2561</v>
      </c>
      <c r="P167" s="227" t="s">
        <v>243</v>
      </c>
      <c r="Q167" s="249" t="s">
        <v>2562</v>
      </c>
      <c r="R167" s="336" t="s">
        <v>2563</v>
      </c>
      <c r="S167" s="227" t="s">
        <v>2564</v>
      </c>
      <c r="T167" s="227"/>
      <c r="U167" s="227" t="s">
        <v>433</v>
      </c>
      <c r="V167" s="250">
        <v>2467</v>
      </c>
      <c r="W167" s="227" t="s">
        <v>155</v>
      </c>
      <c r="X167" s="237" t="s">
        <v>118</v>
      </c>
      <c r="Z167" s="227" t="s">
        <v>2565</v>
      </c>
      <c r="AA167" s="251">
        <v>8030070</v>
      </c>
      <c r="AB167" s="227" t="s">
        <v>10</v>
      </c>
      <c r="AC167" s="227"/>
      <c r="AD167" s="245"/>
      <c r="AE167" s="241"/>
      <c r="AF167" s="241"/>
      <c r="AG167" s="241">
        <f t="shared" si="22"/>
        <v>0</v>
      </c>
      <c r="AH167" s="227"/>
      <c r="AI167" s="252"/>
      <c r="AJ167" s="253"/>
      <c r="AK167" s="253"/>
      <c r="AL167" s="253"/>
      <c r="AM167" s="253"/>
      <c r="AN167" s="253"/>
      <c r="AO167" s="253"/>
      <c r="AP167" s="253">
        <f t="shared" si="23"/>
        <v>0</v>
      </c>
      <c r="AQ167" s="240"/>
      <c r="AR167" s="227" t="s">
        <v>2566</v>
      </c>
      <c r="AS167" s="241" t="s">
        <v>189</v>
      </c>
      <c r="AT167" s="256" t="s">
        <v>12</v>
      </c>
      <c r="AU167" s="256" t="s">
        <v>120</v>
      </c>
      <c r="AV167" s="224">
        <v>3046000</v>
      </c>
      <c r="AW167" s="342" t="s">
        <v>343</v>
      </c>
      <c r="AX167" s="339" t="s">
        <v>2567</v>
      </c>
      <c r="AY167" s="335" t="s">
        <v>159</v>
      </c>
      <c r="AZ167" s="227"/>
      <c r="BA167" s="227"/>
      <c r="BB167" s="227"/>
      <c r="BC167" s="227"/>
      <c r="BD167" s="255" t="str">
        <f t="shared" ca="1" si="24"/>
        <v/>
      </c>
      <c r="BE167" s="382" t="s">
        <v>752</v>
      </c>
      <c r="BF167" s="227"/>
    </row>
    <row r="168" spans="1:58" s="237" customFormat="1" ht="15" customHeight="1" x14ac:dyDescent="0.55000000000000004">
      <c r="A168" s="240">
        <v>44387</v>
      </c>
      <c r="B168" s="335" t="s">
        <v>24</v>
      </c>
      <c r="C168" s="227"/>
      <c r="D168" s="227"/>
      <c r="E168" s="240">
        <v>43895</v>
      </c>
      <c r="F168" s="246" t="s">
        <v>2568</v>
      </c>
      <c r="G168" s="228" t="s">
        <v>2569</v>
      </c>
      <c r="H168" s="248" t="s">
        <v>2570</v>
      </c>
      <c r="I168" s="341" t="s">
        <v>145</v>
      </c>
      <c r="J168" s="246" t="s">
        <v>2571</v>
      </c>
      <c r="K168" s="246"/>
      <c r="L168" s="248" t="s">
        <v>396</v>
      </c>
      <c r="M168" s="256" t="s">
        <v>397</v>
      </c>
      <c r="N168" s="246" t="s">
        <v>2572</v>
      </c>
      <c r="O168" s="246" t="s">
        <v>2573</v>
      </c>
      <c r="P168" s="246" t="s">
        <v>2574</v>
      </c>
      <c r="Q168" s="249" t="s">
        <v>2575</v>
      </c>
      <c r="R168" s="229" t="s">
        <v>2576</v>
      </c>
      <c r="S168" s="246" t="s">
        <v>2577</v>
      </c>
      <c r="T168" s="246"/>
      <c r="U168" s="246" t="s">
        <v>396</v>
      </c>
      <c r="V168" s="250" t="s">
        <v>397</v>
      </c>
      <c r="W168" s="246" t="s">
        <v>117</v>
      </c>
      <c r="X168" s="237" t="s">
        <v>235</v>
      </c>
      <c r="Y168" s="266"/>
      <c r="Z168" s="246" t="s">
        <v>2578</v>
      </c>
      <c r="AA168" s="261">
        <v>200316</v>
      </c>
      <c r="AB168" s="227" t="s">
        <v>23</v>
      </c>
      <c r="AC168" s="227"/>
      <c r="AD168" s="245"/>
      <c r="AE168" s="241"/>
      <c r="AF168" s="241"/>
      <c r="AG168" s="241">
        <f t="shared" si="22"/>
        <v>0</v>
      </c>
      <c r="AH168" s="227"/>
      <c r="AI168" s="252"/>
      <c r="AJ168" s="253"/>
      <c r="AK168" s="253"/>
      <c r="AL168" s="253"/>
      <c r="AM168" s="253"/>
      <c r="AN168" s="253"/>
      <c r="AO168" s="253"/>
      <c r="AP168" s="253">
        <f t="shared" si="23"/>
        <v>0</v>
      </c>
      <c r="AQ168" s="240"/>
      <c r="AR168" s="227" t="s">
        <v>2579</v>
      </c>
      <c r="AS168" s="256" t="s">
        <v>189</v>
      </c>
      <c r="AT168" s="256" t="s">
        <v>25</v>
      </c>
      <c r="AU168" s="256" t="s">
        <v>120</v>
      </c>
      <c r="AV168" s="224">
        <v>4050000</v>
      </c>
      <c r="AW168" s="226" t="s">
        <v>407</v>
      </c>
      <c r="AX168" s="339" t="s">
        <v>2580</v>
      </c>
      <c r="AY168" s="335" t="s">
        <v>159</v>
      </c>
      <c r="BD168" s="255" t="str">
        <f t="shared" ca="1" si="24"/>
        <v/>
      </c>
      <c r="BE168" s="382" t="s">
        <v>2581</v>
      </c>
      <c r="BF168" s="227"/>
    </row>
    <row r="169" spans="1:58" s="237" customFormat="1" ht="15" customHeight="1" x14ac:dyDescent="0.55000000000000004">
      <c r="A169" s="240">
        <v>44341</v>
      </c>
      <c r="B169" s="335" t="s">
        <v>24</v>
      </c>
      <c r="C169" s="227"/>
      <c r="D169" s="227"/>
      <c r="E169" s="239">
        <v>44292</v>
      </c>
      <c r="F169" s="237" t="s">
        <v>2582</v>
      </c>
      <c r="G169" s="237" t="s">
        <v>2583</v>
      </c>
      <c r="H169" s="496" t="s">
        <v>2584</v>
      </c>
      <c r="I169" s="344" t="s">
        <v>145</v>
      </c>
      <c r="J169" s="237" t="s">
        <v>2585</v>
      </c>
      <c r="L169" s="345" t="s">
        <v>1284</v>
      </c>
      <c r="M169" s="346" t="s">
        <v>1285</v>
      </c>
      <c r="N169" s="237" t="s">
        <v>2586</v>
      </c>
      <c r="O169" s="237" t="s">
        <v>2587</v>
      </c>
      <c r="P169" s="237" t="s">
        <v>2588</v>
      </c>
      <c r="Q169" s="347" t="s">
        <v>2589</v>
      </c>
      <c r="R169" s="238" t="s">
        <v>2590</v>
      </c>
      <c r="S169" s="237" t="s">
        <v>2591</v>
      </c>
      <c r="U169" s="237" t="s">
        <v>1284</v>
      </c>
      <c r="V169" s="349">
        <v>1742</v>
      </c>
      <c r="W169" s="237" t="s">
        <v>117</v>
      </c>
      <c r="X169" s="237" t="s">
        <v>118</v>
      </c>
      <c r="AA169" s="251">
        <v>211650</v>
      </c>
      <c r="AB169" s="237" t="s">
        <v>10</v>
      </c>
      <c r="AD169" s="245"/>
      <c r="AE169" s="244"/>
      <c r="AF169" s="244"/>
      <c r="AG169" s="241">
        <f t="shared" si="22"/>
        <v>0</v>
      </c>
      <c r="AI169" s="257"/>
      <c r="AJ169" s="258"/>
      <c r="AK169" s="258"/>
      <c r="AL169" s="258"/>
      <c r="AM169" s="258"/>
      <c r="AN169" s="258"/>
      <c r="AO169" s="258"/>
      <c r="AP169" s="253">
        <f t="shared" si="23"/>
        <v>0</v>
      </c>
      <c r="AQ169" s="239"/>
      <c r="AS169" s="244" t="s">
        <v>120</v>
      </c>
      <c r="AT169" s="244" t="s">
        <v>19</v>
      </c>
      <c r="AU169" s="244" t="s">
        <v>120</v>
      </c>
      <c r="AV169" s="241">
        <v>2330000</v>
      </c>
      <c r="AW169" s="338" t="s">
        <v>1294</v>
      </c>
      <c r="AX169" s="339" t="s">
        <v>1295</v>
      </c>
      <c r="AY169" s="335" t="s">
        <v>159</v>
      </c>
      <c r="AZ169" s="227"/>
      <c r="BA169" s="227"/>
      <c r="BB169" s="227"/>
      <c r="BC169" s="227"/>
      <c r="BD169" s="255" t="str">
        <f t="shared" ca="1" si="24"/>
        <v/>
      </c>
      <c r="BE169" s="259" t="s">
        <v>2592</v>
      </c>
      <c r="BF169" s="227"/>
    </row>
    <row r="170" spans="1:58" ht="15" customHeight="1" x14ac:dyDescent="0.55000000000000004">
      <c r="A170" s="239">
        <v>44374</v>
      </c>
      <c r="B170" s="335" t="s">
        <v>24</v>
      </c>
      <c r="C170" s="227"/>
      <c r="D170" s="227"/>
      <c r="E170" s="239">
        <v>44292</v>
      </c>
      <c r="F170" s="450" t="s">
        <v>2582</v>
      </c>
      <c r="G170" s="368" t="s">
        <v>2593</v>
      </c>
      <c r="H170" s="498" t="s">
        <v>2594</v>
      </c>
      <c r="I170" s="451" t="s">
        <v>145</v>
      </c>
      <c r="J170" s="368" t="s">
        <v>2591</v>
      </c>
      <c r="K170" s="378"/>
      <c r="L170" s="345" t="s">
        <v>1284</v>
      </c>
      <c r="M170" s="346" t="s">
        <v>1285</v>
      </c>
      <c r="N170" s="405" t="s">
        <v>2586</v>
      </c>
      <c r="O170" s="405" t="s">
        <v>2587</v>
      </c>
      <c r="P170" s="405" t="s">
        <v>2588</v>
      </c>
      <c r="Q170" s="405" t="s">
        <v>2589</v>
      </c>
      <c r="R170" s="368" t="s">
        <v>2595</v>
      </c>
      <c r="S170" s="378" t="s">
        <v>2591</v>
      </c>
      <c r="T170" s="378"/>
      <c r="U170" s="405" t="s">
        <v>1284</v>
      </c>
      <c r="V170" s="413" t="s">
        <v>1285</v>
      </c>
      <c r="W170" s="378" t="s">
        <v>117</v>
      </c>
      <c r="X170" s="458" t="s">
        <v>118</v>
      </c>
      <c r="AA170" s="251">
        <v>300632</v>
      </c>
      <c r="AB170" s="228" t="s">
        <v>10</v>
      </c>
      <c r="AG170" s="241">
        <f t="shared" si="22"/>
        <v>0</v>
      </c>
      <c r="AP170" s="253">
        <f t="shared" si="23"/>
        <v>0</v>
      </c>
      <c r="AS170" s="244" t="s">
        <v>120</v>
      </c>
      <c r="AT170" s="244" t="s">
        <v>19</v>
      </c>
      <c r="AU170" s="244" t="s">
        <v>120</v>
      </c>
      <c r="AV170" s="241">
        <v>2330000</v>
      </c>
      <c r="AW170" s="338" t="s">
        <v>1294</v>
      </c>
      <c r="AX170" s="339" t="s">
        <v>1295</v>
      </c>
      <c r="AY170" s="335" t="s">
        <v>159</v>
      </c>
      <c r="AZ170" s="227"/>
      <c r="BD170" s="255" t="str">
        <f t="shared" ca="1" si="24"/>
        <v/>
      </c>
      <c r="BE170" s="259" t="s">
        <v>2236</v>
      </c>
      <c r="BF170" s="227"/>
    </row>
    <row r="171" spans="1:58" ht="15" customHeight="1" x14ac:dyDescent="0.55000000000000004">
      <c r="A171" s="240">
        <v>44067</v>
      </c>
      <c r="B171" s="335" t="s">
        <v>24</v>
      </c>
      <c r="C171" s="227"/>
      <c r="D171" s="227"/>
      <c r="E171" s="240">
        <v>43895</v>
      </c>
      <c r="F171" s="246" t="s">
        <v>2596</v>
      </c>
      <c r="G171" s="228" t="s">
        <v>2597</v>
      </c>
      <c r="H171" s="248" t="s">
        <v>2598</v>
      </c>
      <c r="I171" s="341" t="s">
        <v>145</v>
      </c>
      <c r="J171" s="246" t="s">
        <v>2599</v>
      </c>
      <c r="K171" s="246"/>
      <c r="L171" s="248" t="s">
        <v>2600</v>
      </c>
      <c r="M171" s="256" t="s">
        <v>2601</v>
      </c>
      <c r="N171" s="246" t="s">
        <v>520</v>
      </c>
      <c r="O171" s="246" t="s">
        <v>2602</v>
      </c>
      <c r="P171" s="246" t="s">
        <v>2603</v>
      </c>
      <c r="Q171" s="249" t="s">
        <v>2604</v>
      </c>
      <c r="R171" s="229" t="s">
        <v>2605</v>
      </c>
      <c r="S171" s="246" t="s">
        <v>2606</v>
      </c>
      <c r="T171" s="246"/>
      <c r="U171" s="246" t="s">
        <v>2600</v>
      </c>
      <c r="V171" s="250" t="s">
        <v>2607</v>
      </c>
      <c r="W171" s="246" t="s">
        <v>117</v>
      </c>
      <c r="X171" s="237" t="s">
        <v>118</v>
      </c>
      <c r="Y171" s="266"/>
      <c r="Z171" s="227" t="s">
        <v>2608</v>
      </c>
      <c r="AA171" s="261">
        <v>290320</v>
      </c>
      <c r="AB171" s="227" t="s">
        <v>23</v>
      </c>
      <c r="AC171" s="227"/>
      <c r="AE171" s="241"/>
      <c r="AF171" s="241"/>
      <c r="AG171" s="241">
        <f t="shared" si="22"/>
        <v>0</v>
      </c>
      <c r="AH171" s="227"/>
      <c r="AI171" s="252"/>
      <c r="AJ171" s="253"/>
      <c r="AK171" s="253"/>
      <c r="AL171" s="253"/>
      <c r="AM171" s="253"/>
      <c r="AN171" s="253"/>
      <c r="AO171" s="253"/>
      <c r="AP171" s="253">
        <f t="shared" si="23"/>
        <v>0</v>
      </c>
      <c r="AQ171" s="240"/>
      <c r="AR171" s="227" t="s">
        <v>2609</v>
      </c>
      <c r="AS171" s="256" t="s">
        <v>120</v>
      </c>
      <c r="AT171" s="256" t="s">
        <v>25</v>
      </c>
      <c r="AU171" s="256" t="s">
        <v>120</v>
      </c>
      <c r="AV171" s="241">
        <v>4307000</v>
      </c>
      <c r="AW171" s="342" t="s">
        <v>343</v>
      </c>
      <c r="AX171" s="339" t="s">
        <v>2610</v>
      </c>
      <c r="AY171" s="335" t="s">
        <v>159</v>
      </c>
      <c r="AZ171" s="237"/>
      <c r="BA171" s="237"/>
      <c r="BB171" s="237"/>
      <c r="BC171" s="237"/>
      <c r="BD171" s="266"/>
      <c r="BE171" s="238"/>
      <c r="BF171" s="237"/>
    </row>
    <row r="172" spans="1:58" ht="15" customHeight="1" x14ac:dyDescent="0.55000000000000004">
      <c r="A172" s="240">
        <v>44386</v>
      </c>
      <c r="B172" s="335" t="s">
        <v>24</v>
      </c>
      <c r="C172" s="227"/>
      <c r="D172" s="227"/>
      <c r="E172" s="240">
        <v>43896</v>
      </c>
      <c r="F172" s="246" t="s">
        <v>2611</v>
      </c>
      <c r="G172" s="228" t="s">
        <v>2612</v>
      </c>
      <c r="H172" s="248" t="s">
        <v>2613</v>
      </c>
      <c r="I172" s="341" t="s">
        <v>108</v>
      </c>
      <c r="J172" s="246" t="s">
        <v>2614</v>
      </c>
      <c r="K172" s="246"/>
      <c r="L172" s="248" t="s">
        <v>2615</v>
      </c>
      <c r="M172" s="256" t="s">
        <v>2616</v>
      </c>
      <c r="N172" s="246" t="s">
        <v>2617</v>
      </c>
      <c r="O172" s="246" t="s">
        <v>2618</v>
      </c>
      <c r="P172" s="246" t="s">
        <v>2619</v>
      </c>
      <c r="Q172" s="249" t="s">
        <v>2620</v>
      </c>
      <c r="R172" s="229" t="s">
        <v>2621</v>
      </c>
      <c r="S172" s="246" t="s">
        <v>2614</v>
      </c>
      <c r="T172" s="246"/>
      <c r="U172" s="246" t="s">
        <v>2615</v>
      </c>
      <c r="V172" s="250" t="s">
        <v>2616</v>
      </c>
      <c r="W172" s="246" t="s">
        <v>117</v>
      </c>
      <c r="X172" s="237" t="s">
        <v>118</v>
      </c>
      <c r="Y172" s="266"/>
      <c r="Z172" s="246" t="s">
        <v>2622</v>
      </c>
      <c r="AA172" s="261" t="s">
        <v>2623</v>
      </c>
      <c r="AB172" s="227" t="s">
        <v>10</v>
      </c>
      <c r="AC172" s="227"/>
      <c r="AE172" s="241"/>
      <c r="AF172" s="241"/>
      <c r="AG172" s="241">
        <f t="shared" si="22"/>
        <v>0</v>
      </c>
      <c r="AH172" s="227"/>
      <c r="AI172" s="252"/>
      <c r="AJ172" s="253"/>
      <c r="AK172" s="253"/>
      <c r="AL172" s="253"/>
      <c r="AM172" s="253"/>
      <c r="AN172" s="253"/>
      <c r="AO172" s="253"/>
      <c r="AP172" s="253">
        <f t="shared" si="23"/>
        <v>0</v>
      </c>
      <c r="AQ172" s="240"/>
      <c r="AR172" s="227" t="s">
        <v>2624</v>
      </c>
      <c r="AS172" s="256" t="s">
        <v>189</v>
      </c>
      <c r="AT172" s="256" t="s">
        <v>12</v>
      </c>
      <c r="AU172" s="256" t="s">
        <v>120</v>
      </c>
      <c r="AV172" s="224">
        <v>3093000</v>
      </c>
      <c r="AW172" s="342" t="s">
        <v>343</v>
      </c>
      <c r="AX172" s="376" t="s">
        <v>2625</v>
      </c>
      <c r="AY172" s="335" t="s">
        <v>649</v>
      </c>
      <c r="AZ172" s="227"/>
      <c r="BD172" s="255" t="str">
        <f ca="1">IF(ISBLANK(AD172),"",IF(AD172&lt;TODAY(),L172,""))</f>
        <v/>
      </c>
      <c r="BE172" s="259" t="s">
        <v>2626</v>
      </c>
      <c r="BF172" s="227"/>
    </row>
    <row r="173" spans="1:58" ht="15" customHeight="1" x14ac:dyDescent="0.55000000000000004">
      <c r="A173" s="240">
        <v>44386</v>
      </c>
      <c r="B173" s="335" t="s">
        <v>24</v>
      </c>
      <c r="C173" s="227"/>
      <c r="D173" s="227"/>
      <c r="E173" s="240">
        <v>43896</v>
      </c>
      <c r="F173" s="246" t="s">
        <v>2611</v>
      </c>
      <c r="G173" s="228" t="s">
        <v>2627</v>
      </c>
      <c r="H173" s="248" t="s">
        <v>2628</v>
      </c>
      <c r="I173" s="341" t="s">
        <v>145</v>
      </c>
      <c r="J173" s="246" t="s">
        <v>2629</v>
      </c>
      <c r="K173" s="246"/>
      <c r="L173" s="248" t="s">
        <v>2615</v>
      </c>
      <c r="M173" s="256" t="s">
        <v>2616</v>
      </c>
      <c r="N173" s="246" t="s">
        <v>2617</v>
      </c>
      <c r="O173" s="246" t="s">
        <v>2618</v>
      </c>
      <c r="P173" s="246" t="s">
        <v>2619</v>
      </c>
      <c r="Q173" s="249" t="s">
        <v>2620</v>
      </c>
      <c r="R173" s="229" t="s">
        <v>2621</v>
      </c>
      <c r="S173" s="246" t="s">
        <v>2614</v>
      </c>
      <c r="T173" s="246"/>
      <c r="U173" s="246" t="s">
        <v>2615</v>
      </c>
      <c r="V173" s="250" t="s">
        <v>2616</v>
      </c>
      <c r="W173" s="246" t="s">
        <v>155</v>
      </c>
      <c r="X173" s="237" t="s">
        <v>118</v>
      </c>
      <c r="Y173" s="266"/>
      <c r="Z173" s="246" t="s">
        <v>2622</v>
      </c>
      <c r="AA173" s="261" t="s">
        <v>2630</v>
      </c>
      <c r="AB173" s="227" t="s">
        <v>10</v>
      </c>
      <c r="AC173" s="227"/>
      <c r="AE173" s="241"/>
      <c r="AF173" s="241"/>
      <c r="AG173" s="241">
        <f t="shared" si="22"/>
        <v>0</v>
      </c>
      <c r="AH173" s="227"/>
      <c r="AI173" s="252"/>
      <c r="AJ173" s="253"/>
      <c r="AK173" s="253"/>
      <c r="AL173" s="253"/>
      <c r="AM173" s="253"/>
      <c r="AN173" s="253"/>
      <c r="AO173" s="253"/>
      <c r="AP173" s="253">
        <f t="shared" si="23"/>
        <v>0</v>
      </c>
      <c r="AQ173" s="240"/>
      <c r="AR173" s="227" t="s">
        <v>2624</v>
      </c>
      <c r="AS173" s="256" t="s">
        <v>189</v>
      </c>
      <c r="AT173" s="256" t="s">
        <v>12</v>
      </c>
      <c r="AU173" s="256" t="s">
        <v>120</v>
      </c>
      <c r="AV173" s="224">
        <v>3093000</v>
      </c>
      <c r="AW173" s="342" t="s">
        <v>343</v>
      </c>
      <c r="AX173" s="339" t="s">
        <v>2625</v>
      </c>
      <c r="AY173" s="335" t="s">
        <v>159</v>
      </c>
      <c r="BE173" s="382" t="s">
        <v>2631</v>
      </c>
    </row>
    <row r="174" spans="1:58" ht="15" customHeight="1" x14ac:dyDescent="0.55000000000000004">
      <c r="A174" s="240">
        <v>44386</v>
      </c>
      <c r="B174" s="335" t="s">
        <v>24</v>
      </c>
      <c r="C174" s="227"/>
      <c r="D174" s="227"/>
      <c r="E174" s="240">
        <v>43896</v>
      </c>
      <c r="F174" s="246" t="s">
        <v>2611</v>
      </c>
      <c r="G174" s="228" t="s">
        <v>2632</v>
      </c>
      <c r="H174" s="248" t="s">
        <v>2633</v>
      </c>
      <c r="I174" s="341" t="s">
        <v>108</v>
      </c>
      <c r="J174" s="246" t="s">
        <v>2634</v>
      </c>
      <c r="K174" s="246"/>
      <c r="L174" s="248" t="s">
        <v>2615</v>
      </c>
      <c r="M174" s="256" t="s">
        <v>2635</v>
      </c>
      <c r="N174" s="246" t="s">
        <v>2617</v>
      </c>
      <c r="O174" s="246" t="s">
        <v>2618</v>
      </c>
      <c r="P174" s="246" t="s">
        <v>2619</v>
      </c>
      <c r="Q174" s="249" t="s">
        <v>2620</v>
      </c>
      <c r="R174" s="229" t="s">
        <v>2621</v>
      </c>
      <c r="S174" s="246" t="s">
        <v>2614</v>
      </c>
      <c r="T174" s="246"/>
      <c r="U174" s="246" t="s">
        <v>2615</v>
      </c>
      <c r="V174" s="250" t="s">
        <v>2616</v>
      </c>
      <c r="W174" s="246" t="s">
        <v>117</v>
      </c>
      <c r="X174" s="237" t="s">
        <v>118</v>
      </c>
      <c r="Y174" s="266"/>
      <c r="Z174" s="246" t="s">
        <v>2622</v>
      </c>
      <c r="AA174" s="261">
        <v>4940205</v>
      </c>
      <c r="AB174" s="227" t="s">
        <v>10</v>
      </c>
      <c r="AC174" s="227"/>
      <c r="AE174" s="241"/>
      <c r="AF174" s="241"/>
      <c r="AG174" s="241">
        <f t="shared" si="22"/>
        <v>0</v>
      </c>
      <c r="AH174" s="227"/>
      <c r="AI174" s="252"/>
      <c r="AJ174" s="253"/>
      <c r="AK174" s="253"/>
      <c r="AL174" s="253"/>
      <c r="AM174" s="253"/>
      <c r="AN174" s="253"/>
      <c r="AO174" s="253"/>
      <c r="AP174" s="253">
        <f t="shared" si="23"/>
        <v>0</v>
      </c>
      <c r="AQ174" s="240"/>
      <c r="AR174" s="227" t="s">
        <v>2624</v>
      </c>
      <c r="AS174" s="241" t="s">
        <v>189</v>
      </c>
      <c r="AT174" s="256" t="s">
        <v>12</v>
      </c>
      <c r="AU174" s="256" t="s">
        <v>120</v>
      </c>
      <c r="AV174" s="224">
        <v>3093000</v>
      </c>
      <c r="AW174" s="342" t="s">
        <v>343</v>
      </c>
      <c r="AX174" s="339" t="s">
        <v>2625</v>
      </c>
      <c r="AY174" s="335" t="s">
        <v>649</v>
      </c>
      <c r="AZ174" s="237"/>
      <c r="BA174" s="237"/>
      <c r="BB174" s="237"/>
      <c r="BC174" s="237"/>
      <c r="BD174" s="266"/>
      <c r="BE174" s="238"/>
      <c r="BF174" s="237"/>
    </row>
    <row r="175" spans="1:58" ht="15" customHeight="1" x14ac:dyDescent="0.55000000000000004">
      <c r="A175" s="240">
        <v>44386</v>
      </c>
      <c r="B175" s="335" t="s">
        <v>24</v>
      </c>
      <c r="C175" s="227"/>
      <c r="D175" s="227"/>
      <c r="E175" s="240">
        <v>43895</v>
      </c>
      <c r="F175" s="246" t="s">
        <v>2636</v>
      </c>
      <c r="G175" s="228" t="s">
        <v>2637</v>
      </c>
      <c r="H175" s="248" t="s">
        <v>2638</v>
      </c>
      <c r="I175" s="341" t="s">
        <v>145</v>
      </c>
      <c r="J175" s="246" t="s">
        <v>2639</v>
      </c>
      <c r="K175" s="246"/>
      <c r="L175" s="248" t="s">
        <v>1330</v>
      </c>
      <c r="M175" s="256" t="s">
        <v>1345</v>
      </c>
      <c r="N175" s="246" t="s">
        <v>520</v>
      </c>
      <c r="O175" s="246" t="s">
        <v>2640</v>
      </c>
      <c r="P175" s="246" t="s">
        <v>243</v>
      </c>
      <c r="Q175" s="249" t="s">
        <v>2641</v>
      </c>
      <c r="R175" s="229" t="s">
        <v>2642</v>
      </c>
      <c r="S175" s="246" t="s">
        <v>2643</v>
      </c>
      <c r="T175" s="246"/>
      <c r="U175" s="246" t="s">
        <v>1330</v>
      </c>
      <c r="V175" s="250" t="s">
        <v>1345</v>
      </c>
      <c r="W175" s="246" t="s">
        <v>117</v>
      </c>
      <c r="X175" s="237" t="s">
        <v>118</v>
      </c>
      <c r="Y175" s="266"/>
      <c r="Z175" s="227" t="s">
        <v>2644</v>
      </c>
      <c r="AA175" s="261">
        <v>200415</v>
      </c>
      <c r="AB175" s="227" t="s">
        <v>10</v>
      </c>
      <c r="AC175" s="227"/>
      <c r="AE175" s="241"/>
      <c r="AF175" s="241"/>
      <c r="AG175" s="241">
        <f t="shared" si="22"/>
        <v>0</v>
      </c>
      <c r="AH175" s="227"/>
      <c r="AI175" s="227"/>
      <c r="AJ175" s="253"/>
      <c r="AK175" s="253"/>
      <c r="AL175" s="253"/>
      <c r="AM175" s="253"/>
      <c r="AN175" s="253"/>
      <c r="AO175" s="253"/>
      <c r="AP175" s="253">
        <f t="shared" si="23"/>
        <v>0</v>
      </c>
      <c r="AQ175" s="240"/>
      <c r="AR175" s="227" t="s">
        <v>2645</v>
      </c>
      <c r="AS175" s="241" t="s">
        <v>189</v>
      </c>
      <c r="AT175" s="256" t="s">
        <v>12</v>
      </c>
      <c r="AU175" s="256" t="s">
        <v>120</v>
      </c>
      <c r="AV175" s="224">
        <v>3100000</v>
      </c>
      <c r="AW175" s="342" t="s">
        <v>343</v>
      </c>
      <c r="AX175" s="339" t="s">
        <v>1339</v>
      </c>
      <c r="AY175" s="335" t="s">
        <v>159</v>
      </c>
      <c r="AZ175" s="227"/>
      <c r="BD175" s="255" t="str">
        <f ca="1">IF(ISBLANK(AD175),"",IF(AD175&lt;TODAY(),L175,""))</f>
        <v/>
      </c>
      <c r="BF175" s="227"/>
    </row>
    <row r="176" spans="1:58" s="237" customFormat="1" ht="15" customHeight="1" x14ac:dyDescent="0.55000000000000004">
      <c r="A176" s="240">
        <v>44341</v>
      </c>
      <c r="B176" s="335" t="s">
        <v>24</v>
      </c>
      <c r="C176" s="227"/>
      <c r="D176" s="227"/>
      <c r="E176" s="240">
        <v>44292</v>
      </c>
      <c r="F176" s="227" t="s">
        <v>2646</v>
      </c>
      <c r="G176" s="227" t="s">
        <v>2647</v>
      </c>
      <c r="H176" s="387" t="s">
        <v>2648</v>
      </c>
      <c r="I176" s="247" t="s">
        <v>145</v>
      </c>
      <c r="J176" s="227" t="s">
        <v>2649</v>
      </c>
      <c r="K176" s="227"/>
      <c r="L176" s="248" t="s">
        <v>1330</v>
      </c>
      <c r="M176" s="242" t="s">
        <v>1345</v>
      </c>
      <c r="N176" s="227" t="s">
        <v>2167</v>
      </c>
      <c r="O176" s="227" t="s">
        <v>587</v>
      </c>
      <c r="P176" s="227" t="s">
        <v>151</v>
      </c>
      <c r="Q176" s="249" t="s">
        <v>2650</v>
      </c>
      <c r="R176" s="336" t="s">
        <v>2651</v>
      </c>
      <c r="S176" s="227" t="s">
        <v>2652</v>
      </c>
      <c r="T176" s="227"/>
      <c r="U176" s="227" t="s">
        <v>1330</v>
      </c>
      <c r="V176" s="250">
        <v>1701</v>
      </c>
      <c r="W176" s="227" t="s">
        <v>117</v>
      </c>
      <c r="X176" s="237" t="s">
        <v>137</v>
      </c>
      <c r="Z176" s="227"/>
      <c r="AA176" s="251" t="s">
        <v>2653</v>
      </c>
      <c r="AB176" s="227" t="s">
        <v>10</v>
      </c>
      <c r="AC176" s="227"/>
      <c r="AD176" s="245"/>
      <c r="AE176" s="241"/>
      <c r="AF176" s="241"/>
      <c r="AG176" s="241">
        <f t="shared" si="22"/>
        <v>0</v>
      </c>
      <c r="AH176" s="227"/>
      <c r="AI176" s="252"/>
      <c r="AJ176" s="253"/>
      <c r="AK176" s="253"/>
      <c r="AL176" s="253"/>
      <c r="AM176" s="253"/>
      <c r="AN176" s="253"/>
      <c r="AO176" s="253"/>
      <c r="AP176" s="253">
        <f t="shared" si="23"/>
        <v>0</v>
      </c>
      <c r="AQ176" s="240"/>
      <c r="AR176" s="227"/>
      <c r="AS176" s="241" t="s">
        <v>189</v>
      </c>
      <c r="AT176" s="241" t="s">
        <v>12</v>
      </c>
      <c r="AU176" s="241" t="s">
        <v>120</v>
      </c>
      <c r="AV176" s="224">
        <v>3100000</v>
      </c>
      <c r="AW176" s="342" t="s">
        <v>343</v>
      </c>
      <c r="AX176" s="339" t="s">
        <v>1339</v>
      </c>
      <c r="AY176" s="335" t="s">
        <v>159</v>
      </c>
      <c r="BD176" s="255" t="str">
        <f ca="1">IF(ISBLANK(AD176),"",IF(AD176&lt;TODAY(),L176,""))</f>
        <v/>
      </c>
      <c r="BE176" s="340" t="s">
        <v>2654</v>
      </c>
    </row>
    <row r="177" spans="1:58" ht="15" customHeight="1" x14ac:dyDescent="0.55000000000000004">
      <c r="A177" s="240">
        <v>44056</v>
      </c>
      <c r="B177" s="335" t="s">
        <v>24</v>
      </c>
      <c r="C177" s="227"/>
      <c r="D177" s="227"/>
      <c r="E177" s="240">
        <v>44008</v>
      </c>
      <c r="F177" s="246" t="s">
        <v>2655</v>
      </c>
      <c r="G177" s="228" t="s">
        <v>2656</v>
      </c>
      <c r="H177" s="248" t="s">
        <v>2657</v>
      </c>
      <c r="I177" s="341" t="s">
        <v>127</v>
      </c>
      <c r="J177" s="246" t="s">
        <v>2658</v>
      </c>
      <c r="K177" s="246"/>
      <c r="L177" s="248" t="s">
        <v>1671</v>
      </c>
      <c r="M177" s="256" t="s">
        <v>1672</v>
      </c>
      <c r="N177" s="246" t="s">
        <v>2659</v>
      </c>
      <c r="O177" s="246" t="s">
        <v>2660</v>
      </c>
      <c r="P177" s="246" t="s">
        <v>2661</v>
      </c>
      <c r="Q177" s="249" t="s">
        <v>2662</v>
      </c>
      <c r="R177" s="229" t="s">
        <v>2663</v>
      </c>
      <c r="S177" s="246" t="s">
        <v>2664</v>
      </c>
      <c r="T177" s="246"/>
      <c r="U177" s="246" t="s">
        <v>1671</v>
      </c>
      <c r="V177" s="250" t="s">
        <v>1672</v>
      </c>
      <c r="W177" s="246" t="s">
        <v>117</v>
      </c>
      <c r="X177" s="237" t="s">
        <v>137</v>
      </c>
      <c r="Y177" s="266" t="s">
        <v>2665</v>
      </c>
      <c r="Z177" s="227" t="s">
        <v>2666</v>
      </c>
      <c r="AA177" s="261">
        <v>8029065</v>
      </c>
      <c r="AB177" s="227" t="s">
        <v>23</v>
      </c>
      <c r="AC177" s="227"/>
      <c r="AE177" s="241"/>
      <c r="AF177" s="241"/>
      <c r="AG177" s="241">
        <f t="shared" si="22"/>
        <v>0</v>
      </c>
      <c r="AH177" s="227"/>
      <c r="AI177" s="252"/>
      <c r="AJ177" s="253"/>
      <c r="AK177" s="253"/>
      <c r="AL177" s="253"/>
      <c r="AM177" s="253"/>
      <c r="AN177" s="253"/>
      <c r="AO177" s="253"/>
      <c r="AP177" s="253">
        <f t="shared" si="23"/>
        <v>0</v>
      </c>
      <c r="AQ177" s="240"/>
      <c r="AR177" s="227" t="s">
        <v>2667</v>
      </c>
      <c r="AS177" s="256" t="s">
        <v>120</v>
      </c>
      <c r="AT177" s="256" t="s">
        <v>25</v>
      </c>
      <c r="AU177" s="256" t="s">
        <v>120</v>
      </c>
      <c r="AV177" s="241">
        <v>4318098</v>
      </c>
      <c r="AW177" s="338" t="s">
        <v>343</v>
      </c>
      <c r="AX177" s="339" t="s">
        <v>1680</v>
      </c>
      <c r="AY177" s="335" t="s">
        <v>159</v>
      </c>
      <c r="AZ177" s="227"/>
      <c r="BD177" s="255" t="str">
        <f ca="1">IF(ISBLANK(AD177),"",IF(AD177&lt;TODAY(),L177,""))</f>
        <v/>
      </c>
      <c r="BE177" s="259" t="s">
        <v>1088</v>
      </c>
      <c r="BF177" s="227"/>
    </row>
    <row r="178" spans="1:58" ht="15" customHeight="1" x14ac:dyDescent="0.55000000000000004">
      <c r="A178" s="240">
        <v>44383</v>
      </c>
      <c r="B178" s="335" t="s">
        <v>24</v>
      </c>
      <c r="C178" s="227"/>
      <c r="D178" s="227"/>
      <c r="E178" s="240">
        <v>43895</v>
      </c>
      <c r="F178" s="246" t="s">
        <v>2668</v>
      </c>
      <c r="G178" s="228" t="s">
        <v>2669</v>
      </c>
      <c r="H178" s="248" t="s">
        <v>2670</v>
      </c>
      <c r="I178" s="341" t="s">
        <v>145</v>
      </c>
      <c r="J178" s="246" t="s">
        <v>2671</v>
      </c>
      <c r="K178" s="246"/>
      <c r="L178" s="248" t="s">
        <v>1467</v>
      </c>
      <c r="M178" s="256" t="s">
        <v>1468</v>
      </c>
      <c r="N178" s="246" t="s">
        <v>2672</v>
      </c>
      <c r="O178" s="246" t="s">
        <v>2673</v>
      </c>
      <c r="P178" s="246" t="s">
        <v>2674</v>
      </c>
      <c r="Q178" s="249" t="s">
        <v>2675</v>
      </c>
      <c r="R178" s="229" t="s">
        <v>2676</v>
      </c>
      <c r="S178" s="246" t="s">
        <v>2677</v>
      </c>
      <c r="T178" s="246"/>
      <c r="U178" s="246" t="s">
        <v>1467</v>
      </c>
      <c r="V178" s="250" t="s">
        <v>1468</v>
      </c>
      <c r="W178" s="246" t="s">
        <v>117</v>
      </c>
      <c r="X178" s="237" t="s">
        <v>137</v>
      </c>
      <c r="Y178" s="266"/>
      <c r="Z178" s="246"/>
      <c r="AA178" s="261" t="s">
        <v>2678</v>
      </c>
      <c r="AB178" s="227" t="s">
        <v>10</v>
      </c>
      <c r="AC178" s="227"/>
      <c r="AE178" s="241"/>
      <c r="AF178" s="253">
        <f>AD178+AE178</f>
        <v>0</v>
      </c>
      <c r="AG178" s="241">
        <f t="shared" si="22"/>
        <v>0</v>
      </c>
      <c r="AH178" s="227"/>
      <c r="AI178" s="252"/>
      <c r="AJ178" s="253"/>
      <c r="AK178" s="253"/>
      <c r="AL178" s="253"/>
      <c r="AM178" s="253"/>
      <c r="AN178" s="253"/>
      <c r="AO178" s="253"/>
      <c r="AP178" s="253">
        <f t="shared" si="23"/>
        <v>0</v>
      </c>
      <c r="AQ178" s="240"/>
      <c r="AR178" s="227" t="s">
        <v>2679</v>
      </c>
      <c r="AS178" s="256" t="s">
        <v>120</v>
      </c>
      <c r="AT178" s="256" t="s">
        <v>19</v>
      </c>
      <c r="AU178" s="256" t="s">
        <v>120</v>
      </c>
      <c r="AV178" s="224">
        <v>2185000</v>
      </c>
      <c r="AW178" s="226" t="s">
        <v>1477</v>
      </c>
      <c r="AX178" s="339" t="s">
        <v>1478</v>
      </c>
      <c r="AY178" s="335" t="s">
        <v>159</v>
      </c>
      <c r="AZ178" s="227"/>
      <c r="BD178" s="255" t="str">
        <f ca="1">IF(ISBLANK(AD178),"",IF(AD178&lt;TODAY(),L178,""))</f>
        <v/>
      </c>
      <c r="BE178" s="340" t="s">
        <v>1916</v>
      </c>
      <c r="BF178" s="227"/>
    </row>
    <row r="179" spans="1:58" s="237" customFormat="1" ht="15" customHeight="1" x14ac:dyDescent="0.55000000000000004">
      <c r="A179" s="240">
        <v>44225</v>
      </c>
      <c r="B179" s="335" t="s">
        <v>24</v>
      </c>
      <c r="C179" s="227"/>
      <c r="D179" s="227"/>
      <c r="E179" s="240">
        <v>43895</v>
      </c>
      <c r="F179" s="246" t="s">
        <v>2680</v>
      </c>
      <c r="G179" s="228" t="s">
        <v>2681</v>
      </c>
      <c r="H179" s="248" t="s">
        <v>2682</v>
      </c>
      <c r="I179" s="341" t="s">
        <v>145</v>
      </c>
      <c r="J179" s="246" t="s">
        <v>2683</v>
      </c>
      <c r="K179" s="246"/>
      <c r="L179" s="248" t="s">
        <v>2684</v>
      </c>
      <c r="M179" s="256" t="s">
        <v>2685</v>
      </c>
      <c r="N179" s="246" t="s">
        <v>2686</v>
      </c>
      <c r="O179" s="246" t="s">
        <v>2687</v>
      </c>
      <c r="P179" s="246" t="s">
        <v>2688</v>
      </c>
      <c r="Q179" s="249" t="s">
        <v>2689</v>
      </c>
      <c r="R179" s="229" t="s">
        <v>2690</v>
      </c>
      <c r="S179" s="246" t="s">
        <v>2691</v>
      </c>
      <c r="T179" s="246"/>
      <c r="U179" s="246" t="s">
        <v>2684</v>
      </c>
      <c r="V179" s="250" t="s">
        <v>2685</v>
      </c>
      <c r="W179" s="246" t="s">
        <v>117</v>
      </c>
      <c r="X179" s="237" t="s">
        <v>118</v>
      </c>
      <c r="Y179" s="266"/>
      <c r="Z179" s="246" t="s">
        <v>2692</v>
      </c>
      <c r="AA179" s="261">
        <v>211410</v>
      </c>
      <c r="AB179" s="227" t="s">
        <v>10</v>
      </c>
      <c r="AC179" s="227"/>
      <c r="AD179" s="245"/>
      <c r="AE179" s="241"/>
      <c r="AF179" s="241"/>
      <c r="AG179" s="241">
        <f t="shared" si="22"/>
        <v>0</v>
      </c>
      <c r="AH179" s="227"/>
      <c r="AI179" s="252"/>
      <c r="AJ179" s="253"/>
      <c r="AK179" s="253"/>
      <c r="AL179" s="253"/>
      <c r="AM179" s="253"/>
      <c r="AN179" s="253"/>
      <c r="AO179" s="253"/>
      <c r="AP179" s="253">
        <f t="shared" si="23"/>
        <v>0</v>
      </c>
      <c r="AQ179" s="240"/>
      <c r="AR179" s="227" t="s">
        <v>2693</v>
      </c>
      <c r="AS179" s="256" t="s">
        <v>189</v>
      </c>
      <c r="AT179" s="256" t="s">
        <v>12</v>
      </c>
      <c r="AU179" s="256" t="s">
        <v>120</v>
      </c>
      <c r="AV179" s="224">
        <v>3199000</v>
      </c>
      <c r="AW179" s="342" t="s">
        <v>343</v>
      </c>
      <c r="AX179" s="339" t="s">
        <v>2694</v>
      </c>
      <c r="AY179" s="335" t="s">
        <v>159</v>
      </c>
      <c r="AZ179" s="227"/>
      <c r="BA179" s="227"/>
      <c r="BB179" s="227"/>
      <c r="BC179" s="227"/>
      <c r="BD179" s="255" t="str">
        <f ca="1">IF(ISBLANK(AD179),"",IF(AD179&lt;TODAY(),L179,""))</f>
        <v/>
      </c>
      <c r="BE179" s="340" t="s">
        <v>2695</v>
      </c>
      <c r="BF179" s="227"/>
    </row>
    <row r="180" spans="1:58" s="237" customFormat="1" ht="15" customHeight="1" x14ac:dyDescent="0.55000000000000004">
      <c r="A180" s="240">
        <v>44225</v>
      </c>
      <c r="B180" s="335" t="s">
        <v>24</v>
      </c>
      <c r="C180" s="227"/>
      <c r="D180" s="227"/>
      <c r="E180" s="240">
        <v>43895</v>
      </c>
      <c r="F180" s="246" t="s">
        <v>2696</v>
      </c>
      <c r="G180" s="228" t="s">
        <v>2697</v>
      </c>
      <c r="H180" s="248" t="s">
        <v>2698</v>
      </c>
      <c r="I180" s="341" t="s">
        <v>145</v>
      </c>
      <c r="J180" s="246" t="s">
        <v>2699</v>
      </c>
      <c r="K180" s="246"/>
      <c r="L180" s="248" t="s">
        <v>1709</v>
      </c>
      <c r="M180" s="256" t="s">
        <v>1710</v>
      </c>
      <c r="N180" s="246" t="s">
        <v>2700</v>
      </c>
      <c r="O180" s="246" t="s">
        <v>2701</v>
      </c>
      <c r="P180" s="246" t="s">
        <v>243</v>
      </c>
      <c r="Q180" s="249" t="s">
        <v>2702</v>
      </c>
      <c r="R180" s="229" t="s">
        <v>2703</v>
      </c>
      <c r="S180" s="246" t="s">
        <v>2704</v>
      </c>
      <c r="T180" s="246"/>
      <c r="U180" s="246" t="s">
        <v>1709</v>
      </c>
      <c r="V180" s="250" t="s">
        <v>1710</v>
      </c>
      <c r="W180" s="246" t="s">
        <v>117</v>
      </c>
      <c r="X180" s="237" t="s">
        <v>118</v>
      </c>
      <c r="Y180" s="266"/>
      <c r="Z180" s="246" t="s">
        <v>2705</v>
      </c>
      <c r="AA180" s="261">
        <v>200836</v>
      </c>
      <c r="AB180" s="227" t="s">
        <v>10</v>
      </c>
      <c r="AC180" s="227"/>
      <c r="AD180" s="245"/>
      <c r="AE180" s="241"/>
      <c r="AF180" s="241"/>
      <c r="AG180" s="241">
        <f t="shared" si="22"/>
        <v>0</v>
      </c>
      <c r="AH180" s="227"/>
      <c r="AI180" s="252"/>
      <c r="AJ180" s="253"/>
      <c r="AK180" s="253"/>
      <c r="AL180" s="253"/>
      <c r="AM180" s="253"/>
      <c r="AN180" s="253"/>
      <c r="AO180" s="253"/>
      <c r="AP180" s="253">
        <f t="shared" si="23"/>
        <v>0</v>
      </c>
      <c r="AQ180" s="240"/>
      <c r="AR180" s="227" t="s">
        <v>2706</v>
      </c>
      <c r="AS180" s="241" t="s">
        <v>189</v>
      </c>
      <c r="AT180" s="256" t="s">
        <v>12</v>
      </c>
      <c r="AU180" s="256" t="s">
        <v>120</v>
      </c>
      <c r="AV180" s="224">
        <v>3246000</v>
      </c>
      <c r="AW180" s="342" t="s">
        <v>343</v>
      </c>
      <c r="AX180" s="339" t="s">
        <v>1715</v>
      </c>
      <c r="AY180" s="335" t="s">
        <v>159</v>
      </c>
      <c r="BD180" s="266"/>
      <c r="BE180" s="238"/>
    </row>
    <row r="181" spans="1:58" s="237" customFormat="1" ht="15" customHeight="1" x14ac:dyDescent="0.55000000000000004">
      <c r="A181" s="239">
        <v>44370</v>
      </c>
      <c r="B181" s="353" t="s">
        <v>24</v>
      </c>
      <c r="C181" s="227"/>
      <c r="D181" s="227"/>
      <c r="E181" s="239">
        <v>44358</v>
      </c>
      <c r="F181" s="369" t="s">
        <v>2707</v>
      </c>
      <c r="G181" s="368" t="s">
        <v>2708</v>
      </c>
      <c r="H181" s="370" t="s">
        <v>2709</v>
      </c>
      <c r="I181" s="383" t="s">
        <v>145</v>
      </c>
      <c r="J181" s="368" t="s">
        <v>2710</v>
      </c>
      <c r="K181" s="369"/>
      <c r="L181" s="370" t="s">
        <v>1915</v>
      </c>
      <c r="M181" s="384" t="s">
        <v>2711</v>
      </c>
      <c r="N181" s="368" t="s">
        <v>2712</v>
      </c>
      <c r="O181" s="368" t="s">
        <v>2713</v>
      </c>
      <c r="P181" s="368" t="s">
        <v>243</v>
      </c>
      <c r="Q181" s="368" t="s">
        <v>2714</v>
      </c>
      <c r="R181" s="368" t="s">
        <v>2715</v>
      </c>
      <c r="S181" s="369" t="s">
        <v>2716</v>
      </c>
      <c r="T181" s="369"/>
      <c r="U181" s="368" t="s">
        <v>1915</v>
      </c>
      <c r="V181" s="385" t="s">
        <v>2711</v>
      </c>
      <c r="W181" s="369" t="s">
        <v>117</v>
      </c>
      <c r="X181" s="464" t="s">
        <v>137</v>
      </c>
      <c r="Z181" s="237" t="s">
        <v>2717</v>
      </c>
      <c r="AA181" s="251">
        <v>8031806</v>
      </c>
      <c r="AB181" s="228" t="s">
        <v>442</v>
      </c>
      <c r="AD181" s="245"/>
      <c r="AE181" s="244"/>
      <c r="AF181" s="244"/>
      <c r="AG181" s="241">
        <f t="shared" si="22"/>
        <v>0</v>
      </c>
      <c r="AI181" s="257"/>
      <c r="AJ181" s="258"/>
      <c r="AK181" s="258"/>
      <c r="AL181" s="258"/>
      <c r="AM181" s="258"/>
      <c r="AN181" s="258"/>
      <c r="AO181" s="258"/>
      <c r="AP181" s="253">
        <f t="shared" si="23"/>
        <v>0</v>
      </c>
      <c r="AQ181" s="239"/>
      <c r="AR181" s="237" t="s">
        <v>2718</v>
      </c>
      <c r="AS181" s="244" t="s">
        <v>189</v>
      </c>
      <c r="AT181" s="244" t="s">
        <v>12</v>
      </c>
      <c r="AU181" s="244" t="s">
        <v>120</v>
      </c>
      <c r="AV181" s="244">
        <v>3035000</v>
      </c>
      <c r="AW181" s="400" t="s">
        <v>272</v>
      </c>
      <c r="AX181" s="400" t="s">
        <v>273</v>
      </c>
      <c r="AY181" s="335" t="s">
        <v>159</v>
      </c>
      <c r="AZ181" s="227"/>
      <c r="BA181" s="227"/>
      <c r="BB181" s="227"/>
      <c r="BC181" s="227"/>
      <c r="BD181" s="255" t="str">
        <f ca="1">IF(ISBLANK(AD181),"",IF(AD181&lt;TODAY(),L181,""))</f>
        <v/>
      </c>
      <c r="BE181" s="340" t="s">
        <v>1371</v>
      </c>
      <c r="BF181" s="227"/>
    </row>
    <row r="182" spans="1:58" s="237" customFormat="1" ht="15" customHeight="1" x14ac:dyDescent="0.55000000000000004">
      <c r="A182" s="240">
        <v>44225</v>
      </c>
      <c r="B182" s="335" t="s">
        <v>24</v>
      </c>
      <c r="C182" s="227"/>
      <c r="D182" s="227"/>
      <c r="E182" s="240">
        <v>43894</v>
      </c>
      <c r="F182" s="246" t="s">
        <v>2719</v>
      </c>
      <c r="G182" s="228" t="s">
        <v>2720</v>
      </c>
      <c r="H182" s="248" t="s">
        <v>2721</v>
      </c>
      <c r="I182" s="341" t="s">
        <v>145</v>
      </c>
      <c r="J182" s="246" t="s">
        <v>2722</v>
      </c>
      <c r="K182" s="246"/>
      <c r="L182" s="248" t="s">
        <v>1915</v>
      </c>
      <c r="M182" s="256" t="s">
        <v>2723</v>
      </c>
      <c r="N182" s="246" t="s">
        <v>2724</v>
      </c>
      <c r="O182" s="246" t="s">
        <v>2725</v>
      </c>
      <c r="P182" s="246" t="s">
        <v>2726</v>
      </c>
      <c r="Q182" s="249" t="s">
        <v>2727</v>
      </c>
      <c r="R182" s="229" t="s">
        <v>2728</v>
      </c>
      <c r="S182" s="246" t="s">
        <v>2729</v>
      </c>
      <c r="T182" s="246"/>
      <c r="U182" s="246" t="s">
        <v>1915</v>
      </c>
      <c r="V182" s="250" t="s">
        <v>2723</v>
      </c>
      <c r="W182" s="246" t="s">
        <v>338</v>
      </c>
      <c r="X182" s="237" t="s">
        <v>338</v>
      </c>
      <c r="Y182" s="266"/>
      <c r="Z182" s="246" t="s">
        <v>2730</v>
      </c>
      <c r="AA182" s="261" t="s">
        <v>2731</v>
      </c>
      <c r="AB182" s="227" t="s">
        <v>10</v>
      </c>
      <c r="AC182" s="227"/>
      <c r="AD182" s="245"/>
      <c r="AE182" s="241"/>
      <c r="AF182" s="241"/>
      <c r="AG182" s="241">
        <f t="shared" si="22"/>
        <v>0</v>
      </c>
      <c r="AH182" s="227"/>
      <c r="AI182" s="252"/>
      <c r="AJ182" s="253"/>
      <c r="AK182" s="253"/>
      <c r="AL182" s="253"/>
      <c r="AM182" s="253"/>
      <c r="AN182" s="253"/>
      <c r="AO182" s="253"/>
      <c r="AP182" s="253">
        <f t="shared" si="23"/>
        <v>0</v>
      </c>
      <c r="AQ182" s="240"/>
      <c r="AR182" s="227" t="s">
        <v>2732</v>
      </c>
      <c r="AS182" s="256" t="s">
        <v>120</v>
      </c>
      <c r="AT182" s="256" t="s">
        <v>12</v>
      </c>
      <c r="AU182" s="256" t="s">
        <v>120</v>
      </c>
      <c r="AV182" s="241">
        <v>3035000</v>
      </c>
      <c r="AW182" s="233" t="s">
        <v>272</v>
      </c>
      <c r="AX182" s="339" t="s">
        <v>273</v>
      </c>
      <c r="AY182" s="335" t="s">
        <v>159</v>
      </c>
      <c r="AZ182" s="227"/>
      <c r="BA182" s="227"/>
      <c r="BB182" s="227"/>
      <c r="BC182" s="227"/>
      <c r="BD182" s="255" t="str">
        <f ca="1">IF(ISBLANK(AD182),"",IF(AD182&lt;TODAY(),L182,""))</f>
        <v/>
      </c>
      <c r="BE182" s="259" t="s">
        <v>2733</v>
      </c>
      <c r="BF182" s="227"/>
    </row>
    <row r="183" spans="1:58" s="237" customFormat="1" ht="15" customHeight="1" x14ac:dyDescent="0.55000000000000004">
      <c r="A183" s="240">
        <v>44376</v>
      </c>
      <c r="B183" s="335" t="s">
        <v>24</v>
      </c>
      <c r="C183" s="227"/>
      <c r="D183" s="227"/>
      <c r="E183" s="240">
        <v>43896</v>
      </c>
      <c r="F183" s="246" t="s">
        <v>2611</v>
      </c>
      <c r="G183" s="228" t="s">
        <v>2734</v>
      </c>
      <c r="H183" s="248" t="s">
        <v>2735</v>
      </c>
      <c r="I183" s="341" t="s">
        <v>108</v>
      </c>
      <c r="J183" s="246" t="s">
        <v>2736</v>
      </c>
      <c r="K183" s="246"/>
      <c r="L183" s="248" t="s">
        <v>2737</v>
      </c>
      <c r="M183" s="256" t="s">
        <v>2738</v>
      </c>
      <c r="N183" s="246" t="s">
        <v>2617</v>
      </c>
      <c r="O183" s="246" t="s">
        <v>2618</v>
      </c>
      <c r="P183" s="246" t="s">
        <v>2619</v>
      </c>
      <c r="Q183" s="249" t="s">
        <v>2620</v>
      </c>
      <c r="R183" s="229" t="s">
        <v>2621</v>
      </c>
      <c r="S183" s="246" t="s">
        <v>2614</v>
      </c>
      <c r="T183" s="246"/>
      <c r="U183" s="246" t="s">
        <v>2615</v>
      </c>
      <c r="V183" s="250" t="s">
        <v>2616</v>
      </c>
      <c r="W183" s="246" t="s">
        <v>155</v>
      </c>
      <c r="X183" s="237" t="s">
        <v>118</v>
      </c>
      <c r="Y183" s="266"/>
      <c r="Z183" s="246" t="s">
        <v>2622</v>
      </c>
      <c r="AA183" s="261">
        <v>35060505</v>
      </c>
      <c r="AB183" s="227" t="s">
        <v>10</v>
      </c>
      <c r="AC183" s="227"/>
      <c r="AD183" s="245"/>
      <c r="AE183" s="241"/>
      <c r="AF183" s="241"/>
      <c r="AG183" s="241">
        <f t="shared" si="22"/>
        <v>0</v>
      </c>
      <c r="AH183" s="227"/>
      <c r="AI183" s="252"/>
      <c r="AJ183" s="253"/>
      <c r="AK183" s="253"/>
      <c r="AL183" s="253"/>
      <c r="AM183" s="253"/>
      <c r="AN183" s="253"/>
      <c r="AO183" s="253"/>
      <c r="AP183" s="253">
        <f t="shared" si="23"/>
        <v>0</v>
      </c>
      <c r="AQ183" s="240"/>
      <c r="AR183" s="227" t="s">
        <v>2624</v>
      </c>
      <c r="AS183" s="241" t="s">
        <v>189</v>
      </c>
      <c r="AT183" s="256" t="s">
        <v>12</v>
      </c>
      <c r="AU183" s="256" t="s">
        <v>120</v>
      </c>
      <c r="AV183" s="224">
        <v>3262000</v>
      </c>
      <c r="AW183" s="342" t="s">
        <v>343</v>
      </c>
      <c r="AX183" s="339" t="s">
        <v>2739</v>
      </c>
      <c r="AY183" s="335" t="s">
        <v>649</v>
      </c>
      <c r="AZ183" s="227"/>
      <c r="BA183" s="227"/>
      <c r="BB183" s="227"/>
      <c r="BC183" s="227"/>
      <c r="BD183" s="255" t="str">
        <f ca="1">IF(ISBLANK(AD183),"",IF(AD183&lt;TODAY(),L183,""))</f>
        <v/>
      </c>
      <c r="BE183" s="340" t="s">
        <v>140</v>
      </c>
      <c r="BF183" s="227"/>
    </row>
    <row r="184" spans="1:58" s="237" customFormat="1" ht="15" customHeight="1" x14ac:dyDescent="1.05">
      <c r="A184" s="239">
        <v>44434</v>
      </c>
      <c r="B184" s="233" t="s">
        <v>24</v>
      </c>
      <c r="E184" s="239">
        <v>44397</v>
      </c>
      <c r="F184" s="233" t="s">
        <v>2740</v>
      </c>
      <c r="G184" s="228" t="s">
        <v>2741</v>
      </c>
      <c r="H184" s="356" t="s">
        <v>2742</v>
      </c>
      <c r="I184" s="289" t="s">
        <v>127</v>
      </c>
      <c r="J184" s="228" t="s">
        <v>2743</v>
      </c>
      <c r="K184" s="233"/>
      <c r="L184" s="356" t="s">
        <v>2744</v>
      </c>
      <c r="M184" s="357" t="s">
        <v>2745</v>
      </c>
      <c r="N184" s="233" t="s">
        <v>2746</v>
      </c>
      <c r="O184" s="228" t="s">
        <v>2747</v>
      </c>
      <c r="P184" s="228" t="s">
        <v>2748</v>
      </c>
      <c r="Q184" s="228" t="s">
        <v>2749</v>
      </c>
      <c r="R184" s="233" t="s">
        <v>2750</v>
      </c>
      <c r="S184" s="233" t="s">
        <v>2743</v>
      </c>
      <c r="T184" s="233"/>
      <c r="U184" s="228" t="s">
        <v>2744</v>
      </c>
      <c r="V184" s="415" t="s">
        <v>2745</v>
      </c>
      <c r="W184" s="233" t="s">
        <v>155</v>
      </c>
      <c r="X184" s="353" t="s">
        <v>118</v>
      </c>
      <c r="AA184" s="261">
        <v>7028950</v>
      </c>
      <c r="AB184" s="237" t="s">
        <v>2751</v>
      </c>
      <c r="AD184" s="245"/>
      <c r="AE184" s="244"/>
      <c r="AF184" s="244"/>
      <c r="AG184" s="241">
        <f t="shared" si="22"/>
        <v>0</v>
      </c>
      <c r="AI184" s="257"/>
      <c r="AJ184" s="258"/>
      <c r="AK184" s="258"/>
      <c r="AL184" s="258"/>
      <c r="AM184" s="258"/>
      <c r="AN184" s="258"/>
      <c r="AO184" s="258"/>
      <c r="AP184" s="253">
        <f t="shared" si="23"/>
        <v>0</v>
      </c>
      <c r="AQ184" s="239"/>
      <c r="AS184" s="244" t="s">
        <v>120</v>
      </c>
      <c r="AT184" s="244" t="s">
        <v>25</v>
      </c>
      <c r="AU184" s="244" t="s">
        <v>189</v>
      </c>
      <c r="AV184" s="244">
        <v>4075000</v>
      </c>
      <c r="AW184" s="233" t="s">
        <v>2752</v>
      </c>
      <c r="AX184" s="350" t="s">
        <v>2753</v>
      </c>
      <c r="AY184" s="233" t="s">
        <v>159</v>
      </c>
      <c r="AZ184" s="227"/>
      <c r="BA184" s="227" t="s">
        <v>2754</v>
      </c>
      <c r="BB184" s="227"/>
      <c r="BC184" s="227"/>
      <c r="BD184" s="255" t="str">
        <f ca="1">IF(ISBLANK(AD184),"",IF(AD184&lt;TODAY(),L184,""))</f>
        <v/>
      </c>
      <c r="BE184" s="259" t="s">
        <v>2755</v>
      </c>
      <c r="BF184" s="227"/>
    </row>
    <row r="185" spans="1:58" s="237" customFormat="1" ht="15" customHeight="1" x14ac:dyDescent="0.55000000000000004">
      <c r="A185" s="240">
        <v>44376</v>
      </c>
      <c r="B185" s="335" t="s">
        <v>24</v>
      </c>
      <c r="C185" s="227"/>
      <c r="D185" s="227"/>
      <c r="E185" s="240">
        <v>43895</v>
      </c>
      <c r="F185" s="246" t="s">
        <v>2756</v>
      </c>
      <c r="G185" s="228" t="s">
        <v>2757</v>
      </c>
      <c r="H185" s="248" t="s">
        <v>2758</v>
      </c>
      <c r="I185" s="341" t="s">
        <v>145</v>
      </c>
      <c r="J185" s="246" t="s">
        <v>2759</v>
      </c>
      <c r="K185" s="246"/>
      <c r="L185" s="248" t="s">
        <v>2760</v>
      </c>
      <c r="M185" s="256" t="s">
        <v>2607</v>
      </c>
      <c r="N185" s="246" t="s">
        <v>520</v>
      </c>
      <c r="O185" s="246" t="s">
        <v>2602</v>
      </c>
      <c r="P185" s="246" t="s">
        <v>2761</v>
      </c>
      <c r="Q185" s="249" t="s">
        <v>2604</v>
      </c>
      <c r="R185" s="229" t="s">
        <v>2605</v>
      </c>
      <c r="S185" s="246" t="s">
        <v>2759</v>
      </c>
      <c r="T185" s="246"/>
      <c r="U185" s="246" t="s">
        <v>2760</v>
      </c>
      <c r="V185" s="250" t="s">
        <v>2607</v>
      </c>
      <c r="W185" s="246" t="s">
        <v>155</v>
      </c>
      <c r="X185" s="237" t="s">
        <v>137</v>
      </c>
      <c r="Y185" s="266"/>
      <c r="Z185" s="246" t="s">
        <v>2608</v>
      </c>
      <c r="AA185" s="261">
        <v>8031914</v>
      </c>
      <c r="AB185" s="227" t="s">
        <v>23</v>
      </c>
      <c r="AC185" s="227"/>
      <c r="AD185" s="245"/>
      <c r="AE185" s="241"/>
      <c r="AF185" s="241"/>
      <c r="AG185" s="241">
        <f t="shared" si="22"/>
        <v>0</v>
      </c>
      <c r="AH185" s="227"/>
      <c r="AI185" s="252"/>
      <c r="AJ185" s="253"/>
      <c r="AK185" s="253"/>
      <c r="AL185" s="253"/>
      <c r="AM185" s="253"/>
      <c r="AN185" s="253"/>
      <c r="AO185" s="253"/>
      <c r="AP185" s="253">
        <f t="shared" si="23"/>
        <v>0</v>
      </c>
      <c r="AQ185" s="240"/>
      <c r="AR185" s="227" t="s">
        <v>2762</v>
      </c>
      <c r="AS185" s="256" t="s">
        <v>120</v>
      </c>
      <c r="AT185" s="256" t="s">
        <v>25</v>
      </c>
      <c r="AU185" s="256" t="s">
        <v>120</v>
      </c>
      <c r="AV185" s="224">
        <v>4307000</v>
      </c>
      <c r="AW185" s="342" t="s">
        <v>343</v>
      </c>
      <c r="AX185" s="339" t="s">
        <v>2610</v>
      </c>
      <c r="AY185" s="335" t="s">
        <v>159</v>
      </c>
      <c r="AZ185" s="260"/>
      <c r="BA185" s="260"/>
      <c r="BB185" s="260"/>
      <c r="BC185" s="260"/>
      <c r="BD185" s="255" t="str">
        <f ca="1">IF(ISBLANK(AD185),"",IF(AD185&lt;TODAY(),L185,""))</f>
        <v/>
      </c>
      <c r="BE185" s="259"/>
      <c r="BF185" s="227"/>
    </row>
    <row r="186" spans="1:58" s="237" customFormat="1" ht="15" customHeight="1" x14ac:dyDescent="0.55000000000000004">
      <c r="A186" s="240">
        <v>44376</v>
      </c>
      <c r="B186" s="335" t="s">
        <v>24</v>
      </c>
      <c r="C186" s="227"/>
      <c r="D186" s="227"/>
      <c r="E186" s="240">
        <v>43895</v>
      </c>
      <c r="F186" s="246" t="s">
        <v>2763</v>
      </c>
      <c r="G186" s="228" t="s">
        <v>2764</v>
      </c>
      <c r="H186" s="248" t="s">
        <v>2765</v>
      </c>
      <c r="I186" s="341" t="s">
        <v>145</v>
      </c>
      <c r="J186" s="246" t="s">
        <v>2766</v>
      </c>
      <c r="K186" s="246"/>
      <c r="L186" s="248" t="s">
        <v>2760</v>
      </c>
      <c r="M186" s="256" t="s">
        <v>2607</v>
      </c>
      <c r="N186" s="246" t="s">
        <v>520</v>
      </c>
      <c r="O186" s="246" t="s">
        <v>2602</v>
      </c>
      <c r="P186" s="246" t="s">
        <v>2761</v>
      </c>
      <c r="Q186" s="249" t="s">
        <v>2604</v>
      </c>
      <c r="R186" s="229" t="s">
        <v>2605</v>
      </c>
      <c r="S186" s="246" t="s">
        <v>2767</v>
      </c>
      <c r="T186" s="246"/>
      <c r="U186" s="246" t="s">
        <v>2760</v>
      </c>
      <c r="V186" s="250" t="s">
        <v>2607</v>
      </c>
      <c r="W186" s="246" t="s">
        <v>117</v>
      </c>
      <c r="X186" s="237" t="s">
        <v>137</v>
      </c>
      <c r="Y186" s="266"/>
      <c r="Z186" s="246" t="s">
        <v>2608</v>
      </c>
      <c r="AA186" s="261">
        <v>8030511</v>
      </c>
      <c r="AB186" s="227" t="s">
        <v>23</v>
      </c>
      <c r="AC186" s="227"/>
      <c r="AD186" s="245"/>
      <c r="AE186" s="241"/>
      <c r="AF186" s="241"/>
      <c r="AG186" s="241">
        <f t="shared" si="22"/>
        <v>0</v>
      </c>
      <c r="AH186" s="227"/>
      <c r="AI186" s="252"/>
      <c r="AJ186" s="253"/>
      <c r="AK186" s="253"/>
      <c r="AL186" s="253"/>
      <c r="AM186" s="253"/>
      <c r="AN186" s="253"/>
      <c r="AO186" s="253"/>
      <c r="AP186" s="253">
        <f t="shared" si="23"/>
        <v>0</v>
      </c>
      <c r="AQ186" s="240"/>
      <c r="AR186" s="227" t="s">
        <v>2762</v>
      </c>
      <c r="AS186" s="256" t="s">
        <v>120</v>
      </c>
      <c r="AT186" s="256" t="s">
        <v>25</v>
      </c>
      <c r="AU186" s="256" t="s">
        <v>120</v>
      </c>
      <c r="AV186" s="224">
        <v>4307000</v>
      </c>
      <c r="AW186" s="342" t="s">
        <v>343</v>
      </c>
      <c r="AX186" s="339" t="s">
        <v>2610</v>
      </c>
      <c r="AY186" s="335" t="s">
        <v>159</v>
      </c>
      <c r="AZ186" s="228"/>
      <c r="BA186" s="227"/>
      <c r="BB186" s="227"/>
      <c r="BC186" s="227"/>
      <c r="BD186" s="246"/>
      <c r="BE186" s="340"/>
      <c r="BF186" s="228"/>
    </row>
    <row r="187" spans="1:58" s="237" customFormat="1" ht="15" customHeight="1" x14ac:dyDescent="0.55000000000000004">
      <c r="A187" s="240">
        <v>44328</v>
      </c>
      <c r="B187" s="335" t="s">
        <v>24</v>
      </c>
      <c r="C187" s="227"/>
      <c r="D187" s="227"/>
      <c r="E187" s="240">
        <v>44298</v>
      </c>
      <c r="F187" s="227" t="s">
        <v>2768</v>
      </c>
      <c r="G187" s="227" t="s">
        <v>2769</v>
      </c>
      <c r="H187" s="387" t="s">
        <v>2770</v>
      </c>
      <c r="I187" s="247" t="s">
        <v>145</v>
      </c>
      <c r="J187" s="227" t="s">
        <v>2771</v>
      </c>
      <c r="K187" s="227" t="s">
        <v>2772</v>
      </c>
      <c r="L187" s="248" t="s">
        <v>1586</v>
      </c>
      <c r="M187" s="242" t="s">
        <v>1587</v>
      </c>
      <c r="N187" s="227" t="s">
        <v>2773</v>
      </c>
      <c r="O187" s="227" t="s">
        <v>2774</v>
      </c>
      <c r="P187" s="227" t="s">
        <v>243</v>
      </c>
      <c r="Q187" s="249" t="s">
        <v>2775</v>
      </c>
      <c r="R187" s="336" t="s">
        <v>2776</v>
      </c>
      <c r="S187" s="227" t="s">
        <v>2770</v>
      </c>
      <c r="T187" s="227" t="s">
        <v>2777</v>
      </c>
      <c r="U187" s="227" t="s">
        <v>1586</v>
      </c>
      <c r="V187" s="250">
        <v>2472</v>
      </c>
      <c r="W187" s="227" t="s">
        <v>117</v>
      </c>
      <c r="X187" s="237" t="s">
        <v>137</v>
      </c>
      <c r="Z187" s="227"/>
      <c r="AA187" s="251">
        <v>8030012</v>
      </c>
      <c r="AB187" s="227" t="s">
        <v>10</v>
      </c>
      <c r="AC187" s="227"/>
      <c r="AD187" s="245"/>
      <c r="AE187" s="241"/>
      <c r="AF187" s="241"/>
      <c r="AG187" s="241">
        <f t="shared" si="22"/>
        <v>0</v>
      </c>
      <c r="AH187" s="227"/>
      <c r="AI187" s="252"/>
      <c r="AJ187" s="253"/>
      <c r="AK187" s="253"/>
      <c r="AL187" s="253"/>
      <c r="AM187" s="253"/>
      <c r="AN187" s="253"/>
      <c r="AO187" s="253"/>
      <c r="AP187" s="253">
        <f t="shared" si="23"/>
        <v>0</v>
      </c>
      <c r="AQ187" s="240"/>
      <c r="AR187" s="227" t="s">
        <v>2778</v>
      </c>
      <c r="AS187" s="231" t="s">
        <v>189</v>
      </c>
      <c r="AT187" s="232" t="s">
        <v>12</v>
      </c>
      <c r="AU187" s="232" t="s">
        <v>120</v>
      </c>
      <c r="AV187" s="241">
        <v>3314000</v>
      </c>
      <c r="AW187" s="233" t="s">
        <v>1596</v>
      </c>
      <c r="AX187" s="343" t="s">
        <v>1597</v>
      </c>
      <c r="AY187" s="236" t="s">
        <v>274</v>
      </c>
      <c r="AZ187" s="227"/>
      <c r="BA187" s="227"/>
      <c r="BB187" s="227"/>
      <c r="BC187" s="227"/>
      <c r="BD187" s="255" t="str">
        <f ca="1">IF(ISBLANK(AD187),"",IF(AD187&lt;TODAY(),L187,""))</f>
        <v/>
      </c>
      <c r="BE187" s="259" t="s">
        <v>1544</v>
      </c>
      <c r="BF187" s="227"/>
    </row>
    <row r="188" spans="1:58" s="237" customFormat="1" ht="15" customHeight="1" x14ac:dyDescent="0.55000000000000004">
      <c r="A188" s="239">
        <v>44487</v>
      </c>
      <c r="B188" s="353" t="s">
        <v>30</v>
      </c>
      <c r="E188" s="426">
        <v>44425</v>
      </c>
      <c r="F188" s="348" t="s">
        <v>2779</v>
      </c>
      <c r="G188" s="233" t="s">
        <v>2780</v>
      </c>
      <c r="H188" s="466" t="s">
        <v>2781</v>
      </c>
      <c r="I188" s="424" t="s">
        <v>127</v>
      </c>
      <c r="J188" s="348" t="s">
        <v>2782</v>
      </c>
      <c r="K188" s="348"/>
      <c r="L188" s="248" t="s">
        <v>2783</v>
      </c>
      <c r="M188" s="442" t="s">
        <v>2784</v>
      </c>
      <c r="N188" s="348" t="s">
        <v>2785</v>
      </c>
      <c r="O188" s="348" t="s">
        <v>2786</v>
      </c>
      <c r="P188" s="505" t="s">
        <v>2661</v>
      </c>
      <c r="Q188" s="228" t="s">
        <v>2787</v>
      </c>
      <c r="R188" s="348" t="s">
        <v>2788</v>
      </c>
      <c r="S188" s="348" t="s">
        <v>2782</v>
      </c>
      <c r="T188" s="348"/>
      <c r="U188" s="227" t="s">
        <v>2783</v>
      </c>
      <c r="V188" s="415" t="s">
        <v>2784</v>
      </c>
      <c r="W188" s="348" t="s">
        <v>117</v>
      </c>
      <c r="X188" s="396" t="s">
        <v>137</v>
      </c>
      <c r="Z188" s="237" t="s">
        <v>2789</v>
      </c>
      <c r="AA188" s="503" t="s">
        <v>2790</v>
      </c>
      <c r="AB188" s="237" t="s">
        <v>203</v>
      </c>
      <c r="AD188" s="245">
        <v>44482</v>
      </c>
      <c r="AE188" s="244">
        <v>3</v>
      </c>
      <c r="AF188" s="244">
        <v>3</v>
      </c>
      <c r="AG188" s="244">
        <v>6</v>
      </c>
      <c r="AH188" s="237" t="s">
        <v>1779</v>
      </c>
      <c r="AI188" s="257"/>
      <c r="AJ188" s="258"/>
      <c r="AK188" s="258"/>
      <c r="AL188" s="258"/>
      <c r="AM188" s="258"/>
      <c r="AN188" s="258"/>
      <c r="AO188" s="258"/>
      <c r="AP188" s="244"/>
      <c r="AQ188" s="239"/>
      <c r="AR188" s="237" t="s">
        <v>2791</v>
      </c>
      <c r="AS188" s="244" t="s">
        <v>120</v>
      </c>
      <c r="AT188" s="244" t="s">
        <v>19</v>
      </c>
      <c r="AU188" s="244" t="s">
        <v>189</v>
      </c>
      <c r="AV188" s="244">
        <v>2021000</v>
      </c>
      <c r="AW188" s="400" t="s">
        <v>2792</v>
      </c>
      <c r="AX188" s="400" t="s">
        <v>2793</v>
      </c>
      <c r="AY188" s="233" t="s">
        <v>159</v>
      </c>
      <c r="AZ188" s="228"/>
      <c r="BA188" s="227"/>
      <c r="BB188" s="227"/>
      <c r="BC188" s="227"/>
      <c r="BD188" s="255" t="str">
        <f ca="1">IF(ISBLANK(AD188),"",IF(AD188&lt;TODAY(),L188,""))</f>
        <v>Barre</v>
      </c>
      <c r="BE188" s="377" t="s">
        <v>2794</v>
      </c>
      <c r="BF188" s="378"/>
    </row>
    <row r="189" spans="1:58" s="237" customFormat="1" ht="15" customHeight="1" x14ac:dyDescent="0.55000000000000004">
      <c r="A189" s="240">
        <v>44482</v>
      </c>
      <c r="B189" s="335" t="s">
        <v>30</v>
      </c>
      <c r="C189" s="227"/>
      <c r="D189" s="227"/>
      <c r="E189" s="240">
        <v>43894</v>
      </c>
      <c r="F189" s="246" t="s">
        <v>2795</v>
      </c>
      <c r="G189" s="228" t="s">
        <v>2796</v>
      </c>
      <c r="H189" s="248" t="s">
        <v>2797</v>
      </c>
      <c r="I189" s="341" t="s">
        <v>145</v>
      </c>
      <c r="J189" s="246" t="s">
        <v>2798</v>
      </c>
      <c r="K189" s="246"/>
      <c r="L189" s="248" t="s">
        <v>449</v>
      </c>
      <c r="M189" s="256" t="s">
        <v>479</v>
      </c>
      <c r="N189" s="246" t="s">
        <v>710</v>
      </c>
      <c r="O189" s="246" t="s">
        <v>2799</v>
      </c>
      <c r="P189" s="246" t="s">
        <v>151</v>
      </c>
      <c r="Q189" s="249" t="s">
        <v>2800</v>
      </c>
      <c r="R189" s="348" t="s">
        <v>2801</v>
      </c>
      <c r="S189" s="246" t="s">
        <v>2802</v>
      </c>
      <c r="T189" s="246"/>
      <c r="U189" s="246" t="s">
        <v>496</v>
      </c>
      <c r="V189" s="250" t="s">
        <v>479</v>
      </c>
      <c r="W189" s="246" t="s">
        <v>117</v>
      </c>
      <c r="X189" s="237" t="s">
        <v>118</v>
      </c>
      <c r="Y189" s="266"/>
      <c r="Z189" s="246" t="s">
        <v>2803</v>
      </c>
      <c r="AA189" s="261">
        <v>201671</v>
      </c>
      <c r="AB189" s="227" t="s">
        <v>203</v>
      </c>
      <c r="AC189" s="227"/>
      <c r="AD189" s="245"/>
      <c r="AE189" s="241">
        <v>6</v>
      </c>
      <c r="AF189" s="241">
        <v>6</v>
      </c>
      <c r="AG189" s="241">
        <f>AE189+AF189</f>
        <v>12</v>
      </c>
      <c r="AH189" s="227"/>
      <c r="AI189" s="252"/>
      <c r="AJ189" s="253"/>
      <c r="AK189" s="253"/>
      <c r="AL189" s="253"/>
      <c r="AM189" s="253"/>
      <c r="AN189" s="253"/>
      <c r="AO189" s="253"/>
      <c r="AP189" s="253">
        <f>AJ189+AK189+AL189+AM189+AN189+AO189</f>
        <v>0</v>
      </c>
      <c r="AQ189" s="240"/>
      <c r="AR189" s="227" t="s">
        <v>2804</v>
      </c>
      <c r="AS189" s="256" t="s">
        <v>189</v>
      </c>
      <c r="AT189" s="256" t="s">
        <v>31</v>
      </c>
      <c r="AU189" s="256" t="s">
        <v>120</v>
      </c>
      <c r="AV189" s="224">
        <v>1061000</v>
      </c>
      <c r="AW189" s="342" t="s">
        <v>343</v>
      </c>
      <c r="AX189" s="363" t="s">
        <v>460</v>
      </c>
      <c r="AY189" s="335" t="s">
        <v>159</v>
      </c>
      <c r="AZ189" s="227"/>
      <c r="BA189" s="227"/>
      <c r="BB189" s="227"/>
      <c r="BC189" s="227"/>
      <c r="BD189" s="255" t="str">
        <f ca="1">IF(ISBLANK(AD189),"",IF(AD189&lt;TODAY(),L189,""))</f>
        <v/>
      </c>
      <c r="BE189" s="340" t="s">
        <v>1102</v>
      </c>
      <c r="BF189" s="227"/>
    </row>
    <row r="190" spans="1:58" s="237" customFormat="1" ht="15" customHeight="1" x14ac:dyDescent="0.55000000000000004">
      <c r="A190" s="239">
        <v>44481</v>
      </c>
      <c r="B190" s="335" t="s">
        <v>30</v>
      </c>
      <c r="C190" s="227"/>
      <c r="D190" s="227"/>
      <c r="E190" s="239">
        <v>44315</v>
      </c>
      <c r="F190" s="369" t="s">
        <v>2805</v>
      </c>
      <c r="G190" s="368" t="s">
        <v>2806</v>
      </c>
      <c r="H190" s="370" t="s">
        <v>2807</v>
      </c>
      <c r="I190" s="402" t="s">
        <v>145</v>
      </c>
      <c r="J190" s="368" t="s">
        <v>2808</v>
      </c>
      <c r="K190" s="378"/>
      <c r="L190" s="248" t="s">
        <v>885</v>
      </c>
      <c r="M190" s="256" t="s">
        <v>886</v>
      </c>
      <c r="N190" s="405" t="s">
        <v>2809</v>
      </c>
      <c r="O190" s="405" t="s">
        <v>2810</v>
      </c>
      <c r="P190" s="405" t="s">
        <v>243</v>
      </c>
      <c r="Q190" s="406" t="s">
        <v>2811</v>
      </c>
      <c r="R190" s="444" t="s">
        <v>2812</v>
      </c>
      <c r="S190" s="378" t="s">
        <v>2813</v>
      </c>
      <c r="T190" s="378"/>
      <c r="U190" s="405" t="s">
        <v>885</v>
      </c>
      <c r="V190" s="413" t="s">
        <v>886</v>
      </c>
      <c r="W190" s="378" t="s">
        <v>117</v>
      </c>
      <c r="X190" s="461" t="s">
        <v>118</v>
      </c>
      <c r="Z190" s="228" t="s">
        <v>2814</v>
      </c>
      <c r="AA190" s="223">
        <v>290944</v>
      </c>
      <c r="AB190" s="228" t="s">
        <v>203</v>
      </c>
      <c r="AC190" s="228"/>
      <c r="AD190" s="245"/>
      <c r="AE190" s="359">
        <v>9</v>
      </c>
      <c r="AF190" s="359">
        <v>9</v>
      </c>
      <c r="AG190" s="241">
        <f>AE190+AF190</f>
        <v>18</v>
      </c>
      <c r="AH190" s="228" t="s">
        <v>28</v>
      </c>
      <c r="AI190" s="360"/>
      <c r="AJ190" s="361"/>
      <c r="AK190" s="361"/>
      <c r="AL190" s="361"/>
      <c r="AM190" s="361"/>
      <c r="AN190" s="361"/>
      <c r="AO190" s="361"/>
      <c r="AP190" s="253">
        <f>AJ190+AK190+AL190+AM190+AN190+AO190</f>
        <v>0</v>
      </c>
      <c r="AQ190" s="362"/>
      <c r="AR190" s="227" t="s">
        <v>2815</v>
      </c>
      <c r="AS190" s="445" t="s">
        <v>120</v>
      </c>
      <c r="AT190" s="445" t="s">
        <v>31</v>
      </c>
      <c r="AU190" s="445" t="s">
        <v>120</v>
      </c>
      <c r="AV190" s="445">
        <v>1236000</v>
      </c>
      <c r="AW190" s="313" t="s">
        <v>898</v>
      </c>
      <c r="AX190" s="339" t="s">
        <v>899</v>
      </c>
      <c r="AY190" s="353" t="s">
        <v>159</v>
      </c>
      <c r="AZ190" s="227"/>
      <c r="BA190" s="227"/>
      <c r="BB190" s="227"/>
      <c r="BC190" s="227"/>
      <c r="BD190" s="255" t="str">
        <f ca="1">IF(ISBLANK(AD190),"",IF(AD190&lt;TODAY(),L190,""))</f>
        <v/>
      </c>
      <c r="BE190" s="259" t="s">
        <v>1894</v>
      </c>
      <c r="BF190" s="227"/>
    </row>
    <row r="191" spans="1:58" s="237" customFormat="1" ht="15" customHeight="1" x14ac:dyDescent="0.55000000000000004">
      <c r="A191" s="240">
        <v>44466</v>
      </c>
      <c r="B191" s="335" t="s">
        <v>30</v>
      </c>
      <c r="C191" s="227"/>
      <c r="D191" s="227"/>
      <c r="E191" s="240">
        <v>44298</v>
      </c>
      <c r="F191" s="227" t="s">
        <v>2816</v>
      </c>
      <c r="G191" s="227" t="s">
        <v>2817</v>
      </c>
      <c r="H191" s="387" t="s">
        <v>2818</v>
      </c>
      <c r="I191" s="247" t="s">
        <v>127</v>
      </c>
      <c r="J191" s="227" t="s">
        <v>2819</v>
      </c>
      <c r="K191" s="227"/>
      <c r="L191" s="248" t="s">
        <v>1030</v>
      </c>
      <c r="M191" s="242" t="s">
        <v>984</v>
      </c>
      <c r="N191" s="227" t="s">
        <v>710</v>
      </c>
      <c r="O191" s="227" t="s">
        <v>2820</v>
      </c>
      <c r="P191" s="227" t="s">
        <v>2821</v>
      </c>
      <c r="Q191" s="249" t="s">
        <v>2822</v>
      </c>
      <c r="R191" s="336" t="s">
        <v>2823</v>
      </c>
      <c r="S191" s="227" t="s">
        <v>2819</v>
      </c>
      <c r="T191" s="227"/>
      <c r="U191" s="227" t="s">
        <v>1030</v>
      </c>
      <c r="V191" s="250">
        <v>1109</v>
      </c>
      <c r="W191" s="227" t="s">
        <v>117</v>
      </c>
      <c r="X191" s="266" t="s">
        <v>235</v>
      </c>
      <c r="Y191" s="237" t="s">
        <v>2824</v>
      </c>
      <c r="Z191" s="228" t="s">
        <v>2825</v>
      </c>
      <c r="AA191" s="251" t="s">
        <v>2826</v>
      </c>
      <c r="AB191" s="227" t="s">
        <v>203</v>
      </c>
      <c r="AC191" s="227"/>
      <c r="AD191" s="245"/>
      <c r="AE191" s="241">
        <v>2</v>
      </c>
      <c r="AF191" s="241">
        <v>2</v>
      </c>
      <c r="AG191" s="241">
        <f>AE191+AF191</f>
        <v>4</v>
      </c>
      <c r="AH191" s="227" t="s">
        <v>28</v>
      </c>
      <c r="AI191" s="252"/>
      <c r="AJ191" s="253"/>
      <c r="AK191" s="253"/>
      <c r="AL191" s="253"/>
      <c r="AM191" s="253"/>
      <c r="AN191" s="253"/>
      <c r="AO191" s="253"/>
      <c r="AP191" s="253">
        <f>AJ191+AK191+AL191+AM191+AN191+AO191</f>
        <v>0</v>
      </c>
      <c r="AQ191" s="240"/>
      <c r="AR191" s="227" t="s">
        <v>2827</v>
      </c>
      <c r="AS191" s="231" t="s">
        <v>120</v>
      </c>
      <c r="AT191" s="232" t="s">
        <v>31</v>
      </c>
      <c r="AU191" s="232" t="s">
        <v>120</v>
      </c>
      <c r="AV191" s="241">
        <v>1281000</v>
      </c>
      <c r="AW191" s="233" t="s">
        <v>994</v>
      </c>
      <c r="AX191" s="343" t="s">
        <v>995</v>
      </c>
      <c r="AY191" s="233" t="s">
        <v>159</v>
      </c>
      <c r="AZ191" s="227"/>
      <c r="BA191" s="227"/>
      <c r="BB191" s="227"/>
      <c r="BC191" s="227"/>
      <c r="BD191" s="255" t="str">
        <f ca="1">IF(ISBLANK(AD191),"",IF(AD191&lt;TODAY(),L191,""))</f>
        <v/>
      </c>
      <c r="BE191" s="340" t="s">
        <v>444</v>
      </c>
      <c r="BF191" s="227"/>
    </row>
    <row r="192" spans="1:58" s="237" customFormat="1" ht="15" customHeight="1" x14ac:dyDescent="1.05">
      <c r="A192" s="239">
        <v>44404</v>
      </c>
      <c r="B192" s="233" t="s">
        <v>18</v>
      </c>
      <c r="E192" s="367">
        <v>44393</v>
      </c>
      <c r="F192" s="237" t="s">
        <v>2828</v>
      </c>
      <c r="G192" s="237" t="s">
        <v>2829</v>
      </c>
      <c r="H192" s="496" t="s">
        <v>2830</v>
      </c>
      <c r="I192" s="344" t="s">
        <v>145</v>
      </c>
      <c r="J192" s="368" t="s">
        <v>2831</v>
      </c>
      <c r="K192" s="369"/>
      <c r="L192" s="248" t="s">
        <v>1169</v>
      </c>
      <c r="M192" s="371">
        <v>2351</v>
      </c>
      <c r="N192" s="368" t="s">
        <v>2832</v>
      </c>
      <c r="O192" s="368" t="s">
        <v>2833</v>
      </c>
      <c r="P192" s="246" t="s">
        <v>114</v>
      </c>
      <c r="Q192" s="249" t="s">
        <v>2834</v>
      </c>
      <c r="R192" s="368" t="s">
        <v>2835</v>
      </c>
      <c r="S192" s="227" t="s">
        <v>2831</v>
      </c>
      <c r="T192" s="227" t="s">
        <v>2830</v>
      </c>
      <c r="U192" s="227" t="s">
        <v>1169</v>
      </c>
      <c r="V192" s="337">
        <v>2351</v>
      </c>
      <c r="W192" s="368" t="s">
        <v>155</v>
      </c>
      <c r="X192" s="455" t="s">
        <v>118</v>
      </c>
      <c r="Y192" s="464"/>
      <c r="Z192" s="369"/>
      <c r="AA192" s="251">
        <v>8031736</v>
      </c>
      <c r="AB192" s="237" t="s">
        <v>10</v>
      </c>
      <c r="AD192" s="245"/>
      <c r="AE192" s="244"/>
      <c r="AF192" s="244"/>
      <c r="AG192" s="241">
        <f>AE192+AF192</f>
        <v>0</v>
      </c>
      <c r="AI192" s="257"/>
      <c r="AJ192" s="258"/>
      <c r="AK192" s="258"/>
      <c r="AL192" s="258"/>
      <c r="AM192" s="258"/>
      <c r="AN192" s="258"/>
      <c r="AO192" s="258"/>
      <c r="AP192" s="253">
        <f>AJ192+AK192+AL192+AM192+AN192+AO192</f>
        <v>0</v>
      </c>
      <c r="AQ192" s="239"/>
      <c r="AS192" s="244" t="s">
        <v>120</v>
      </c>
      <c r="AT192" s="244" t="s">
        <v>25</v>
      </c>
      <c r="AU192" s="244" t="s">
        <v>120</v>
      </c>
      <c r="AV192" s="244">
        <v>4001000</v>
      </c>
      <c r="AW192" s="233" t="s">
        <v>2836</v>
      </c>
      <c r="AX192" s="350" t="s">
        <v>1180</v>
      </c>
      <c r="AY192" s="335" t="s">
        <v>159</v>
      </c>
      <c r="BD192" s="266"/>
      <c r="BE192" s="238"/>
    </row>
    <row r="193" spans="1:58" s="237" customFormat="1" ht="15" customHeight="1" x14ac:dyDescent="0.55000000000000004">
      <c r="A193" s="239">
        <v>44481</v>
      </c>
      <c r="B193" s="353" t="s">
        <v>18</v>
      </c>
      <c r="E193" s="239">
        <v>44417</v>
      </c>
      <c r="F193" s="396" t="s">
        <v>2837</v>
      </c>
      <c r="G193" s="353" t="s">
        <v>2838</v>
      </c>
      <c r="H193" s="419" t="s">
        <v>2839</v>
      </c>
      <c r="I193" s="344" t="s">
        <v>2840</v>
      </c>
      <c r="J193" s="237" t="s">
        <v>2841</v>
      </c>
      <c r="K193" s="396"/>
      <c r="L193" s="419" t="s">
        <v>2428</v>
      </c>
      <c r="M193" s="397" t="s">
        <v>2842</v>
      </c>
      <c r="N193" s="452" t="s">
        <v>2843</v>
      </c>
      <c r="O193" s="396" t="s">
        <v>2844</v>
      </c>
      <c r="P193" s="452" t="s">
        <v>243</v>
      </c>
      <c r="Q193" s="237" t="s">
        <v>2845</v>
      </c>
      <c r="R193" s="396" t="s">
        <v>2846</v>
      </c>
      <c r="S193" s="396" t="s">
        <v>2841</v>
      </c>
      <c r="T193" s="396"/>
      <c r="U193" s="452" t="s">
        <v>2428</v>
      </c>
      <c r="V193" s="398" t="s">
        <v>2842</v>
      </c>
      <c r="W193" s="396" t="s">
        <v>117</v>
      </c>
      <c r="X193" s="396" t="s">
        <v>118</v>
      </c>
      <c r="AA193" s="504">
        <v>200034</v>
      </c>
      <c r="AB193" s="237" t="s">
        <v>203</v>
      </c>
      <c r="AD193" s="245"/>
      <c r="AE193" s="244"/>
      <c r="AF193" s="244"/>
      <c r="AG193" s="244"/>
      <c r="AI193" s="257"/>
      <c r="AJ193" s="258"/>
      <c r="AK193" s="258"/>
      <c r="AL193" s="258"/>
      <c r="AM193" s="258"/>
      <c r="AN193" s="258"/>
      <c r="AO193" s="258"/>
      <c r="AP193" s="244"/>
      <c r="AQ193" s="239"/>
      <c r="AS193" s="244" t="s">
        <v>120</v>
      </c>
      <c r="AT193" s="244" t="s">
        <v>25</v>
      </c>
      <c r="AU193" s="244" t="s">
        <v>189</v>
      </c>
      <c r="AV193" s="244">
        <v>4102035</v>
      </c>
      <c r="AW193" s="453" t="s">
        <v>2436</v>
      </c>
      <c r="AX193" s="400" t="s">
        <v>2437</v>
      </c>
      <c r="AY193" s="335" t="s">
        <v>159</v>
      </c>
      <c r="AZ193" s="227"/>
      <c r="BA193" s="227"/>
      <c r="BB193" s="227"/>
      <c r="BC193" s="227"/>
      <c r="BD193" s="255" t="str">
        <f ca="1">IF(ISBLANK(AD193),"",IF(AD193&lt;TODAY(),L193,""))</f>
        <v/>
      </c>
      <c r="BE193" s="259" t="s">
        <v>2847</v>
      </c>
      <c r="BF193" s="227"/>
    </row>
    <row r="194" spans="1:58" s="237" customFormat="1" ht="15" customHeight="1" x14ac:dyDescent="0.55000000000000004">
      <c r="A194" s="240">
        <v>44301</v>
      </c>
      <c r="B194" s="335" t="s">
        <v>18</v>
      </c>
      <c r="C194" s="227"/>
      <c r="D194" s="227"/>
      <c r="E194" s="240">
        <v>44291</v>
      </c>
      <c r="F194" s="227" t="s">
        <v>2848</v>
      </c>
      <c r="G194" s="227" t="s">
        <v>2849</v>
      </c>
      <c r="H194" s="387" t="s">
        <v>2850</v>
      </c>
      <c r="I194" s="247" t="s">
        <v>145</v>
      </c>
      <c r="J194" s="227" t="s">
        <v>2851</v>
      </c>
      <c r="K194" s="227"/>
      <c r="L194" s="248" t="s">
        <v>2852</v>
      </c>
      <c r="M194" s="242" t="s">
        <v>2853</v>
      </c>
      <c r="N194" s="227" t="s">
        <v>2854</v>
      </c>
      <c r="O194" s="227" t="s">
        <v>2855</v>
      </c>
      <c r="P194" s="227" t="s">
        <v>243</v>
      </c>
      <c r="Q194" s="249" t="s">
        <v>2856</v>
      </c>
      <c r="R194" s="336" t="s">
        <v>2857</v>
      </c>
      <c r="S194" s="227" t="s">
        <v>2858</v>
      </c>
      <c r="T194" s="227"/>
      <c r="U194" s="227" t="s">
        <v>2852</v>
      </c>
      <c r="V194" s="250">
        <v>1915</v>
      </c>
      <c r="W194" s="227" t="s">
        <v>117</v>
      </c>
      <c r="X194" s="237" t="s">
        <v>118</v>
      </c>
      <c r="Z194" s="227"/>
      <c r="AA194" s="223">
        <v>201934</v>
      </c>
      <c r="AB194" s="227" t="s">
        <v>10</v>
      </c>
      <c r="AC194" s="227"/>
      <c r="AD194" s="245"/>
      <c r="AE194" s="241"/>
      <c r="AF194" s="241"/>
      <c r="AG194" s="241">
        <f t="shared" ref="AG194:AG218" si="25">AE194+AF194</f>
        <v>0</v>
      </c>
      <c r="AH194" s="227"/>
      <c r="AI194" s="252"/>
      <c r="AJ194" s="253"/>
      <c r="AK194" s="253"/>
      <c r="AL194" s="253"/>
      <c r="AM194" s="253"/>
      <c r="AN194" s="253"/>
      <c r="AO194" s="253"/>
      <c r="AP194" s="253">
        <f t="shared" ref="AP194:AP218" si="26">AJ194+AK194+AL194+AM194+AN194+AO194</f>
        <v>0</v>
      </c>
      <c r="AQ194" s="240"/>
      <c r="AR194" s="227"/>
      <c r="AS194" s="241" t="s">
        <v>120</v>
      </c>
      <c r="AT194" s="256" t="s">
        <v>12</v>
      </c>
      <c r="AU194" s="256" t="s">
        <v>120</v>
      </c>
      <c r="AV194" s="224">
        <v>3030000</v>
      </c>
      <c r="AW194" s="342" t="s">
        <v>343</v>
      </c>
      <c r="AX194" s="339" t="s">
        <v>2859</v>
      </c>
      <c r="AY194" s="335" t="s">
        <v>159</v>
      </c>
      <c r="AZ194" s="227"/>
      <c r="BA194" s="227"/>
      <c r="BB194" s="227"/>
      <c r="BC194" s="227"/>
      <c r="BD194" s="255" t="str">
        <f ca="1">IF(ISBLANK(AD194),"",IF(AD194&lt;TODAY(),L194,""))</f>
        <v/>
      </c>
      <c r="BE194" s="259" t="s">
        <v>2860</v>
      </c>
      <c r="BF194" s="227"/>
    </row>
    <row r="195" spans="1:58" s="237" customFormat="1" ht="15" customHeight="1" x14ac:dyDescent="1.05">
      <c r="A195" s="239">
        <v>44357</v>
      </c>
      <c r="B195" s="335" t="s">
        <v>18</v>
      </c>
      <c r="C195" s="227"/>
      <c r="D195" s="227"/>
      <c r="E195" s="239">
        <v>44342</v>
      </c>
      <c r="F195" s="227" t="s">
        <v>2861</v>
      </c>
      <c r="G195" s="227" t="s">
        <v>2862</v>
      </c>
      <c r="H195" s="387" t="s">
        <v>2863</v>
      </c>
      <c r="I195" s="341" t="s">
        <v>127</v>
      </c>
      <c r="J195" s="420" t="s">
        <v>2864</v>
      </c>
      <c r="K195" s="420"/>
      <c r="L195" s="248" t="s">
        <v>2852</v>
      </c>
      <c r="M195" s="242" t="s">
        <v>2853</v>
      </c>
      <c r="N195" s="405" t="s">
        <v>2865</v>
      </c>
      <c r="O195" s="405" t="s">
        <v>2866</v>
      </c>
      <c r="P195" s="405" t="s">
        <v>760</v>
      </c>
      <c r="Q195" s="405" t="s">
        <v>2867</v>
      </c>
      <c r="R195" s="348" t="s">
        <v>2868</v>
      </c>
      <c r="S195" s="368" t="s">
        <v>2864</v>
      </c>
      <c r="T195" s="378"/>
      <c r="U195" s="405" t="s">
        <v>2852</v>
      </c>
      <c r="V195" s="448" t="s">
        <v>2853</v>
      </c>
      <c r="W195" s="405" t="s">
        <v>338</v>
      </c>
      <c r="X195" s="461" t="s">
        <v>338</v>
      </c>
      <c r="Z195" s="228"/>
      <c r="AA195" s="251" t="s">
        <v>2869</v>
      </c>
      <c r="AB195" s="228" t="s">
        <v>10</v>
      </c>
      <c r="AC195" s="228"/>
      <c r="AD195" s="245"/>
      <c r="AE195" s="359"/>
      <c r="AF195" s="359"/>
      <c r="AG195" s="241">
        <f t="shared" si="25"/>
        <v>0</v>
      </c>
      <c r="AH195" s="228"/>
      <c r="AI195" s="360"/>
      <c r="AJ195" s="361"/>
      <c r="AK195" s="361"/>
      <c r="AL195" s="361"/>
      <c r="AM195" s="361"/>
      <c r="AN195" s="361"/>
      <c r="AO195" s="361"/>
      <c r="AP195" s="253">
        <f t="shared" si="26"/>
        <v>0</v>
      </c>
      <c r="AQ195" s="362"/>
      <c r="AR195" s="227"/>
      <c r="AS195" s="359" t="s">
        <v>120</v>
      </c>
      <c r="AT195" s="359" t="s">
        <v>12</v>
      </c>
      <c r="AU195" s="359" t="s">
        <v>120</v>
      </c>
      <c r="AV195" s="359">
        <v>3030000</v>
      </c>
      <c r="AW195" s="342" t="s">
        <v>343</v>
      </c>
      <c r="AX195" s="350" t="s">
        <v>2859</v>
      </c>
      <c r="AY195" s="335" t="s">
        <v>159</v>
      </c>
      <c r="BD195" s="266"/>
      <c r="BE195" s="238"/>
    </row>
    <row r="196" spans="1:58" s="237" customFormat="1" ht="15" customHeight="1" x14ac:dyDescent="0.55000000000000004">
      <c r="A196" s="240">
        <v>44387</v>
      </c>
      <c r="B196" s="353" t="s">
        <v>18</v>
      </c>
      <c r="C196" s="227"/>
      <c r="D196" s="227"/>
      <c r="E196" s="240">
        <v>44152</v>
      </c>
      <c r="F196" s="227" t="s">
        <v>2870</v>
      </c>
      <c r="G196" s="228" t="s">
        <v>2871</v>
      </c>
      <c r="H196" s="387" t="s">
        <v>2872</v>
      </c>
      <c r="I196" s="247" t="s">
        <v>127</v>
      </c>
      <c r="J196" s="227" t="s">
        <v>2873</v>
      </c>
      <c r="K196" s="227"/>
      <c r="L196" s="248" t="s">
        <v>2874</v>
      </c>
      <c r="M196" s="242" t="s">
        <v>2088</v>
      </c>
      <c r="N196" s="227" t="s">
        <v>416</v>
      </c>
      <c r="O196" s="227" t="s">
        <v>2875</v>
      </c>
      <c r="P196" s="227" t="s">
        <v>1733</v>
      </c>
      <c r="Q196" s="249" t="s">
        <v>2876</v>
      </c>
      <c r="R196" s="336" t="s">
        <v>2877</v>
      </c>
      <c r="S196" s="227" t="s">
        <v>2878</v>
      </c>
      <c r="T196" s="227"/>
      <c r="U196" s="227" t="s">
        <v>263</v>
      </c>
      <c r="V196" s="337" t="s">
        <v>2088</v>
      </c>
      <c r="W196" s="227" t="s">
        <v>117</v>
      </c>
      <c r="X196" s="237" t="s">
        <v>235</v>
      </c>
      <c r="Y196" s="237" t="s">
        <v>2879</v>
      </c>
      <c r="Z196" s="227"/>
      <c r="AA196" s="251">
        <v>7029333</v>
      </c>
      <c r="AB196" s="227" t="s">
        <v>10</v>
      </c>
      <c r="AC196" s="227"/>
      <c r="AD196" s="245"/>
      <c r="AE196" s="241"/>
      <c r="AF196" s="241"/>
      <c r="AG196" s="241">
        <f t="shared" si="25"/>
        <v>0</v>
      </c>
      <c r="AH196" s="227"/>
      <c r="AI196" s="252"/>
      <c r="AJ196" s="253"/>
      <c r="AK196" s="253"/>
      <c r="AL196" s="253"/>
      <c r="AM196" s="253"/>
      <c r="AN196" s="253"/>
      <c r="AO196" s="253"/>
      <c r="AP196" s="253">
        <f t="shared" si="26"/>
        <v>0</v>
      </c>
      <c r="AQ196" s="240"/>
      <c r="AR196" s="227" t="s">
        <v>2880</v>
      </c>
      <c r="AS196" s="256" t="s">
        <v>189</v>
      </c>
      <c r="AT196" s="256" t="s">
        <v>12</v>
      </c>
      <c r="AU196" s="256" t="s">
        <v>120</v>
      </c>
      <c r="AV196" s="241">
        <v>3284000</v>
      </c>
      <c r="AW196" s="342" t="s">
        <v>343</v>
      </c>
      <c r="AX196" s="343" t="s">
        <v>273</v>
      </c>
      <c r="AY196" s="335" t="s">
        <v>159</v>
      </c>
      <c r="AZ196" s="227"/>
      <c r="BA196" s="227"/>
      <c r="BB196" s="227"/>
      <c r="BC196" s="227"/>
      <c r="BD196" s="255" t="str">
        <f ca="1">IF(ISBLANK(AD196),"",IF(AD196&lt;TODAY(),L196,""))</f>
        <v/>
      </c>
      <c r="BE196" s="259"/>
      <c r="BF196" s="227"/>
    </row>
    <row r="197" spans="1:58" s="237" customFormat="1" ht="15" customHeight="1" x14ac:dyDescent="0.55000000000000004">
      <c r="A197" s="240">
        <v>44172</v>
      </c>
      <c r="B197" s="335" t="s">
        <v>18</v>
      </c>
      <c r="C197" s="227"/>
      <c r="D197" s="227"/>
      <c r="E197" s="240">
        <v>44152</v>
      </c>
      <c r="F197" s="227" t="s">
        <v>2881</v>
      </c>
      <c r="G197" s="228" t="s">
        <v>2882</v>
      </c>
      <c r="H197" s="387" t="s">
        <v>2883</v>
      </c>
      <c r="I197" s="247" t="s">
        <v>127</v>
      </c>
      <c r="J197" s="227" t="s">
        <v>2884</v>
      </c>
      <c r="K197" s="227"/>
      <c r="L197" s="248" t="s">
        <v>1214</v>
      </c>
      <c r="M197" s="242" t="s">
        <v>1215</v>
      </c>
      <c r="N197" s="227" t="s">
        <v>2885</v>
      </c>
      <c r="O197" s="227" t="s">
        <v>2886</v>
      </c>
      <c r="P197" s="227" t="s">
        <v>334</v>
      </c>
      <c r="Q197" s="249" t="s">
        <v>2887</v>
      </c>
      <c r="R197" s="336" t="s">
        <v>2888</v>
      </c>
      <c r="S197" s="227" t="s">
        <v>2889</v>
      </c>
      <c r="T197" s="227"/>
      <c r="U197" s="227" t="s">
        <v>1214</v>
      </c>
      <c r="V197" s="250">
        <v>2301</v>
      </c>
      <c r="W197" s="227" t="s">
        <v>155</v>
      </c>
      <c r="X197" s="237" t="s">
        <v>235</v>
      </c>
      <c r="Y197" s="237" t="s">
        <v>2890</v>
      </c>
      <c r="Z197" s="227" t="s">
        <v>2891</v>
      </c>
      <c r="AA197" s="251">
        <v>697849</v>
      </c>
      <c r="AB197" s="227" t="s">
        <v>10</v>
      </c>
      <c r="AC197" s="227"/>
      <c r="AD197" s="245"/>
      <c r="AE197" s="241"/>
      <c r="AF197" s="241"/>
      <c r="AG197" s="241">
        <f t="shared" si="25"/>
        <v>0</v>
      </c>
      <c r="AH197" s="227"/>
      <c r="AI197" s="252"/>
      <c r="AJ197" s="253"/>
      <c r="AK197" s="253"/>
      <c r="AL197" s="253"/>
      <c r="AM197" s="253"/>
      <c r="AN197" s="253"/>
      <c r="AO197" s="253"/>
      <c r="AP197" s="253">
        <f t="shared" si="26"/>
        <v>0</v>
      </c>
      <c r="AQ197" s="240"/>
      <c r="AR197" s="227" t="s">
        <v>2880</v>
      </c>
      <c r="AS197" s="256" t="s">
        <v>120</v>
      </c>
      <c r="AT197" s="256" t="s">
        <v>25</v>
      </c>
      <c r="AU197" s="256" t="s">
        <v>120</v>
      </c>
      <c r="AV197" s="224">
        <v>4044000</v>
      </c>
      <c r="AW197" s="342" t="s">
        <v>343</v>
      </c>
      <c r="AX197" s="343" t="s">
        <v>1223</v>
      </c>
      <c r="AY197" s="335" t="s">
        <v>159</v>
      </c>
      <c r="BD197" s="266"/>
      <c r="BE197" s="238"/>
    </row>
    <row r="198" spans="1:58" s="237" customFormat="1" ht="15" customHeight="1" x14ac:dyDescent="1.05">
      <c r="A198" s="239">
        <v>44333</v>
      </c>
      <c r="B198" s="335" t="s">
        <v>18</v>
      </c>
      <c r="C198" s="227"/>
      <c r="D198" s="227"/>
      <c r="E198" s="239">
        <v>44328</v>
      </c>
      <c r="F198" s="454" t="s">
        <v>2892</v>
      </c>
      <c r="G198" s="455" t="s">
        <v>2893</v>
      </c>
      <c r="H198" s="499" t="s">
        <v>2894</v>
      </c>
      <c r="I198" s="457" t="s">
        <v>145</v>
      </c>
      <c r="J198" s="455" t="s">
        <v>2895</v>
      </c>
      <c r="K198" s="458"/>
      <c r="L198" s="459" t="s">
        <v>1228</v>
      </c>
      <c r="M198" s="460" t="s">
        <v>1229</v>
      </c>
      <c r="N198" s="461" t="s">
        <v>2572</v>
      </c>
      <c r="O198" s="461" t="s">
        <v>2896</v>
      </c>
      <c r="P198" s="461" t="s">
        <v>1288</v>
      </c>
      <c r="Q198" s="461" t="s">
        <v>2897</v>
      </c>
      <c r="R198" s="456" t="s">
        <v>2898</v>
      </c>
      <c r="S198" s="458" t="s">
        <v>2899</v>
      </c>
      <c r="T198" s="458"/>
      <c r="U198" s="461" t="s">
        <v>1228</v>
      </c>
      <c r="V198" s="462" t="s">
        <v>1721</v>
      </c>
      <c r="W198" s="461" t="s">
        <v>117</v>
      </c>
      <c r="X198" s="458" t="s">
        <v>137</v>
      </c>
      <c r="Z198" s="228"/>
      <c r="AA198" s="223" t="s">
        <v>2900</v>
      </c>
      <c r="AB198" s="228" t="s">
        <v>10</v>
      </c>
      <c r="AC198" s="228"/>
      <c r="AD198" s="245"/>
      <c r="AE198" s="359"/>
      <c r="AF198" s="359"/>
      <c r="AG198" s="241">
        <f t="shared" si="25"/>
        <v>0</v>
      </c>
      <c r="AH198" s="228"/>
      <c r="AI198" s="360"/>
      <c r="AJ198" s="361"/>
      <c r="AK198" s="361"/>
      <c r="AL198" s="361"/>
      <c r="AM198" s="361"/>
      <c r="AN198" s="361"/>
      <c r="AO198" s="361"/>
      <c r="AP198" s="253">
        <f t="shared" si="26"/>
        <v>0</v>
      </c>
      <c r="AQ198" s="362"/>
      <c r="AR198" s="227" t="s">
        <v>2901</v>
      </c>
      <c r="AS198" s="359" t="s">
        <v>189</v>
      </c>
      <c r="AT198" s="359" t="s">
        <v>12</v>
      </c>
      <c r="AU198" s="359" t="s">
        <v>189</v>
      </c>
      <c r="AV198" s="359">
        <v>3049000</v>
      </c>
      <c r="AW198" s="233" t="s">
        <v>1237</v>
      </c>
      <c r="AX198" s="350" t="s">
        <v>1238</v>
      </c>
      <c r="AY198" s="348" t="s">
        <v>159</v>
      </c>
      <c r="AZ198" s="227"/>
      <c r="BA198" s="227"/>
      <c r="BB198" s="227"/>
      <c r="BC198" s="227"/>
      <c r="BD198" s="255" t="str">
        <f t="shared" ref="BD198:BD207" ca="1" si="27">IF(ISBLANK(AD198),"",IF(AD198&lt;TODAY(),L198,""))</f>
        <v/>
      </c>
      <c r="BE198" s="382" t="s">
        <v>2902</v>
      </c>
      <c r="BF198" s="227"/>
    </row>
    <row r="199" spans="1:58" s="237" customFormat="1" ht="15" customHeight="1" x14ac:dyDescent="1.05">
      <c r="A199" s="240">
        <v>44301</v>
      </c>
      <c r="B199" s="335" t="s">
        <v>18</v>
      </c>
      <c r="C199" s="227"/>
      <c r="D199" s="227"/>
      <c r="E199" s="240">
        <v>44291</v>
      </c>
      <c r="F199" s="227" t="s">
        <v>2903</v>
      </c>
      <c r="G199" s="227" t="s">
        <v>2904</v>
      </c>
      <c r="H199" s="387" t="s">
        <v>2905</v>
      </c>
      <c r="I199" s="247" t="s">
        <v>145</v>
      </c>
      <c r="J199" s="227" t="s">
        <v>2906</v>
      </c>
      <c r="K199" s="227"/>
      <c r="L199" s="248" t="s">
        <v>1228</v>
      </c>
      <c r="M199" s="242" t="s">
        <v>1229</v>
      </c>
      <c r="N199" s="227" t="s">
        <v>2907</v>
      </c>
      <c r="O199" s="227" t="s">
        <v>2908</v>
      </c>
      <c r="P199" s="227" t="s">
        <v>243</v>
      </c>
      <c r="Q199" s="249" t="s">
        <v>2909</v>
      </c>
      <c r="R199" s="336" t="s">
        <v>2910</v>
      </c>
      <c r="S199" s="227" t="s">
        <v>2911</v>
      </c>
      <c r="T199" s="227" t="s">
        <v>2912</v>
      </c>
      <c r="U199" s="227" t="s">
        <v>2913</v>
      </c>
      <c r="V199" s="250">
        <v>2138</v>
      </c>
      <c r="W199" s="227" t="s">
        <v>117</v>
      </c>
      <c r="X199" s="237" t="s">
        <v>118</v>
      </c>
      <c r="Z199" s="227"/>
      <c r="AA199" s="223">
        <v>200484</v>
      </c>
      <c r="AB199" s="227" t="s">
        <v>10</v>
      </c>
      <c r="AC199" s="227"/>
      <c r="AD199" s="245"/>
      <c r="AE199" s="241"/>
      <c r="AF199" s="241"/>
      <c r="AG199" s="241">
        <f t="shared" si="25"/>
        <v>0</v>
      </c>
      <c r="AH199" s="227"/>
      <c r="AI199" s="252"/>
      <c r="AJ199" s="253"/>
      <c r="AK199" s="253"/>
      <c r="AL199" s="253"/>
      <c r="AM199" s="253"/>
      <c r="AN199" s="253"/>
      <c r="AO199" s="253"/>
      <c r="AP199" s="253">
        <f t="shared" si="26"/>
        <v>0</v>
      </c>
      <c r="AQ199" s="240"/>
      <c r="AR199" s="227"/>
      <c r="AS199" s="241" t="s">
        <v>120</v>
      </c>
      <c r="AT199" s="256" t="s">
        <v>12</v>
      </c>
      <c r="AU199" s="256" t="s">
        <v>120</v>
      </c>
      <c r="AV199" s="241">
        <v>3314000</v>
      </c>
      <c r="AW199" s="226" t="s">
        <v>1237</v>
      </c>
      <c r="AX199" s="401" t="s">
        <v>1238</v>
      </c>
      <c r="AY199" s="335" t="s">
        <v>159</v>
      </c>
      <c r="AZ199" s="227"/>
      <c r="BA199" s="227"/>
      <c r="BB199" s="227"/>
      <c r="BC199" s="227"/>
      <c r="BD199" s="255" t="str">
        <f t="shared" ca="1" si="27"/>
        <v/>
      </c>
      <c r="BE199" s="340" t="s">
        <v>1958</v>
      </c>
      <c r="BF199" s="227"/>
    </row>
    <row r="200" spans="1:58" s="237" customFormat="1" ht="15" customHeight="1" x14ac:dyDescent="0.55000000000000004">
      <c r="A200" s="240">
        <v>44308</v>
      </c>
      <c r="B200" s="335" t="s">
        <v>18</v>
      </c>
      <c r="C200" s="227"/>
      <c r="D200" s="227"/>
      <c r="E200" s="240">
        <v>44291</v>
      </c>
      <c r="F200" s="227" t="s">
        <v>2914</v>
      </c>
      <c r="G200" s="227" t="s">
        <v>2915</v>
      </c>
      <c r="H200" s="387" t="s">
        <v>2916</v>
      </c>
      <c r="I200" s="247" t="s">
        <v>145</v>
      </c>
      <c r="J200" s="227" t="s">
        <v>2917</v>
      </c>
      <c r="K200" s="227"/>
      <c r="L200" s="248" t="s">
        <v>2918</v>
      </c>
      <c r="M200" s="242" t="s">
        <v>2919</v>
      </c>
      <c r="N200" s="227" t="s">
        <v>2920</v>
      </c>
      <c r="O200" s="227" t="s">
        <v>2921</v>
      </c>
      <c r="P200" s="227" t="s">
        <v>114</v>
      </c>
      <c r="Q200" s="249" t="s">
        <v>2922</v>
      </c>
      <c r="R200" s="336" t="s">
        <v>2923</v>
      </c>
      <c r="S200" s="227" t="s">
        <v>2924</v>
      </c>
      <c r="T200" s="227"/>
      <c r="U200" s="227" t="s">
        <v>2918</v>
      </c>
      <c r="V200" s="250">
        <v>1741</v>
      </c>
      <c r="W200" s="227" t="s">
        <v>117</v>
      </c>
      <c r="X200" s="237" t="s">
        <v>118</v>
      </c>
      <c r="Z200" s="227"/>
      <c r="AA200" s="223">
        <v>2911792</v>
      </c>
      <c r="AB200" s="227" t="s">
        <v>10</v>
      </c>
      <c r="AC200" s="227"/>
      <c r="AD200" s="245"/>
      <c r="AE200" s="241"/>
      <c r="AF200" s="241"/>
      <c r="AG200" s="241">
        <f t="shared" si="25"/>
        <v>0</v>
      </c>
      <c r="AH200" s="227"/>
      <c r="AI200" s="252"/>
      <c r="AJ200" s="253"/>
      <c r="AK200" s="253"/>
      <c r="AL200" s="253"/>
      <c r="AM200" s="253"/>
      <c r="AN200" s="253"/>
      <c r="AO200" s="253"/>
      <c r="AP200" s="253">
        <f t="shared" si="26"/>
        <v>0</v>
      </c>
      <c r="AQ200" s="240"/>
      <c r="AR200" s="227"/>
      <c r="AS200" s="241" t="s">
        <v>120</v>
      </c>
      <c r="AT200" s="256" t="s">
        <v>12</v>
      </c>
      <c r="AU200" s="256" t="s">
        <v>29</v>
      </c>
      <c r="AV200" s="241">
        <v>3051012</v>
      </c>
      <c r="AW200" s="342" t="s">
        <v>343</v>
      </c>
      <c r="AX200" s="339" t="s">
        <v>2925</v>
      </c>
      <c r="AY200" s="335" t="s">
        <v>159</v>
      </c>
      <c r="AZ200" s="227"/>
      <c r="BA200" s="227"/>
      <c r="BB200" s="227"/>
      <c r="BC200" s="227"/>
      <c r="BD200" s="255" t="str">
        <f t="shared" ca="1" si="27"/>
        <v/>
      </c>
      <c r="BE200" s="259" t="s">
        <v>2926</v>
      </c>
      <c r="BF200" s="227"/>
    </row>
    <row r="201" spans="1:58" s="237" customFormat="1" ht="15" customHeight="1" x14ac:dyDescent="0.55000000000000004">
      <c r="A201" s="239">
        <v>44328</v>
      </c>
      <c r="B201" s="335" t="s">
        <v>18</v>
      </c>
      <c r="C201" s="227"/>
      <c r="D201" s="227"/>
      <c r="E201" s="239">
        <v>44308</v>
      </c>
      <c r="F201" s="378" t="s">
        <v>2927</v>
      </c>
      <c r="G201" s="369" t="s">
        <v>2928</v>
      </c>
      <c r="H201" s="500" t="s">
        <v>2929</v>
      </c>
      <c r="I201" s="247" t="s">
        <v>145</v>
      </c>
      <c r="J201" s="368" t="s">
        <v>2930</v>
      </c>
      <c r="K201" s="378"/>
      <c r="L201" s="403" t="s">
        <v>1139</v>
      </c>
      <c r="M201" s="404" t="s">
        <v>1140</v>
      </c>
      <c r="N201" s="405" t="s">
        <v>2931</v>
      </c>
      <c r="O201" s="405" t="s">
        <v>2932</v>
      </c>
      <c r="P201" s="405" t="s">
        <v>243</v>
      </c>
      <c r="Q201" s="406" t="s">
        <v>2933</v>
      </c>
      <c r="R201" s="444" t="s">
        <v>2934</v>
      </c>
      <c r="S201" s="378" t="s">
        <v>2930</v>
      </c>
      <c r="T201" s="378"/>
      <c r="U201" s="461" t="s">
        <v>1139</v>
      </c>
      <c r="V201" s="413" t="s">
        <v>2074</v>
      </c>
      <c r="W201" s="405" t="s">
        <v>117</v>
      </c>
      <c r="X201" s="458" t="s">
        <v>137</v>
      </c>
      <c r="AA201" s="251">
        <v>290062</v>
      </c>
      <c r="AB201" s="237" t="s">
        <v>10</v>
      </c>
      <c r="AD201" s="245"/>
      <c r="AE201" s="244"/>
      <c r="AF201" s="244"/>
      <c r="AG201" s="241">
        <f t="shared" si="25"/>
        <v>0</v>
      </c>
      <c r="AI201" s="257"/>
      <c r="AJ201" s="258"/>
      <c r="AK201" s="258"/>
      <c r="AL201" s="258"/>
      <c r="AM201" s="258"/>
      <c r="AN201" s="258"/>
      <c r="AO201" s="258"/>
      <c r="AP201" s="253">
        <f t="shared" si="26"/>
        <v>0</v>
      </c>
      <c r="AQ201" s="239"/>
      <c r="AR201" s="237" t="s">
        <v>1461</v>
      </c>
      <c r="AS201" s="244" t="s">
        <v>189</v>
      </c>
      <c r="AT201" s="244" t="s">
        <v>12</v>
      </c>
      <c r="AU201" s="244" t="s">
        <v>120</v>
      </c>
      <c r="AV201" s="449">
        <v>3247999</v>
      </c>
      <c r="AW201" s="226" t="s">
        <v>1150</v>
      </c>
      <c r="AX201" s="339" t="s">
        <v>1151</v>
      </c>
      <c r="AY201" s="335" t="s">
        <v>159</v>
      </c>
      <c r="AZ201" s="227"/>
      <c r="BA201" s="227"/>
      <c r="BB201" s="227"/>
      <c r="BC201" s="227"/>
      <c r="BD201" s="255" t="str">
        <f t="shared" ca="1" si="27"/>
        <v/>
      </c>
      <c r="BE201" s="340" t="s">
        <v>2935</v>
      </c>
      <c r="BF201" s="227"/>
    </row>
    <row r="202" spans="1:58" s="237" customFormat="1" ht="15" customHeight="1" x14ac:dyDescent="0.55000000000000004">
      <c r="A202" s="240">
        <v>44387</v>
      </c>
      <c r="B202" s="335" t="s">
        <v>18</v>
      </c>
      <c r="C202" s="227"/>
      <c r="D202" s="227"/>
      <c r="E202" s="240">
        <v>43894</v>
      </c>
      <c r="F202" s="246" t="s">
        <v>2936</v>
      </c>
      <c r="G202" s="228" t="s">
        <v>2937</v>
      </c>
      <c r="H202" s="248" t="s">
        <v>2938</v>
      </c>
      <c r="I202" s="341" t="s">
        <v>145</v>
      </c>
      <c r="J202" s="246" t="s">
        <v>2939</v>
      </c>
      <c r="K202" s="246"/>
      <c r="L202" s="248" t="s">
        <v>1301</v>
      </c>
      <c r="M202" s="256" t="s">
        <v>1302</v>
      </c>
      <c r="N202" s="246" t="s">
        <v>1821</v>
      </c>
      <c r="O202" s="246" t="s">
        <v>2940</v>
      </c>
      <c r="P202" s="246" t="s">
        <v>2941</v>
      </c>
      <c r="Q202" s="249" t="s">
        <v>2942</v>
      </c>
      <c r="R202" s="229" t="s">
        <v>2943</v>
      </c>
      <c r="S202" s="246" t="s">
        <v>2939</v>
      </c>
      <c r="T202" s="246"/>
      <c r="U202" s="246" t="s">
        <v>1301</v>
      </c>
      <c r="V202" s="250" t="s">
        <v>1302</v>
      </c>
      <c r="W202" s="246" t="s">
        <v>117</v>
      </c>
      <c r="X202" s="237" t="s">
        <v>118</v>
      </c>
      <c r="Y202" s="266"/>
      <c r="Z202" s="246"/>
      <c r="AA202" s="261">
        <v>212450</v>
      </c>
      <c r="AB202" s="227" t="s">
        <v>10</v>
      </c>
      <c r="AC202" s="227"/>
      <c r="AD202" s="245"/>
      <c r="AE202" s="241">
        <v>6</v>
      </c>
      <c r="AF202" s="241">
        <v>6</v>
      </c>
      <c r="AG202" s="241">
        <f t="shared" si="25"/>
        <v>12</v>
      </c>
      <c r="AH202" s="227"/>
      <c r="AI202" s="252"/>
      <c r="AJ202" s="253"/>
      <c r="AK202" s="253"/>
      <c r="AL202" s="253"/>
      <c r="AM202" s="253"/>
      <c r="AN202" s="253"/>
      <c r="AO202" s="253"/>
      <c r="AP202" s="253">
        <f t="shared" si="26"/>
        <v>0</v>
      </c>
      <c r="AQ202" s="240"/>
      <c r="AR202" s="227" t="s">
        <v>1293</v>
      </c>
      <c r="AS202" s="256" t="s">
        <v>189</v>
      </c>
      <c r="AT202" s="256" t="s">
        <v>12</v>
      </c>
      <c r="AU202" s="256" t="s">
        <v>120</v>
      </c>
      <c r="AV202" s="241">
        <v>3035000</v>
      </c>
      <c r="AW202" s="233" t="s">
        <v>272</v>
      </c>
      <c r="AX202" s="339" t="s">
        <v>273</v>
      </c>
      <c r="AY202" s="335" t="s">
        <v>159</v>
      </c>
      <c r="AZ202" s="227"/>
      <c r="BA202" s="227"/>
      <c r="BB202" s="227"/>
      <c r="BC202" s="227"/>
      <c r="BD202" s="255" t="str">
        <f t="shared" ca="1" si="27"/>
        <v/>
      </c>
      <c r="BE202" s="340"/>
      <c r="BF202" s="227"/>
    </row>
    <row r="203" spans="1:58" s="237" customFormat="1" ht="15" customHeight="1" x14ac:dyDescent="0.55000000000000004">
      <c r="A203" s="240">
        <v>44386</v>
      </c>
      <c r="B203" s="335" t="s">
        <v>18</v>
      </c>
      <c r="C203" s="227"/>
      <c r="D203" s="227"/>
      <c r="E203" s="240">
        <v>43895</v>
      </c>
      <c r="F203" s="246" t="s">
        <v>2944</v>
      </c>
      <c r="G203" s="228" t="s">
        <v>2945</v>
      </c>
      <c r="H203" s="248" t="s">
        <v>2946</v>
      </c>
      <c r="I203" s="341" t="s">
        <v>145</v>
      </c>
      <c r="J203" s="246" t="s">
        <v>2947</v>
      </c>
      <c r="K203" s="246"/>
      <c r="L203" s="248" t="s">
        <v>1457</v>
      </c>
      <c r="M203" s="256" t="s">
        <v>1458</v>
      </c>
      <c r="N203" s="246" t="s">
        <v>2572</v>
      </c>
      <c r="O203" s="246" t="s">
        <v>2948</v>
      </c>
      <c r="P203" s="246" t="s">
        <v>2949</v>
      </c>
      <c r="Q203" s="249" t="s">
        <v>2950</v>
      </c>
      <c r="R203" s="229" t="s">
        <v>2951</v>
      </c>
      <c r="S203" s="246" t="s">
        <v>2952</v>
      </c>
      <c r="T203" s="246"/>
      <c r="U203" s="246" t="s">
        <v>1457</v>
      </c>
      <c r="V203" s="250" t="s">
        <v>1458</v>
      </c>
      <c r="W203" s="246" t="s">
        <v>117</v>
      </c>
      <c r="X203" s="237" t="s">
        <v>118</v>
      </c>
      <c r="Y203" s="266"/>
      <c r="Z203" s="246"/>
      <c r="AA203" s="261">
        <v>8031572</v>
      </c>
      <c r="AB203" s="227" t="s">
        <v>10</v>
      </c>
      <c r="AC203" s="227"/>
      <c r="AD203" s="245"/>
      <c r="AE203" s="241"/>
      <c r="AF203" s="241"/>
      <c r="AG203" s="241">
        <f t="shared" si="25"/>
        <v>0</v>
      </c>
      <c r="AH203" s="227"/>
      <c r="AI203" s="252"/>
      <c r="AJ203" s="253"/>
      <c r="AK203" s="253"/>
      <c r="AL203" s="253"/>
      <c r="AM203" s="253"/>
      <c r="AN203" s="253"/>
      <c r="AO203" s="253"/>
      <c r="AP203" s="253">
        <f t="shared" si="26"/>
        <v>0</v>
      </c>
      <c r="AQ203" s="240"/>
      <c r="AR203" s="227" t="s">
        <v>1293</v>
      </c>
      <c r="AS203" s="256" t="s">
        <v>120</v>
      </c>
      <c r="AT203" s="256" t="s">
        <v>12</v>
      </c>
      <c r="AU203" s="256" t="s">
        <v>120</v>
      </c>
      <c r="AV203" s="224">
        <v>3128000</v>
      </c>
      <c r="AW203" s="226" t="s">
        <v>1844</v>
      </c>
      <c r="AX203" s="339" t="s">
        <v>1845</v>
      </c>
      <c r="AY203" s="233" t="s">
        <v>159</v>
      </c>
      <c r="AZ203" s="227"/>
      <c r="BA203" s="227"/>
      <c r="BB203" s="227"/>
      <c r="BC203" s="227"/>
      <c r="BD203" s="255" t="str">
        <f t="shared" ca="1" si="27"/>
        <v/>
      </c>
      <c r="BE203" s="259" t="s">
        <v>2953</v>
      </c>
      <c r="BF203" s="227"/>
    </row>
    <row r="204" spans="1:58" s="237" customFormat="1" ht="15" customHeight="1" x14ac:dyDescent="0.55000000000000004">
      <c r="A204" s="240">
        <v>44386</v>
      </c>
      <c r="B204" s="335" t="s">
        <v>18</v>
      </c>
      <c r="C204" s="227"/>
      <c r="D204" s="227"/>
      <c r="E204" s="240">
        <v>43894</v>
      </c>
      <c r="F204" s="246" t="s">
        <v>2954</v>
      </c>
      <c r="G204" s="228" t="s">
        <v>2955</v>
      </c>
      <c r="H204" s="248" t="s">
        <v>2956</v>
      </c>
      <c r="I204" s="341" t="s">
        <v>145</v>
      </c>
      <c r="J204" s="246" t="s">
        <v>2957</v>
      </c>
      <c r="K204" s="246"/>
      <c r="L204" s="248" t="s">
        <v>2958</v>
      </c>
      <c r="M204" s="256" t="s">
        <v>2959</v>
      </c>
      <c r="N204" s="246" t="s">
        <v>2960</v>
      </c>
      <c r="O204" s="246" t="s">
        <v>2961</v>
      </c>
      <c r="P204" s="246" t="s">
        <v>243</v>
      </c>
      <c r="Q204" s="249" t="s">
        <v>2962</v>
      </c>
      <c r="R204" s="229" t="s">
        <v>2963</v>
      </c>
      <c r="S204" s="246" t="s">
        <v>2964</v>
      </c>
      <c r="T204" s="246"/>
      <c r="U204" s="246" t="s">
        <v>2958</v>
      </c>
      <c r="V204" s="250" t="s">
        <v>2959</v>
      </c>
      <c r="W204" s="246" t="s">
        <v>117</v>
      </c>
      <c r="X204" s="237" t="s">
        <v>118</v>
      </c>
      <c r="Y204" s="266"/>
      <c r="Z204" s="246"/>
      <c r="AA204" s="261">
        <v>211267</v>
      </c>
      <c r="AB204" s="227" t="s">
        <v>10</v>
      </c>
      <c r="AC204" s="227"/>
      <c r="AD204" s="245"/>
      <c r="AE204" s="241"/>
      <c r="AF204" s="241"/>
      <c r="AG204" s="241">
        <f t="shared" si="25"/>
        <v>0</v>
      </c>
      <c r="AH204" s="227"/>
      <c r="AI204" s="252"/>
      <c r="AJ204" s="253"/>
      <c r="AK204" s="253"/>
      <c r="AL204" s="253"/>
      <c r="AM204" s="253"/>
      <c r="AN204" s="253"/>
      <c r="AO204" s="253"/>
      <c r="AP204" s="253">
        <f t="shared" si="26"/>
        <v>0</v>
      </c>
      <c r="AQ204" s="240"/>
      <c r="AR204" s="227" t="s">
        <v>1293</v>
      </c>
      <c r="AS204" s="256" t="s">
        <v>189</v>
      </c>
      <c r="AT204" s="256" t="s">
        <v>12</v>
      </c>
      <c r="AU204" s="256" t="s">
        <v>120</v>
      </c>
      <c r="AV204" s="241">
        <v>3035000</v>
      </c>
      <c r="AW204" s="233" t="s">
        <v>272</v>
      </c>
      <c r="AX204" s="339" t="s">
        <v>273</v>
      </c>
      <c r="AY204" s="233" t="s">
        <v>159</v>
      </c>
      <c r="AZ204" s="228"/>
      <c r="BA204" s="227"/>
      <c r="BB204" s="227"/>
      <c r="BC204" s="227"/>
      <c r="BD204" s="255" t="str">
        <f t="shared" ca="1" si="27"/>
        <v/>
      </c>
      <c r="BE204" s="377" t="s">
        <v>2965</v>
      </c>
      <c r="BF204" s="378"/>
    </row>
    <row r="205" spans="1:58" s="237" customFormat="1" ht="15" customHeight="1" x14ac:dyDescent="0.55000000000000004">
      <c r="A205" s="239">
        <v>44333</v>
      </c>
      <c r="B205" s="335" t="s">
        <v>18</v>
      </c>
      <c r="C205" s="227"/>
      <c r="D205" s="227"/>
      <c r="E205" s="239">
        <v>44328</v>
      </c>
      <c r="F205" s="464" t="s">
        <v>2966</v>
      </c>
      <c r="G205" s="455" t="s">
        <v>2967</v>
      </c>
      <c r="H205" s="496" t="s">
        <v>2968</v>
      </c>
      <c r="I205" s="457" t="s">
        <v>108</v>
      </c>
      <c r="J205" s="455" t="s">
        <v>2969</v>
      </c>
      <c r="K205" s="458"/>
      <c r="L205" s="248" t="s">
        <v>2958</v>
      </c>
      <c r="M205" s="256" t="s">
        <v>2959</v>
      </c>
      <c r="N205" s="458" t="s">
        <v>2392</v>
      </c>
      <c r="O205" s="461" t="s">
        <v>1605</v>
      </c>
      <c r="P205" s="456" t="s">
        <v>2970</v>
      </c>
      <c r="Q205" s="461" t="s">
        <v>2971</v>
      </c>
      <c r="R205" s="461" t="s">
        <v>2972</v>
      </c>
      <c r="S205" s="458" t="s">
        <v>2973</v>
      </c>
      <c r="T205" s="458"/>
      <c r="U205" s="461" t="s">
        <v>1617</v>
      </c>
      <c r="V205" s="465" t="s">
        <v>2230</v>
      </c>
      <c r="W205" s="458" t="s">
        <v>155</v>
      </c>
      <c r="X205" s="458" t="s">
        <v>118</v>
      </c>
      <c r="Z205" s="228"/>
      <c r="AA205" s="223" t="s">
        <v>2974</v>
      </c>
      <c r="AB205" s="228" t="s">
        <v>10</v>
      </c>
      <c r="AC205" s="228"/>
      <c r="AD205" s="245"/>
      <c r="AE205" s="359">
        <v>2</v>
      </c>
      <c r="AF205" s="359">
        <v>2</v>
      </c>
      <c r="AG205" s="241">
        <f t="shared" si="25"/>
        <v>4</v>
      </c>
      <c r="AH205" s="228"/>
      <c r="AI205" s="360"/>
      <c r="AJ205" s="361"/>
      <c r="AK205" s="361"/>
      <c r="AL205" s="361"/>
      <c r="AM205" s="361"/>
      <c r="AN205" s="361"/>
      <c r="AO205" s="361"/>
      <c r="AP205" s="253">
        <f t="shared" si="26"/>
        <v>0</v>
      </c>
      <c r="AQ205" s="362"/>
      <c r="AR205" s="227" t="s">
        <v>2901</v>
      </c>
      <c r="AS205" s="445" t="s">
        <v>189</v>
      </c>
      <c r="AT205" s="445" t="s">
        <v>12</v>
      </c>
      <c r="AU205" s="445" t="s">
        <v>120</v>
      </c>
      <c r="AV205" s="445">
        <v>3035000</v>
      </c>
      <c r="AW205" s="233" t="s">
        <v>272</v>
      </c>
      <c r="AX205" s="339" t="s">
        <v>273</v>
      </c>
      <c r="AY205" s="233" t="s">
        <v>159</v>
      </c>
      <c r="AZ205" s="227"/>
      <c r="BA205" s="227"/>
      <c r="BB205" s="227"/>
      <c r="BC205" s="227"/>
      <c r="BD205" s="255" t="str">
        <f t="shared" ca="1" si="27"/>
        <v/>
      </c>
      <c r="BE205" s="340"/>
      <c r="BF205" s="227"/>
    </row>
    <row r="206" spans="1:58" s="237" customFormat="1" ht="15" customHeight="1" x14ac:dyDescent="0.55000000000000004">
      <c r="A206" s="240">
        <v>44383</v>
      </c>
      <c r="B206" s="335" t="s">
        <v>18</v>
      </c>
      <c r="C206" s="227"/>
      <c r="D206" s="227"/>
      <c r="E206" s="240">
        <v>44152</v>
      </c>
      <c r="F206" s="227" t="s">
        <v>2975</v>
      </c>
      <c r="G206" s="228" t="s">
        <v>2976</v>
      </c>
      <c r="H206" s="387" t="s">
        <v>2977</v>
      </c>
      <c r="I206" s="247" t="s">
        <v>127</v>
      </c>
      <c r="J206" s="227" t="s">
        <v>2978</v>
      </c>
      <c r="K206" s="227"/>
      <c r="L206" s="248" t="s">
        <v>129</v>
      </c>
      <c r="M206" s="242" t="s">
        <v>130</v>
      </c>
      <c r="N206" s="227" t="s">
        <v>1744</v>
      </c>
      <c r="O206" s="227" t="s">
        <v>2979</v>
      </c>
      <c r="P206" s="227" t="s">
        <v>2980</v>
      </c>
      <c r="Q206" s="249" t="s">
        <v>2981</v>
      </c>
      <c r="R206" s="336" t="s">
        <v>2982</v>
      </c>
      <c r="S206" s="227" t="s">
        <v>2978</v>
      </c>
      <c r="T206" s="227"/>
      <c r="U206" s="227" t="s">
        <v>129</v>
      </c>
      <c r="V206" s="337" t="s">
        <v>130</v>
      </c>
      <c r="W206" s="227" t="s">
        <v>155</v>
      </c>
      <c r="X206" s="237" t="s">
        <v>137</v>
      </c>
      <c r="Y206" s="237" t="s">
        <v>2983</v>
      </c>
      <c r="Z206" s="227"/>
      <c r="AA206" s="251">
        <v>7027035</v>
      </c>
      <c r="AB206" s="227" t="s">
        <v>10</v>
      </c>
      <c r="AC206" s="227"/>
      <c r="AD206" s="245"/>
      <c r="AE206" s="241"/>
      <c r="AF206" s="241"/>
      <c r="AG206" s="241">
        <f t="shared" si="25"/>
        <v>0</v>
      </c>
      <c r="AH206" s="227"/>
      <c r="AI206" s="252"/>
      <c r="AJ206" s="253"/>
      <c r="AK206" s="253"/>
      <c r="AL206" s="253"/>
      <c r="AM206" s="253"/>
      <c r="AN206" s="253"/>
      <c r="AO206" s="253"/>
      <c r="AP206" s="253">
        <f t="shared" si="26"/>
        <v>0</v>
      </c>
      <c r="AQ206" s="240"/>
      <c r="AR206" s="227" t="s">
        <v>2880</v>
      </c>
      <c r="AS206" s="241" t="s">
        <v>120</v>
      </c>
      <c r="AT206" s="256" t="s">
        <v>12</v>
      </c>
      <c r="AU206" s="256" t="s">
        <v>120</v>
      </c>
      <c r="AV206" s="224">
        <v>3160000</v>
      </c>
      <c r="AW206" s="342" t="s">
        <v>343</v>
      </c>
      <c r="AX206" s="339" t="s">
        <v>139</v>
      </c>
      <c r="AY206" s="233" t="s">
        <v>159</v>
      </c>
      <c r="AZ206" s="227"/>
      <c r="BA206" s="227"/>
      <c r="BB206" s="227"/>
      <c r="BC206" s="227"/>
      <c r="BD206" s="255" t="str">
        <f t="shared" ca="1" si="27"/>
        <v/>
      </c>
      <c r="BE206" s="340" t="s">
        <v>2984</v>
      </c>
      <c r="BF206" s="227"/>
    </row>
    <row r="207" spans="1:58" ht="15" customHeight="1" x14ac:dyDescent="1.05">
      <c r="A207" s="239">
        <v>44432</v>
      </c>
      <c r="B207" s="233" t="s">
        <v>18</v>
      </c>
      <c r="C207" s="237"/>
      <c r="D207" s="237"/>
      <c r="E207" s="239">
        <v>44396</v>
      </c>
      <c r="F207" s="237" t="s">
        <v>2985</v>
      </c>
      <c r="G207" s="237" t="s">
        <v>2986</v>
      </c>
      <c r="H207" s="496" t="s">
        <v>2987</v>
      </c>
      <c r="I207" s="289" t="s">
        <v>145</v>
      </c>
      <c r="J207" s="228" t="s">
        <v>2988</v>
      </c>
      <c r="K207" s="233"/>
      <c r="L207" s="356" t="s">
        <v>2989</v>
      </c>
      <c r="M207" s="416">
        <v>1760</v>
      </c>
      <c r="N207" s="228" t="s">
        <v>2990</v>
      </c>
      <c r="O207" s="228" t="s">
        <v>2991</v>
      </c>
      <c r="P207" s="228" t="s">
        <v>243</v>
      </c>
      <c r="Q207" s="249" t="s">
        <v>2992</v>
      </c>
      <c r="R207" s="228" t="s">
        <v>2993</v>
      </c>
      <c r="S207" s="233" t="s">
        <v>2994</v>
      </c>
      <c r="T207" s="233"/>
      <c r="U207" s="228" t="s">
        <v>2989</v>
      </c>
      <c r="V207" s="417">
        <v>1760</v>
      </c>
      <c r="W207" s="233" t="s">
        <v>117</v>
      </c>
      <c r="X207" s="353" t="s">
        <v>137</v>
      </c>
      <c r="Z207" s="237" t="s">
        <v>2995</v>
      </c>
      <c r="AA207" s="251">
        <v>8030720</v>
      </c>
      <c r="AB207" s="237" t="s">
        <v>10</v>
      </c>
      <c r="AC207" s="237"/>
      <c r="AE207" s="244"/>
      <c r="AF207" s="244"/>
      <c r="AG207" s="241">
        <f t="shared" si="25"/>
        <v>0</v>
      </c>
      <c r="AH207" s="237"/>
      <c r="AI207" s="257"/>
      <c r="AJ207" s="258"/>
      <c r="AK207" s="258"/>
      <c r="AL207" s="258"/>
      <c r="AM207" s="258"/>
      <c r="AN207" s="258"/>
      <c r="AO207" s="258"/>
      <c r="AP207" s="253">
        <f t="shared" si="26"/>
        <v>0</v>
      </c>
      <c r="AQ207" s="239"/>
      <c r="AR207" s="237" t="s">
        <v>2996</v>
      </c>
      <c r="AS207" s="244" t="s">
        <v>120</v>
      </c>
      <c r="AT207" s="244" t="s">
        <v>12</v>
      </c>
      <c r="AU207" s="244" t="s">
        <v>120</v>
      </c>
      <c r="AV207" s="244">
        <v>3198000</v>
      </c>
      <c r="AW207" s="233" t="s">
        <v>2997</v>
      </c>
      <c r="AX207" s="350" t="s">
        <v>2998</v>
      </c>
      <c r="AY207" s="335" t="s">
        <v>159</v>
      </c>
      <c r="AZ207" s="227"/>
      <c r="BD207" s="255" t="str">
        <f t="shared" ca="1" si="27"/>
        <v/>
      </c>
      <c r="BF207" s="227"/>
    </row>
    <row r="208" spans="1:58" s="237" customFormat="1" ht="15" customHeight="1" x14ac:dyDescent="0.55000000000000004">
      <c r="A208" s="240">
        <v>44383</v>
      </c>
      <c r="B208" s="335" t="s">
        <v>18</v>
      </c>
      <c r="C208" s="227"/>
      <c r="D208" s="227"/>
      <c r="E208" s="240">
        <v>44253</v>
      </c>
      <c r="F208" s="227" t="s">
        <v>2999</v>
      </c>
      <c r="G208" s="228" t="s">
        <v>3000</v>
      </c>
      <c r="H208" s="387" t="s">
        <v>3001</v>
      </c>
      <c r="I208" s="247" t="s">
        <v>127</v>
      </c>
      <c r="J208" s="227" t="s">
        <v>3002</v>
      </c>
      <c r="K208" s="227"/>
      <c r="L208" s="248" t="s">
        <v>3003</v>
      </c>
      <c r="M208" s="446">
        <v>2769</v>
      </c>
      <c r="N208" s="227" t="s">
        <v>3004</v>
      </c>
      <c r="O208" s="227" t="s">
        <v>3005</v>
      </c>
      <c r="P208" s="227" t="s">
        <v>3006</v>
      </c>
      <c r="Q208" s="249" t="s">
        <v>3007</v>
      </c>
      <c r="R208" s="336" t="s">
        <v>3008</v>
      </c>
      <c r="S208" s="227" t="s">
        <v>3009</v>
      </c>
      <c r="T208" s="227"/>
      <c r="U208" s="227" t="s">
        <v>3003</v>
      </c>
      <c r="V208" s="250">
        <v>2769</v>
      </c>
      <c r="W208" s="227" t="s">
        <v>155</v>
      </c>
      <c r="X208" s="237" t="s">
        <v>235</v>
      </c>
      <c r="Z208" s="227"/>
      <c r="AA208" s="251">
        <v>7025756</v>
      </c>
      <c r="AB208" s="227" t="s">
        <v>10</v>
      </c>
      <c r="AC208" s="227"/>
      <c r="AD208" s="245"/>
      <c r="AE208" s="241"/>
      <c r="AF208" s="241"/>
      <c r="AG208" s="241">
        <f t="shared" si="25"/>
        <v>0</v>
      </c>
      <c r="AH208" s="227"/>
      <c r="AI208" s="252"/>
      <c r="AJ208" s="253"/>
      <c r="AK208" s="253"/>
      <c r="AL208" s="253"/>
      <c r="AM208" s="253"/>
      <c r="AN208" s="253"/>
      <c r="AO208" s="253"/>
      <c r="AP208" s="253">
        <f t="shared" si="26"/>
        <v>0</v>
      </c>
      <c r="AQ208" s="240"/>
      <c r="AR208" s="227" t="s">
        <v>3010</v>
      </c>
      <c r="AS208" s="256" t="s">
        <v>120</v>
      </c>
      <c r="AT208" s="256" t="s">
        <v>25</v>
      </c>
      <c r="AU208" s="256" t="s">
        <v>120</v>
      </c>
      <c r="AV208" s="241">
        <v>4247044</v>
      </c>
      <c r="AW208" s="233" t="s">
        <v>3011</v>
      </c>
      <c r="AX208" s="339" t="s">
        <v>3012</v>
      </c>
      <c r="AY208" s="233" t="s">
        <v>159</v>
      </c>
      <c r="BD208" s="266"/>
      <c r="BE208" s="238"/>
    </row>
    <row r="209" spans="1:58" s="237" customFormat="1" ht="15" customHeight="1" x14ac:dyDescent="0.55000000000000004">
      <c r="A209" s="240">
        <v>44376</v>
      </c>
      <c r="B209" s="335" t="s">
        <v>18</v>
      </c>
      <c r="C209" s="227"/>
      <c r="D209" s="227"/>
      <c r="E209" s="240">
        <v>43895</v>
      </c>
      <c r="F209" s="246" t="s">
        <v>3013</v>
      </c>
      <c r="G209" s="228" t="s">
        <v>3014</v>
      </c>
      <c r="H209" s="248" t="s">
        <v>3015</v>
      </c>
      <c r="I209" s="341" t="s">
        <v>145</v>
      </c>
      <c r="J209" s="246" t="s">
        <v>3016</v>
      </c>
      <c r="K209" s="246"/>
      <c r="L209" s="248" t="s">
        <v>1533</v>
      </c>
      <c r="M209" s="256" t="s">
        <v>1534</v>
      </c>
      <c r="N209" s="246" t="s">
        <v>3017</v>
      </c>
      <c r="O209" s="246" t="s">
        <v>3018</v>
      </c>
      <c r="P209" s="246" t="s">
        <v>114</v>
      </c>
      <c r="Q209" s="249" t="s">
        <v>3019</v>
      </c>
      <c r="R209" s="229" t="s">
        <v>3020</v>
      </c>
      <c r="S209" s="246" t="s">
        <v>3021</v>
      </c>
      <c r="T209" s="246"/>
      <c r="U209" s="246" t="s">
        <v>1533</v>
      </c>
      <c r="V209" s="250" t="s">
        <v>1534</v>
      </c>
      <c r="W209" s="246" t="s">
        <v>155</v>
      </c>
      <c r="X209" s="237" t="s">
        <v>235</v>
      </c>
      <c r="Y209" s="266"/>
      <c r="Z209" s="246"/>
      <c r="AA209" s="261">
        <v>201398</v>
      </c>
      <c r="AB209" s="227" t="s">
        <v>10</v>
      </c>
      <c r="AC209" s="227"/>
      <c r="AD209" s="245"/>
      <c r="AE209" s="241"/>
      <c r="AF209" s="241"/>
      <c r="AG209" s="241">
        <f t="shared" si="25"/>
        <v>0</v>
      </c>
      <c r="AH209" s="227"/>
      <c r="AI209" s="252"/>
      <c r="AJ209" s="253"/>
      <c r="AK209" s="253"/>
      <c r="AL209" s="253"/>
      <c r="AM209" s="253"/>
      <c r="AN209" s="253"/>
      <c r="AO209" s="253"/>
      <c r="AP209" s="253">
        <f t="shared" si="26"/>
        <v>0</v>
      </c>
      <c r="AQ209" s="240"/>
      <c r="AR209" s="227" t="s">
        <v>3022</v>
      </c>
      <c r="AS209" s="241" t="s">
        <v>189</v>
      </c>
      <c r="AT209" s="256" t="s">
        <v>12</v>
      </c>
      <c r="AU209" s="256" t="s">
        <v>120</v>
      </c>
      <c r="AV209" s="224">
        <v>3274000</v>
      </c>
      <c r="AW209" s="342" t="s">
        <v>1542</v>
      </c>
      <c r="AX209" s="363" t="s">
        <v>1543</v>
      </c>
      <c r="AY209" s="233" t="s">
        <v>159</v>
      </c>
      <c r="BD209" s="266"/>
      <c r="BE209" s="238"/>
    </row>
    <row r="210" spans="1:58" s="237" customFormat="1" ht="15" customHeight="1" x14ac:dyDescent="0.55000000000000004">
      <c r="A210" s="240">
        <v>44376</v>
      </c>
      <c r="B210" s="335" t="s">
        <v>18</v>
      </c>
      <c r="C210" s="227"/>
      <c r="D210" s="227"/>
      <c r="E210" s="240">
        <v>43894</v>
      </c>
      <c r="F210" s="246" t="s">
        <v>3023</v>
      </c>
      <c r="G210" s="228" t="s">
        <v>3024</v>
      </c>
      <c r="H210" s="248" t="s">
        <v>3025</v>
      </c>
      <c r="I210" s="341" t="s">
        <v>108</v>
      </c>
      <c r="J210" s="246" t="s">
        <v>3026</v>
      </c>
      <c r="K210" s="246"/>
      <c r="L210" s="248" t="s">
        <v>212</v>
      </c>
      <c r="M210" s="256" t="s">
        <v>213</v>
      </c>
      <c r="N210" s="246" t="s">
        <v>3027</v>
      </c>
      <c r="O210" s="246" t="s">
        <v>3028</v>
      </c>
      <c r="P210" s="246" t="s">
        <v>3029</v>
      </c>
      <c r="Q210" s="249" t="s">
        <v>3030</v>
      </c>
      <c r="R210" s="229" t="s">
        <v>3031</v>
      </c>
      <c r="S210" s="227" t="s">
        <v>3032</v>
      </c>
      <c r="T210" s="227"/>
      <c r="U210" s="227" t="s">
        <v>212</v>
      </c>
      <c r="V210" s="250" t="s">
        <v>213</v>
      </c>
      <c r="W210" s="246" t="s">
        <v>117</v>
      </c>
      <c r="X210" s="237" t="s">
        <v>118</v>
      </c>
      <c r="Y210" s="266"/>
      <c r="Z210" s="246"/>
      <c r="AA210" s="352" t="s">
        <v>3033</v>
      </c>
      <c r="AB210" s="227" t="s">
        <v>10</v>
      </c>
      <c r="AC210" s="227"/>
      <c r="AD210" s="245"/>
      <c r="AE210" s="241"/>
      <c r="AF210" s="241"/>
      <c r="AG210" s="241">
        <f t="shared" si="25"/>
        <v>0</v>
      </c>
      <c r="AH210" s="227"/>
      <c r="AI210" s="252"/>
      <c r="AJ210" s="253"/>
      <c r="AK210" s="253"/>
      <c r="AL210" s="253"/>
      <c r="AM210" s="253"/>
      <c r="AN210" s="253"/>
      <c r="AO210" s="253"/>
      <c r="AP210" s="253">
        <f t="shared" si="26"/>
        <v>0</v>
      </c>
      <c r="AQ210" s="240"/>
      <c r="AR210" s="227" t="s">
        <v>2409</v>
      </c>
      <c r="AS210" s="256" t="s">
        <v>120</v>
      </c>
      <c r="AT210" s="256" t="s">
        <v>19</v>
      </c>
      <c r="AU210" s="256" t="s">
        <v>120</v>
      </c>
      <c r="AV210" s="224">
        <v>2278000</v>
      </c>
      <c r="AW210" s="226" t="s">
        <v>222</v>
      </c>
      <c r="AX210" s="339" t="s">
        <v>223</v>
      </c>
      <c r="AY210" s="335" t="s">
        <v>649</v>
      </c>
      <c r="AZ210" s="227"/>
      <c r="BA210" s="227"/>
      <c r="BB210" s="227"/>
      <c r="BC210" s="227"/>
      <c r="BD210" s="255" t="str">
        <f ca="1">IF(ISBLANK(AD210),"",IF(AD210&lt;TODAY(),L210,""))</f>
        <v/>
      </c>
      <c r="BE210" s="259" t="s">
        <v>3034</v>
      </c>
      <c r="BF210" s="227"/>
    </row>
    <row r="211" spans="1:58" s="237" customFormat="1" ht="15" customHeight="1" x14ac:dyDescent="0.55000000000000004">
      <c r="A211" s="240">
        <v>44376</v>
      </c>
      <c r="B211" s="335" t="s">
        <v>18</v>
      </c>
      <c r="C211" s="227"/>
      <c r="D211" s="227"/>
      <c r="E211" s="240">
        <v>43895</v>
      </c>
      <c r="F211" s="246" t="s">
        <v>3023</v>
      </c>
      <c r="G211" s="227" t="s">
        <v>3035</v>
      </c>
      <c r="H211" s="248" t="s">
        <v>3036</v>
      </c>
      <c r="I211" s="341" t="s">
        <v>145</v>
      </c>
      <c r="J211" s="246" t="s">
        <v>3037</v>
      </c>
      <c r="K211" s="246"/>
      <c r="L211" s="248" t="s">
        <v>212</v>
      </c>
      <c r="M211" s="256" t="s">
        <v>213</v>
      </c>
      <c r="N211" s="246" t="s">
        <v>3027</v>
      </c>
      <c r="O211" s="246" t="s">
        <v>3028</v>
      </c>
      <c r="P211" s="246" t="s">
        <v>3029</v>
      </c>
      <c r="Q211" s="249" t="s">
        <v>3030</v>
      </c>
      <c r="R211" s="229" t="s">
        <v>3031</v>
      </c>
      <c r="S211" s="227" t="s">
        <v>3032</v>
      </c>
      <c r="T211" s="227"/>
      <c r="U211" s="227" t="s">
        <v>212</v>
      </c>
      <c r="V211" s="250" t="s">
        <v>213</v>
      </c>
      <c r="W211" s="246" t="s">
        <v>117</v>
      </c>
      <c r="X211" s="237" t="s">
        <v>118</v>
      </c>
      <c r="Y211" s="266"/>
      <c r="Z211" s="246"/>
      <c r="AA211" s="261">
        <v>212310</v>
      </c>
      <c r="AB211" s="227" t="s">
        <v>10</v>
      </c>
      <c r="AC211" s="227"/>
      <c r="AD211" s="245"/>
      <c r="AE211" s="241"/>
      <c r="AF211" s="241"/>
      <c r="AG211" s="241">
        <f t="shared" si="25"/>
        <v>0</v>
      </c>
      <c r="AH211" s="227"/>
      <c r="AI211" s="252"/>
      <c r="AJ211" s="253"/>
      <c r="AK211" s="253"/>
      <c r="AL211" s="253"/>
      <c r="AM211" s="253"/>
      <c r="AN211" s="253"/>
      <c r="AO211" s="253"/>
      <c r="AP211" s="253">
        <f t="shared" si="26"/>
        <v>0</v>
      </c>
      <c r="AQ211" s="240"/>
      <c r="AR211" s="227" t="s">
        <v>2409</v>
      </c>
      <c r="AS211" s="241" t="s">
        <v>120</v>
      </c>
      <c r="AT211" s="256" t="s">
        <v>19</v>
      </c>
      <c r="AU211" s="256" t="s">
        <v>120</v>
      </c>
      <c r="AV211" s="224">
        <v>2278000</v>
      </c>
      <c r="AW211" s="226" t="s">
        <v>222</v>
      </c>
      <c r="AX211" s="376" t="s">
        <v>223</v>
      </c>
      <c r="AY211" s="335" t="s">
        <v>159</v>
      </c>
      <c r="BD211" s="266"/>
      <c r="BE211" s="238"/>
    </row>
    <row r="212" spans="1:58" s="237" customFormat="1" ht="15" customHeight="1" x14ac:dyDescent="0.55000000000000004">
      <c r="A212" s="240">
        <v>44376</v>
      </c>
      <c r="B212" s="335" t="s">
        <v>18</v>
      </c>
      <c r="C212" s="227"/>
      <c r="D212" s="227"/>
      <c r="E212" s="240">
        <v>43895</v>
      </c>
      <c r="F212" s="246" t="s">
        <v>3023</v>
      </c>
      <c r="G212" s="228" t="s">
        <v>3038</v>
      </c>
      <c r="H212" s="248" t="s">
        <v>3039</v>
      </c>
      <c r="I212" s="341" t="s">
        <v>108</v>
      </c>
      <c r="J212" s="246" t="s">
        <v>3040</v>
      </c>
      <c r="K212" s="246"/>
      <c r="L212" s="248" t="s">
        <v>212</v>
      </c>
      <c r="M212" s="256" t="s">
        <v>213</v>
      </c>
      <c r="N212" s="246" t="s">
        <v>3027</v>
      </c>
      <c r="O212" s="246" t="s">
        <v>3028</v>
      </c>
      <c r="P212" s="246" t="s">
        <v>3029</v>
      </c>
      <c r="Q212" s="249" t="s">
        <v>3030</v>
      </c>
      <c r="R212" s="229" t="s">
        <v>3031</v>
      </c>
      <c r="S212" s="246" t="s">
        <v>3037</v>
      </c>
      <c r="T212" s="246"/>
      <c r="U212" s="246" t="s">
        <v>212</v>
      </c>
      <c r="V212" s="250" t="s">
        <v>213</v>
      </c>
      <c r="W212" s="246" t="s">
        <v>117</v>
      </c>
      <c r="X212" s="237" t="s">
        <v>118</v>
      </c>
      <c r="Y212" s="266"/>
      <c r="Z212" s="246"/>
      <c r="AA212" s="352" t="s">
        <v>3041</v>
      </c>
      <c r="AB212" s="227" t="s">
        <v>10</v>
      </c>
      <c r="AC212" s="227"/>
      <c r="AD212" s="245"/>
      <c r="AE212" s="241"/>
      <c r="AF212" s="241"/>
      <c r="AG212" s="241">
        <f t="shared" si="25"/>
        <v>0</v>
      </c>
      <c r="AH212" s="227"/>
      <c r="AI212" s="252"/>
      <c r="AJ212" s="253"/>
      <c r="AK212" s="253"/>
      <c r="AL212" s="253"/>
      <c r="AM212" s="253"/>
      <c r="AN212" s="253"/>
      <c r="AO212" s="253"/>
      <c r="AP212" s="253">
        <f t="shared" si="26"/>
        <v>0</v>
      </c>
      <c r="AQ212" s="240"/>
      <c r="AR212" s="227" t="s">
        <v>2409</v>
      </c>
      <c r="AS212" s="241" t="s">
        <v>120</v>
      </c>
      <c r="AT212" s="256" t="s">
        <v>19</v>
      </c>
      <c r="AU212" s="256" t="s">
        <v>120</v>
      </c>
      <c r="AV212" s="224">
        <v>2278000</v>
      </c>
      <c r="AW212" s="226" t="s">
        <v>222</v>
      </c>
      <c r="AX212" s="339" t="s">
        <v>223</v>
      </c>
      <c r="AY212" s="335" t="s">
        <v>649</v>
      </c>
      <c r="AZ212" s="227"/>
      <c r="BA212" s="227"/>
      <c r="BB212" s="227"/>
      <c r="BC212" s="227"/>
      <c r="BD212" s="255" t="str">
        <f t="shared" ref="BD212:BD218" ca="1" si="28">IF(ISBLANK(AD212),"",IF(AD212&lt;TODAY(),L212,""))</f>
        <v/>
      </c>
      <c r="BE212" s="259" t="s">
        <v>1025</v>
      </c>
      <c r="BF212" s="227"/>
    </row>
    <row r="213" spans="1:58" s="237" customFormat="1" ht="15" customHeight="1" x14ac:dyDescent="0.55000000000000004">
      <c r="A213" s="240">
        <v>44376</v>
      </c>
      <c r="B213" s="335" t="s">
        <v>18</v>
      </c>
      <c r="C213" s="227"/>
      <c r="D213" s="227"/>
      <c r="E213" s="240">
        <v>43894</v>
      </c>
      <c r="F213" s="246" t="s">
        <v>3023</v>
      </c>
      <c r="G213" s="228" t="s">
        <v>3042</v>
      </c>
      <c r="H213" s="248" t="s">
        <v>3043</v>
      </c>
      <c r="I213" s="341" t="s">
        <v>108</v>
      </c>
      <c r="J213" s="246" t="s">
        <v>3044</v>
      </c>
      <c r="K213" s="246"/>
      <c r="L213" s="248" t="s">
        <v>212</v>
      </c>
      <c r="M213" s="256" t="s">
        <v>213</v>
      </c>
      <c r="N213" s="246" t="s">
        <v>3027</v>
      </c>
      <c r="O213" s="246" t="s">
        <v>3028</v>
      </c>
      <c r="P213" s="246" t="s">
        <v>3029</v>
      </c>
      <c r="Q213" s="249" t="s">
        <v>3030</v>
      </c>
      <c r="R213" s="229" t="s">
        <v>3031</v>
      </c>
      <c r="S213" s="246" t="s">
        <v>3032</v>
      </c>
      <c r="T213" s="246"/>
      <c r="U213" s="246" t="s">
        <v>212</v>
      </c>
      <c r="V213" s="250" t="s">
        <v>213</v>
      </c>
      <c r="W213" s="246" t="s">
        <v>117</v>
      </c>
      <c r="X213" s="237" t="s">
        <v>118</v>
      </c>
      <c r="Y213" s="266"/>
      <c r="Z213" s="246"/>
      <c r="AA213" s="352" t="s">
        <v>3045</v>
      </c>
      <c r="AB213" s="227" t="s">
        <v>10</v>
      </c>
      <c r="AC213" s="227"/>
      <c r="AD213" s="245"/>
      <c r="AE213" s="241"/>
      <c r="AF213" s="241"/>
      <c r="AG213" s="241">
        <f t="shared" si="25"/>
        <v>0</v>
      </c>
      <c r="AH213" s="227"/>
      <c r="AI213" s="252"/>
      <c r="AJ213" s="253"/>
      <c r="AK213" s="253"/>
      <c r="AL213" s="253"/>
      <c r="AM213" s="253"/>
      <c r="AN213" s="253"/>
      <c r="AO213" s="253"/>
      <c r="AP213" s="253">
        <f t="shared" si="26"/>
        <v>0</v>
      </c>
      <c r="AQ213" s="240"/>
      <c r="AR213" s="227" t="s">
        <v>2409</v>
      </c>
      <c r="AS213" s="256" t="s">
        <v>120</v>
      </c>
      <c r="AT213" s="256" t="s">
        <v>19</v>
      </c>
      <c r="AU213" s="256" t="s">
        <v>120</v>
      </c>
      <c r="AV213" s="224">
        <v>2278000</v>
      </c>
      <c r="AW213" s="226" t="s">
        <v>222</v>
      </c>
      <c r="AX213" s="339" t="s">
        <v>223</v>
      </c>
      <c r="AY213" s="335" t="s">
        <v>649</v>
      </c>
      <c r="AZ213" s="227"/>
      <c r="BA213" s="227"/>
      <c r="BB213" s="227"/>
      <c r="BC213" s="227"/>
      <c r="BD213" s="255" t="str">
        <f t="shared" ca="1" si="28"/>
        <v/>
      </c>
      <c r="BE213" s="259" t="s">
        <v>3046</v>
      </c>
      <c r="BF213" s="227"/>
    </row>
    <row r="214" spans="1:58" s="237" customFormat="1" ht="15" customHeight="1" x14ac:dyDescent="0.55000000000000004">
      <c r="A214" s="239">
        <v>44328</v>
      </c>
      <c r="B214" s="335" t="s">
        <v>18</v>
      </c>
      <c r="C214" s="227"/>
      <c r="D214" s="227"/>
      <c r="E214" s="239">
        <v>44308</v>
      </c>
      <c r="F214" s="227" t="s">
        <v>3047</v>
      </c>
      <c r="G214" s="227" t="s">
        <v>3048</v>
      </c>
      <c r="H214" s="387" t="s">
        <v>3049</v>
      </c>
      <c r="I214" s="341" t="s">
        <v>145</v>
      </c>
      <c r="J214" s="420" t="s">
        <v>3050</v>
      </c>
      <c r="K214" s="420"/>
      <c r="L214" s="421" t="s">
        <v>3051</v>
      </c>
      <c r="M214" s="404" t="s">
        <v>3052</v>
      </c>
      <c r="N214" s="405" t="s">
        <v>3053</v>
      </c>
      <c r="O214" s="405" t="s">
        <v>3054</v>
      </c>
      <c r="P214" s="405" t="s">
        <v>3055</v>
      </c>
      <c r="Q214" s="406" t="s">
        <v>3056</v>
      </c>
      <c r="R214" s="444" t="s">
        <v>3057</v>
      </c>
      <c r="S214" s="378" t="s">
        <v>3058</v>
      </c>
      <c r="T214" s="412" t="s">
        <v>3059</v>
      </c>
      <c r="U214" s="461" t="s">
        <v>3051</v>
      </c>
      <c r="V214" s="413" t="s">
        <v>3052</v>
      </c>
      <c r="W214" s="378" t="s">
        <v>155</v>
      </c>
      <c r="X214" s="458" t="s">
        <v>118</v>
      </c>
      <c r="AA214" s="251">
        <v>201998</v>
      </c>
      <c r="AB214" s="237" t="s">
        <v>10</v>
      </c>
      <c r="AD214" s="245"/>
      <c r="AE214" s="244"/>
      <c r="AF214" s="244"/>
      <c r="AG214" s="241">
        <f t="shared" si="25"/>
        <v>0</v>
      </c>
      <c r="AI214" s="257"/>
      <c r="AJ214" s="258"/>
      <c r="AK214" s="258"/>
      <c r="AL214" s="258"/>
      <c r="AM214" s="258"/>
      <c r="AN214" s="258"/>
      <c r="AO214" s="258"/>
      <c r="AP214" s="253">
        <f t="shared" si="26"/>
        <v>0</v>
      </c>
      <c r="AQ214" s="239"/>
      <c r="AR214" s="237" t="s">
        <v>1461</v>
      </c>
      <c r="AS214" s="244" t="s">
        <v>189</v>
      </c>
      <c r="AT214" s="244" t="s">
        <v>12</v>
      </c>
      <c r="AU214" s="244" t="s">
        <v>120</v>
      </c>
      <c r="AV214" s="351">
        <v>3308000</v>
      </c>
      <c r="AW214" s="313" t="s">
        <v>343</v>
      </c>
      <c r="AX214" s="339" t="s">
        <v>3060</v>
      </c>
      <c r="AY214" s="335" t="s">
        <v>159</v>
      </c>
      <c r="AZ214" s="260"/>
      <c r="BA214" s="260"/>
      <c r="BB214" s="260"/>
      <c r="BC214" s="260"/>
      <c r="BD214" s="255" t="str">
        <f t="shared" ca="1" si="28"/>
        <v/>
      </c>
      <c r="BE214" s="340"/>
      <c r="BF214" s="227"/>
    </row>
    <row r="215" spans="1:58" s="237" customFormat="1" ht="15" customHeight="1" x14ac:dyDescent="0.55000000000000004">
      <c r="A215" s="239">
        <v>44328</v>
      </c>
      <c r="B215" s="335" t="s">
        <v>18</v>
      </c>
      <c r="C215" s="227"/>
      <c r="D215" s="227"/>
      <c r="E215" s="239">
        <v>44315</v>
      </c>
      <c r="F215" s="383" t="s">
        <v>3061</v>
      </c>
      <c r="G215" s="369" t="s">
        <v>3062</v>
      </c>
      <c r="H215" s="501" t="s">
        <v>3063</v>
      </c>
      <c r="I215" s="402" t="s">
        <v>145</v>
      </c>
      <c r="J215" s="368" t="s">
        <v>3064</v>
      </c>
      <c r="K215" s="378"/>
      <c r="L215" s="403" t="s">
        <v>3051</v>
      </c>
      <c r="M215" s="404" t="s">
        <v>3052</v>
      </c>
      <c r="N215" s="405" t="s">
        <v>1378</v>
      </c>
      <c r="O215" s="405" t="s">
        <v>912</v>
      </c>
      <c r="P215" s="405" t="s">
        <v>1453</v>
      </c>
      <c r="Q215" s="406" t="s">
        <v>3065</v>
      </c>
      <c r="R215" s="444" t="s">
        <v>3066</v>
      </c>
      <c r="S215" s="378" t="s">
        <v>3064</v>
      </c>
      <c r="T215" s="378"/>
      <c r="U215" s="405" t="s">
        <v>3051</v>
      </c>
      <c r="V215" s="413" t="s">
        <v>3052</v>
      </c>
      <c r="W215" s="378" t="s">
        <v>117</v>
      </c>
      <c r="X215" s="266" t="s">
        <v>235</v>
      </c>
      <c r="Z215" s="228"/>
      <c r="AA215" s="223">
        <v>2912274</v>
      </c>
      <c r="AB215" s="228" t="s">
        <v>10</v>
      </c>
      <c r="AC215" s="228"/>
      <c r="AD215" s="245"/>
      <c r="AE215" s="359"/>
      <c r="AF215" s="359"/>
      <c r="AG215" s="241">
        <f t="shared" si="25"/>
        <v>0</v>
      </c>
      <c r="AH215" s="228"/>
      <c r="AI215" s="360"/>
      <c r="AJ215" s="361"/>
      <c r="AK215" s="361"/>
      <c r="AL215" s="361"/>
      <c r="AM215" s="361"/>
      <c r="AN215" s="361"/>
      <c r="AO215" s="361"/>
      <c r="AP215" s="253">
        <f t="shared" si="26"/>
        <v>0</v>
      </c>
      <c r="AQ215" s="362"/>
      <c r="AR215" s="227" t="s">
        <v>1461</v>
      </c>
      <c r="AS215" s="445" t="s">
        <v>189</v>
      </c>
      <c r="AT215" s="445" t="s">
        <v>12</v>
      </c>
      <c r="AU215" s="445" t="s">
        <v>120</v>
      </c>
      <c r="AV215" s="445">
        <v>3308000</v>
      </c>
      <c r="AW215" s="313" t="s">
        <v>343</v>
      </c>
      <c r="AX215" s="339" t="s">
        <v>3060</v>
      </c>
      <c r="AY215" s="353" t="s">
        <v>159</v>
      </c>
      <c r="AZ215" s="227"/>
      <c r="BA215" s="227"/>
      <c r="BB215" s="227"/>
      <c r="BC215" s="227"/>
      <c r="BD215" s="255" t="str">
        <f t="shared" ca="1" si="28"/>
        <v/>
      </c>
      <c r="BE215" s="354" t="s">
        <v>2554</v>
      </c>
      <c r="BF215" s="227"/>
    </row>
    <row r="216" spans="1:58" s="237" customFormat="1" ht="15" customHeight="1" x14ac:dyDescent="0.55000000000000004">
      <c r="A216" s="240">
        <v>44328</v>
      </c>
      <c r="B216" s="335" t="s">
        <v>18</v>
      </c>
      <c r="C216" s="227"/>
      <c r="D216" s="227"/>
      <c r="E216" s="240">
        <v>44298</v>
      </c>
      <c r="F216" s="227" t="s">
        <v>3067</v>
      </c>
      <c r="G216" s="227" t="s">
        <v>3068</v>
      </c>
      <c r="H216" s="387" t="s">
        <v>3069</v>
      </c>
      <c r="I216" s="341" t="s">
        <v>145</v>
      </c>
      <c r="J216" s="420" t="s">
        <v>3070</v>
      </c>
      <c r="K216" s="420"/>
      <c r="L216" s="421" t="s">
        <v>3071</v>
      </c>
      <c r="M216" s="404" t="s">
        <v>3072</v>
      </c>
      <c r="N216" s="405" t="s">
        <v>1731</v>
      </c>
      <c r="O216" s="405" t="s">
        <v>2820</v>
      </c>
      <c r="P216" s="405" t="s">
        <v>243</v>
      </c>
      <c r="Q216" s="249" t="s">
        <v>3073</v>
      </c>
      <c r="R216" s="336" t="s">
        <v>3074</v>
      </c>
      <c r="S216" s="227" t="s">
        <v>3070</v>
      </c>
      <c r="T216" s="227"/>
      <c r="U216" s="227" t="s">
        <v>3071</v>
      </c>
      <c r="V216" s="448" t="s">
        <v>3072</v>
      </c>
      <c r="W216" s="227" t="s">
        <v>117</v>
      </c>
      <c r="X216" s="266" t="s">
        <v>235</v>
      </c>
      <c r="Z216" s="227"/>
      <c r="AA216" s="251">
        <v>8028506</v>
      </c>
      <c r="AB216" s="227" t="s">
        <v>10</v>
      </c>
      <c r="AC216" s="227"/>
      <c r="AD216" s="245"/>
      <c r="AE216" s="241"/>
      <c r="AF216" s="241"/>
      <c r="AG216" s="241">
        <f t="shared" si="25"/>
        <v>0</v>
      </c>
      <c r="AH216" s="227"/>
      <c r="AI216" s="252"/>
      <c r="AJ216" s="253"/>
      <c r="AK216" s="253"/>
      <c r="AL216" s="253"/>
      <c r="AM216" s="253"/>
      <c r="AN216" s="253"/>
      <c r="AO216" s="253"/>
      <c r="AP216" s="253">
        <f t="shared" si="26"/>
        <v>0</v>
      </c>
      <c r="AQ216" s="240"/>
      <c r="AR216" s="227" t="s">
        <v>3075</v>
      </c>
      <c r="AS216" s="231" t="s">
        <v>189</v>
      </c>
      <c r="AT216" s="232" t="s">
        <v>12</v>
      </c>
      <c r="AU216" s="232" t="s">
        <v>120</v>
      </c>
      <c r="AV216" s="241">
        <v>3035000</v>
      </c>
      <c r="AW216" s="233" t="s">
        <v>272</v>
      </c>
      <c r="AX216" s="343" t="s">
        <v>273</v>
      </c>
      <c r="AY216" s="233" t="s">
        <v>274</v>
      </c>
      <c r="AZ216" s="227"/>
      <c r="BA216" s="227"/>
      <c r="BB216" s="227"/>
      <c r="BC216" s="227"/>
      <c r="BD216" s="255" t="str">
        <f t="shared" ca="1" si="28"/>
        <v/>
      </c>
      <c r="BE216" s="382" t="s">
        <v>291</v>
      </c>
    </row>
    <row r="217" spans="1:58" ht="15" customHeight="1" x14ac:dyDescent="0.55000000000000004">
      <c r="A217" s="240">
        <v>44328</v>
      </c>
      <c r="B217" s="335" t="s">
        <v>18</v>
      </c>
      <c r="C217" s="227"/>
      <c r="D217" s="227"/>
      <c r="E217" s="240">
        <v>44298</v>
      </c>
      <c r="F217" s="227" t="s">
        <v>3076</v>
      </c>
      <c r="G217" s="227" t="s">
        <v>3077</v>
      </c>
      <c r="H217" s="387" t="s">
        <v>3078</v>
      </c>
      <c r="I217" s="341" t="s">
        <v>145</v>
      </c>
      <c r="J217" s="420" t="s">
        <v>3079</v>
      </c>
      <c r="K217" s="420"/>
      <c r="L217" s="421" t="s">
        <v>3080</v>
      </c>
      <c r="M217" s="404" t="s">
        <v>3081</v>
      </c>
      <c r="N217" s="405" t="s">
        <v>3082</v>
      </c>
      <c r="O217" s="405" t="s">
        <v>3083</v>
      </c>
      <c r="P217" s="405" t="s">
        <v>3084</v>
      </c>
      <c r="Q217" s="249" t="s">
        <v>3085</v>
      </c>
      <c r="R217" s="336" t="s">
        <v>3086</v>
      </c>
      <c r="S217" s="227" t="s">
        <v>3079</v>
      </c>
      <c r="T217" s="227"/>
      <c r="U217" s="227" t="s">
        <v>3080</v>
      </c>
      <c r="V217" s="448" t="s">
        <v>3081</v>
      </c>
      <c r="W217" s="227" t="s">
        <v>338</v>
      </c>
      <c r="X217" s="237" t="s">
        <v>338</v>
      </c>
      <c r="Z217" s="227"/>
      <c r="AA217" s="251">
        <v>290348</v>
      </c>
      <c r="AB217" s="227" t="s">
        <v>10</v>
      </c>
      <c r="AC217" s="227"/>
      <c r="AE217" s="241"/>
      <c r="AF217" s="241"/>
      <c r="AG217" s="241">
        <f t="shared" si="25"/>
        <v>0</v>
      </c>
      <c r="AH217" s="227"/>
      <c r="AI217" s="252"/>
      <c r="AJ217" s="253"/>
      <c r="AK217" s="253"/>
      <c r="AL217" s="253"/>
      <c r="AM217" s="253"/>
      <c r="AN217" s="253"/>
      <c r="AO217" s="253"/>
      <c r="AP217" s="253">
        <f t="shared" si="26"/>
        <v>0</v>
      </c>
      <c r="AQ217" s="240"/>
      <c r="AR217" s="227" t="s">
        <v>3075</v>
      </c>
      <c r="AS217" s="231" t="s">
        <v>120</v>
      </c>
      <c r="AT217" s="232" t="s">
        <v>19</v>
      </c>
      <c r="AU217" s="232" t="s">
        <v>120</v>
      </c>
      <c r="AV217" s="241">
        <v>2328000</v>
      </c>
      <c r="AW217" s="342" t="s">
        <v>343</v>
      </c>
      <c r="AX217" s="343" t="s">
        <v>3087</v>
      </c>
      <c r="AY217" s="236" t="s">
        <v>274</v>
      </c>
      <c r="AZ217" s="227"/>
      <c r="BD217" s="255" t="str">
        <f t="shared" ca="1" si="28"/>
        <v/>
      </c>
      <c r="BE217" s="259" t="s">
        <v>3088</v>
      </c>
      <c r="BF217" s="227"/>
    </row>
    <row r="218" spans="1:58" ht="15" customHeight="1" x14ac:dyDescent="0.55000000000000004">
      <c r="A218" s="240">
        <v>44224</v>
      </c>
      <c r="B218" s="335" t="s">
        <v>18</v>
      </c>
      <c r="C218" s="227"/>
      <c r="D218" s="227"/>
      <c r="E218" s="240">
        <v>44008</v>
      </c>
      <c r="F218" s="227" t="s">
        <v>3089</v>
      </c>
      <c r="G218" s="227" t="s">
        <v>3090</v>
      </c>
      <c r="H218" s="387" t="s">
        <v>3091</v>
      </c>
      <c r="I218" s="341" t="s">
        <v>127</v>
      </c>
      <c r="J218" s="420" t="s">
        <v>3092</v>
      </c>
      <c r="K218" s="420" t="s">
        <v>1657</v>
      </c>
      <c r="L218" s="421" t="s">
        <v>1750</v>
      </c>
      <c r="M218" s="404" t="s">
        <v>1993</v>
      </c>
      <c r="N218" s="405" t="s">
        <v>3093</v>
      </c>
      <c r="O218" s="405" t="s">
        <v>3094</v>
      </c>
      <c r="P218" s="405" t="s">
        <v>1996</v>
      </c>
      <c r="Q218" s="249" t="s">
        <v>3095</v>
      </c>
      <c r="R218" s="336" t="s">
        <v>3096</v>
      </c>
      <c r="S218" s="227" t="s">
        <v>3097</v>
      </c>
      <c r="T218" s="246" t="s">
        <v>1657</v>
      </c>
      <c r="U218" s="227" t="s">
        <v>1999</v>
      </c>
      <c r="V218" s="448" t="s">
        <v>2289</v>
      </c>
      <c r="W218" s="227" t="s">
        <v>117</v>
      </c>
      <c r="X218" s="237" t="s">
        <v>137</v>
      </c>
      <c r="Y218" s="237" t="s">
        <v>3098</v>
      </c>
      <c r="Z218" s="227" t="s">
        <v>3099</v>
      </c>
      <c r="AA218" s="251" t="s">
        <v>3100</v>
      </c>
      <c r="AB218" s="227" t="s">
        <v>10</v>
      </c>
      <c r="AC218" s="227"/>
      <c r="AE218" s="241"/>
      <c r="AF218" s="241"/>
      <c r="AG218" s="241">
        <f t="shared" si="25"/>
        <v>0</v>
      </c>
      <c r="AH218" s="227"/>
      <c r="AI218" s="252"/>
      <c r="AJ218" s="253"/>
      <c r="AK218" s="253"/>
      <c r="AL218" s="253"/>
      <c r="AM218" s="253"/>
      <c r="AN218" s="253"/>
      <c r="AO218" s="253"/>
      <c r="AP218" s="253">
        <f t="shared" si="26"/>
        <v>0</v>
      </c>
      <c r="AQ218" s="240"/>
      <c r="AR218" s="227" t="s">
        <v>3101</v>
      </c>
      <c r="AS218" s="241" t="s">
        <v>120</v>
      </c>
      <c r="AT218" s="256" t="s">
        <v>19</v>
      </c>
      <c r="AU218" s="256" t="s">
        <v>120</v>
      </c>
      <c r="AV218" s="224">
        <v>2348000</v>
      </c>
      <c r="AW218" s="342" t="s">
        <v>343</v>
      </c>
      <c r="AX218" s="339" t="s">
        <v>1753</v>
      </c>
      <c r="AY218" s="335" t="s">
        <v>159</v>
      </c>
      <c r="AZ218" s="227"/>
      <c r="BD218" s="255" t="str">
        <f t="shared" ca="1" si="28"/>
        <v/>
      </c>
      <c r="BE218" s="259" t="s">
        <v>3102</v>
      </c>
      <c r="BF218" s="227"/>
    </row>
    <row r="219" spans="1:58" ht="15" customHeight="1" x14ac:dyDescent="0.55000000000000004">
      <c r="A219" s="239">
        <v>44488</v>
      </c>
      <c r="B219" s="353" t="s">
        <v>18</v>
      </c>
      <c r="C219" s="237"/>
      <c r="D219" s="237"/>
      <c r="E219" s="239">
        <v>44475</v>
      </c>
      <c r="F219" s="348" t="s">
        <v>3103</v>
      </c>
      <c r="G219" s="233" t="s">
        <v>3104</v>
      </c>
      <c r="H219" s="419" t="s">
        <v>3105</v>
      </c>
      <c r="I219" s="428" t="s">
        <v>127</v>
      </c>
      <c r="J219" s="348" t="s">
        <v>3106</v>
      </c>
      <c r="K219" s="348" t="s">
        <v>3107</v>
      </c>
      <c r="L219" s="466" t="s">
        <v>3108</v>
      </c>
      <c r="M219" s="442" t="s">
        <v>3109</v>
      </c>
      <c r="N219" s="348" t="s">
        <v>3110</v>
      </c>
      <c r="O219" s="348" t="s">
        <v>3111</v>
      </c>
      <c r="P219" s="505" t="s">
        <v>3112</v>
      </c>
      <c r="Q219" s="228" t="s">
        <v>3113</v>
      </c>
      <c r="R219" s="348" t="s">
        <v>3114</v>
      </c>
      <c r="S219" s="348" t="s">
        <v>3106</v>
      </c>
      <c r="T219" s="348"/>
      <c r="U219" s="505" t="s">
        <v>3108</v>
      </c>
      <c r="V219" s="467" t="s">
        <v>3109</v>
      </c>
      <c r="W219" s="348" t="s">
        <v>117</v>
      </c>
      <c r="X219" s="237" t="s">
        <v>137</v>
      </c>
      <c r="Y219" s="396"/>
      <c r="Z219" s="348"/>
      <c r="AA219" s="251" t="s">
        <v>3115</v>
      </c>
      <c r="AB219" s="237" t="s">
        <v>203</v>
      </c>
      <c r="AC219" s="237"/>
      <c r="AE219" s="244"/>
      <c r="AF219" s="244"/>
      <c r="AG219" s="244"/>
      <c r="AH219" s="237"/>
      <c r="AI219" s="257"/>
      <c r="AJ219" s="258"/>
      <c r="AK219" s="258"/>
      <c r="AL219" s="258"/>
      <c r="AM219" s="258"/>
      <c r="AN219" s="258"/>
      <c r="AO219" s="258"/>
      <c r="AP219" s="244"/>
      <c r="AQ219" s="239"/>
      <c r="AR219" s="237" t="s">
        <v>3116</v>
      </c>
      <c r="AS219" s="244"/>
      <c r="AT219" s="244"/>
      <c r="AU219" s="244"/>
      <c r="AV219" s="244"/>
      <c r="AW219" s="313"/>
      <c r="AX219" s="468"/>
      <c r="AY219" s="353"/>
      <c r="AZ219" s="237"/>
      <c r="BA219" s="237"/>
      <c r="BB219" s="237"/>
      <c r="BC219" s="237"/>
      <c r="BD219" s="266"/>
      <c r="BE219" s="238"/>
      <c r="BF219" s="237"/>
    </row>
    <row r="220" spans="1:58" ht="15" customHeight="1" x14ac:dyDescent="0.55000000000000004">
      <c r="A220" s="239">
        <v>44476</v>
      </c>
      <c r="B220" s="353" t="s">
        <v>18</v>
      </c>
      <c r="E220" s="239">
        <v>44475</v>
      </c>
      <c r="F220" s="348" t="s">
        <v>3117</v>
      </c>
      <c r="G220" s="233" t="s">
        <v>3118</v>
      </c>
      <c r="H220" s="419" t="s">
        <v>3119</v>
      </c>
      <c r="I220" s="428" t="s">
        <v>127</v>
      </c>
      <c r="J220" s="348" t="s">
        <v>3120</v>
      </c>
      <c r="K220" s="348"/>
      <c r="L220" s="466" t="s">
        <v>3121</v>
      </c>
      <c r="M220" s="442" t="s">
        <v>1672</v>
      </c>
      <c r="N220" s="348" t="s">
        <v>3122</v>
      </c>
      <c r="O220" s="348" t="s">
        <v>3123</v>
      </c>
      <c r="P220" s="505" t="s">
        <v>334</v>
      </c>
      <c r="Q220" s="228" t="s">
        <v>3124</v>
      </c>
      <c r="R220" s="348" t="s">
        <v>3125</v>
      </c>
      <c r="S220" s="348" t="s">
        <v>3120</v>
      </c>
      <c r="T220" s="348"/>
      <c r="U220" s="505" t="s">
        <v>1671</v>
      </c>
      <c r="V220" s="467" t="s">
        <v>1672</v>
      </c>
      <c r="W220" s="348" t="s">
        <v>117</v>
      </c>
      <c r="X220" s="396" t="s">
        <v>137</v>
      </c>
      <c r="AA220" s="251" t="s">
        <v>3126</v>
      </c>
      <c r="AB220" s="228" t="s">
        <v>203</v>
      </c>
    </row>
    <row r="221" spans="1:58" ht="15" customHeight="1" x14ac:dyDescent="0.55000000000000004">
      <c r="A221" s="239">
        <v>44476</v>
      </c>
      <c r="B221" s="353" t="s">
        <v>11</v>
      </c>
      <c r="C221" s="237"/>
      <c r="D221" s="237"/>
      <c r="E221" s="239">
        <v>44475</v>
      </c>
      <c r="F221" s="348" t="s">
        <v>3127</v>
      </c>
      <c r="G221" s="233" t="s">
        <v>3128</v>
      </c>
      <c r="H221" s="419" t="s">
        <v>3129</v>
      </c>
      <c r="I221" s="428" t="s">
        <v>127</v>
      </c>
      <c r="J221" s="348" t="s">
        <v>3130</v>
      </c>
      <c r="K221" s="348"/>
      <c r="L221" s="466" t="s">
        <v>3131</v>
      </c>
      <c r="M221" s="442" t="s">
        <v>3132</v>
      </c>
      <c r="N221" s="348" t="s">
        <v>416</v>
      </c>
      <c r="O221" s="348" t="s">
        <v>3133</v>
      </c>
      <c r="P221" s="505" t="s">
        <v>334</v>
      </c>
      <c r="Q221" s="228" t="s">
        <v>3134</v>
      </c>
      <c r="R221" s="348" t="s">
        <v>3135</v>
      </c>
      <c r="S221" s="348" t="s">
        <v>3130</v>
      </c>
      <c r="T221" s="348"/>
      <c r="U221" s="505" t="s">
        <v>3131</v>
      </c>
      <c r="V221" s="467" t="s">
        <v>3132</v>
      </c>
      <c r="W221" s="348" t="s">
        <v>155</v>
      </c>
      <c r="X221" s="266" t="s">
        <v>235</v>
      </c>
      <c r="Z221" s="237"/>
      <c r="AA221" s="251">
        <v>7025889</v>
      </c>
      <c r="AB221" s="237" t="s">
        <v>203</v>
      </c>
      <c r="AC221" s="237"/>
      <c r="AE221" s="244"/>
      <c r="AF221" s="244"/>
      <c r="AG221" s="244"/>
      <c r="AH221" s="237"/>
      <c r="AI221" s="257"/>
      <c r="AJ221" s="258"/>
      <c r="AK221" s="258"/>
      <c r="AL221" s="258"/>
      <c r="AM221" s="258"/>
      <c r="AN221" s="258"/>
      <c r="AO221" s="258"/>
      <c r="AP221" s="244"/>
      <c r="AQ221" s="239"/>
      <c r="AR221" s="237"/>
      <c r="AS221" s="244"/>
      <c r="AT221" s="244"/>
      <c r="AU221" s="244"/>
      <c r="AV221" s="244"/>
      <c r="AW221" s="313"/>
      <c r="AX221" s="468"/>
      <c r="AY221" s="353"/>
      <c r="AZ221" s="237"/>
      <c r="BA221" s="237"/>
      <c r="BB221" s="237"/>
      <c r="BC221" s="237"/>
      <c r="BD221" s="266"/>
      <c r="BE221" s="238"/>
      <c r="BF221" s="237"/>
    </row>
    <row r="222" spans="1:58" ht="15" customHeight="1" x14ac:dyDescent="0.55000000000000004">
      <c r="A222" s="239">
        <v>44476</v>
      </c>
      <c r="B222" s="353" t="s">
        <v>11</v>
      </c>
      <c r="C222" s="237"/>
      <c r="D222" s="237"/>
      <c r="E222" s="239">
        <v>44475</v>
      </c>
      <c r="F222" s="348" t="s">
        <v>3136</v>
      </c>
      <c r="G222" s="233" t="s">
        <v>3137</v>
      </c>
      <c r="H222" s="419" t="s">
        <v>3138</v>
      </c>
      <c r="I222" s="428" t="s">
        <v>127</v>
      </c>
      <c r="J222" s="348" t="s">
        <v>3139</v>
      </c>
      <c r="K222" s="348"/>
      <c r="L222" s="466" t="s">
        <v>3140</v>
      </c>
      <c r="M222" s="442" t="s">
        <v>148</v>
      </c>
      <c r="N222" s="348" t="s">
        <v>3141</v>
      </c>
      <c r="O222" s="348" t="s">
        <v>3142</v>
      </c>
      <c r="P222" s="505" t="s">
        <v>3006</v>
      </c>
      <c r="Q222" s="228" t="s">
        <v>3143</v>
      </c>
      <c r="R222" s="348" t="s">
        <v>3144</v>
      </c>
      <c r="S222" s="348" t="s">
        <v>3145</v>
      </c>
      <c r="T222" s="348"/>
      <c r="U222" s="505" t="s">
        <v>3140</v>
      </c>
      <c r="V222" s="467" t="s">
        <v>148</v>
      </c>
      <c r="W222" s="348" t="s">
        <v>117</v>
      </c>
      <c r="X222" s="396" t="s">
        <v>137</v>
      </c>
      <c r="Z222" s="237"/>
      <c r="AA222" s="251" t="s">
        <v>3146</v>
      </c>
      <c r="AB222" s="237" t="s">
        <v>203</v>
      </c>
      <c r="AC222" s="237"/>
      <c r="AE222" s="244"/>
      <c r="AF222" s="244"/>
      <c r="AG222" s="244"/>
      <c r="AH222" s="237"/>
      <c r="AI222" s="257"/>
      <c r="AJ222" s="258"/>
      <c r="AK222" s="258"/>
      <c r="AL222" s="258"/>
      <c r="AM222" s="258"/>
      <c r="AN222" s="258"/>
      <c r="AO222" s="258"/>
      <c r="AP222" s="244"/>
      <c r="AQ222" s="239"/>
      <c r="AR222" s="237"/>
      <c r="AS222" s="244"/>
      <c r="AT222" s="244"/>
      <c r="AU222" s="244"/>
      <c r="AV222" s="244"/>
      <c r="AW222" s="313"/>
      <c r="AX222" s="468"/>
      <c r="AY222" s="353"/>
      <c r="AZ222" s="237"/>
      <c r="BA222" s="237"/>
      <c r="BB222" s="237"/>
      <c r="BC222" s="237"/>
      <c r="BD222" s="266"/>
      <c r="BE222" s="238"/>
      <c r="BF222" s="237"/>
    </row>
    <row r="223" spans="1:58" ht="15" customHeight="1" x14ac:dyDescent="0.55000000000000004">
      <c r="A223" s="239">
        <v>44476</v>
      </c>
      <c r="B223" s="353" t="s">
        <v>11</v>
      </c>
      <c r="C223" s="237"/>
      <c r="D223" s="237"/>
      <c r="E223" s="239">
        <v>44475</v>
      </c>
      <c r="F223" s="348" t="s">
        <v>3147</v>
      </c>
      <c r="G223" s="233" t="s">
        <v>3148</v>
      </c>
      <c r="H223" s="419" t="s">
        <v>3149</v>
      </c>
      <c r="I223" s="428" t="s">
        <v>145</v>
      </c>
      <c r="J223" s="348" t="s">
        <v>3150</v>
      </c>
      <c r="K223" s="348"/>
      <c r="L223" s="466" t="s">
        <v>837</v>
      </c>
      <c r="M223" s="442" t="s">
        <v>3151</v>
      </c>
      <c r="N223" s="348" t="s">
        <v>3152</v>
      </c>
      <c r="O223" s="348" t="s">
        <v>3153</v>
      </c>
      <c r="P223" s="505" t="s">
        <v>151</v>
      </c>
      <c r="Q223" s="228" t="s">
        <v>3154</v>
      </c>
      <c r="R223" s="348" t="s">
        <v>3155</v>
      </c>
      <c r="S223" s="348" t="s">
        <v>3156</v>
      </c>
      <c r="T223" s="348"/>
      <c r="U223" s="505" t="s">
        <v>3157</v>
      </c>
      <c r="V223" s="467" t="s">
        <v>3151</v>
      </c>
      <c r="W223" s="348" t="s">
        <v>155</v>
      </c>
      <c r="X223" s="266" t="s">
        <v>235</v>
      </c>
      <c r="Z223" s="237"/>
      <c r="AA223" s="251">
        <v>290982</v>
      </c>
      <c r="AB223" s="237" t="s">
        <v>10</v>
      </c>
      <c r="AC223" s="237"/>
      <c r="AE223" s="244"/>
      <c r="AF223" s="244"/>
      <c r="AG223" s="244"/>
      <c r="AH223" s="237"/>
      <c r="AI223" s="257"/>
      <c r="AJ223" s="258"/>
      <c r="AK223" s="258"/>
      <c r="AL223" s="258"/>
      <c r="AM223" s="258"/>
      <c r="AN223" s="258"/>
      <c r="AO223" s="258"/>
      <c r="AP223" s="244"/>
      <c r="AQ223" s="239"/>
      <c r="AR223" s="237"/>
      <c r="AS223" s="244"/>
      <c r="AT223" s="244"/>
      <c r="AU223" s="244"/>
      <c r="AV223" s="244"/>
      <c r="AW223" s="313"/>
      <c r="AX223" s="468"/>
      <c r="AY223" s="353"/>
      <c r="AZ223" s="237"/>
      <c r="BA223" s="237"/>
      <c r="BB223" s="237"/>
      <c r="BC223" s="237"/>
      <c r="BD223" s="266"/>
      <c r="BE223" s="238"/>
      <c r="BF223" s="237"/>
    </row>
    <row r="224" spans="1:58" ht="15" customHeight="1" x14ac:dyDescent="0.55000000000000004">
      <c r="A224" s="239">
        <v>44476</v>
      </c>
      <c r="B224" s="353" t="s">
        <v>11</v>
      </c>
      <c r="C224" s="237"/>
      <c r="D224" s="237"/>
      <c r="E224" s="239">
        <v>44475</v>
      </c>
      <c r="F224" s="348" t="s">
        <v>3158</v>
      </c>
      <c r="G224" s="233" t="s">
        <v>3159</v>
      </c>
      <c r="H224" s="419" t="s">
        <v>3160</v>
      </c>
      <c r="I224" s="428" t="s">
        <v>127</v>
      </c>
      <c r="J224" s="348" t="s">
        <v>3161</v>
      </c>
      <c r="K224" s="348"/>
      <c r="L224" s="466" t="s">
        <v>3071</v>
      </c>
      <c r="M224" s="442" t="s">
        <v>3072</v>
      </c>
      <c r="N224" s="348" t="s">
        <v>3162</v>
      </c>
      <c r="O224" s="348" t="s">
        <v>3163</v>
      </c>
      <c r="P224" s="505" t="s">
        <v>760</v>
      </c>
      <c r="Q224" s="228" t="s">
        <v>3164</v>
      </c>
      <c r="R224" s="348" t="s">
        <v>3165</v>
      </c>
      <c r="S224" s="348" t="s">
        <v>3161</v>
      </c>
      <c r="T224" s="348"/>
      <c r="U224" s="505" t="s">
        <v>3071</v>
      </c>
      <c r="V224" s="467" t="s">
        <v>3072</v>
      </c>
      <c r="W224" s="348" t="s">
        <v>155</v>
      </c>
      <c r="X224" s="396" t="s">
        <v>118</v>
      </c>
      <c r="Z224" s="237"/>
      <c r="AA224" s="251">
        <v>8030754</v>
      </c>
      <c r="AB224" s="237" t="s">
        <v>203</v>
      </c>
      <c r="AC224" s="237"/>
      <c r="AE224" s="244"/>
      <c r="AF224" s="244"/>
      <c r="AG224" s="244"/>
      <c r="AH224" s="237"/>
      <c r="AI224" s="257"/>
      <c r="AJ224" s="258"/>
      <c r="AK224" s="258"/>
      <c r="AL224" s="258"/>
      <c r="AM224" s="258"/>
      <c r="AN224" s="258"/>
      <c r="AO224" s="258"/>
      <c r="AP224" s="244"/>
      <c r="AQ224" s="239"/>
      <c r="AR224" s="237"/>
      <c r="AS224" s="244"/>
      <c r="AT224" s="244"/>
      <c r="AU224" s="244"/>
      <c r="AV224" s="244"/>
      <c r="AW224" s="313"/>
      <c r="AX224" s="468"/>
      <c r="AY224" s="353"/>
      <c r="AZ224" s="237"/>
      <c r="BA224" s="237"/>
      <c r="BB224" s="237"/>
      <c r="BC224" s="237"/>
      <c r="BD224" s="266"/>
      <c r="BE224" s="238"/>
      <c r="BF224" s="237"/>
    </row>
    <row r="225" spans="1:28" ht="15" customHeight="1" x14ac:dyDescent="0.55000000000000004">
      <c r="A225" s="239">
        <v>44476</v>
      </c>
      <c r="B225" s="353" t="s">
        <v>11</v>
      </c>
      <c r="E225" s="239">
        <v>44475</v>
      </c>
      <c r="F225" s="348" t="s">
        <v>3166</v>
      </c>
      <c r="G225" s="233" t="s">
        <v>3167</v>
      </c>
      <c r="H225" s="419" t="s">
        <v>3168</v>
      </c>
      <c r="I225" s="428" t="s">
        <v>145</v>
      </c>
      <c r="J225" s="348" t="s">
        <v>3169</v>
      </c>
      <c r="K225" s="348"/>
      <c r="L225" s="466" t="s">
        <v>1624</v>
      </c>
      <c r="M225" s="442" t="s">
        <v>1625</v>
      </c>
      <c r="N225" s="348" t="s">
        <v>2586</v>
      </c>
      <c r="O225" s="348" t="s">
        <v>3170</v>
      </c>
      <c r="P225" s="505" t="s">
        <v>2206</v>
      </c>
      <c r="Q225" s="228" t="s">
        <v>3171</v>
      </c>
      <c r="R225" s="348" t="s">
        <v>3172</v>
      </c>
      <c r="S225" s="348" t="s">
        <v>3169</v>
      </c>
      <c r="T225" s="348"/>
      <c r="U225" s="505" t="s">
        <v>1624</v>
      </c>
      <c r="V225" s="467" t="s">
        <v>1625</v>
      </c>
      <c r="W225" s="348" t="s">
        <v>155</v>
      </c>
      <c r="X225" s="396" t="s">
        <v>118</v>
      </c>
      <c r="AA225" s="251">
        <v>2912011</v>
      </c>
      <c r="AB225" s="228" t="s">
        <v>10</v>
      </c>
    </row>
    <row r="226" spans="1:28" ht="15" customHeight="1" x14ac:dyDescent="0.55000000000000004">
      <c r="A226" s="239">
        <v>44476</v>
      </c>
      <c r="B226" s="353" t="s">
        <v>11</v>
      </c>
      <c r="E226" s="239">
        <v>44475</v>
      </c>
      <c r="F226" s="348" t="s">
        <v>3173</v>
      </c>
      <c r="G226" s="233" t="s">
        <v>3174</v>
      </c>
      <c r="H226" s="419" t="s">
        <v>3168</v>
      </c>
      <c r="I226" s="428" t="s">
        <v>145</v>
      </c>
      <c r="J226" s="348" t="s">
        <v>3175</v>
      </c>
      <c r="K226" s="418" t="s">
        <v>3176</v>
      </c>
      <c r="L226" s="466" t="s">
        <v>1964</v>
      </c>
      <c r="M226" s="442" t="s">
        <v>1965</v>
      </c>
      <c r="N226" s="348" t="s">
        <v>2586</v>
      </c>
      <c r="O226" s="348" t="s">
        <v>3170</v>
      </c>
      <c r="P226" s="505" t="s">
        <v>2206</v>
      </c>
      <c r="Q226" s="228" t="s">
        <v>3171</v>
      </c>
      <c r="R226" s="348" t="s">
        <v>3172</v>
      </c>
      <c r="S226" s="348" t="s">
        <v>3177</v>
      </c>
      <c r="T226" s="348" t="s">
        <v>3178</v>
      </c>
      <c r="U226" s="505" t="s">
        <v>1964</v>
      </c>
      <c r="V226" s="467" t="s">
        <v>1965</v>
      </c>
      <c r="W226" s="348" t="s">
        <v>155</v>
      </c>
      <c r="X226" s="396" t="s">
        <v>118</v>
      </c>
      <c r="AA226" s="251">
        <v>8031513</v>
      </c>
      <c r="AB226" s="228" t="s">
        <v>10</v>
      </c>
    </row>
    <row r="227" spans="1:28" ht="15" customHeight="1" x14ac:dyDescent="0.55000000000000004">
      <c r="A227" s="239">
        <v>44476</v>
      </c>
      <c r="B227" s="353" t="s">
        <v>11</v>
      </c>
      <c r="E227" s="239">
        <v>44475</v>
      </c>
      <c r="F227" s="348" t="s">
        <v>3179</v>
      </c>
      <c r="G227" s="233" t="s">
        <v>3180</v>
      </c>
      <c r="H227" s="419" t="s">
        <v>3181</v>
      </c>
      <c r="I227" s="428" t="s">
        <v>145</v>
      </c>
      <c r="J227" s="348" t="s">
        <v>3182</v>
      </c>
      <c r="K227" s="348"/>
      <c r="L227" s="466" t="s">
        <v>3183</v>
      </c>
      <c r="M227" s="442" t="s">
        <v>3184</v>
      </c>
      <c r="N227" s="348" t="s">
        <v>1078</v>
      </c>
      <c r="O227" s="348" t="s">
        <v>3185</v>
      </c>
      <c r="P227" s="505" t="s">
        <v>3186</v>
      </c>
      <c r="Q227" s="228" t="s">
        <v>3187</v>
      </c>
      <c r="R227" s="348" t="s">
        <v>3188</v>
      </c>
      <c r="S227" s="348" t="s">
        <v>3189</v>
      </c>
      <c r="T227" s="348"/>
      <c r="U227" s="505" t="s">
        <v>3190</v>
      </c>
      <c r="V227" s="467" t="s">
        <v>3184</v>
      </c>
      <c r="W227" s="348" t="s">
        <v>117</v>
      </c>
      <c r="X227" s="396" t="s">
        <v>137</v>
      </c>
      <c r="AA227" s="251">
        <v>8030695</v>
      </c>
      <c r="AB227" s="228" t="s">
        <v>442</v>
      </c>
    </row>
    <row r="228" spans="1:28" ht="15" customHeight="1" x14ac:dyDescent="0.55000000000000004">
      <c r="A228" s="239">
        <v>44476</v>
      </c>
      <c r="B228" s="353" t="s">
        <v>11</v>
      </c>
      <c r="E228" s="239">
        <v>44475</v>
      </c>
      <c r="F228" s="348" t="s">
        <v>3191</v>
      </c>
      <c r="G228" s="233" t="s">
        <v>3192</v>
      </c>
      <c r="H228" s="419" t="s">
        <v>3193</v>
      </c>
      <c r="I228" s="428" t="s">
        <v>145</v>
      </c>
      <c r="J228" s="348" t="s">
        <v>3194</v>
      </c>
      <c r="K228" s="348"/>
      <c r="L228" s="466" t="s">
        <v>2529</v>
      </c>
      <c r="M228" s="442" t="s">
        <v>2530</v>
      </c>
      <c r="N228" s="348" t="s">
        <v>2263</v>
      </c>
      <c r="O228" s="348" t="s">
        <v>3195</v>
      </c>
      <c r="P228" s="505" t="s">
        <v>243</v>
      </c>
      <c r="Q228" s="228" t="s">
        <v>3196</v>
      </c>
      <c r="R228" s="348" t="s">
        <v>3197</v>
      </c>
      <c r="S228" s="348" t="s">
        <v>3194</v>
      </c>
      <c r="T228" s="348"/>
      <c r="U228" s="505" t="s">
        <v>2529</v>
      </c>
      <c r="V228" s="467" t="s">
        <v>2530</v>
      </c>
      <c r="W228" s="348" t="s">
        <v>117</v>
      </c>
      <c r="X228" s="266" t="s">
        <v>235</v>
      </c>
      <c r="AA228" s="251" t="s">
        <v>3198</v>
      </c>
      <c r="AB228" s="228" t="s">
        <v>442</v>
      </c>
    </row>
    <row r="229" spans="1:28" ht="15" customHeight="1" x14ac:dyDescent="0.55000000000000004">
      <c r="A229" s="362">
        <v>44483</v>
      </c>
      <c r="B229" s="353" t="s">
        <v>11</v>
      </c>
      <c r="E229" s="493">
        <v>44476</v>
      </c>
      <c r="F229" s="483" t="s">
        <v>3199</v>
      </c>
      <c r="G229" s="464" t="s">
        <v>3200</v>
      </c>
      <c r="H229" s="470" t="s">
        <v>3201</v>
      </c>
      <c r="I229" s="482" t="s">
        <v>127</v>
      </c>
      <c r="J229" s="483" t="s">
        <v>3202</v>
      </c>
      <c r="K229" s="483"/>
      <c r="L229" s="470" t="s">
        <v>1750</v>
      </c>
      <c r="M229" s="484" t="s">
        <v>2416</v>
      </c>
      <c r="N229" s="483" t="s">
        <v>3203</v>
      </c>
      <c r="O229" s="483" t="s">
        <v>3204</v>
      </c>
      <c r="P229" s="507" t="s">
        <v>760</v>
      </c>
      <c r="Q229" s="455" t="s">
        <v>3205</v>
      </c>
      <c r="R229" s="488" t="s">
        <v>3206</v>
      </c>
      <c r="S229" s="483" t="s">
        <v>3202</v>
      </c>
      <c r="T229" s="483"/>
      <c r="U229" s="507" t="s">
        <v>1750</v>
      </c>
      <c r="V229" s="486" t="s">
        <v>2416</v>
      </c>
      <c r="W229" s="483" t="s">
        <v>117</v>
      </c>
      <c r="X229" s="483" t="s">
        <v>137</v>
      </c>
      <c r="AA229" s="251">
        <v>8032111</v>
      </c>
      <c r="AB229" s="228" t="s">
        <v>10</v>
      </c>
    </row>
    <row r="230" spans="1:28" ht="15" customHeight="1" x14ac:dyDescent="0.55000000000000004">
      <c r="A230" s="362">
        <v>44483</v>
      </c>
      <c r="B230" s="353" t="s">
        <v>11</v>
      </c>
      <c r="E230" s="493">
        <v>44476</v>
      </c>
      <c r="F230" s="396" t="s">
        <v>3207</v>
      </c>
      <c r="G230" s="353" t="s">
        <v>3208</v>
      </c>
      <c r="H230" s="419" t="s">
        <v>3209</v>
      </c>
      <c r="I230" s="482" t="s">
        <v>127</v>
      </c>
      <c r="J230" s="396" t="s">
        <v>3210</v>
      </c>
      <c r="K230" s="396"/>
      <c r="L230" s="419" t="s">
        <v>1750</v>
      </c>
      <c r="M230" s="485" t="s">
        <v>2416</v>
      </c>
      <c r="N230" s="396" t="s">
        <v>3211</v>
      </c>
      <c r="O230" s="396" t="s">
        <v>3212</v>
      </c>
      <c r="P230" s="452" t="s">
        <v>334</v>
      </c>
      <c r="Q230" s="237" t="s">
        <v>3213</v>
      </c>
      <c r="R230" s="396" t="s">
        <v>3214</v>
      </c>
      <c r="S230" s="396" t="s">
        <v>3215</v>
      </c>
      <c r="T230" s="396"/>
      <c r="U230" s="452" t="s">
        <v>1750</v>
      </c>
      <c r="V230" s="398" t="s">
        <v>2416</v>
      </c>
      <c r="W230" s="396" t="s">
        <v>155</v>
      </c>
      <c r="X230" s="398" t="s">
        <v>235</v>
      </c>
      <c r="AA230" s="251">
        <v>7023913</v>
      </c>
      <c r="AB230" s="228" t="s">
        <v>10</v>
      </c>
    </row>
    <row r="231" spans="1:28" ht="15" customHeight="1" x14ac:dyDescent="0.55000000000000004">
      <c r="A231" s="362">
        <v>44483</v>
      </c>
      <c r="B231" s="353" t="s">
        <v>11</v>
      </c>
      <c r="E231" s="493">
        <v>44476</v>
      </c>
      <c r="F231" s="396" t="s">
        <v>3216</v>
      </c>
      <c r="G231" s="353" t="s">
        <v>3217</v>
      </c>
      <c r="H231" s="419" t="s">
        <v>3218</v>
      </c>
      <c r="I231" s="482" t="s">
        <v>127</v>
      </c>
      <c r="J231" s="396" t="s">
        <v>3219</v>
      </c>
      <c r="K231" s="396"/>
      <c r="L231" s="419" t="s">
        <v>3220</v>
      </c>
      <c r="M231" s="485" t="s">
        <v>3221</v>
      </c>
      <c r="N231" s="396" t="s">
        <v>3222</v>
      </c>
      <c r="O231" s="396" t="s">
        <v>3223</v>
      </c>
      <c r="P231" s="452" t="s">
        <v>334</v>
      </c>
      <c r="Q231" s="237" t="s">
        <v>3224</v>
      </c>
      <c r="R231" s="396" t="s">
        <v>3225</v>
      </c>
      <c r="S231" s="396" t="s">
        <v>3219</v>
      </c>
      <c r="T231" s="396"/>
      <c r="U231" s="452" t="s">
        <v>3220</v>
      </c>
      <c r="V231" s="398" t="s">
        <v>3221</v>
      </c>
      <c r="W231" s="396" t="s">
        <v>117</v>
      </c>
      <c r="X231" s="396" t="s">
        <v>137</v>
      </c>
      <c r="AA231" s="251">
        <v>8030047</v>
      </c>
      <c r="AB231" s="237" t="s">
        <v>203</v>
      </c>
    </row>
    <row r="232" spans="1:28" ht="15" customHeight="1" x14ac:dyDescent="0.55000000000000004">
      <c r="A232" s="362">
        <v>44483</v>
      </c>
      <c r="B232" s="353" t="s">
        <v>11</v>
      </c>
      <c r="E232" s="493">
        <v>44476</v>
      </c>
      <c r="F232" s="396" t="s">
        <v>3226</v>
      </c>
      <c r="G232" s="353" t="s">
        <v>3227</v>
      </c>
      <c r="H232" s="419" t="s">
        <v>3228</v>
      </c>
      <c r="I232" s="482" t="s">
        <v>127</v>
      </c>
      <c r="J232" s="396" t="s">
        <v>3229</v>
      </c>
      <c r="K232" s="396"/>
      <c r="L232" s="419" t="s">
        <v>807</v>
      </c>
      <c r="M232" s="485" t="s">
        <v>808</v>
      </c>
      <c r="N232" s="396" t="s">
        <v>2865</v>
      </c>
      <c r="O232" s="396" t="s">
        <v>1379</v>
      </c>
      <c r="P232" s="452" t="s">
        <v>760</v>
      </c>
      <c r="Q232" s="237" t="s">
        <v>3230</v>
      </c>
      <c r="R232" s="396" t="s">
        <v>3231</v>
      </c>
      <c r="S232" s="396" t="s">
        <v>3229</v>
      </c>
      <c r="T232" s="396"/>
      <c r="U232" s="452" t="s">
        <v>807</v>
      </c>
      <c r="V232" s="398" t="s">
        <v>808</v>
      </c>
      <c r="W232" s="396" t="s">
        <v>155</v>
      </c>
      <c r="X232" s="396" t="s">
        <v>137</v>
      </c>
      <c r="AA232" s="251">
        <v>627217</v>
      </c>
      <c r="AB232" s="237" t="s">
        <v>203</v>
      </c>
    </row>
    <row r="233" spans="1:28" ht="15" customHeight="1" x14ac:dyDescent="0.55000000000000004">
      <c r="A233" s="362">
        <v>44483</v>
      </c>
      <c r="B233" s="353" t="s">
        <v>11</v>
      </c>
      <c r="E233" s="493">
        <v>44476</v>
      </c>
      <c r="F233" s="396" t="s">
        <v>3232</v>
      </c>
      <c r="G233" s="353" t="s">
        <v>3233</v>
      </c>
      <c r="H233" s="419" t="s">
        <v>3234</v>
      </c>
      <c r="I233" s="482" t="s">
        <v>127</v>
      </c>
      <c r="J233" s="396" t="s">
        <v>3235</v>
      </c>
      <c r="K233" s="396"/>
      <c r="L233" s="419" t="s">
        <v>2989</v>
      </c>
      <c r="M233" s="485" t="s">
        <v>3236</v>
      </c>
      <c r="N233" s="396" t="s">
        <v>3237</v>
      </c>
      <c r="O233" s="396" t="s">
        <v>3238</v>
      </c>
      <c r="P233" s="452" t="s">
        <v>243</v>
      </c>
      <c r="Q233" s="237" t="s">
        <v>3239</v>
      </c>
      <c r="R233" s="396" t="s">
        <v>3240</v>
      </c>
      <c r="S233" s="396" t="s">
        <v>3241</v>
      </c>
      <c r="T233" s="396"/>
      <c r="U233" s="452" t="s">
        <v>2989</v>
      </c>
      <c r="V233" s="398" t="s">
        <v>3236</v>
      </c>
      <c r="W233" s="396" t="s">
        <v>155</v>
      </c>
      <c r="X233" s="398" t="s">
        <v>235</v>
      </c>
      <c r="AA233" s="251" t="s">
        <v>3242</v>
      </c>
      <c r="AB233" s="228" t="s">
        <v>203</v>
      </c>
    </row>
    <row r="234" spans="1:28" ht="15" customHeight="1" x14ac:dyDescent="0.55000000000000004">
      <c r="A234" s="362">
        <v>44483</v>
      </c>
      <c r="B234" s="353" t="s">
        <v>11</v>
      </c>
      <c r="E234" s="493">
        <v>44476</v>
      </c>
      <c r="F234" s="396" t="s">
        <v>3243</v>
      </c>
      <c r="G234" s="353" t="s">
        <v>3244</v>
      </c>
      <c r="H234" s="419" t="s">
        <v>3245</v>
      </c>
      <c r="I234" s="482" t="s">
        <v>145</v>
      </c>
      <c r="J234" s="396" t="s">
        <v>3246</v>
      </c>
      <c r="K234" s="396"/>
      <c r="L234" s="419" t="s">
        <v>1330</v>
      </c>
      <c r="M234" s="485" t="s">
        <v>1345</v>
      </c>
      <c r="N234" s="396" t="s">
        <v>3247</v>
      </c>
      <c r="O234" s="396" t="s">
        <v>3248</v>
      </c>
      <c r="P234" s="452" t="s">
        <v>3249</v>
      </c>
      <c r="Q234" s="237" t="s">
        <v>3250</v>
      </c>
      <c r="R234" s="396" t="s">
        <v>3251</v>
      </c>
      <c r="S234" s="489" t="s">
        <v>3252</v>
      </c>
      <c r="T234" s="396" t="s">
        <v>3246</v>
      </c>
      <c r="U234" s="452" t="s">
        <v>1330</v>
      </c>
      <c r="V234" s="398" t="s">
        <v>1345</v>
      </c>
      <c r="W234" s="396" t="s">
        <v>155</v>
      </c>
      <c r="X234" s="396" t="s">
        <v>118</v>
      </c>
      <c r="AA234" s="251" t="s">
        <v>3253</v>
      </c>
      <c r="AB234" s="228" t="s">
        <v>10</v>
      </c>
    </row>
    <row r="235" spans="1:28" ht="15" customHeight="1" x14ac:dyDescent="0.55000000000000004">
      <c r="A235" s="362">
        <v>44483</v>
      </c>
      <c r="B235" s="353" t="s">
        <v>11</v>
      </c>
      <c r="E235" s="493">
        <v>44476</v>
      </c>
      <c r="F235" s="396" t="s">
        <v>3254</v>
      </c>
      <c r="G235" s="353" t="s">
        <v>3255</v>
      </c>
      <c r="H235" s="419" t="s">
        <v>3256</v>
      </c>
      <c r="I235" s="482" t="s">
        <v>145</v>
      </c>
      <c r="J235" s="396" t="s">
        <v>3257</v>
      </c>
      <c r="K235" s="396"/>
      <c r="L235" s="419" t="s">
        <v>1457</v>
      </c>
      <c r="M235" s="485" t="s">
        <v>1458</v>
      </c>
      <c r="N235" s="396" t="s">
        <v>3258</v>
      </c>
      <c r="O235" s="396" t="s">
        <v>3259</v>
      </c>
      <c r="P235" s="452" t="s">
        <v>243</v>
      </c>
      <c r="Q235" s="237" t="s">
        <v>3260</v>
      </c>
      <c r="R235" s="396" t="s">
        <v>3261</v>
      </c>
      <c r="S235" s="396" t="s">
        <v>3257</v>
      </c>
      <c r="T235" s="396"/>
      <c r="U235" s="452" t="s">
        <v>1457</v>
      </c>
      <c r="V235" s="398" t="s">
        <v>1458</v>
      </c>
      <c r="W235" s="396" t="s">
        <v>117</v>
      </c>
      <c r="X235" s="396" t="s">
        <v>118</v>
      </c>
      <c r="AA235" s="251">
        <v>200706</v>
      </c>
      <c r="AB235" s="228" t="s">
        <v>10</v>
      </c>
    </row>
    <row r="236" spans="1:28" ht="15" customHeight="1" x14ac:dyDescent="0.55000000000000004">
      <c r="A236" s="362">
        <v>44483</v>
      </c>
      <c r="B236" s="353" t="s">
        <v>11</v>
      </c>
      <c r="E236" s="493">
        <v>44476</v>
      </c>
      <c r="F236" s="396" t="s">
        <v>3262</v>
      </c>
      <c r="G236" s="353" t="s">
        <v>3263</v>
      </c>
      <c r="H236" s="419" t="s">
        <v>3264</v>
      </c>
      <c r="I236" s="482" t="s">
        <v>145</v>
      </c>
      <c r="J236" s="396" t="s">
        <v>3265</v>
      </c>
      <c r="K236" s="396"/>
      <c r="L236" s="419" t="s">
        <v>1139</v>
      </c>
      <c r="M236" s="485" t="s">
        <v>1140</v>
      </c>
      <c r="N236" s="396" t="s">
        <v>3266</v>
      </c>
      <c r="O236" s="396" t="s">
        <v>3267</v>
      </c>
      <c r="P236" s="452" t="s">
        <v>3268</v>
      </c>
      <c r="Q236" s="237" t="s">
        <v>3269</v>
      </c>
      <c r="R236" s="396" t="s">
        <v>3270</v>
      </c>
      <c r="S236" s="489" t="s">
        <v>3265</v>
      </c>
      <c r="T236" s="396"/>
      <c r="U236" s="452" t="s">
        <v>1139</v>
      </c>
      <c r="V236" s="398" t="s">
        <v>1140</v>
      </c>
      <c r="W236" s="396" t="s">
        <v>155</v>
      </c>
      <c r="X236" s="396" t="s">
        <v>118</v>
      </c>
      <c r="AA236" s="251">
        <v>2911768</v>
      </c>
      <c r="AB236" s="228" t="s">
        <v>10</v>
      </c>
    </row>
    <row r="237" spans="1:28" ht="15" customHeight="1" x14ac:dyDescent="0.55000000000000004">
      <c r="A237" s="362">
        <v>44483</v>
      </c>
      <c r="B237" s="353" t="s">
        <v>11</v>
      </c>
      <c r="E237" s="493">
        <v>44476</v>
      </c>
      <c r="F237" s="396" t="s">
        <v>3262</v>
      </c>
      <c r="G237" s="353" t="s">
        <v>1881</v>
      </c>
      <c r="H237" s="419" t="s">
        <v>3271</v>
      </c>
      <c r="I237" s="482" t="s">
        <v>145</v>
      </c>
      <c r="J237" s="396" t="s">
        <v>3272</v>
      </c>
      <c r="K237" s="396"/>
      <c r="L237" s="419" t="s">
        <v>933</v>
      </c>
      <c r="M237" s="485" t="s">
        <v>926</v>
      </c>
      <c r="N237" s="396" t="s">
        <v>3266</v>
      </c>
      <c r="O237" s="396" t="s">
        <v>3267</v>
      </c>
      <c r="P237" s="452" t="s">
        <v>3268</v>
      </c>
      <c r="Q237" s="237" t="s">
        <v>3269</v>
      </c>
      <c r="R237" s="488" t="s">
        <v>3270</v>
      </c>
      <c r="S237" s="489" t="s">
        <v>3265</v>
      </c>
      <c r="T237" s="396"/>
      <c r="U237" s="452" t="s">
        <v>1139</v>
      </c>
      <c r="V237" s="398" t="s">
        <v>1140</v>
      </c>
      <c r="W237" s="396" t="s">
        <v>117</v>
      </c>
      <c r="X237" s="398" t="s">
        <v>235</v>
      </c>
      <c r="AA237" s="251">
        <v>212556</v>
      </c>
      <c r="AB237" s="228" t="s">
        <v>10</v>
      </c>
    </row>
    <row r="238" spans="1:28" ht="15" customHeight="1" x14ac:dyDescent="0.55000000000000004">
      <c r="A238" s="362">
        <v>44483</v>
      </c>
      <c r="B238" s="353" t="s">
        <v>11</v>
      </c>
      <c r="E238" s="493">
        <v>44476</v>
      </c>
      <c r="F238" s="396" t="s">
        <v>3262</v>
      </c>
      <c r="G238" s="353" t="s">
        <v>3273</v>
      </c>
      <c r="H238" s="419" t="s">
        <v>3274</v>
      </c>
      <c r="I238" s="482" t="s">
        <v>145</v>
      </c>
      <c r="J238" s="396" t="s">
        <v>3275</v>
      </c>
      <c r="K238" s="396"/>
      <c r="L238" s="419" t="s">
        <v>933</v>
      </c>
      <c r="M238" s="485" t="s">
        <v>926</v>
      </c>
      <c r="N238" s="396" t="s">
        <v>3266</v>
      </c>
      <c r="O238" s="396" t="s">
        <v>3267</v>
      </c>
      <c r="P238" s="452" t="s">
        <v>3268</v>
      </c>
      <c r="Q238" s="237" t="s">
        <v>3269</v>
      </c>
      <c r="R238" s="396" t="s">
        <v>3270</v>
      </c>
      <c r="S238" s="489" t="s">
        <v>3276</v>
      </c>
      <c r="T238" s="396"/>
      <c r="U238" s="452" t="s">
        <v>1139</v>
      </c>
      <c r="V238" s="398" t="s">
        <v>1140</v>
      </c>
      <c r="W238" s="396" t="s">
        <v>117</v>
      </c>
      <c r="X238" s="396" t="s">
        <v>118</v>
      </c>
      <c r="AA238" s="251">
        <v>212278</v>
      </c>
      <c r="AB238" s="228" t="s">
        <v>10</v>
      </c>
    </row>
    <row r="239" spans="1:28" ht="15" customHeight="1" x14ac:dyDescent="0.55000000000000004">
      <c r="A239" s="362">
        <v>44483</v>
      </c>
      <c r="B239" s="353" t="s">
        <v>11</v>
      </c>
      <c r="E239" s="493">
        <v>44477</v>
      </c>
      <c r="F239" s="396" t="s">
        <v>3262</v>
      </c>
      <c r="G239" s="353" t="s">
        <v>3277</v>
      </c>
      <c r="H239" s="419" t="s">
        <v>3278</v>
      </c>
      <c r="I239" s="482" t="s">
        <v>145</v>
      </c>
      <c r="J239" s="396" t="s">
        <v>3279</v>
      </c>
      <c r="K239" s="396"/>
      <c r="L239" s="419" t="s">
        <v>3280</v>
      </c>
      <c r="M239" s="485" t="s">
        <v>3281</v>
      </c>
      <c r="N239" s="396" t="s">
        <v>3266</v>
      </c>
      <c r="O239" s="396" t="s">
        <v>3267</v>
      </c>
      <c r="P239" s="452" t="s">
        <v>3268</v>
      </c>
      <c r="Q239" s="237" t="s">
        <v>3269</v>
      </c>
      <c r="R239" s="396" t="s">
        <v>3270</v>
      </c>
      <c r="S239" s="489" t="s">
        <v>3282</v>
      </c>
      <c r="T239" s="396"/>
      <c r="U239" s="452" t="s">
        <v>1139</v>
      </c>
      <c r="V239" s="398" t="s">
        <v>1140</v>
      </c>
      <c r="W239" s="396" t="s">
        <v>117</v>
      </c>
      <c r="X239" s="396" t="s">
        <v>137</v>
      </c>
      <c r="AA239" s="251">
        <v>211367</v>
      </c>
      <c r="AB239" s="228" t="s">
        <v>10</v>
      </c>
    </row>
    <row r="240" spans="1:28" ht="15" customHeight="1" x14ac:dyDescent="0.55000000000000004">
      <c r="A240" s="362">
        <v>44483</v>
      </c>
      <c r="B240" s="353" t="s">
        <v>11</v>
      </c>
      <c r="E240" s="493">
        <v>44477</v>
      </c>
      <c r="F240" s="396" t="s">
        <v>3283</v>
      </c>
      <c r="G240" s="353" t="s">
        <v>3284</v>
      </c>
      <c r="H240" s="419" t="s">
        <v>3285</v>
      </c>
      <c r="I240" s="482" t="s">
        <v>127</v>
      </c>
      <c r="J240" s="396" t="s">
        <v>3286</v>
      </c>
      <c r="K240" s="396"/>
      <c r="L240" s="419" t="s">
        <v>3287</v>
      </c>
      <c r="M240" s="485" t="s">
        <v>3288</v>
      </c>
      <c r="N240" s="396" t="s">
        <v>3289</v>
      </c>
      <c r="O240" s="396" t="s">
        <v>3290</v>
      </c>
      <c r="P240" s="452" t="s">
        <v>2291</v>
      </c>
      <c r="Q240" s="237" t="s">
        <v>3291</v>
      </c>
      <c r="R240" s="396" t="s">
        <v>3292</v>
      </c>
      <c r="S240" s="396" t="s">
        <v>3286</v>
      </c>
      <c r="T240" s="396"/>
      <c r="U240" s="452" t="s">
        <v>3287</v>
      </c>
      <c r="V240" s="398" t="s">
        <v>3293</v>
      </c>
      <c r="W240" s="396" t="s">
        <v>155</v>
      </c>
      <c r="X240" s="396" t="s">
        <v>137</v>
      </c>
      <c r="AA240" s="251" t="s">
        <v>3294</v>
      </c>
      <c r="AB240" s="228" t="s">
        <v>3295</v>
      </c>
    </row>
    <row r="241" spans="1:58" ht="15" customHeight="1" x14ac:dyDescent="0.55000000000000004">
      <c r="A241" s="362">
        <v>44483</v>
      </c>
      <c r="B241" s="353" t="s">
        <v>11</v>
      </c>
      <c r="E241" s="493">
        <v>44477</v>
      </c>
      <c r="F241" s="396" t="s">
        <v>3296</v>
      </c>
      <c r="G241" s="353" t="s">
        <v>3297</v>
      </c>
      <c r="H241" s="419" t="s">
        <v>3298</v>
      </c>
      <c r="I241" s="482" t="s">
        <v>145</v>
      </c>
      <c r="J241" s="396" t="s">
        <v>3299</v>
      </c>
      <c r="K241" s="396"/>
      <c r="L241" s="419" t="s">
        <v>983</v>
      </c>
      <c r="M241" s="485" t="s">
        <v>1001</v>
      </c>
      <c r="N241" s="396" t="s">
        <v>3300</v>
      </c>
      <c r="O241" s="396" t="s">
        <v>3301</v>
      </c>
      <c r="P241" s="452" t="s">
        <v>607</v>
      </c>
      <c r="Q241" s="237" t="s">
        <v>3302</v>
      </c>
      <c r="R241" s="396" t="s">
        <v>3303</v>
      </c>
      <c r="S241" s="489" t="s">
        <v>3299</v>
      </c>
      <c r="T241" s="396"/>
      <c r="U241" s="452" t="s">
        <v>983</v>
      </c>
      <c r="V241" s="398" t="s">
        <v>1001</v>
      </c>
      <c r="W241" s="396" t="s">
        <v>155</v>
      </c>
      <c r="X241" s="396" t="s">
        <v>118</v>
      </c>
      <c r="AA241" s="251">
        <v>391029</v>
      </c>
      <c r="AB241" s="228" t="s">
        <v>203</v>
      </c>
    </row>
    <row r="242" spans="1:58" ht="15" customHeight="1" x14ac:dyDescent="0.55000000000000004">
      <c r="A242" s="362">
        <v>44483</v>
      </c>
      <c r="B242" s="353" t="s">
        <v>11</v>
      </c>
      <c r="E242" s="493">
        <v>44477</v>
      </c>
      <c r="F242" s="396" t="s">
        <v>3296</v>
      </c>
      <c r="G242" s="353" t="s">
        <v>3304</v>
      </c>
      <c r="H242" s="419" t="s">
        <v>3305</v>
      </c>
      <c r="I242" s="482" t="s">
        <v>145</v>
      </c>
      <c r="J242" s="396" t="s">
        <v>3306</v>
      </c>
      <c r="K242" s="396"/>
      <c r="L242" s="419" t="s">
        <v>983</v>
      </c>
      <c r="M242" s="485" t="s">
        <v>3307</v>
      </c>
      <c r="N242" s="396" t="s">
        <v>3300</v>
      </c>
      <c r="O242" s="396" t="s">
        <v>3301</v>
      </c>
      <c r="P242" s="452" t="s">
        <v>607</v>
      </c>
      <c r="Q242" s="237" t="s">
        <v>3302</v>
      </c>
      <c r="R242" s="396" t="s">
        <v>3303</v>
      </c>
      <c r="S242" s="489" t="s">
        <v>3299</v>
      </c>
      <c r="T242" s="396"/>
      <c r="U242" s="452" t="s">
        <v>983</v>
      </c>
      <c r="V242" s="398" t="s">
        <v>1001</v>
      </c>
      <c r="W242" s="396" t="s">
        <v>155</v>
      </c>
      <c r="X242" s="396" t="s">
        <v>118</v>
      </c>
      <c r="AA242" s="251">
        <v>3910987</v>
      </c>
      <c r="AB242" s="228" t="s">
        <v>203</v>
      </c>
    </row>
    <row r="243" spans="1:58" ht="15" customHeight="1" x14ac:dyDescent="0.55000000000000004">
      <c r="A243" s="362">
        <v>44483</v>
      </c>
      <c r="B243" s="353" t="s">
        <v>11</v>
      </c>
      <c r="E243" s="493">
        <v>44477</v>
      </c>
      <c r="F243" s="396" t="s">
        <v>3308</v>
      </c>
      <c r="G243" s="353" t="s">
        <v>3309</v>
      </c>
      <c r="H243" s="419" t="s">
        <v>3310</v>
      </c>
      <c r="I243" s="482" t="s">
        <v>127</v>
      </c>
      <c r="J243" s="396" t="s">
        <v>3311</v>
      </c>
      <c r="K243" s="396"/>
      <c r="L243" s="419" t="s">
        <v>3312</v>
      </c>
      <c r="M243" s="485" t="s">
        <v>3313</v>
      </c>
      <c r="N243" s="396" t="s">
        <v>3314</v>
      </c>
      <c r="O243" s="396" t="s">
        <v>3315</v>
      </c>
      <c r="P243" s="452" t="s">
        <v>2430</v>
      </c>
      <c r="Q243" s="237" t="s">
        <v>3316</v>
      </c>
      <c r="R243" s="396" t="s">
        <v>3317</v>
      </c>
      <c r="S243" s="396" t="s">
        <v>3311</v>
      </c>
      <c r="T243" s="396"/>
      <c r="U243" s="452" t="s">
        <v>3312</v>
      </c>
      <c r="V243" s="398" t="s">
        <v>3313</v>
      </c>
      <c r="W243" s="396" t="s">
        <v>117</v>
      </c>
      <c r="X243" s="396" t="s">
        <v>137</v>
      </c>
      <c r="AA243" s="251" t="s">
        <v>3318</v>
      </c>
      <c r="AB243" s="237" t="s">
        <v>203</v>
      </c>
    </row>
    <row r="244" spans="1:58" ht="15" customHeight="1" x14ac:dyDescent="0.55000000000000004">
      <c r="A244" s="362">
        <v>44483</v>
      </c>
      <c r="B244" s="353" t="s">
        <v>11</v>
      </c>
      <c r="E244" s="493">
        <v>44476</v>
      </c>
      <c r="F244" s="483" t="s">
        <v>3319</v>
      </c>
      <c r="G244" s="464" t="s">
        <v>3320</v>
      </c>
      <c r="H244" s="470" t="s">
        <v>3321</v>
      </c>
      <c r="I244" s="482" t="s">
        <v>127</v>
      </c>
      <c r="J244" s="483" t="s">
        <v>3322</v>
      </c>
      <c r="K244" s="483"/>
      <c r="L244" s="470" t="s">
        <v>3323</v>
      </c>
      <c r="M244" s="484" t="s">
        <v>3324</v>
      </c>
      <c r="N244" s="483" t="s">
        <v>3325</v>
      </c>
      <c r="O244" s="483" t="s">
        <v>3326</v>
      </c>
      <c r="P244" s="507" t="s">
        <v>3327</v>
      </c>
      <c r="Q244" s="455" t="s">
        <v>3328</v>
      </c>
      <c r="R244" s="483" t="s">
        <v>3329</v>
      </c>
      <c r="S244" s="483" t="s">
        <v>3330</v>
      </c>
      <c r="T244" s="483"/>
      <c r="U244" s="507" t="s">
        <v>3331</v>
      </c>
      <c r="V244" s="494" t="s">
        <v>3324</v>
      </c>
      <c r="W244" s="483" t="s">
        <v>155</v>
      </c>
      <c r="X244" s="483" t="s">
        <v>137</v>
      </c>
      <c r="AA244" s="251" t="s">
        <v>3332</v>
      </c>
      <c r="AB244" s="237" t="s">
        <v>203</v>
      </c>
    </row>
    <row r="245" spans="1:58" ht="15" customHeight="1" x14ac:dyDescent="0.55000000000000004">
      <c r="A245" s="362">
        <v>44483</v>
      </c>
      <c r="B245" s="353" t="s">
        <v>11</v>
      </c>
      <c r="E245" s="493">
        <v>44477</v>
      </c>
      <c r="F245" s="396" t="s">
        <v>3333</v>
      </c>
      <c r="G245" s="353" t="s">
        <v>3334</v>
      </c>
      <c r="H245" s="419" t="s">
        <v>3335</v>
      </c>
      <c r="I245" s="482" t="s">
        <v>145</v>
      </c>
      <c r="J245" s="396" t="s">
        <v>3336</v>
      </c>
      <c r="K245" s="396"/>
      <c r="L245" s="419" t="s">
        <v>1330</v>
      </c>
      <c r="M245" s="485" t="s">
        <v>1331</v>
      </c>
      <c r="N245" s="396" t="s">
        <v>3337</v>
      </c>
      <c r="O245" s="396" t="s">
        <v>3338</v>
      </c>
      <c r="P245" s="452" t="s">
        <v>3339</v>
      </c>
      <c r="Q245" s="237" t="s">
        <v>3340</v>
      </c>
      <c r="R245" s="396" t="s">
        <v>3341</v>
      </c>
      <c r="S245" s="396" t="s">
        <v>3336</v>
      </c>
      <c r="T245" s="396"/>
      <c r="U245" s="452" t="s">
        <v>1330</v>
      </c>
      <c r="V245" s="398" t="s">
        <v>1331</v>
      </c>
      <c r="W245" s="396" t="s">
        <v>117</v>
      </c>
      <c r="X245" s="396" t="s">
        <v>118</v>
      </c>
      <c r="AA245" s="251">
        <v>290721</v>
      </c>
      <c r="AB245" s="228" t="s">
        <v>10</v>
      </c>
    </row>
    <row r="246" spans="1:58" ht="15" customHeight="1" x14ac:dyDescent="0.55000000000000004">
      <c r="A246" s="362">
        <v>44483</v>
      </c>
      <c r="B246" s="353" t="s">
        <v>11</v>
      </c>
      <c r="E246" s="493">
        <v>44477</v>
      </c>
      <c r="F246" s="396" t="s">
        <v>3342</v>
      </c>
      <c r="G246" s="353" t="s">
        <v>3343</v>
      </c>
      <c r="H246" s="419" t="s">
        <v>3344</v>
      </c>
      <c r="I246" s="482" t="s">
        <v>127</v>
      </c>
      <c r="J246" s="396" t="s">
        <v>3345</v>
      </c>
      <c r="K246" s="396"/>
      <c r="L246" s="419" t="s">
        <v>569</v>
      </c>
      <c r="M246" s="485" t="s">
        <v>570</v>
      </c>
      <c r="N246" s="396" t="s">
        <v>3346</v>
      </c>
      <c r="O246" s="396" t="s">
        <v>3347</v>
      </c>
      <c r="P246" s="452" t="s">
        <v>3348</v>
      </c>
      <c r="Q246" s="237" t="s">
        <v>3349</v>
      </c>
      <c r="R246" s="396" t="s">
        <v>3350</v>
      </c>
      <c r="S246" s="396" t="s">
        <v>3345</v>
      </c>
      <c r="T246" s="396"/>
      <c r="U246" s="452" t="s">
        <v>3351</v>
      </c>
      <c r="V246" s="398" t="s">
        <v>570</v>
      </c>
      <c r="W246" s="396" t="s">
        <v>117</v>
      </c>
      <c r="X246" s="396" t="s">
        <v>118</v>
      </c>
      <c r="AA246" s="251">
        <v>682037</v>
      </c>
      <c r="AB246" s="228" t="s">
        <v>203</v>
      </c>
    </row>
    <row r="247" spans="1:58" ht="15" customHeight="1" x14ac:dyDescent="0.55000000000000004">
      <c r="A247" s="362">
        <v>44483</v>
      </c>
      <c r="B247" s="353" t="s">
        <v>11</v>
      </c>
      <c r="E247" s="493">
        <v>44477</v>
      </c>
      <c r="F247" s="396" t="s">
        <v>3352</v>
      </c>
      <c r="G247" s="353" t="s">
        <v>3353</v>
      </c>
      <c r="H247" s="419" t="s">
        <v>3354</v>
      </c>
      <c r="I247" s="482" t="s">
        <v>127</v>
      </c>
      <c r="J247" s="396" t="s">
        <v>3355</v>
      </c>
      <c r="K247" s="396"/>
      <c r="L247" s="419" t="s">
        <v>2529</v>
      </c>
      <c r="M247" s="485" t="s">
        <v>2530</v>
      </c>
      <c r="N247" s="396" t="s">
        <v>3356</v>
      </c>
      <c r="O247" s="396" t="s">
        <v>3357</v>
      </c>
      <c r="P247" s="452" t="s">
        <v>1046</v>
      </c>
      <c r="Q247" s="237" t="s">
        <v>3358</v>
      </c>
      <c r="R247" s="396" t="s">
        <v>3359</v>
      </c>
      <c r="S247" s="396" t="s">
        <v>3355</v>
      </c>
      <c r="T247" s="396"/>
      <c r="U247" s="452" t="s">
        <v>2529</v>
      </c>
      <c r="V247" s="398" t="s">
        <v>2530</v>
      </c>
      <c r="W247" s="396" t="s">
        <v>155</v>
      </c>
      <c r="X247" s="396" t="s">
        <v>137</v>
      </c>
      <c r="AA247" s="251" t="s">
        <v>3360</v>
      </c>
      <c r="AB247" s="228" t="s">
        <v>442</v>
      </c>
    </row>
    <row r="248" spans="1:58" ht="15" customHeight="1" x14ac:dyDescent="0.55000000000000004">
      <c r="A248" s="362">
        <v>44483</v>
      </c>
      <c r="B248" s="353" t="s">
        <v>11</v>
      </c>
      <c r="E248" s="493">
        <v>44477</v>
      </c>
      <c r="F248" s="396" t="s">
        <v>3361</v>
      </c>
      <c r="G248" s="353" t="s">
        <v>3362</v>
      </c>
      <c r="H248" s="419" t="s">
        <v>3363</v>
      </c>
      <c r="I248" s="482" t="s">
        <v>127</v>
      </c>
      <c r="J248" s="396" t="s">
        <v>3364</v>
      </c>
      <c r="K248" s="396"/>
      <c r="L248" s="419" t="s">
        <v>3365</v>
      </c>
      <c r="M248" s="485" t="s">
        <v>3366</v>
      </c>
      <c r="N248" s="396" t="s">
        <v>3367</v>
      </c>
      <c r="O248" s="396" t="s">
        <v>3368</v>
      </c>
      <c r="P248" s="452" t="s">
        <v>2291</v>
      </c>
      <c r="Q248" s="237" t="s">
        <v>3369</v>
      </c>
      <c r="R248" s="396" t="s">
        <v>3370</v>
      </c>
      <c r="S248" s="396" t="s">
        <v>3364</v>
      </c>
      <c r="T248" s="396"/>
      <c r="U248" s="452" t="s">
        <v>3365</v>
      </c>
      <c r="V248" s="398" t="s">
        <v>3366</v>
      </c>
      <c r="W248" s="396" t="s">
        <v>117</v>
      </c>
      <c r="X248" s="396" t="s">
        <v>137</v>
      </c>
      <c r="AA248" s="251" t="s">
        <v>3371</v>
      </c>
      <c r="AB248" s="228" t="s">
        <v>203</v>
      </c>
    </row>
    <row r="249" spans="1:58" ht="15" customHeight="1" x14ac:dyDescent="0.55000000000000004">
      <c r="A249" s="362">
        <v>44483</v>
      </c>
      <c r="B249" s="353" t="s">
        <v>11</v>
      </c>
      <c r="E249" s="493">
        <v>44483</v>
      </c>
      <c r="F249" s="396" t="s">
        <v>3372</v>
      </c>
      <c r="G249" s="353" t="s">
        <v>3373</v>
      </c>
      <c r="H249" s="419" t="s">
        <v>3374</v>
      </c>
      <c r="I249" s="482" t="s">
        <v>127</v>
      </c>
      <c r="J249" s="396" t="s">
        <v>3375</v>
      </c>
      <c r="K249" s="396"/>
      <c r="L249" s="419" t="s">
        <v>3376</v>
      </c>
      <c r="M249" s="485" t="s">
        <v>363</v>
      </c>
      <c r="N249" s="396" t="s">
        <v>3377</v>
      </c>
      <c r="O249" s="396" t="s">
        <v>3378</v>
      </c>
      <c r="P249" s="452" t="s">
        <v>3379</v>
      </c>
      <c r="Q249" s="237" t="s">
        <v>3380</v>
      </c>
      <c r="R249" s="396" t="s">
        <v>3381</v>
      </c>
      <c r="S249" s="396" t="s">
        <v>3375</v>
      </c>
      <c r="T249" s="396"/>
      <c r="U249" s="452" t="s">
        <v>3376</v>
      </c>
      <c r="V249" s="398" t="s">
        <v>363</v>
      </c>
      <c r="W249" s="396" t="s">
        <v>117</v>
      </c>
      <c r="X249" s="396" t="s">
        <v>118</v>
      </c>
      <c r="AA249" s="251">
        <v>8032175</v>
      </c>
      <c r="AB249" s="228" t="s">
        <v>203</v>
      </c>
    </row>
    <row r="250" spans="1:58" ht="15" customHeight="1" x14ac:dyDescent="0.55000000000000004">
      <c r="A250" s="362">
        <v>44483</v>
      </c>
      <c r="B250" s="353" t="s">
        <v>11</v>
      </c>
      <c r="E250" s="493">
        <v>44483</v>
      </c>
      <c r="F250" s="396" t="s">
        <v>3382</v>
      </c>
      <c r="G250" s="353" t="s">
        <v>3383</v>
      </c>
      <c r="H250" s="419" t="s">
        <v>3384</v>
      </c>
      <c r="I250" s="482" t="s">
        <v>127</v>
      </c>
      <c r="J250" s="396" t="s">
        <v>3385</v>
      </c>
      <c r="K250" s="396" t="s">
        <v>1657</v>
      </c>
      <c r="L250" s="419" t="s">
        <v>263</v>
      </c>
      <c r="M250" s="485" t="s">
        <v>2088</v>
      </c>
      <c r="N250" s="396" t="s">
        <v>793</v>
      </c>
      <c r="O250" s="396" t="s">
        <v>3386</v>
      </c>
      <c r="P250" s="452" t="s">
        <v>334</v>
      </c>
      <c r="Q250" s="237" t="s">
        <v>3387</v>
      </c>
      <c r="R250" s="396" t="s">
        <v>3388</v>
      </c>
      <c r="S250" s="396" t="s">
        <v>3385</v>
      </c>
      <c r="T250" s="396" t="s">
        <v>1657</v>
      </c>
      <c r="U250" s="452" t="s">
        <v>263</v>
      </c>
      <c r="V250" s="398" t="s">
        <v>2088</v>
      </c>
      <c r="W250" s="396" t="s">
        <v>117</v>
      </c>
      <c r="X250" s="396" t="s">
        <v>137</v>
      </c>
      <c r="AA250" s="251">
        <v>602664</v>
      </c>
      <c r="AB250" s="228" t="s">
        <v>203</v>
      </c>
    </row>
    <row r="251" spans="1:58" s="510" customFormat="1" ht="15" customHeight="1" x14ac:dyDescent="0.55000000000000004">
      <c r="A251" s="508">
        <v>44483</v>
      </c>
      <c r="B251" s="512" t="s">
        <v>11</v>
      </c>
      <c r="E251" s="540">
        <v>44483</v>
      </c>
      <c r="F251" s="541" t="s">
        <v>3389</v>
      </c>
      <c r="G251" s="512" t="s">
        <v>3390</v>
      </c>
      <c r="H251" s="542" t="s">
        <v>3391</v>
      </c>
      <c r="I251" s="543" t="s">
        <v>127</v>
      </c>
      <c r="J251" s="541" t="s">
        <v>3392</v>
      </c>
      <c r="K251" s="541"/>
      <c r="L251" s="542" t="s">
        <v>3393</v>
      </c>
      <c r="M251" s="544" t="s">
        <v>3184</v>
      </c>
      <c r="N251" s="541" t="s">
        <v>3394</v>
      </c>
      <c r="O251" s="541" t="s">
        <v>3395</v>
      </c>
      <c r="P251" s="545" t="s">
        <v>3396</v>
      </c>
      <c r="Q251" s="511" t="s">
        <v>3397</v>
      </c>
      <c r="R251" s="541" t="s">
        <v>3398</v>
      </c>
      <c r="S251" s="541" t="s">
        <v>3399</v>
      </c>
      <c r="T251" s="541"/>
      <c r="U251" s="545" t="s">
        <v>3393</v>
      </c>
      <c r="V251" s="546" t="s">
        <v>3184</v>
      </c>
      <c r="W251" s="541" t="s">
        <v>155</v>
      </c>
      <c r="X251" s="541" t="s">
        <v>118</v>
      </c>
      <c r="Y251" s="511"/>
      <c r="AA251" s="513">
        <v>7023413</v>
      </c>
      <c r="AB251" s="510" t="s">
        <v>203</v>
      </c>
      <c r="AD251" s="548"/>
      <c r="AE251" s="514"/>
      <c r="AF251" s="514"/>
      <c r="AG251" s="514"/>
      <c r="AI251" s="515"/>
      <c r="AJ251" s="516"/>
      <c r="AK251" s="516"/>
      <c r="AL251" s="516"/>
      <c r="AM251" s="516"/>
      <c r="AN251" s="516"/>
      <c r="AO251" s="516"/>
      <c r="AP251" s="514"/>
      <c r="AQ251" s="508"/>
      <c r="AR251" s="517"/>
      <c r="AS251" s="514"/>
      <c r="AT251" s="514"/>
      <c r="AU251" s="514"/>
      <c r="AV251" s="514"/>
      <c r="AW251" s="550"/>
      <c r="AX251" s="551"/>
      <c r="AY251" s="552"/>
      <c r="BA251" s="517"/>
      <c r="BB251" s="517"/>
      <c r="BC251" s="517"/>
      <c r="BD251" s="518"/>
      <c r="BE251" s="519"/>
    </row>
    <row r="252" spans="1:58" s="237" customFormat="1" ht="15" customHeight="1" x14ac:dyDescent="0.55000000000000004">
      <c r="A252" s="362">
        <v>44489</v>
      </c>
      <c r="B252" s="509" t="s">
        <v>11</v>
      </c>
      <c r="C252" s="228"/>
      <c r="D252" s="228"/>
      <c r="E252" s="239">
        <v>44489</v>
      </c>
      <c r="F252" s="233" t="s">
        <v>3400</v>
      </c>
      <c r="G252" s="228" t="s">
        <v>3401</v>
      </c>
      <c r="H252" s="356" t="s">
        <v>3402</v>
      </c>
      <c r="I252" s="244" t="s">
        <v>145</v>
      </c>
      <c r="J252" s="237" t="s">
        <v>3403</v>
      </c>
      <c r="K252" s="353"/>
      <c r="L252" s="496" t="s">
        <v>330</v>
      </c>
      <c r="M252" s="346" t="s">
        <v>331</v>
      </c>
      <c r="N252" s="237" t="s">
        <v>3404</v>
      </c>
      <c r="O252" s="237" t="s">
        <v>3405</v>
      </c>
      <c r="P252" s="237" t="s">
        <v>3406</v>
      </c>
      <c r="Q252" s="228" t="s">
        <v>3407</v>
      </c>
      <c r="R252" s="228" t="s">
        <v>3408</v>
      </c>
      <c r="S252" s="228" t="s">
        <v>3403</v>
      </c>
      <c r="T252" s="228"/>
      <c r="U252" s="228" t="s">
        <v>330</v>
      </c>
      <c r="V252" s="415" t="s">
        <v>331</v>
      </c>
      <c r="W252" s="228" t="s">
        <v>117</v>
      </c>
      <c r="X252" s="237" t="s">
        <v>118</v>
      </c>
      <c r="Z252" s="228"/>
      <c r="AA252" s="251">
        <v>2911814</v>
      </c>
      <c r="AB252" s="408" t="s">
        <v>10</v>
      </c>
      <c r="AC252" s="359"/>
      <c r="AD252" s="547"/>
      <c r="AE252" s="228"/>
      <c r="AF252" s="359"/>
      <c r="AG252" s="359"/>
      <c r="AH252" s="228"/>
      <c r="AI252" s="360"/>
      <c r="AJ252" s="361"/>
      <c r="AK252" s="361"/>
      <c r="AL252" s="361"/>
      <c r="AM252" s="361"/>
      <c r="AN252" s="361"/>
      <c r="AO252" s="361"/>
      <c r="AP252" s="359"/>
      <c r="AQ252" s="362"/>
      <c r="AR252" s="227"/>
      <c r="AS252" s="359"/>
      <c r="AT252" s="359"/>
      <c r="AU252" s="359"/>
      <c r="AV252" s="359"/>
      <c r="AW252" s="549"/>
      <c r="AX252" s="549"/>
      <c r="AY252" s="227"/>
      <c r="AZ252" s="228"/>
      <c r="BA252" s="227"/>
      <c r="BB252" s="227"/>
      <c r="BC252" s="227"/>
      <c r="BD252" s="246"/>
      <c r="BE252" s="340"/>
      <c r="BF252" s="228"/>
    </row>
    <row r="253" spans="1:58" s="237" customFormat="1" ht="15" customHeight="1" x14ac:dyDescent="0.55000000000000004">
      <c r="A253" s="239">
        <v>44490</v>
      </c>
      <c r="B253" s="509" t="s">
        <v>11</v>
      </c>
      <c r="E253" s="362">
        <v>44490</v>
      </c>
      <c r="F253" s="228" t="s">
        <v>3409</v>
      </c>
      <c r="G253" s="228" t="s">
        <v>3410</v>
      </c>
      <c r="H253" s="356" t="s">
        <v>3411</v>
      </c>
      <c r="I253" s="359" t="s">
        <v>3412</v>
      </c>
      <c r="J253" s="228" t="s">
        <v>3413</v>
      </c>
      <c r="K253" s="228"/>
      <c r="L253" s="356" t="s">
        <v>3414</v>
      </c>
      <c r="M253" s="357" t="s">
        <v>3415</v>
      </c>
      <c r="N253" s="228" t="s">
        <v>3416</v>
      </c>
      <c r="O253" s="228" t="s">
        <v>3417</v>
      </c>
      <c r="P253" s="228" t="s">
        <v>1232</v>
      </c>
      <c r="Q253" s="228" t="s">
        <v>3418</v>
      </c>
      <c r="R253" s="228" t="s">
        <v>3419</v>
      </c>
      <c r="S253" s="228" t="s">
        <v>3413</v>
      </c>
      <c r="T253" s="228"/>
      <c r="U253" s="228" t="s">
        <v>3414</v>
      </c>
      <c r="V253" s="415" t="s">
        <v>3415</v>
      </c>
      <c r="W253" s="228" t="s">
        <v>155</v>
      </c>
      <c r="X253" s="228" t="s">
        <v>118</v>
      </c>
      <c r="AA253" s="251" t="s">
        <v>3420</v>
      </c>
      <c r="AB253" s="237" t="s">
        <v>10</v>
      </c>
      <c r="AD253" s="245"/>
      <c r="AE253" s="244"/>
      <c r="AF253" s="244"/>
      <c r="AG253" s="244"/>
      <c r="AI253" s="257"/>
      <c r="AJ253" s="258"/>
      <c r="AK253" s="258"/>
      <c r="AL253" s="258"/>
      <c r="AM253" s="258"/>
      <c r="AN253" s="258"/>
      <c r="AO253" s="258"/>
      <c r="AP253" s="244"/>
      <c r="AQ253" s="239"/>
      <c r="AS253" s="244"/>
      <c r="AT253" s="244"/>
      <c r="AU253" s="244"/>
      <c r="AV253" s="244"/>
      <c r="AW253" s="313"/>
      <c r="AX253" s="468"/>
      <c r="AY253" s="353"/>
      <c r="BD253" s="266"/>
      <c r="BE253" s="238"/>
    </row>
    <row r="254" spans="1:58" s="522" customFormat="1" ht="15" customHeight="1" x14ac:dyDescent="0.55000000000000004">
      <c r="A254" s="520"/>
      <c r="B254" s="521"/>
      <c r="E254" s="533">
        <v>44491</v>
      </c>
      <c r="F254" s="531" t="s">
        <v>3421</v>
      </c>
      <c r="G254" s="531" t="s">
        <v>3422</v>
      </c>
      <c r="H254" s="534" t="s">
        <v>3423</v>
      </c>
      <c r="I254" s="535" t="s">
        <v>3412</v>
      </c>
      <c r="J254" s="531" t="s">
        <v>3424</v>
      </c>
      <c r="K254" s="531"/>
      <c r="L254" s="534" t="s">
        <v>1750</v>
      </c>
      <c r="M254" s="538" t="s">
        <v>2289</v>
      </c>
      <c r="N254" s="531" t="s">
        <v>3027</v>
      </c>
      <c r="O254" s="531" t="s">
        <v>3425</v>
      </c>
      <c r="P254" s="531" t="s">
        <v>3426</v>
      </c>
      <c r="Q254" s="531" t="s">
        <v>3427</v>
      </c>
      <c r="R254" s="531" t="s">
        <v>3428</v>
      </c>
      <c r="S254" s="531" t="s">
        <v>3429</v>
      </c>
      <c r="T254" s="531" t="s">
        <v>3424</v>
      </c>
      <c r="U254" s="531" t="s">
        <v>1750</v>
      </c>
      <c r="V254" s="536" t="s">
        <v>2146</v>
      </c>
      <c r="W254" s="531" t="s">
        <v>117</v>
      </c>
      <c r="X254" s="531" t="s">
        <v>118</v>
      </c>
      <c r="AA254" s="537">
        <v>4450105</v>
      </c>
      <c r="AB254" s="522" t="s">
        <v>10</v>
      </c>
      <c r="AD254" s="525"/>
      <c r="AE254" s="523"/>
      <c r="AF254" s="523"/>
      <c r="AG254" s="523"/>
      <c r="AI254" s="526"/>
      <c r="AJ254" s="527"/>
      <c r="AK254" s="527"/>
      <c r="AL254" s="527"/>
      <c r="AM254" s="527"/>
      <c r="AN254" s="527"/>
      <c r="AO254" s="527"/>
      <c r="AP254" s="523"/>
      <c r="AQ254" s="520"/>
      <c r="AS254" s="523"/>
      <c r="AT254" s="523"/>
      <c r="AU254" s="523"/>
      <c r="AV254" s="523"/>
      <c r="AW254" s="528"/>
      <c r="AX254" s="529"/>
      <c r="AY254" s="521"/>
      <c r="BD254" s="530"/>
      <c r="BE254" s="524"/>
    </row>
    <row r="255" spans="1:58" s="237" customFormat="1" ht="15" customHeight="1" x14ac:dyDescent="0.55000000000000004">
      <c r="A255" s="239"/>
      <c r="B255" s="353"/>
      <c r="E255" s="533">
        <v>44491</v>
      </c>
      <c r="F255" s="531" t="s">
        <v>3430</v>
      </c>
      <c r="G255" s="531" t="s">
        <v>3431</v>
      </c>
      <c r="H255" s="534" t="s">
        <v>3432</v>
      </c>
      <c r="I255" s="535" t="s">
        <v>3412</v>
      </c>
      <c r="J255" s="531" t="s">
        <v>3433</v>
      </c>
      <c r="K255" s="531"/>
      <c r="L255" s="534" t="s">
        <v>3434</v>
      </c>
      <c r="M255" s="538" t="s">
        <v>3435</v>
      </c>
      <c r="N255" s="531" t="s">
        <v>3436</v>
      </c>
      <c r="O255" s="531" t="s">
        <v>3437</v>
      </c>
      <c r="P255" s="531" t="s">
        <v>3438</v>
      </c>
      <c r="Q255" s="531" t="s">
        <v>3439</v>
      </c>
      <c r="R255" s="532" t="s">
        <v>3440</v>
      </c>
      <c r="S255" s="531" t="s">
        <v>3441</v>
      </c>
      <c r="T255" s="531"/>
      <c r="U255" s="531" t="s">
        <v>2434</v>
      </c>
      <c r="V255" s="536" t="s">
        <v>3442</v>
      </c>
      <c r="W255" s="531" t="s">
        <v>117</v>
      </c>
      <c r="X255" s="531" t="s">
        <v>118</v>
      </c>
      <c r="AA255" s="537">
        <v>6500005</v>
      </c>
      <c r="AB255" s="237" t="s">
        <v>442</v>
      </c>
      <c r="AD255" s="492"/>
      <c r="AE255" s="244"/>
      <c r="AF255" s="244"/>
      <c r="AG255" s="244"/>
      <c r="AI255" s="257"/>
      <c r="AJ255" s="258"/>
      <c r="AK255" s="258"/>
      <c r="AL255" s="258"/>
      <c r="AM255" s="258"/>
      <c r="AN255" s="258"/>
      <c r="AO255" s="258"/>
      <c r="AP255" s="244"/>
      <c r="AQ255" s="239"/>
      <c r="AS255" s="244"/>
      <c r="AT255" s="244"/>
      <c r="AU255" s="244"/>
      <c r="AV255" s="244"/>
      <c r="AW255" s="313"/>
      <c r="AX255" s="468"/>
      <c r="AY255" s="353"/>
      <c r="BD255" s="266"/>
      <c r="BE255" s="238"/>
    </row>
    <row r="256" spans="1:58" s="237" customFormat="1" ht="15" customHeight="1" x14ac:dyDescent="0.55000000000000004">
      <c r="A256" s="239"/>
      <c r="B256" s="353"/>
      <c r="E256" s="533">
        <v>44491</v>
      </c>
      <c r="F256" s="531" t="s">
        <v>3430</v>
      </c>
      <c r="G256" s="531" t="s">
        <v>3443</v>
      </c>
      <c r="H256" s="534" t="s">
        <v>3444</v>
      </c>
      <c r="I256" s="535" t="s">
        <v>3412</v>
      </c>
      <c r="J256" s="531" t="s">
        <v>3445</v>
      </c>
      <c r="K256" s="531"/>
      <c r="L256" s="534" t="s">
        <v>3434</v>
      </c>
      <c r="M256" s="538" t="s">
        <v>3435</v>
      </c>
      <c r="N256" s="531" t="s">
        <v>3436</v>
      </c>
      <c r="O256" s="531" t="s">
        <v>3437</v>
      </c>
      <c r="P256" s="531" t="s">
        <v>3438</v>
      </c>
      <c r="Q256" s="531" t="s">
        <v>3439</v>
      </c>
      <c r="R256" s="531" t="s">
        <v>3440</v>
      </c>
      <c r="S256" s="531" t="s">
        <v>3441</v>
      </c>
      <c r="T256" s="531"/>
      <c r="U256" s="531" t="s">
        <v>2434</v>
      </c>
      <c r="V256" s="536" t="s">
        <v>3442</v>
      </c>
      <c r="W256" s="531" t="s">
        <v>155</v>
      </c>
      <c r="X256" s="531" t="s">
        <v>118</v>
      </c>
      <c r="AA256" s="537">
        <v>6500305</v>
      </c>
      <c r="AB256" s="237" t="s">
        <v>442</v>
      </c>
      <c r="AD256" s="492"/>
      <c r="AE256" s="244"/>
      <c r="AF256" s="244"/>
      <c r="AG256" s="244"/>
      <c r="AI256" s="257"/>
      <c r="AJ256" s="258"/>
      <c r="AK256" s="258"/>
      <c r="AL256" s="258"/>
      <c r="AM256" s="258"/>
      <c r="AN256" s="258"/>
      <c r="AO256" s="258"/>
      <c r="AP256" s="244"/>
      <c r="AQ256" s="239"/>
      <c r="AS256" s="244"/>
      <c r="AT256" s="244"/>
      <c r="AU256" s="244"/>
      <c r="AV256" s="244"/>
      <c r="AW256" s="313"/>
      <c r="AX256" s="468"/>
      <c r="AY256" s="353"/>
      <c r="BD256" s="266"/>
      <c r="BE256" s="238"/>
    </row>
    <row r="257" spans="1:57" s="237" customFormat="1" ht="15" customHeight="1" x14ac:dyDescent="0.55000000000000004">
      <c r="A257" s="239"/>
      <c r="B257" s="353"/>
      <c r="E257" s="239"/>
      <c r="I257" s="344"/>
      <c r="L257" s="345"/>
      <c r="M257" s="244"/>
      <c r="Q257" s="347"/>
      <c r="R257" s="238"/>
      <c r="V257" s="349"/>
      <c r="AA257" s="238"/>
      <c r="AD257" s="492"/>
      <c r="AE257" s="244"/>
      <c r="AF257" s="244"/>
      <c r="AG257" s="244"/>
      <c r="AI257" s="257"/>
      <c r="AJ257" s="258"/>
      <c r="AK257" s="258"/>
      <c r="AL257" s="258"/>
      <c r="AM257" s="258"/>
      <c r="AN257" s="258"/>
      <c r="AO257" s="258"/>
      <c r="AP257" s="244"/>
      <c r="AQ257" s="239"/>
      <c r="AS257" s="244"/>
      <c r="AT257" s="244"/>
      <c r="AU257" s="244"/>
      <c r="AV257" s="244"/>
      <c r="AW257" s="313"/>
      <c r="AX257" s="468"/>
      <c r="AY257" s="353"/>
      <c r="BD257" s="266"/>
      <c r="BE257" s="238"/>
    </row>
    <row r="258" spans="1:57" s="237" customFormat="1" ht="15" customHeight="1" x14ac:dyDescent="0.55000000000000004">
      <c r="A258" s="239"/>
      <c r="B258" s="353"/>
      <c r="E258" s="239"/>
      <c r="I258" s="344"/>
      <c r="L258" s="345"/>
      <c r="M258" s="244"/>
      <c r="Q258" s="347"/>
      <c r="R258" s="238"/>
      <c r="V258" s="349"/>
      <c r="AA258" s="238"/>
      <c r="AD258" s="492"/>
      <c r="AE258" s="244"/>
      <c r="AF258" s="244"/>
      <c r="AG258" s="244"/>
      <c r="AI258" s="257"/>
      <c r="AJ258" s="258"/>
      <c r="AK258" s="258"/>
      <c r="AL258" s="258"/>
      <c r="AM258" s="258"/>
      <c r="AN258" s="258"/>
      <c r="AO258" s="258"/>
      <c r="AP258" s="244"/>
      <c r="AQ258" s="239"/>
      <c r="AS258" s="244"/>
      <c r="AT258" s="244"/>
      <c r="AU258" s="244"/>
      <c r="AV258" s="244"/>
      <c r="AW258" s="313"/>
      <c r="AX258" s="468"/>
      <c r="AY258" s="353"/>
      <c r="BD258" s="266"/>
      <c r="BE258" s="238"/>
    </row>
    <row r="259" spans="1:57" s="237" customFormat="1" ht="15" customHeight="1" x14ac:dyDescent="0.55000000000000004">
      <c r="A259" s="239"/>
      <c r="B259" s="353"/>
      <c r="E259" s="239"/>
      <c r="I259" s="344"/>
      <c r="L259" s="345"/>
      <c r="M259" s="244"/>
      <c r="Q259" s="347"/>
      <c r="R259" s="238"/>
      <c r="V259" s="349"/>
      <c r="AA259" s="238"/>
      <c r="AD259" s="492"/>
      <c r="AE259" s="244"/>
      <c r="AF259" s="244"/>
      <c r="AG259" s="244"/>
      <c r="AI259" s="257"/>
      <c r="AJ259" s="258"/>
      <c r="AK259" s="258"/>
      <c r="AL259" s="258"/>
      <c r="AM259" s="258"/>
      <c r="AN259" s="258"/>
      <c r="AO259" s="258"/>
      <c r="AP259" s="244"/>
      <c r="AQ259" s="239"/>
      <c r="AS259" s="244"/>
      <c r="AT259" s="244"/>
      <c r="AU259" s="244"/>
      <c r="AV259" s="244"/>
      <c r="AW259" s="313"/>
      <c r="AX259" s="468"/>
      <c r="AY259" s="353"/>
      <c r="BD259" s="266"/>
      <c r="BE259" s="238"/>
    </row>
    <row r="260" spans="1:57" s="237" customFormat="1" ht="15" customHeight="1" x14ac:dyDescent="0.55000000000000004">
      <c r="A260" s="239"/>
      <c r="B260" s="353"/>
      <c r="E260" s="239"/>
      <c r="I260" s="344"/>
      <c r="L260" s="345"/>
      <c r="M260" s="244"/>
      <c r="Q260" s="347"/>
      <c r="R260" s="238"/>
      <c r="V260" s="349"/>
      <c r="AA260" s="238"/>
      <c r="AD260" s="492"/>
      <c r="AE260" s="244"/>
      <c r="AF260" s="244"/>
      <c r="AG260" s="244"/>
      <c r="AI260" s="257"/>
      <c r="AJ260" s="258"/>
      <c r="AK260" s="258"/>
      <c r="AL260" s="258"/>
      <c r="AM260" s="258"/>
      <c r="AN260" s="258"/>
      <c r="AO260" s="258"/>
      <c r="AP260" s="244"/>
      <c r="AQ260" s="239"/>
      <c r="AS260" s="244"/>
      <c r="AT260" s="244"/>
      <c r="AU260" s="244"/>
      <c r="AV260" s="244"/>
      <c r="AW260" s="313"/>
      <c r="AX260" s="468"/>
      <c r="AY260" s="353"/>
      <c r="BD260" s="266"/>
      <c r="BE260" s="238"/>
    </row>
    <row r="261" spans="1:57" s="237" customFormat="1" ht="15" customHeight="1" x14ac:dyDescent="0.55000000000000004">
      <c r="A261" s="239"/>
      <c r="B261" s="353"/>
      <c r="E261" s="239"/>
      <c r="I261" s="344"/>
      <c r="L261" s="345"/>
      <c r="M261" s="244"/>
      <c r="Q261" s="347"/>
      <c r="R261" s="238"/>
      <c r="V261" s="349"/>
      <c r="AA261" s="238"/>
      <c r="AD261" s="492"/>
      <c r="AE261" s="244"/>
      <c r="AF261" s="244"/>
      <c r="AG261" s="244"/>
      <c r="AI261" s="257"/>
      <c r="AJ261" s="258"/>
      <c r="AK261" s="258"/>
      <c r="AL261" s="258"/>
      <c r="AM261" s="258"/>
      <c r="AN261" s="258"/>
      <c r="AO261" s="258"/>
      <c r="AP261" s="244"/>
      <c r="AQ261" s="239"/>
      <c r="AS261" s="244"/>
      <c r="AT261" s="244"/>
      <c r="AU261" s="244"/>
      <c r="AV261" s="244"/>
      <c r="AW261" s="313"/>
      <c r="AX261" s="468"/>
      <c r="AY261" s="353"/>
      <c r="BD261" s="266"/>
      <c r="BE261" s="238"/>
    </row>
    <row r="262" spans="1:57" s="237" customFormat="1" ht="15" customHeight="1" x14ac:dyDescent="0.55000000000000004">
      <c r="A262" s="239"/>
      <c r="B262" s="353"/>
      <c r="E262" s="239"/>
      <c r="I262" s="344"/>
      <c r="L262" s="345"/>
      <c r="M262" s="244"/>
      <c r="Q262" s="347"/>
      <c r="R262" s="238"/>
      <c r="V262" s="349"/>
      <c r="AA262" s="238"/>
      <c r="AD262" s="492"/>
      <c r="AE262" s="244"/>
      <c r="AF262" s="244"/>
      <c r="AG262" s="244"/>
      <c r="AI262" s="257"/>
      <c r="AJ262" s="258"/>
      <c r="AK262" s="258"/>
      <c r="AL262" s="258"/>
      <c r="AM262" s="258"/>
      <c r="AN262" s="258"/>
      <c r="AO262" s="258"/>
      <c r="AP262" s="244"/>
      <c r="AQ262" s="239"/>
      <c r="AS262" s="244"/>
      <c r="AT262" s="244"/>
      <c r="AU262" s="244"/>
      <c r="AV262" s="244"/>
      <c r="AW262" s="313"/>
      <c r="AX262" s="468"/>
      <c r="AY262" s="353"/>
      <c r="BD262" s="266"/>
      <c r="BE262" s="238"/>
    </row>
    <row r="263" spans="1:57" s="237" customFormat="1" ht="15" customHeight="1" x14ac:dyDescent="0.55000000000000004">
      <c r="A263" s="239"/>
      <c r="B263" s="353"/>
      <c r="E263" s="239"/>
      <c r="I263" s="344"/>
      <c r="L263" s="345"/>
      <c r="M263" s="244"/>
      <c r="Q263" s="347"/>
      <c r="R263" s="238"/>
      <c r="V263" s="349"/>
      <c r="AA263" s="238"/>
      <c r="AD263" s="492"/>
      <c r="AE263" s="244"/>
      <c r="AF263" s="244"/>
      <c r="AG263" s="244"/>
      <c r="AI263" s="257"/>
      <c r="AJ263" s="258"/>
      <c r="AK263" s="258"/>
      <c r="AL263" s="258"/>
      <c r="AM263" s="258"/>
      <c r="AN263" s="258"/>
      <c r="AO263" s="258"/>
      <c r="AP263" s="244"/>
      <c r="AQ263" s="239"/>
      <c r="AS263" s="244"/>
      <c r="AT263" s="244"/>
      <c r="AU263" s="244"/>
      <c r="AV263" s="244"/>
      <c r="AW263" s="313"/>
      <c r="AX263" s="468"/>
      <c r="AY263" s="353"/>
      <c r="BD263" s="266"/>
      <c r="BE263" s="238"/>
    </row>
    <row r="264" spans="1:57" s="237" customFormat="1" ht="15" customHeight="1" x14ac:dyDescent="0.55000000000000004">
      <c r="A264" s="239"/>
      <c r="B264" s="353"/>
      <c r="E264" s="239"/>
      <c r="I264" s="344"/>
      <c r="L264" s="345"/>
      <c r="M264" s="244"/>
      <c r="Q264" s="347"/>
      <c r="R264" s="238"/>
      <c r="V264" s="349"/>
      <c r="AA264" s="238"/>
      <c r="AD264" s="492"/>
      <c r="AE264" s="244"/>
      <c r="AF264" s="244"/>
      <c r="AG264" s="244"/>
      <c r="AI264" s="257"/>
      <c r="AJ264" s="258"/>
      <c r="AK264" s="258"/>
      <c r="AL264" s="258"/>
      <c r="AM264" s="258"/>
      <c r="AN264" s="258"/>
      <c r="AO264" s="258"/>
      <c r="AP264" s="244"/>
      <c r="AQ264" s="239"/>
      <c r="AS264" s="244"/>
      <c r="AT264" s="244"/>
      <c r="AU264" s="244"/>
      <c r="AV264" s="244"/>
      <c r="AW264" s="313"/>
      <c r="AX264" s="468"/>
      <c r="AY264" s="353"/>
      <c r="BD264" s="266"/>
      <c r="BE264" s="238"/>
    </row>
    <row r="265" spans="1:57" s="237" customFormat="1" ht="15" customHeight="1" x14ac:dyDescent="0.55000000000000004">
      <c r="A265" s="239"/>
      <c r="B265" s="353"/>
      <c r="E265" s="239"/>
      <c r="I265" s="344"/>
      <c r="L265" s="345"/>
      <c r="M265" s="244"/>
      <c r="Q265" s="347"/>
      <c r="R265" s="238"/>
      <c r="V265" s="349"/>
      <c r="AA265" s="238"/>
      <c r="AD265" s="492"/>
      <c r="AE265" s="244"/>
      <c r="AF265" s="244"/>
      <c r="AG265" s="244"/>
      <c r="AI265" s="257"/>
      <c r="AJ265" s="258"/>
      <c r="AK265" s="258"/>
      <c r="AL265" s="258"/>
      <c r="AM265" s="258"/>
      <c r="AN265" s="258"/>
      <c r="AO265" s="258"/>
      <c r="AP265" s="244"/>
      <c r="AQ265" s="239"/>
      <c r="AS265" s="244"/>
      <c r="AT265" s="244"/>
      <c r="AU265" s="244"/>
      <c r="AV265" s="244"/>
      <c r="AW265" s="313"/>
      <c r="AX265" s="468"/>
      <c r="AY265" s="353"/>
      <c r="BD265" s="266"/>
      <c r="BE265" s="238"/>
    </row>
    <row r="266" spans="1:57" s="237" customFormat="1" ht="15" customHeight="1" x14ac:dyDescent="0.55000000000000004">
      <c r="A266" s="239"/>
      <c r="B266" s="353"/>
      <c r="E266" s="239"/>
      <c r="I266" s="344"/>
      <c r="L266" s="345"/>
      <c r="M266" s="244"/>
      <c r="Q266" s="347"/>
      <c r="R266" s="238"/>
      <c r="V266" s="349"/>
      <c r="AA266" s="238"/>
      <c r="AD266" s="492"/>
      <c r="AE266" s="244"/>
      <c r="AF266" s="244"/>
      <c r="AG266" s="244"/>
      <c r="AI266" s="257"/>
      <c r="AJ266" s="258"/>
      <c r="AK266" s="258"/>
      <c r="AL266" s="258"/>
      <c r="AM266" s="258"/>
      <c r="AN266" s="258"/>
      <c r="AO266" s="258"/>
      <c r="AP266" s="244"/>
      <c r="AQ266" s="239"/>
      <c r="AS266" s="244"/>
      <c r="AT266" s="244"/>
      <c r="AU266" s="244"/>
      <c r="AV266" s="244"/>
      <c r="AW266" s="313"/>
      <c r="AX266" s="468"/>
      <c r="AY266" s="353"/>
      <c r="BD266" s="266"/>
      <c r="BE266" s="238"/>
    </row>
    <row r="267" spans="1:57" s="237" customFormat="1" ht="15" customHeight="1" x14ac:dyDescent="0.55000000000000004">
      <c r="A267" s="239"/>
      <c r="B267" s="353"/>
      <c r="E267" s="239"/>
      <c r="I267" s="344"/>
      <c r="L267" s="345"/>
      <c r="M267" s="244"/>
      <c r="Q267" s="347"/>
      <c r="R267" s="238"/>
      <c r="V267" s="349"/>
      <c r="AA267" s="238"/>
      <c r="AD267" s="492"/>
      <c r="AE267" s="244"/>
      <c r="AF267" s="244"/>
      <c r="AG267" s="244"/>
      <c r="AI267" s="257"/>
      <c r="AJ267" s="258"/>
      <c r="AK267" s="258"/>
      <c r="AL267" s="258"/>
      <c r="AM267" s="258"/>
      <c r="AN267" s="258"/>
      <c r="AO267" s="258"/>
      <c r="AP267" s="244"/>
      <c r="AQ267" s="239"/>
      <c r="AS267" s="244"/>
      <c r="AT267" s="244"/>
      <c r="AU267" s="244"/>
      <c r="AV267" s="244"/>
      <c r="AW267" s="313"/>
      <c r="AX267" s="468"/>
      <c r="AY267" s="353"/>
      <c r="BD267" s="266"/>
      <c r="BE267" s="238"/>
    </row>
    <row r="268" spans="1:57" s="237" customFormat="1" ht="15" customHeight="1" x14ac:dyDescent="0.55000000000000004">
      <c r="A268" s="239"/>
      <c r="B268" s="353"/>
      <c r="E268" s="239"/>
      <c r="I268" s="344"/>
      <c r="L268" s="345"/>
      <c r="M268" s="244"/>
      <c r="Q268" s="347"/>
      <c r="R268" s="238"/>
      <c r="V268" s="349"/>
      <c r="AA268" s="238"/>
      <c r="AD268" s="492"/>
      <c r="AE268" s="244"/>
      <c r="AF268" s="244"/>
      <c r="AG268" s="244"/>
      <c r="AI268" s="257"/>
      <c r="AJ268" s="258"/>
      <c r="AK268" s="258"/>
      <c r="AL268" s="258"/>
      <c r="AM268" s="258"/>
      <c r="AN268" s="258"/>
      <c r="AO268" s="258"/>
      <c r="AP268" s="244"/>
      <c r="AQ268" s="239"/>
      <c r="AS268" s="244"/>
      <c r="AT268" s="244"/>
      <c r="AU268" s="244"/>
      <c r="AV268" s="244"/>
      <c r="AW268" s="313"/>
      <c r="AX268" s="468"/>
      <c r="AY268" s="353"/>
      <c r="BD268" s="266"/>
      <c r="BE268" s="238"/>
    </row>
    <row r="269" spans="1:57" s="237" customFormat="1" ht="15" customHeight="1" x14ac:dyDescent="0.55000000000000004">
      <c r="A269" s="239"/>
      <c r="B269" s="353"/>
      <c r="E269" s="239"/>
      <c r="I269" s="344"/>
      <c r="L269" s="345"/>
      <c r="M269" s="244"/>
      <c r="Q269" s="347"/>
      <c r="R269" s="238"/>
      <c r="V269" s="349"/>
      <c r="AA269" s="238"/>
      <c r="AD269" s="492"/>
      <c r="AE269" s="244"/>
      <c r="AF269" s="244"/>
      <c r="AG269" s="244"/>
      <c r="AI269" s="257"/>
      <c r="AJ269" s="258"/>
      <c r="AK269" s="258"/>
      <c r="AL269" s="258"/>
      <c r="AM269" s="258"/>
      <c r="AN269" s="258"/>
      <c r="AO269" s="258"/>
      <c r="AP269" s="244"/>
      <c r="AQ269" s="239"/>
      <c r="AS269" s="244"/>
      <c r="AT269" s="244"/>
      <c r="AU269" s="244"/>
      <c r="AV269" s="244"/>
      <c r="AW269" s="313"/>
      <c r="AX269" s="468"/>
      <c r="AY269" s="353"/>
      <c r="BD269" s="266"/>
      <c r="BE269" s="238"/>
    </row>
    <row r="270" spans="1:57" s="237" customFormat="1" ht="15" customHeight="1" x14ac:dyDescent="0.55000000000000004">
      <c r="A270" s="239"/>
      <c r="B270" s="353"/>
      <c r="E270" s="239"/>
      <c r="I270" s="344"/>
      <c r="L270" s="345"/>
      <c r="M270" s="244"/>
      <c r="Q270" s="347"/>
      <c r="R270" s="238"/>
      <c r="V270" s="349"/>
      <c r="AA270" s="238"/>
      <c r="AD270" s="492"/>
      <c r="AE270" s="244"/>
      <c r="AF270" s="244"/>
      <c r="AG270" s="244"/>
      <c r="AI270" s="257"/>
      <c r="AJ270" s="258"/>
      <c r="AK270" s="258"/>
      <c r="AL270" s="258"/>
      <c r="AM270" s="258"/>
      <c r="AN270" s="258"/>
      <c r="AO270" s="258"/>
      <c r="AP270" s="244"/>
      <c r="AQ270" s="239"/>
      <c r="AS270" s="244"/>
      <c r="AT270" s="244"/>
      <c r="AU270" s="244"/>
      <c r="AV270" s="244"/>
      <c r="AW270" s="313"/>
      <c r="AX270" s="468"/>
      <c r="AY270" s="353"/>
      <c r="BD270" s="266"/>
      <c r="BE270" s="238"/>
    </row>
    <row r="271" spans="1:57" s="237" customFormat="1" ht="15" customHeight="1" x14ac:dyDescent="0.55000000000000004">
      <c r="A271" s="239"/>
      <c r="B271" s="353"/>
      <c r="E271" s="239"/>
      <c r="I271" s="344"/>
      <c r="L271" s="345"/>
      <c r="M271" s="244"/>
      <c r="Q271" s="347"/>
      <c r="R271" s="238"/>
      <c r="V271" s="349"/>
      <c r="AA271" s="238"/>
      <c r="AD271" s="492"/>
      <c r="AE271" s="244"/>
      <c r="AF271" s="244"/>
      <c r="AG271" s="244"/>
      <c r="AI271" s="257"/>
      <c r="AJ271" s="258"/>
      <c r="AK271" s="258"/>
      <c r="AL271" s="258"/>
      <c r="AM271" s="258"/>
      <c r="AN271" s="258"/>
      <c r="AO271" s="258"/>
      <c r="AP271" s="244"/>
      <c r="AQ271" s="239"/>
      <c r="AS271" s="244"/>
      <c r="AT271" s="244"/>
      <c r="AU271" s="244"/>
      <c r="AV271" s="244"/>
      <c r="AW271" s="313"/>
      <c r="AX271" s="468"/>
      <c r="AY271" s="353"/>
      <c r="BD271" s="266"/>
      <c r="BE271" s="238"/>
    </row>
    <row r="272" spans="1:57" s="237" customFormat="1" ht="15" customHeight="1" x14ac:dyDescent="0.55000000000000004">
      <c r="A272" s="239"/>
      <c r="B272" s="353"/>
      <c r="E272" s="239"/>
      <c r="I272" s="344"/>
      <c r="L272" s="345"/>
      <c r="M272" s="244"/>
      <c r="Q272" s="347"/>
      <c r="R272" s="238"/>
      <c r="V272" s="349"/>
      <c r="AA272" s="238"/>
      <c r="AD272" s="492"/>
      <c r="AE272" s="244"/>
      <c r="AF272" s="244"/>
      <c r="AG272" s="244"/>
      <c r="AI272" s="257"/>
      <c r="AJ272" s="258"/>
      <c r="AK272" s="258"/>
      <c r="AL272" s="258"/>
      <c r="AM272" s="258"/>
      <c r="AN272" s="258"/>
      <c r="AO272" s="258"/>
      <c r="AP272" s="244"/>
      <c r="AQ272" s="239"/>
      <c r="AS272" s="244"/>
      <c r="AT272" s="244"/>
      <c r="AU272" s="244"/>
      <c r="AV272" s="244"/>
      <c r="AW272" s="313"/>
      <c r="AX272" s="468"/>
      <c r="AY272" s="353"/>
      <c r="BD272" s="266"/>
      <c r="BE272" s="238"/>
    </row>
    <row r="273" spans="1:57" s="237" customFormat="1" ht="15" customHeight="1" x14ac:dyDescent="0.55000000000000004">
      <c r="A273" s="239"/>
      <c r="B273" s="353"/>
      <c r="E273" s="239"/>
      <c r="I273" s="344"/>
      <c r="L273" s="345"/>
      <c r="M273" s="244"/>
      <c r="Q273" s="347"/>
      <c r="R273" s="238"/>
      <c r="V273" s="349"/>
      <c r="AA273" s="238"/>
      <c r="AD273" s="492"/>
      <c r="AE273" s="244"/>
      <c r="AF273" s="244"/>
      <c r="AG273" s="244"/>
      <c r="AI273" s="257"/>
      <c r="AJ273" s="258"/>
      <c r="AK273" s="258"/>
      <c r="AL273" s="258"/>
      <c r="AM273" s="258"/>
      <c r="AN273" s="258"/>
      <c r="AO273" s="258"/>
      <c r="AP273" s="244"/>
      <c r="AQ273" s="239"/>
      <c r="AS273" s="244"/>
      <c r="AT273" s="244"/>
      <c r="AU273" s="244"/>
      <c r="AV273" s="244"/>
      <c r="AW273" s="313"/>
      <c r="AX273" s="468"/>
      <c r="AY273" s="353"/>
      <c r="BD273" s="266"/>
      <c r="BE273" s="238"/>
    </row>
    <row r="274" spans="1:57" s="237" customFormat="1" ht="15" customHeight="1" x14ac:dyDescent="0.55000000000000004">
      <c r="A274" s="239"/>
      <c r="B274" s="353"/>
      <c r="E274" s="239"/>
      <c r="I274" s="344"/>
      <c r="L274" s="345"/>
      <c r="M274" s="244"/>
      <c r="Q274" s="347"/>
      <c r="R274" s="238"/>
      <c r="V274" s="349"/>
      <c r="AA274" s="238"/>
      <c r="AD274" s="492"/>
      <c r="AE274" s="244"/>
      <c r="AF274" s="244"/>
      <c r="AG274" s="244"/>
      <c r="AI274" s="257"/>
      <c r="AJ274" s="258"/>
      <c r="AK274" s="258"/>
      <c r="AL274" s="258"/>
      <c r="AM274" s="258"/>
      <c r="AN274" s="258"/>
      <c r="AO274" s="258"/>
      <c r="AP274" s="244"/>
      <c r="AQ274" s="239"/>
      <c r="AS274" s="244"/>
      <c r="AT274" s="244"/>
      <c r="AU274" s="244"/>
      <c r="AV274" s="244"/>
      <c r="AW274" s="313"/>
      <c r="AX274" s="468"/>
      <c r="AY274" s="353"/>
      <c r="BD274" s="266"/>
      <c r="BE274" s="238"/>
    </row>
    <row r="275" spans="1:57" s="237" customFormat="1" ht="15" customHeight="1" x14ac:dyDescent="0.55000000000000004">
      <c r="A275" s="239"/>
      <c r="B275" s="353"/>
      <c r="E275" s="239"/>
      <c r="I275" s="344"/>
      <c r="L275" s="345"/>
      <c r="M275" s="244"/>
      <c r="Q275" s="347"/>
      <c r="R275" s="238"/>
      <c r="V275" s="349"/>
      <c r="AA275" s="238"/>
      <c r="AD275" s="492"/>
      <c r="AE275" s="244"/>
      <c r="AF275" s="244"/>
      <c r="AG275" s="244"/>
      <c r="AI275" s="257"/>
      <c r="AJ275" s="258"/>
      <c r="AK275" s="258"/>
      <c r="AL275" s="258"/>
      <c r="AM275" s="258"/>
      <c r="AN275" s="258"/>
      <c r="AO275" s="258"/>
      <c r="AP275" s="244"/>
      <c r="AQ275" s="239"/>
      <c r="AS275" s="244"/>
      <c r="AT275" s="244"/>
      <c r="AU275" s="244"/>
      <c r="AV275" s="244"/>
      <c r="AW275" s="313"/>
      <c r="AX275" s="468"/>
      <c r="AY275" s="353"/>
      <c r="BD275" s="266"/>
      <c r="BE275" s="238"/>
    </row>
    <row r="276" spans="1:57" s="237" customFormat="1" ht="15" customHeight="1" x14ac:dyDescent="0.55000000000000004">
      <c r="A276" s="239"/>
      <c r="B276" s="353"/>
      <c r="E276" s="239"/>
      <c r="I276" s="344"/>
      <c r="L276" s="345"/>
      <c r="M276" s="244"/>
      <c r="Q276" s="347"/>
      <c r="R276" s="238"/>
      <c r="V276" s="349"/>
      <c r="AA276" s="238"/>
      <c r="AD276" s="492"/>
      <c r="AE276" s="244"/>
      <c r="AF276" s="244"/>
      <c r="AG276" s="244"/>
      <c r="AI276" s="257"/>
      <c r="AJ276" s="258"/>
      <c r="AK276" s="258"/>
      <c r="AL276" s="258"/>
      <c r="AM276" s="258"/>
      <c r="AN276" s="258"/>
      <c r="AO276" s="258"/>
      <c r="AP276" s="244"/>
      <c r="AQ276" s="239"/>
      <c r="AS276" s="244"/>
      <c r="AT276" s="244"/>
      <c r="AU276" s="244"/>
      <c r="AV276" s="244"/>
      <c r="AW276" s="313"/>
      <c r="AX276" s="468"/>
      <c r="AY276" s="353"/>
      <c r="BD276" s="266"/>
      <c r="BE276" s="238"/>
    </row>
    <row r="277" spans="1:57" s="237" customFormat="1" ht="15" customHeight="1" x14ac:dyDescent="0.55000000000000004">
      <c r="A277" s="239"/>
      <c r="B277" s="353"/>
      <c r="E277" s="239"/>
      <c r="I277" s="344"/>
      <c r="L277" s="345"/>
      <c r="M277" s="244"/>
      <c r="Q277" s="347"/>
      <c r="R277" s="238"/>
      <c r="V277" s="349"/>
      <c r="AA277" s="238"/>
      <c r="AD277" s="492"/>
      <c r="AE277" s="244"/>
      <c r="AF277" s="244"/>
      <c r="AG277" s="244"/>
      <c r="AI277" s="257"/>
      <c r="AJ277" s="258"/>
      <c r="AK277" s="258"/>
      <c r="AL277" s="258"/>
      <c r="AM277" s="258"/>
      <c r="AN277" s="258"/>
      <c r="AO277" s="258"/>
      <c r="AP277" s="244"/>
      <c r="AQ277" s="239"/>
      <c r="AS277" s="244"/>
      <c r="AT277" s="244"/>
      <c r="AU277" s="244"/>
      <c r="AV277" s="244"/>
      <c r="AW277" s="313"/>
      <c r="AX277" s="468"/>
      <c r="AY277" s="353"/>
      <c r="BD277" s="266"/>
      <c r="BE277" s="238"/>
    </row>
    <row r="278" spans="1:57" s="237" customFormat="1" ht="15" customHeight="1" x14ac:dyDescent="0.55000000000000004">
      <c r="A278" s="239"/>
      <c r="B278" s="353"/>
      <c r="E278" s="239"/>
      <c r="I278" s="344"/>
      <c r="L278" s="345"/>
      <c r="M278" s="244"/>
      <c r="Q278" s="347"/>
      <c r="R278" s="238"/>
      <c r="V278" s="349"/>
      <c r="AA278" s="238"/>
      <c r="AD278" s="492"/>
      <c r="AE278" s="244"/>
      <c r="AF278" s="244"/>
      <c r="AG278" s="244"/>
      <c r="AI278" s="257"/>
      <c r="AJ278" s="258"/>
      <c r="AK278" s="258"/>
      <c r="AL278" s="258"/>
      <c r="AM278" s="258"/>
      <c r="AN278" s="258"/>
      <c r="AO278" s="258"/>
      <c r="AP278" s="244"/>
      <c r="AQ278" s="239"/>
      <c r="AS278" s="244"/>
      <c r="AT278" s="244"/>
      <c r="AU278" s="244"/>
      <c r="AV278" s="244"/>
      <c r="AW278" s="313"/>
      <c r="AX278" s="468"/>
      <c r="AY278" s="353"/>
      <c r="BD278" s="266"/>
      <c r="BE278" s="238"/>
    </row>
    <row r="279" spans="1:57" s="237" customFormat="1" ht="15" customHeight="1" x14ac:dyDescent="0.55000000000000004">
      <c r="A279" s="239"/>
      <c r="B279" s="353"/>
      <c r="E279" s="239"/>
      <c r="I279" s="344"/>
      <c r="L279" s="345"/>
      <c r="M279" s="244"/>
      <c r="Q279" s="347"/>
      <c r="R279" s="238"/>
      <c r="V279" s="349"/>
      <c r="AA279" s="238"/>
      <c r="AD279" s="492"/>
      <c r="AE279" s="244"/>
      <c r="AF279" s="244"/>
      <c r="AG279" s="244"/>
      <c r="AI279" s="257"/>
      <c r="AJ279" s="258"/>
      <c r="AK279" s="258"/>
      <c r="AL279" s="258"/>
      <c r="AM279" s="258"/>
      <c r="AN279" s="258"/>
      <c r="AO279" s="258"/>
      <c r="AP279" s="244"/>
      <c r="AQ279" s="239"/>
      <c r="AS279" s="244"/>
      <c r="AT279" s="244"/>
      <c r="AU279" s="244"/>
      <c r="AV279" s="244"/>
      <c r="AW279" s="313"/>
      <c r="AX279" s="468"/>
      <c r="AY279" s="353"/>
      <c r="BD279" s="266"/>
      <c r="BE279" s="238"/>
    </row>
    <row r="280" spans="1:57" s="237" customFormat="1" ht="15" customHeight="1" x14ac:dyDescent="0.55000000000000004">
      <c r="A280" s="239"/>
      <c r="B280" s="353"/>
      <c r="E280" s="239"/>
      <c r="I280" s="344"/>
      <c r="L280" s="345"/>
      <c r="M280" s="244"/>
      <c r="Q280" s="347"/>
      <c r="R280" s="238"/>
      <c r="V280" s="349"/>
      <c r="AA280" s="238"/>
      <c r="AD280" s="492"/>
      <c r="AE280" s="244"/>
      <c r="AF280" s="244"/>
      <c r="AG280" s="244"/>
      <c r="AI280" s="257"/>
      <c r="AJ280" s="258"/>
      <c r="AK280" s="258"/>
      <c r="AL280" s="258"/>
      <c r="AM280" s="258"/>
      <c r="AN280" s="258"/>
      <c r="AO280" s="258"/>
      <c r="AP280" s="244"/>
      <c r="AQ280" s="239"/>
      <c r="AS280" s="244"/>
      <c r="AT280" s="244"/>
      <c r="AU280" s="244"/>
      <c r="AV280" s="244"/>
      <c r="AW280" s="313"/>
      <c r="AX280" s="468"/>
      <c r="AY280" s="353"/>
      <c r="BD280" s="266"/>
      <c r="BE280" s="238"/>
    </row>
    <row r="281" spans="1:57" s="237" customFormat="1" ht="15" customHeight="1" x14ac:dyDescent="0.55000000000000004">
      <c r="A281" s="239"/>
      <c r="B281" s="353"/>
      <c r="E281" s="239"/>
      <c r="I281" s="344"/>
      <c r="L281" s="345"/>
      <c r="M281" s="244"/>
      <c r="Q281" s="347"/>
      <c r="R281" s="238"/>
      <c r="V281" s="349"/>
      <c r="AA281" s="238"/>
      <c r="AD281" s="492"/>
      <c r="AE281" s="244"/>
      <c r="AF281" s="244"/>
      <c r="AG281" s="244"/>
      <c r="AI281" s="257"/>
      <c r="AJ281" s="258"/>
      <c r="AK281" s="258"/>
      <c r="AL281" s="258"/>
      <c r="AM281" s="258"/>
      <c r="AN281" s="258"/>
      <c r="AO281" s="258"/>
      <c r="AP281" s="244"/>
      <c r="AQ281" s="239"/>
      <c r="AS281" s="244"/>
      <c r="AT281" s="244"/>
      <c r="AU281" s="244"/>
      <c r="AV281" s="244"/>
      <c r="AW281" s="313"/>
      <c r="AX281" s="468"/>
      <c r="AY281" s="353"/>
      <c r="BD281" s="266"/>
      <c r="BE281" s="238"/>
    </row>
    <row r="282" spans="1:57" s="237" customFormat="1" ht="15" customHeight="1" x14ac:dyDescent="0.55000000000000004">
      <c r="A282" s="239"/>
      <c r="B282" s="353"/>
      <c r="E282" s="239"/>
      <c r="I282" s="344"/>
      <c r="L282" s="345"/>
      <c r="M282" s="244"/>
      <c r="Q282" s="347"/>
      <c r="R282" s="238"/>
      <c r="V282" s="349"/>
      <c r="AA282" s="238"/>
      <c r="AD282" s="492"/>
      <c r="AE282" s="244"/>
      <c r="AF282" s="244"/>
      <c r="AG282" s="244"/>
      <c r="AI282" s="257"/>
      <c r="AJ282" s="258"/>
      <c r="AK282" s="258"/>
      <c r="AL282" s="258"/>
      <c r="AM282" s="258"/>
      <c r="AN282" s="258"/>
      <c r="AO282" s="258"/>
      <c r="AP282" s="244"/>
      <c r="AQ282" s="239"/>
      <c r="AS282" s="244"/>
      <c r="AT282" s="244"/>
      <c r="AU282" s="244"/>
      <c r="AV282" s="244"/>
      <c r="AW282" s="313"/>
      <c r="AX282" s="468"/>
      <c r="AY282" s="353"/>
      <c r="BD282" s="266"/>
      <c r="BE282" s="238"/>
    </row>
    <row r="283" spans="1:57" s="237" customFormat="1" ht="15" customHeight="1" x14ac:dyDescent="0.55000000000000004">
      <c r="A283" s="239"/>
      <c r="B283" s="353"/>
      <c r="E283" s="239"/>
      <c r="I283" s="344"/>
      <c r="L283" s="345"/>
      <c r="M283" s="244"/>
      <c r="Q283" s="347"/>
      <c r="R283" s="238"/>
      <c r="V283" s="349"/>
      <c r="AA283" s="238"/>
      <c r="AD283" s="492"/>
      <c r="AE283" s="244"/>
      <c r="AF283" s="244"/>
      <c r="AG283" s="244"/>
      <c r="AI283" s="257"/>
      <c r="AJ283" s="258"/>
      <c r="AK283" s="258"/>
      <c r="AL283" s="258"/>
      <c r="AM283" s="258"/>
      <c r="AN283" s="258"/>
      <c r="AO283" s="258"/>
      <c r="AP283" s="244"/>
      <c r="AQ283" s="239"/>
      <c r="AS283" s="244"/>
      <c r="AT283" s="244"/>
      <c r="AU283" s="244"/>
      <c r="AV283" s="244"/>
      <c r="AW283" s="313"/>
      <c r="AX283" s="468"/>
      <c r="AY283" s="353"/>
      <c r="BD283" s="266"/>
      <c r="BE283" s="238"/>
    </row>
    <row r="284" spans="1:57" s="237" customFormat="1" ht="15" customHeight="1" x14ac:dyDescent="0.55000000000000004">
      <c r="A284" s="239"/>
      <c r="B284" s="353"/>
      <c r="E284" s="239"/>
      <c r="I284" s="344"/>
      <c r="L284" s="345"/>
      <c r="M284" s="244"/>
      <c r="Q284" s="347"/>
      <c r="R284" s="238"/>
      <c r="V284" s="349"/>
      <c r="AA284" s="238"/>
      <c r="AD284" s="492"/>
      <c r="AE284" s="244"/>
      <c r="AF284" s="244"/>
      <c r="AG284" s="244"/>
      <c r="AI284" s="257"/>
      <c r="AJ284" s="258"/>
      <c r="AK284" s="258"/>
      <c r="AL284" s="258"/>
      <c r="AM284" s="258"/>
      <c r="AN284" s="258"/>
      <c r="AO284" s="258"/>
      <c r="AP284" s="244"/>
      <c r="AQ284" s="239"/>
      <c r="AS284" s="244"/>
      <c r="AT284" s="244"/>
      <c r="AU284" s="244"/>
      <c r="AV284" s="244"/>
      <c r="AW284" s="313"/>
      <c r="AX284" s="468"/>
      <c r="AY284" s="353"/>
      <c r="BD284" s="266"/>
      <c r="BE284" s="238"/>
    </row>
    <row r="285" spans="1:57" s="237" customFormat="1" ht="15" customHeight="1" x14ac:dyDescent="0.55000000000000004">
      <c r="A285" s="239"/>
      <c r="B285" s="353"/>
      <c r="E285" s="239"/>
      <c r="I285" s="344"/>
      <c r="L285" s="345"/>
      <c r="M285" s="244"/>
      <c r="Q285" s="347"/>
      <c r="R285" s="238"/>
      <c r="V285" s="349"/>
      <c r="AA285" s="238"/>
      <c r="AD285" s="492"/>
      <c r="AE285" s="244"/>
      <c r="AF285" s="244"/>
      <c r="AG285" s="244"/>
      <c r="AI285" s="257"/>
      <c r="AJ285" s="258"/>
      <c r="AK285" s="258"/>
      <c r="AL285" s="258"/>
      <c r="AM285" s="258"/>
      <c r="AN285" s="258"/>
      <c r="AO285" s="258"/>
      <c r="AP285" s="244"/>
      <c r="AQ285" s="239"/>
      <c r="AS285" s="244"/>
      <c r="AT285" s="244"/>
      <c r="AU285" s="244"/>
      <c r="AV285" s="244"/>
      <c r="AW285" s="313"/>
      <c r="AX285" s="468"/>
      <c r="AY285" s="353"/>
      <c r="BD285" s="266"/>
      <c r="BE285" s="238"/>
    </row>
    <row r="286" spans="1:57" s="237" customFormat="1" ht="15" customHeight="1" x14ac:dyDescent="0.55000000000000004">
      <c r="A286" s="239"/>
      <c r="B286" s="353"/>
      <c r="E286" s="239"/>
      <c r="I286" s="344"/>
      <c r="L286" s="345"/>
      <c r="M286" s="244"/>
      <c r="Q286" s="347"/>
      <c r="R286" s="238"/>
      <c r="V286" s="349"/>
      <c r="AA286" s="238"/>
      <c r="AD286" s="492"/>
      <c r="AE286" s="244"/>
      <c r="AF286" s="244"/>
      <c r="AG286" s="244"/>
      <c r="AI286" s="257"/>
      <c r="AJ286" s="258"/>
      <c r="AK286" s="258"/>
      <c r="AL286" s="258"/>
      <c r="AM286" s="258"/>
      <c r="AN286" s="258"/>
      <c r="AO286" s="258"/>
      <c r="AP286" s="244"/>
      <c r="AQ286" s="239"/>
      <c r="AS286" s="244"/>
      <c r="AT286" s="244"/>
      <c r="AU286" s="244"/>
      <c r="AV286" s="244"/>
      <c r="AW286" s="313"/>
      <c r="AX286" s="468"/>
      <c r="AY286" s="353"/>
      <c r="BD286" s="266"/>
      <c r="BE286" s="238"/>
    </row>
    <row r="287" spans="1:57" s="237" customFormat="1" ht="15" customHeight="1" x14ac:dyDescent="0.55000000000000004">
      <c r="A287" s="239"/>
      <c r="B287" s="353"/>
      <c r="E287" s="239"/>
      <c r="I287" s="344"/>
      <c r="L287" s="345"/>
      <c r="M287" s="244"/>
      <c r="Q287" s="347"/>
      <c r="R287" s="238"/>
      <c r="V287" s="349"/>
      <c r="AA287" s="238"/>
      <c r="AD287" s="492"/>
      <c r="AE287" s="244"/>
      <c r="AF287" s="244"/>
      <c r="AG287" s="244"/>
      <c r="AI287" s="257"/>
      <c r="AJ287" s="258"/>
      <c r="AK287" s="258"/>
      <c r="AL287" s="258"/>
      <c r="AM287" s="258"/>
      <c r="AN287" s="258"/>
      <c r="AO287" s="258"/>
      <c r="AP287" s="244"/>
      <c r="AQ287" s="239"/>
      <c r="AS287" s="244"/>
      <c r="AT287" s="244"/>
      <c r="AU287" s="244"/>
      <c r="AV287" s="244"/>
      <c r="AW287" s="313"/>
      <c r="AX287" s="468"/>
      <c r="AY287" s="353"/>
      <c r="BD287" s="266"/>
      <c r="BE287" s="238"/>
    </row>
    <row r="288" spans="1:57" s="237" customFormat="1" ht="15" customHeight="1" x14ac:dyDescent="0.55000000000000004">
      <c r="A288" s="239"/>
      <c r="B288" s="353"/>
      <c r="E288" s="239"/>
      <c r="I288" s="344"/>
      <c r="L288" s="345"/>
      <c r="M288" s="244"/>
      <c r="Q288" s="347"/>
      <c r="R288" s="238"/>
      <c r="V288" s="349"/>
      <c r="AA288" s="238"/>
      <c r="AD288" s="492"/>
      <c r="AE288" s="244"/>
      <c r="AF288" s="244"/>
      <c r="AG288" s="244"/>
      <c r="AI288" s="257"/>
      <c r="AJ288" s="258"/>
      <c r="AK288" s="258"/>
      <c r="AL288" s="258"/>
      <c r="AM288" s="258"/>
      <c r="AN288" s="258"/>
      <c r="AO288" s="258"/>
      <c r="AP288" s="244"/>
      <c r="AQ288" s="239"/>
      <c r="AS288" s="244"/>
      <c r="AT288" s="244"/>
      <c r="AU288" s="244"/>
      <c r="AV288" s="244"/>
      <c r="AW288" s="313"/>
      <c r="AX288" s="468"/>
      <c r="AY288" s="353"/>
      <c r="BD288" s="266"/>
      <c r="BE288" s="238"/>
    </row>
    <row r="289" spans="1:57" s="237" customFormat="1" ht="15" customHeight="1" x14ac:dyDescent="0.55000000000000004">
      <c r="A289" s="239"/>
      <c r="B289" s="353"/>
      <c r="E289" s="239"/>
      <c r="I289" s="344"/>
      <c r="L289" s="345"/>
      <c r="M289" s="244"/>
      <c r="Q289" s="347"/>
      <c r="R289" s="238"/>
      <c r="V289" s="349"/>
      <c r="AA289" s="238"/>
      <c r="AD289" s="492"/>
      <c r="AE289" s="244"/>
      <c r="AF289" s="244"/>
      <c r="AG289" s="244"/>
      <c r="AI289" s="257"/>
      <c r="AJ289" s="258"/>
      <c r="AK289" s="258"/>
      <c r="AL289" s="258"/>
      <c r="AM289" s="258"/>
      <c r="AN289" s="258"/>
      <c r="AO289" s="258"/>
      <c r="AP289" s="244"/>
      <c r="AQ289" s="239"/>
      <c r="AS289" s="244"/>
      <c r="AT289" s="244"/>
      <c r="AU289" s="244"/>
      <c r="AV289" s="244"/>
      <c r="AW289" s="313"/>
      <c r="AX289" s="468"/>
      <c r="AY289" s="353"/>
      <c r="BD289" s="266"/>
      <c r="BE289" s="238"/>
    </row>
    <row r="290" spans="1:57" s="237" customFormat="1" ht="15" customHeight="1" x14ac:dyDescent="0.55000000000000004">
      <c r="A290" s="239"/>
      <c r="B290" s="353"/>
      <c r="E290" s="239"/>
      <c r="I290" s="344"/>
      <c r="L290" s="345"/>
      <c r="M290" s="244"/>
      <c r="Q290" s="347"/>
      <c r="R290" s="238"/>
      <c r="V290" s="349"/>
      <c r="AA290" s="238"/>
      <c r="AD290" s="492"/>
      <c r="AE290" s="244"/>
      <c r="AF290" s="244"/>
      <c r="AG290" s="244"/>
      <c r="AI290" s="257"/>
      <c r="AJ290" s="258"/>
      <c r="AK290" s="258"/>
      <c r="AL290" s="258"/>
      <c r="AM290" s="258"/>
      <c r="AN290" s="258"/>
      <c r="AO290" s="258"/>
      <c r="AP290" s="244"/>
      <c r="AQ290" s="239"/>
      <c r="AS290" s="244"/>
      <c r="AT290" s="244"/>
      <c r="AU290" s="244"/>
      <c r="AV290" s="244"/>
      <c r="AW290" s="313"/>
      <c r="AX290" s="468"/>
      <c r="AY290" s="353"/>
      <c r="BD290" s="266"/>
      <c r="BE290" s="238"/>
    </row>
    <row r="291" spans="1:57" s="237" customFormat="1" ht="15" customHeight="1" x14ac:dyDescent="0.55000000000000004">
      <c r="A291" s="239"/>
      <c r="B291" s="353"/>
      <c r="E291" s="239"/>
      <c r="I291" s="344"/>
      <c r="L291" s="345"/>
      <c r="M291" s="244"/>
      <c r="Q291" s="347"/>
      <c r="R291" s="238"/>
      <c r="V291" s="349"/>
      <c r="AA291" s="238"/>
      <c r="AD291" s="492"/>
      <c r="AE291" s="244"/>
      <c r="AF291" s="244"/>
      <c r="AG291" s="244"/>
      <c r="AI291" s="257"/>
      <c r="AJ291" s="258"/>
      <c r="AK291" s="258"/>
      <c r="AL291" s="258"/>
      <c r="AM291" s="258"/>
      <c r="AN291" s="258"/>
      <c r="AO291" s="258"/>
      <c r="AP291" s="244"/>
      <c r="AQ291" s="239"/>
      <c r="AS291" s="244"/>
      <c r="AT291" s="244"/>
      <c r="AU291" s="244"/>
      <c r="AV291" s="244"/>
      <c r="AW291" s="313"/>
      <c r="AX291" s="468"/>
      <c r="AY291" s="353"/>
      <c r="BD291" s="266"/>
      <c r="BE291" s="238"/>
    </row>
    <row r="292" spans="1:57" s="237" customFormat="1" ht="15" customHeight="1" x14ac:dyDescent="0.55000000000000004">
      <c r="A292" s="239"/>
      <c r="B292" s="353"/>
      <c r="E292" s="239"/>
      <c r="I292" s="344"/>
      <c r="L292" s="345"/>
      <c r="M292" s="244"/>
      <c r="Q292" s="347"/>
      <c r="R292" s="238"/>
      <c r="V292" s="349"/>
      <c r="AA292" s="238"/>
      <c r="AD292" s="492"/>
      <c r="AE292" s="244"/>
      <c r="AF292" s="244"/>
      <c r="AG292" s="244"/>
      <c r="AI292" s="257"/>
      <c r="AJ292" s="258"/>
      <c r="AK292" s="258"/>
      <c r="AL292" s="258"/>
      <c r="AM292" s="258"/>
      <c r="AN292" s="258"/>
      <c r="AO292" s="258"/>
      <c r="AP292" s="244"/>
      <c r="AQ292" s="239"/>
      <c r="AS292" s="244"/>
      <c r="AT292" s="244"/>
      <c r="AU292" s="244"/>
      <c r="AV292" s="244"/>
      <c r="AW292" s="313"/>
      <c r="AX292" s="468"/>
      <c r="AY292" s="353"/>
      <c r="BD292" s="266"/>
      <c r="BE292" s="238"/>
    </row>
    <row r="293" spans="1:57" s="237" customFormat="1" ht="15" customHeight="1" x14ac:dyDescent="0.55000000000000004">
      <c r="A293" s="239"/>
      <c r="B293" s="353"/>
      <c r="E293" s="239"/>
      <c r="I293" s="344"/>
      <c r="L293" s="345"/>
      <c r="M293" s="244"/>
      <c r="Q293" s="347"/>
      <c r="R293" s="238"/>
      <c r="V293" s="349"/>
      <c r="AA293" s="238"/>
      <c r="AD293" s="492"/>
      <c r="AE293" s="244"/>
      <c r="AF293" s="244"/>
      <c r="AG293" s="244"/>
      <c r="AI293" s="257"/>
      <c r="AJ293" s="258"/>
      <c r="AK293" s="258"/>
      <c r="AL293" s="258"/>
      <c r="AM293" s="258"/>
      <c r="AN293" s="258"/>
      <c r="AO293" s="258"/>
      <c r="AP293" s="244"/>
      <c r="AQ293" s="239"/>
      <c r="AS293" s="244"/>
      <c r="AT293" s="244"/>
      <c r="AU293" s="244"/>
      <c r="AV293" s="244"/>
      <c r="AW293" s="313"/>
      <c r="AX293" s="468"/>
      <c r="AY293" s="353"/>
      <c r="BD293" s="266"/>
      <c r="BE293" s="238"/>
    </row>
    <row r="294" spans="1:57" s="237" customFormat="1" ht="15" customHeight="1" x14ac:dyDescent="0.55000000000000004">
      <c r="A294" s="239"/>
      <c r="B294" s="353"/>
      <c r="E294" s="239"/>
      <c r="I294" s="344"/>
      <c r="L294" s="345"/>
      <c r="M294" s="244"/>
      <c r="Q294" s="347"/>
      <c r="R294" s="238"/>
      <c r="V294" s="349"/>
      <c r="AA294" s="238"/>
      <c r="AD294" s="492"/>
      <c r="AE294" s="244"/>
      <c r="AF294" s="244"/>
      <c r="AG294" s="244"/>
      <c r="AI294" s="257"/>
      <c r="AJ294" s="258"/>
      <c r="AK294" s="258"/>
      <c r="AL294" s="258"/>
      <c r="AM294" s="258"/>
      <c r="AN294" s="258"/>
      <c r="AO294" s="258"/>
      <c r="AP294" s="244"/>
      <c r="AQ294" s="239"/>
      <c r="AS294" s="244"/>
      <c r="AT294" s="244"/>
      <c r="AU294" s="244"/>
      <c r="AV294" s="244"/>
      <c r="AW294" s="313"/>
      <c r="AX294" s="468"/>
      <c r="AY294" s="353"/>
      <c r="BD294" s="266"/>
      <c r="BE294" s="238"/>
    </row>
    <row r="295" spans="1:57" s="237" customFormat="1" ht="15" customHeight="1" x14ac:dyDescent="0.55000000000000004">
      <c r="A295" s="239"/>
      <c r="B295" s="353"/>
      <c r="E295" s="239"/>
      <c r="I295" s="344"/>
      <c r="L295" s="345"/>
      <c r="M295" s="244"/>
      <c r="Q295" s="347"/>
      <c r="R295" s="238"/>
      <c r="V295" s="349"/>
      <c r="AA295" s="238"/>
      <c r="AD295" s="492"/>
      <c r="AE295" s="244"/>
      <c r="AF295" s="244"/>
      <c r="AG295" s="244"/>
      <c r="AI295" s="257"/>
      <c r="AJ295" s="258"/>
      <c r="AK295" s="258"/>
      <c r="AL295" s="258"/>
      <c r="AM295" s="258"/>
      <c r="AN295" s="258"/>
      <c r="AO295" s="258"/>
      <c r="AP295" s="244"/>
      <c r="AQ295" s="239"/>
      <c r="AS295" s="244"/>
      <c r="AT295" s="244"/>
      <c r="AU295" s="244"/>
      <c r="AV295" s="244"/>
      <c r="AW295" s="313"/>
      <c r="AX295" s="468"/>
      <c r="AY295" s="353"/>
      <c r="BD295" s="266"/>
      <c r="BE295" s="238"/>
    </row>
    <row r="296" spans="1:57" s="237" customFormat="1" ht="15" customHeight="1" x14ac:dyDescent="0.55000000000000004">
      <c r="A296" s="239"/>
      <c r="B296" s="353"/>
      <c r="E296" s="239"/>
      <c r="I296" s="344"/>
      <c r="L296" s="345"/>
      <c r="M296" s="244"/>
      <c r="Q296" s="347"/>
      <c r="R296" s="238"/>
      <c r="V296" s="349"/>
      <c r="AA296" s="238"/>
      <c r="AD296" s="492"/>
      <c r="AE296" s="244"/>
      <c r="AF296" s="244"/>
      <c r="AG296" s="244"/>
      <c r="AI296" s="257"/>
      <c r="AJ296" s="258"/>
      <c r="AK296" s="258"/>
      <c r="AL296" s="258"/>
      <c r="AM296" s="258"/>
      <c r="AN296" s="258"/>
      <c r="AO296" s="258"/>
      <c r="AP296" s="244"/>
      <c r="AQ296" s="239"/>
      <c r="AS296" s="244"/>
      <c r="AT296" s="244"/>
      <c r="AU296" s="244"/>
      <c r="AV296" s="244"/>
      <c r="AW296" s="313"/>
      <c r="AX296" s="468"/>
      <c r="AY296" s="353"/>
      <c r="BD296" s="266"/>
      <c r="BE296" s="238"/>
    </row>
    <row r="297" spans="1:57" s="237" customFormat="1" ht="15" customHeight="1" x14ac:dyDescent="0.55000000000000004">
      <c r="A297" s="239"/>
      <c r="B297" s="353"/>
      <c r="E297" s="239"/>
      <c r="I297" s="344"/>
      <c r="L297" s="345"/>
      <c r="M297" s="244"/>
      <c r="Q297" s="347"/>
      <c r="R297" s="238"/>
      <c r="V297" s="349"/>
      <c r="AA297" s="238"/>
      <c r="AD297" s="492"/>
      <c r="AE297" s="244"/>
      <c r="AF297" s="244"/>
      <c r="AG297" s="244"/>
      <c r="AI297" s="257"/>
      <c r="AJ297" s="258"/>
      <c r="AK297" s="258"/>
      <c r="AL297" s="258"/>
      <c r="AM297" s="258"/>
      <c r="AN297" s="258"/>
      <c r="AO297" s="258"/>
      <c r="AP297" s="244"/>
      <c r="AQ297" s="239"/>
      <c r="AS297" s="244"/>
      <c r="AT297" s="244"/>
      <c r="AU297" s="244"/>
      <c r="AV297" s="244"/>
      <c r="AW297" s="313"/>
      <c r="AX297" s="468"/>
      <c r="AY297" s="353"/>
      <c r="BD297" s="266"/>
      <c r="BE297" s="238"/>
    </row>
    <row r="298" spans="1:57" s="237" customFormat="1" ht="15" customHeight="1" x14ac:dyDescent="0.55000000000000004">
      <c r="A298" s="239"/>
      <c r="B298" s="353"/>
      <c r="E298" s="239"/>
      <c r="I298" s="344"/>
      <c r="L298" s="345"/>
      <c r="M298" s="244"/>
      <c r="Q298" s="347"/>
      <c r="R298" s="238"/>
      <c r="V298" s="349"/>
      <c r="AA298" s="238"/>
      <c r="AD298" s="492"/>
      <c r="AE298" s="244"/>
      <c r="AF298" s="244"/>
      <c r="AG298" s="244"/>
      <c r="AI298" s="257"/>
      <c r="AJ298" s="258"/>
      <c r="AK298" s="258"/>
      <c r="AL298" s="258"/>
      <c r="AM298" s="258"/>
      <c r="AN298" s="258"/>
      <c r="AO298" s="258"/>
      <c r="AP298" s="244"/>
      <c r="AQ298" s="239"/>
      <c r="AS298" s="244"/>
      <c r="AT298" s="244"/>
      <c r="AU298" s="244"/>
      <c r="AV298" s="244"/>
      <c r="AW298" s="313"/>
      <c r="AX298" s="468"/>
      <c r="AY298" s="353"/>
      <c r="BD298" s="266"/>
      <c r="BE298" s="238"/>
    </row>
    <row r="299" spans="1:57" s="237" customFormat="1" ht="15" customHeight="1" x14ac:dyDescent="0.55000000000000004">
      <c r="A299" s="239"/>
      <c r="B299" s="353"/>
      <c r="E299" s="239"/>
      <c r="I299" s="344"/>
      <c r="L299" s="345"/>
      <c r="M299" s="244"/>
      <c r="Q299" s="347"/>
      <c r="R299" s="238"/>
      <c r="V299" s="349"/>
      <c r="AA299" s="238"/>
      <c r="AD299" s="492"/>
      <c r="AE299" s="244"/>
      <c r="AF299" s="244"/>
      <c r="AG299" s="244"/>
      <c r="AI299" s="257"/>
      <c r="AJ299" s="258"/>
      <c r="AK299" s="258"/>
      <c r="AL299" s="258"/>
      <c r="AM299" s="258"/>
      <c r="AN299" s="258"/>
      <c r="AO299" s="258"/>
      <c r="AP299" s="244"/>
      <c r="AQ299" s="239"/>
      <c r="AS299" s="244"/>
      <c r="AT299" s="244"/>
      <c r="AU299" s="244"/>
      <c r="AV299" s="244"/>
      <c r="AW299" s="313"/>
      <c r="AX299" s="468"/>
      <c r="AY299" s="353"/>
      <c r="BD299" s="266"/>
      <c r="BE299" s="238"/>
    </row>
    <row r="300" spans="1:57" s="237" customFormat="1" ht="15" customHeight="1" x14ac:dyDescent="0.55000000000000004">
      <c r="A300" s="239"/>
      <c r="B300" s="353"/>
      <c r="E300" s="239"/>
      <c r="I300" s="344"/>
      <c r="L300" s="345"/>
      <c r="M300" s="244"/>
      <c r="Q300" s="347"/>
      <c r="R300" s="238"/>
      <c r="V300" s="349"/>
      <c r="AA300" s="238"/>
      <c r="AD300" s="492"/>
      <c r="AE300" s="244"/>
      <c r="AF300" s="244"/>
      <c r="AG300" s="244"/>
      <c r="AI300" s="257"/>
      <c r="AJ300" s="258"/>
      <c r="AK300" s="258"/>
      <c r="AL300" s="258"/>
      <c r="AM300" s="258"/>
      <c r="AN300" s="258"/>
      <c r="AO300" s="258"/>
      <c r="AP300" s="244"/>
      <c r="AQ300" s="239"/>
      <c r="AS300" s="244"/>
      <c r="AT300" s="244"/>
      <c r="AU300" s="244"/>
      <c r="AV300" s="244"/>
      <c r="AW300" s="313"/>
      <c r="AX300" s="468"/>
      <c r="AY300" s="353"/>
      <c r="BD300" s="266"/>
      <c r="BE300" s="238"/>
    </row>
    <row r="301" spans="1:57" s="237" customFormat="1" ht="15" customHeight="1" x14ac:dyDescent="0.55000000000000004">
      <c r="A301" s="239"/>
      <c r="B301" s="353"/>
      <c r="E301" s="239"/>
      <c r="I301" s="344"/>
      <c r="L301" s="345"/>
      <c r="M301" s="244"/>
      <c r="Q301" s="347"/>
      <c r="R301" s="238"/>
      <c r="V301" s="349"/>
      <c r="AA301" s="238"/>
      <c r="AD301" s="492"/>
      <c r="AE301" s="244"/>
      <c r="AF301" s="244"/>
      <c r="AG301" s="244"/>
      <c r="AI301" s="257"/>
      <c r="AJ301" s="258"/>
      <c r="AK301" s="258"/>
      <c r="AL301" s="258"/>
      <c r="AM301" s="258"/>
      <c r="AN301" s="258"/>
      <c r="AO301" s="258"/>
      <c r="AP301" s="244"/>
      <c r="AQ301" s="239"/>
      <c r="AS301" s="244"/>
      <c r="AT301" s="244"/>
      <c r="AU301" s="244"/>
      <c r="AV301" s="244"/>
      <c r="AW301" s="313"/>
      <c r="AX301" s="468"/>
      <c r="AY301" s="353"/>
      <c r="BD301" s="266"/>
      <c r="BE301" s="238"/>
    </row>
    <row r="302" spans="1:57" s="237" customFormat="1" ht="15" customHeight="1" x14ac:dyDescent="0.55000000000000004">
      <c r="A302" s="239"/>
      <c r="B302" s="353"/>
      <c r="E302" s="239"/>
      <c r="I302" s="344"/>
      <c r="L302" s="345"/>
      <c r="M302" s="244"/>
      <c r="Q302" s="347"/>
      <c r="R302" s="238"/>
      <c r="V302" s="349"/>
      <c r="AA302" s="238"/>
      <c r="AD302" s="492"/>
      <c r="AE302" s="244"/>
      <c r="AF302" s="244"/>
      <c r="AG302" s="244"/>
      <c r="AI302" s="257"/>
      <c r="AJ302" s="258"/>
      <c r="AK302" s="258"/>
      <c r="AL302" s="258"/>
      <c r="AM302" s="258"/>
      <c r="AN302" s="258"/>
      <c r="AO302" s="258"/>
      <c r="AP302" s="244"/>
      <c r="AQ302" s="239"/>
      <c r="AS302" s="244"/>
      <c r="AT302" s="244"/>
      <c r="AU302" s="244"/>
      <c r="AV302" s="244"/>
      <c r="AW302" s="313"/>
      <c r="AX302" s="468"/>
      <c r="AY302" s="353"/>
      <c r="BD302" s="266"/>
      <c r="BE302" s="238"/>
    </row>
    <row r="303" spans="1:57" s="237" customFormat="1" ht="15" customHeight="1" x14ac:dyDescent="0.55000000000000004">
      <c r="A303" s="239"/>
      <c r="B303" s="353"/>
      <c r="E303" s="239"/>
      <c r="I303" s="344"/>
      <c r="L303" s="345"/>
      <c r="M303" s="244"/>
      <c r="Q303" s="347"/>
      <c r="R303" s="238"/>
      <c r="V303" s="349"/>
      <c r="AA303" s="238"/>
      <c r="AD303" s="492"/>
      <c r="AE303" s="244"/>
      <c r="AF303" s="244"/>
      <c r="AG303" s="244"/>
      <c r="AI303" s="257"/>
      <c r="AJ303" s="258"/>
      <c r="AK303" s="258"/>
      <c r="AL303" s="258"/>
      <c r="AM303" s="258"/>
      <c r="AN303" s="258"/>
      <c r="AO303" s="258"/>
      <c r="AP303" s="244"/>
      <c r="AQ303" s="239"/>
      <c r="AS303" s="244"/>
      <c r="AT303" s="244"/>
      <c r="AU303" s="244"/>
      <c r="AV303" s="244"/>
      <c r="AW303" s="313"/>
      <c r="AX303" s="468"/>
      <c r="AY303" s="353"/>
      <c r="BD303" s="266"/>
      <c r="BE303" s="238"/>
    </row>
    <row r="304" spans="1:57" s="237" customFormat="1" ht="15" customHeight="1" x14ac:dyDescent="0.55000000000000004">
      <c r="A304" s="239"/>
      <c r="B304" s="353"/>
      <c r="E304" s="239"/>
      <c r="I304" s="344"/>
      <c r="L304" s="345"/>
      <c r="M304" s="244"/>
      <c r="Q304" s="347"/>
      <c r="R304" s="238"/>
      <c r="V304" s="349"/>
      <c r="AA304" s="238"/>
      <c r="AD304" s="492"/>
      <c r="AE304" s="244"/>
      <c r="AF304" s="244"/>
      <c r="AG304" s="244"/>
      <c r="AI304" s="257"/>
      <c r="AJ304" s="258"/>
      <c r="AK304" s="258"/>
      <c r="AL304" s="258"/>
      <c r="AM304" s="258"/>
      <c r="AN304" s="258"/>
      <c r="AO304" s="258"/>
      <c r="AP304" s="244"/>
      <c r="AQ304" s="239"/>
      <c r="AS304" s="244"/>
      <c r="AT304" s="244"/>
      <c r="AU304" s="244"/>
      <c r="AV304" s="244"/>
      <c r="AW304" s="313"/>
      <c r="AX304" s="468"/>
      <c r="AY304" s="353"/>
      <c r="BD304" s="266"/>
      <c r="BE304" s="238"/>
    </row>
    <row r="305" spans="1:57" s="237" customFormat="1" ht="15" customHeight="1" x14ac:dyDescent="0.55000000000000004">
      <c r="A305" s="239"/>
      <c r="B305" s="353"/>
      <c r="E305" s="239"/>
      <c r="I305" s="344"/>
      <c r="L305" s="345"/>
      <c r="M305" s="244"/>
      <c r="Q305" s="347"/>
      <c r="R305" s="238"/>
      <c r="V305" s="349"/>
      <c r="AA305" s="238"/>
      <c r="AD305" s="492"/>
      <c r="AE305" s="244"/>
      <c r="AF305" s="244"/>
      <c r="AG305" s="244"/>
      <c r="AI305" s="257"/>
      <c r="AJ305" s="258"/>
      <c r="AK305" s="258"/>
      <c r="AL305" s="258"/>
      <c r="AM305" s="258"/>
      <c r="AN305" s="258"/>
      <c r="AO305" s="258"/>
      <c r="AP305" s="244"/>
      <c r="AQ305" s="239"/>
      <c r="AS305" s="244"/>
      <c r="AT305" s="244"/>
      <c r="AU305" s="244"/>
      <c r="AV305" s="244"/>
      <c r="AW305" s="313"/>
      <c r="AX305" s="468"/>
      <c r="AY305" s="353"/>
      <c r="BD305" s="266"/>
      <c r="BE305" s="238"/>
    </row>
    <row r="306" spans="1:57" s="237" customFormat="1" ht="15" customHeight="1" x14ac:dyDescent="0.55000000000000004">
      <c r="A306" s="239"/>
      <c r="B306" s="353"/>
      <c r="E306" s="239"/>
      <c r="I306" s="344"/>
      <c r="L306" s="345"/>
      <c r="M306" s="244"/>
      <c r="Q306" s="347"/>
      <c r="R306" s="238"/>
      <c r="V306" s="349"/>
      <c r="AA306" s="238"/>
      <c r="AD306" s="492"/>
      <c r="AE306" s="244"/>
      <c r="AF306" s="244"/>
      <c r="AG306" s="244"/>
      <c r="AI306" s="257"/>
      <c r="AJ306" s="258"/>
      <c r="AK306" s="258"/>
      <c r="AL306" s="258"/>
      <c r="AM306" s="258"/>
      <c r="AN306" s="258"/>
      <c r="AO306" s="258"/>
      <c r="AP306" s="244"/>
      <c r="AQ306" s="239"/>
      <c r="AS306" s="244"/>
      <c r="AT306" s="244"/>
      <c r="AU306" s="244"/>
      <c r="AV306" s="244"/>
      <c r="AW306" s="313"/>
      <c r="AX306" s="468"/>
      <c r="AY306" s="353"/>
      <c r="BD306" s="266"/>
      <c r="BE306" s="238"/>
    </row>
    <row r="307" spans="1:57" s="237" customFormat="1" ht="15" customHeight="1" x14ac:dyDescent="0.55000000000000004">
      <c r="A307" s="239"/>
      <c r="B307" s="353"/>
      <c r="E307" s="239"/>
      <c r="I307" s="344"/>
      <c r="L307" s="345"/>
      <c r="M307" s="244"/>
      <c r="Q307" s="347"/>
      <c r="R307" s="238"/>
      <c r="V307" s="349"/>
      <c r="AA307" s="238"/>
      <c r="AD307" s="492"/>
      <c r="AE307" s="244"/>
      <c r="AF307" s="244"/>
      <c r="AG307" s="244"/>
      <c r="AI307" s="257"/>
      <c r="AJ307" s="258"/>
      <c r="AK307" s="258"/>
      <c r="AL307" s="258"/>
      <c r="AM307" s="258"/>
      <c r="AN307" s="258"/>
      <c r="AO307" s="258"/>
      <c r="AP307" s="244"/>
      <c r="AQ307" s="239"/>
      <c r="AS307" s="244"/>
      <c r="AT307" s="244"/>
      <c r="AU307" s="244"/>
      <c r="AV307" s="244"/>
      <c r="AW307" s="313"/>
      <c r="AX307" s="468"/>
      <c r="AY307" s="353"/>
      <c r="BD307" s="266"/>
      <c r="BE307" s="238"/>
    </row>
    <row r="308" spans="1:57" s="237" customFormat="1" ht="15" customHeight="1" x14ac:dyDescent="0.55000000000000004">
      <c r="A308" s="239"/>
      <c r="B308" s="353"/>
      <c r="E308" s="239"/>
      <c r="I308" s="344"/>
      <c r="L308" s="345"/>
      <c r="M308" s="244"/>
      <c r="Q308" s="347"/>
      <c r="R308" s="238"/>
      <c r="V308" s="349"/>
      <c r="AA308" s="238"/>
      <c r="AD308" s="492"/>
      <c r="AE308" s="244"/>
      <c r="AF308" s="244"/>
      <c r="AG308" s="244"/>
      <c r="AI308" s="257"/>
      <c r="AJ308" s="258"/>
      <c r="AK308" s="258"/>
      <c r="AL308" s="258"/>
      <c r="AM308" s="258"/>
      <c r="AN308" s="258"/>
      <c r="AO308" s="258"/>
      <c r="AP308" s="244"/>
      <c r="AQ308" s="239"/>
      <c r="AS308" s="244"/>
      <c r="AT308" s="244"/>
      <c r="AU308" s="244"/>
      <c r="AV308" s="244"/>
      <c r="AW308" s="313"/>
      <c r="AX308" s="468"/>
      <c r="AY308" s="353"/>
      <c r="BD308" s="266"/>
      <c r="BE308" s="238"/>
    </row>
    <row r="309" spans="1:57" s="237" customFormat="1" ht="15" customHeight="1" x14ac:dyDescent="0.55000000000000004">
      <c r="A309" s="239"/>
      <c r="B309" s="353"/>
      <c r="E309" s="239"/>
      <c r="I309" s="344"/>
      <c r="L309" s="345"/>
      <c r="M309" s="244"/>
      <c r="Q309" s="347"/>
      <c r="R309" s="238"/>
      <c r="V309" s="349"/>
      <c r="AA309" s="238"/>
      <c r="AD309" s="492"/>
      <c r="AE309" s="244"/>
      <c r="AF309" s="244"/>
      <c r="AG309" s="244"/>
      <c r="AI309" s="257"/>
      <c r="AJ309" s="258"/>
      <c r="AK309" s="258"/>
      <c r="AL309" s="258"/>
      <c r="AM309" s="258"/>
      <c r="AN309" s="258"/>
      <c r="AO309" s="258"/>
      <c r="AP309" s="244"/>
      <c r="AQ309" s="239"/>
      <c r="AS309" s="244"/>
      <c r="AT309" s="244"/>
      <c r="AU309" s="244"/>
      <c r="AV309" s="244"/>
      <c r="AW309" s="313"/>
      <c r="AX309" s="468"/>
      <c r="AY309" s="353"/>
      <c r="BD309" s="266"/>
      <c r="BE309" s="238"/>
    </row>
    <row r="310" spans="1:57" s="237" customFormat="1" ht="15" customHeight="1" x14ac:dyDescent="0.55000000000000004">
      <c r="A310" s="239"/>
      <c r="B310" s="353"/>
      <c r="E310" s="239"/>
      <c r="I310" s="344"/>
      <c r="L310" s="345"/>
      <c r="M310" s="244"/>
      <c r="Q310" s="347"/>
      <c r="R310" s="238"/>
      <c r="V310" s="349"/>
      <c r="AA310" s="238"/>
      <c r="AD310" s="492"/>
      <c r="AE310" s="244"/>
      <c r="AF310" s="244"/>
      <c r="AG310" s="244"/>
      <c r="AI310" s="257"/>
      <c r="AJ310" s="258"/>
      <c r="AK310" s="258"/>
      <c r="AL310" s="258"/>
      <c r="AM310" s="258"/>
      <c r="AN310" s="258"/>
      <c r="AO310" s="258"/>
      <c r="AP310" s="244"/>
      <c r="AQ310" s="239"/>
      <c r="AS310" s="244"/>
      <c r="AT310" s="244"/>
      <c r="AU310" s="244"/>
      <c r="AV310" s="244"/>
      <c r="AW310" s="313"/>
      <c r="AX310" s="468"/>
      <c r="AY310" s="353"/>
      <c r="BD310" s="266"/>
      <c r="BE310" s="238"/>
    </row>
    <row r="311" spans="1:57" s="237" customFormat="1" ht="15" customHeight="1" x14ac:dyDescent="0.55000000000000004">
      <c r="A311" s="239"/>
      <c r="B311" s="353"/>
      <c r="E311" s="239"/>
      <c r="I311" s="344"/>
      <c r="L311" s="345"/>
      <c r="M311" s="244"/>
      <c r="Q311" s="347"/>
      <c r="R311" s="238"/>
      <c r="V311" s="349"/>
      <c r="AA311" s="238"/>
      <c r="AD311" s="492"/>
      <c r="AE311" s="244"/>
      <c r="AF311" s="244"/>
      <c r="AG311" s="244"/>
      <c r="AI311" s="257"/>
      <c r="AJ311" s="258"/>
      <c r="AK311" s="258"/>
      <c r="AL311" s="258"/>
      <c r="AM311" s="258"/>
      <c r="AN311" s="258"/>
      <c r="AO311" s="258"/>
      <c r="AP311" s="244"/>
      <c r="AQ311" s="239"/>
      <c r="AS311" s="244"/>
      <c r="AT311" s="244"/>
      <c r="AU311" s="244"/>
      <c r="AV311" s="244"/>
      <c r="AW311" s="313"/>
      <c r="AX311" s="468"/>
      <c r="AY311" s="353"/>
      <c r="BD311" s="266"/>
      <c r="BE311" s="238"/>
    </row>
    <row r="312" spans="1:57" s="237" customFormat="1" ht="15" customHeight="1" x14ac:dyDescent="0.55000000000000004">
      <c r="A312" s="239"/>
      <c r="B312" s="353"/>
      <c r="E312" s="239"/>
      <c r="I312" s="344"/>
      <c r="L312" s="345"/>
      <c r="M312" s="244"/>
      <c r="Q312" s="347"/>
      <c r="R312" s="238"/>
      <c r="V312" s="349"/>
      <c r="AA312" s="238"/>
      <c r="AD312" s="492"/>
      <c r="AE312" s="244"/>
      <c r="AF312" s="244"/>
      <c r="AG312" s="244"/>
      <c r="AI312" s="257"/>
      <c r="AJ312" s="258"/>
      <c r="AK312" s="258"/>
      <c r="AL312" s="258"/>
      <c r="AM312" s="258"/>
      <c r="AN312" s="258"/>
      <c r="AO312" s="258"/>
      <c r="AP312" s="244"/>
      <c r="AQ312" s="239"/>
      <c r="AS312" s="244"/>
      <c r="AT312" s="244"/>
      <c r="AU312" s="244"/>
      <c r="AV312" s="244"/>
      <c r="AW312" s="313"/>
      <c r="AX312" s="468"/>
      <c r="AY312" s="353"/>
      <c r="BD312" s="266"/>
      <c r="BE312" s="238"/>
    </row>
    <row r="313" spans="1:57" s="237" customFormat="1" ht="15" customHeight="1" x14ac:dyDescent="0.55000000000000004">
      <c r="A313" s="239"/>
      <c r="B313" s="353"/>
      <c r="E313" s="239"/>
      <c r="I313" s="344"/>
      <c r="L313" s="345"/>
      <c r="M313" s="244"/>
      <c r="Q313" s="347"/>
      <c r="R313" s="238"/>
      <c r="V313" s="349"/>
      <c r="AA313" s="238"/>
      <c r="AD313" s="492"/>
      <c r="AE313" s="244"/>
      <c r="AF313" s="244"/>
      <c r="AG313" s="244"/>
      <c r="AI313" s="257"/>
      <c r="AJ313" s="258"/>
      <c r="AK313" s="258"/>
      <c r="AL313" s="258"/>
      <c r="AM313" s="258"/>
      <c r="AN313" s="258"/>
      <c r="AO313" s="258"/>
      <c r="AP313" s="244"/>
      <c r="AQ313" s="239"/>
      <c r="AS313" s="244"/>
      <c r="AT313" s="244"/>
      <c r="AU313" s="244"/>
      <c r="AV313" s="244"/>
      <c r="AW313" s="313"/>
      <c r="AX313" s="468"/>
      <c r="AY313" s="353"/>
      <c r="BD313" s="266"/>
      <c r="BE313" s="238"/>
    </row>
    <row r="314" spans="1:57" s="237" customFormat="1" ht="15" customHeight="1" x14ac:dyDescent="0.55000000000000004">
      <c r="A314" s="239"/>
      <c r="B314" s="353"/>
      <c r="E314" s="239"/>
      <c r="I314" s="344"/>
      <c r="L314" s="345"/>
      <c r="M314" s="244"/>
      <c r="Q314" s="347"/>
      <c r="R314" s="238"/>
      <c r="V314" s="349"/>
      <c r="AA314" s="238"/>
      <c r="AD314" s="492"/>
      <c r="AE314" s="244"/>
      <c r="AF314" s="244"/>
      <c r="AG314" s="244"/>
      <c r="AI314" s="257"/>
      <c r="AJ314" s="258"/>
      <c r="AK314" s="258"/>
      <c r="AL314" s="258"/>
      <c r="AM314" s="258"/>
      <c r="AN314" s="258"/>
      <c r="AO314" s="258"/>
      <c r="AP314" s="244"/>
      <c r="AQ314" s="239"/>
      <c r="AS314" s="244"/>
      <c r="AT314" s="244"/>
      <c r="AU314" s="244"/>
      <c r="AV314" s="244"/>
      <c r="AW314" s="313"/>
      <c r="AX314" s="468"/>
      <c r="AY314" s="353"/>
      <c r="BD314" s="266"/>
      <c r="BE314" s="238"/>
    </row>
    <row r="315" spans="1:57" s="237" customFormat="1" ht="15" customHeight="1" x14ac:dyDescent="0.55000000000000004">
      <c r="A315" s="239"/>
      <c r="B315" s="353"/>
      <c r="E315" s="239"/>
      <c r="I315" s="344"/>
      <c r="L315" s="345"/>
      <c r="M315" s="244"/>
      <c r="Q315" s="347"/>
      <c r="R315" s="238"/>
      <c r="V315" s="349"/>
      <c r="AA315" s="238"/>
      <c r="AD315" s="492"/>
      <c r="AE315" s="244"/>
      <c r="AF315" s="244"/>
      <c r="AG315" s="244"/>
      <c r="AI315" s="257"/>
      <c r="AJ315" s="258"/>
      <c r="AK315" s="258"/>
      <c r="AL315" s="258"/>
      <c r="AM315" s="258"/>
      <c r="AN315" s="258"/>
      <c r="AO315" s="258"/>
      <c r="AP315" s="244"/>
      <c r="AQ315" s="239"/>
      <c r="AS315" s="244"/>
      <c r="AT315" s="244"/>
      <c r="AU315" s="244"/>
      <c r="AV315" s="244"/>
      <c r="AW315" s="313"/>
      <c r="AX315" s="468"/>
      <c r="AY315" s="353"/>
      <c r="BD315" s="266"/>
      <c r="BE315" s="238"/>
    </row>
    <row r="316" spans="1:57" s="237" customFormat="1" ht="15" customHeight="1" x14ac:dyDescent="0.55000000000000004">
      <c r="A316" s="239"/>
      <c r="B316" s="353"/>
      <c r="E316" s="239"/>
      <c r="I316" s="344"/>
      <c r="L316" s="345"/>
      <c r="M316" s="244"/>
      <c r="Q316" s="347"/>
      <c r="R316" s="238"/>
      <c r="V316" s="349"/>
      <c r="AA316" s="238"/>
      <c r="AD316" s="492"/>
      <c r="AE316" s="244"/>
      <c r="AF316" s="244"/>
      <c r="AG316" s="244"/>
      <c r="AI316" s="257"/>
      <c r="AJ316" s="258"/>
      <c r="AK316" s="258"/>
      <c r="AL316" s="258"/>
      <c r="AM316" s="258"/>
      <c r="AN316" s="258"/>
      <c r="AO316" s="258"/>
      <c r="AP316" s="244"/>
      <c r="AQ316" s="239"/>
      <c r="AS316" s="244"/>
      <c r="AT316" s="244"/>
      <c r="AU316" s="244"/>
      <c r="AV316" s="244"/>
      <c r="AW316" s="313"/>
      <c r="AX316" s="468"/>
      <c r="AY316" s="353"/>
      <c r="BD316" s="266"/>
      <c r="BE316" s="238"/>
    </row>
    <row r="317" spans="1:57" s="237" customFormat="1" ht="15" customHeight="1" x14ac:dyDescent="0.55000000000000004">
      <c r="A317" s="239"/>
      <c r="B317" s="353"/>
      <c r="E317" s="239"/>
      <c r="I317" s="344"/>
      <c r="L317" s="345"/>
      <c r="M317" s="244"/>
      <c r="Q317" s="347"/>
      <c r="R317" s="238"/>
      <c r="V317" s="349"/>
      <c r="AA317" s="238"/>
      <c r="AD317" s="492"/>
      <c r="AE317" s="244"/>
      <c r="AF317" s="244"/>
      <c r="AG317" s="244"/>
      <c r="AI317" s="257"/>
      <c r="AJ317" s="258"/>
      <c r="AK317" s="258"/>
      <c r="AL317" s="258"/>
      <c r="AM317" s="258"/>
      <c r="AN317" s="258"/>
      <c r="AO317" s="258"/>
      <c r="AP317" s="244"/>
      <c r="AQ317" s="239"/>
      <c r="AS317" s="244"/>
      <c r="AT317" s="244"/>
      <c r="AU317" s="244"/>
      <c r="AV317" s="244"/>
      <c r="AW317" s="313"/>
      <c r="AX317" s="468"/>
      <c r="AY317" s="353"/>
      <c r="BD317" s="266"/>
      <c r="BE317" s="238"/>
    </row>
    <row r="318" spans="1:57" s="237" customFormat="1" ht="15" customHeight="1" x14ac:dyDescent="0.55000000000000004">
      <c r="A318" s="239"/>
      <c r="B318" s="353"/>
      <c r="E318" s="239"/>
      <c r="I318" s="344"/>
      <c r="L318" s="345"/>
      <c r="M318" s="244"/>
      <c r="Q318" s="347"/>
      <c r="R318" s="238"/>
      <c r="V318" s="349"/>
      <c r="AA318" s="238"/>
      <c r="AD318" s="492"/>
      <c r="AE318" s="244"/>
      <c r="AF318" s="244"/>
      <c r="AG318" s="244"/>
      <c r="AI318" s="257"/>
      <c r="AJ318" s="258"/>
      <c r="AK318" s="258"/>
      <c r="AL318" s="258"/>
      <c r="AM318" s="258"/>
      <c r="AN318" s="258"/>
      <c r="AO318" s="258"/>
      <c r="AP318" s="244"/>
      <c r="AQ318" s="239"/>
      <c r="AS318" s="244"/>
      <c r="AT318" s="244"/>
      <c r="AU318" s="244"/>
      <c r="AV318" s="244"/>
      <c r="AW318" s="313"/>
      <c r="AX318" s="468"/>
      <c r="AY318" s="353"/>
      <c r="BD318" s="266"/>
      <c r="BE318" s="238"/>
    </row>
    <row r="319" spans="1:57" s="237" customFormat="1" ht="15" customHeight="1" x14ac:dyDescent="0.55000000000000004">
      <c r="A319" s="239"/>
      <c r="B319" s="353"/>
      <c r="E319" s="239"/>
      <c r="I319" s="344"/>
      <c r="L319" s="345"/>
      <c r="M319" s="244"/>
      <c r="Q319" s="347"/>
      <c r="R319" s="238"/>
      <c r="V319" s="349"/>
      <c r="AA319" s="238"/>
      <c r="AD319" s="492"/>
      <c r="AE319" s="244"/>
      <c r="AF319" s="244"/>
      <c r="AG319" s="244"/>
      <c r="AI319" s="257"/>
      <c r="AJ319" s="258"/>
      <c r="AK319" s="258"/>
      <c r="AL319" s="258"/>
      <c r="AM319" s="258"/>
      <c r="AN319" s="258"/>
      <c r="AO319" s="258"/>
      <c r="AP319" s="244"/>
      <c r="AQ319" s="239"/>
      <c r="AS319" s="244"/>
      <c r="AT319" s="244"/>
      <c r="AU319" s="244"/>
      <c r="AV319" s="244"/>
      <c r="AW319" s="313"/>
      <c r="AX319" s="468"/>
      <c r="AY319" s="353"/>
      <c r="BD319" s="266"/>
      <c r="BE319" s="238"/>
    </row>
    <row r="320" spans="1:57" s="237" customFormat="1" ht="15" customHeight="1" x14ac:dyDescent="0.55000000000000004">
      <c r="A320" s="239"/>
      <c r="B320" s="353"/>
      <c r="E320" s="239"/>
      <c r="I320" s="344"/>
      <c r="L320" s="345"/>
      <c r="M320" s="244"/>
      <c r="Q320" s="347"/>
      <c r="R320" s="238"/>
      <c r="V320" s="349"/>
      <c r="AA320" s="238"/>
      <c r="AD320" s="492"/>
      <c r="AE320" s="244"/>
      <c r="AF320" s="244"/>
      <c r="AG320" s="244"/>
      <c r="AI320" s="257"/>
      <c r="AJ320" s="258"/>
      <c r="AK320" s="258"/>
      <c r="AL320" s="258"/>
      <c r="AM320" s="258"/>
      <c r="AN320" s="258"/>
      <c r="AO320" s="258"/>
      <c r="AP320" s="244"/>
      <c r="AQ320" s="239"/>
      <c r="AS320" s="244"/>
      <c r="AT320" s="244"/>
      <c r="AU320" s="244"/>
      <c r="AV320" s="244"/>
      <c r="AW320" s="313"/>
      <c r="AX320" s="468"/>
      <c r="AY320" s="353"/>
      <c r="BD320" s="266"/>
      <c r="BE320" s="238"/>
    </row>
  </sheetData>
  <autoFilter ref="A1:BF216" xr:uid="{0BB7ECBB-9AA8-452C-B60D-2AFFF1089F39}">
    <sortState xmlns:xlrd2="http://schemas.microsoft.com/office/spreadsheetml/2017/richdata2" ref="A2:BF216">
      <sortCondition ref="L2:L216"/>
    </sortState>
  </autoFilter>
  <sortState xmlns:xlrd2="http://schemas.microsoft.com/office/spreadsheetml/2017/richdata2" ref="A2:BF320">
    <sortCondition descending="1" ref="B2:B320"/>
  </sortState>
  <conditionalFormatting sqref="H80 H82:H84">
    <cfRule type="duplicateValues" dxfId="16" priority="29"/>
  </conditionalFormatting>
  <conditionalFormatting sqref="H81">
    <cfRule type="duplicateValues" dxfId="15" priority="28"/>
  </conditionalFormatting>
  <conditionalFormatting sqref="H85">
    <cfRule type="duplicateValues" dxfId="14" priority="27"/>
  </conditionalFormatting>
  <conditionalFormatting sqref="L2:L3">
    <cfRule type="expression" dxfId="13" priority="14">
      <formula>"AG2&lt;=TODAY()"</formula>
    </cfRule>
  </conditionalFormatting>
  <conditionalFormatting sqref="H1:H223 H257:H1048576">
    <cfRule type="duplicateValues" dxfId="12" priority="10"/>
  </conditionalFormatting>
  <conditionalFormatting sqref="H1:H250 H257:H1048576">
    <cfRule type="duplicateValues" dxfId="11" priority="9"/>
  </conditionalFormatting>
  <conditionalFormatting sqref="AA1:AA251 AA257:AA1048576">
    <cfRule type="duplicateValues" dxfId="10" priority="8"/>
  </conditionalFormatting>
  <conditionalFormatting sqref="J254:J256">
    <cfRule type="duplicateValues" dxfId="9" priority="7"/>
  </conditionalFormatting>
  <conditionalFormatting sqref="S254:S256">
    <cfRule type="duplicateValues" dxfId="8" priority="6"/>
  </conditionalFormatting>
  <conditionalFormatting sqref="H254:H256">
    <cfRule type="duplicateValues" dxfId="7" priority="5"/>
  </conditionalFormatting>
  <conditionalFormatting sqref="H254:H256">
    <cfRule type="duplicateValues" dxfId="6" priority="4"/>
  </conditionalFormatting>
  <conditionalFormatting sqref="AA254">
    <cfRule type="duplicateValues" dxfId="5" priority="3"/>
  </conditionalFormatting>
  <conditionalFormatting sqref="AA255">
    <cfRule type="duplicateValues" dxfId="4" priority="2"/>
  </conditionalFormatting>
  <conditionalFormatting sqref="AA256">
    <cfRule type="duplicateValues" dxfId="3" priority="1"/>
  </conditionalFormatting>
  <hyperlinks>
    <hyperlink ref="AX20" r:id="rId1" xr:uid="{DFF87FC7-CFBD-4175-8606-B9ED16634B7F}"/>
    <hyperlink ref="AX193" r:id="rId2" xr:uid="{09CED3B7-A715-48B9-9E4D-18BBA338D39B}"/>
    <hyperlink ref="AX188" r:id="rId3" xr:uid="{45F58930-8062-4F5B-9FC6-287855FCAB55}"/>
    <hyperlink ref="AW188" r:id="rId4" xr:uid="{4F799533-BEDB-435F-B136-B74E71749222}"/>
    <hyperlink ref="AX97" r:id="rId5" xr:uid="{8F1AB561-0877-4747-93FD-0FA415FCD239}"/>
    <hyperlink ref="AW97" r:id="rId6" xr:uid="{41CB4289-A748-4001-9ABD-E842006512EB}"/>
    <hyperlink ref="AX103" r:id="rId7" xr:uid="{D8BA74A5-4682-4C6C-B821-1D8BCFEB8BF1}"/>
    <hyperlink ref="AW103" r:id="rId8" xr:uid="{BE89CD5D-81DF-4196-B917-5E13BDAF65C9}"/>
    <hyperlink ref="AX93" r:id="rId9" xr:uid="{B35841E1-4D3C-4641-AABF-2842CEC50BAE}"/>
    <hyperlink ref="AX55" r:id="rId10" xr:uid="{2514EB94-45FF-45BD-8825-6E143B757906}"/>
    <hyperlink ref="AW55" r:id="rId11" xr:uid="{F08B0FBA-6669-4867-B3BB-67D02B7A115D}"/>
    <hyperlink ref="AW122" r:id="rId12" xr:uid="{2EAD784E-D65C-4D96-A509-03DE044247E2}"/>
    <hyperlink ref="AX117" r:id="rId13" xr:uid="{832CA7FC-AA55-44CD-8B87-A151CF4F2342}"/>
    <hyperlink ref="AW117" r:id="rId14" xr:uid="{32ABA33A-B63A-4CDB-9F64-05CDB666B9A3}"/>
    <hyperlink ref="AX118" r:id="rId15" xr:uid="{D6BF76B3-AB2F-4DC1-A606-5237F366541F}"/>
    <hyperlink ref="AW118" r:id="rId16" xr:uid="{A3F90AB4-2B5B-443B-A2C2-120DA2246FF5}"/>
    <hyperlink ref="AW181" r:id="rId17" xr:uid="{306C52F6-D89D-4A30-BBF2-A1E545561011}"/>
    <hyperlink ref="AX181" r:id="rId18" xr:uid="{E11D8ED8-A086-402E-91DC-2BF1E3B4CA6E}"/>
    <hyperlink ref="AY55" r:id="rId19" xr:uid="{860A40D1-3443-40B3-B69F-2E75C9C20C29}"/>
    <hyperlink ref="AX16" r:id="rId20" xr:uid="{D74D4174-38D5-4E0E-92B6-B2AAB5CE49B4}"/>
    <hyperlink ref="AY16" r:id="rId21" xr:uid="{00DEEA36-10D0-44ED-969E-257A966D6B67}"/>
    <hyperlink ref="R147" r:id="rId22" xr:uid="{93D24691-55FD-40B3-97C5-703618273E40}"/>
    <hyperlink ref="R31" r:id="rId23" xr:uid="{3A2F40BA-8BF4-4F0D-9043-BB127339222F}"/>
    <hyperlink ref="AX31" r:id="rId24" xr:uid="{D903511E-1702-4275-8C69-CB50F5443711}"/>
    <hyperlink ref="R229" r:id="rId25" xr:uid="{3ABA44FE-D379-4B36-93EC-8996C73127C4}"/>
    <hyperlink ref="R237" r:id="rId26" xr:uid="{1E8445EB-91B2-4D2B-82FC-F5CE8EE62292}"/>
    <hyperlink ref="R142" r:id="rId27" xr:uid="{2B7AFD87-8D32-4530-8C9B-2589CE4DBEF5}"/>
    <hyperlink ref="R57" r:id="rId28" xr:uid="{A9C57E1C-24DB-4751-8F8B-7818D2CED7A9}"/>
    <hyperlink ref="AW57" r:id="rId29" xr:uid="{97C196F7-3F26-48B7-90E8-E93C6D82B3B9}"/>
    <hyperlink ref="AX57" r:id="rId30" xr:uid="{A13BEE3C-CADC-410E-A1CA-656ACBBC309A}"/>
    <hyperlink ref="R89" r:id="rId31" xr:uid="{148DE570-3D4A-404A-A58E-A75777932944}"/>
    <hyperlink ref="AW89" r:id="rId32" xr:uid="{BD26D700-9FC8-4364-AF67-F2B6F472F3CA}"/>
    <hyperlink ref="AX89" r:id="rId33" xr:uid="{F75E967F-BEC5-4D4A-B22D-A4F04DA06A58}"/>
    <hyperlink ref="R98" r:id="rId34" xr:uid="{874972F6-7C09-4400-9831-315279A41CAC}"/>
    <hyperlink ref="AW98" r:id="rId35" xr:uid="{42763F26-68E4-47AD-9C01-D14123B3C18D}"/>
    <hyperlink ref="AX98" r:id="rId36" xr:uid="{F5DCEAD2-9004-4E80-A0B9-7D45C9ED988C}"/>
    <hyperlink ref="R90" r:id="rId37" xr:uid="{E11FC122-1DDF-4F30-A34A-44BAA1270649}"/>
    <hyperlink ref="AX90" r:id="rId38" xr:uid="{E719AE24-ED60-4C60-BEF4-A76DC429E065}"/>
    <hyperlink ref="R97" r:id="rId39" xr:uid="{19C3C59B-2A02-480D-BBE9-DC93502212F7}"/>
    <hyperlink ref="R162" r:id="rId40" xr:uid="{CBDCED76-F638-48BA-A930-293A65689AD2}"/>
    <hyperlink ref="AX99" r:id="rId41" xr:uid="{477E6236-3501-4680-BC93-D2C939DF5923}"/>
    <hyperlink ref="R93" r:id="rId42" xr:uid="{1F6B84D5-1D07-439C-92C3-C5725C8899B5}"/>
    <hyperlink ref="AW92" r:id="rId43" xr:uid="{60383F7B-33BB-4BA1-9245-E994451B5D71}"/>
    <hyperlink ref="AX92" r:id="rId44" xr:uid="{4C512C7C-747D-48BE-883D-37403935EC36}"/>
    <hyperlink ref="R91" r:id="rId45" xr:uid="{025DB301-DAE2-41DB-94C5-C9A7901E9114}"/>
    <hyperlink ref="AX91" r:id="rId46" xr:uid="{C79B4DDA-EB5B-43BE-AD58-E098F8D9552C}"/>
    <hyperlink ref="R255" r:id="rId47" xr:uid="{5D4FA2A8-DD6E-47CB-B2AB-6BA8D7C57F1A}"/>
    <hyperlink ref="R163" r:id="rId48" xr:uid="{19FE0658-F272-4C47-9195-CBDC1B833710}"/>
    <hyperlink ref="R100" r:id="rId49" xr:uid="{1888DAAD-081D-40F0-9392-77CC85C5D6E8}"/>
    <hyperlink ref="AW100" r:id="rId50" xr:uid="{7ECCF17E-8FA0-4185-922C-C775029740A0}"/>
    <hyperlink ref="AX100" r:id="rId51" xr:uid="{86A1BE76-E5C0-40B4-8ACA-38F85FC4BEC4}"/>
    <hyperlink ref="R103" r:id="rId52" xr:uid="{364D72CA-8CB6-468B-8B22-DF5BBF9BEC5C}"/>
    <hyperlink ref="R102" r:id="rId53" xr:uid="{8EC3D357-905B-4804-BE03-B1CE95D35FFF}"/>
    <hyperlink ref="AW102" r:id="rId54" xr:uid="{606C1C65-CA5F-4EC3-854D-A6BB3E7B52F2}"/>
    <hyperlink ref="R101" r:id="rId55" xr:uid="{A8729A7D-DF3B-4B6A-B732-11F8EDCE7DFC}"/>
    <hyperlink ref="AW101" r:id="rId56" xr:uid="{3B12ECA7-6262-41A7-BBA4-553FAB6B9736}"/>
  </hyperlinks>
  <pageMargins left="0.7" right="0.7" top="0.75" bottom="0.75" header="0.3" footer="0.3"/>
  <pageSetup fitToWidth="0" orientation="landscape" horizontalDpi="1200" verticalDpi="1200" r:id="rId57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'C:\Users\mfhatte\AppData\Local\Microsoft\Windows\INetCache\Content.Outlook\D1THUAZH\[Master File WIIN EAP-GB-8-16-20.xlsx]Dropdowns'!#REF!</xm:f>
          </x14:formula1>
          <xm:sqref>AL115 Y115:Z115</xm:sqref>
        </x14:dataValidation>
        <x14:dataValidation type="list" allowBlank="1" showInputMessage="1" showErrorMessage="1" xr:uid="{00000000-0002-0000-0100-000002000000}">
          <x14:formula1>
            <xm:f>'W:\WRRC\Water Resources\LCCA\Docs MF\[Master File WIIN EAP-6-26-20.xlsx]Dropdowns'!#REF!</xm:f>
          </x14:formula1>
          <xm:sqref>Y114</xm:sqref>
        </x14:dataValidation>
        <x14:dataValidation type="list" allowBlank="1" showInputMessage="1" showErrorMessage="1" xr:uid="{2F05F0B2-7A9B-4DEF-9DA2-E6E1DE42FC27}">
          <x14:formula1>
            <xm:f>Dropdowns!$H$2:$H$14</xm:f>
          </x14:formula1>
          <xm:sqref>D203:D206 D1:D200 D208:D1048576</xm:sqref>
        </x14:dataValidation>
        <x14:dataValidation type="list" allowBlank="1" showInputMessage="1" showErrorMessage="1" xr:uid="{411BEE42-BB7D-4A30-84E6-46D1EEF88E60}">
          <x14:formula1>
            <xm:f>Dropdowns!$G$2:$G$6</xm:f>
          </x14:formula1>
          <xm:sqref>C203:C206 C1:C200 C208:C1048576</xm:sqref>
        </x14:dataValidation>
        <x14:dataValidation type="list" allowBlank="1" showInputMessage="1" showErrorMessage="1" xr:uid="{00000000-0002-0000-0100-000001000000}">
          <x14:formula1>
            <xm:f>Dropdowns!$E$2:$E$12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opLeftCell="A178" workbookViewId="0">
      <selection activeCell="B159" sqref="B159"/>
    </sheetView>
  </sheetViews>
  <sheetFormatPr defaultRowHeight="12.3" x14ac:dyDescent="0.4"/>
  <cols>
    <col min="1" max="1" width="25.71875" style="13" customWidth="1"/>
    <col min="2" max="2" width="26.83203125" style="8" customWidth="1"/>
    <col min="3" max="3" width="27.5546875" style="13" customWidth="1"/>
    <col min="4" max="4" width="23.44140625" customWidth="1"/>
    <col min="5" max="5" width="41.83203125" style="13" customWidth="1"/>
    <col min="6" max="6" width="46.27734375" customWidth="1"/>
  </cols>
  <sheetData>
    <row r="1" spans="1:7" x14ac:dyDescent="0.4">
      <c r="A1" s="6" t="s">
        <v>57</v>
      </c>
      <c r="B1" s="10" t="s">
        <v>3446</v>
      </c>
      <c r="C1" s="5" t="s">
        <v>3447</v>
      </c>
      <c r="D1" s="10" t="s">
        <v>3448</v>
      </c>
      <c r="E1" s="5" t="s">
        <v>59</v>
      </c>
      <c r="F1" s="10" t="s">
        <v>3449</v>
      </c>
      <c r="G1" s="10"/>
    </row>
    <row r="2" spans="1:7" x14ac:dyDescent="0.4">
      <c r="A2" s="12" t="s">
        <v>105</v>
      </c>
      <c r="B2" t="s">
        <v>105</v>
      </c>
      <c r="C2" s="12" t="s">
        <v>3450</v>
      </c>
      <c r="D2" t="s">
        <v>106</v>
      </c>
      <c r="E2" s="12" t="s">
        <v>107</v>
      </c>
      <c r="F2" t="s">
        <v>107</v>
      </c>
    </row>
    <row r="3" spans="1:7" x14ac:dyDescent="0.4">
      <c r="A3" s="12" t="s">
        <v>1326</v>
      </c>
      <c r="B3" t="s">
        <v>1326</v>
      </c>
      <c r="C3" s="12" t="s">
        <v>1327</v>
      </c>
      <c r="D3" t="s">
        <v>1327</v>
      </c>
      <c r="E3" s="12" t="s">
        <v>1328</v>
      </c>
      <c r="F3" t="s">
        <v>1328</v>
      </c>
    </row>
    <row r="4" spans="1:7" x14ac:dyDescent="0.4">
      <c r="A4" s="12" t="s">
        <v>246</v>
      </c>
      <c r="B4" t="s">
        <v>246</v>
      </c>
      <c r="C4" s="12" t="s">
        <v>247</v>
      </c>
      <c r="D4" t="s">
        <v>247</v>
      </c>
      <c r="E4" s="12" t="s">
        <v>248</v>
      </c>
      <c r="F4" t="s">
        <v>248</v>
      </c>
    </row>
    <row r="5" spans="1:7" x14ac:dyDescent="0.4">
      <c r="A5" s="12" t="s">
        <v>1279</v>
      </c>
      <c r="B5" t="s">
        <v>1279</v>
      </c>
      <c r="C5" s="12" t="s">
        <v>1280</v>
      </c>
      <c r="D5" t="s">
        <v>1280</v>
      </c>
      <c r="E5" s="12" t="s">
        <v>1281</v>
      </c>
      <c r="F5" t="s">
        <v>1281</v>
      </c>
    </row>
    <row r="6" spans="1:7" x14ac:dyDescent="0.4">
      <c r="A6" s="12" t="s">
        <v>817</v>
      </c>
      <c r="B6" t="s">
        <v>817</v>
      </c>
      <c r="C6" s="12" t="s">
        <v>818</v>
      </c>
      <c r="D6" t="s">
        <v>818</v>
      </c>
      <c r="E6" s="12" t="s">
        <v>819</v>
      </c>
      <c r="F6" t="s">
        <v>819</v>
      </c>
    </row>
    <row r="7" spans="1:7" x14ac:dyDescent="0.4">
      <c r="A7" s="12" t="s">
        <v>979</v>
      </c>
      <c r="B7" t="s">
        <v>979</v>
      </c>
      <c r="C7" s="12" t="s">
        <v>980</v>
      </c>
      <c r="D7" t="s">
        <v>980</v>
      </c>
      <c r="E7" s="12" t="s">
        <v>981</v>
      </c>
      <c r="F7" t="s">
        <v>981</v>
      </c>
    </row>
    <row r="8" spans="1:7" s="9" customFormat="1" x14ac:dyDescent="0.4">
      <c r="A8" s="15"/>
      <c r="B8" s="9" t="s">
        <v>3451</v>
      </c>
      <c r="C8" s="15"/>
      <c r="D8" s="9" t="s">
        <v>1389</v>
      </c>
      <c r="E8" s="15"/>
      <c r="F8" s="9" t="s">
        <v>1390</v>
      </c>
    </row>
    <row r="9" spans="1:7" x14ac:dyDescent="0.4">
      <c r="A9" s="12" t="s">
        <v>549</v>
      </c>
      <c r="B9" t="s">
        <v>549</v>
      </c>
      <c r="C9" s="12" t="s">
        <v>550</v>
      </c>
      <c r="D9" t="s">
        <v>550</v>
      </c>
      <c r="E9" s="12" t="s">
        <v>551</v>
      </c>
      <c r="F9" t="s">
        <v>551</v>
      </c>
    </row>
    <row r="10" spans="1:7" x14ac:dyDescent="0.4">
      <c r="A10" s="12" t="s">
        <v>124</v>
      </c>
      <c r="B10" t="s">
        <v>124</v>
      </c>
      <c r="C10" s="12" t="s">
        <v>125</v>
      </c>
      <c r="D10" t="s">
        <v>125</v>
      </c>
      <c r="E10" s="12" t="s">
        <v>126</v>
      </c>
      <c r="F10" t="s">
        <v>126</v>
      </c>
    </row>
    <row r="11" spans="1:7" x14ac:dyDescent="0.4">
      <c r="A11" s="12" t="s">
        <v>1552</v>
      </c>
      <c r="B11" t="s">
        <v>1552</v>
      </c>
      <c r="C11" s="12" t="s">
        <v>1553</v>
      </c>
      <c r="D11" t="s">
        <v>1553</v>
      </c>
      <c r="E11" s="12" t="s">
        <v>1554</v>
      </c>
      <c r="F11" t="s">
        <v>1554</v>
      </c>
    </row>
    <row r="12" spans="1:7" x14ac:dyDescent="0.4">
      <c r="A12" s="12" t="s">
        <v>2636</v>
      </c>
      <c r="B12" t="s">
        <v>2636</v>
      </c>
      <c r="C12" s="12" t="s">
        <v>2637</v>
      </c>
      <c r="D12" t="s">
        <v>2637</v>
      </c>
      <c r="E12" s="12" t="s">
        <v>2638</v>
      </c>
      <c r="F12" t="s">
        <v>2638</v>
      </c>
    </row>
    <row r="13" spans="1:7" x14ac:dyDescent="0.4">
      <c r="A13" s="12" t="s">
        <v>1599</v>
      </c>
      <c r="B13" t="s">
        <v>1599</v>
      </c>
      <c r="C13" s="12" t="s">
        <v>1600</v>
      </c>
      <c r="D13" t="s">
        <v>1600</v>
      </c>
      <c r="E13" s="12" t="s">
        <v>1601</v>
      </c>
      <c r="F13" t="s">
        <v>1601</v>
      </c>
    </row>
    <row r="14" spans="1:7" x14ac:dyDescent="0.4">
      <c r="A14" s="12" t="s">
        <v>1340</v>
      </c>
      <c r="B14" t="s">
        <v>1340</v>
      </c>
      <c r="C14" s="12" t="s">
        <v>3452</v>
      </c>
      <c r="D14" t="s">
        <v>1341</v>
      </c>
      <c r="E14" s="12" t="s">
        <v>1342</v>
      </c>
      <c r="F14" t="s">
        <v>1342</v>
      </c>
    </row>
    <row r="15" spans="1:7" x14ac:dyDescent="0.4">
      <c r="A15" s="12" t="s">
        <v>326</v>
      </c>
      <c r="B15" t="s">
        <v>326</v>
      </c>
      <c r="C15" s="12" t="s">
        <v>3453</v>
      </c>
      <c r="D15" t="s">
        <v>3454</v>
      </c>
      <c r="E15" s="12" t="s">
        <v>328</v>
      </c>
      <c r="F15" t="s">
        <v>328</v>
      </c>
    </row>
    <row r="16" spans="1:7" s="9" customFormat="1" x14ac:dyDescent="0.4">
      <c r="A16" s="15"/>
      <c r="B16" s="9" t="s">
        <v>326</v>
      </c>
      <c r="C16" s="15"/>
      <c r="D16" s="9" t="s">
        <v>3454</v>
      </c>
      <c r="E16" s="15"/>
      <c r="F16" s="9" t="s">
        <v>328</v>
      </c>
    </row>
    <row r="17" spans="1:6" x14ac:dyDescent="0.4">
      <c r="A17" s="12" t="s">
        <v>2611</v>
      </c>
      <c r="B17" t="s">
        <v>2611</v>
      </c>
      <c r="C17" s="12" t="s">
        <v>2612</v>
      </c>
      <c r="D17" t="s">
        <v>2632</v>
      </c>
      <c r="E17" s="12" t="s">
        <v>2633</v>
      </c>
      <c r="F17" t="s">
        <v>2735</v>
      </c>
    </row>
    <row r="18" spans="1:6" x14ac:dyDescent="0.4">
      <c r="A18" s="12" t="s">
        <v>2611</v>
      </c>
      <c r="B18" t="s">
        <v>2611</v>
      </c>
      <c r="C18" s="12" t="s">
        <v>3455</v>
      </c>
      <c r="D18" t="s">
        <v>2612</v>
      </c>
      <c r="E18" s="12" t="s">
        <v>2613</v>
      </c>
      <c r="F18" t="s">
        <v>2633</v>
      </c>
    </row>
    <row r="19" spans="1:6" x14ac:dyDescent="0.4">
      <c r="A19" s="12" t="s">
        <v>2611</v>
      </c>
      <c r="B19" t="s">
        <v>2611</v>
      </c>
      <c r="C19" s="12" t="s">
        <v>2632</v>
      </c>
      <c r="D19" t="s">
        <v>2734</v>
      </c>
      <c r="E19" s="12" t="s">
        <v>2735</v>
      </c>
      <c r="F19" t="s">
        <v>2628</v>
      </c>
    </row>
    <row r="20" spans="1:6" x14ac:dyDescent="0.4">
      <c r="A20" s="12" t="s">
        <v>2611</v>
      </c>
      <c r="B20" t="s">
        <v>2611</v>
      </c>
      <c r="C20" s="12" t="s">
        <v>3456</v>
      </c>
      <c r="D20" t="s">
        <v>2627</v>
      </c>
      <c r="E20" s="12" t="s">
        <v>2628</v>
      </c>
      <c r="F20" t="s">
        <v>2613</v>
      </c>
    </row>
    <row r="21" spans="1:6" x14ac:dyDescent="0.4">
      <c r="A21" s="12" t="s">
        <v>667</v>
      </c>
      <c r="B21" t="s">
        <v>667</v>
      </c>
      <c r="C21" s="12" t="s">
        <v>668</v>
      </c>
      <c r="D21" t="s">
        <v>668</v>
      </c>
      <c r="E21" s="12" t="s">
        <v>669</v>
      </c>
      <c r="F21" t="s">
        <v>669</v>
      </c>
    </row>
    <row r="22" spans="1:6" x14ac:dyDescent="0.4">
      <c r="A22" s="12" t="s">
        <v>2568</v>
      </c>
      <c r="B22" t="s">
        <v>2568</v>
      </c>
      <c r="C22" s="12" t="s">
        <v>2569</v>
      </c>
      <c r="D22" t="s">
        <v>2569</v>
      </c>
      <c r="E22" s="12" t="s">
        <v>2570</v>
      </c>
      <c r="F22" t="s">
        <v>2570</v>
      </c>
    </row>
    <row r="23" spans="1:6" x14ac:dyDescent="0.4">
      <c r="A23" s="12" t="s">
        <v>1529</v>
      </c>
      <c r="B23" t="s">
        <v>1529</v>
      </c>
      <c r="C23" s="12" t="s">
        <v>1530</v>
      </c>
      <c r="D23" t="s">
        <v>1530</v>
      </c>
      <c r="E23" s="12" t="s">
        <v>3457</v>
      </c>
      <c r="F23" t="s">
        <v>3457</v>
      </c>
    </row>
    <row r="24" spans="1:6" x14ac:dyDescent="0.4">
      <c r="A24" s="12" t="s">
        <v>1545</v>
      </c>
      <c r="B24" t="s">
        <v>1545</v>
      </c>
      <c r="C24" s="12" t="s">
        <v>1546</v>
      </c>
      <c r="D24" t="s">
        <v>1546</v>
      </c>
      <c r="E24" s="12" t="s">
        <v>1547</v>
      </c>
      <c r="F24" t="s">
        <v>1547</v>
      </c>
    </row>
    <row r="25" spans="1:6" x14ac:dyDescent="0.4">
      <c r="A25" s="12" t="s">
        <v>2944</v>
      </c>
      <c r="B25" t="s">
        <v>2944</v>
      </c>
      <c r="C25" s="12" t="s">
        <v>3458</v>
      </c>
      <c r="D25" t="s">
        <v>2945</v>
      </c>
      <c r="E25" s="12" t="s">
        <v>2946</v>
      </c>
      <c r="F25" t="s">
        <v>2946</v>
      </c>
    </row>
    <row r="26" spans="1:6" x14ac:dyDescent="0.4">
      <c r="A26" s="12" t="s">
        <v>650</v>
      </c>
      <c r="B26" t="s">
        <v>650</v>
      </c>
      <c r="C26" s="12" t="s">
        <v>651</v>
      </c>
      <c r="D26" t="s">
        <v>651</v>
      </c>
      <c r="E26" s="12" t="s">
        <v>652</v>
      </c>
      <c r="F26" t="s">
        <v>652</v>
      </c>
    </row>
    <row r="27" spans="1:6" x14ac:dyDescent="0.4">
      <c r="A27" s="12" t="s">
        <v>2596</v>
      </c>
      <c r="B27" t="s">
        <v>2596</v>
      </c>
      <c r="C27" s="12" t="s">
        <v>2597</v>
      </c>
      <c r="D27" t="s">
        <v>2597</v>
      </c>
      <c r="E27" s="12" t="s">
        <v>2598</v>
      </c>
      <c r="F27" t="s">
        <v>2598</v>
      </c>
    </row>
    <row r="28" spans="1:6" x14ac:dyDescent="0.4">
      <c r="A28" s="12" t="s">
        <v>2756</v>
      </c>
      <c r="B28" t="s">
        <v>2756</v>
      </c>
      <c r="C28" s="12" t="s">
        <v>2757</v>
      </c>
      <c r="D28" t="s">
        <v>2757</v>
      </c>
      <c r="E28" s="12" t="s">
        <v>2758</v>
      </c>
      <c r="F28" t="s">
        <v>2758</v>
      </c>
    </row>
    <row r="29" spans="1:6" x14ac:dyDescent="0.4">
      <c r="A29" s="12" t="s">
        <v>2763</v>
      </c>
      <c r="B29" t="s">
        <v>2763</v>
      </c>
      <c r="C29" s="12" t="s">
        <v>2764</v>
      </c>
      <c r="D29" t="s">
        <v>2764</v>
      </c>
      <c r="E29" s="12" t="s">
        <v>2765</v>
      </c>
      <c r="F29" t="s">
        <v>2765</v>
      </c>
    </row>
    <row r="30" spans="1:6" x14ac:dyDescent="0.4">
      <c r="A30" s="12" t="s">
        <v>374</v>
      </c>
      <c r="B30" t="s">
        <v>374</v>
      </c>
      <c r="C30" s="12" t="s">
        <v>375</v>
      </c>
      <c r="D30" t="s">
        <v>375</v>
      </c>
      <c r="E30" s="12" t="s">
        <v>376</v>
      </c>
      <c r="F30" t="s">
        <v>376</v>
      </c>
    </row>
    <row r="31" spans="1:6" x14ac:dyDescent="0.4">
      <c r="A31" s="12" t="s">
        <v>1934</v>
      </c>
      <c r="B31" t="s">
        <v>1934</v>
      </c>
      <c r="C31" s="12" t="s">
        <v>1935</v>
      </c>
      <c r="D31" t="s">
        <v>1935</v>
      </c>
      <c r="E31" s="12" t="s">
        <v>1936</v>
      </c>
      <c r="F31" t="s">
        <v>1936</v>
      </c>
    </row>
    <row r="32" spans="1:6" x14ac:dyDescent="0.4">
      <c r="A32" s="12" t="s">
        <v>1354</v>
      </c>
      <c r="B32" t="s">
        <v>1354</v>
      </c>
      <c r="C32" s="12" t="s">
        <v>1355</v>
      </c>
      <c r="D32" t="s">
        <v>1355</v>
      </c>
      <c r="E32" s="12" t="s">
        <v>1356</v>
      </c>
      <c r="F32" t="s">
        <v>1356</v>
      </c>
    </row>
    <row r="33" spans="1:6" x14ac:dyDescent="0.4">
      <c r="A33" s="12" t="s">
        <v>900</v>
      </c>
      <c r="B33" t="s">
        <v>900</v>
      </c>
      <c r="C33" s="12" t="s">
        <v>3459</v>
      </c>
      <c r="D33" t="s">
        <v>901</v>
      </c>
      <c r="E33" s="12" t="s">
        <v>902</v>
      </c>
      <c r="F33" t="s">
        <v>902</v>
      </c>
    </row>
    <row r="34" spans="1:6" x14ac:dyDescent="0.4">
      <c r="A34" s="12" t="s">
        <v>2936</v>
      </c>
      <c r="B34" t="s">
        <v>2936</v>
      </c>
      <c r="C34" s="12" t="s">
        <v>2937</v>
      </c>
      <c r="D34" t="s">
        <v>2937</v>
      </c>
      <c r="E34" s="12" t="s">
        <v>2938</v>
      </c>
      <c r="F34" t="s">
        <v>2938</v>
      </c>
    </row>
    <row r="35" spans="1:6" s="9" customFormat="1" x14ac:dyDescent="0.4">
      <c r="A35" s="16"/>
      <c r="B35" s="9" t="s">
        <v>3460</v>
      </c>
      <c r="C35" s="16"/>
      <c r="D35" s="9" t="s">
        <v>668</v>
      </c>
      <c r="E35" s="16"/>
      <c r="F35" s="9" t="s">
        <v>669</v>
      </c>
    </row>
    <row r="36" spans="1:6" x14ac:dyDescent="0.4">
      <c r="A36" s="12" t="s">
        <v>461</v>
      </c>
      <c r="B36" t="s">
        <v>461</v>
      </c>
      <c r="C36" s="12" t="s">
        <v>462</v>
      </c>
      <c r="D36" t="s">
        <v>462</v>
      </c>
      <c r="E36" s="12" t="s">
        <v>463</v>
      </c>
      <c r="F36" t="s">
        <v>463</v>
      </c>
    </row>
    <row r="37" spans="1:6" x14ac:dyDescent="0.4">
      <c r="A37" s="12" t="s">
        <v>2174</v>
      </c>
      <c r="B37" t="s">
        <v>2174</v>
      </c>
      <c r="C37" s="12" t="s">
        <v>2175</v>
      </c>
      <c r="D37" t="s">
        <v>2175</v>
      </c>
      <c r="E37" s="12" t="s">
        <v>2176</v>
      </c>
      <c r="F37" t="s">
        <v>2176</v>
      </c>
    </row>
    <row r="38" spans="1:6" x14ac:dyDescent="0.4">
      <c r="A38" s="12" t="s">
        <v>679</v>
      </c>
      <c r="B38" t="s">
        <v>679</v>
      </c>
      <c r="C38" s="12" t="s">
        <v>3461</v>
      </c>
      <c r="D38" t="s">
        <v>680</v>
      </c>
      <c r="E38" s="12" t="s">
        <v>681</v>
      </c>
      <c r="F38" t="s">
        <v>681</v>
      </c>
    </row>
    <row r="39" spans="1:6" x14ac:dyDescent="0.4">
      <c r="A39" s="12" t="s">
        <v>2412</v>
      </c>
      <c r="B39" t="s">
        <v>2412</v>
      </c>
      <c r="C39" s="12" t="s">
        <v>2413</v>
      </c>
      <c r="D39" t="s">
        <v>2413</v>
      </c>
      <c r="E39" s="12" t="s">
        <v>2414</v>
      </c>
      <c r="F39" t="s">
        <v>2414</v>
      </c>
    </row>
    <row r="40" spans="1:6" x14ac:dyDescent="0.4">
      <c r="A40" s="12" t="s">
        <v>445</v>
      </c>
      <c r="B40" t="s">
        <v>445</v>
      </c>
      <c r="C40" s="12" t="s">
        <v>446</v>
      </c>
      <c r="D40" t="s">
        <v>446</v>
      </c>
      <c r="E40" s="12" t="s">
        <v>447</v>
      </c>
      <c r="F40" t="s">
        <v>447</v>
      </c>
    </row>
    <row r="41" spans="1:6" x14ac:dyDescent="0.4">
      <c r="A41" s="12" t="s">
        <v>1297</v>
      </c>
      <c r="B41" t="s">
        <v>1297</v>
      </c>
      <c r="C41" s="12" t="s">
        <v>1298</v>
      </c>
      <c r="D41" t="s">
        <v>1298</v>
      </c>
      <c r="E41" s="12" t="s">
        <v>1299</v>
      </c>
      <c r="F41" t="s">
        <v>1299</v>
      </c>
    </row>
    <row r="42" spans="1:6" x14ac:dyDescent="0.4">
      <c r="A42" s="12" t="s">
        <v>2719</v>
      </c>
      <c r="B42" t="s">
        <v>2719</v>
      </c>
      <c r="C42" s="12" t="s">
        <v>3462</v>
      </c>
      <c r="D42" t="s">
        <v>3462</v>
      </c>
      <c r="E42" s="12" t="s">
        <v>2721</v>
      </c>
      <c r="F42" t="s">
        <v>2721</v>
      </c>
    </row>
    <row r="43" spans="1:6" s="9" customFormat="1" x14ac:dyDescent="0.4">
      <c r="A43" s="15"/>
      <c r="B43" s="9" t="s">
        <v>2719</v>
      </c>
      <c r="C43" s="15"/>
      <c r="D43" s="9" t="s">
        <v>3462</v>
      </c>
      <c r="E43" s="15"/>
      <c r="F43" s="9" t="s">
        <v>2721</v>
      </c>
    </row>
    <row r="44" spans="1:6" x14ac:dyDescent="0.4">
      <c r="A44" s="12" t="s">
        <v>1253</v>
      </c>
      <c r="B44" t="s">
        <v>1253</v>
      </c>
      <c r="C44" s="12" t="s">
        <v>1254</v>
      </c>
      <c r="D44" t="s">
        <v>1254</v>
      </c>
      <c r="E44" s="12" t="s">
        <v>1255</v>
      </c>
      <c r="F44" t="s">
        <v>1255</v>
      </c>
    </row>
    <row r="45" spans="1:6" x14ac:dyDescent="0.4">
      <c r="A45" s="12" t="s">
        <v>1197</v>
      </c>
      <c r="B45" t="s">
        <v>1197</v>
      </c>
      <c r="C45" s="12" t="s">
        <v>1198</v>
      </c>
      <c r="D45" t="s">
        <v>1198</v>
      </c>
      <c r="E45" s="12" t="s">
        <v>1199</v>
      </c>
      <c r="F45" t="s">
        <v>1199</v>
      </c>
    </row>
    <row r="46" spans="1:6" x14ac:dyDescent="0.4">
      <c r="A46" s="12" t="s">
        <v>2795</v>
      </c>
      <c r="B46" t="s">
        <v>2795</v>
      </c>
      <c r="C46" s="12" t="s">
        <v>2796</v>
      </c>
      <c r="D46" t="s">
        <v>2796</v>
      </c>
      <c r="E46" s="12" t="s">
        <v>2797</v>
      </c>
      <c r="F46" t="s">
        <v>2797</v>
      </c>
    </row>
    <row r="47" spans="1:6" x14ac:dyDescent="0.4">
      <c r="A47" s="12" t="s">
        <v>881</v>
      </c>
      <c r="B47" t="s">
        <v>881</v>
      </c>
      <c r="C47" s="12" t="s">
        <v>3463</v>
      </c>
      <c r="D47" t="s">
        <v>882</v>
      </c>
      <c r="E47" s="12" t="s">
        <v>883</v>
      </c>
      <c r="F47" t="s">
        <v>3464</v>
      </c>
    </row>
    <row r="48" spans="1:6" x14ac:dyDescent="0.4">
      <c r="A48" s="12" t="s">
        <v>2680</v>
      </c>
      <c r="B48" t="s">
        <v>2680</v>
      </c>
      <c r="C48" s="12" t="s">
        <v>2681</v>
      </c>
      <c r="D48" t="s">
        <v>2681</v>
      </c>
      <c r="E48" s="12" t="s">
        <v>2682</v>
      </c>
      <c r="F48" t="s">
        <v>2682</v>
      </c>
    </row>
    <row r="49" spans="1:6" x14ac:dyDescent="0.4">
      <c r="A49" s="12" t="s">
        <v>475</v>
      </c>
      <c r="B49" t="s">
        <v>475</v>
      </c>
      <c r="C49" s="12" t="s">
        <v>476</v>
      </c>
      <c r="D49" t="s">
        <v>476</v>
      </c>
      <c r="E49" s="12" t="s">
        <v>477</v>
      </c>
      <c r="F49" t="s">
        <v>477</v>
      </c>
    </row>
    <row r="50" spans="1:6" x14ac:dyDescent="0.4">
      <c r="A50" s="12" t="s">
        <v>2053</v>
      </c>
      <c r="B50" t="s">
        <v>2053</v>
      </c>
      <c r="C50" s="12" t="s">
        <v>2054</v>
      </c>
      <c r="D50" t="s">
        <v>2054</v>
      </c>
      <c r="E50" s="12" t="s">
        <v>2055</v>
      </c>
      <c r="F50" t="s">
        <v>2055</v>
      </c>
    </row>
    <row r="51" spans="1:6" x14ac:dyDescent="0.4">
      <c r="A51" s="12" t="s">
        <v>2215</v>
      </c>
      <c r="B51" t="s">
        <v>2215</v>
      </c>
      <c r="C51" s="12" t="s">
        <v>2216</v>
      </c>
      <c r="D51" t="s">
        <v>2216</v>
      </c>
      <c r="E51" s="12" t="s">
        <v>2217</v>
      </c>
      <c r="F51" t="s">
        <v>2217</v>
      </c>
    </row>
    <row r="52" spans="1:6" x14ac:dyDescent="0.4">
      <c r="A52" s="12" t="s">
        <v>142</v>
      </c>
      <c r="B52" t="s">
        <v>142</v>
      </c>
      <c r="C52" s="12" t="s">
        <v>3465</v>
      </c>
      <c r="D52" t="s">
        <v>143</v>
      </c>
      <c r="E52" s="12" t="s">
        <v>144</v>
      </c>
      <c r="F52" t="s">
        <v>144</v>
      </c>
    </row>
    <row r="53" spans="1:6" x14ac:dyDescent="0.4">
      <c r="A53" s="12" t="s">
        <v>3023</v>
      </c>
      <c r="B53" t="s">
        <v>3023</v>
      </c>
      <c r="C53" s="12" t="s">
        <v>3024</v>
      </c>
      <c r="D53" t="s">
        <v>3024</v>
      </c>
      <c r="E53" s="12" t="s">
        <v>3025</v>
      </c>
      <c r="F53" t="s">
        <v>3025</v>
      </c>
    </row>
    <row r="54" spans="1:6" s="11" customFormat="1" x14ac:dyDescent="0.4">
      <c r="A54" s="12" t="s">
        <v>3023</v>
      </c>
      <c r="B54" s="14" t="s">
        <v>3023</v>
      </c>
      <c r="C54" s="12" t="s">
        <v>3035</v>
      </c>
      <c r="D54" s="14" t="s">
        <v>3035</v>
      </c>
      <c r="E54" s="12" t="s">
        <v>3036</v>
      </c>
      <c r="F54" s="14" t="s">
        <v>3036</v>
      </c>
    </row>
    <row r="55" spans="1:6" x14ac:dyDescent="0.4">
      <c r="A55" s="12" t="s">
        <v>3023</v>
      </c>
      <c r="B55" t="s">
        <v>3023</v>
      </c>
      <c r="C55" s="12" t="s">
        <v>3042</v>
      </c>
      <c r="D55" t="s">
        <v>3042</v>
      </c>
      <c r="E55" s="12" t="s">
        <v>3043</v>
      </c>
      <c r="F55" t="s">
        <v>3043</v>
      </c>
    </row>
    <row r="56" spans="1:6" x14ac:dyDescent="0.4">
      <c r="A56" s="12" t="s">
        <v>3023</v>
      </c>
      <c r="B56" t="s">
        <v>3023</v>
      </c>
      <c r="C56" s="12" t="s">
        <v>3038</v>
      </c>
      <c r="D56" t="s">
        <v>3038</v>
      </c>
      <c r="E56" s="12" t="s">
        <v>3039</v>
      </c>
      <c r="F56" t="s">
        <v>3039</v>
      </c>
    </row>
    <row r="57" spans="1:6" x14ac:dyDescent="0.4">
      <c r="A57" s="12" t="s">
        <v>2038</v>
      </c>
      <c r="B57" t="s">
        <v>2038</v>
      </c>
      <c r="C57" s="12" t="s">
        <v>2039</v>
      </c>
      <c r="D57" t="s">
        <v>2039</v>
      </c>
      <c r="E57" s="12" t="s">
        <v>2040</v>
      </c>
      <c r="F57" t="s">
        <v>2040</v>
      </c>
    </row>
    <row r="58" spans="1:6" x14ac:dyDescent="0.4">
      <c r="A58" s="12" t="s">
        <v>2954</v>
      </c>
      <c r="B58" t="s">
        <v>2954</v>
      </c>
      <c r="C58" s="12" t="s">
        <v>2955</v>
      </c>
      <c r="D58" t="s">
        <v>2955</v>
      </c>
      <c r="E58" s="12" t="s">
        <v>2956</v>
      </c>
      <c r="F58" t="s">
        <v>2956</v>
      </c>
    </row>
    <row r="59" spans="1:6" x14ac:dyDescent="0.4">
      <c r="A59" s="12" t="s">
        <v>1582</v>
      </c>
      <c r="B59" t="s">
        <v>1582</v>
      </c>
      <c r="C59" s="12" t="s">
        <v>1583</v>
      </c>
      <c r="D59" t="s">
        <v>1583</v>
      </c>
      <c r="E59" s="12" t="s">
        <v>1584</v>
      </c>
      <c r="F59" t="s">
        <v>1584</v>
      </c>
    </row>
    <row r="60" spans="1:6" x14ac:dyDescent="0.4">
      <c r="A60" s="12" t="s">
        <v>312</v>
      </c>
      <c r="B60" t="s">
        <v>312</v>
      </c>
      <c r="C60" s="12" t="s">
        <v>313</v>
      </c>
      <c r="D60" t="s">
        <v>313</v>
      </c>
      <c r="E60" s="12" t="s">
        <v>314</v>
      </c>
      <c r="F60" t="s">
        <v>314</v>
      </c>
    </row>
    <row r="61" spans="1:6" x14ac:dyDescent="0.4">
      <c r="A61" s="12" t="s">
        <v>907</v>
      </c>
      <c r="B61" t="s">
        <v>907</v>
      </c>
      <c r="C61" s="12" t="s">
        <v>908</v>
      </c>
      <c r="D61" t="s">
        <v>908</v>
      </c>
      <c r="E61" s="12" t="s">
        <v>909</v>
      </c>
      <c r="F61" t="s">
        <v>909</v>
      </c>
    </row>
    <row r="62" spans="1:6" x14ac:dyDescent="0.4">
      <c r="A62" s="12" t="s">
        <v>3013</v>
      </c>
      <c r="B62" t="s">
        <v>3013</v>
      </c>
      <c r="C62" s="12" t="s">
        <v>3014</v>
      </c>
      <c r="D62" t="s">
        <v>3014</v>
      </c>
      <c r="E62" s="12" t="s">
        <v>3015</v>
      </c>
      <c r="F62" t="s">
        <v>3015</v>
      </c>
    </row>
    <row r="63" spans="1:6" x14ac:dyDescent="0.4">
      <c r="A63" s="12" t="s">
        <v>2388</v>
      </c>
      <c r="B63" t="s">
        <v>2388</v>
      </c>
      <c r="C63" s="12" t="s">
        <v>2389</v>
      </c>
      <c r="D63" t="s">
        <v>2389</v>
      </c>
      <c r="E63" s="12" t="s">
        <v>2390</v>
      </c>
      <c r="F63" t="s">
        <v>2390</v>
      </c>
    </row>
    <row r="64" spans="1:6" x14ac:dyDescent="0.4">
      <c r="A64" s="12" t="s">
        <v>2022</v>
      </c>
      <c r="B64" t="s">
        <v>2022</v>
      </c>
      <c r="C64" s="12" t="s">
        <v>2023</v>
      </c>
      <c r="D64" t="s">
        <v>2023</v>
      </c>
      <c r="E64" s="12" t="s">
        <v>2024</v>
      </c>
      <c r="F64" t="s">
        <v>2024</v>
      </c>
    </row>
    <row r="65" spans="1:6" x14ac:dyDescent="0.4">
      <c r="A65" s="12" t="s">
        <v>2696</v>
      </c>
      <c r="B65" t="s">
        <v>2696</v>
      </c>
      <c r="C65" s="12" t="s">
        <v>2697</v>
      </c>
      <c r="D65" t="s">
        <v>2697</v>
      </c>
      <c r="E65" s="12" t="s">
        <v>2698</v>
      </c>
      <c r="F65" t="s">
        <v>2698</v>
      </c>
    </row>
    <row r="66" spans="1:6" x14ac:dyDescent="0.4">
      <c r="A66" s="12" t="s">
        <v>2668</v>
      </c>
      <c r="B66" t="s">
        <v>2668</v>
      </c>
      <c r="C66" s="12" t="s">
        <v>2669</v>
      </c>
      <c r="D66" t="s">
        <v>2669</v>
      </c>
      <c r="E66" s="12" t="s">
        <v>2670</v>
      </c>
      <c r="F66" t="s">
        <v>2670</v>
      </c>
    </row>
    <row r="67" spans="1:6" s="9" customFormat="1" x14ac:dyDescent="0.4">
      <c r="A67" s="15"/>
      <c r="B67" s="9" t="s">
        <v>3466</v>
      </c>
      <c r="C67" s="15"/>
      <c r="D67" s="9" t="s">
        <v>1198</v>
      </c>
      <c r="E67" s="15"/>
      <c r="F67" s="9" t="s">
        <v>1199</v>
      </c>
    </row>
    <row r="68" spans="1:6" x14ac:dyDescent="0.4">
      <c r="A68" s="12" t="s">
        <v>691</v>
      </c>
      <c r="B68" t="s">
        <v>691</v>
      </c>
      <c r="C68" s="12" t="s">
        <v>692</v>
      </c>
      <c r="D68" t="s">
        <v>692</v>
      </c>
      <c r="E68" s="12" t="s">
        <v>693</v>
      </c>
      <c r="F68" t="s">
        <v>693</v>
      </c>
    </row>
    <row r="69" spans="1:6" x14ac:dyDescent="0.4">
      <c r="A69" s="12" t="s">
        <v>2399</v>
      </c>
      <c r="B69" t="s">
        <v>2399</v>
      </c>
      <c r="C69" s="12" t="s">
        <v>2400</v>
      </c>
      <c r="D69" t="s">
        <v>2400</v>
      </c>
      <c r="E69" s="12" t="s">
        <v>2401</v>
      </c>
      <c r="F69" t="s">
        <v>2401</v>
      </c>
    </row>
    <row r="70" spans="1:6" x14ac:dyDescent="0.4">
      <c r="A70" s="12" t="s">
        <v>1388</v>
      </c>
      <c r="B70" t="s">
        <v>1388</v>
      </c>
      <c r="C70" s="12" t="s">
        <v>1389</v>
      </c>
      <c r="D70" t="s">
        <v>1389</v>
      </c>
      <c r="E70" s="12" t="s">
        <v>1390</v>
      </c>
      <c r="F70" t="s">
        <v>1390</v>
      </c>
    </row>
    <row r="71" spans="1:6" x14ac:dyDescent="0.4">
      <c r="A71" s="12" t="s">
        <v>2004</v>
      </c>
      <c r="B71" t="s">
        <v>2004</v>
      </c>
      <c r="C71" s="12" t="s">
        <v>2005</v>
      </c>
      <c r="D71" t="s">
        <v>2005</v>
      </c>
      <c r="E71" s="12" t="s">
        <v>2006</v>
      </c>
      <c r="F71" t="s">
        <v>2006</v>
      </c>
    </row>
    <row r="72" spans="1:6" x14ac:dyDescent="0.4">
      <c r="A72" s="12" t="s">
        <v>1224</v>
      </c>
      <c r="B72" t="s">
        <v>1224</v>
      </c>
      <c r="C72" s="12" t="s">
        <v>1225</v>
      </c>
      <c r="D72" t="s">
        <v>1225</v>
      </c>
      <c r="E72" s="12" t="s">
        <v>1226</v>
      </c>
      <c r="F72" t="s">
        <v>1226</v>
      </c>
    </row>
    <row r="73" spans="1:6" x14ac:dyDescent="0.4">
      <c r="A73" s="12" t="s">
        <v>706</v>
      </c>
      <c r="B73" t="s">
        <v>706</v>
      </c>
      <c r="C73" s="12" t="s">
        <v>707</v>
      </c>
      <c r="D73" t="s">
        <v>707</v>
      </c>
      <c r="E73" s="12" t="s">
        <v>708</v>
      </c>
      <c r="F73" t="s">
        <v>708</v>
      </c>
    </row>
    <row r="74" spans="1:6" x14ac:dyDescent="0.4">
      <c r="A74" s="12" t="s">
        <v>1437</v>
      </c>
      <c r="B74" t="s">
        <v>1437</v>
      </c>
      <c r="C74" s="12" t="s">
        <v>1438</v>
      </c>
      <c r="D74" t="s">
        <v>1438</v>
      </c>
      <c r="E74" s="12" t="s">
        <v>1439</v>
      </c>
      <c r="F74" t="s">
        <v>1439</v>
      </c>
    </row>
    <row r="75" spans="1:6" x14ac:dyDescent="0.4">
      <c r="A75" s="12" t="s">
        <v>1516</v>
      </c>
      <c r="B75" t="s">
        <v>1516</v>
      </c>
      <c r="C75" s="12" t="s">
        <v>1517</v>
      </c>
      <c r="D75" t="s">
        <v>1517</v>
      </c>
      <c r="E75" s="12" t="s">
        <v>1518</v>
      </c>
      <c r="F75" t="s">
        <v>1518</v>
      </c>
    </row>
    <row r="76" spans="1:6" x14ac:dyDescent="0.4">
      <c r="A76" s="12" t="s">
        <v>1754</v>
      </c>
      <c r="B76" t="s">
        <v>1754</v>
      </c>
      <c r="C76" s="12" t="s">
        <v>1755</v>
      </c>
      <c r="D76" t="s">
        <v>1755</v>
      </c>
      <c r="E76" s="12" t="s">
        <v>1756</v>
      </c>
      <c r="F76" t="s">
        <v>1756</v>
      </c>
    </row>
    <row r="77" spans="1:6" x14ac:dyDescent="0.4">
      <c r="A77" s="12" t="s">
        <v>769</v>
      </c>
      <c r="B77" t="s">
        <v>769</v>
      </c>
      <c r="C77" s="12" t="s">
        <v>3467</v>
      </c>
      <c r="D77" t="s">
        <v>3467</v>
      </c>
      <c r="E77" s="12" t="s">
        <v>771</v>
      </c>
      <c r="F77" t="s">
        <v>771</v>
      </c>
    </row>
    <row r="78" spans="1:6" s="9" customFormat="1" x14ac:dyDescent="0.4">
      <c r="A78" s="15"/>
      <c r="B78" s="9" t="s">
        <v>769</v>
      </c>
      <c r="C78" s="15"/>
      <c r="D78" s="9" t="s">
        <v>3467</v>
      </c>
      <c r="E78" s="15"/>
      <c r="F78" s="9" t="s">
        <v>771</v>
      </c>
    </row>
    <row r="79" spans="1:6" s="9" customFormat="1" x14ac:dyDescent="0.4">
      <c r="A79" s="15"/>
      <c r="B79" s="9" t="s">
        <v>3468</v>
      </c>
      <c r="C79" s="15"/>
      <c r="D79" s="9" t="s">
        <v>550</v>
      </c>
      <c r="E79" s="15"/>
      <c r="F79" s="9" t="s">
        <v>551</v>
      </c>
    </row>
    <row r="80" spans="1:6" x14ac:dyDescent="0.4">
      <c r="A80" s="13" t="s">
        <v>2525</v>
      </c>
      <c r="B80" t="s">
        <v>2525</v>
      </c>
      <c r="C80" s="13" t="s">
        <v>2526</v>
      </c>
      <c r="D80" t="s">
        <v>2526</v>
      </c>
      <c r="E80" s="13" t="s">
        <v>2527</v>
      </c>
      <c r="F80" t="s">
        <v>2527</v>
      </c>
    </row>
    <row r="81" spans="1:6" x14ac:dyDescent="0.4">
      <c r="A81" s="13" t="s">
        <v>160</v>
      </c>
      <c r="B81" t="s">
        <v>160</v>
      </c>
      <c r="C81" s="13" t="s">
        <v>3469</v>
      </c>
      <c r="D81" t="s">
        <v>161</v>
      </c>
      <c r="E81" s="13" t="s">
        <v>162</v>
      </c>
      <c r="F81" t="s">
        <v>162</v>
      </c>
    </row>
    <row r="82" spans="1:6" x14ac:dyDescent="0.4">
      <c r="A82" s="13" t="s">
        <v>1135</v>
      </c>
      <c r="B82" t="s">
        <v>1135</v>
      </c>
      <c r="C82" s="13" t="s">
        <v>3470</v>
      </c>
      <c r="D82" t="s">
        <v>1136</v>
      </c>
      <c r="E82" s="13" t="s">
        <v>1137</v>
      </c>
      <c r="F82" t="s">
        <v>1137</v>
      </c>
    </row>
    <row r="83" spans="1:6" x14ac:dyDescent="0.4">
      <c r="A83" s="13" t="s">
        <v>486</v>
      </c>
      <c r="B83" t="s">
        <v>486</v>
      </c>
      <c r="C83" s="13" t="s">
        <v>487</v>
      </c>
      <c r="D83" t="s">
        <v>487</v>
      </c>
      <c r="E83" s="13" t="s">
        <v>488</v>
      </c>
      <c r="F83" t="s">
        <v>488</v>
      </c>
    </row>
    <row r="84" spans="1:6" x14ac:dyDescent="0.4">
      <c r="A84" s="13" t="s">
        <v>1421</v>
      </c>
      <c r="B84" t="s">
        <v>1421</v>
      </c>
      <c r="C84" s="13" t="s">
        <v>1422</v>
      </c>
      <c r="D84" t="s">
        <v>1422</v>
      </c>
      <c r="E84" s="13" t="s">
        <v>1423</v>
      </c>
      <c r="F84" t="s">
        <v>1423</v>
      </c>
    </row>
    <row r="85" spans="1:6" x14ac:dyDescent="0.4">
      <c r="A85" s="13" t="s">
        <v>1182</v>
      </c>
      <c r="B85" t="s">
        <v>1182</v>
      </c>
      <c r="C85" s="13" t="s">
        <v>1183</v>
      </c>
      <c r="D85" t="s">
        <v>1183</v>
      </c>
      <c r="E85" s="13" t="s">
        <v>1184</v>
      </c>
      <c r="F85" t="s">
        <v>1184</v>
      </c>
    </row>
    <row r="86" spans="1:6" x14ac:dyDescent="0.4">
      <c r="A86" s="13" t="s">
        <v>1479</v>
      </c>
      <c r="B86" t="s">
        <v>1479</v>
      </c>
      <c r="C86" s="13" t="s">
        <v>3471</v>
      </c>
      <c r="D86" t="s">
        <v>1480</v>
      </c>
      <c r="E86" s="13" t="s">
        <v>1481</v>
      </c>
      <c r="F86" t="s">
        <v>3472</v>
      </c>
    </row>
    <row r="87" spans="1:6" x14ac:dyDescent="0.4">
      <c r="A87" s="13" t="s">
        <v>410</v>
      </c>
      <c r="B87" t="s">
        <v>410</v>
      </c>
      <c r="C87" s="13" t="s">
        <v>411</v>
      </c>
      <c r="D87" t="s">
        <v>411</v>
      </c>
      <c r="E87" s="13" t="s">
        <v>412</v>
      </c>
      <c r="F87" t="s">
        <v>412</v>
      </c>
    </row>
    <row r="88" spans="1:6" s="11" customFormat="1" x14ac:dyDescent="0.4">
      <c r="A88" s="7"/>
      <c r="B88" s="11" t="s">
        <v>615</v>
      </c>
      <c r="C88" s="7"/>
      <c r="D88" s="11" t="s">
        <v>3473</v>
      </c>
      <c r="E88" s="7"/>
      <c r="F88" s="11" t="s">
        <v>3474</v>
      </c>
    </row>
    <row r="89" spans="1:6" s="11" customFormat="1" x14ac:dyDescent="0.4">
      <c r="A89" s="7"/>
      <c r="B89" s="11" t="s">
        <v>615</v>
      </c>
      <c r="C89" s="7"/>
      <c r="D89" s="11" t="s">
        <v>3475</v>
      </c>
      <c r="E89" s="7"/>
      <c r="F89" s="11" t="s">
        <v>617</v>
      </c>
    </row>
    <row r="90" spans="1:6" x14ac:dyDescent="0.4">
      <c r="A90" s="13" t="s">
        <v>1501</v>
      </c>
      <c r="B90" t="s">
        <v>1501</v>
      </c>
      <c r="C90" s="13" t="s">
        <v>3476</v>
      </c>
      <c r="D90" t="s">
        <v>1502</v>
      </c>
      <c r="E90" s="13" t="s">
        <v>1503</v>
      </c>
      <c r="F90" t="s">
        <v>1503</v>
      </c>
    </row>
    <row r="91" spans="1:6" x14ac:dyDescent="0.4">
      <c r="A91" s="13" t="s">
        <v>1072</v>
      </c>
      <c r="B91" t="s">
        <v>1072</v>
      </c>
      <c r="C91" s="13" t="s">
        <v>1073</v>
      </c>
      <c r="D91" t="s">
        <v>1073</v>
      </c>
      <c r="E91" s="13" t="s">
        <v>1074</v>
      </c>
      <c r="F91" t="s">
        <v>1074</v>
      </c>
    </row>
    <row r="92" spans="1:6" s="11" customFormat="1" x14ac:dyDescent="0.4">
      <c r="A92" s="7"/>
      <c r="B92" s="11" t="s">
        <v>3477</v>
      </c>
      <c r="C92" s="7"/>
      <c r="D92" s="11" t="s">
        <v>3478</v>
      </c>
      <c r="E92" s="7"/>
      <c r="F92" s="11" t="s">
        <v>3479</v>
      </c>
    </row>
    <row r="93" spans="1:6" x14ac:dyDescent="0.4">
      <c r="A93" s="12" t="s">
        <v>532</v>
      </c>
      <c r="B93" t="s">
        <v>532</v>
      </c>
      <c r="C93" s="12" t="s">
        <v>3480</v>
      </c>
      <c r="D93" t="s">
        <v>533</v>
      </c>
      <c r="E93" s="12" t="s">
        <v>534</v>
      </c>
      <c r="F93" t="s">
        <v>534</v>
      </c>
    </row>
    <row r="94" spans="1:6" x14ac:dyDescent="0.4">
      <c r="A94" s="12" t="s">
        <v>501</v>
      </c>
      <c r="B94" t="s">
        <v>501</v>
      </c>
      <c r="C94" s="12" t="s">
        <v>3481</v>
      </c>
      <c r="D94" t="s">
        <v>502</v>
      </c>
      <c r="E94" s="12" t="s">
        <v>503</v>
      </c>
      <c r="F94" t="s">
        <v>503</v>
      </c>
    </row>
    <row r="95" spans="1:6" x14ac:dyDescent="0.4">
      <c r="A95" s="12" t="s">
        <v>275</v>
      </c>
      <c r="B95" t="s">
        <v>275</v>
      </c>
      <c r="C95" s="12" t="s">
        <v>3482</v>
      </c>
      <c r="D95" t="s">
        <v>276</v>
      </c>
      <c r="E95" s="12" t="s">
        <v>277</v>
      </c>
      <c r="F95" t="s">
        <v>277</v>
      </c>
    </row>
    <row r="96" spans="1:6" x14ac:dyDescent="0.4">
      <c r="A96" s="12" t="s">
        <v>2655</v>
      </c>
      <c r="B96" t="s">
        <v>2655</v>
      </c>
      <c r="C96" s="12" t="s">
        <v>3483</v>
      </c>
      <c r="D96" t="s">
        <v>2656</v>
      </c>
      <c r="E96" s="12" t="s">
        <v>2657</v>
      </c>
      <c r="F96" t="s">
        <v>2657</v>
      </c>
    </row>
    <row r="97" spans="1:6" x14ac:dyDescent="0.4">
      <c r="A97" s="12" t="s">
        <v>2198</v>
      </c>
      <c r="B97" t="s">
        <v>2198</v>
      </c>
      <c r="C97" s="12" t="s">
        <v>3483</v>
      </c>
      <c r="D97" t="s">
        <v>2199</v>
      </c>
      <c r="E97" s="12" t="s">
        <v>2200</v>
      </c>
      <c r="F97" t="s">
        <v>2200</v>
      </c>
    </row>
    <row r="98" spans="1:6" x14ac:dyDescent="0.4">
      <c r="A98" s="12" t="s">
        <v>1989</v>
      </c>
      <c r="B98" t="s">
        <v>1989</v>
      </c>
      <c r="C98" s="12" t="s">
        <v>3484</v>
      </c>
      <c r="D98" t="s">
        <v>1990</v>
      </c>
      <c r="E98" s="12" t="s">
        <v>3485</v>
      </c>
      <c r="F98" t="s">
        <v>3485</v>
      </c>
    </row>
    <row r="99" spans="1:6" x14ac:dyDescent="0.4">
      <c r="A99" s="12" t="s">
        <v>833</v>
      </c>
      <c r="B99" t="s">
        <v>833</v>
      </c>
      <c r="C99" s="12" t="s">
        <v>3486</v>
      </c>
      <c r="D99" t="s">
        <v>3487</v>
      </c>
      <c r="E99" s="12" t="s">
        <v>835</v>
      </c>
      <c r="F99" t="s">
        <v>835</v>
      </c>
    </row>
    <row r="100" spans="1:6" s="9" customFormat="1" x14ac:dyDescent="0.4">
      <c r="A100" s="15"/>
      <c r="B100" s="9" t="s">
        <v>833</v>
      </c>
      <c r="C100" s="15"/>
      <c r="D100" s="9" t="s">
        <v>3487</v>
      </c>
      <c r="E100" s="15"/>
      <c r="F100" s="9" t="s">
        <v>835</v>
      </c>
    </row>
    <row r="101" spans="1:6" x14ac:dyDescent="0.4">
      <c r="A101" s="13" t="s">
        <v>3089</v>
      </c>
      <c r="B101" t="s">
        <v>3089</v>
      </c>
      <c r="C101" s="13" t="s">
        <v>3488</v>
      </c>
      <c r="D101" t="s">
        <v>3090</v>
      </c>
      <c r="E101" s="13" t="s">
        <v>3091</v>
      </c>
      <c r="F101" t="s">
        <v>3091</v>
      </c>
    </row>
    <row r="102" spans="1:6" x14ac:dyDescent="0.4">
      <c r="A102" s="13" t="s">
        <v>2142</v>
      </c>
      <c r="B102" t="s">
        <v>2142</v>
      </c>
      <c r="C102" s="13" t="s">
        <v>3489</v>
      </c>
      <c r="D102" t="s">
        <v>2143</v>
      </c>
      <c r="E102" s="13" t="s">
        <v>3490</v>
      </c>
      <c r="F102" t="s">
        <v>3490</v>
      </c>
    </row>
    <row r="103" spans="1:6" x14ac:dyDescent="0.4">
      <c r="A103" s="13" t="s">
        <v>997</v>
      </c>
      <c r="B103" t="s">
        <v>997</v>
      </c>
      <c r="C103" s="13" t="s">
        <v>3491</v>
      </c>
      <c r="D103" t="s">
        <v>998</v>
      </c>
      <c r="E103" s="13" t="s">
        <v>999</v>
      </c>
      <c r="F103" t="s">
        <v>999</v>
      </c>
    </row>
    <row r="104" spans="1:6" s="11" customFormat="1" x14ac:dyDescent="0.4">
      <c r="A104" s="7"/>
      <c r="B104" s="11" t="s">
        <v>969</v>
      </c>
      <c r="C104" s="7"/>
      <c r="D104" s="11" t="s">
        <v>970</v>
      </c>
      <c r="E104" s="7"/>
      <c r="F104" s="11" t="s">
        <v>971</v>
      </c>
    </row>
    <row r="105" spans="1:6" x14ac:dyDescent="0.4">
      <c r="A105" s="13" t="s">
        <v>2540</v>
      </c>
      <c r="B105" t="s">
        <v>2540</v>
      </c>
      <c r="C105" s="13" t="s">
        <v>3492</v>
      </c>
      <c r="D105" t="s">
        <v>2541</v>
      </c>
      <c r="E105" s="13" t="s">
        <v>2542</v>
      </c>
      <c r="F105" t="s">
        <v>2542</v>
      </c>
    </row>
    <row r="106" spans="1:6" x14ac:dyDescent="0.4">
      <c r="A106" s="13" t="s">
        <v>1011</v>
      </c>
      <c r="B106" t="s">
        <v>1011</v>
      </c>
      <c r="C106" s="13" t="s">
        <v>3493</v>
      </c>
      <c r="D106" t="s">
        <v>1012</v>
      </c>
      <c r="E106" s="13" t="s">
        <v>1013</v>
      </c>
      <c r="F106" t="s">
        <v>1013</v>
      </c>
    </row>
    <row r="107" spans="1:6" x14ac:dyDescent="0.4">
      <c r="A107" s="13" t="s">
        <v>1463</v>
      </c>
      <c r="B107" t="s">
        <v>1463</v>
      </c>
      <c r="C107" s="13" t="s">
        <v>1464</v>
      </c>
      <c r="D107" t="s">
        <v>1464</v>
      </c>
      <c r="E107" s="13" t="s">
        <v>1465</v>
      </c>
      <c r="F107" t="s">
        <v>1465</v>
      </c>
    </row>
    <row r="108" spans="1:6" x14ac:dyDescent="0.4">
      <c r="A108" s="13" t="s">
        <v>173</v>
      </c>
      <c r="B108" t="s">
        <v>173</v>
      </c>
      <c r="C108" s="13" t="s">
        <v>3494</v>
      </c>
      <c r="D108" t="s">
        <v>174</v>
      </c>
      <c r="E108" s="13" t="s">
        <v>175</v>
      </c>
      <c r="F108" t="s">
        <v>175</v>
      </c>
    </row>
    <row r="109" spans="1:6" x14ac:dyDescent="0.4">
      <c r="A109" s="13" t="s">
        <v>862</v>
      </c>
      <c r="B109" t="s">
        <v>862</v>
      </c>
      <c r="C109" s="13" t="s">
        <v>863</v>
      </c>
      <c r="D109" t="s">
        <v>863</v>
      </c>
      <c r="E109" s="13" t="s">
        <v>864</v>
      </c>
      <c r="F109" t="s">
        <v>864</v>
      </c>
    </row>
    <row r="110" spans="1:6" s="11" customFormat="1" x14ac:dyDescent="0.4">
      <c r="A110" s="7"/>
      <c r="B110" s="11" t="s">
        <v>3495</v>
      </c>
      <c r="C110" s="7"/>
      <c r="D110" s="11" t="s">
        <v>3496</v>
      </c>
      <c r="E110" s="7"/>
      <c r="F110" s="11" t="s">
        <v>3497</v>
      </c>
    </row>
    <row r="111" spans="1:6" x14ac:dyDescent="0.4">
      <c r="A111" s="13" t="s">
        <v>2975</v>
      </c>
      <c r="B111" t="s">
        <v>2975</v>
      </c>
      <c r="C111" s="13" t="s">
        <v>3498</v>
      </c>
      <c r="D111" t="s">
        <v>2976</v>
      </c>
      <c r="E111" s="13" t="s">
        <v>2977</v>
      </c>
      <c r="F111" t="s">
        <v>3499</v>
      </c>
    </row>
    <row r="112" spans="1:6" x14ac:dyDescent="0.4">
      <c r="A112" s="13" t="s">
        <v>2870</v>
      </c>
      <c r="B112" t="s">
        <v>2870</v>
      </c>
      <c r="C112" s="13" t="s">
        <v>3500</v>
      </c>
      <c r="D112" t="s">
        <v>2871</v>
      </c>
      <c r="E112" s="13" t="s">
        <v>2872</v>
      </c>
      <c r="F112" t="s">
        <v>2872</v>
      </c>
    </row>
    <row r="113" spans="1:6" x14ac:dyDescent="0.4">
      <c r="A113" s="13" t="s">
        <v>2881</v>
      </c>
      <c r="B113" t="s">
        <v>2881</v>
      </c>
      <c r="C113" s="13" t="s">
        <v>3501</v>
      </c>
      <c r="D113" t="s">
        <v>2882</v>
      </c>
      <c r="E113" s="13" t="s">
        <v>2883</v>
      </c>
      <c r="F113" t="s">
        <v>2883</v>
      </c>
    </row>
    <row r="114" spans="1:6" x14ac:dyDescent="0.4">
      <c r="A114" s="13" t="s">
        <v>2068</v>
      </c>
      <c r="B114" t="s">
        <v>2068</v>
      </c>
      <c r="C114" s="13" t="s">
        <v>3502</v>
      </c>
      <c r="D114" t="s">
        <v>2069</v>
      </c>
      <c r="E114" s="13" t="s">
        <v>2070</v>
      </c>
      <c r="F114" t="s">
        <v>2070</v>
      </c>
    </row>
    <row r="115" spans="1:6" x14ac:dyDescent="0.4">
      <c r="A115" s="13" t="s">
        <v>2360</v>
      </c>
      <c r="B115" t="s">
        <v>2360</v>
      </c>
      <c r="C115" s="13" t="s">
        <v>3503</v>
      </c>
      <c r="D115" t="s">
        <v>2361</v>
      </c>
      <c r="E115" s="13" t="s">
        <v>2362</v>
      </c>
      <c r="F115" t="s">
        <v>2362</v>
      </c>
    </row>
    <row r="116" spans="1:6" s="11" customFormat="1" x14ac:dyDescent="0.4">
      <c r="A116" s="7"/>
      <c r="B116" s="11" t="s">
        <v>3504</v>
      </c>
      <c r="C116" s="7"/>
      <c r="D116" s="11" t="s">
        <v>3505</v>
      </c>
      <c r="E116" s="7"/>
      <c r="F116" s="11" t="s">
        <v>3506</v>
      </c>
    </row>
    <row r="117" spans="1:6" s="11" customFormat="1" x14ac:dyDescent="0.4">
      <c r="A117" s="7"/>
      <c r="B117" s="11" t="s">
        <v>3504</v>
      </c>
      <c r="C117" s="7"/>
      <c r="D117" s="11" t="s">
        <v>3507</v>
      </c>
      <c r="E117" s="7"/>
      <c r="F117" s="11" t="s">
        <v>3508</v>
      </c>
    </row>
    <row r="118" spans="1:6" s="11" customFormat="1" x14ac:dyDescent="0.4">
      <c r="A118" s="7"/>
      <c r="B118" s="11" t="s">
        <v>3504</v>
      </c>
      <c r="C118" s="7"/>
      <c r="D118" s="11" t="s">
        <v>3509</v>
      </c>
      <c r="E118" s="7"/>
      <c r="F118" s="11" t="s">
        <v>3510</v>
      </c>
    </row>
    <row r="119" spans="1:6" s="11" customFormat="1" x14ac:dyDescent="0.4">
      <c r="A119" s="7"/>
      <c r="B119" s="11" t="s">
        <v>3504</v>
      </c>
      <c r="C119" s="7"/>
      <c r="D119" s="11" t="s">
        <v>3511</v>
      </c>
      <c r="E119" s="7"/>
      <c r="F119" s="11" t="s">
        <v>3512</v>
      </c>
    </row>
    <row r="120" spans="1:6" s="11" customFormat="1" x14ac:dyDescent="0.4">
      <c r="A120" s="7"/>
      <c r="B120" s="11" t="s">
        <v>3504</v>
      </c>
      <c r="C120" s="7"/>
      <c r="D120" s="11" t="s">
        <v>3513</v>
      </c>
      <c r="E120" s="7"/>
      <c r="F120" s="11" t="s">
        <v>3514</v>
      </c>
    </row>
    <row r="121" spans="1:6" x14ac:dyDescent="0.4">
      <c r="A121" s="13" t="s">
        <v>631</v>
      </c>
      <c r="B121" t="s">
        <v>631</v>
      </c>
      <c r="C121" s="13" t="s">
        <v>632</v>
      </c>
      <c r="D121" t="s">
        <v>632</v>
      </c>
      <c r="E121" s="13" t="s">
        <v>633</v>
      </c>
      <c r="F121" t="s">
        <v>633</v>
      </c>
    </row>
    <row r="122" spans="1:6" x14ac:dyDescent="0.4">
      <c r="A122" s="13" t="s">
        <v>2096</v>
      </c>
      <c r="B122" t="s">
        <v>2096</v>
      </c>
      <c r="C122" s="13" t="s">
        <v>3515</v>
      </c>
      <c r="D122" t="s">
        <v>2097</v>
      </c>
      <c r="E122" s="13" t="s">
        <v>2098</v>
      </c>
      <c r="F122" t="s">
        <v>2098</v>
      </c>
    </row>
    <row r="123" spans="1:6" x14ac:dyDescent="0.4">
      <c r="A123" s="13" t="s">
        <v>2309</v>
      </c>
      <c r="B123" t="s">
        <v>2309</v>
      </c>
      <c r="C123" s="13" t="s">
        <v>3516</v>
      </c>
      <c r="D123" t="s">
        <v>2310</v>
      </c>
      <c r="E123" s="13" t="s">
        <v>2311</v>
      </c>
      <c r="F123" t="s">
        <v>2311</v>
      </c>
    </row>
    <row r="124" spans="1:6" x14ac:dyDescent="0.4">
      <c r="A124" s="13" t="s">
        <v>516</v>
      </c>
      <c r="B124" t="s">
        <v>516</v>
      </c>
      <c r="C124" s="13" t="s">
        <v>3517</v>
      </c>
      <c r="D124" t="s">
        <v>517</v>
      </c>
      <c r="E124" s="13" t="s">
        <v>518</v>
      </c>
      <c r="F124" t="s">
        <v>518</v>
      </c>
    </row>
    <row r="125" spans="1:6" x14ac:dyDescent="0.4">
      <c r="A125" s="13" t="s">
        <v>719</v>
      </c>
      <c r="B125" t="s">
        <v>719</v>
      </c>
      <c r="C125" s="13" t="s">
        <v>3518</v>
      </c>
      <c r="D125" t="s">
        <v>720</v>
      </c>
      <c r="E125" s="13" t="s">
        <v>721</v>
      </c>
      <c r="F125" t="s">
        <v>721</v>
      </c>
    </row>
    <row r="126" spans="1:6" x14ac:dyDescent="0.4">
      <c r="A126" s="13" t="s">
        <v>2110</v>
      </c>
      <c r="B126" t="s">
        <v>2110</v>
      </c>
      <c r="C126" s="13" t="s">
        <v>3519</v>
      </c>
      <c r="D126" t="s">
        <v>2111</v>
      </c>
      <c r="E126" s="13" t="s">
        <v>2112</v>
      </c>
      <c r="F126" t="s">
        <v>2112</v>
      </c>
    </row>
    <row r="127" spans="1:6" x14ac:dyDescent="0.4">
      <c r="A127" s="13" t="s">
        <v>2120</v>
      </c>
      <c r="B127" t="s">
        <v>2120</v>
      </c>
      <c r="C127" s="13" t="s">
        <v>2121</v>
      </c>
      <c r="D127" t="s">
        <v>2121</v>
      </c>
      <c r="E127" s="13" t="s">
        <v>2122</v>
      </c>
      <c r="F127" t="s">
        <v>2122</v>
      </c>
    </row>
    <row r="128" spans="1:6" x14ac:dyDescent="0.4">
      <c r="A128" s="13" t="s">
        <v>1372</v>
      </c>
      <c r="B128" t="s">
        <v>1372</v>
      </c>
      <c r="C128" s="13" t="s">
        <v>3520</v>
      </c>
      <c r="D128" t="s">
        <v>1373</v>
      </c>
      <c r="E128" s="13" t="s">
        <v>1374</v>
      </c>
      <c r="F128" t="s">
        <v>1374</v>
      </c>
    </row>
    <row r="129" spans="1:6" x14ac:dyDescent="0.4">
      <c r="A129" s="13" t="s">
        <v>2451</v>
      </c>
      <c r="B129" t="s">
        <v>2451</v>
      </c>
      <c r="C129" s="13" t="s">
        <v>3521</v>
      </c>
      <c r="D129" t="s">
        <v>2452</v>
      </c>
      <c r="E129" s="13" t="s">
        <v>2453</v>
      </c>
      <c r="F129" t="s">
        <v>2453</v>
      </c>
    </row>
    <row r="130" spans="1:6" x14ac:dyDescent="0.4">
      <c r="A130" s="13" t="s">
        <v>392</v>
      </c>
      <c r="B130" t="s">
        <v>392</v>
      </c>
      <c r="C130" s="13" t="s">
        <v>3522</v>
      </c>
      <c r="D130" t="s">
        <v>393</v>
      </c>
      <c r="E130" s="13" t="s">
        <v>394</v>
      </c>
      <c r="F130" t="s">
        <v>394</v>
      </c>
    </row>
    <row r="131" spans="1:6" x14ac:dyDescent="0.4">
      <c r="A131" s="13" t="s">
        <v>2083</v>
      </c>
      <c r="B131" t="s">
        <v>2083</v>
      </c>
      <c r="C131" s="13" t="s">
        <v>3523</v>
      </c>
      <c r="D131" t="s">
        <v>2084</v>
      </c>
      <c r="E131" s="13" t="s">
        <v>2085</v>
      </c>
      <c r="F131" t="s">
        <v>2085</v>
      </c>
    </row>
    <row r="132" spans="1:6" x14ac:dyDescent="0.4">
      <c r="A132" s="13" t="s">
        <v>294</v>
      </c>
      <c r="B132" t="s">
        <v>294</v>
      </c>
      <c r="C132" s="13" t="s">
        <v>3524</v>
      </c>
      <c r="D132" t="s">
        <v>295</v>
      </c>
      <c r="E132" s="13" t="s">
        <v>296</v>
      </c>
      <c r="F132" t="s">
        <v>296</v>
      </c>
    </row>
    <row r="133" spans="1:6" x14ac:dyDescent="0.4">
      <c r="A133" s="13" t="s">
        <v>2999</v>
      </c>
      <c r="B133" t="s">
        <v>2999</v>
      </c>
      <c r="C133" s="13" t="s">
        <v>3525</v>
      </c>
      <c r="D133" t="s">
        <v>3000</v>
      </c>
      <c r="E133" s="13" t="s">
        <v>3001</v>
      </c>
      <c r="F133" t="s">
        <v>3526</v>
      </c>
    </row>
  </sheetData>
  <conditionalFormatting sqref="E90 E93:E95">
    <cfRule type="duplicateValues" dxfId="2" priority="3"/>
  </conditionalFormatting>
  <conditionalFormatting sqref="E91:E92">
    <cfRule type="duplicateValues" dxfId="1" priority="2"/>
  </conditionalFormatting>
  <conditionalFormatting sqref="E9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Q15" sqref="Q15"/>
    </sheetView>
  </sheetViews>
  <sheetFormatPr defaultRowHeight="12.3" x14ac:dyDescent="0.4"/>
  <cols>
    <col min="1" max="1" width="47.44140625" customWidth="1"/>
    <col min="2" max="2" width="10.44140625" style="1" customWidth="1"/>
    <col min="3" max="3" width="8.27734375" customWidth="1"/>
    <col min="5" max="5" width="2" customWidth="1"/>
    <col min="6" max="6" width="2.27734375" customWidth="1"/>
    <col min="7" max="8" width="9.1640625" style="1"/>
    <col min="9" max="9" width="2.44140625" customWidth="1"/>
    <col min="10" max="10" width="2.5546875" customWidth="1"/>
  </cols>
  <sheetData>
    <row r="1" spans="1:12" ht="27" customHeight="1" x14ac:dyDescent="0.4">
      <c r="A1" s="49" t="s">
        <v>3527</v>
      </c>
      <c r="B1" s="28" t="s">
        <v>3528</v>
      </c>
      <c r="C1" s="122" t="s">
        <v>3529</v>
      </c>
      <c r="D1" s="132" t="s">
        <v>3530</v>
      </c>
      <c r="E1" s="133"/>
      <c r="F1" s="133"/>
      <c r="G1" s="147">
        <v>44256</v>
      </c>
      <c r="H1" s="155" t="s">
        <v>3531</v>
      </c>
      <c r="I1" s="156"/>
      <c r="J1" s="156"/>
      <c r="K1" s="157" t="s">
        <v>3532</v>
      </c>
    </row>
    <row r="2" spans="1:12" ht="15" customHeight="1" x14ac:dyDescent="0.55000000000000004">
      <c r="A2" s="17" t="s">
        <v>3533</v>
      </c>
      <c r="B2" s="29">
        <v>111</v>
      </c>
      <c r="C2" s="123">
        <v>2</v>
      </c>
      <c r="D2" s="134">
        <v>114</v>
      </c>
      <c r="E2" s="114"/>
      <c r="F2" s="114"/>
      <c r="G2" s="148">
        <v>3</v>
      </c>
      <c r="H2" s="158" t="e">
        <f>COUNTIF(Facilities!#REF!,"A")</f>
        <v>#REF!</v>
      </c>
      <c r="I2" s="101"/>
      <c r="J2" s="102"/>
      <c r="K2" s="185" t="s">
        <v>3534</v>
      </c>
      <c r="L2" s="158"/>
    </row>
    <row r="3" spans="1:12" ht="15" customHeight="1" x14ac:dyDescent="0.55000000000000004">
      <c r="A3" s="18" t="s">
        <v>3535</v>
      </c>
      <c r="B3" s="30">
        <v>11</v>
      </c>
      <c r="C3" s="124">
        <v>0</v>
      </c>
      <c r="D3" s="135" t="e">
        <f>COUNTIFS(Facilities!#REF!,"A",Facilities!I:I,"sch")</f>
        <v>#REF!</v>
      </c>
      <c r="E3" s="115"/>
      <c r="F3" s="115"/>
      <c r="G3" s="149">
        <v>0</v>
      </c>
      <c r="H3" s="159" t="e">
        <f>COUNTIFS(Facilities!#REF!,"A",Facilities!I:I,"sch")</f>
        <v>#REF!</v>
      </c>
      <c r="I3" s="103"/>
      <c r="J3" s="104"/>
      <c r="K3" s="138">
        <v>0</v>
      </c>
    </row>
    <row r="4" spans="1:12" ht="15" customHeight="1" x14ac:dyDescent="0.55000000000000004">
      <c r="A4" s="19" t="s">
        <v>3536</v>
      </c>
      <c r="B4" s="31">
        <v>100</v>
      </c>
      <c r="C4" s="125">
        <v>2</v>
      </c>
      <c r="D4" s="136" t="e">
        <f>D2-D3</f>
        <v>#REF!</v>
      </c>
      <c r="E4" s="116"/>
      <c r="F4" s="116"/>
      <c r="G4" s="148">
        <v>3</v>
      </c>
      <c r="H4" s="158" t="e">
        <f>D2-D3</f>
        <v>#REF!</v>
      </c>
      <c r="I4" s="101"/>
      <c r="J4" s="102"/>
      <c r="K4" s="185" t="s">
        <v>3534</v>
      </c>
    </row>
    <row r="5" spans="1:12" ht="15" customHeight="1" x14ac:dyDescent="0.55000000000000004">
      <c r="A5" s="20" t="s">
        <v>3537</v>
      </c>
      <c r="B5" s="32">
        <v>39</v>
      </c>
      <c r="C5" s="124">
        <v>5</v>
      </c>
      <c r="D5" s="137">
        <v>41</v>
      </c>
      <c r="E5" s="117"/>
      <c r="F5" s="117"/>
      <c r="G5" s="149">
        <v>2</v>
      </c>
      <c r="H5" s="160">
        <f>COUNTIFS(Facilities!AI:AI,"&lt;&gt;",Facilities!AI:AI,"&lt;&gt;Out of Program")-1</f>
        <v>101</v>
      </c>
      <c r="I5" s="103"/>
      <c r="J5" s="104"/>
      <c r="K5" s="138">
        <v>2</v>
      </c>
    </row>
    <row r="6" spans="1:12" ht="15" customHeight="1" x14ac:dyDescent="0.55000000000000004">
      <c r="A6" s="19" t="s">
        <v>3538</v>
      </c>
      <c r="B6" s="31">
        <v>28</v>
      </c>
      <c r="C6" s="125" t="s">
        <v>3539</v>
      </c>
      <c r="D6" s="136">
        <v>30</v>
      </c>
      <c r="E6" s="116"/>
      <c r="F6" s="116"/>
      <c r="G6" s="148"/>
      <c r="H6" s="161" cm="1">
        <f t="array" aca="1" ref="H6" ca="1">SUMPRODUCT(((Facilities!BD2:BD169&lt;&gt;"")/COUNTIF(Facilities!BD2:BD169, Facilities!BD2:BD169 &amp;"")))</f>
        <v>70</v>
      </c>
      <c r="I6" s="101"/>
      <c r="J6" s="102"/>
      <c r="K6" s="185"/>
    </row>
    <row r="7" spans="1:12" ht="15" customHeight="1" x14ac:dyDescent="0.55000000000000004">
      <c r="A7" s="21" t="s">
        <v>3540</v>
      </c>
      <c r="B7" s="33">
        <v>639</v>
      </c>
      <c r="C7" s="33" t="s">
        <v>3539</v>
      </c>
      <c r="D7" s="171">
        <v>651</v>
      </c>
      <c r="E7" s="172">
        <f ca="1">SUMIF(Facilities!AI:AI,"&lt;="&amp;TODAY(),Facilities!AP:AP)</f>
        <v>1493</v>
      </c>
      <c r="F7" s="172">
        <f ca="1">SUMIF(Facilities!AI:AI,TODAY(),Facilities!AP:AP)</f>
        <v>0</v>
      </c>
      <c r="G7" s="173">
        <f>D7-B7</f>
        <v>12</v>
      </c>
      <c r="H7" s="174">
        <v>897</v>
      </c>
      <c r="I7" s="175">
        <f ca="1">SUMIF(Facilities!AI:AI,"&lt;="&amp;TODAY(),Facilities!AP:AP)</f>
        <v>1493</v>
      </c>
      <c r="J7" s="112">
        <f ca="1">SUMIF(Facilities!AI:AI,TODAY(),Facilities!AP:AP)</f>
        <v>0</v>
      </c>
      <c r="K7" s="186">
        <v>92</v>
      </c>
    </row>
    <row r="8" spans="1:12" ht="15" customHeight="1" x14ac:dyDescent="0.55000000000000004">
      <c r="A8" s="40" t="s">
        <v>3541</v>
      </c>
      <c r="B8" s="41">
        <v>0</v>
      </c>
      <c r="C8" s="126">
        <v>9</v>
      </c>
      <c r="D8" s="167">
        <v>17</v>
      </c>
      <c r="E8" s="168"/>
      <c r="F8" s="168"/>
      <c r="G8" s="169">
        <v>0</v>
      </c>
      <c r="H8" s="180">
        <v>35</v>
      </c>
      <c r="I8" s="181"/>
      <c r="J8" s="182"/>
      <c r="K8" s="187">
        <v>18</v>
      </c>
    </row>
    <row r="9" spans="1:12" ht="15" customHeight="1" x14ac:dyDescent="0.55000000000000004">
      <c r="A9" s="22" t="s">
        <v>3542</v>
      </c>
      <c r="B9" s="34">
        <v>0</v>
      </c>
      <c r="C9" s="127">
        <v>9</v>
      </c>
      <c r="D9" s="140">
        <v>22</v>
      </c>
      <c r="E9" s="119"/>
      <c r="F9" s="119"/>
      <c r="G9" s="150">
        <v>0</v>
      </c>
      <c r="H9" s="162">
        <v>56</v>
      </c>
      <c r="I9" s="104"/>
      <c r="J9" s="104"/>
      <c r="K9" s="138">
        <v>34</v>
      </c>
    </row>
    <row r="10" spans="1:12" ht="15" customHeight="1" x14ac:dyDescent="0.55000000000000004">
      <c r="A10" s="42" t="s">
        <v>3543</v>
      </c>
      <c r="B10" s="43">
        <v>0</v>
      </c>
      <c r="C10" s="128">
        <v>0</v>
      </c>
      <c r="D10" s="139">
        <v>9</v>
      </c>
      <c r="E10" s="118"/>
      <c r="F10" s="118"/>
      <c r="G10" s="151">
        <v>0</v>
      </c>
      <c r="H10" s="183">
        <v>56</v>
      </c>
      <c r="I10" s="184"/>
      <c r="J10" s="184"/>
      <c r="K10" s="141">
        <v>47</v>
      </c>
    </row>
    <row r="11" spans="1:12" ht="15" customHeight="1" x14ac:dyDescent="0.55000000000000004">
      <c r="A11" s="23" t="s">
        <v>3544</v>
      </c>
      <c r="B11" s="35">
        <v>0</v>
      </c>
      <c r="C11" s="129">
        <v>0</v>
      </c>
      <c r="D11" s="142">
        <v>6</v>
      </c>
      <c r="E11" s="120"/>
      <c r="F11" s="120"/>
      <c r="G11" s="150">
        <v>0</v>
      </c>
      <c r="H11" s="162">
        <v>34</v>
      </c>
      <c r="I11" s="104"/>
      <c r="J11" s="104"/>
      <c r="K11" s="138">
        <v>28</v>
      </c>
    </row>
    <row r="12" spans="1:12" ht="15" customHeight="1" x14ac:dyDescent="0.55000000000000004">
      <c r="A12" s="42" t="s">
        <v>3545</v>
      </c>
      <c r="B12" s="43">
        <v>0</v>
      </c>
      <c r="C12" s="128">
        <v>0</v>
      </c>
      <c r="D12" s="139">
        <v>4</v>
      </c>
      <c r="E12" s="118"/>
      <c r="F12" s="118"/>
      <c r="G12" s="151">
        <v>0</v>
      </c>
      <c r="H12" s="183">
        <v>12</v>
      </c>
      <c r="I12" s="184"/>
      <c r="J12" s="184"/>
      <c r="K12" s="141">
        <v>8</v>
      </c>
    </row>
    <row r="13" spans="1:12" ht="15" customHeight="1" x14ac:dyDescent="0.55000000000000004">
      <c r="A13" s="24" t="s">
        <v>3546</v>
      </c>
      <c r="B13" s="36">
        <v>0</v>
      </c>
      <c r="C13" s="36">
        <v>0</v>
      </c>
      <c r="D13" s="145">
        <v>2</v>
      </c>
      <c r="E13" s="146"/>
      <c r="F13" s="146"/>
      <c r="G13" s="170">
        <v>0</v>
      </c>
      <c r="H13" s="164">
        <v>5</v>
      </c>
      <c r="I13" s="166"/>
      <c r="J13" s="166"/>
      <c r="K13" s="188">
        <v>3</v>
      </c>
    </row>
    <row r="14" spans="1:12" ht="15" customHeight="1" x14ac:dyDescent="0.55000000000000004">
      <c r="A14" s="25" t="s">
        <v>3547</v>
      </c>
      <c r="B14" s="37">
        <v>231</v>
      </c>
      <c r="C14" s="130">
        <v>8</v>
      </c>
      <c r="D14" s="176">
        <v>235</v>
      </c>
      <c r="E14" s="177"/>
      <c r="F14" s="177"/>
      <c r="G14" s="178">
        <v>4</v>
      </c>
      <c r="H14" s="179">
        <v>257</v>
      </c>
      <c r="I14" s="113"/>
      <c r="J14" s="113"/>
      <c r="K14" s="189">
        <v>31</v>
      </c>
    </row>
    <row r="15" spans="1:12" ht="15" customHeight="1" x14ac:dyDescent="0.55000000000000004">
      <c r="A15" s="23" t="s">
        <v>3548</v>
      </c>
      <c r="B15" s="35">
        <v>269</v>
      </c>
      <c r="C15" s="129">
        <v>11</v>
      </c>
      <c r="D15" s="142">
        <v>275</v>
      </c>
      <c r="E15" s="120"/>
      <c r="F15" s="120"/>
      <c r="G15" s="150">
        <v>6</v>
      </c>
      <c r="H15" s="162">
        <v>305</v>
      </c>
      <c r="I15" s="104"/>
      <c r="J15" s="104"/>
      <c r="K15" s="138">
        <v>44</v>
      </c>
    </row>
    <row r="16" spans="1:12" ht="15" customHeight="1" x14ac:dyDescent="0.55000000000000004">
      <c r="A16" s="26" t="s">
        <v>3549</v>
      </c>
      <c r="B16" s="38">
        <v>95</v>
      </c>
      <c r="C16" s="131">
        <v>4</v>
      </c>
      <c r="D16" s="143">
        <v>97</v>
      </c>
      <c r="E16" s="121"/>
      <c r="F16" s="121"/>
      <c r="G16" s="152">
        <v>2</v>
      </c>
      <c r="H16" s="163">
        <v>101</v>
      </c>
      <c r="I16" s="105"/>
      <c r="J16" s="105"/>
      <c r="K16" s="144">
        <v>13</v>
      </c>
    </row>
    <row r="17" spans="1:11" ht="15" customHeight="1" x14ac:dyDescent="0.55000000000000004">
      <c r="A17" s="23" t="s">
        <v>3550</v>
      </c>
      <c r="B17" s="35">
        <v>28</v>
      </c>
      <c r="C17" s="129">
        <v>2</v>
      </c>
      <c r="D17" s="142">
        <v>28</v>
      </c>
      <c r="E17" s="120"/>
      <c r="F17" s="120"/>
      <c r="G17" s="149">
        <v>0</v>
      </c>
      <c r="H17" s="162">
        <v>24</v>
      </c>
      <c r="I17" s="103"/>
      <c r="J17" s="104"/>
      <c r="K17" s="138">
        <v>2</v>
      </c>
    </row>
    <row r="18" spans="1:11" ht="15" customHeight="1" x14ac:dyDescent="0.55000000000000004">
      <c r="A18" s="26" t="s">
        <v>3551</v>
      </c>
      <c r="B18" s="38">
        <v>12</v>
      </c>
      <c r="C18" s="131">
        <v>1</v>
      </c>
      <c r="D18" s="143">
        <v>12</v>
      </c>
      <c r="E18" s="121"/>
      <c r="F18" s="121"/>
      <c r="G18" s="153">
        <v>0</v>
      </c>
      <c r="H18" s="163">
        <v>10</v>
      </c>
      <c r="I18" s="106"/>
      <c r="J18" s="105"/>
      <c r="K18" s="144">
        <v>2</v>
      </c>
    </row>
    <row r="19" spans="1:11" ht="15" customHeight="1" x14ac:dyDescent="0.55000000000000004">
      <c r="A19" s="27" t="s">
        <v>3552</v>
      </c>
      <c r="B19" s="39">
        <v>4</v>
      </c>
      <c r="C19" s="39">
        <v>0</v>
      </c>
      <c r="D19" s="145">
        <v>4</v>
      </c>
      <c r="E19" s="146"/>
      <c r="F19" s="146"/>
      <c r="G19" s="154">
        <v>0</v>
      </c>
      <c r="H19" s="164">
        <v>2</v>
      </c>
      <c r="I19" s="165"/>
      <c r="J19" s="166"/>
      <c r="K19" s="188">
        <v>0</v>
      </c>
    </row>
    <row r="20" spans="1:11" x14ac:dyDescent="0.4">
      <c r="K20" t="s">
        <v>3553</v>
      </c>
    </row>
    <row r="22" spans="1:11" ht="27.75" customHeight="1" x14ac:dyDescent="0.4">
      <c r="A22" s="49" t="s">
        <v>3527</v>
      </c>
      <c r="B22" s="194" t="s">
        <v>3531</v>
      </c>
      <c r="C22" s="196" t="s">
        <v>3532</v>
      </c>
    </row>
    <row r="23" spans="1:11" ht="15" customHeight="1" x14ac:dyDescent="0.55000000000000004">
      <c r="A23" s="17" t="s">
        <v>3533</v>
      </c>
      <c r="B23" s="200">
        <v>172</v>
      </c>
      <c r="C23" s="201" t="s">
        <v>3534</v>
      </c>
    </row>
    <row r="24" spans="1:11" ht="15" customHeight="1" x14ac:dyDescent="0.55000000000000004">
      <c r="A24" s="18" t="s">
        <v>3535</v>
      </c>
      <c r="B24" s="108">
        <v>11</v>
      </c>
      <c r="C24" s="45">
        <v>0</v>
      </c>
    </row>
    <row r="25" spans="1:11" ht="15" customHeight="1" x14ac:dyDescent="0.55000000000000004">
      <c r="A25" s="19" t="s">
        <v>3536</v>
      </c>
      <c r="B25" s="198">
        <v>103</v>
      </c>
      <c r="C25" s="199" t="s">
        <v>3534</v>
      </c>
    </row>
    <row r="26" spans="1:11" ht="15" customHeight="1" x14ac:dyDescent="0.55000000000000004">
      <c r="A26" s="20" t="s">
        <v>3537</v>
      </c>
      <c r="B26" s="108">
        <v>43</v>
      </c>
      <c r="C26" s="45">
        <v>2</v>
      </c>
    </row>
    <row r="27" spans="1:11" ht="15" customHeight="1" x14ac:dyDescent="0.55000000000000004">
      <c r="A27" s="19" t="s">
        <v>3538</v>
      </c>
      <c r="B27" s="198">
        <v>35.999999999999993</v>
      </c>
      <c r="C27" s="199"/>
    </row>
    <row r="28" spans="1:11" ht="15" customHeight="1" x14ac:dyDescent="0.55000000000000004">
      <c r="A28" s="21" t="s">
        <v>3540</v>
      </c>
      <c r="B28" s="107">
        <v>897</v>
      </c>
      <c r="C28" s="44">
        <v>92</v>
      </c>
    </row>
    <row r="29" spans="1:11" ht="15" customHeight="1" x14ac:dyDescent="0.55000000000000004">
      <c r="A29" s="40" t="s">
        <v>3541</v>
      </c>
      <c r="B29" s="202">
        <v>35</v>
      </c>
      <c r="C29" s="203">
        <v>18</v>
      </c>
    </row>
    <row r="30" spans="1:11" ht="15" customHeight="1" x14ac:dyDescent="0.55000000000000004">
      <c r="A30" s="22" t="s">
        <v>3542</v>
      </c>
      <c r="B30" s="108">
        <v>56</v>
      </c>
      <c r="C30" s="45">
        <v>34</v>
      </c>
    </row>
    <row r="31" spans="1:11" ht="15" customHeight="1" x14ac:dyDescent="0.55000000000000004">
      <c r="A31" s="42" t="s">
        <v>3543</v>
      </c>
      <c r="B31" s="109">
        <v>56</v>
      </c>
      <c r="C31" s="48">
        <v>47</v>
      </c>
      <c r="I31" s="197"/>
    </row>
    <row r="32" spans="1:11" ht="15" customHeight="1" x14ac:dyDescent="0.55000000000000004">
      <c r="A32" s="23" t="s">
        <v>3544</v>
      </c>
      <c r="B32" s="108">
        <v>34</v>
      </c>
      <c r="C32" s="45">
        <v>28</v>
      </c>
    </row>
    <row r="33" spans="1:3" ht="15" customHeight="1" x14ac:dyDescent="0.55000000000000004">
      <c r="A33" s="42" t="s">
        <v>3545</v>
      </c>
      <c r="B33" s="109">
        <v>12</v>
      </c>
      <c r="C33" s="48">
        <v>8</v>
      </c>
    </row>
    <row r="34" spans="1:3" ht="15" customHeight="1" x14ac:dyDescent="0.55000000000000004">
      <c r="A34" s="24" t="s">
        <v>3546</v>
      </c>
      <c r="B34" s="107">
        <v>5</v>
      </c>
      <c r="C34" s="44">
        <v>3</v>
      </c>
    </row>
    <row r="35" spans="1:3" ht="15" customHeight="1" x14ac:dyDescent="0.55000000000000004">
      <c r="A35" s="25" t="s">
        <v>3547</v>
      </c>
      <c r="B35" s="110">
        <v>257</v>
      </c>
      <c r="C35" s="46">
        <v>31</v>
      </c>
    </row>
    <row r="36" spans="1:3" ht="15" customHeight="1" x14ac:dyDescent="0.55000000000000004">
      <c r="A36" s="23" t="s">
        <v>3548</v>
      </c>
      <c r="B36" s="108">
        <v>305</v>
      </c>
      <c r="C36" s="45">
        <v>44</v>
      </c>
    </row>
    <row r="37" spans="1:3" ht="15" customHeight="1" x14ac:dyDescent="0.55000000000000004">
      <c r="A37" s="26" t="s">
        <v>3549</v>
      </c>
      <c r="B37" s="111">
        <v>101</v>
      </c>
      <c r="C37" s="47">
        <v>13</v>
      </c>
    </row>
    <row r="38" spans="1:3" ht="15" customHeight="1" x14ac:dyDescent="0.55000000000000004">
      <c r="A38" s="23" t="s">
        <v>3550</v>
      </c>
      <c r="B38" s="108">
        <v>24</v>
      </c>
      <c r="C38" s="45">
        <v>2</v>
      </c>
    </row>
    <row r="39" spans="1:3" ht="15" customHeight="1" x14ac:dyDescent="0.55000000000000004">
      <c r="A39" s="26" t="s">
        <v>3551</v>
      </c>
      <c r="B39" s="111">
        <v>10</v>
      </c>
      <c r="C39" s="47">
        <v>2</v>
      </c>
    </row>
    <row r="40" spans="1:3" ht="15" customHeight="1" x14ac:dyDescent="0.55000000000000004">
      <c r="A40" s="27" t="s">
        <v>3552</v>
      </c>
      <c r="B40" s="195">
        <v>2</v>
      </c>
      <c r="C40" s="1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0A597B2B9634FBFF658D906DC2ED5" ma:contentTypeVersion="6" ma:contentTypeDescription="Create a new document." ma:contentTypeScope="" ma:versionID="bc7255c65d3add897c8d06423a156e70">
  <xsd:schema xmlns:xsd="http://www.w3.org/2001/XMLSchema" xmlns:xs="http://www.w3.org/2001/XMLSchema" xmlns:p="http://schemas.microsoft.com/office/2006/metadata/properties" xmlns:ns2="77be7b9b-28ec-4677-8dc6-f18afa427c8d" xmlns:ns3="34dbb5a2-c9fd-4d5b-9e3c-4bebcb76b28a" targetNamespace="http://schemas.microsoft.com/office/2006/metadata/properties" ma:root="true" ma:fieldsID="ed76bc83f7e5c51eaddbf91d6a593782" ns2:_="" ns3:_="">
    <xsd:import namespace="77be7b9b-28ec-4677-8dc6-f18afa427c8d"/>
    <xsd:import namespace="34dbb5a2-c9fd-4d5b-9e3c-4bebcb76b2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e7b9b-28ec-4677-8dc6-f18afa427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bb5a2-c9fd-4d5b-9e3c-4bebcb76b2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84524B-671F-4CBB-83E5-D9F10E8B3D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65B3F2-5DE1-45E9-ABB2-6C0CBC37C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e7b9b-28ec-4677-8dc6-f18afa427c8d"/>
    <ds:schemaRef ds:uri="34dbb5a2-c9fd-4d5b-9e3c-4bebcb76b2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1EA3B1-EE48-455C-BDA2-22B5F2C776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Dropdowns</vt:lpstr>
      <vt:lpstr>Out of Program</vt:lpstr>
      <vt:lpstr>Facilities</vt:lpstr>
      <vt:lpstr>Sheet1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Marie-Francoise Hatte</dc:creator>
  <cp:keywords/>
  <dc:description/>
  <cp:lastModifiedBy>liama</cp:lastModifiedBy>
  <cp:revision/>
  <dcterms:created xsi:type="dcterms:W3CDTF">2020-02-20T20:56:57Z</dcterms:created>
  <dcterms:modified xsi:type="dcterms:W3CDTF">2021-10-26T01:08:30Z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0x010100D250A597B2B9634FBFF658D906DC2ED5</vt:lpwstr>
  </property>
</Properties>
</file>