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1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obiason\Dropbox\JET Drive from Lenovo 9-8-16\JET Synched\Projects\MA DEP Lead\Admin PbPhase2\Masterfiles\"/>
    </mc:Choice>
  </mc:AlternateContent>
  <xr:revisionPtr revIDLastSave="0" documentId="8_{F8A71F84-B11D-4D76-9B8C-D0B6004DDF2A}" xr6:coauthVersionLast="47" xr6:coauthVersionMax="47" xr10:uidLastSave="{00000000-0000-0000-0000-000000000000}"/>
  <bookViews>
    <workbookView xWindow="28680" yWindow="-150" windowWidth="29040" windowHeight="15840" tabRatio="337" firstSheet="1" activeTab="1" xr2:uid="{00000000-000D-0000-FFFF-FFFF00000000}"/>
  </bookViews>
  <sheets>
    <sheet name="Towns" sheetId="1" r:id="rId1"/>
    <sheet name="Schools" sheetId="7" r:id="rId2"/>
    <sheet name="PWS" sheetId="3" r:id="rId3"/>
  </sheets>
  <definedNames>
    <definedName name="_xlnm._FilterDatabase" localSheetId="1" hidden="1">Schools!$F$1:$F$1081</definedName>
    <definedName name="_xlnm._FilterDatabase" localSheetId="0" hidden="1">Towns!$B$1:$B$204</definedName>
    <definedName name="townsRFI_1" localSheetId="0">Towns!$A$1:$A$194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082" i="7" l="1"/>
  <c r="P1081" i="7"/>
  <c r="P1080" i="7"/>
  <c r="W597" i="7" l="1"/>
  <c r="Q626" i="7" l="1"/>
  <c r="AA680" i="7"/>
  <c r="AA693" i="7"/>
  <c r="AA192" i="7"/>
  <c r="AA616" i="7"/>
  <c r="AA6" i="7"/>
  <c r="AA819" i="7"/>
  <c r="AA808" i="7"/>
  <c r="AA730" i="7"/>
  <c r="AA810" i="7"/>
  <c r="AA788" i="7"/>
  <c r="AA783" i="7"/>
  <c r="AA781" i="7"/>
  <c r="AA780" i="7"/>
  <c r="AA779" i="7"/>
  <c r="AA776" i="7"/>
  <c r="AA593" i="7"/>
  <c r="AA770" i="7"/>
  <c r="AA73" i="7"/>
  <c r="AA768" i="7"/>
  <c r="AA767" i="7"/>
  <c r="AA764" i="7"/>
  <c r="AA759" i="7"/>
  <c r="AA758" i="7"/>
  <c r="AA756" i="7"/>
  <c r="AA754" i="7"/>
  <c r="AA816" i="7"/>
  <c r="AA786" i="7"/>
  <c r="AA741" i="7"/>
  <c r="AA737" i="7"/>
  <c r="AA734" i="7"/>
  <c r="AA682" i="7"/>
  <c r="AA729" i="7"/>
  <c r="AA717" i="7"/>
  <c r="AA99" i="7"/>
  <c r="AA714" i="7"/>
  <c r="AA704" i="7"/>
  <c r="AA436" i="7"/>
  <c r="AA796" i="7"/>
  <c r="AA814" i="7"/>
  <c r="AA576" i="7"/>
  <c r="AA792" i="7"/>
  <c r="AA679" i="7"/>
  <c r="AA445" i="7"/>
  <c r="AA512" i="7"/>
  <c r="AA662" i="7"/>
  <c r="AA751" i="7"/>
  <c r="AA746" i="7"/>
  <c r="AA653" i="7"/>
  <c r="AA644" i="7"/>
  <c r="AA809" i="7"/>
  <c r="AA634" i="7"/>
  <c r="AA608" i="7"/>
  <c r="AA743" i="7"/>
  <c r="AA590" i="7"/>
  <c r="AA588" i="7"/>
  <c r="AA791" i="7"/>
  <c r="AA194" i="7"/>
  <c r="AA565" i="7"/>
  <c r="AA793" i="7"/>
  <c r="AA562" i="7"/>
  <c r="AA598" i="7"/>
  <c r="AA747" i="7"/>
  <c r="AA548" i="7"/>
  <c r="AA639" i="7"/>
  <c r="V218" i="7"/>
  <c r="AA724" i="7"/>
  <c r="AA142" i="7"/>
  <c r="AA402" i="7"/>
  <c r="AA319" i="7"/>
  <c r="AA21" i="7"/>
  <c r="AA795" i="7"/>
  <c r="AA401" i="7"/>
  <c r="AA612" i="7"/>
  <c r="AA619" i="7"/>
  <c r="AA537" i="7"/>
  <c r="AA716" i="7"/>
  <c r="AA338" i="7"/>
  <c r="AA642" i="7"/>
  <c r="V485" i="7"/>
  <c r="AA572" i="7"/>
  <c r="AA677" i="7"/>
  <c r="AA38" i="7"/>
  <c r="AA453" i="7"/>
  <c r="AA800" i="7"/>
  <c r="AA700" i="7"/>
  <c r="AA811" i="7"/>
  <c r="AA660" i="7"/>
  <c r="AA585" i="7"/>
  <c r="AA510" i="7"/>
  <c r="AA425" i="7"/>
  <c r="AA674" i="7"/>
  <c r="AA490" i="7"/>
  <c r="AA523" i="7"/>
  <c r="AA357" i="7"/>
  <c r="AA492" i="7"/>
  <c r="AA702" i="7"/>
  <c r="AA631" i="7"/>
  <c r="AA334" i="7"/>
  <c r="AA787" i="7"/>
  <c r="AA749" i="7"/>
  <c r="AA726" i="7"/>
  <c r="AA806" i="7"/>
  <c r="AA241" i="7"/>
  <c r="AA318" i="7"/>
  <c r="AA718" i="7"/>
  <c r="AA774" i="7"/>
  <c r="AA762" i="7"/>
  <c r="AA407" i="7"/>
  <c r="AA268" i="7"/>
  <c r="AA5" i="7"/>
  <c r="AA514" i="7"/>
  <c r="AA549" i="7"/>
  <c r="AA195" i="7"/>
  <c r="AA801" i="7"/>
  <c r="AA248" i="7"/>
  <c r="AA247" i="7"/>
  <c r="AA229" i="7"/>
  <c r="AA629" i="7"/>
  <c r="AA784" i="7"/>
  <c r="AA521" i="7"/>
  <c r="AA135" i="7"/>
  <c r="AA705" i="7"/>
  <c r="AA410" i="7"/>
  <c r="AA204" i="7"/>
  <c r="AA98" i="7"/>
  <c r="AA271" i="7"/>
  <c r="AA528" i="7"/>
  <c r="AA281" i="7"/>
  <c r="AA630" i="7"/>
  <c r="AA171" i="7"/>
  <c r="AA163" i="7"/>
  <c r="AA154" i="7"/>
  <c r="AA708" i="7"/>
  <c r="AA534" i="7"/>
  <c r="AA352" i="7"/>
  <c r="AA678" i="7"/>
  <c r="AA61" i="7"/>
  <c r="AA329" i="7"/>
  <c r="AA794" i="7"/>
  <c r="AA773" i="7"/>
  <c r="AA587" i="7"/>
  <c r="AA82" i="7"/>
  <c r="AA10" i="7"/>
  <c r="AA253" i="7"/>
  <c r="AA81" i="7"/>
  <c r="AA1067" i="7"/>
  <c r="AA388" i="7"/>
  <c r="AA742" i="7"/>
  <c r="AA389" i="7"/>
  <c r="AA546" i="7"/>
  <c r="AA72" i="7"/>
  <c r="AA807" i="7"/>
  <c r="AA707" i="7"/>
  <c r="AA699" i="7"/>
  <c r="AA778" i="7"/>
  <c r="AA577" i="7"/>
  <c r="AA618" i="7"/>
  <c r="AA706" i="7"/>
  <c r="AA752" i="7"/>
  <c r="AA799" i="7"/>
  <c r="AA651" i="7"/>
  <c r="AA30" i="7"/>
  <c r="AA789" i="7"/>
  <c r="AA14" i="7"/>
  <c r="AA620" i="7"/>
  <c r="AA815" i="7"/>
  <c r="AA812" i="7"/>
  <c r="AA606" i="7"/>
  <c r="AA78" i="7"/>
  <c r="AA601" i="7"/>
  <c r="Q581" i="7"/>
  <c r="Q629" i="7"/>
  <c r="Q199" i="7"/>
  <c r="Q421" i="7"/>
  <c r="Q702" i="7"/>
  <c r="Q209" i="7"/>
  <c r="Q312" i="7"/>
  <c r="Q476" i="7"/>
  <c r="Q477" i="7"/>
  <c r="Q518" i="7"/>
  <c r="Q90" i="7"/>
  <c r="Q160" i="7"/>
  <c r="Q213" i="7"/>
  <c r="Q317" i="7"/>
  <c r="Q402" i="7"/>
  <c r="Q543" i="7"/>
  <c r="Q544" i="7"/>
  <c r="Q662" i="7"/>
  <c r="Q610" i="7"/>
  <c r="Q159" i="7"/>
  <c r="Q370" i="7"/>
  <c r="Q444" i="7"/>
  <c r="Q635" i="7"/>
  <c r="Q315" i="7"/>
  <c r="Q613" i="7"/>
  <c r="Q221" i="7"/>
  <c r="Q707" i="7"/>
  <c r="Q390" i="7"/>
  <c r="Q586" i="7"/>
  <c r="Q304" i="7"/>
  <c r="Q661" i="7"/>
  <c r="Q66" i="7"/>
  <c r="Q147" i="7"/>
  <c r="Q187" i="7"/>
  <c r="Q519" i="7"/>
  <c r="Q793" i="7"/>
  <c r="Q336" i="7"/>
  <c r="Q777" i="7"/>
  <c r="Q83" i="7"/>
  <c r="Q85" i="7"/>
  <c r="Q116" i="7"/>
  <c r="Q349" i="7"/>
  <c r="Q406" i="7"/>
  <c r="Q563" i="7"/>
  <c r="Q564" i="7"/>
  <c r="Q345" i="7"/>
  <c r="Q84" i="7"/>
  <c r="Q528" i="7"/>
  <c r="Q348" i="7"/>
  <c r="Q506" i="7"/>
  <c r="Q599" i="7"/>
  <c r="Q631" i="7"/>
  <c r="Q188" i="7"/>
  <c r="Q216" i="7"/>
  <c r="Q107" i="7"/>
  <c r="Q382" i="7"/>
  <c r="Q486" i="7"/>
  <c r="Q380" i="7"/>
  <c r="Q397" i="7"/>
  <c r="Q493" i="7"/>
  <c r="Q511" i="7"/>
  <c r="Q711" i="7"/>
  <c r="Q776" i="7"/>
  <c r="Q68" i="7"/>
  <c r="Q138" i="7"/>
  <c r="Q153" i="7"/>
  <c r="Q164" i="7"/>
  <c r="Q239" i="7"/>
  <c r="Q261" i="7"/>
  <c r="Q269" i="7"/>
  <c r="Q300" i="7"/>
  <c r="Q305" i="7"/>
  <c r="Q309" i="7"/>
  <c r="Q417" i="7"/>
  <c r="Q434" i="7"/>
  <c r="Q475" i="7"/>
  <c r="Q499" i="7"/>
  <c r="Q503" i="7"/>
  <c r="Q628" i="7"/>
  <c r="Q712" i="7"/>
  <c r="Q725" i="7"/>
  <c r="Q738" i="7"/>
  <c r="Q744" i="7"/>
  <c r="Q765" i="7"/>
  <c r="Q817" i="7"/>
  <c r="Q473" i="7"/>
  <c r="Q693" i="7"/>
  <c r="Q38" i="7"/>
  <c r="Q193" i="7"/>
  <c r="Q794" i="7"/>
  <c r="Q137" i="7"/>
  <c r="Q333" i="7"/>
  <c r="Q12" i="7"/>
  <c r="Q186" i="7"/>
  <c r="Q341" i="7"/>
  <c r="Q799" i="7"/>
  <c r="Q328" i="7"/>
  <c r="Q450" i="7"/>
  <c r="Q576" i="7"/>
  <c r="Q174" i="7"/>
  <c r="Q595" i="7"/>
  <c r="Q37" i="7"/>
  <c r="Q59" i="7"/>
  <c r="Q177" i="7"/>
  <c r="Q516" i="7"/>
  <c r="Q746" i="7"/>
  <c r="Q457" i="7"/>
  <c r="Q14" i="7"/>
  <c r="Q294" i="7"/>
  <c r="Q313" i="7"/>
  <c r="Q728" i="7"/>
  <c r="Q666" i="7"/>
  <c r="Q130" i="7"/>
  <c r="Q570" i="7"/>
  <c r="Q571" i="7"/>
  <c r="Q572" i="7"/>
  <c r="Q245" i="7"/>
  <c r="Q722" i="7"/>
  <c r="Q52" i="7"/>
  <c r="Q205" i="7"/>
  <c r="Q568" i="7"/>
  <c r="Q15" i="7"/>
  <c r="Q466" i="7"/>
  <c r="Q170" i="7"/>
  <c r="Q381" i="7"/>
  <c r="Q69" i="7"/>
  <c r="Q94" i="7"/>
  <c r="Q259" i="7"/>
  <c r="Q569" i="7"/>
  <c r="Q254" i="7"/>
  <c r="Q573" i="7"/>
  <c r="Q247" i="7"/>
  <c r="Q50" i="7"/>
  <c r="Q122" i="7"/>
  <c r="Q274" i="7"/>
  <c r="Q342" i="7"/>
  <c r="Q375" i="7"/>
  <c r="Q394" i="7"/>
  <c r="Q426" i="7"/>
  <c r="Q467" i="7"/>
  <c r="Q474" i="7"/>
  <c r="Q520" i="7"/>
  <c r="Q627" i="7"/>
  <c r="Q650" i="7"/>
  <c r="Q683" i="7"/>
  <c r="Q696" i="7"/>
  <c r="Q710" i="7"/>
  <c r="Q801" i="7"/>
  <c r="Q392" i="7"/>
  <c r="Q665" i="7"/>
  <c r="Q17" i="7"/>
  <c r="Q265" i="7"/>
  <c r="Q293" i="7"/>
  <c r="Q472" i="7"/>
  <c r="Q507" i="7"/>
  <c r="Q672" i="7"/>
  <c r="Q703" i="7"/>
  <c r="Q480" i="7"/>
  <c r="Q709" i="7"/>
  <c r="Q775" i="7"/>
  <c r="Q459" i="7"/>
  <c r="Q131" i="7"/>
  <c r="Q675" i="7"/>
  <c r="Q772" i="7"/>
  <c r="Q791" i="7"/>
  <c r="Q842" i="7"/>
  <c r="Q208" i="7"/>
  <c r="Q749" i="7"/>
  <c r="Q415" i="7"/>
  <c r="Q654" i="7"/>
  <c r="Q786" i="7"/>
  <c r="Q301" i="7"/>
  <c r="Q378" i="7"/>
  <c r="Q360" i="7"/>
  <c r="Q340" i="7"/>
  <c r="Q468" i="7"/>
  <c r="Q74" i="7"/>
  <c r="Q740" i="7"/>
  <c r="Q178" i="7"/>
  <c r="Q374" i="7"/>
  <c r="Q214" i="7"/>
  <c r="Q591" i="7"/>
  <c r="Q445" i="7"/>
  <c r="Q596" i="7"/>
  <c r="Q763" i="7"/>
  <c r="Q764" i="7"/>
  <c r="Q723" i="7"/>
  <c r="Q103" i="7"/>
  <c r="Q465" i="7"/>
  <c r="Q112" i="7"/>
  <c r="Q125" i="7"/>
  <c r="Q140" i="7"/>
  <c r="Q144" i="7"/>
  <c r="Q162" i="7"/>
  <c r="Q167" i="7"/>
  <c r="Q478" i="7"/>
  <c r="Q678" i="7"/>
  <c r="Q236" i="7"/>
  <c r="Q34" i="7"/>
  <c r="Q96" i="7"/>
  <c r="Q234" i="7"/>
  <c r="Q235" i="7"/>
  <c r="Q413" i="7"/>
  <c r="Q432" i="7"/>
  <c r="Q451" i="7"/>
  <c r="Q649" i="7"/>
  <c r="Q760" i="7"/>
  <c r="Q785" i="7"/>
  <c r="Q796" i="7"/>
  <c r="Q67" i="7"/>
  <c r="Q469" i="7"/>
  <c r="Q35" i="7"/>
  <c r="Q212" i="7"/>
  <c r="Q600" i="7"/>
  <c r="Q617" i="7"/>
  <c r="Q184" i="7"/>
  <c r="Q217" i="7"/>
  <c r="Q283" i="7"/>
  <c r="Q303" i="7"/>
  <c r="Q461" i="7"/>
  <c r="Q463" i="7"/>
  <c r="Q677" i="7"/>
  <c r="Q488" i="7"/>
  <c r="Q372" i="7"/>
  <c r="Q339" i="7"/>
  <c r="Q720" i="7"/>
  <c r="Q428" i="7"/>
  <c r="Q805" i="7"/>
  <c r="Q229" i="7"/>
  <c r="Q89" i="7"/>
  <c r="Q183" i="7"/>
  <c r="Q57" i="7"/>
  <c r="Q715" i="7"/>
  <c r="Q11" i="7"/>
  <c r="Q114" i="7"/>
  <c r="Q446" i="7"/>
  <c r="Q479" i="7"/>
  <c r="Q495" i="7"/>
  <c r="Q583" i="7"/>
  <c r="Q620" i="7"/>
  <c r="Q636" i="7"/>
  <c r="Q807" i="7"/>
  <c r="Q222" i="7"/>
  <c r="Q298" i="7"/>
  <c r="Q238" i="7"/>
  <c r="Q379" i="7"/>
  <c r="Q368" i="7"/>
  <c r="Q637" i="7"/>
  <c r="Q684" i="7"/>
  <c r="Q152" i="7"/>
  <c r="Q813" i="7"/>
  <c r="Q181" i="7"/>
  <c r="Q561" i="7"/>
  <c r="Q154" i="7"/>
  <c r="Q135" i="7"/>
  <c r="Q745" i="7"/>
  <c r="Q607" i="7"/>
  <c r="Q608" i="7"/>
  <c r="Q211" i="7"/>
  <c r="Q587" i="7"/>
  <c r="Q5" i="7"/>
  <c r="Q64" i="7"/>
  <c r="Q338" i="7"/>
  <c r="Q143" i="7"/>
  <c r="Q774" i="7"/>
  <c r="Q241" i="7"/>
  <c r="Q210" i="7"/>
  <c r="Q537" i="7"/>
  <c r="Q734" i="7"/>
  <c r="Q151" i="7"/>
  <c r="Q701" i="7"/>
  <c r="Q246" i="7"/>
  <c r="Q364" i="7"/>
  <c r="Q795" i="7"/>
  <c r="Q593" i="7"/>
  <c r="Q197" i="7"/>
  <c r="Q540" i="7"/>
  <c r="Q673" i="7"/>
  <c r="Q752" i="7"/>
  <c r="Q206" i="7"/>
  <c r="Q228" i="7"/>
  <c r="Q324" i="7"/>
  <c r="Q363" i="7"/>
  <c r="Q404" i="7"/>
  <c r="Q442" i="7"/>
  <c r="Q454" i="7"/>
  <c r="Q575" i="7"/>
  <c r="Q498" i="7"/>
  <c r="Q18" i="7"/>
  <c r="Q123" i="7"/>
  <c r="Q624" i="7"/>
  <c r="Q659" i="7"/>
  <c r="Q19" i="7"/>
  <c r="Q182" i="7"/>
  <c r="Q220" i="7"/>
  <c r="Q273" i="7"/>
  <c r="Q297" i="7"/>
  <c r="Q350" i="7"/>
  <c r="Q395" i="7"/>
  <c r="Q458" i="7"/>
  <c r="Q464" i="7"/>
  <c r="Q470" i="7"/>
  <c r="Q471" i="7"/>
  <c r="Q622" i="7"/>
  <c r="Q757" i="7"/>
  <c r="Q399" i="7"/>
  <c r="Q443" i="7"/>
  <c r="Q556" i="7"/>
  <c r="Q729" i="7"/>
  <c r="Q119" i="7"/>
  <c r="Q49" i="7"/>
  <c r="Q322" i="7"/>
  <c r="Q120" i="7"/>
  <c r="Q592" i="7"/>
  <c r="Q54" i="7"/>
  <c r="Q501" i="7"/>
  <c r="Q9" i="7"/>
  <c r="Q462" i="7"/>
  <c r="Q53" i="7"/>
  <c r="Q146" i="7"/>
  <c r="Q344" i="7"/>
  <c r="Q346" i="7"/>
  <c r="Q625" i="7"/>
  <c r="Q687" i="7"/>
  <c r="Q721" i="7"/>
  <c r="Q108" i="7"/>
  <c r="Q109" i="7"/>
  <c r="Q110" i="7"/>
  <c r="Q115" i="7"/>
  <c r="Q551" i="7"/>
  <c r="Q562" i="7"/>
  <c r="Q577" i="7"/>
  <c r="Q150" i="7"/>
  <c r="Q410" i="7"/>
  <c r="Q268" i="7"/>
  <c r="Q180" i="7"/>
  <c r="Q756" i="7"/>
  <c r="Q55" i="7"/>
  <c r="Q80" i="7"/>
  <c r="Q81" i="7"/>
  <c r="Q806" i="7"/>
  <c r="Q612" i="7"/>
  <c r="Q539" i="7"/>
  <c r="Q694" i="7"/>
  <c r="Q264" i="7"/>
  <c r="Q290" i="7"/>
  <c r="Q171" i="7"/>
  <c r="Q191" i="7"/>
  <c r="Q21" i="7"/>
  <c r="Q685" i="7"/>
  <c r="Q686" i="7"/>
  <c r="Q704" i="7"/>
  <c r="Q73" i="7"/>
  <c r="Q614" i="7"/>
  <c r="Q641" i="7"/>
  <c r="Q769" i="7"/>
  <c r="Q281" i="7"/>
  <c r="Q411" i="7"/>
  <c r="Q598" i="7"/>
  <c r="Q266" i="7"/>
  <c r="Q427" i="7"/>
  <c r="Q688" i="7"/>
  <c r="Q690" i="7"/>
  <c r="Q783" i="7"/>
  <c r="Q371" i="7"/>
  <c r="Q594" i="7"/>
  <c r="Q250" i="7"/>
  <c r="Q251" i="7"/>
  <c r="Q252" i="7"/>
  <c r="Q253" i="7"/>
  <c r="Q101" i="7"/>
  <c r="Q224" i="7"/>
  <c r="Q299" i="7"/>
  <c r="Q386" i="7"/>
  <c r="Q553" i="7"/>
  <c r="Q578" i="7"/>
  <c r="Q676" i="7"/>
  <c r="Q773" i="7"/>
  <c r="Q61" i="7"/>
  <c r="Q142" i="7"/>
  <c r="Q20" i="7"/>
  <c r="Q565" i="7"/>
  <c r="Q538" i="7"/>
  <c r="Q743" i="7"/>
  <c r="Q296" i="7"/>
  <c r="Q366" i="7"/>
  <c r="Q385" i="7"/>
  <c r="Q330" i="7"/>
  <c r="Q682" i="7"/>
  <c r="Q781" i="7"/>
  <c r="Q132" i="7"/>
  <c r="Q699" i="7"/>
  <c r="Q195" i="7"/>
  <c r="Q818" i="7"/>
  <c r="Q504" i="7"/>
  <c r="Q619" i="7"/>
  <c r="Q566" i="7"/>
  <c r="Q292" i="7"/>
  <c r="Q505" i="7"/>
  <c r="Q358" i="7"/>
  <c r="Q10" i="7"/>
  <c r="Q585" i="7"/>
  <c r="Q243" i="7"/>
  <c r="Q644" i="7"/>
  <c r="Q179" i="7"/>
  <c r="Q289" i="7"/>
  <c r="Q276" i="7"/>
  <c r="Q689" i="7"/>
  <c r="Q759" i="7"/>
  <c r="Q531" i="7"/>
  <c r="Q739" i="7"/>
  <c r="Q82" i="7"/>
  <c r="Q106" i="7"/>
  <c r="Q819" i="7"/>
  <c r="Q651" i="7"/>
  <c r="Q42" i="7"/>
  <c r="Q102" i="7"/>
  <c r="Q307" i="7"/>
  <c r="Q726" i="7"/>
  <c r="Q306" i="7"/>
  <c r="Q513" i="7"/>
  <c r="Q393" i="7"/>
  <c r="Q640" i="7"/>
  <c r="Q733" i="7"/>
  <c r="Q782" i="7"/>
  <c r="Q512" i="7"/>
  <c r="Q70" i="7"/>
  <c r="Q225" i="7"/>
  <c r="Q230" i="7"/>
  <c r="Q233" i="7"/>
  <c r="Q237" i="7"/>
  <c r="Q320" i="7"/>
  <c r="Q354" i="7"/>
  <c r="Q387" i="7"/>
  <c r="Q403" i="7"/>
  <c r="Q405" i="7"/>
  <c r="Q522" i="7"/>
  <c r="Q713" i="7"/>
  <c r="Q714" i="7"/>
  <c r="Q156" i="7"/>
  <c r="Q326" i="7"/>
  <c r="Q440" i="7"/>
  <c r="Q719" i="7"/>
  <c r="Q766" i="7"/>
  <c r="Q767" i="7"/>
  <c r="Q500" i="7"/>
  <c r="Q670" i="7"/>
  <c r="Q697" i="7"/>
  <c r="Q788" i="7"/>
  <c r="Q6" i="7"/>
  <c r="Q329" i="7"/>
  <c r="Q13" i="7"/>
  <c r="Q56" i="7"/>
  <c r="Q325" i="7"/>
  <c r="Q331" i="7"/>
  <c r="Q656" i="7"/>
  <c r="Q525" i="7"/>
  <c r="Q526" i="7"/>
  <c r="Q533" i="7"/>
  <c r="Q75" i="7"/>
  <c r="Q97" i="7"/>
  <c r="Q492" i="7"/>
  <c r="Q323" i="7"/>
  <c r="Q494" i="7"/>
  <c r="Q524" i="7"/>
  <c r="Q730" i="7"/>
  <c r="Q616" i="7"/>
  <c r="Q44" i="7"/>
  <c r="Q105" i="7"/>
  <c r="Q579" i="7"/>
  <c r="Q706" i="7"/>
  <c r="Q778" i="7"/>
  <c r="Q133" i="7"/>
  <c r="Q534" i="7"/>
  <c r="Q334" i="7"/>
  <c r="Q95" i="7"/>
  <c r="Q353" i="7"/>
  <c r="Q242" i="7"/>
  <c r="Q589" i="7"/>
  <c r="Q327" i="7"/>
  <c r="Q755" i="7"/>
  <c r="Q43" i="7"/>
  <c r="Q482" i="7"/>
  <c r="Q163" i="7"/>
  <c r="Q128" i="7"/>
  <c r="Q590" i="7"/>
  <c r="Q751" i="7"/>
  <c r="Q792" i="7"/>
  <c r="Q22" i="7"/>
  <c r="Q332" i="7"/>
  <c r="Q514" i="7"/>
  <c r="Q356" i="7"/>
  <c r="Q357" i="7"/>
  <c r="Q532" i="7"/>
  <c r="Q335" i="7"/>
  <c r="Q391" i="7"/>
  <c r="Q717" i="7"/>
  <c r="Q737" i="7"/>
  <c r="Q741" i="7"/>
  <c r="Q606" i="7"/>
  <c r="Q355" i="7"/>
  <c r="Q560" i="7"/>
  <c r="Q554" i="7"/>
  <c r="Q653" i="7"/>
  <c r="Q377" i="7"/>
  <c r="Q736" i="7"/>
  <c r="Q780" i="7"/>
  <c r="Q72" i="7"/>
  <c r="Q173" i="7"/>
  <c r="Q546" i="7"/>
  <c r="Q558" i="7"/>
  <c r="Q347" i="7"/>
  <c r="Q652" i="7"/>
  <c r="Q400" i="7"/>
  <c r="Q601" i="7"/>
  <c r="Q47" i="7"/>
  <c r="Q104" i="7"/>
  <c r="Q145" i="7"/>
  <c r="Q352" i="7"/>
  <c r="Q509" i="7"/>
  <c r="Q78" i="7"/>
  <c r="Q113" i="7"/>
  <c r="Q185" i="7"/>
  <c r="Q263" i="7"/>
  <c r="Q361" i="7"/>
  <c r="Q523" i="7"/>
  <c r="Q584" i="7"/>
  <c r="Q60" i="7"/>
  <c r="Q71" i="7"/>
  <c r="Q121" i="7"/>
  <c r="Q161" i="7"/>
  <c r="Q359" i="7"/>
  <c r="Q529" i="7"/>
  <c r="Q535" i="7"/>
  <c r="Q645" i="7"/>
  <c r="Q646" i="7"/>
  <c r="Q647" i="7"/>
  <c r="Q648" i="7"/>
  <c r="Q809" i="7"/>
  <c r="Q416" i="7"/>
  <c r="Q433" i="7"/>
  <c r="Q642" i="7"/>
  <c r="Q732" i="7"/>
  <c r="Q165" i="7"/>
  <c r="Q487" i="7"/>
  <c r="Q169" i="7"/>
  <c r="Q200" i="7"/>
  <c r="Q460" i="7"/>
  <c r="Q497" i="7"/>
  <c r="Q716" i="7"/>
  <c r="Q198" i="7"/>
  <c r="Q207" i="7"/>
  <c r="Q285" i="7"/>
  <c r="Q316" i="7"/>
  <c r="Q603" i="7"/>
  <c r="Q748" i="7"/>
  <c r="Q750" i="7"/>
  <c r="Q816" i="7"/>
  <c r="Q508" i="7"/>
  <c r="Q30" i="7"/>
  <c r="Q510" i="7"/>
  <c r="Q431" i="7"/>
  <c r="Q32" i="7"/>
  <c r="Q175" i="7"/>
  <c r="Q260" i="7"/>
  <c r="Q302" i="7"/>
  <c r="Q481" i="7"/>
  <c r="Q489" i="7"/>
  <c r="Q623" i="7"/>
  <c r="Q680" i="7"/>
  <c r="Q196" i="7"/>
  <c r="Q258" i="7"/>
  <c r="Q308" i="7"/>
  <c r="Q311" i="7"/>
  <c r="Q536" i="7"/>
  <c r="Q718" i="7"/>
  <c r="Q787" i="7"/>
  <c r="Q742" i="7"/>
  <c r="Q735" i="7"/>
  <c r="Q310" i="7"/>
  <c r="Q141" i="7"/>
  <c r="Q192" i="7"/>
  <c r="Q2" i="7"/>
  <c r="Q8" i="7"/>
  <c r="Q91" i="7"/>
  <c r="Q93" i="7"/>
  <c r="Q118" i="7"/>
  <c r="Q155" i="7"/>
  <c r="Q158" i="7"/>
  <c r="Q215" i="7"/>
  <c r="Q231" i="7"/>
  <c r="Q257" i="7"/>
  <c r="Q351" i="7"/>
  <c r="Q367" i="7"/>
  <c r="Q409" i="7"/>
  <c r="Q437" i="7"/>
  <c r="Q447" i="7"/>
  <c r="Q448" i="7"/>
  <c r="Q449" i="7"/>
  <c r="Q633" i="7"/>
  <c r="Q657" i="7"/>
  <c r="Q727" i="7"/>
  <c r="Q731" i="7"/>
  <c r="Q761" i="7"/>
  <c r="Q800" i="7"/>
  <c r="Q797" i="7"/>
  <c r="Q597" i="7"/>
  <c r="Q912" i="7"/>
  <c r="Q921" i="7"/>
  <c r="Q931" i="7"/>
  <c r="Q948" i="7"/>
  <c r="Q827" i="7"/>
  <c r="Q835" i="7"/>
  <c r="Q917" i="7"/>
  <c r="Q925" i="7"/>
  <c r="Q951" i="7"/>
  <c r="Q970" i="7"/>
  <c r="Q868" i="7"/>
  <c r="Q939" i="7"/>
  <c r="Q836" i="7"/>
  <c r="Q831" i="7"/>
  <c r="Q839" i="7"/>
  <c r="Q864" i="7"/>
  <c r="Q865" i="7"/>
  <c r="Q882" i="7"/>
  <c r="Q896" i="7"/>
  <c r="Q909" i="7"/>
  <c r="Q932" i="7"/>
  <c r="Q955" i="7"/>
  <c r="Q968" i="7"/>
  <c r="Q969" i="7"/>
  <c r="Q984" i="7"/>
  <c r="Q846" i="7"/>
  <c r="Q935" i="7"/>
  <c r="Q848" i="7"/>
  <c r="Q851" i="7"/>
  <c r="Q855" i="7"/>
  <c r="Q905" i="7"/>
  <c r="Q821" i="7"/>
  <c r="Q852" i="7"/>
  <c r="Q972" i="7"/>
  <c r="Q982" i="7"/>
  <c r="Q847" i="7"/>
  <c r="Q857" i="7"/>
  <c r="Q858" i="7"/>
  <c r="Q840" i="7"/>
  <c r="Q860" i="7"/>
  <c r="Q872" i="7"/>
  <c r="Q878" i="7"/>
  <c r="Q904" i="7"/>
  <c r="Q862" i="7"/>
  <c r="Q874" i="7"/>
  <c r="Q863" i="7"/>
  <c r="Q875" i="7"/>
  <c r="Q978" i="7"/>
  <c r="Q876" i="7"/>
  <c r="Q879" i="7"/>
  <c r="Q881" i="7"/>
  <c r="Q934" i="7"/>
  <c r="Q888" i="7"/>
  <c r="Q919" i="7"/>
  <c r="Q927" i="7"/>
  <c r="Q973" i="7"/>
  <c r="Q830" i="7"/>
  <c r="Q883" i="7"/>
  <c r="Q895" i="7"/>
  <c r="Q908" i="7"/>
  <c r="Q910" i="7"/>
  <c r="Q918" i="7"/>
  <c r="Q952" i="7"/>
  <c r="Q954" i="7"/>
  <c r="Q976" i="7"/>
  <c r="Q869" i="7"/>
  <c r="Q886" i="7"/>
  <c r="Q890" i="7"/>
  <c r="Q929" i="7"/>
  <c r="Q989" i="7"/>
  <c r="Q884" i="7"/>
  <c r="Q933" i="7"/>
  <c r="Q834" i="7"/>
  <c r="Q841" i="7"/>
  <c r="Q891" i="7"/>
  <c r="Q903" i="7"/>
  <c r="Q913" i="7"/>
  <c r="Q930" i="7"/>
  <c r="Q940" i="7"/>
  <c r="Q986" i="7"/>
  <c r="Q838" i="7"/>
  <c r="Q887" i="7"/>
  <c r="Q889" i="7"/>
  <c r="Q897" i="7"/>
  <c r="Q906" i="7"/>
  <c r="Q907" i="7"/>
  <c r="Q941" i="7"/>
  <c r="Q942" i="7"/>
  <c r="Q943" i="7"/>
  <c r="Q957" i="7"/>
  <c r="Q985" i="7"/>
  <c r="Q837" i="7"/>
  <c r="Q893" i="7"/>
  <c r="Q911" i="7"/>
  <c r="Q959" i="7"/>
  <c r="Q823" i="7"/>
  <c r="Q867" i="7"/>
  <c r="Q915" i="7"/>
  <c r="Q923" i="7"/>
  <c r="Q924" i="7"/>
  <c r="Q961" i="7"/>
  <c r="Q828" i="7"/>
  <c r="Q845" i="7"/>
  <c r="Q853" i="7"/>
  <c r="Q859" i="7"/>
  <c r="Q866" i="7"/>
  <c r="Q871" i="7"/>
  <c r="Q901" i="7"/>
  <c r="Q947" i="7"/>
  <c r="Q822" i="7"/>
  <c r="Q849" i="7"/>
  <c r="Q949" i="7"/>
  <c r="Q950" i="7"/>
  <c r="Q958" i="7"/>
  <c r="Q892" i="7"/>
  <c r="Q953" i="7"/>
  <c r="Q960" i="7"/>
  <c r="Q962" i="7"/>
  <c r="Q963" i="7"/>
  <c r="Q956" i="7"/>
  <c r="Q820" i="7"/>
  <c r="Q826" i="7"/>
  <c r="Q833" i="7"/>
  <c r="Q843" i="7"/>
  <c r="Q861" i="7"/>
  <c r="Q870" i="7"/>
  <c r="Q900" i="7"/>
  <c r="Q944" i="7"/>
  <c r="Q966" i="7"/>
  <c r="Q977" i="7"/>
  <c r="Q988" i="7"/>
  <c r="Q844" i="7"/>
  <c r="Q880" i="7"/>
  <c r="Q829" i="7"/>
  <c r="Q937" i="7"/>
  <c r="Q938" i="7"/>
  <c r="Q945" i="7"/>
  <c r="Q967" i="7"/>
  <c r="Q877" i="7"/>
  <c r="Q856" i="7"/>
  <c r="Q885" i="7"/>
  <c r="Q894" i="7"/>
  <c r="Q898" i="7"/>
  <c r="Q902" i="7"/>
  <c r="Q946" i="7"/>
  <c r="Q971" i="7"/>
  <c r="Q975" i="7"/>
  <c r="Q983" i="7"/>
  <c r="Q979" i="7"/>
  <c r="Q964" i="7"/>
  <c r="Q824" i="7"/>
  <c r="Q980" i="7"/>
  <c r="Q981" i="7"/>
  <c r="Q825" i="7"/>
  <c r="Q914" i="7"/>
  <c r="Q920" i="7"/>
  <c r="Q928" i="7"/>
  <c r="Q936" i="7"/>
  <c r="Q974" i="7"/>
  <c r="Q987" i="7"/>
  <c r="Q832" i="7"/>
  <c r="Q850" i="7"/>
  <c r="Q854" i="7"/>
  <c r="Q873" i="7"/>
  <c r="Q899" i="7"/>
  <c r="Q916" i="7"/>
  <c r="Q922" i="7"/>
  <c r="Q926" i="7"/>
  <c r="Q965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6" i="7"/>
  <c r="Q1007" i="7"/>
  <c r="Q1008" i="7"/>
  <c r="Q1010" i="7"/>
  <c r="Q1011" i="7"/>
  <c r="Q1012" i="7"/>
  <c r="Q1013" i="7"/>
  <c r="Q1016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1" i="7"/>
  <c r="Q1033" i="7"/>
  <c r="Q1034" i="7"/>
  <c r="Q1035" i="7"/>
  <c r="Q1036" i="7"/>
  <c r="Q1037" i="7"/>
  <c r="Q1038" i="7"/>
  <c r="Q1039" i="7"/>
  <c r="Q1041" i="7"/>
  <c r="Q1043" i="7"/>
  <c r="Q1044" i="7"/>
  <c r="Q1045" i="7"/>
  <c r="Q1046" i="7"/>
  <c r="Q1048" i="7"/>
  <c r="Q1049" i="7"/>
  <c r="Q1050" i="7"/>
  <c r="Q1051" i="7"/>
  <c r="Q1052" i="7"/>
  <c r="Q1053" i="7"/>
  <c r="Q1054" i="7"/>
  <c r="Q1055" i="7"/>
  <c r="Q1056" i="7"/>
  <c r="Q1057" i="7"/>
  <c r="Q1058" i="7"/>
  <c r="Q1060" i="7"/>
  <c r="Q1061" i="7"/>
  <c r="Q1062" i="7"/>
  <c r="Q1063" i="7"/>
  <c r="Q1064" i="7"/>
  <c r="Q1065" i="7"/>
  <c r="Q1066" i="7"/>
  <c r="Q1067" i="7"/>
  <c r="Q557" i="7"/>
  <c r="Q559" i="7"/>
  <c r="Q747" i="7"/>
  <c r="Q31" i="7"/>
  <c r="Q176" i="7"/>
  <c r="Q754" i="7"/>
  <c r="Q789" i="7"/>
  <c r="Q401" i="7"/>
  <c r="Q547" i="7"/>
  <c r="Q548" i="7"/>
  <c r="Q267" i="7"/>
  <c r="Q24" i="7"/>
  <c r="Q25" i="7"/>
  <c r="Q604" i="7"/>
  <c r="Q753" i="7"/>
  <c r="Q87" i="7"/>
  <c r="Q771" i="7"/>
  <c r="Q804" i="7"/>
  <c r="Q671" i="7"/>
  <c r="Q588" i="7"/>
  <c r="Q681" i="7"/>
  <c r="Q692" i="7"/>
  <c r="Q552" i="7"/>
  <c r="Q664" i="7"/>
  <c r="Q790" i="7"/>
  <c r="Q810" i="7"/>
  <c r="Q814" i="7"/>
  <c r="Q166" i="7"/>
  <c r="Q605" i="7"/>
  <c r="Q803" i="7"/>
  <c r="Q223" i="7"/>
  <c r="Q456" i="7"/>
  <c r="Q484" i="7"/>
  <c r="Q521" i="7"/>
  <c r="Q240" i="7"/>
  <c r="Q287" i="7"/>
  <c r="Q288" i="7"/>
  <c r="Q337" i="7"/>
  <c r="Q286" i="7"/>
  <c r="Q762" i="7"/>
  <c r="Q271" i="7"/>
  <c r="Q40" i="7"/>
  <c r="Q414" i="7"/>
  <c r="Q139" i="7"/>
  <c r="Q396" i="7"/>
  <c r="Q419" i="7"/>
  <c r="Q574" i="7"/>
  <c r="Q638" i="7"/>
  <c r="Q515" i="7"/>
  <c r="Q621" i="7"/>
  <c r="Q812" i="7"/>
  <c r="Q376" i="7"/>
  <c r="Q398" i="7"/>
  <c r="Q491" i="7"/>
  <c r="Q615" i="7"/>
  <c r="Q634" i="7"/>
  <c r="Q16" i="7"/>
  <c r="Q270" i="7"/>
  <c r="Q373" i="7"/>
  <c r="Q420" i="7"/>
  <c r="Q655" i="7"/>
  <c r="Q29" i="7"/>
  <c r="Q275" i="7"/>
  <c r="Q39" i="7"/>
  <c r="Q41" i="7"/>
  <c r="Q272" i="7"/>
  <c r="Q92" i="7"/>
  <c r="Q674" i="7"/>
  <c r="Q724" i="7"/>
  <c r="Q23" i="7"/>
  <c r="Q63" i="7"/>
  <c r="Q100" i="7"/>
  <c r="Q249" i="7"/>
  <c r="Q277" i="7"/>
  <c r="Q321" i="7"/>
  <c r="Q389" i="7"/>
  <c r="Q705" i="7"/>
  <c r="Q76" i="7"/>
  <c r="Q86" i="7"/>
  <c r="Q262" i="7"/>
  <c r="Q318" i="7"/>
  <c r="Q667" i="7"/>
  <c r="Q691" i="7"/>
  <c r="Q282" i="7"/>
  <c r="Q218" i="7"/>
  <c r="Q496" i="7"/>
  <c r="Q602" i="7"/>
  <c r="Q28" i="7"/>
  <c r="Q343" i="7"/>
  <c r="Q542" i="7"/>
  <c r="Q134" i="7"/>
  <c r="Q436" i="7"/>
  <c r="Q278" i="7"/>
  <c r="Q541" i="7"/>
  <c r="Q157" i="7"/>
  <c r="Q65" i="7"/>
  <c r="Q88" i="7"/>
  <c r="Q502" i="7"/>
  <c r="Q3" i="7"/>
  <c r="Q365" i="7"/>
  <c r="Q201" i="7"/>
  <c r="Q202" i="7"/>
  <c r="Q203" i="7"/>
  <c r="Q204" i="7"/>
  <c r="Q79" i="7"/>
  <c r="Q129" i="7"/>
  <c r="Q295" i="7"/>
  <c r="Q802" i="7"/>
  <c r="Q609" i="7"/>
  <c r="Q700" i="7"/>
  <c r="Q284" i="7"/>
  <c r="Q555" i="7"/>
  <c r="Q58" i="7"/>
  <c r="Q580" i="7"/>
  <c r="Q768" i="7"/>
  <c r="Q149" i="7"/>
  <c r="Q291" i="7"/>
  <c r="Q698" i="7"/>
  <c r="Q429" i="7"/>
  <c r="Q452" i="7"/>
  <c r="Q453" i="7"/>
  <c r="Q232" i="7"/>
  <c r="Q148" i="7"/>
  <c r="Q248" i="7"/>
  <c r="Q435" i="7"/>
  <c r="Q550" i="7"/>
  <c r="Q244" i="7"/>
  <c r="Q255" i="7"/>
  <c r="Q418" i="7"/>
  <c r="Q126" i="7"/>
  <c r="Q530" i="7"/>
  <c r="Q549" i="7"/>
  <c r="Q490" i="7"/>
  <c r="Q319" i="7"/>
  <c r="Q136" i="7"/>
  <c r="Q669" i="7"/>
  <c r="Q679" i="7"/>
  <c r="Q4" i="7"/>
  <c r="Q388" i="7"/>
  <c r="Q708" i="7"/>
  <c r="Q98" i="7"/>
  <c r="Q455" i="7"/>
  <c r="Q422" i="7"/>
  <c r="Q423" i="7"/>
  <c r="Q424" i="7"/>
  <c r="Q425" i="7"/>
  <c r="Q279" i="7"/>
  <c r="Q369" i="7"/>
  <c r="Q77" i="7"/>
  <c r="Q226" i="7"/>
  <c r="Q784" i="7"/>
  <c r="Q51" i="7"/>
  <c r="Q111" i="7"/>
  <c r="Q430" i="7"/>
  <c r="Q527" i="7"/>
  <c r="Q663" i="7"/>
  <c r="Q695" i="7"/>
  <c r="Q26" i="7"/>
  <c r="Q168" i="7"/>
  <c r="Q256" i="7"/>
  <c r="Q408" i="7"/>
  <c r="Q545" i="7"/>
  <c r="Q639" i="7"/>
  <c r="Q33" i="7"/>
  <c r="Q117" i="7"/>
  <c r="Q798" i="7"/>
  <c r="Q808" i="7"/>
  <c r="Q668" i="7"/>
  <c r="Q27" i="7"/>
  <c r="Q658" i="7"/>
  <c r="Q407" i="7"/>
  <c r="Q412" i="7"/>
  <c r="Q438" i="7"/>
  <c r="Q439" i="7"/>
  <c r="Q643" i="7"/>
  <c r="Q660" i="7"/>
  <c r="Q441" i="7"/>
  <c r="Q383" i="7"/>
  <c r="Q384" i="7"/>
  <c r="Q99" i="7"/>
  <c r="Q758" i="7"/>
  <c r="Q779" i="7"/>
  <c r="Q36" i="7"/>
  <c r="Q46" i="7"/>
  <c r="Q618" i="7"/>
  <c r="Q582" i="7"/>
  <c r="Q362" i="7"/>
  <c r="Q770" i="7"/>
  <c r="Q483" i="7"/>
  <c r="Q194" i="7"/>
  <c r="Q172" i="7"/>
  <c r="Q7" i="7"/>
  <c r="Q62" i="7"/>
  <c r="Q124" i="7"/>
  <c r="Q280" i="7"/>
  <c r="Q815" i="7"/>
  <c r="Q632" i="7"/>
  <c r="Q45" i="7"/>
  <c r="Q189" i="7"/>
  <c r="Q190" i="7"/>
  <c r="Q219" i="7"/>
  <c r="Q314" i="7"/>
  <c r="Q567" i="7"/>
  <c r="Q630" i="7"/>
  <c r="Q127" i="7"/>
  <c r="Q227" i="7"/>
  <c r="Q517" i="7"/>
  <c r="Q48" i="7"/>
  <c r="AA170" i="1"/>
  <c r="AA3" i="1"/>
  <c r="AA4" i="1"/>
  <c r="AA5" i="1"/>
  <c r="AA6" i="1"/>
  <c r="AA7" i="1"/>
  <c r="AA173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174" i="1"/>
  <c r="AA203" i="1"/>
  <c r="AA23" i="1"/>
  <c r="AA24" i="1"/>
  <c r="AA25" i="1"/>
  <c r="AA26" i="1"/>
  <c r="AA27" i="1"/>
  <c r="AA175" i="1"/>
  <c r="AA28" i="1"/>
  <c r="AA176" i="1"/>
  <c r="AA29" i="1"/>
  <c r="AA30" i="1"/>
  <c r="AA31" i="1"/>
  <c r="AA32" i="1"/>
  <c r="AA33" i="1"/>
  <c r="AA177" i="1"/>
  <c r="AA34" i="1"/>
  <c r="AA35" i="1"/>
  <c r="AA36" i="1"/>
  <c r="AA37" i="1"/>
  <c r="AA171" i="1"/>
  <c r="AA38" i="1"/>
  <c r="AA178" i="1"/>
  <c r="AA39" i="1"/>
  <c r="AA179" i="1"/>
  <c r="AA40" i="1"/>
  <c r="AA41" i="1"/>
  <c r="AA42" i="1"/>
  <c r="AA43" i="1"/>
  <c r="AA44" i="1"/>
  <c r="AA45" i="1"/>
  <c r="AA46" i="1"/>
  <c r="AA180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181" i="1"/>
  <c r="AA182" i="1"/>
  <c r="AA66" i="1"/>
  <c r="AA67" i="1"/>
  <c r="AA68" i="1"/>
  <c r="AA69" i="1"/>
  <c r="AA70" i="1"/>
  <c r="AA183" i="1"/>
  <c r="AA71" i="1"/>
  <c r="AA72" i="1"/>
  <c r="AA73" i="1"/>
  <c r="AA74" i="1"/>
  <c r="AA75" i="1"/>
  <c r="AA76" i="1"/>
  <c r="AA77" i="1"/>
  <c r="AA78" i="1"/>
  <c r="AA79" i="1"/>
  <c r="AA184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185" i="1"/>
  <c r="AA95" i="1"/>
  <c r="AA96" i="1"/>
  <c r="AA97" i="1"/>
  <c r="AA98" i="1"/>
  <c r="AA99" i="1"/>
  <c r="AA100" i="1"/>
  <c r="AA186" i="1"/>
  <c r="AA187" i="1"/>
  <c r="AA101" i="1"/>
  <c r="AA102" i="1"/>
  <c r="AA103" i="1"/>
  <c r="AA104" i="1"/>
  <c r="AA105" i="1"/>
  <c r="AA106" i="1"/>
  <c r="AA107" i="1"/>
  <c r="AA108" i="1"/>
  <c r="AA188" i="1"/>
  <c r="AA189" i="1"/>
  <c r="AA109" i="1"/>
  <c r="AA110" i="1"/>
  <c r="AA111" i="1"/>
  <c r="AA112" i="1"/>
  <c r="AA190" i="1"/>
  <c r="AA113" i="1"/>
  <c r="AA114" i="1"/>
  <c r="AA191" i="1"/>
  <c r="AA115" i="1"/>
  <c r="AA116" i="1"/>
  <c r="AA117" i="1"/>
  <c r="AA118" i="1"/>
  <c r="AA119" i="1"/>
  <c r="AA120" i="1"/>
  <c r="AA192" i="1"/>
  <c r="AA193" i="1"/>
  <c r="AA121" i="1"/>
  <c r="AA194" i="1"/>
  <c r="AA122" i="1"/>
  <c r="AA123" i="1"/>
  <c r="AA124" i="1"/>
  <c r="AA125" i="1"/>
  <c r="AA126" i="1"/>
  <c r="AA127" i="1"/>
  <c r="AA128" i="1"/>
  <c r="AA195" i="1"/>
  <c r="AA129" i="1"/>
  <c r="AA130" i="1"/>
  <c r="AA196" i="1"/>
  <c r="AA131" i="1"/>
  <c r="AA132" i="1"/>
  <c r="AA133" i="1"/>
  <c r="AA134" i="1"/>
  <c r="AA197" i="1"/>
  <c r="AA135" i="1"/>
  <c r="AA136" i="1"/>
  <c r="AA137" i="1"/>
  <c r="AA138" i="1"/>
  <c r="AA198" i="1"/>
  <c r="AA139" i="1"/>
  <c r="AA140" i="1"/>
  <c r="AA141" i="1"/>
  <c r="AA142" i="1"/>
  <c r="AA143" i="1"/>
  <c r="AA199" i="1"/>
  <c r="AA144" i="1"/>
  <c r="AA145" i="1"/>
  <c r="AA146" i="1"/>
  <c r="AA200" i="1"/>
  <c r="AA147" i="1"/>
  <c r="AA148" i="1"/>
  <c r="AA149" i="1"/>
  <c r="AA150" i="1"/>
  <c r="AA151" i="1"/>
  <c r="AA152" i="1"/>
  <c r="AA153" i="1"/>
  <c r="AA154" i="1"/>
  <c r="AA155" i="1"/>
  <c r="AA156" i="1"/>
  <c r="AA157" i="1"/>
  <c r="AA172" i="1"/>
  <c r="AA158" i="1"/>
  <c r="AA159" i="1"/>
  <c r="AA160" i="1"/>
  <c r="AA161" i="1"/>
  <c r="AA162" i="1"/>
  <c r="AA163" i="1"/>
  <c r="AA164" i="1"/>
  <c r="AA201" i="1"/>
  <c r="AA165" i="1"/>
  <c r="AA202" i="1"/>
  <c r="AA166" i="1"/>
  <c r="AA167" i="1"/>
  <c r="AA168" i="1"/>
  <c r="AA169" i="1"/>
  <c r="AA2" i="1"/>
  <c r="P1069" i="7"/>
  <c r="P1072" i="7"/>
  <c r="P1070" i="7"/>
  <c r="P1071" i="7"/>
  <c r="P1083" i="7" s="1"/>
  <c r="AA666" i="7"/>
  <c r="U485" i="7"/>
  <c r="P1076" i="7" s="1"/>
  <c r="U218" i="7"/>
  <c r="Q811" i="7"/>
  <c r="P1073" i="7"/>
  <c r="P1075" i="7"/>
  <c r="P1074" i="7"/>
  <c r="P1077" i="7"/>
  <c r="P1079" i="7" s="1"/>
  <c r="AA486" i="7" l="1"/>
  <c r="P1078" i="7"/>
  <c r="Q485" i="7"/>
</calcChain>
</file>

<file path=xl/sharedStrings.xml><?xml version="1.0" encoding="utf-8"?>
<sst xmlns="http://schemas.openxmlformats.org/spreadsheetml/2006/main" count="21796" uniqueCount="4491">
  <si>
    <t>TOWN</t>
  </si>
  <si>
    <t>District</t>
  </si>
  <si>
    <t>Date Record Updated</t>
  </si>
  <si>
    <t>PWS?</t>
  </si>
  <si>
    <t>MWRA?</t>
  </si>
  <si>
    <t>DEP Region</t>
  </si>
  <si>
    <t xml:space="preserve"># Schools </t>
  </si>
  <si>
    <t>PPC First Name</t>
  </si>
  <si>
    <t>PPC Last Name</t>
  </si>
  <si>
    <t>PPC Phone Number</t>
  </si>
  <si>
    <t>PPC Email Address</t>
  </si>
  <si>
    <t>PPC Title</t>
  </si>
  <si>
    <t>Municipal Official Email</t>
  </si>
  <si>
    <t>Responded</t>
  </si>
  <si>
    <t>Date/time for IM</t>
  </si>
  <si>
    <t>TAP(s) at IM</t>
  </si>
  <si>
    <t>Primary TAP</t>
  </si>
  <si>
    <t>Maint. Check.</t>
  </si>
  <si>
    <t>Date MC completed</t>
  </si>
  <si>
    <t>Sample Plan</t>
  </si>
  <si>
    <t>Date First Sampled</t>
  </si>
  <si>
    <t>Help Sampling?</t>
  </si>
  <si>
    <t>Report Tool PIN</t>
  </si>
  <si>
    <t>Laboratory</t>
  </si>
  <si>
    <t>Total # Samples</t>
  </si>
  <si>
    <t>Status?</t>
  </si>
  <si>
    <t>not analyzed by MWRA</t>
  </si>
  <si>
    <t>Comments</t>
  </si>
  <si>
    <t>ABINGTON</t>
  </si>
  <si>
    <t>NO</t>
  </si>
  <si>
    <t>Southeast</t>
  </si>
  <si>
    <t>Jason</t>
  </si>
  <si>
    <t>Linn</t>
  </si>
  <si>
    <t>781-982-2154</t>
  </si>
  <si>
    <t>jasonlinn@abingtonps.org</t>
  </si>
  <si>
    <t>Maintenance Director</t>
  </si>
  <si>
    <t>rlafond@abingtonma.gov</t>
  </si>
  <si>
    <t>WS</t>
  </si>
  <si>
    <t>TK</t>
  </si>
  <si>
    <t>Submitted</t>
  </si>
  <si>
    <t>5:5</t>
  </si>
  <si>
    <t>KG</t>
  </si>
  <si>
    <t>9f3c-affa-4883</t>
  </si>
  <si>
    <t>RI Analytical</t>
  </si>
  <si>
    <t>Sampling completed</t>
  </si>
  <si>
    <t>ACTON (AB)</t>
  </si>
  <si>
    <t>AB</t>
  </si>
  <si>
    <t>Central</t>
  </si>
  <si>
    <t>JD</t>
  </si>
  <si>
    <t>Head</t>
  </si>
  <si>
    <t>978-37-50101</t>
  </si>
  <si>
    <t>jdhead@abschools.org</t>
  </si>
  <si>
    <t xml:space="preserve">Director of Facilities </t>
  </si>
  <si>
    <t xml:space="preserve">	manager@acton-ma.gov</t>
  </si>
  <si>
    <t>LL</t>
  </si>
  <si>
    <t>7:7</t>
  </si>
  <si>
    <t>7c6a-b7eb-c5f5</t>
  </si>
  <si>
    <t>Alpha Analytical</t>
  </si>
  <si>
    <t>ACUSHNET</t>
  </si>
  <si>
    <t>Kristin</t>
  </si>
  <si>
    <t>Flynn</t>
  </si>
  <si>
    <t>508-998-0261</t>
  </si>
  <si>
    <t>kbflynn@acushnet.k12.ma.us</t>
  </si>
  <si>
    <t>Superintendent of Schools</t>
  </si>
  <si>
    <t>camaral@acushnettown.mec.edu</t>
  </si>
  <si>
    <t>2:2</t>
  </si>
  <si>
    <t>901c-b8cd-e0db</t>
  </si>
  <si>
    <t>ADAMS (ACRSD)</t>
  </si>
  <si>
    <t>ACRSD</t>
  </si>
  <si>
    <t>Western</t>
  </si>
  <si>
    <t>Erika</t>
  </si>
  <si>
    <t>Snyder</t>
  </si>
  <si>
    <t>413-743-2939 x 1103</t>
  </si>
  <si>
    <t>snydere@acrsd.net</t>
  </si>
  <si>
    <t>Business Manager</t>
  </si>
  <si>
    <t>jbutler@town.adams.ma.us</t>
  </si>
  <si>
    <t>HM</t>
  </si>
  <si>
    <t>Not Submitted</t>
  </si>
  <si>
    <t>1:1</t>
  </si>
  <si>
    <t>97fb-15f3-6cf4</t>
  </si>
  <si>
    <t>Con-Test</t>
  </si>
  <si>
    <t>AMHERST (ARPS)</t>
  </si>
  <si>
    <t>ARPS</t>
  </si>
  <si>
    <t>Ron</t>
  </si>
  <si>
    <t>Bohonowicz</t>
  </si>
  <si>
    <t>413-362-1855</t>
  </si>
  <si>
    <t>bohonowiczr@arps.org</t>
  </si>
  <si>
    <t>townmanager@amherstma.gov</t>
  </si>
  <si>
    <t>Responded (with Pelham)</t>
  </si>
  <si>
    <t>RL. KG, TM</t>
  </si>
  <si>
    <t>8:8</t>
  </si>
  <si>
    <t>KG 1st, Amh DPW othesrs</t>
  </si>
  <si>
    <t>8356-de16-5117</t>
  </si>
  <si>
    <t>ARLINGTON</t>
  </si>
  <si>
    <t>YES</t>
  </si>
  <si>
    <t>Northeast</t>
  </si>
  <si>
    <t>Ruthy</t>
  </si>
  <si>
    <t>Bennett</t>
  </si>
  <si>
    <t>781-316-3113</t>
  </si>
  <si>
    <t>rbennett@town.arlington.ma.us</t>
  </si>
  <si>
    <t>Superintendent</t>
  </si>
  <si>
    <t>townmanager@town.arlington.ma.us</t>
  </si>
  <si>
    <t>HC</t>
  </si>
  <si>
    <t>b9d6-aacb-1aa8</t>
  </si>
  <si>
    <t>MWRA</t>
  </si>
  <si>
    <t>ASHFIELD (MTHR)</t>
  </si>
  <si>
    <t>MTHR</t>
  </si>
  <si>
    <t>Robin</t>
  </si>
  <si>
    <t>Pease</t>
  </si>
  <si>
    <t>413-625-0192 x 1021</t>
  </si>
  <si>
    <t>rpease@mohawkschools.org</t>
  </si>
  <si>
    <t>Facilities Coordinator</t>
  </si>
  <si>
    <t>MI</t>
  </si>
  <si>
    <t>4eed-c4af-9bbc</t>
  </si>
  <si>
    <t>Phoenix</t>
  </si>
  <si>
    <t>ASHLAND</t>
  </si>
  <si>
    <t>Patricia</t>
  </si>
  <si>
    <t>Whitney</t>
  </si>
  <si>
    <t>508-881-0170??</t>
  </si>
  <si>
    <t>pwhitney@ashland.k12.ma.us</t>
  </si>
  <si>
    <t>Director of Public Facilities</t>
  </si>
  <si>
    <t>aschiavi@ashlandmass.com</t>
  </si>
  <si>
    <t>MG</t>
  </si>
  <si>
    <t>763a-731d-2bed</t>
  </si>
  <si>
    <t>ATTLEBORO</t>
  </si>
  <si>
    <t>Marc</t>
  </si>
  <si>
    <t>Furtado</t>
  </si>
  <si>
    <t>508-222-5150 x 1522</t>
  </si>
  <si>
    <t>mfurtado@attleboroschools.com</t>
  </si>
  <si>
    <t>Director of Finance</t>
  </si>
  <si>
    <t>mayor@cityofattleboro.us</t>
  </si>
  <si>
    <t>BH</t>
  </si>
  <si>
    <t>10:10</t>
  </si>
  <si>
    <t>Yes (BH)</t>
  </si>
  <si>
    <t>521d-e8fd-9f98</t>
  </si>
  <si>
    <t>AUBURN</t>
  </si>
  <si>
    <t>Joseph</t>
  </si>
  <si>
    <t>Fahey</t>
  </si>
  <si>
    <t>508-832-7755</t>
  </si>
  <si>
    <t>jfahey@auburn.k12.ma.us</t>
  </si>
  <si>
    <t>Facility Director</t>
  </si>
  <si>
    <t>a689-d03e-c35b</t>
  </si>
  <si>
    <t>AVON</t>
  </si>
  <si>
    <t>Kathleen</t>
  </si>
  <si>
    <t>McDonald</t>
  </si>
  <si>
    <t>508-588-0230</t>
  </si>
  <si>
    <t>kmcdonald@avon.k12.ma.us</t>
  </si>
  <si>
    <t>frcrimmins@avonmass.org</t>
  </si>
  <si>
    <t>8e80-97b2-a4db</t>
  </si>
  <si>
    <t>Granite State</t>
  </si>
  <si>
    <t>AYER (ASRSD)</t>
  </si>
  <si>
    <t>ASRSD</t>
  </si>
  <si>
    <t>Robert</t>
  </si>
  <si>
    <t>Briggs</t>
  </si>
  <si>
    <t>978-77-28600</t>
  </si>
  <si>
    <t>bob.briggs@asrsd.org</t>
  </si>
  <si>
    <t xml:space="preserve">	ta@ayer.ma.us</t>
  </si>
  <si>
    <t>Responded (with Shirley)</t>
  </si>
  <si>
    <t>BH, RL</t>
  </si>
  <si>
    <t>3:3</t>
  </si>
  <si>
    <t>9a7e-92c1-07f3</t>
  </si>
  <si>
    <t>Nashoba/Alpha Analytical</t>
  </si>
  <si>
    <t>BARNSTABLE</t>
  </si>
  <si>
    <t>David</t>
  </si>
  <si>
    <t>Kanyock</t>
  </si>
  <si>
    <t>508-790-6490</t>
  </si>
  <si>
    <t>kanyock_david@barnstable.k12.ma.us</t>
  </si>
  <si>
    <t>Facilities Director</t>
  </si>
  <si>
    <t>thomas.lynch@town.barnstable.ma.us</t>
  </si>
  <si>
    <t>TB</t>
  </si>
  <si>
    <t>9:9</t>
  </si>
  <si>
    <t>d3bc-1eb9-12ed</t>
  </si>
  <si>
    <t>Barnstable County Heatlh &amp; Env Dept</t>
  </si>
  <si>
    <t>BARNSTABLE-CS-Sturgis</t>
  </si>
  <si>
    <t xml:space="preserve">Jim </t>
  </si>
  <si>
    <t>Albrecht</t>
  </si>
  <si>
    <t>508-778-1782</t>
  </si>
  <si>
    <t>jalbrecht@sturgischarterschool.org</t>
  </si>
  <si>
    <t>8541-b98c-c895</t>
  </si>
  <si>
    <t>BELCHERTOWN</t>
  </si>
  <si>
    <t>Lachance</t>
  </si>
  <si>
    <t>413-323-0423</t>
  </si>
  <si>
    <t>rlachance@belchertownps.org</t>
  </si>
  <si>
    <t>Director of Buildings and Grounds</t>
  </si>
  <si>
    <t>selectmen@belchertown.org</t>
  </si>
  <si>
    <t>TM</t>
  </si>
  <si>
    <t>65c6-b738-0d0e</t>
  </si>
  <si>
    <t>BELMONT</t>
  </si>
  <si>
    <t>Gerald</t>
  </si>
  <si>
    <t>Boyle</t>
  </si>
  <si>
    <t>617-993-2640</t>
  </si>
  <si>
    <t>gboyle@belmont-ma.gov</t>
  </si>
  <si>
    <t>dkale@belmont-ma.gov</t>
  </si>
  <si>
    <t>6:6</t>
  </si>
  <si>
    <t>bb89-43de-2297</t>
  </si>
  <si>
    <t>BERNARDSTON (PVRSD)</t>
  </si>
  <si>
    <t>PVRSD</t>
  </si>
  <si>
    <t>Tim</t>
  </si>
  <si>
    <t>Brandl</t>
  </si>
  <si>
    <t>413-498-2911  ext 609</t>
  </si>
  <si>
    <t>brandlt@pvrsdk12.org</t>
  </si>
  <si>
    <t>District Facilites Director</t>
  </si>
  <si>
    <t>GB</t>
  </si>
  <si>
    <t>862f-6057-f395</t>
  </si>
  <si>
    <t>Eurofins</t>
  </si>
  <si>
    <t>BEVERLY</t>
  </si>
  <si>
    <t>Steven</t>
  </si>
  <si>
    <t>Hiersche</t>
  </si>
  <si>
    <t>978-921-6100</t>
  </si>
  <si>
    <t>shiersche@beverlyschools.org</t>
  </si>
  <si>
    <t>mayor@beverlyma.gov</t>
  </si>
  <si>
    <t>ddce-1515-dd71</t>
  </si>
  <si>
    <t>BILLERICA</t>
  </si>
  <si>
    <t>George</t>
  </si>
  <si>
    <t>McCormack</t>
  </si>
  <si>
    <t>978-528-7902</t>
  </si>
  <si>
    <t>gmccormack@billericak12.com</t>
  </si>
  <si>
    <t>Asst. Business Director</t>
  </si>
  <si>
    <t>jcurran@town.billerica.ma.us</t>
  </si>
  <si>
    <t>4:4</t>
  </si>
  <si>
    <t>Yes</t>
  </si>
  <si>
    <t>ddc1-128e-f022</t>
  </si>
  <si>
    <t>Nashoba</t>
  </si>
  <si>
    <t>BILLERICA-Valley Collaborative</t>
  </si>
  <si>
    <t>VC</t>
  </si>
  <si>
    <t>Mark</t>
  </si>
  <si>
    <t>Morreale</t>
  </si>
  <si>
    <t>978-528-7838</t>
  </si>
  <si>
    <t>mmorreale@valleycollaborative.org</t>
  </si>
  <si>
    <t>Operations and Facilities Manager</t>
  </si>
  <si>
    <t>03a5-5fb7-9bb6</t>
  </si>
  <si>
    <t>BLACKSTONE</t>
  </si>
  <si>
    <t>Wen</t>
  </si>
  <si>
    <t>Cobb</t>
  </si>
  <si>
    <t>508-87-60115</t>
  </si>
  <si>
    <t>wcobb@bmrsd.net</t>
  </si>
  <si>
    <t xml:space="preserve">	dkeyes@townofblackstone.org</t>
  </si>
  <si>
    <t>1:4</t>
  </si>
  <si>
    <t>8c22-9722-59b3</t>
  </si>
  <si>
    <t>BOSTON-CSCollege</t>
  </si>
  <si>
    <t>Peter</t>
  </si>
  <si>
    <t>Gaffney</t>
  </si>
  <si>
    <t>617-905-5860</t>
  </si>
  <si>
    <t>pgaffney@bostoncollegiate.org</t>
  </si>
  <si>
    <t>mayor@cityofboston.gov</t>
  </si>
  <si>
    <t>AD (DEP)</t>
  </si>
  <si>
    <t>3819-cad2-8e8e</t>
  </si>
  <si>
    <t>BOSTON-CS-Excel</t>
  </si>
  <si>
    <t>Andrew</t>
  </si>
  <si>
    <t>Solomon</t>
  </si>
  <si>
    <t>617-874-4096</t>
  </si>
  <si>
    <t>asolomon@excelacademy.org</t>
  </si>
  <si>
    <t>1f98-22e9-e27e</t>
  </si>
  <si>
    <t>BOSTON-CSPacific</t>
  </si>
  <si>
    <t>Buccelli</t>
  </si>
  <si>
    <t>617-361-0050 ext 190</t>
  </si>
  <si>
    <t>DBuccelli@pacrim.org</t>
  </si>
  <si>
    <t>MF (DEP)</t>
  </si>
  <si>
    <t>df35-407e-28b8</t>
  </si>
  <si>
    <t>BOSTON-CSPrep</t>
  </si>
  <si>
    <t>Tyler</t>
  </si>
  <si>
    <t>Martin</t>
  </si>
  <si>
    <t>617-333-6688 x112</t>
  </si>
  <si>
    <t>tmartin@bostonprep.org</t>
  </si>
  <si>
    <t>3d6f-891d-0e34</t>
  </si>
  <si>
    <t>BOURNE</t>
  </si>
  <si>
    <t>Edward</t>
  </si>
  <si>
    <t>Donoghue</t>
  </si>
  <si>
    <t>508-759-0660</t>
  </si>
  <si>
    <t>edonoghue@bourneps.org</t>
  </si>
  <si>
    <t>Director of Business Services</t>
  </si>
  <si>
    <t>tguerino@townofbourne.com</t>
  </si>
  <si>
    <t>d083-cccd-3f3e</t>
  </si>
  <si>
    <t>BROCKTON</t>
  </si>
  <si>
    <t>Kenneth</t>
  </si>
  <si>
    <t>Thompson</t>
  </si>
  <si>
    <t>508-580-7503</t>
  </si>
  <si>
    <t>kenneththompson@bpsma.org</t>
  </si>
  <si>
    <t>BillCarpenter@cobma.us</t>
  </si>
  <si>
    <t>23:23</t>
  </si>
  <si>
    <t>8ceb-31ac-bbf5</t>
  </si>
  <si>
    <t>CAMBRIDGE</t>
  </si>
  <si>
    <t>Leo</t>
  </si>
  <si>
    <t>Ring</t>
  </si>
  <si>
    <t>617-284-7902</t>
  </si>
  <si>
    <t>LRing@phacs.org</t>
  </si>
  <si>
    <t>Head of School</t>
  </si>
  <si>
    <t>mayor@cambridgema.gov</t>
  </si>
  <si>
    <t>yes (HC)</t>
  </si>
  <si>
    <t>7f25-e64e-4d00</t>
  </si>
  <si>
    <t>CANTON</t>
  </si>
  <si>
    <t>Brian</t>
  </si>
  <si>
    <t>Lynch</t>
  </si>
  <si>
    <t>781-821-5060</t>
  </si>
  <si>
    <t>Lynchb@cantonma.org</t>
  </si>
  <si>
    <t>wfriel@town.canton.ma.us</t>
  </si>
  <si>
    <t xml:space="preserve"> </t>
  </si>
  <si>
    <t>9a7e-dfd5-e51b</t>
  </si>
  <si>
    <t>CANTON-BHRV</t>
  </si>
  <si>
    <t>Gene</t>
  </si>
  <si>
    <t>Mastro</t>
  </si>
  <si>
    <t>781-828-5800 X334</t>
  </si>
  <si>
    <t>GMastro@bluehills.org</t>
  </si>
  <si>
    <t>Director of Facilities, Security and IT Services</t>
  </si>
  <si>
    <t>cee7-d7ef-e074</t>
  </si>
  <si>
    <t>CHARLEMONT (MTHR)</t>
  </si>
  <si>
    <t>CHARLTON-BPRV</t>
  </si>
  <si>
    <t>Dean</t>
  </si>
  <si>
    <t>Iacobucci</t>
  </si>
  <si>
    <t>508-248-5971 x 1752</t>
  </si>
  <si>
    <t>diacobucci@baypath.net</t>
  </si>
  <si>
    <t xml:space="preserve">	robin.craver@townofcharlton.net</t>
  </si>
  <si>
    <t>d9d2-7c9f-32ba</t>
  </si>
  <si>
    <t>CHELMSFORD</t>
  </si>
  <si>
    <t>Canavan</t>
  </si>
  <si>
    <t>978-244-3380</t>
  </si>
  <si>
    <t>kcanavan@TownofChelmsford.us</t>
  </si>
  <si>
    <t>Chelmsford Town Manager</t>
  </si>
  <si>
    <t>pcohen@townofchelmsford.us</t>
  </si>
  <si>
    <t>08c4-1a01-523a</t>
  </si>
  <si>
    <t>CHESHIRE (ACRSD)</t>
  </si>
  <si>
    <t>admin@Cheshire-ma.gov</t>
  </si>
  <si>
    <t xml:space="preserve">97fb-15f3-6cf4
</t>
  </si>
  <si>
    <t>CHESTERFIELD (HR-K12)</t>
  </si>
  <si>
    <t>HR-K12</t>
  </si>
  <si>
    <t>Craig</t>
  </si>
  <si>
    <t>Jurgensen</t>
  </si>
  <si>
    <t>413-527-7200</t>
  </si>
  <si>
    <t>cjurgensen@hr-k12.org</t>
  </si>
  <si>
    <t>e347-5d47-3376</t>
  </si>
  <si>
    <t>NEED DATA ENTERED FROM RFI</t>
  </si>
  <si>
    <t>CHICOPEE</t>
  </si>
  <si>
    <t>Scott</t>
  </si>
  <si>
    <t>Chapdelaine</t>
  </si>
  <si>
    <t>413-594-3417</t>
  </si>
  <si>
    <t>schap@chicopeeps.org</t>
  </si>
  <si>
    <t>Director of Maintenance</t>
  </si>
  <si>
    <t>MayorKos@chicopeema.gov</t>
  </si>
  <si>
    <t>15:15</t>
  </si>
  <si>
    <t>3ffa-8c53-a5e7</t>
  </si>
  <si>
    <t>Sampling 10/4-18</t>
  </si>
  <si>
    <t>CLARKSBURG</t>
  </si>
  <si>
    <t>Tara</t>
  </si>
  <si>
    <t>Barnes</t>
  </si>
  <si>
    <t>413-663-8735</t>
  </si>
  <si>
    <t>tbarnes@clarksburgschool.org</t>
  </si>
  <si>
    <t>Principal</t>
  </si>
  <si>
    <t>clarksburgta@verizon.net</t>
  </si>
  <si>
    <t>KG, MJ</t>
  </si>
  <si>
    <t>ebef-b37c-44b5</t>
  </si>
  <si>
    <t>COLRAIN (MTHR)</t>
  </si>
  <si>
    <t>bos@colrain-ma.gov</t>
  </si>
  <si>
    <t>ab0c-7262-f9f5</t>
  </si>
  <si>
    <t>CONWAY (FRSU)</t>
  </si>
  <si>
    <t>FRSU</t>
  </si>
  <si>
    <t>Lesko</t>
  </si>
  <si>
    <t>413-665-2118 x 209</t>
  </si>
  <si>
    <t>bob.lesko@frsu38.org</t>
  </si>
  <si>
    <t>selectboard@townofconway.com</t>
  </si>
  <si>
    <t>DEDHAM</t>
  </si>
  <si>
    <t>Denise</t>
  </si>
  <si>
    <t>Moroney</t>
  </si>
  <si>
    <t>781-310-1141</t>
  </si>
  <si>
    <t>dmoroney@dedham.k12.ma.us</t>
  </si>
  <si>
    <t>jkern@dedham-ma.gov</t>
  </si>
  <si>
    <t>8268-5f4f-b5f3</t>
  </si>
  <si>
    <t>DEERFIELD (FRSU)</t>
  </si>
  <si>
    <t>administrator@town.deerfield.ma.us</t>
  </si>
  <si>
    <t>submitted</t>
  </si>
  <si>
    <t>11/3,7/2016</t>
  </si>
  <si>
    <t>DENNIS (DYR)</t>
  </si>
  <si>
    <t>DYR</t>
  </si>
  <si>
    <t>Sandra</t>
  </si>
  <si>
    <t>Cashen</t>
  </si>
  <si>
    <t>508-726-8161</t>
  </si>
  <si>
    <t>cashens@dy-regional.k12.ma.us</t>
  </si>
  <si>
    <t>Facilities Manager</t>
  </si>
  <si>
    <t>rwhite@town.dennis.ma.us</t>
  </si>
  <si>
    <t>Responded (with Yarmouth)</t>
  </si>
  <si>
    <t>0ebe-a7b1-340a</t>
  </si>
  <si>
    <t>DEVENS</t>
  </si>
  <si>
    <t>Michelle</t>
  </si>
  <si>
    <t>McKenna</t>
  </si>
  <si>
    <t>978-772-3293 x 113</t>
  </si>
  <si>
    <t>MMCKENNA@THEPARKERSCHOOL.ORG</t>
  </si>
  <si>
    <t xml:space="preserve">	tbragan@harvard.ma.us</t>
  </si>
  <si>
    <t>no</t>
  </si>
  <si>
    <t>e670-d7b2-9994</t>
  </si>
  <si>
    <t>"Harvard-Devens" ; single school in Devens</t>
  </si>
  <si>
    <t>DIGHTON</t>
  </si>
  <si>
    <t>Stephen</t>
  </si>
  <si>
    <t>Dempsey</t>
  </si>
  <si>
    <t>508 669-6744</t>
  </si>
  <si>
    <t>dempsey@bcahs.com</t>
  </si>
  <si>
    <t>Superintendent/Director Bristol County Agricultural High School</t>
  </si>
  <si>
    <t>boardofselectmen@townofdighton.com</t>
  </si>
  <si>
    <t>8aa8-13b0-acd8</t>
  </si>
  <si>
    <t>New England Testing Lab</t>
  </si>
  <si>
    <t>DOUGLAS</t>
  </si>
  <si>
    <t>Jeffrey</t>
  </si>
  <si>
    <t>Kollett</t>
  </si>
  <si>
    <t>508-887-0952</t>
  </si>
  <si>
    <t>jkollett@douglasps.net</t>
  </si>
  <si>
    <t>Business &amp; Operations Manager</t>
  </si>
  <si>
    <t xml:space="preserve">	mguzinski@douglasma.org</t>
  </si>
  <si>
    <t>MG, TB</t>
  </si>
  <si>
    <t>yes</t>
  </si>
  <si>
    <t>e095-0111-db25</t>
  </si>
  <si>
    <t>DRACUT</t>
  </si>
  <si>
    <t>Graham</t>
  </si>
  <si>
    <t>978-957-9704</t>
  </si>
  <si>
    <t>agraham@dracutps.org</t>
  </si>
  <si>
    <t>Supervisor of Buildings &amp; Grounds</t>
  </si>
  <si>
    <t>townmanager@dracut-ma.us</t>
  </si>
  <si>
    <t>1:6</t>
  </si>
  <si>
    <t>1a3c-c76b-6dc8</t>
  </si>
  <si>
    <t>DUNSTABLE (GDRSD)</t>
  </si>
  <si>
    <t>GDRSD</t>
  </si>
  <si>
    <t xml:space="preserve">Stephen </t>
  </si>
  <si>
    <t>Byrne</t>
  </si>
  <si>
    <t>978 448 5505 x 209</t>
  </si>
  <si>
    <t>sbyrne@gdrsd.org</t>
  </si>
  <si>
    <t>Director of Buildings &amp; Grounds</t>
  </si>
  <si>
    <t xml:space="preserve">	mmckenzie@dunstable-ma.gov</t>
  </si>
  <si>
    <t>Responded (with GrotonPWS)</t>
  </si>
  <si>
    <t>d73b-d5f8-1c7d</t>
  </si>
  <si>
    <t>EAST BRIDGEWATER</t>
  </si>
  <si>
    <t>Kiely</t>
  </si>
  <si>
    <t>508-378-1620</t>
  </si>
  <si>
    <t>bkiely@ebmass.com</t>
  </si>
  <si>
    <t>gsamia@ebmass.com</t>
  </si>
  <si>
    <t>WS/TB</t>
  </si>
  <si>
    <t>bc74-b27b-1351</t>
  </si>
  <si>
    <t>Analytical Balance</t>
  </si>
  <si>
    <t>2 schools are out of program</t>
  </si>
  <si>
    <t>EAST LONGMEADOW</t>
  </si>
  <si>
    <t>Gordon</t>
  </si>
  <si>
    <t>Smith</t>
  </si>
  <si>
    <t>413-525-5450 x 200</t>
  </si>
  <si>
    <t>gordon.smith@eastlongmeadowma.gov</t>
  </si>
  <si>
    <t>Supeintendent</t>
  </si>
  <si>
    <t>nbreault@eastlongmeadowma.gov</t>
  </si>
  <si>
    <t>Yes (KG)</t>
  </si>
  <si>
    <t>7dfb-f6dc-3f8c</t>
  </si>
  <si>
    <t>EASTHAMPTON</t>
  </si>
  <si>
    <t>Dayle</t>
  </si>
  <si>
    <t>Doiron</t>
  </si>
  <si>
    <t>413-529-1500 x 128</t>
  </si>
  <si>
    <t>ddoiron@epsd.us</t>
  </si>
  <si>
    <t>mayor@easthampton.org</t>
  </si>
  <si>
    <t>51db-0008-7452</t>
  </si>
  <si>
    <t>250 bottles shipped by cont-test 10/4</t>
  </si>
  <si>
    <t>EASTON</t>
  </si>
  <si>
    <t>Twombly</t>
  </si>
  <si>
    <t>508-230-3200</t>
  </si>
  <si>
    <t>dtwombly@easton.ma.us</t>
  </si>
  <si>
    <t>Director of School Operations</t>
  </si>
  <si>
    <t>dcolton@easton.ma.us</t>
  </si>
  <si>
    <t>TK/TJM</t>
  </si>
  <si>
    <t>8c36-9b5f-021d</t>
  </si>
  <si>
    <t>Wayne Called.  Schools listed uner North_Easton and South_Easton on DEP Tool</t>
  </si>
  <si>
    <t>EDGARTOWN  (MVYPS)</t>
  </si>
  <si>
    <t>MVYPS</t>
  </si>
  <si>
    <t>Matthew</t>
  </si>
  <si>
    <t>D'Andrea</t>
  </si>
  <si>
    <t>508-693-2007 x 15</t>
  </si>
  <si>
    <t>mdandrea@mvyps.org</t>
  </si>
  <si>
    <t>pdolby@edgartown-ma.us</t>
  </si>
  <si>
    <t>Responded (MVYPS)</t>
  </si>
  <si>
    <t>97e1-0e9b-1190</t>
  </si>
  <si>
    <t>ERVING</t>
  </si>
  <si>
    <t>James</t>
  </si>
  <si>
    <t>Trill</t>
  </si>
  <si>
    <t>413-423-3326</t>
  </si>
  <si>
    <t>trill@erving.com</t>
  </si>
  <si>
    <t>admin.thomas.sharp@erving-ma.org</t>
  </si>
  <si>
    <t>No</t>
  </si>
  <si>
    <t>8baa-2843-98de</t>
  </si>
  <si>
    <t>ESSEX (MERSD)</t>
  </si>
  <si>
    <t>MERSD</t>
  </si>
  <si>
    <t>Jay</t>
  </si>
  <si>
    <t>Pagliarulo</t>
  </si>
  <si>
    <t>978-526-2055 x 3115</t>
  </si>
  <si>
    <t>pagliaruloj@mersd.org</t>
  </si>
  <si>
    <t>bzubricki@essexma.org</t>
  </si>
  <si>
    <t>Responded (with Manchester)</t>
  </si>
  <si>
    <t>11a7-cde0-2fe9</t>
  </si>
  <si>
    <t>FALL RIVER</t>
  </si>
  <si>
    <t>Correia</t>
  </si>
  <si>
    <t>508-951-9860</t>
  </si>
  <si>
    <t>joecorreia@fallriverschools.org</t>
  </si>
  <si>
    <t>Major</t>
  </si>
  <si>
    <t>mayor@fallriverma.org</t>
  </si>
  <si>
    <t>BH, HC, WS, MG</t>
  </si>
  <si>
    <t>17:17</t>
  </si>
  <si>
    <t>5005-1ad8-3590</t>
  </si>
  <si>
    <t>FALL RIVER-DRV</t>
  </si>
  <si>
    <t>Glenn</t>
  </si>
  <si>
    <t>Benevides</t>
  </si>
  <si>
    <t>508-678-2891 Ext. 1630</t>
  </si>
  <si>
    <t>glennb@dimanregional.org</t>
  </si>
  <si>
    <t>9c1c-bf9a-3afc</t>
  </si>
  <si>
    <t>FITCHBURG</t>
  </si>
  <si>
    <t>Joleka</t>
  </si>
  <si>
    <t>jokelar@fitchburg.k12.ma.us</t>
  </si>
  <si>
    <t>Assistant Superintendent</t>
  </si>
  <si>
    <t>Yes (GB)</t>
  </si>
  <si>
    <t>faf1-89ff-ce20</t>
  </si>
  <si>
    <t>FITCHBURG-CS</t>
  </si>
  <si>
    <t>William</t>
  </si>
  <si>
    <t>Clabaugh</t>
  </si>
  <si>
    <t>978-868-4991</t>
  </si>
  <si>
    <t>clabaughb@ncces.org</t>
  </si>
  <si>
    <t>Mayor@fitchburgma.gov</t>
  </si>
  <si>
    <t>3c2d-4f4c-0ba4</t>
  </si>
  <si>
    <t>FITCHBURG-MRVTS</t>
  </si>
  <si>
    <t>Michael</t>
  </si>
  <si>
    <t>Gormley</t>
  </si>
  <si>
    <t>978-345-9200 x 5234</t>
  </si>
  <si>
    <t>gormley-michael@montytech.net</t>
  </si>
  <si>
    <t>MM</t>
  </si>
  <si>
    <t>c211-8aa4-62e2</t>
  </si>
  <si>
    <t>FLORIDA</t>
  </si>
  <si>
    <t>Heidi</t>
  </si>
  <si>
    <t>Dugal</t>
  </si>
  <si>
    <t>413-664-6023</t>
  </si>
  <si>
    <t>hdugal@abbottmemorial.org</t>
  </si>
  <si>
    <t>Floridamass@direcway.com</t>
  </si>
  <si>
    <t>74e9-b68c-5189</t>
  </si>
  <si>
    <t>FOXBOROUGH-CS</t>
  </si>
  <si>
    <t>Kevin</t>
  </si>
  <si>
    <t>Heayden</t>
  </si>
  <si>
    <t>kheayden@foxboroughrcs.org</t>
  </si>
  <si>
    <t>elucy@foxboroughrcs.org</t>
  </si>
  <si>
    <t>b560-2e27-ec9b</t>
  </si>
  <si>
    <t>FRAMINGHAM</t>
  </si>
  <si>
    <t>Domenic</t>
  </si>
  <si>
    <t>Jannetti</t>
  </si>
  <si>
    <t>508-416-2235</t>
  </si>
  <si>
    <t>djannetti@jpkeefehs.org</t>
  </si>
  <si>
    <t>town.manager@framinghamma.gov</t>
  </si>
  <si>
    <t>c7d6-25d8-52f9</t>
  </si>
  <si>
    <t>GARDNER</t>
  </si>
  <si>
    <t>O'Brien</t>
  </si>
  <si>
    <t>978-632-1000</t>
  </si>
  <si>
    <t>obrienr@gardnerk12.org</t>
  </si>
  <si>
    <t xml:space="preserve">	mayor@gardner-ma.gov</t>
  </si>
  <si>
    <t>LL, KG</t>
  </si>
  <si>
    <t>Yes (LL, MM)</t>
  </si>
  <si>
    <t>6321-b04a-7df9</t>
  </si>
  <si>
    <t>GLOUCESTER</t>
  </si>
  <si>
    <t>Hale</t>
  </si>
  <si>
    <t>978-281-9785</t>
  </si>
  <si>
    <t>mhale@gloucester-ma.gov</t>
  </si>
  <si>
    <t>DPW Director</t>
  </si>
  <si>
    <t>sromeotheken@gloucester-ma.gov</t>
  </si>
  <si>
    <t>Yes (HC)</t>
  </si>
  <si>
    <t>57a6-9da5-d4ac</t>
  </si>
  <si>
    <t>Northeast Environmental</t>
  </si>
  <si>
    <t>GREENFIELD</t>
  </si>
  <si>
    <t>Alan</t>
  </si>
  <si>
    <t>Schmidt</t>
  </si>
  <si>
    <t>413-772-1333</t>
  </si>
  <si>
    <t>alasch1@gpsk12.org</t>
  </si>
  <si>
    <t>mayor@greenfield-ma.gov</t>
  </si>
  <si>
    <t>1/21/2017</t>
  </si>
  <si>
    <t>233a-b31f-d2ca</t>
  </si>
  <si>
    <t>GROTON (GDRSD)</t>
  </si>
  <si>
    <t>978-448-5505 x 209</t>
  </si>
  <si>
    <t xml:space="preserve">	selectmen@townofgroton.org</t>
  </si>
  <si>
    <t>Responded (with Dunstable, DGRSD)</t>
  </si>
  <si>
    <t>High School: no numbers and not in Tool</t>
  </si>
  <si>
    <t>GROVELAND (PRSD)</t>
  </si>
  <si>
    <t>PRSD</t>
  </si>
  <si>
    <t>Gregory</t>
  </si>
  <si>
    <t>Hadden</t>
  </si>
  <si>
    <t>978-241-2792</t>
  </si>
  <si>
    <t>ghadden@prsd.org</t>
  </si>
  <si>
    <t>Selectmen@grovelandma.com</t>
  </si>
  <si>
    <t>Responded (Pentucket RSD)</t>
  </si>
  <si>
    <t>70ea-dbb2-476f</t>
  </si>
  <si>
    <t>HAMILTON (HWSD)</t>
  </si>
  <si>
    <t>HWSD</t>
  </si>
  <si>
    <t>Waldron</t>
  </si>
  <si>
    <t>978-468-8420</t>
  </si>
  <si>
    <t>j.waldron@hwschools.net</t>
  </si>
  <si>
    <t>Director of Facilities and Maintenance</t>
  </si>
  <si>
    <t>mlombardo@hamiltonma.gov</t>
  </si>
  <si>
    <t>Responded (with Wenham)</t>
  </si>
  <si>
    <t>08a2-7a1e-8ba4</t>
  </si>
  <si>
    <t>HAMPDEN (HWRSD)</t>
  </si>
  <si>
    <t>HRWSD</t>
  </si>
  <si>
    <t>Samuel</t>
  </si>
  <si>
    <t>Boyd</t>
  </si>
  <si>
    <t>413-279-3851</t>
  </si>
  <si>
    <t>sboyd@hwrsd.org</t>
  </si>
  <si>
    <t>Maintenance Coordinator</t>
  </si>
  <si>
    <t>selectmen@hampden.org</t>
  </si>
  <si>
    <t>29f5-f643-15bc</t>
  </si>
  <si>
    <t>HAVERHILL</t>
  </si>
  <si>
    <t>Thomas</t>
  </si>
  <si>
    <t>Geary</t>
  </si>
  <si>
    <t>978-374-5725</t>
  </si>
  <si>
    <t>tgeary@haverhill-ps.org</t>
  </si>
  <si>
    <t>Supervisor of Facilities</t>
  </si>
  <si>
    <t>mayor@cityofhaverhill.com</t>
  </si>
  <si>
    <t>79ba-32ce-6f49</t>
  </si>
  <si>
    <t>HAVERHILL WRVT</t>
  </si>
  <si>
    <t>Harry</t>
  </si>
  <si>
    <t>Takesian</t>
  </si>
  <si>
    <t>978-373-4101 x 272</t>
  </si>
  <si>
    <t>htakesian@whittier.tec.ma.us</t>
  </si>
  <si>
    <t>Plant Facilities Manager</t>
  </si>
  <si>
    <t>cd08-a64c-5132</t>
  </si>
  <si>
    <t>HEATH (MTHR)</t>
  </si>
  <si>
    <t>bos@townofheath.org</t>
  </si>
  <si>
    <t>HOLLISTON</t>
  </si>
  <si>
    <t>Keith</t>
  </si>
  <si>
    <t>Buday</t>
  </si>
  <si>
    <t>508-429-0654</t>
  </si>
  <si>
    <t>budayk@holliston.k12.ma.us</t>
  </si>
  <si>
    <t>ritterj@holliston.k12.ma.us</t>
  </si>
  <si>
    <t>KG/RL</t>
  </si>
  <si>
    <t>7fc0-555f-4a1a</t>
  </si>
  <si>
    <t>HOLYOKE</t>
  </si>
  <si>
    <t xml:space="preserve">Steve </t>
  </si>
  <si>
    <t>Zrike</t>
  </si>
  <si>
    <t>413-534-2000</t>
  </si>
  <si>
    <t>szrike@hps.holyoke.ma.us</t>
  </si>
  <si>
    <t>wanderson@hps.holyoke.ma.us</t>
  </si>
  <si>
    <t>11:11</t>
  </si>
  <si>
    <t>d204-60d7-2f8f</t>
  </si>
  <si>
    <t>HOPEDALE</t>
  </si>
  <si>
    <t>Karen</t>
  </si>
  <si>
    <t>Crebase</t>
  </si>
  <si>
    <t>508-634-2220</t>
  </si>
  <si>
    <t>kcrebase@hopedaleschools.org</t>
  </si>
  <si>
    <t>larcudi@hopedale-ma.gov</t>
  </si>
  <si>
    <t>c632-83a2-0ab5</t>
  </si>
  <si>
    <t>HOPKINTON</t>
  </si>
  <si>
    <t>Al</t>
  </si>
  <si>
    <t>Rogers</t>
  </si>
  <si>
    <t>508-497-9870</t>
  </si>
  <si>
    <t>arogers@hopkinton.k12.ma.us</t>
  </si>
  <si>
    <t>Director of Buildings&amp; Grounds</t>
  </si>
  <si>
    <t xml:space="preserve">	nkhumalo@hopkintonma.gov</t>
  </si>
  <si>
    <t>61cc-d048-2e4b</t>
  </si>
  <si>
    <t>HUDSON</t>
  </si>
  <si>
    <t xml:space="preserve">Leonard </t>
  </si>
  <si>
    <t>Belli</t>
  </si>
  <si>
    <t>978-567-6104</t>
  </si>
  <si>
    <t>lpbelli@hudson.k12.ma.us</t>
  </si>
  <si>
    <t>Director Facilities</t>
  </si>
  <si>
    <t>selectmanscottd@gmail.com</t>
  </si>
  <si>
    <t>d783-c41a-6946</t>
  </si>
  <si>
    <t>HULL</t>
  </si>
  <si>
    <t xml:space="preserve">David </t>
  </si>
  <si>
    <t>DeGennaro</t>
  </si>
  <si>
    <t>781-925-4400 x 1115</t>
  </si>
  <si>
    <t>ddegennaro@town.hull.ma.us</t>
  </si>
  <si>
    <t xml:space="preserve">Business Administrator </t>
  </si>
  <si>
    <t>plemnios@town.hull.ma.us</t>
  </si>
  <si>
    <t>c9f5-8bf0-2008</t>
  </si>
  <si>
    <t xml:space="preserve">Granite State </t>
  </si>
  <si>
    <t>LAWRENCE</t>
  </si>
  <si>
    <t>Gary</t>
  </si>
  <si>
    <t>978-857-3159</t>
  </si>
  <si>
    <t>ggary@cityoflawrence.com</t>
  </si>
  <si>
    <t>MayorRivera@cityoflawrence.com</t>
  </si>
  <si>
    <t>BH, HC, MG</t>
  </si>
  <si>
    <t>16:16</t>
  </si>
  <si>
    <t>769f-790e-18d3</t>
  </si>
  <si>
    <t>LEICESTER</t>
  </si>
  <si>
    <t>Souza</t>
  </si>
  <si>
    <t>508-892-7030</t>
  </si>
  <si>
    <t>souzaj@lpsma.net</t>
  </si>
  <si>
    <t>Director of Facilities</t>
  </si>
  <si>
    <t>garzak@leicesterma.org</t>
  </si>
  <si>
    <t>652f-12e2-8818</t>
  </si>
  <si>
    <t>LEXINGTON</t>
  </si>
  <si>
    <t>Stephanie</t>
  </si>
  <si>
    <t>Walsh</t>
  </si>
  <si>
    <t>781-861-6500</t>
  </si>
  <si>
    <t>swalsh@minuteman.org</t>
  </si>
  <si>
    <t>Business Office Clerk</t>
  </si>
  <si>
    <t>townmanager@ci.lexington.ma.us</t>
  </si>
  <si>
    <t>d463-9416-9b0c</t>
  </si>
  <si>
    <t>LEYDEN (PVRSD)</t>
  </si>
  <si>
    <t>leydenselectboard@crocker.com</t>
  </si>
  <si>
    <t>LITTLETON</t>
  </si>
  <si>
    <t>978-540-2508</t>
  </si>
  <si>
    <t>smark@littletonps.org</t>
  </si>
  <si>
    <t>JGibbons@Littletonma.org</t>
  </si>
  <si>
    <t>e64c-c809-70bd</t>
  </si>
  <si>
    <t>LONGMEADOW</t>
  </si>
  <si>
    <t>Dan</t>
  </si>
  <si>
    <t>McCarthy</t>
  </si>
  <si>
    <t>413-567-3400</t>
  </si>
  <si>
    <t>dmccarthy@longmeadow.org</t>
  </si>
  <si>
    <t>Townhall@longmeadow.org</t>
  </si>
  <si>
    <t>KG, UGs</t>
  </si>
  <si>
    <t>86cc-b06e-fd11</t>
  </si>
  <si>
    <t>But question about a potential error at the lab</t>
  </si>
  <si>
    <t>LOWELL</t>
  </si>
  <si>
    <t>Murphy</t>
  </si>
  <si>
    <t>978-674-4400</t>
  </si>
  <si>
    <t>kmurphy@lowellma.gov</t>
  </si>
  <si>
    <t>City Manager</t>
  </si>
  <si>
    <t>13:13</t>
  </si>
  <si>
    <t>6909-d04a-095e</t>
  </si>
  <si>
    <t>LYNN</t>
  </si>
  <si>
    <t>Smart</t>
  </si>
  <si>
    <t>781-586-6719</t>
  </si>
  <si>
    <t>jsmart@lynnma.gov</t>
  </si>
  <si>
    <t>mdonovan@lynnma.gov</t>
  </si>
  <si>
    <t>25:25</t>
  </si>
  <si>
    <t>cf4f-02cb-f5d5</t>
  </si>
  <si>
    <t>MANCHESTER  (MERSD)</t>
  </si>
  <si>
    <t>federspielg@manchester.ma.us</t>
  </si>
  <si>
    <t>Responded (with Essex)</t>
  </si>
  <si>
    <t>2c30-a300-a3b3</t>
  </si>
  <si>
    <t>MARION (ORR)</t>
  </si>
  <si>
    <t>ORR</t>
  </si>
  <si>
    <t>Jones</t>
  </si>
  <si>
    <t>508-758-2772 x 1954</t>
  </si>
  <si>
    <t>ejones@orr.mec.edu</t>
  </si>
  <si>
    <t>pdawson@marionma.gov</t>
  </si>
  <si>
    <t>Responded (with Matapoisset)</t>
  </si>
  <si>
    <t>73f2-a117-25d0</t>
  </si>
  <si>
    <t>MARLBOROUGH</t>
  </si>
  <si>
    <t>Gregg</t>
  </si>
  <si>
    <t>Lefter</t>
  </si>
  <si>
    <t>508-263-9657</t>
  </si>
  <si>
    <t>glefter@assabet.org</t>
  </si>
  <si>
    <t>mayor@marlborough-ma.gov</t>
  </si>
  <si>
    <t>3d62-0b92-e146</t>
  </si>
  <si>
    <t>MARSHFIELD</t>
  </si>
  <si>
    <t>Anthony</t>
  </si>
  <si>
    <t>Bullock</t>
  </si>
  <si>
    <t>781-254-0353</t>
  </si>
  <si>
    <t>tbullock@mpsd.org</t>
  </si>
  <si>
    <t>Asst. Facilities Manager</t>
  </si>
  <si>
    <t>rlongo@townofmarshfield.org</t>
  </si>
  <si>
    <t>5142-5df8-4d94</t>
  </si>
  <si>
    <t>MATTAPOISETT  (ORR)</t>
  </si>
  <si>
    <t>mgagne@mattapoisett.net</t>
  </si>
  <si>
    <t>Responded (with Marion)</t>
  </si>
  <si>
    <t>1311-dc1a-0cf4</t>
  </si>
  <si>
    <t>MEDWAY</t>
  </si>
  <si>
    <t xml:space="preserve">Tom </t>
  </si>
  <si>
    <t>Holder</t>
  </si>
  <si>
    <t>508-533-3275</t>
  </si>
  <si>
    <t>tholder@wayland.ma.us</t>
  </si>
  <si>
    <t>Town Administrator</t>
  </si>
  <si>
    <t xml:space="preserve">	mboynton@townofmedway.org</t>
  </si>
  <si>
    <t>10ff-c90a-6e6c</t>
  </si>
  <si>
    <t>MELROSE</t>
  </si>
  <si>
    <t>Dixon</t>
  </si>
  <si>
    <t>781-979-4172</t>
  </si>
  <si>
    <t>sdixon@cityofmelrose.org</t>
  </si>
  <si>
    <t>Associate City Engineer</t>
  </si>
  <si>
    <t>melrosemayor@cityofmelrose.org</t>
  </si>
  <si>
    <t>8b76-ab48-3a85</t>
  </si>
  <si>
    <t>DEP sent email 11/3/16, school responded immediately</t>
  </si>
  <si>
    <t>MERRIMAC (PRSD)</t>
  </si>
  <si>
    <t>selectmen@townofmerrimac.com</t>
  </si>
  <si>
    <t>METHUEN</t>
  </si>
  <si>
    <t>Bruce</t>
  </si>
  <si>
    <t>Stella</t>
  </si>
  <si>
    <t>978-722-6027</t>
  </si>
  <si>
    <t>bestella@methuen.k12.ma.us</t>
  </si>
  <si>
    <t>snzanni@ci.methuen.ma.us, JRMolori@ci.methuen.ma.us</t>
  </si>
  <si>
    <t>f6d7-0cbd-09f1</t>
  </si>
  <si>
    <t>MIDDLEBOROUGH</t>
  </si>
  <si>
    <t>Silva</t>
  </si>
  <si>
    <t>508-946-2482</t>
  </si>
  <si>
    <t>jsilva@middleborough.com</t>
  </si>
  <si>
    <t>Project Manager/Amory Engineers, P.C. for Town of Middleborough</t>
  </si>
  <si>
    <t>rnunes@middleborough.com</t>
  </si>
  <si>
    <t>9edd-73ec-0253</t>
  </si>
  <si>
    <t>MILLBURY</t>
  </si>
  <si>
    <t>Richard</t>
  </si>
  <si>
    <t>Bedard</t>
  </si>
  <si>
    <t>508-865-9501</t>
  </si>
  <si>
    <t>rbedard@millburyschools.org</t>
  </si>
  <si>
    <t>School Business Manager</t>
  </si>
  <si>
    <t xml:space="preserve">	bspain@townofmillbury.net</t>
  </si>
  <si>
    <t>3b90-a65b-0d5d</t>
  </si>
  <si>
    <t>Aquarion will help/ Sent DEP email 9/13</t>
  </si>
  <si>
    <t>MONSON</t>
  </si>
  <si>
    <t>Don</t>
  </si>
  <si>
    <t>413-858-5218</t>
  </si>
  <si>
    <t>smithd@monsonschools.com</t>
  </si>
  <si>
    <t>Director of Business and Facilities</t>
  </si>
  <si>
    <t>ebrassard@monson-ma.gov</t>
  </si>
  <si>
    <t>5af7-61e6-054e</t>
  </si>
  <si>
    <t>NAHANT</t>
  </si>
  <si>
    <t>Philip</t>
  </si>
  <si>
    <t>Devaux</t>
  </si>
  <si>
    <t>781-581-1600</t>
  </si>
  <si>
    <t>tpierantozzi@johnsonschool.org</t>
  </si>
  <si>
    <t>jchelgren@nahant.org</t>
  </si>
  <si>
    <t>7ab4-2dcb-1385</t>
  </si>
  <si>
    <t>NEW BEDFORD</t>
  </si>
  <si>
    <t>Oliveira</t>
  </si>
  <si>
    <t>508-997-4511</t>
  </si>
  <si>
    <t>aoliveira@newbedfordschools.org</t>
  </si>
  <si>
    <t>Jon.Mitchell@newbedford-ma.gov</t>
  </si>
  <si>
    <t>24:24</t>
  </si>
  <si>
    <t>ba85-737b-7ee4</t>
  </si>
  <si>
    <t>Town hired p/t employee to develop maps, SPs and to coordinate sampling 10/3</t>
  </si>
  <si>
    <t>NEW BEDFORD-ADMC</t>
  </si>
  <si>
    <t>Alice</t>
  </si>
  <si>
    <t>Sheehan</t>
  </si>
  <si>
    <t>417-880-3377</t>
  </si>
  <si>
    <t>alicesheehan@almadelmar.org</t>
  </si>
  <si>
    <t xml:space="preserve"> Director of Operations &amp; Finance</t>
  </si>
  <si>
    <t>8695-0da7-9cbf</t>
  </si>
  <si>
    <t>NORFOLK</t>
  </si>
  <si>
    <t>Haffner</t>
  </si>
  <si>
    <t>508-272-1785</t>
  </si>
  <si>
    <t>haffner@norfolk.k12.ma.us</t>
  </si>
  <si>
    <t>lehan@virtualnorfolk.org</t>
  </si>
  <si>
    <t>1985-0e3d-73d8</t>
  </si>
  <si>
    <t>NORTH ADAMS</t>
  </si>
  <si>
    <t>Nancy</t>
  </si>
  <si>
    <t>Ziter</t>
  </si>
  <si>
    <t>413-776-1626</t>
  </si>
  <si>
    <t>nziter@napsk12.org</t>
  </si>
  <si>
    <t>mayor_alcombright@northadams-ma.gov</t>
  </si>
  <si>
    <t>MI, KG</t>
  </si>
  <si>
    <t>eb09-f9ec-f866</t>
  </si>
  <si>
    <t>NORTH ADAMS-CMVT</t>
  </si>
  <si>
    <t>Brosnan</t>
  </si>
  <si>
    <t>413-663-5383, Ext 101</t>
  </si>
  <si>
    <t>jbrosnan@mccanntech.org</t>
  </si>
  <si>
    <t>60f7-cccb-820b</t>
  </si>
  <si>
    <t>Sampling Completed</t>
  </si>
  <si>
    <t>NORTH ANDOVER</t>
  </si>
  <si>
    <t>Foster</t>
  </si>
  <si>
    <t>978-685-0950 x 41306</t>
  </si>
  <si>
    <t>sfoster@northandoverma.gov</t>
  </si>
  <si>
    <t>townmanager@townofnorthandover.com</t>
  </si>
  <si>
    <t>57e4-10bb-fff6</t>
  </si>
  <si>
    <t>sampling 9/21-27. Also results for an Early Childhood Center not in our file</t>
  </si>
  <si>
    <t>NORTH ATTLEBOROUGH</t>
  </si>
  <si>
    <t>Kyle</t>
  </si>
  <si>
    <t>Kummer</t>
  </si>
  <si>
    <t>508-643-2100 x 200</t>
  </si>
  <si>
    <t>kylekummer@naschools.net</t>
  </si>
  <si>
    <t>Director of Facilities and Grounds</t>
  </si>
  <si>
    <t>mfisher@nattleboro.com</t>
  </si>
  <si>
    <t>87ee-0492-9688</t>
  </si>
  <si>
    <t>NORTH BROOKFIELD</t>
  </si>
  <si>
    <t>Mooney</t>
  </si>
  <si>
    <t>508-867-7131</t>
  </si>
  <si>
    <t>jmooney@nbschools.org</t>
  </si>
  <si>
    <t>selectmen@northbrookfield.net</t>
  </si>
  <si>
    <t>yes (LL, KG)</t>
  </si>
  <si>
    <t>15f9-8bdd-079f</t>
  </si>
  <si>
    <t>NORTHBRIDGE</t>
  </si>
  <si>
    <t>Paul</t>
  </si>
  <si>
    <t>Halacy</t>
  </si>
  <si>
    <t>508-234-9440</t>
  </si>
  <si>
    <t>phalacy@nps.org</t>
  </si>
  <si>
    <t>townmanager@norbridgemass.org</t>
  </si>
  <si>
    <t>360a-33ce-d419</t>
  </si>
  <si>
    <t>Nashoba/Alpha</t>
  </si>
  <si>
    <t>NORTHFIELD (PVRSD)</t>
  </si>
  <si>
    <t>gzukowski@townnfld.com</t>
  </si>
  <si>
    <t>NORTON</t>
  </si>
  <si>
    <t>wade</t>
  </si>
  <si>
    <t>lizotte</t>
  </si>
  <si>
    <t>508-285-0100 x 2</t>
  </si>
  <si>
    <t>wadelizotte@norton.k12.ma.us</t>
  </si>
  <si>
    <t>myunits@nortonmaus.com</t>
  </si>
  <si>
    <t>49b6-6aaf-5932</t>
  </si>
  <si>
    <t>NORWELL</t>
  </si>
  <si>
    <t>Warren</t>
  </si>
  <si>
    <t>MacCallum</t>
  </si>
  <si>
    <t>781-659-8800</t>
  </si>
  <si>
    <t>warren.maccallum@norwellschools.org</t>
  </si>
  <si>
    <t>Director of Operations</t>
  </si>
  <si>
    <t>phechenbleikner@townofnorwell.net</t>
  </si>
  <si>
    <t>06fc-9410-df6b</t>
  </si>
  <si>
    <t>OAK BLUFFS  (MVYPS)</t>
  </si>
  <si>
    <t>rwhritenour@oakbluffsma.gov</t>
  </si>
  <si>
    <t>ORANGE</t>
  </si>
  <si>
    <t>Daniel</t>
  </si>
  <si>
    <t>Haynes</t>
  </si>
  <si>
    <t>978-544-2920</t>
  </si>
  <si>
    <t>dhaynes@rcmahar.org</t>
  </si>
  <si>
    <t>admin@TownofOrange.org</t>
  </si>
  <si>
    <t>1bbf-23a6-703d</t>
  </si>
  <si>
    <t>PEABODY</t>
  </si>
  <si>
    <t>Bettencourt</t>
  </si>
  <si>
    <t>978-538-5702</t>
  </si>
  <si>
    <t>edward.bettencourt@peabody-ma.gov</t>
  </si>
  <si>
    <t>Mayor</t>
  </si>
  <si>
    <t>Edward.bettencourt@peabody-ma.gov</t>
  </si>
  <si>
    <t>820a-490c-ba2c</t>
  </si>
  <si>
    <t>PELHAM  (ARPS)</t>
  </si>
  <si>
    <t>TownOfPelham@comcast.net</t>
  </si>
  <si>
    <t>Responded (with Amherst)</t>
  </si>
  <si>
    <t>Amherst DPW/Wtr. Div.</t>
  </si>
  <si>
    <t>PEMBROKE</t>
  </si>
  <si>
    <t>Erin</t>
  </si>
  <si>
    <t>Obey</t>
  </si>
  <si>
    <t>781-829-0832</t>
  </si>
  <si>
    <t>eobey@pembrokek12.org</t>
  </si>
  <si>
    <t>billb138@verizon.net</t>
  </si>
  <si>
    <t>0bfc-6fcc-6ce6</t>
  </si>
  <si>
    <t>PEPPERELL (NMRSD)</t>
  </si>
  <si>
    <t>NMRSD</t>
  </si>
  <si>
    <t>Oscar</t>
  </si>
  <si>
    <t>Hills</t>
  </si>
  <si>
    <t>978-597-8713</t>
  </si>
  <si>
    <t>ohills@nmrsd.org</t>
  </si>
  <si>
    <t xml:space="preserve">	mandrews@town.pepperell.ma.us</t>
  </si>
  <si>
    <t>fe15-f441-f2cf</t>
  </si>
  <si>
    <t>PROVINCETOWN</t>
  </si>
  <si>
    <t>Betty</t>
  </si>
  <si>
    <t>White</t>
  </si>
  <si>
    <t>508-487-5205</t>
  </si>
  <si>
    <t>bwhite@provincetownschools.com</t>
  </si>
  <si>
    <t>Adm. Assist. to Superintendent for Business and Finance</t>
  </si>
  <si>
    <t>slynn@provincetown-ma.gov</t>
  </si>
  <si>
    <t>response (can't until fall) HVAC renovation</t>
  </si>
  <si>
    <t>8eda-2f51-50ae</t>
  </si>
  <si>
    <t>QUINCY</t>
  </si>
  <si>
    <t>Cunniff</t>
  </si>
  <si>
    <t>857-939-9419 (mobile), 617-376-1542 (office)</t>
  </si>
  <si>
    <t>gcunniff@quincyma.gov</t>
  </si>
  <si>
    <t>Director-Public Bldgs. Dept.--City of Quincy</t>
  </si>
  <si>
    <t>mayorkoch@quincyma.gov</t>
  </si>
  <si>
    <t>20:20</t>
  </si>
  <si>
    <t>yes - 9/20</t>
  </si>
  <si>
    <t>ae6a-5584-868c</t>
  </si>
  <si>
    <t>ROCKLAND</t>
  </si>
  <si>
    <t>Colleen</t>
  </si>
  <si>
    <t>Forlizzi</t>
  </si>
  <si>
    <t>781-878-3893</t>
  </si>
  <si>
    <t>cforlizzi@rocklandschools.org</t>
  </si>
  <si>
    <t>achiocca@rockland-ma.gov</t>
  </si>
  <si>
    <t>19a1-1c7a-4c06</t>
  </si>
  <si>
    <t>SALEM</t>
  </si>
  <si>
    <t>L'Heureux</t>
  </si>
  <si>
    <t>978-740-1143</t>
  </si>
  <si>
    <t>paullheureux@salemk12.org</t>
  </si>
  <si>
    <t>Director Building Services</t>
  </si>
  <si>
    <t>mayor@salem.com</t>
  </si>
  <si>
    <t>12:12</t>
  </si>
  <si>
    <t>cb91-adc5-ddd8</t>
  </si>
  <si>
    <t>SALEM-CSSA</t>
  </si>
  <si>
    <t>Kristine</t>
  </si>
  <si>
    <t>Sgambellone</t>
  </si>
  <si>
    <t>978-744-2105</t>
  </si>
  <si>
    <t>ksgambellone@salemacademycs.org</t>
  </si>
  <si>
    <t>5508-e822-1d67</t>
  </si>
  <si>
    <t>SANDWICH</t>
  </si>
  <si>
    <t>Jon</t>
  </si>
  <si>
    <t>Nelson</t>
  </si>
  <si>
    <t>774-205-5433</t>
  </si>
  <si>
    <t>jrnelson@sandwich.k12.ma.us</t>
  </si>
  <si>
    <t>179e-cb2a-ca56</t>
  </si>
  <si>
    <t>SAUGUS</t>
  </si>
  <si>
    <t>Lori</t>
  </si>
  <si>
    <t>Gallivan</t>
  </si>
  <si>
    <t>781-231-5000 x 116</t>
  </si>
  <si>
    <t>lgallivan@saugus.k12.ma.us</t>
  </si>
  <si>
    <t>Executive Director</t>
  </si>
  <si>
    <t>scrabtree@saugus-ma.gov</t>
  </si>
  <si>
    <t>85cc-904f-9a2d</t>
  </si>
  <si>
    <t>SCITUATE</t>
  </si>
  <si>
    <t>Dillon</t>
  </si>
  <si>
    <t>781-385-1418</t>
  </si>
  <si>
    <t>rdillon@scit.org</t>
  </si>
  <si>
    <t>pvinchesi@town.scituate.ma.us</t>
  </si>
  <si>
    <t>26ab-17d4-9c6e</t>
  </si>
  <si>
    <t>SHARON</t>
  </si>
  <si>
    <t>Rory</t>
  </si>
  <si>
    <t>Marty</t>
  </si>
  <si>
    <t>781-784-1548</t>
  </si>
  <si>
    <t>r_marty@sharon.k12.ma.us</t>
  </si>
  <si>
    <t>Director of Maintenance and Operations</t>
  </si>
  <si>
    <t>bpuritz@townofsharon.org</t>
  </si>
  <si>
    <t>TK, LL, MG</t>
  </si>
  <si>
    <t>4289-829f-9cab</t>
  </si>
  <si>
    <t>SP for Middle School which is not in masterfile. Sampling started 10/14 &amp; 10/15</t>
  </si>
  <si>
    <t>SHELBURNE FALLS (MTHR)</t>
  </si>
  <si>
    <t>Eurofins/Phoenix</t>
  </si>
  <si>
    <t>SHIRLEY (ASRSD)</t>
  </si>
  <si>
    <t xml:space="preserve">	pgarvin@shirley-ma.gov</t>
  </si>
  <si>
    <t>Responded (with Ayer)</t>
  </si>
  <si>
    <t>6988-2d57-ec95</t>
  </si>
  <si>
    <t>Granite State/Alpha Analytical</t>
  </si>
  <si>
    <t>SOMERSET</t>
  </si>
  <si>
    <t>Lindsey</t>
  </si>
  <si>
    <t>Albernaz</t>
  </si>
  <si>
    <t>508-324-3100</t>
  </si>
  <si>
    <t>albernazl@sbregional.org</t>
  </si>
  <si>
    <t>dluttrell@town.somerset.ma.us</t>
  </si>
  <si>
    <t>0211-eaeb-63c0</t>
  </si>
  <si>
    <t>SOUTHAMPTON (HR-K12)</t>
  </si>
  <si>
    <t>selectmen@town.southampton.ma.us</t>
  </si>
  <si>
    <t/>
  </si>
  <si>
    <t>SOUTHBOROUGH (NSD)</t>
  </si>
  <si>
    <t>NSD</t>
  </si>
  <si>
    <t>Christine</t>
  </si>
  <si>
    <t>Johnson</t>
  </si>
  <si>
    <t>508-486-5115</t>
  </si>
  <si>
    <t>cjohnson@nsboro.k12.ma.us</t>
  </si>
  <si>
    <t>pcimino@southboroughma.com</t>
  </si>
  <si>
    <t>Responded (N-S district)</t>
  </si>
  <si>
    <t>704b-5114-ec9d</t>
  </si>
  <si>
    <t>SOUTHWICK</t>
  </si>
  <si>
    <t>Presnal</t>
  </si>
  <si>
    <t>413-569-5391</t>
  </si>
  <si>
    <t>spresnal@stgrsd.org</t>
  </si>
  <si>
    <t>kstinehart@southwickma.net</t>
  </si>
  <si>
    <t>yes (KG 2 of 3)</t>
  </si>
  <si>
    <t>d60f-93e3-6a41</t>
  </si>
  <si>
    <t>SPRINGFIELD</t>
  </si>
  <si>
    <t>Lynn</t>
  </si>
  <si>
    <t>Rose</t>
  </si>
  <si>
    <t>413-522-5525</t>
  </si>
  <si>
    <t>lrose@springfieldcityhall.com</t>
  </si>
  <si>
    <t>Executive Director, Springfield Dept. Parks, Buildings, Recreation, Management</t>
  </si>
  <si>
    <t>dsarno@springfieldcityhall.com</t>
  </si>
  <si>
    <t>51:51</t>
  </si>
  <si>
    <t>20d2-d383-fc0f</t>
  </si>
  <si>
    <t>SUDBURY</t>
  </si>
  <si>
    <t>Rossley</t>
  </si>
  <si>
    <t>978-443-9961 x 2371</t>
  </si>
  <si>
    <t>kevin_rossley@lsrhs.net</t>
  </si>
  <si>
    <t>bilodeaum@sudbury.ma.us</t>
  </si>
  <si>
    <t>6a4b-67f2-b606</t>
  </si>
  <si>
    <t>SUNDERLAND (FRSU)</t>
  </si>
  <si>
    <t>selectmen@townofsunderland.us</t>
  </si>
  <si>
    <t>TAUNTON</t>
  </si>
  <si>
    <t xml:space="preserve">John </t>
  </si>
  <si>
    <t>Cabral</t>
  </si>
  <si>
    <t>508-821-1235</t>
  </si>
  <si>
    <t>jcabral@tauntonschools.org</t>
  </si>
  <si>
    <t>agracia@taunton-ma.gov</t>
  </si>
  <si>
    <t>84a2-88c8-a294</t>
  </si>
  <si>
    <t xml:space="preserve">TAUNTON-BPRTS </t>
  </si>
  <si>
    <t>Poelaert</t>
  </si>
  <si>
    <t>508-823-5151 x 336</t>
  </si>
  <si>
    <t>spoelaert@bptech.org</t>
  </si>
  <si>
    <t>ahaggerty@taunton-ma.gov</t>
  </si>
  <si>
    <t>c6ec-c791-c448</t>
  </si>
  <si>
    <t>TEWKSBURY</t>
  </si>
  <si>
    <t>Sheri</t>
  </si>
  <si>
    <t>Matthews</t>
  </si>
  <si>
    <t>978-640-7800 x 216</t>
  </si>
  <si>
    <t>smatthews@tewksbury.k12.ma.us</t>
  </si>
  <si>
    <t>rmontuori@town.tewksbury.ma.us</t>
  </si>
  <si>
    <t>Responded (call)</t>
  </si>
  <si>
    <t>alfe-b86e-a3aa</t>
  </si>
  <si>
    <t>TISBURY  (MVYPS)</t>
  </si>
  <si>
    <t>jgrande@tisburyma.gov</t>
  </si>
  <si>
    <t>TOWNSEND (NMRSD)</t>
  </si>
  <si>
    <t xml:space="preserve">	asheehan@townsend.ma.us</t>
  </si>
  <si>
    <t>TRURO</t>
  </si>
  <si>
    <t>Fernando</t>
  </si>
  <si>
    <t>Hernandez</t>
  </si>
  <si>
    <t>508-487-1558 x 237</t>
  </si>
  <si>
    <t>hernandezf@truromass.org</t>
  </si>
  <si>
    <t>Head Custodian</t>
  </si>
  <si>
    <t>rpalmer@truro-ma.gov</t>
  </si>
  <si>
    <t>8bd1-bdc0-2a32</t>
  </si>
  <si>
    <t>TYNGSBOROUGH</t>
  </si>
  <si>
    <t>Trearchis</t>
  </si>
  <si>
    <t>978-649-5763</t>
  </si>
  <si>
    <t>george.trearchis@tyngsboroughps.org</t>
  </si>
  <si>
    <t>Supervisor of Buildings and Grounds, Tyngsboro Public Schools</t>
  </si>
  <si>
    <t>cbellavance@tyngsboroughma.gov</t>
  </si>
  <si>
    <t>0c74-a11f-00b9</t>
  </si>
  <si>
    <t>TYNGSBOROUGH-Valley Collaborative</t>
  </si>
  <si>
    <t>UXBRIDGE</t>
  </si>
  <si>
    <t xml:space="preserve">Mike </t>
  </si>
  <si>
    <t>Belanger</t>
  </si>
  <si>
    <t>508-962-8668</t>
  </si>
  <si>
    <t>Mbelanger@uxbridge.k12.ma.us</t>
  </si>
  <si>
    <t xml:space="preserve">	dgenereux@uxbridge-ma.gov</t>
  </si>
  <si>
    <t>ac26-4edb-0730</t>
  </si>
  <si>
    <t>WAKEFIELD</t>
  </si>
  <si>
    <t>Maria</t>
  </si>
  <si>
    <t>Monks Serrao</t>
  </si>
  <si>
    <t>781-246-6400</t>
  </si>
  <si>
    <t>maria.serrao@wpsk12.org</t>
  </si>
  <si>
    <t>Director of Facilities and Transportation</t>
  </si>
  <si>
    <t>ef0d-5235-dfb8</t>
  </si>
  <si>
    <t>WARE</t>
  </si>
  <si>
    <t>Christopher</t>
  </si>
  <si>
    <t>Dymon</t>
  </si>
  <si>
    <t>413-537-4700</t>
  </si>
  <si>
    <t>cdymon@ware.k12.ma.us</t>
  </si>
  <si>
    <t>sbeckley@townofware.com</t>
  </si>
  <si>
    <t>KG/HC</t>
  </si>
  <si>
    <t>a169-2941-7dda</t>
  </si>
  <si>
    <t>WAREHAM</t>
  </si>
  <si>
    <t>Kimberly</t>
  </si>
  <si>
    <t>Shaver-Hood</t>
  </si>
  <si>
    <t>508-291-3500</t>
  </si>
  <si>
    <t>kshaver-hood@wareham.k12.ma.us</t>
  </si>
  <si>
    <t>dsullivan@wareham.ma.us</t>
  </si>
  <si>
    <t>0073-8b04-f085</t>
  </si>
  <si>
    <t>WARREN (QRSD)</t>
  </si>
  <si>
    <t>QRSD</t>
  </si>
  <si>
    <t>Camie</t>
  </si>
  <si>
    <t>Lamica</t>
  </si>
  <si>
    <t>413-436-9256 x 1008</t>
  </si>
  <si>
    <t>clamica@quaboagrsd.org</t>
  </si>
  <si>
    <t>warrenselectmen@comcast.net</t>
  </si>
  <si>
    <t>Responded (QRSD</t>
  </si>
  <si>
    <t>yes (KG)</t>
  </si>
  <si>
    <t>e35b-fc49-f2f7</t>
  </si>
  <si>
    <t>WARWICK (PVRSD)</t>
  </si>
  <si>
    <t>narguimbau@town.warwick.ma.us</t>
  </si>
  <si>
    <t>WATERTOWN</t>
  </si>
  <si>
    <t>Romanelli</t>
  </si>
  <si>
    <t>617-926-7716</t>
  </si>
  <si>
    <t>stephen.romanelli@watertown.k12.ma.us</t>
  </si>
  <si>
    <t>mdriscoll@watertown-ma.gov</t>
  </si>
  <si>
    <t>5ec4-be91-4ed8</t>
  </si>
  <si>
    <t>Sent DEP email 9/13</t>
  </si>
  <si>
    <t>WAYLAND</t>
  </si>
  <si>
    <t>Keefe</t>
  </si>
  <si>
    <t>508-358-3786</t>
  </si>
  <si>
    <t>bkeefe@wayland.ma.us</t>
  </si>
  <si>
    <t>Public Buildings Director, Town of Wayland</t>
  </si>
  <si>
    <t>selectmen@wayland.ma.us</t>
  </si>
  <si>
    <t>e588-80fb-8dbf</t>
  </si>
  <si>
    <t>WEBSTER</t>
  </si>
  <si>
    <t>Ted</t>
  </si>
  <si>
    <t>Avlas</t>
  </si>
  <si>
    <t>508-945-0104 x 12</t>
  </si>
  <si>
    <t>tavs@webster-schools.org</t>
  </si>
  <si>
    <t>Acting Town Administrator</t>
  </si>
  <si>
    <t xml:space="preserve">	jmcauliffe@webster-ma.gov</t>
  </si>
  <si>
    <t>dfce-5b0f-79f4</t>
  </si>
  <si>
    <t>Microbac</t>
  </si>
  <si>
    <t>WENHAM  (HWSD)</t>
  </si>
  <si>
    <t>plombardi@wenhamma.gov</t>
  </si>
  <si>
    <t>Responded (with Hamilton)</t>
  </si>
  <si>
    <t>WEST BROOKFIELD (QRSD)</t>
  </si>
  <si>
    <t>jbarry@wbrookfield.co</t>
  </si>
  <si>
    <t>Responded (QRSD)</t>
  </si>
  <si>
    <t>WEST NEWBURY (PRSD)</t>
  </si>
  <si>
    <t>selectmen@wnewbury.org</t>
  </si>
  <si>
    <t>WEST SPRINGFIELD</t>
  </si>
  <si>
    <t>McQuillan</t>
  </si>
  <si>
    <t>413-263-3299</t>
  </si>
  <si>
    <t>mcquillan@wsps.org</t>
  </si>
  <si>
    <t>Asst. Superintendent</t>
  </si>
  <si>
    <t>esullivan@west-springfield.ma.us</t>
  </si>
  <si>
    <t>313e-f657-5715</t>
  </si>
  <si>
    <t>WESTBOROUGH</t>
  </si>
  <si>
    <t>Kelly</t>
  </si>
  <si>
    <t>Giacopello</t>
  </si>
  <si>
    <t>508-836-7700 x 2025</t>
  </si>
  <si>
    <t>Giacopellok@westboroughk12.org</t>
  </si>
  <si>
    <t>Director of Finance &amp; Administration</t>
  </si>
  <si>
    <t xml:space="preserve">	jmalloy@town.westborough.ma.us</t>
  </si>
  <si>
    <t>dd95-03e7-6603</t>
  </si>
  <si>
    <t>WESTHAMPTON (HR-K12)</t>
  </si>
  <si>
    <t>westhamptontownhall@comcast.net</t>
  </si>
  <si>
    <t>WESTPORT</t>
  </si>
  <si>
    <t>Dr. Ann</t>
  </si>
  <si>
    <t>Dargon</t>
  </si>
  <si>
    <t>508-636-1140 x 4001</t>
  </si>
  <si>
    <t>adargon@westportschools.org</t>
  </si>
  <si>
    <t>Head of Maintenance</t>
  </si>
  <si>
    <t>kingt@westport-ma.gov</t>
  </si>
  <si>
    <t>729c-d7e1-87f2</t>
  </si>
  <si>
    <t>WHATELY (FRSU)</t>
  </si>
  <si>
    <t>townadmin@whately.org</t>
  </si>
  <si>
    <t>WILBRAHAM (HWRSD)</t>
  </si>
  <si>
    <t>HWRSD</t>
  </si>
  <si>
    <t>selectmen@wilbraham-ma.gov</t>
  </si>
  <si>
    <t>WILMINGTON</t>
  </si>
  <si>
    <t>Hooper</t>
  </si>
  <si>
    <t>978-658-3017</t>
  </si>
  <si>
    <t>ghooper@wilmingtonma.gov</t>
  </si>
  <si>
    <t>Superintendent of Public Buildings</t>
  </si>
  <si>
    <t>manager@town.wilmington.ma.us</t>
  </si>
  <si>
    <t>yes (HC, BH)</t>
  </si>
  <si>
    <t>f51d-0aac-243b</t>
  </si>
  <si>
    <t>WINCHENDON</t>
  </si>
  <si>
    <t>978-297-0031</t>
  </si>
  <si>
    <t>jmurphy@winchendonk12.org</t>
  </si>
  <si>
    <t xml:space="preserve">	manager@town.winchendon.ma.us</t>
  </si>
  <si>
    <t>TJM</t>
  </si>
  <si>
    <t>Completed problem submitting</t>
  </si>
  <si>
    <t>30b2-8f47-bf0b</t>
  </si>
  <si>
    <t>WINTHROP</t>
  </si>
  <si>
    <t xml:space="preserve">Richard </t>
  </si>
  <si>
    <t xml:space="preserve">Cifuni </t>
  </si>
  <si>
    <t>617-846-1301</t>
  </si>
  <si>
    <t>rcifuni@town.winthrop.ma.us</t>
  </si>
  <si>
    <t xml:space="preserve">Public Facilities Manager </t>
  </si>
  <si>
    <t>townmanager@town.winthrop.ma.us</t>
  </si>
  <si>
    <t>Yes (MG)</t>
  </si>
  <si>
    <t>7c98-55b2-5ea7</t>
  </si>
  <si>
    <t>WORCESTER</t>
  </si>
  <si>
    <t>Sabrina/Josh</t>
  </si>
  <si>
    <t>Snyder/Watkins</t>
  </si>
  <si>
    <t>508-799-3151/978-399-4442</t>
  </si>
  <si>
    <t>Snyder@worc.k12.ma.us/watkinsj@worc.k12.ma.us</t>
  </si>
  <si>
    <t>Coordinator of Plant Support Services/Lead &amp; Copper Liaison</t>
  </si>
  <si>
    <t xml:space="preserve">	CityManager@worcesterma.gov</t>
  </si>
  <si>
    <t>52:52</t>
  </si>
  <si>
    <t>Yes (LL and ?)</t>
  </si>
  <si>
    <t>be6e-d2bf-4f12</t>
  </si>
  <si>
    <t>Phoenix/Alpha Analytical</t>
  </si>
  <si>
    <t>WORCESTER-CS-AKF</t>
  </si>
  <si>
    <t xml:space="preserve">Donaghy </t>
  </si>
  <si>
    <t>508-854-8400 x 2664</t>
  </si>
  <si>
    <t>b75d-2a6f-9792</t>
  </si>
  <si>
    <t>WORTHINGTON (HR-K12)</t>
  </si>
  <si>
    <t>WRENTHAM</t>
  </si>
  <si>
    <t>Gillespie</t>
  </si>
  <si>
    <t>508-384-5430</t>
  </si>
  <si>
    <t>gillespieg@wrenthamschools.org</t>
  </si>
  <si>
    <t>Maintenance Supervisor</t>
  </si>
  <si>
    <t>65ce-4632-9939</t>
  </si>
  <si>
    <t>YARMOUTH  (DYR)</t>
  </si>
  <si>
    <t>Facility Manager</t>
  </si>
  <si>
    <t>whinchey@yarmouth.ma.us</t>
  </si>
  <si>
    <t>Responded (with Dennis)</t>
  </si>
  <si>
    <t>a4eb-3438-0766</t>
  </si>
  <si>
    <t>CHILMARK (MVYPS)</t>
  </si>
  <si>
    <t>execsec@chilmarkma.gov</t>
  </si>
  <si>
    <t>Out of Program</t>
  </si>
  <si>
    <t>out</t>
  </si>
  <si>
    <t>Out of Program (LCR concerns)</t>
  </si>
  <si>
    <t>WEST TISBURY  (MVYPS)</t>
  </si>
  <si>
    <t>townadmin@westtisbury-ma.gov</t>
  </si>
  <si>
    <t>ASHBY (NMRSD)</t>
  </si>
  <si>
    <t>tabos@ashbyma.gov</t>
  </si>
  <si>
    <t>Out of program</t>
  </si>
  <si>
    <t>DEP sent letter 10/27/16</t>
  </si>
  <si>
    <t>BOLTON (NRSD)</t>
  </si>
  <si>
    <t>NRSD</t>
  </si>
  <si>
    <t>Jeff</t>
  </si>
  <si>
    <t>Converse</t>
  </si>
  <si>
    <t>978-779-0539</t>
  </si>
  <si>
    <t>jconverse@nrsd.net</t>
  </si>
  <si>
    <t xml:space="preserve">	TownAdministrator@TownofBolton.com</t>
  </si>
  <si>
    <t>DEP (LaPlante) sent email 10/26</t>
  </si>
  <si>
    <t>BOXBOROUGH (AB)</t>
  </si>
  <si>
    <t>978-375-0101</t>
  </si>
  <si>
    <t xml:space="preserve">	sshaw@boxborough-ma.gov</t>
  </si>
  <si>
    <t>BROOKLINE</t>
  </si>
  <si>
    <t>Gillis</t>
  </si>
  <si>
    <t>617-935-5441</t>
  </si>
  <si>
    <t>matt_gillis@psbma.org</t>
  </si>
  <si>
    <t>Operations Director</t>
  </si>
  <si>
    <t>mkleckner@brooklinema.gov</t>
  </si>
  <si>
    <t>Responded to 10/4 email saying they are working with MWRA</t>
  </si>
  <si>
    <t>CHATHAM (MRSD)</t>
  </si>
  <si>
    <t>MRSD</t>
  </si>
  <si>
    <t>Isernio</t>
  </si>
  <si>
    <t>508-94-55148</t>
  </si>
  <si>
    <t>kisernio@monomoy.edu</t>
  </si>
  <si>
    <t>jgoldsmith@chatham-ma.gov</t>
  </si>
  <si>
    <t>Responded (with Harwich)</t>
  </si>
  <si>
    <t>3f4a-eef7-eaeb</t>
  </si>
  <si>
    <t>COHASSET</t>
  </si>
  <si>
    <t>Susan</t>
  </si>
  <si>
    <t>781-383-4105 x 125</t>
  </si>
  <si>
    <t>sbruce@cohassetma.org</t>
  </si>
  <si>
    <t>Contract/Procurement Manager</t>
  </si>
  <si>
    <t>csenior@cohassetma.org</t>
  </si>
  <si>
    <t>school proposes IM 10/19, 10/26, or 11/2 2016</t>
  </si>
  <si>
    <t>CONCORD</t>
  </si>
  <si>
    <t>Wells</t>
  </si>
  <si>
    <t>978-202-1120</t>
  </si>
  <si>
    <t>mwells@concordps.org</t>
  </si>
  <si>
    <t>Deputy Superintendent of Finance and Operations</t>
  </si>
  <si>
    <t>cwhelan@concordma.gov</t>
  </si>
  <si>
    <t>HC?</t>
  </si>
  <si>
    <t>8496-4fbd-3efc</t>
  </si>
  <si>
    <t>Facilities Manager responded to 10/5/16 email. 2 more schools need tested</t>
  </si>
  <si>
    <t>DOVER (DS)</t>
  </si>
  <si>
    <t>DS</t>
  </si>
  <si>
    <t>McAlduff</t>
  </si>
  <si>
    <t>508-785-0036</t>
  </si>
  <si>
    <t>mcalduffw@doversherborn.org</t>
  </si>
  <si>
    <t>selectmen@doverma.org</t>
  </si>
  <si>
    <t>6bb0-6bdd-7819</t>
  </si>
  <si>
    <t>GRANBY</t>
  </si>
  <si>
    <t>Judith</t>
  </si>
  <si>
    <t>Houle</t>
  </si>
  <si>
    <t>413-467-7193</t>
  </si>
  <si>
    <t>jhoule@granbyschoolsma.net</t>
  </si>
  <si>
    <t>Interim Superintendent of Schools</t>
  </si>
  <si>
    <t>cleonard@granby-ma.gov</t>
  </si>
  <si>
    <t>GRANVILLE</t>
  </si>
  <si>
    <t>K.Martin@townofgranville.org</t>
  </si>
  <si>
    <t>Opted out of Program</t>
  </si>
  <si>
    <t>HARWICH (MRSD)</t>
  </si>
  <si>
    <t>508-945-5148</t>
  </si>
  <si>
    <t>cclark@town.harwich.ma.us</t>
  </si>
  <si>
    <t>Responded (with Chatam)</t>
  </si>
  <si>
    <t>287c-d308-2cd9</t>
  </si>
  <si>
    <t>LANCASTER (NRSD)</t>
  </si>
  <si>
    <t>Cleary</t>
  </si>
  <si>
    <t>wcleary@nrsd.net</t>
  </si>
  <si>
    <t>sstarr@lancasterma.net</t>
  </si>
  <si>
    <t>MENDON</t>
  </si>
  <si>
    <t>Brad</t>
  </si>
  <si>
    <t>Choiniere</t>
  </si>
  <si>
    <t>508-901-0635</t>
  </si>
  <si>
    <t>BChoiniere@mursd.org</t>
  </si>
  <si>
    <t>Primary Operator</t>
  </si>
  <si>
    <t>knewman@mendonma.gov</t>
  </si>
  <si>
    <t>email confirming opting out received 11/14/16</t>
  </si>
  <si>
    <t>NATICK</t>
  </si>
  <si>
    <t>Kane</t>
  </si>
  <si>
    <t>508-647-6504</t>
  </si>
  <si>
    <t>jkane@natickma.org</t>
  </si>
  <si>
    <t>mwhite@natickma.org</t>
  </si>
  <si>
    <t>0:8</t>
  </si>
  <si>
    <t>pending</t>
  </si>
  <si>
    <t>4785-1185-d94c</t>
  </si>
  <si>
    <t>Opting to use a contractor; not using MA LCCA this year.</t>
  </si>
  <si>
    <t>NEEDHAM</t>
  </si>
  <si>
    <t>Cusick</t>
  </si>
  <si>
    <t>781-416-4071</t>
  </si>
  <si>
    <t>scusick@needhamma.gov</t>
  </si>
  <si>
    <t>WTP Manager</t>
  </si>
  <si>
    <t>kfitzpatrick@town.needham.ma.us</t>
  </si>
  <si>
    <t>response without poll</t>
  </si>
  <si>
    <t>Working through MWRA</t>
  </si>
  <si>
    <t>NORTHAMPTON</t>
  </si>
  <si>
    <t>Kusnierz</t>
  </si>
  <si>
    <t>413-587-1305</t>
  </si>
  <si>
    <t>tkusnierz@northampton-k12.us</t>
  </si>
  <si>
    <t>Supervisor of School Maintenance</t>
  </si>
  <si>
    <t>mayor@northamptonma.gov</t>
  </si>
  <si>
    <t>73de-59d2-4839</t>
  </si>
  <si>
    <t>NORTHBOROUGH (NSD)</t>
  </si>
  <si>
    <t>townadmin@town.northborough.ma.us</t>
  </si>
  <si>
    <t>Only HS</t>
  </si>
  <si>
    <t>Out</t>
  </si>
  <si>
    <t>Previously tested by MWRA reportedly accepted by DEP.  Need to fill out documents</t>
  </si>
  <si>
    <t>NORWOOD</t>
  </si>
  <si>
    <t xml:space="preserve">Paul </t>
  </si>
  <si>
    <t>Riccardi</t>
  </si>
  <si>
    <t>781-440-5829</t>
  </si>
  <si>
    <t>priccardi@norwood.k12.ma.us</t>
  </si>
  <si>
    <t>Director</t>
  </si>
  <si>
    <t>jcarroll@norwoodma.gov</t>
  </si>
  <si>
    <t>OXFORD</t>
  </si>
  <si>
    <t>Donais</t>
  </si>
  <si>
    <t>508-987-6026</t>
  </si>
  <si>
    <t>rdonais@town.oxford.ma.us</t>
  </si>
  <si>
    <t xml:space="preserve">	manager@town.oxford.ma.us</t>
  </si>
  <si>
    <t>RICHMOND</t>
  </si>
  <si>
    <t>Rich</t>
  </si>
  <si>
    <t>Menegio</t>
  </si>
  <si>
    <t>413-698-2207</t>
  </si>
  <si>
    <t>rmenegio@richmondconsolidated.org</t>
  </si>
  <si>
    <t>m.kerwood@richmondma.org</t>
  </si>
  <si>
    <t>ROCHESTER (ORR)</t>
  </si>
  <si>
    <t>rlacamera@townofrochester.com</t>
  </si>
  <si>
    <t>Responded (old rochester school district)</t>
  </si>
  <si>
    <t>ROWE</t>
  </si>
  <si>
    <t>Bill</t>
  </si>
  <si>
    <t>Knittle</t>
  </si>
  <si>
    <t>413-512-5100</t>
  </si>
  <si>
    <t>wknittle@roweschool.org</t>
  </si>
  <si>
    <t>admin@rowe-ma.gov</t>
  </si>
  <si>
    <t>d48f-07c7-6bff</t>
  </si>
  <si>
    <t>SHERBORN (DS)</t>
  </si>
  <si>
    <t>selectmen@sherbornma.org</t>
  </si>
  <si>
    <t>SOMERVILLE</t>
  </si>
  <si>
    <t>Walter</t>
  </si>
  <si>
    <t>617-625-6600 x 5210</t>
  </si>
  <si>
    <t>wwhitney@somervillema.gov</t>
  </si>
  <si>
    <t>jcurtatone@ci.somerville.ma.us</t>
  </si>
  <si>
    <t>Out of Office</t>
  </si>
  <si>
    <t>STOW (NRSD)</t>
  </si>
  <si>
    <t xml:space="preserve">	townadministrator@stow-ma.gov</t>
  </si>
  <si>
    <t>TEMPLETON</t>
  </si>
  <si>
    <t>Rick</t>
  </si>
  <si>
    <t>Moulton</t>
  </si>
  <si>
    <t>rmoulton@nrsd.org</t>
  </si>
  <si>
    <t>Selectmen.Caplis@templeton1.org</t>
  </si>
  <si>
    <t>DEP sent letter 11/3/16, town responded their water dept tested on 9/13/16 &gt;&gt; out of program</t>
  </si>
  <si>
    <t>TYNGSBOROUGH-GLRVT</t>
  </si>
  <si>
    <t xml:space="preserve">Mark </t>
  </si>
  <si>
    <t>(978) 441-4999</t>
  </si>
  <si>
    <t>mbyrne@gltech.org</t>
  </si>
  <si>
    <t>Director of Plant Services</t>
  </si>
  <si>
    <t>WALTHAM</t>
  </si>
  <si>
    <t>Good</t>
  </si>
  <si>
    <t>781-314-5694</t>
  </si>
  <si>
    <t>goodm@k12.waltham.ma.us</t>
  </si>
  <si>
    <t>mayor@city.waltham.ma.us</t>
  </si>
  <si>
    <t>3:7</t>
  </si>
  <si>
    <t>Tested with MWRA in July</t>
  </si>
  <si>
    <t>WINCHESTER</t>
  </si>
  <si>
    <t>Gibbons</t>
  </si>
  <si>
    <t>781-217-7100</t>
  </si>
  <si>
    <t>Jgibbons@winchester.us</t>
  </si>
  <si>
    <t>townmanager@winchester.us</t>
  </si>
  <si>
    <t>WOBURN</t>
  </si>
  <si>
    <t>Dunkley</t>
  </si>
  <si>
    <t>781-937-8233 x 11213</t>
  </si>
  <si>
    <t>ddunkley@woburnps.com</t>
  </si>
  <si>
    <t>SGalvin@cityofwoburn.com</t>
  </si>
  <si>
    <t>BOSTON</t>
  </si>
  <si>
    <t>Pomella</t>
  </si>
  <si>
    <t>617-635-9133</t>
  </si>
  <si>
    <t>apomella@bostonpublicschools.org</t>
  </si>
  <si>
    <t>Mechanical Engineer</t>
  </si>
  <si>
    <t>13:78</t>
  </si>
  <si>
    <t>d365-e37e-c2d0</t>
  </si>
  <si>
    <t>DEP &amp; Boston discussing need for more sampling</t>
  </si>
  <si>
    <t>Town</t>
  </si>
  <si>
    <t>PWS ID</t>
  </si>
  <si>
    <t>PWS</t>
  </si>
  <si>
    <t>ORG Code</t>
  </si>
  <si>
    <t>School Name</t>
  </si>
  <si>
    <t>Maintenance Checklist</t>
  </si>
  <si>
    <t>Sample Date</t>
  </si>
  <si>
    <t>Number of Sample Locations</t>
  </si>
  <si>
    <t>Number of Samples, non-MWRA Labs</t>
  </si>
  <si>
    <t># Samples including MWRA Lab</t>
  </si>
  <si>
    <t>Boston # Locations, unsampled schools</t>
  </si>
  <si>
    <t>Boston # Samples, unsampled schools</t>
  </si>
  <si>
    <t>Sampling completed?</t>
  </si>
  <si>
    <t>Post-Results Email from DEP?</t>
  </si>
  <si>
    <t>total # samples in town</t>
  </si>
  <si>
    <t>Field CoC Uploaded to Tool</t>
  </si>
  <si>
    <t>Added Sample Locations to Tool?</t>
  </si>
  <si>
    <t>01630016</t>
  </si>
  <si>
    <t>A. Drewicz Elementary School</t>
  </si>
  <si>
    <t>Yes (02/28/17)</t>
  </si>
  <si>
    <t>Public School</t>
  </si>
  <si>
    <t>Summer</t>
  </si>
  <si>
    <t>00160001</t>
  </si>
  <si>
    <t>A. Irvin Studley Elementary  School</t>
  </si>
  <si>
    <t>Not Completed</t>
  </si>
  <si>
    <t>Yes (10/14/16)</t>
  </si>
  <si>
    <t>Fall</t>
  </si>
  <si>
    <t>06220015</t>
  </si>
  <si>
    <t>A.F. Maloney School</t>
  </si>
  <si>
    <t>Yes (10/25/16)</t>
  </si>
  <si>
    <t xml:space="preserve"> NO</t>
  </si>
  <si>
    <t>RETEST</t>
  </si>
  <si>
    <t>1098004</t>
  </si>
  <si>
    <t>Summer and Fall</t>
  </si>
  <si>
    <t>00980005</t>
  </si>
  <si>
    <t>Abbott Memorial School</t>
  </si>
  <si>
    <t>Completed</t>
  </si>
  <si>
    <t>Yes (12/2/16)</t>
  </si>
  <si>
    <t>Charter School</t>
  </si>
  <si>
    <t>04450105</t>
  </si>
  <si>
    <t>Abby Kelly Foster Charter School</t>
  </si>
  <si>
    <t>Yes (1/23/17)</t>
  </si>
  <si>
    <t>00010505</t>
  </si>
  <si>
    <t>Abington High School</t>
  </si>
  <si>
    <t>Yes (11/2/16)</t>
  </si>
  <si>
    <t>01630011</t>
  </si>
  <si>
    <t>Aborn Elementary School</t>
  </si>
  <si>
    <t>02010095</t>
  </si>
  <si>
    <t>Abraham Lincoln Elementary School</t>
  </si>
  <si>
    <t>Yes (1/25/17)</t>
  </si>
  <si>
    <t>04120530</t>
  </si>
  <si>
    <t>Academy of the Pacific Rim Charter</t>
  </si>
  <si>
    <t>Yes (1/20/17)</t>
  </si>
  <si>
    <t>06000505</t>
  </si>
  <si>
    <t>Acton-Boxborough Regional High School</t>
  </si>
  <si>
    <t>Yes (12/6/16)</t>
  </si>
  <si>
    <t>00030025</t>
  </si>
  <si>
    <t>Acushnet Elementary School</t>
  </si>
  <si>
    <t>Yes (11/9/16)</t>
  </si>
  <si>
    <t>EECF</t>
  </si>
  <si>
    <t>2912355</t>
  </si>
  <si>
    <t>Adult Learning Center (Fanning)</t>
  </si>
  <si>
    <t>Yes (1/19/17)</t>
  </si>
  <si>
    <t>00030305</t>
  </si>
  <si>
    <t>Albert F. Ford Middle School</t>
  </si>
  <si>
    <t>Yes (11/8/16)</t>
  </si>
  <si>
    <t>02760050</t>
  </si>
  <si>
    <t>Albert S. Woodward Memorial School</t>
  </si>
  <si>
    <t>Yes (12/5/16)</t>
  </si>
  <si>
    <t>01490015</t>
  </si>
  <si>
    <t>Alexander B. Bruce School</t>
  </si>
  <si>
    <t>Yes (9/28/16)</t>
  </si>
  <si>
    <t>02810095</t>
  </si>
  <si>
    <t>Alfred G. Zanetti Montessori Magnet School</t>
  </si>
  <si>
    <t>Yes (11/15/16)</t>
  </si>
  <si>
    <t>02010063</t>
  </si>
  <si>
    <t>Alfred J. Gomes Elementary School</t>
  </si>
  <si>
    <t>Yes (1/18/17)</t>
  </si>
  <si>
    <t>02810175</t>
  </si>
  <si>
    <t>Alice B. Beal Elementary School</t>
  </si>
  <si>
    <t>02120005</t>
  </si>
  <si>
    <t>Allen Avenue Elementary School</t>
  </si>
  <si>
    <t>Yes (1/9/17)</t>
  </si>
  <si>
    <t>04090205</t>
  </si>
  <si>
    <t>Alma del Mar Charter School</t>
  </si>
  <si>
    <t>Yes (12/22/16)</t>
  </si>
  <si>
    <t>Public Alternative Ed Program</t>
  </si>
  <si>
    <t>03481003</t>
  </si>
  <si>
    <t>Alternative School (St. Casimir's School)</t>
  </si>
  <si>
    <t>Yes (1/17/17)</t>
  </si>
  <si>
    <t>02430005</t>
  </si>
  <si>
    <t>Amelio Della Chiesa Early Childhood Center</t>
  </si>
  <si>
    <t>Yes (10/20/16)</t>
  </si>
  <si>
    <t>06050505</t>
  </si>
  <si>
    <t>Amherst Regional High School</t>
  </si>
  <si>
    <t>Yes (9/19/16)</t>
  </si>
  <si>
    <t>06050405</t>
  </si>
  <si>
    <t>Amherst Regional Middle School</t>
  </si>
  <si>
    <t>Yes (9/23/16)</t>
  </si>
  <si>
    <t>02120007</t>
  </si>
  <si>
    <t>Amvet Boulevard School</t>
  </si>
  <si>
    <t>Yes (10/28/16)</t>
  </si>
  <si>
    <t>00610003</t>
  </si>
  <si>
    <t>Anna E. Barry Elementary School</t>
  </si>
  <si>
    <t>Yes (11/22/16)</t>
  </si>
  <si>
    <t>03210010</t>
  </si>
  <si>
    <t>Annie E Fales School</t>
  </si>
  <si>
    <t>Yes (10/11/16)</t>
  </si>
  <si>
    <t>02110018</t>
  </si>
  <si>
    <t>Annie L Sargent School</t>
  </si>
  <si>
    <t>Yes (10/4/16)</t>
  </si>
  <si>
    <t>00100505</t>
  </si>
  <si>
    <t>Arlington High School</t>
  </si>
  <si>
    <t>Yes (2/6/17)</t>
  </si>
  <si>
    <t>01490017</t>
  </si>
  <si>
    <t>Arlington School</t>
  </si>
  <si>
    <t>00970315</t>
  </si>
  <si>
    <t>Arthur M. Longsjo Middle School</t>
  </si>
  <si>
    <t>Yes (03/03/17)</t>
  </si>
  <si>
    <t>03460020</t>
  </si>
  <si>
    <t>Arthur T. Cummings Elementary School</t>
  </si>
  <si>
    <t>02810165</t>
  </si>
  <si>
    <t>Arthur T. Talmadge School</t>
  </si>
  <si>
    <t>Yes (11/21/16)</t>
  </si>
  <si>
    <t>00440421</t>
  </si>
  <si>
    <t>Ashfield Middle School</t>
  </si>
  <si>
    <t>Yes (1/12/17)</t>
  </si>
  <si>
    <t>00140505</t>
  </si>
  <si>
    <t>Ashland High School</t>
  </si>
  <si>
    <t>Yes (03/13/17)</t>
  </si>
  <si>
    <t>00140405</t>
  </si>
  <si>
    <t>Ashland Middle School</t>
  </si>
  <si>
    <t>Yes (1/4/17)</t>
  </si>
  <si>
    <t>08010605</t>
  </si>
  <si>
    <t>Assabet Valley Reg Voc Tech</t>
  </si>
  <si>
    <t>Yes (12/1/16)</t>
  </si>
  <si>
    <t>02430040</t>
  </si>
  <si>
    <t>Atherton Hough School</t>
  </si>
  <si>
    <t>Yes (10/18/16)</t>
  </si>
  <si>
    <t>02110001</t>
  </si>
  <si>
    <t>Atkinson School</t>
  </si>
  <si>
    <t>02430305</t>
  </si>
  <si>
    <t>Atlantic Middle School</t>
  </si>
  <si>
    <t>00160505</t>
  </si>
  <si>
    <t>Attleboro High School</t>
  </si>
  <si>
    <t>retest 1-21-17</t>
  </si>
  <si>
    <t>00170305</t>
  </si>
  <si>
    <t>Auburn Middle School</t>
  </si>
  <si>
    <t>Yes (2/1/17)</t>
  </si>
  <si>
    <t>00170505</t>
  </si>
  <si>
    <t>Auburn Senior High School</t>
  </si>
  <si>
    <t>00730010</t>
  </si>
  <si>
    <t>Avery School</t>
  </si>
  <si>
    <t>AVON</t>
    <phoneticPr fontId="12" type="noConversion"/>
  </si>
  <si>
    <t>NO</t>
    <phoneticPr fontId="12" type="noConversion"/>
  </si>
  <si>
    <t>Public School</t>
    <phoneticPr fontId="12" type="noConversion"/>
  </si>
  <si>
    <t>00180510</t>
    <phoneticPr fontId="12" type="noConversion"/>
  </si>
  <si>
    <t>Avon Middle High School</t>
    <phoneticPr fontId="12" type="noConversion"/>
  </si>
  <si>
    <t>Not Completed</t>
    <phoneticPr fontId="12" type="noConversion"/>
  </si>
  <si>
    <t>Yes (11/1/16)</t>
  </si>
  <si>
    <t>00300055</t>
  </si>
  <si>
    <t>Ayers Ryal Side Elementary School</t>
  </si>
  <si>
    <t>06160505</t>
  </si>
  <si>
    <t>Ayer-Shirley Regional High School</t>
  </si>
  <si>
    <t>no results in Tool</t>
  </si>
  <si>
    <t>06160305</t>
  </si>
  <si>
    <t>Ayer-Shirley Regional Middle School</t>
  </si>
  <si>
    <t>Yes (12/13/16)</t>
  </si>
  <si>
    <t>00950505</t>
  </si>
  <si>
    <t>B M C Durfee High School</t>
  </si>
  <si>
    <t>Yes (12/16/16)</t>
  </si>
  <si>
    <t>01600002</t>
  </si>
  <si>
    <t>Bailey Elementary School</t>
  </si>
  <si>
    <t>Yes (11/3/16)</t>
  </si>
  <si>
    <t>02620001</t>
  </si>
  <si>
    <t>Ballard School</t>
  </si>
  <si>
    <t>Yes (12/7/16)</t>
  </si>
  <si>
    <t>02810360</t>
  </si>
  <si>
    <t>Balliet Middle School</t>
  </si>
  <si>
    <t>Yes (12/12/16)</t>
  </si>
  <si>
    <t>00200505</t>
  </si>
  <si>
    <t>Barnstable High School</t>
  </si>
  <si>
    <t>Yes (12/23/16)</t>
  </si>
  <si>
    <t>00200315</t>
  </si>
  <si>
    <t>Barnstable Intermediate School</t>
  </si>
  <si>
    <t>Yes (12/28/16)</t>
  </si>
  <si>
    <t>00200050</t>
  </si>
  <si>
    <t>Barnstable United Elementary School</t>
  </si>
  <si>
    <t>Yes (12/30/16)</t>
  </si>
  <si>
    <t>00440007</t>
  </si>
  <si>
    <t>Barrett Russell Early Education Center</t>
  </si>
  <si>
    <t>03160505</t>
  </si>
  <si>
    <t>Bartlett High School</t>
  </si>
  <si>
    <t>01280005</t>
  </si>
  <si>
    <t>Bartlett Kindergarten Center</t>
  </si>
  <si>
    <t>02580003</t>
  </si>
  <si>
    <t>Bates Elementary School</t>
  </si>
  <si>
    <t>Yes (2/16/17)</t>
  </si>
  <si>
    <t>2054031</t>
  </si>
  <si>
    <t>08760605</t>
  </si>
  <si>
    <t>Bay Path Regional Vocational Technical High School</t>
  </si>
  <si>
    <t>Yes (12/21/16)</t>
  </si>
  <si>
    <t>00010003</t>
  </si>
  <si>
    <t>Beaver Brook Elementary School</t>
  </si>
  <si>
    <t>Yes (10/27/16)</t>
  </si>
  <si>
    <t>02430020</t>
  </si>
  <si>
    <t>Beechwood Knoll Elementary School</t>
  </si>
  <si>
    <t>01070010</t>
  </si>
  <si>
    <t>Beeman Memorial School</t>
  </si>
  <si>
    <t>Yes (12/14/16)</t>
  </si>
  <si>
    <t>00610010</t>
  </si>
  <si>
    <t>Belcher Elementary School</t>
  </si>
  <si>
    <t>00240505</t>
  </si>
  <si>
    <t>Belchertown High School</t>
  </si>
  <si>
    <t>Yes (11/7/16)</t>
  </si>
  <si>
    <t>00260505</t>
  </si>
  <si>
    <t>Belmont High School</t>
  </si>
  <si>
    <t>Yes (12/20/16)</t>
  </si>
  <si>
    <t>03480020</t>
  </si>
  <si>
    <t>Belmont Street Community School</t>
  </si>
  <si>
    <t>02620305</t>
  </si>
  <si>
    <t>Belmonte Saugus Middle School</t>
  </si>
  <si>
    <t>02930315</t>
  </si>
  <si>
    <t>Benjamin Friedman Middle School</t>
  </si>
  <si>
    <t>Yes (1/30/17)</t>
  </si>
  <si>
    <t>35110205</t>
  </si>
  <si>
    <t>Bentley Academy Charter School</t>
  </si>
  <si>
    <t>Yes (2/10/17)</t>
  </si>
  <si>
    <t>07500006</t>
  </si>
  <si>
    <t>Bernardston Elementary School</t>
  </si>
  <si>
    <t>WENHAM (HWSD)</t>
  </si>
  <si>
    <t>06750007</t>
  </si>
  <si>
    <t>Bessie Buker Elementary School</t>
  </si>
  <si>
    <t>Yes (12/19/16)</t>
  </si>
  <si>
    <t>02010140</t>
  </si>
  <si>
    <t>Betsey B. Winslow Elementary School</t>
  </si>
  <si>
    <t>00300505</t>
  </si>
  <si>
    <t>Beverly High School</t>
  </si>
  <si>
    <t>00870305</t>
  </si>
  <si>
    <t>Birchland Park School</t>
  </si>
  <si>
    <t>Yes (10/12/16)</t>
  </si>
  <si>
    <t>06220505</t>
  </si>
  <si>
    <t>Blackstone-Millville Regional High School</t>
  </si>
  <si>
    <t>08060605</t>
  </si>
  <si>
    <t>Blue Hills Regional Technical School</t>
  </si>
  <si>
    <t>Yes (2/27/17)</t>
  </si>
  <si>
    <t>01590005</t>
  </si>
  <si>
    <t>Blueberry Hill School</t>
  </si>
  <si>
    <t>Yes (10/19/16)</t>
  </si>
  <si>
    <t>04490305</t>
  </si>
  <si>
    <t>Boston Collegiate Charter Lower School (Sydney)</t>
  </si>
  <si>
    <t>T0000017</t>
  </si>
  <si>
    <t>Boston Collegiate Charter Middle/High (Mayhew)</t>
  </si>
  <si>
    <t>T0000018</t>
  </si>
  <si>
    <t>04160305</t>
  </si>
  <si>
    <t>Boston Preparatory Charter Public School</t>
  </si>
  <si>
    <t>00360505</t>
  </si>
  <si>
    <t>Bourne High School</t>
  </si>
  <si>
    <t>Yes (11/16/16)</t>
  </si>
  <si>
    <t>Missing pg.2 (sampe ID 8-14) added 022 from Field CoC, but no results are provided on the Tool</t>
  </si>
  <si>
    <t>00360325</t>
  </si>
  <si>
    <t>Bourne Middle School</t>
  </si>
  <si>
    <t>Yes (11/28/16)</t>
  </si>
  <si>
    <t>00360005</t>
  </si>
  <si>
    <t>Bournedale Elementary School</t>
  </si>
  <si>
    <t>06730001</t>
  </si>
  <si>
    <t>Boutwell School</t>
  </si>
  <si>
    <t>03420005</t>
  </si>
  <si>
    <t>Yes (9/14/16)</t>
  </si>
  <si>
    <t>00610020</t>
  </si>
  <si>
    <t>Bowie Memorial School</t>
  </si>
  <si>
    <t>01280008</t>
  </si>
  <si>
    <t>Bradford Elementary School</t>
  </si>
  <si>
    <t>02090035</t>
  </si>
  <si>
    <t>Brayton Elementary School</t>
  </si>
  <si>
    <t>01630405</t>
  </si>
  <si>
    <t>Breed Middle School</t>
  </si>
  <si>
    <t>01490003</t>
  </si>
  <si>
    <t>Breen School</t>
  </si>
  <si>
    <t>01630020</t>
  </si>
  <si>
    <t>Brickett Elementary School</t>
  </si>
  <si>
    <t xml:space="preserve">T0000011 </t>
  </si>
  <si>
    <t>Briggs Corner School</t>
  </si>
  <si>
    <t>01380003</t>
  </si>
  <si>
    <t>Bright Beginnings Center-Park Street School</t>
  </si>
  <si>
    <t>02810025</t>
  </si>
  <si>
    <t>Brightwood Elementary School</t>
  </si>
  <si>
    <t>00300305</t>
  </si>
  <si>
    <t>Briscoe Middle School</t>
  </si>
  <si>
    <t>Added 024 from Field CoC, but no results are provided on the Tool</t>
  </si>
  <si>
    <t>09100705</t>
  </si>
  <si>
    <t>Bristol County Agricultural High School</t>
  </si>
  <si>
    <t>08100605</t>
  </si>
  <si>
    <t>Bristol Plymouth Regional Technical School</t>
  </si>
  <si>
    <t>02430310</t>
  </si>
  <si>
    <t>Broad Meadows Middle School</t>
  </si>
  <si>
    <t>00440515</t>
  </si>
  <si>
    <t>Brockton Champion High School</t>
  </si>
  <si>
    <t>00440505</t>
  </si>
  <si>
    <t>Brockton High School</t>
  </si>
  <si>
    <t>00440010</t>
  </si>
  <si>
    <t>Brookfield School</t>
  </si>
  <si>
    <t>02310003</t>
  </si>
  <si>
    <t>Bryantville Elementary School</t>
  </si>
  <si>
    <t>00170010</t>
  </si>
  <si>
    <t>Bryn Mawr School</t>
  </si>
  <si>
    <t>07170005</t>
  </si>
  <si>
    <t>Buckland Shelburne Elementary School</t>
  </si>
  <si>
    <t>01770015</t>
  </si>
  <si>
    <t>Burke/Memorial Elementary School</t>
  </si>
  <si>
    <t>More sample results received</t>
  </si>
  <si>
    <t>03480405</t>
  </si>
  <si>
    <t>Burncoat Middle School</t>
  </si>
  <si>
    <t>03480503</t>
  </si>
  <si>
    <t>Burncoat Senior High School</t>
  </si>
  <si>
    <t>03480035</t>
  </si>
  <si>
    <t>Burncoat Street School</t>
  </si>
  <si>
    <t>01600310</t>
  </si>
  <si>
    <t>Butler Middle School</t>
  </si>
  <si>
    <t>Yes (10/21/16)</t>
  </si>
  <si>
    <t>00560030</t>
  </si>
  <si>
    <t>Byam School</t>
  </si>
  <si>
    <t>01410030</t>
  </si>
  <si>
    <t>C.A. Farley School</t>
  </si>
  <si>
    <t>Yes (2/7/17)</t>
  </si>
  <si>
    <t>06000020</t>
  </si>
  <si>
    <t>C.T. Douglas Elementary School</t>
  </si>
  <si>
    <t>03480045</t>
  </si>
  <si>
    <t>Canterbury Magnet  School</t>
  </si>
  <si>
    <t>00500505</t>
  </si>
  <si>
    <t>Canton High School</t>
  </si>
  <si>
    <t>Yes (11/30/16)</t>
  </si>
  <si>
    <t>211367</t>
  </si>
  <si>
    <t>Capic Head Start Winthrop</t>
  </si>
  <si>
    <t>-</t>
  </si>
  <si>
    <t>Within Arthur Cummins</t>
  </si>
  <si>
    <t>01630090</t>
  </si>
  <si>
    <t>Capt William G Shoemaker Elementary School</t>
  </si>
  <si>
    <t>02290005</t>
  </si>
  <si>
    <t>Captain Samuel Brown School</t>
  </si>
  <si>
    <t>02010105</t>
  </si>
  <si>
    <t>Carlos Pacheco Elementary School</t>
  </si>
  <si>
    <t>02580015</t>
  </si>
  <si>
    <t>Carlton Elementary School</t>
  </si>
  <si>
    <t>Yes (2/14/17)</t>
  </si>
  <si>
    <t>00950009</t>
  </si>
  <si>
    <t>Carlton M. Viveiros Elementary School</t>
  </si>
  <si>
    <t>02010123</t>
  </si>
  <si>
    <t>Casimir Pulaski Elementary School</t>
  </si>
  <si>
    <t>00010002</t>
  </si>
  <si>
    <t>Center Elementary School</t>
  </si>
  <si>
    <t>00560005</t>
  </si>
  <si>
    <t>00860005</t>
  </si>
  <si>
    <t>Center School</t>
  </si>
  <si>
    <t>Yes (10/31/16)</t>
  </si>
  <si>
    <t>00880003</t>
  </si>
  <si>
    <t>01390005</t>
  </si>
  <si>
    <t>Yes (1/31/17)</t>
  </si>
  <si>
    <t>01590010</t>
  </si>
  <si>
    <t>01730005</t>
  </si>
  <si>
    <t>02290015</t>
  </si>
  <si>
    <t>00200010</t>
  </si>
  <si>
    <t>Centerville Elementary School</t>
  </si>
  <si>
    <t>00300010</t>
  </si>
  <si>
    <t>02430315</t>
  </si>
  <si>
    <t>Central Middle School</t>
  </si>
  <si>
    <t>00830005</t>
  </si>
  <si>
    <t>Central School</t>
  </si>
  <si>
    <t>Yes (1/6/17)</t>
  </si>
  <si>
    <t>02730005</t>
  </si>
  <si>
    <t>Chace Street School</t>
  </si>
  <si>
    <t>03480050</t>
  </si>
  <si>
    <t>Chandler Elementary School</t>
  </si>
  <si>
    <t>03480052</t>
  </si>
  <si>
    <t>Chandler Magnet School</t>
  </si>
  <si>
    <t>02430025</t>
  </si>
  <si>
    <t>Charles A. Bernazzani Elementary School</t>
  </si>
  <si>
    <t>Yes (10/13/16)</t>
  </si>
  <si>
    <t>00560025</t>
  </si>
  <si>
    <t xml:space="preserve">Charles D. Harrington School </t>
  </si>
  <si>
    <t>03500010</t>
  </si>
  <si>
    <t>Charles E. Roderick School</t>
  </si>
  <si>
    <t>08510605</t>
  </si>
  <si>
    <t>Charles McCann Technical School</t>
  </si>
  <si>
    <t>02010010</t>
  </si>
  <si>
    <t>Charles S. Ashley Elementary School</t>
  </si>
  <si>
    <t>00560505</t>
  </si>
  <si>
    <t>Chelmsford High School</t>
  </si>
  <si>
    <t>06030004</t>
  </si>
  <si>
    <t>Cheshire Elementary School</t>
  </si>
  <si>
    <t>02810365</t>
  </si>
  <si>
    <t xml:space="preserve">Chestnut Accelerated Middle School </t>
  </si>
  <si>
    <t>00240006</t>
  </si>
  <si>
    <t>Chestnut Hill Community School</t>
  </si>
  <si>
    <t>Yes (11/4/16)</t>
  </si>
  <si>
    <t>00610021</t>
  </si>
  <si>
    <t>Chicopee Academy at Selser</t>
  </si>
  <si>
    <t>00610510</t>
  </si>
  <si>
    <t>Chicopee Comprehensive High School</t>
  </si>
  <si>
    <t>00610505</t>
  </si>
  <si>
    <t>Chicopee High School</t>
  </si>
  <si>
    <t>Yes (1/5/17)</t>
  </si>
  <si>
    <t>03480053</t>
  </si>
  <si>
    <t>City View School</t>
  </si>
  <si>
    <t>03480350</t>
  </si>
  <si>
    <t>Claremont Academy</t>
  </si>
  <si>
    <t>03480055</t>
  </si>
  <si>
    <t>Clark Street Community School</t>
  </si>
  <si>
    <t>1063008</t>
  </si>
  <si>
    <t>00630010</t>
  </si>
  <si>
    <t>Clarksburg Elementary School</t>
  </si>
  <si>
    <t>01630505</t>
  </si>
  <si>
    <t>Classical High School</t>
  </si>
  <si>
    <t>03150005</t>
  </si>
  <si>
    <t>Claypit Hill School</t>
  </si>
  <si>
    <t>Yes (1/11/17)</t>
  </si>
  <si>
    <t>02430055</t>
  </si>
  <si>
    <t>Clifford H Marshall Elementary School</t>
  </si>
  <si>
    <t>01630035</t>
  </si>
  <si>
    <t>Cobbet Elementary School</t>
  </si>
  <si>
    <t>00240005</t>
  </si>
  <si>
    <t>Cold Spring School</t>
  </si>
  <si>
    <t>02090008</t>
  </si>
  <si>
    <t>Colegrove Park Elementary School</t>
  </si>
  <si>
    <t>02580305</t>
  </si>
  <si>
    <t>Collins Middle School</t>
  </si>
  <si>
    <t>Yes (2/15/17)</t>
  </si>
  <si>
    <t>00560305</t>
  </si>
  <si>
    <t>Colonel Moses Parker School</t>
  </si>
  <si>
    <t>1066004</t>
  </si>
  <si>
    <t>07170010</t>
  </si>
  <si>
    <t>Colrain Central School</t>
  </si>
  <si>
    <t>03480060</t>
  </si>
  <si>
    <t>Columbus Park School</t>
  </si>
  <si>
    <t>200940</t>
  </si>
  <si>
    <t>Commonwealth Children’s Center</t>
  </si>
  <si>
    <t>02912022</t>
  </si>
  <si>
    <t>Community Action at North Amherst</t>
  </si>
  <si>
    <t>Yes (10/3/16)</t>
  </si>
  <si>
    <t>00560001</t>
  </si>
  <si>
    <t>Community Education Center</t>
  </si>
  <si>
    <t>02120030</t>
  </si>
  <si>
    <t>Community School</t>
  </si>
  <si>
    <t>01810050</t>
  </si>
  <si>
    <t>Comprehensive Grammar School</t>
  </si>
  <si>
    <t>Yes (03/01/17)</t>
  </si>
  <si>
    <t>01280100</t>
  </si>
  <si>
    <t>Consentino Middle School</t>
  </si>
  <si>
    <t>Yes (11/17/16)</t>
  </si>
  <si>
    <t>1068006</t>
  </si>
  <si>
    <t>00680005</t>
  </si>
  <si>
    <t>Conway Grammar School</t>
  </si>
  <si>
    <t>02660005</t>
  </si>
  <si>
    <t>Cottage Street School</t>
  </si>
  <si>
    <t>Yes (11/9/17)</t>
  </si>
  <si>
    <t>00300015</t>
  </si>
  <si>
    <t>Cove Elementary School</t>
  </si>
  <si>
    <t>03320001</t>
  </si>
  <si>
    <t>Cowing Early Childhood</t>
  </si>
  <si>
    <t>00970016</t>
  </si>
  <si>
    <t>Crocker Elementary School</t>
  </si>
  <si>
    <t>Yes (03/07/17)</t>
  </si>
  <si>
    <t>all locations already entered in plan</t>
  </si>
  <si>
    <t>00080009</t>
  </si>
  <si>
    <t>Crocker Farm Elementary School</t>
  </si>
  <si>
    <t>Yes (8/25/16)</t>
  </si>
  <si>
    <t>01280020</t>
  </si>
  <si>
    <t>Crowell School</t>
  </si>
  <si>
    <t>03140015</t>
  </si>
  <si>
    <t>Cunniff School</t>
  </si>
  <si>
    <t>Yes (12/15/16)</t>
  </si>
  <si>
    <t>02640007</t>
  </si>
  <si>
    <t>Cushing Elementary School</t>
  </si>
  <si>
    <t>Yes (1/26/17)</t>
  </si>
  <si>
    <t>06750010</t>
  </si>
  <si>
    <t>Cutler Elementary School</t>
  </si>
  <si>
    <t>00160315</t>
  </si>
  <si>
    <t>Cyril K. Brennan Middle School</t>
  </si>
  <si>
    <t>completed</t>
  </si>
  <si>
    <t>Yes (11/29/16)</t>
  </si>
  <si>
    <t>02810035</t>
  </si>
  <si>
    <t>Daniel B. Brunton School</t>
  </si>
  <si>
    <t>00260015</t>
  </si>
  <si>
    <t>Daniel Butler School</t>
  </si>
  <si>
    <t>01710015</t>
  </si>
  <si>
    <t>Daniel Webster Elementary School</t>
  </si>
  <si>
    <t>Yes (11/1/17)</t>
  </si>
  <si>
    <t>01410410</t>
  </si>
  <si>
    <t>David J. Quinn Middle School</t>
  </si>
  <si>
    <t>Yes (2/2/17)</t>
  </si>
  <si>
    <t>00140015</t>
  </si>
  <si>
    <t>David Mindess School</t>
  </si>
  <si>
    <t>00500020</t>
  </si>
  <si>
    <t>Dean S. Luce School</t>
  </si>
  <si>
    <t>01370605</t>
  </si>
  <si>
    <t>Dean Technical High School</t>
  </si>
  <si>
    <t>00730505</t>
  </si>
  <si>
    <t>Dedham High School</t>
  </si>
  <si>
    <t>00730305</t>
  </si>
  <si>
    <t>Dedham Middle School</t>
  </si>
  <si>
    <t>00740015</t>
  </si>
  <si>
    <t>Deerfield Elementary School</t>
  </si>
  <si>
    <t>03500003</t>
  </si>
  <si>
    <t>Delaney School</t>
  </si>
  <si>
    <t>06450505</t>
  </si>
  <si>
    <t>Dennis-Yarmouth Regional High School</t>
  </si>
  <si>
    <t>02230010</t>
  </si>
  <si>
    <t>Dexter Park School</t>
  </si>
  <si>
    <t>08210605</t>
  </si>
  <si>
    <t>Diman Regional Vocational Technical High School</t>
  </si>
  <si>
    <t>Yes (1/10/17)</t>
  </si>
  <si>
    <t>01140025</t>
  </si>
  <si>
    <t>Discovery School at Four Corners</t>
  </si>
  <si>
    <t>03480512</t>
  </si>
  <si>
    <t>Doherty Memorial High School</t>
  </si>
  <si>
    <t>03050005</t>
  </si>
  <si>
    <t>Dolbeare School</t>
  </si>
  <si>
    <t>Yes (03/02/17)</t>
  </si>
  <si>
    <t>01370060</t>
  </si>
  <si>
    <t>Donahue School</t>
  </si>
  <si>
    <t>01810060</t>
  </si>
  <si>
    <t>Donald P Timony Grammar School</t>
  </si>
  <si>
    <t>00770015</t>
  </si>
  <si>
    <t>Douglas Elementary School</t>
  </si>
  <si>
    <t>00770505</t>
  </si>
  <si>
    <t>Douglas High School</t>
  </si>
  <si>
    <t>00770305</t>
  </si>
  <si>
    <t>Douglas Middle School</t>
  </si>
  <si>
    <t>00770005</t>
  </si>
  <si>
    <t>Douglas Primary School</t>
  </si>
  <si>
    <t>02620067</t>
  </si>
  <si>
    <t>Douglas Waybright School</t>
  </si>
  <si>
    <t>00440110</t>
  </si>
  <si>
    <t>Downey School</t>
  </si>
  <si>
    <t>03050001</t>
  </si>
  <si>
    <t>Doyle School</t>
  </si>
  <si>
    <t>01280050</t>
  </si>
  <si>
    <t>Dr Paul Nettle School</t>
  </si>
  <si>
    <t>Yes (11/18/16)</t>
  </si>
  <si>
    <t>01600345</t>
  </si>
  <si>
    <t>Dr. An Wang Middle School</t>
  </si>
  <si>
    <t>07450020</t>
  </si>
  <si>
    <t>Dr. Frederick N. Sweetsir School</t>
  </si>
  <si>
    <t>Yes (12/9/16)</t>
  </si>
  <si>
    <t>07450015</t>
  </si>
  <si>
    <t>Dr. John C. Page School</t>
  </si>
  <si>
    <t>00440001</t>
  </si>
  <si>
    <t>Dr. W. Arnone Community School</t>
  </si>
  <si>
    <t>02090505</t>
  </si>
  <si>
    <t>Drury High School</t>
  </si>
  <si>
    <t>00610310</t>
  </si>
  <si>
    <t>Dupont Middle School</t>
  </si>
  <si>
    <t>01630045</t>
  </si>
  <si>
    <t>E. J. Harrington Elementary School</t>
  </si>
  <si>
    <t>01370045</t>
  </si>
  <si>
    <t>E.N. White School</t>
  </si>
  <si>
    <t>01710005</t>
  </si>
  <si>
    <t>Eames Way Elementary School</t>
  </si>
  <si>
    <t>Yes (1/3/17)</t>
  </si>
  <si>
    <t>T0000003</t>
  </si>
  <si>
    <t>Early Childhood Center</t>
  </si>
  <si>
    <t>00730005</t>
  </si>
  <si>
    <t>02810001</t>
  </si>
  <si>
    <t>Early Childhood Education Center</t>
  </si>
  <si>
    <t>02660010</t>
  </si>
  <si>
    <t>East Elementary School</t>
  </si>
  <si>
    <t>01070020</t>
  </si>
  <si>
    <t>East Gloucester Elementary School</t>
  </si>
  <si>
    <t>00870505</t>
  </si>
  <si>
    <t>East Longmeadow High School</t>
  </si>
  <si>
    <t>00440405</t>
  </si>
  <si>
    <t>East Middle School</t>
  </si>
  <si>
    <t>02930010</t>
  </si>
  <si>
    <t>East Taunton Elementary School</t>
  </si>
  <si>
    <t>00860505</t>
  </si>
  <si>
    <t>Easthampton High School</t>
  </si>
  <si>
    <t>00880405</t>
  </si>
  <si>
    <t>Easton Middle School</t>
  </si>
  <si>
    <t>00440023</t>
  </si>
  <si>
    <t>Edgar B Davis School</t>
  </si>
  <si>
    <t>00890005</t>
  </si>
  <si>
    <t>Edgartown Elementary School</t>
  </si>
  <si>
    <t>02930007</t>
  </si>
  <si>
    <t>Edmund Hatch Bennet School</t>
  </si>
  <si>
    <t>Yes (1/27/17)</t>
  </si>
  <si>
    <t>01630095</t>
  </si>
  <si>
    <t>Edward A Sisson Elementary School</t>
  </si>
  <si>
    <t>00610305</t>
  </si>
  <si>
    <t>Edward Bellamy Middle School</t>
  </si>
  <si>
    <t>CoC for retests</t>
  </si>
  <si>
    <t>02930005</t>
  </si>
  <si>
    <t>Edward F. Leddy Preschool</t>
  </si>
  <si>
    <t>02810010</t>
  </si>
  <si>
    <t>Edward P. Boland School</t>
  </si>
  <si>
    <t>02810030</t>
  </si>
  <si>
    <t>Elias Brookings School</t>
  </si>
  <si>
    <t>02010015</t>
  </si>
  <si>
    <t>Elizabeth C. Brooks Elementary School</t>
  </si>
  <si>
    <t>02930027</t>
  </si>
  <si>
    <t>Elizabeth Pole School</t>
  </si>
  <si>
    <t>02010075</t>
  </si>
  <si>
    <t>Ellen R. Hathaway Elementary School</t>
  </si>
  <si>
    <t>03480095</t>
  </si>
  <si>
    <t>Elm Park Community School</t>
  </si>
  <si>
    <t>01030001</t>
  </si>
  <si>
    <t>Elm St. School</t>
  </si>
  <si>
    <t>07450005</t>
  </si>
  <si>
    <t>Elmer S. Bagnall School</t>
  </si>
  <si>
    <t>01390010</t>
  </si>
  <si>
    <t>Elmwood School</t>
  </si>
  <si>
    <t>01860017</t>
  </si>
  <si>
    <t>Elmwood Street School</t>
  </si>
  <si>
    <t>03210025</t>
  </si>
  <si>
    <t>Elsie A Hastings Elementary School</t>
  </si>
  <si>
    <t>02010020</t>
  </si>
  <si>
    <t>Elwyn G. Campbell Elementary School</t>
  </si>
  <si>
    <t>00200001</t>
  </si>
  <si>
    <t>Enoch Cobb Early Learning Center</t>
  </si>
  <si>
    <t>00910030</t>
  </si>
  <si>
    <t>Erving Elementary School</t>
  </si>
  <si>
    <t>06980020</t>
  </si>
  <si>
    <t>Essex Elementary School</t>
  </si>
  <si>
    <t>00310030</t>
  </si>
  <si>
    <t>Eugene C. Vining School</t>
  </si>
  <si>
    <t>04100205</t>
  </si>
  <si>
    <t>Excel Academy Charter Chelsea</t>
  </si>
  <si>
    <t>T0000020</t>
  </si>
  <si>
    <t>Excel Academy Charter East Boston</t>
  </si>
  <si>
    <t>T0000019</t>
  </si>
  <si>
    <t>Excel Academy Charter High School</t>
  </si>
  <si>
    <t>T0000022</t>
  </si>
  <si>
    <t>Excel Academy Charter Orient Heights</t>
  </si>
  <si>
    <t>T0000021</t>
  </si>
  <si>
    <t>06450005</t>
  </si>
  <si>
    <t>Ezra H. Baker School</t>
  </si>
  <si>
    <t>00610050</t>
  </si>
  <si>
    <t>Fairview Elementary School</t>
  </si>
  <si>
    <t>Coc for retests</t>
  </si>
  <si>
    <t>02120010</t>
  </si>
  <si>
    <t>Falls School</t>
  </si>
  <si>
    <t>Yes (11/14/16)</t>
  </si>
  <si>
    <t>01630525</t>
  </si>
  <si>
    <t>Fecteau-Leary Junior/Senior High School</t>
  </si>
  <si>
    <t>01140010</t>
  </si>
  <si>
    <t>Federal Street School</t>
  </si>
  <si>
    <t xml:space="preserve">T0000012 </t>
  </si>
  <si>
    <t>Finberg Public Day School</t>
  </si>
  <si>
    <t>00970505</t>
  </si>
  <si>
    <t>Fitchburg High School</t>
  </si>
  <si>
    <t>03480090</t>
  </si>
  <si>
    <t>Flagg Street School</t>
  </si>
  <si>
    <t>06730010</t>
  </si>
  <si>
    <t>Florence Roche School</t>
  </si>
  <si>
    <t>01410015</t>
  </si>
  <si>
    <t>Forest Avenue Elementary School</t>
  </si>
  <si>
    <t>03480415</t>
  </si>
  <si>
    <t>Forest Grove Middle School</t>
  </si>
  <si>
    <t>02810325</t>
  </si>
  <si>
    <t>Forest Park Middle School</t>
  </si>
  <si>
    <t>Forestdale School</t>
  </si>
  <si>
    <t>00080020</t>
  </si>
  <si>
    <t>Fort River Elementary School</t>
  </si>
  <si>
    <t>Yes (9/15/16)</t>
  </si>
  <si>
    <t>04460550</t>
  </si>
  <si>
    <t>Foxborough Regional Charter School</t>
  </si>
  <si>
    <t>03480177</t>
  </si>
  <si>
    <t>Francis J. McGrath Elementary School</t>
  </si>
  <si>
    <t>Yes (12/8/16)</t>
  </si>
  <si>
    <t>Sent to LCCA 3/6/17</t>
  </si>
  <si>
    <t>01490040</t>
  </si>
  <si>
    <t>Francis M. Leahy School</t>
  </si>
  <si>
    <t>DEVENS-CS</t>
  </si>
  <si>
    <t>04780505</t>
  </si>
  <si>
    <t>Francis W. Parker Charter Essential School</t>
  </si>
  <si>
    <t>02430075</t>
  </si>
  <si>
    <t>Francis W. Parker School</t>
  </si>
  <si>
    <t>02810075</t>
  </si>
  <si>
    <t>Frank H. Freedman School</t>
  </si>
  <si>
    <t>00950005</t>
  </si>
  <si>
    <t>Frank M. Silvia Elementary School/ North End School</t>
  </si>
  <si>
    <t>02110010</t>
  </si>
  <si>
    <t>Franklin School</t>
  </si>
  <si>
    <t>02810080</t>
  </si>
  <si>
    <t>Frederick Harris School</t>
  </si>
  <si>
    <t>00310007</t>
  </si>
  <si>
    <t>Frederick J. Dutile School</t>
  </si>
  <si>
    <t>06220405</t>
  </si>
  <si>
    <t>Frederick W. Hartnett Middle School</t>
  </si>
  <si>
    <t>02080005</t>
  </si>
  <si>
    <t>Freeman-Kennedy School</t>
  </si>
  <si>
    <t>00010405</t>
  </si>
  <si>
    <t>Frolio Middle School</t>
  </si>
  <si>
    <t>06700505</t>
  </si>
  <si>
    <t>Frontier Regional High School</t>
  </si>
  <si>
    <t>01490525</t>
  </si>
  <si>
    <t>Frost Middle School</t>
  </si>
  <si>
    <t>01710310</t>
  </si>
  <si>
    <t>Furnace Brook Middle School</t>
  </si>
  <si>
    <t>02431005</t>
  </si>
  <si>
    <t>G.O.A.L.S. Bldg</t>
  </si>
  <si>
    <t>03050310</t>
  </si>
  <si>
    <t>Galvin School</t>
  </si>
  <si>
    <t>01030515</t>
  </si>
  <si>
    <t>Gardner Academy for Learning and Technology</t>
  </si>
  <si>
    <t>01030505</t>
  </si>
  <si>
    <t>Gardner High School</t>
  </si>
  <si>
    <t>Yes (9/30/16)</t>
  </si>
  <si>
    <t>01030405</t>
  </si>
  <si>
    <t>Gardner Middle School</t>
  </si>
  <si>
    <t>02640305</t>
  </si>
  <si>
    <t>Gates Intermediate School</t>
  </si>
  <si>
    <t>03480110</t>
  </si>
  <si>
    <t>Gates Lane School</t>
  </si>
  <si>
    <t>00610090</t>
  </si>
  <si>
    <t>Gen. John J. Stefanik Memorial School</t>
  </si>
  <si>
    <t>03481004</t>
  </si>
  <si>
    <t>Gerald Creamer Center School</t>
  </si>
  <si>
    <t>02810195</t>
  </si>
  <si>
    <t>German Gerena Community School</t>
  </si>
  <si>
    <t>00440050</t>
  </si>
  <si>
    <t>Gilmore School</t>
  </si>
  <si>
    <t>01590017</t>
  </si>
  <si>
    <t>Glenbrook Middle School</t>
  </si>
  <si>
    <t>02810065</t>
  </si>
  <si>
    <t>Glenwood School</t>
  </si>
  <si>
    <t>02810068</t>
  </si>
  <si>
    <t>Glickman Elementary School</t>
  </si>
  <si>
    <t>01070505</t>
  </si>
  <si>
    <t>Gloucester High School</t>
  </si>
  <si>
    <t>00440400</t>
  </si>
  <si>
    <t>Goddard Alternative School</t>
  </si>
  <si>
    <t>03480100</t>
  </si>
  <si>
    <t>Goddard School/Science Tech. School</t>
  </si>
  <si>
    <t>01280026</t>
  </si>
  <si>
    <t>Golden Hill School</t>
  </si>
  <si>
    <t>00970510</t>
  </si>
  <si>
    <t>Goodrich Academy School</t>
  </si>
  <si>
    <t>01710020</t>
  </si>
  <si>
    <t>Governor Winslow Elementary School</t>
  </si>
  <si>
    <t>02190005</t>
  </si>
  <si>
    <t>Grace Farrar Cole School</t>
  </si>
  <si>
    <t>03480115</t>
  </si>
  <si>
    <t>Grafton Street School</t>
  </si>
  <si>
    <t>01910310</t>
  </si>
  <si>
    <t>Granite Valley Middle School</t>
  </si>
  <si>
    <t>06800305</t>
  </si>
  <si>
    <t>Green Meadows Elementary School</t>
  </si>
  <si>
    <t>01140030</t>
  </si>
  <si>
    <t>Green River School</t>
  </si>
  <si>
    <t>T0000006</t>
  </si>
  <si>
    <t>Greendale Head Start</t>
  </si>
  <si>
    <t>01140505</t>
  </si>
  <si>
    <t>Greenfield High School</t>
  </si>
  <si>
    <t>Cont-Test</t>
  </si>
  <si>
    <t>Yes (03/20/17)</t>
  </si>
  <si>
    <t>01140305</t>
  </si>
  <si>
    <t>Greenfield Middle School</t>
  </si>
  <si>
    <t>01600015</t>
  </si>
  <si>
    <t>Greenhaldge Elementary School</t>
  </si>
  <si>
    <t>01280027</t>
  </si>
  <si>
    <t>Greenleaf School</t>
  </si>
  <si>
    <t>00730025</t>
  </si>
  <si>
    <t>Greenlodge School</t>
  </si>
  <si>
    <t>00290367</t>
  </si>
  <si>
    <t>Greenwood Children's Center</t>
  </si>
  <si>
    <t>03050020</t>
  </si>
  <si>
    <t>Greenwood School</t>
  </si>
  <si>
    <t>02090015</t>
  </si>
  <si>
    <t>Greylock Elementary School</t>
  </si>
  <si>
    <t>06730305</t>
  </si>
  <si>
    <t>Groton Dunstable Regional Middle</t>
  </si>
  <si>
    <t>02080015</t>
  </si>
  <si>
    <t>H. Olive Day School</t>
  </si>
  <si>
    <t>02930057</t>
  </si>
  <si>
    <t>H.H. Galligan School</t>
  </si>
  <si>
    <t>00310026</t>
  </si>
  <si>
    <t>Hajjar Elementary School</t>
  </si>
  <si>
    <t>06750505</t>
  </si>
  <si>
    <t>Hamilton-Wenham Regional High School</t>
  </si>
  <si>
    <t>06830505</t>
  </si>
  <si>
    <t>Hampshire Regional High School</t>
  </si>
  <si>
    <t>00440045</t>
  </si>
  <si>
    <t>Hancock School</t>
  </si>
  <si>
    <t>00300033</t>
  </si>
  <si>
    <t>Hannah Elementary School</t>
  </si>
  <si>
    <t>03150015</t>
  </si>
  <si>
    <t>Happy Hollow School</t>
  </si>
  <si>
    <t>02640010</t>
  </si>
  <si>
    <t>Hatherly Elementary School</t>
  </si>
  <si>
    <t>01280505</t>
  </si>
  <si>
    <t>Haverhill High School</t>
  </si>
  <si>
    <t>06850005</t>
  </si>
  <si>
    <t>Hawlemont Regional School</t>
  </si>
  <si>
    <t>07350030</t>
  </si>
  <si>
    <t>Hawthorne Brook School</t>
  </si>
  <si>
    <t>02010078</t>
  </si>
  <si>
    <t>Hayden-McFadden Elementary School</t>
  </si>
  <si>
    <t>03481002</t>
  </si>
  <si>
    <t>Head Start School/First STEP at Harlow</t>
  </si>
  <si>
    <t>03480136</t>
  </si>
  <si>
    <t>Heard Street School</t>
  </si>
  <si>
    <t>1130002</t>
  </si>
  <si>
    <t>07170015</t>
  </si>
  <si>
    <t>Heath Elementary School</t>
  </si>
  <si>
    <t>02950010</t>
  </si>
  <si>
    <t>Heath-Brook School</t>
  </si>
  <si>
    <t>02660015</t>
  </si>
  <si>
    <t>Heights Elementary School</t>
  </si>
  <si>
    <t>01030015</t>
  </si>
  <si>
    <t>Helen Mae Sauter School</t>
  </si>
  <si>
    <t>07450010</t>
  </si>
  <si>
    <t>Helen R. Donaghue School</t>
  </si>
  <si>
    <t>02180060</t>
  </si>
  <si>
    <t>Henri A. Yelle School</t>
  </si>
  <si>
    <t>01820008</t>
  </si>
  <si>
    <t>Henry B. Burkland Elementary School</t>
  </si>
  <si>
    <t>00140010</t>
  </si>
  <si>
    <t>Henry E. Warren Elementary School</t>
  </si>
  <si>
    <t>00950017</t>
  </si>
  <si>
    <t>Henry Lord Community School</t>
  </si>
  <si>
    <t>01490536</t>
  </si>
  <si>
    <t>High School Learning center/North Commons</t>
  </si>
  <si>
    <t>02810510</t>
  </si>
  <si>
    <t>High School Of Commerce</t>
  </si>
  <si>
    <t>00160045</t>
  </si>
  <si>
    <t>Hill-Roberts Elementary School</t>
  </si>
  <si>
    <t>02810050</t>
  </si>
  <si>
    <t>Hiram L. Dorman School</t>
  </si>
  <si>
    <t>02310010</t>
  </si>
  <si>
    <t>Hobomock Elementary School</t>
  </si>
  <si>
    <t>01360505</t>
  </si>
  <si>
    <t>Holliston High School</t>
  </si>
  <si>
    <t>01370505</t>
  </si>
  <si>
    <t>Holyoke High School</t>
  </si>
  <si>
    <t>02810085</t>
  </si>
  <si>
    <t>Homer Street School</t>
  </si>
  <si>
    <t>01630055</t>
  </si>
  <si>
    <t>Hood Elementary School</t>
  </si>
  <si>
    <t>06030505</t>
  </si>
  <si>
    <t>Hoosac Valley Middle &amp; High School</t>
  </si>
  <si>
    <t>01380505</t>
  </si>
  <si>
    <t>Hopedale Jr Sr High School</t>
  </si>
  <si>
    <t>02930035</t>
  </si>
  <si>
    <t>Hopewell School</t>
  </si>
  <si>
    <t>01390015</t>
  </si>
  <si>
    <t>Hopkins Elementary School</t>
  </si>
  <si>
    <t>01390505</t>
  </si>
  <si>
    <t>Hopkinton High School</t>
  </si>
  <si>
    <t>01390305</t>
  </si>
  <si>
    <t>Hopkinton Middle School</t>
  </si>
  <si>
    <t>04270010</t>
  </si>
  <si>
    <t>Horace Mann Charter</t>
  </si>
  <si>
    <t>02580030</t>
  </si>
  <si>
    <t>Horace Mann Laboratory School</t>
  </si>
  <si>
    <t>03140020</t>
  </si>
  <si>
    <t>Hosmer School</t>
  </si>
  <si>
    <t>01410505</t>
  </si>
  <si>
    <t>Hudson High School</t>
  </si>
  <si>
    <t>01420505</t>
  </si>
  <si>
    <t>Hull High School</t>
  </si>
  <si>
    <t>00440055</t>
  </si>
  <si>
    <t>Huntington School</t>
  </si>
  <si>
    <t>00200025</t>
  </si>
  <si>
    <t>Hyannis West Elementary School</t>
  </si>
  <si>
    <t>00160040</t>
  </si>
  <si>
    <t>Hyman Fine Elementary School</t>
  </si>
  <si>
    <t>02810100</t>
  </si>
  <si>
    <t>Indian Orchard Elementary School</t>
  </si>
  <si>
    <t>01630060</t>
  </si>
  <si>
    <t>Ingalls Elementary School</t>
  </si>
  <si>
    <t>02180015</t>
  </si>
  <si>
    <t>J C Solmonese School</t>
  </si>
  <si>
    <t>03210005</t>
  </si>
  <si>
    <t>J Harding Armstrong School</t>
  </si>
  <si>
    <t>00240025</t>
  </si>
  <si>
    <t>Jabish Middle School</t>
  </si>
  <si>
    <t>03480140</t>
  </si>
  <si>
    <t>Jacob Hiatt Magnet School</t>
  </si>
  <si>
    <t>02010040</t>
  </si>
  <si>
    <t>James B. Congdon Elementary School</t>
  </si>
  <si>
    <t>01490020</t>
  </si>
  <si>
    <t>James F Hennessey School</t>
  </si>
  <si>
    <t>03140025</t>
  </si>
  <si>
    <t>James Russell Lowell School</t>
  </si>
  <si>
    <t>00950140</t>
  </si>
  <si>
    <t>James Tansey School</t>
  </si>
  <si>
    <t>02510060</t>
  </si>
  <si>
    <t>Jefferson Elementary School</t>
  </si>
  <si>
    <t>Yes (10/7/16)</t>
  </si>
  <si>
    <t>02640015</t>
  </si>
  <si>
    <t>Jenkins Elementary School</t>
  </si>
  <si>
    <t>02010130</t>
  </si>
  <si>
    <t>Jireh Swift Elementary School</t>
  </si>
  <si>
    <t>02010115</t>
  </si>
  <si>
    <t>John A. Parker Elementary School</t>
  </si>
  <si>
    <t>03320005</t>
  </si>
  <si>
    <t>John Ashley School</t>
  </si>
  <si>
    <t>02010050</t>
  </si>
  <si>
    <t>John B. Devalles Elementary School</t>
  </si>
  <si>
    <t>Yes (03/08/17)</t>
  </si>
  <si>
    <t>YES?</t>
  </si>
  <si>
    <t>01770013</t>
  </si>
  <si>
    <t>John D Mc Govern Elementary School</t>
  </si>
  <si>
    <t>02290007</t>
  </si>
  <si>
    <t>John E Burke School</t>
  </si>
  <si>
    <t>02290016</t>
  </si>
  <si>
    <t>John E. McCarthy School</t>
  </si>
  <si>
    <t>02810328</t>
  </si>
  <si>
    <t>John F Kennedy Middle School</t>
  </si>
  <si>
    <t>00440017</t>
  </si>
  <si>
    <t>John F Kennedy School</t>
  </si>
  <si>
    <t>02930305</t>
  </si>
  <si>
    <t>John F Parker Middle School</t>
  </si>
  <si>
    <t>06220008</t>
  </si>
  <si>
    <t>John F. Kennedy Elementary School</t>
  </si>
  <si>
    <t>00310012</t>
  </si>
  <si>
    <t>John F. Kennedy School</t>
  </si>
  <si>
    <t>00500017</t>
  </si>
  <si>
    <t>02950023</t>
  </si>
  <si>
    <t>John F. Ryan School</t>
  </si>
  <si>
    <t>01280085</t>
  </si>
  <si>
    <t>John G Whittier School</t>
  </si>
  <si>
    <t>?</t>
  </si>
  <si>
    <t>02010070</t>
  </si>
  <si>
    <t>John Hannigan Elementary School</t>
  </si>
  <si>
    <t>00950045</t>
  </si>
  <si>
    <t>John J. Doran School</t>
  </si>
  <si>
    <t>02810320</t>
  </si>
  <si>
    <t>John J. Duggan Academy</t>
  </si>
  <si>
    <t>01490075</t>
  </si>
  <si>
    <t>John K. Tarbox School</t>
  </si>
  <si>
    <t>03320010</t>
  </si>
  <si>
    <t>John R Fausey School</t>
  </si>
  <si>
    <t>02510305</t>
  </si>
  <si>
    <t>John W Rogers Middle School</t>
  </si>
  <si>
    <t>02950305</t>
  </si>
  <si>
    <t>John W. Wynn Middle School</t>
  </si>
  <si>
    <t>03100003</t>
  </si>
  <si>
    <t>John William Decas School</t>
  </si>
  <si>
    <t>01960010</t>
  </si>
  <si>
    <t>Johnson Elementary School</t>
  </si>
  <si>
    <t>Yes (9/12/16)</t>
  </si>
  <si>
    <t>0290140</t>
  </si>
  <si>
    <t>Johnson School Pre Kindergarten</t>
  </si>
  <si>
    <t>02930008</t>
  </si>
  <si>
    <t>Joseph C Chamberlain School</t>
  </si>
  <si>
    <t>00440422</t>
  </si>
  <si>
    <t>Joseph F. Plouffe Academy</t>
  </si>
  <si>
    <t>02930042</t>
  </si>
  <si>
    <t>Joseph H. Martin School</t>
  </si>
  <si>
    <t>01370003</t>
  </si>
  <si>
    <t>Joseph Metcalf Early Education &amp; Pre-school</t>
  </si>
  <si>
    <t>08290605</t>
  </si>
  <si>
    <t>Joseph P. Keefe Technical High School</t>
  </si>
  <si>
    <t xml:space="preserve"> (MWRA)</t>
  </si>
  <si>
    <t>02120013</t>
  </si>
  <si>
    <t>Joseph W. Martin Jr. School</t>
  </si>
  <si>
    <t>01630030</t>
  </si>
  <si>
    <t>Julia F. Callahan Elementary School</t>
  </si>
  <si>
    <t>00790410</t>
  </si>
  <si>
    <t>Justus C. Richardson Middle School</t>
  </si>
  <si>
    <t>02010405</t>
  </si>
  <si>
    <t>Keith Middle School</t>
  </si>
  <si>
    <t>01370040</t>
  </si>
  <si>
    <t>Kelly Full Service Community School</t>
  </si>
  <si>
    <t>02810110</t>
  </si>
  <si>
    <t>Kensington Internationa School</t>
  </si>
  <si>
    <t>02110015</t>
  </si>
  <si>
    <t>Kittredge School</t>
  </si>
  <si>
    <t>02180010</t>
  </si>
  <si>
    <t>L G Nourse Elementary School</t>
  </si>
  <si>
    <t>02950001</t>
  </si>
  <si>
    <t>L.F. Dewing School</t>
  </si>
  <si>
    <t>03480145</t>
  </si>
  <si>
    <t>Lake View School</t>
  </si>
  <si>
    <t>00610040</t>
  </si>
  <si>
    <t>Lambert-Lavoie Memorial Elementary School</t>
  </si>
  <si>
    <t>01490002</t>
  </si>
  <si>
    <t>Lawlor Early Childhood Center</t>
  </si>
  <si>
    <t>01490011</t>
  </si>
  <si>
    <t>Lawrence Family Public Academy</t>
  </si>
  <si>
    <t>01370070</t>
  </si>
  <si>
    <t>Lawrence Full Service Community School</t>
  </si>
  <si>
    <t>01510505</t>
  </si>
  <si>
    <t>Leicester High School</t>
  </si>
  <si>
    <t>01510005</t>
  </si>
  <si>
    <t>Leicester Memorial Elementary School</t>
  </si>
  <si>
    <t>01510015</t>
  </si>
  <si>
    <t>Leicester Middle School</t>
  </si>
  <si>
    <t>Uploaded retest CoC, dated 2/4/2017</t>
  </si>
  <si>
    <t>01510010</t>
  </si>
  <si>
    <t>Leicester Primary School</t>
  </si>
  <si>
    <t>00950013</t>
  </si>
  <si>
    <t>Letourneau Elementary School</t>
  </si>
  <si>
    <t>02810560</t>
  </si>
  <si>
    <t>Liberty Preparatory Academy/SpringfieldHigh School-2 schools, 1 building</t>
  </si>
  <si>
    <t>02810115</t>
  </si>
  <si>
    <t>Liberty School</t>
  </si>
  <si>
    <t>01420015</t>
  </si>
  <si>
    <t>Lillian M Jacobs School</t>
  </si>
  <si>
    <t>01600020</t>
  </si>
  <si>
    <t>Lincoln Elementary School</t>
  </si>
  <si>
    <t>02911716</t>
  </si>
  <si>
    <t>Lincoln Lab's Children's Center</t>
  </si>
  <si>
    <t>02810120</t>
  </si>
  <si>
    <t>Lincoln School</t>
  </si>
  <si>
    <t>01780020</t>
  </si>
  <si>
    <t>Yes (2/13/17)</t>
  </si>
  <si>
    <t>03480160</t>
  </si>
  <si>
    <t>Lincoln Street School</t>
  </si>
  <si>
    <t>02430035</t>
  </si>
  <si>
    <t>Lincoln-Hancock Community School</t>
  </si>
  <si>
    <t>06950505</t>
  </si>
  <si>
    <t>Lincoln-Sudbury Regional High School</t>
  </si>
  <si>
    <t>01630070</t>
  </si>
  <si>
    <t>Lincoln-Thomson Elementary School</t>
  </si>
  <si>
    <t>01580505</t>
  </si>
  <si>
    <t>Littleton High School</t>
  </si>
  <si>
    <t>01580305</t>
  </si>
  <si>
    <t>Littleton Middle School</t>
  </si>
  <si>
    <t>03150020</t>
  </si>
  <si>
    <t>Loker School</t>
  </si>
  <si>
    <t>01590505</t>
  </si>
  <si>
    <t>Longmeadow High School</t>
  </si>
  <si>
    <t>00440065</t>
  </si>
  <si>
    <t>Louis F. Angelo Elementary School</t>
  </si>
  <si>
    <t>02950025</t>
  </si>
  <si>
    <t>Louise Davy Trahan School</t>
  </si>
  <si>
    <t>00500012</t>
  </si>
  <si>
    <t>Lt. Peter M. Hansen School</t>
  </si>
  <si>
    <t>06160001</t>
  </si>
  <si>
    <t>Lura A. White Elementary School</t>
  </si>
  <si>
    <t>06000030</t>
  </si>
  <si>
    <t>Luther Conant School</t>
  </si>
  <si>
    <t>01630510</t>
  </si>
  <si>
    <t>Lynn English High School</t>
  </si>
  <si>
    <t>01630605</t>
  </si>
  <si>
    <t>Lynn Vocational Technical Institute</t>
  </si>
  <si>
    <t>01630075</t>
  </si>
  <si>
    <t>Lynn Woods Elementary School</t>
  </si>
  <si>
    <t>02620040</t>
  </si>
  <si>
    <t>Lynnhurst School</t>
  </si>
  <si>
    <t>02810330</t>
  </si>
  <si>
    <t>M Marcus Kiley Middle School</t>
  </si>
  <si>
    <t>06980030</t>
  </si>
  <si>
    <t>Manchester Essex Regional Middle High School</t>
  </si>
  <si>
    <t>06980010</t>
  </si>
  <si>
    <t>Manchester Memorial Elementary School</t>
  </si>
  <si>
    <t>00440003</t>
  </si>
  <si>
    <t>Manthala George School </t>
  </si>
  <si>
    <t>00860010</t>
  </si>
  <si>
    <t>Maple School</t>
  </si>
  <si>
    <t>00870010</t>
  </si>
  <si>
    <t>Mapleshade School</t>
  </si>
  <si>
    <t>02760020</t>
  </si>
  <si>
    <t>Margaret A Neary School</t>
  </si>
  <si>
    <t>02810060</t>
  </si>
  <si>
    <t>Margaret C Ells School</t>
  </si>
  <si>
    <t>06450015</t>
  </si>
  <si>
    <t>Marguerite E. Small Elementary School</t>
  </si>
  <si>
    <t>01810030</t>
  </si>
  <si>
    <t>Marsh Grammar School</t>
  </si>
  <si>
    <t>01710505</t>
  </si>
  <si>
    <t>Marshfield High School</t>
  </si>
  <si>
    <t>07000505</t>
  </si>
  <si>
    <t>Martha's Vineyard Regional High School</t>
  </si>
  <si>
    <t>01710025</t>
  </si>
  <si>
    <t>Martinson Elementary School</t>
  </si>
  <si>
    <t>02810125</t>
  </si>
  <si>
    <t>Mary A. Dryden Veterans Memorial School</t>
  </si>
  <si>
    <t>00440002</t>
  </si>
  <si>
    <t xml:space="preserve">Mary Baker School </t>
  </si>
  <si>
    <t>02760008</t>
  </si>
  <si>
    <t>Mary E Finn School</t>
  </si>
  <si>
    <t>00950011</t>
  </si>
  <si>
    <t>Mary Fonseca Elementary School</t>
  </si>
  <si>
    <t>already in</t>
  </si>
  <si>
    <t>01820010</t>
  </si>
  <si>
    <t>Mary K. Goode Elementary School</t>
  </si>
  <si>
    <t>00260010</t>
  </si>
  <si>
    <t>Mary Lee Burbank School</t>
  </si>
  <si>
    <t>02810140</t>
  </si>
  <si>
    <t>Mary M. Lynch School</t>
  </si>
  <si>
    <t>02810155</t>
  </si>
  <si>
    <t>Mary M. Walsh School</t>
  </si>
  <si>
    <t>02810145</t>
  </si>
  <si>
    <t>Mary O. Pottenger School</t>
  </si>
  <si>
    <t>06450305</t>
  </si>
  <si>
    <t>Mattacheese Middle School</t>
  </si>
  <si>
    <t>Yes (12/29/16)</t>
  </si>
  <si>
    <t>00950320</t>
  </si>
  <si>
    <t>Matthew J. Kuss Middle School</t>
  </si>
  <si>
    <t>03480175</t>
  </si>
  <si>
    <t>May Street School</t>
  </si>
  <si>
    <t>01600075</t>
  </si>
  <si>
    <t>McAuliffe Elementary School</t>
  </si>
  <si>
    <t>01600010</t>
  </si>
  <si>
    <t>McAvinnue Elementary School</t>
  </si>
  <si>
    <t>00560310</t>
  </si>
  <si>
    <t>McCarthy Middle School</t>
  </si>
  <si>
    <t>06000015</t>
  </si>
  <si>
    <t>McCarthy-Towne School</t>
  </si>
  <si>
    <t>03040015</t>
  </si>
  <si>
    <t>McCloskey Middle School</t>
  </si>
  <si>
    <t>00970340</t>
  </si>
  <si>
    <t>McKay Arts Academy School</t>
  </si>
  <si>
    <t>00300002</t>
  </si>
  <si>
    <t>McKeown School</t>
  </si>
  <si>
    <t>01370015</t>
  </si>
  <si>
    <t>McMahon School</t>
  </si>
  <si>
    <t>00870013</t>
  </si>
  <si>
    <t>Meadow Brook School</t>
  </si>
  <si>
    <t>01770505</t>
  </si>
  <si>
    <t>Medway High School</t>
  </si>
  <si>
    <t>01770305</t>
  </si>
  <si>
    <t>Medway Middle School</t>
  </si>
  <si>
    <t>01780505</t>
  </si>
  <si>
    <t>Melrose High School</t>
  </si>
  <si>
    <t>01820011</t>
  </si>
  <si>
    <t>Memorial Early Childhood Center</t>
  </si>
  <si>
    <t>00970048</t>
  </si>
  <si>
    <t>Memorial Intermediate School</t>
  </si>
  <si>
    <t xml:space="preserve">may have issues with results, lab log in numbers are not all consecutive </t>
  </si>
  <si>
    <t>01420305</t>
  </si>
  <si>
    <t>Memorial Middle School</t>
  </si>
  <si>
    <t>02510020</t>
  </si>
  <si>
    <t>Memorial Park School</t>
  </si>
  <si>
    <t>01380010</t>
  </si>
  <si>
    <t>Memorial School</t>
  </si>
  <si>
    <t>03320025</t>
  </si>
  <si>
    <t>03430040</t>
  </si>
  <si>
    <t>06000010</t>
  </si>
  <si>
    <t>Merriam School</t>
  </si>
  <si>
    <t>02430060</t>
  </si>
  <si>
    <t>Merrymount School</t>
  </si>
  <si>
    <t>Yes (10/28)</t>
  </si>
  <si>
    <t>01810505</t>
  </si>
  <si>
    <t>Methuen High School</t>
  </si>
  <si>
    <t>01820505</t>
  </si>
  <si>
    <t>Middleborough High School</t>
  </si>
  <si>
    <t>03480185</t>
  </si>
  <si>
    <t>Midland Street School</t>
  </si>
  <si>
    <t>06800025</t>
  </si>
  <si>
    <t>Mile Tree Elementary School</t>
  </si>
  <si>
    <t>06750310</t>
  </si>
  <si>
    <t>Miles River Middle School</t>
  </si>
  <si>
    <t>03210045</t>
  </si>
  <si>
    <t>Mill Pond School</t>
  </si>
  <si>
    <t>T0000008</t>
  </si>
  <si>
    <t>Mill Swan Head Start</t>
  </si>
  <si>
    <t xml:space="preserve">NO </t>
  </si>
  <si>
    <t>was already in Tool</t>
  </si>
  <si>
    <t>01860505</t>
  </si>
  <si>
    <t>Millbury Junior/Senior High School</t>
  </si>
  <si>
    <t>T000007</t>
  </si>
  <si>
    <t>Millbury Street Head Start</t>
  </si>
  <si>
    <t>01360007</t>
  </si>
  <si>
    <t>Miller School</t>
  </si>
  <si>
    <t>02810023</t>
  </si>
  <si>
    <t>Milton Bradley School</t>
  </si>
  <si>
    <t>06800505</t>
  </si>
  <si>
    <t>Minnechaug Regional High School</t>
  </si>
  <si>
    <t>03100017</t>
  </si>
  <si>
    <t>Minot Forest School</t>
  </si>
  <si>
    <t>08300605</t>
  </si>
  <si>
    <t>Minuteman Regional High</t>
  </si>
  <si>
    <t>03320030</t>
  </si>
  <si>
    <t>Mittineague School</t>
  </si>
  <si>
    <t>07170505</t>
  </si>
  <si>
    <t>Mohawk Trail Regional High  School</t>
  </si>
  <si>
    <t>01910505</t>
  </si>
  <si>
    <t>Monson High School</t>
  </si>
  <si>
    <t>08320605</t>
  </si>
  <si>
    <t>Montachusett Regional Vocational Technical School</t>
  </si>
  <si>
    <t>02430065</t>
  </si>
  <si>
    <t>Montclair School</t>
  </si>
  <si>
    <t>01280045</t>
  </si>
  <si>
    <t>Moody School</t>
  </si>
  <si>
    <t>00880020</t>
  </si>
  <si>
    <t>Moreau Hall School</t>
  </si>
  <si>
    <t>01600030</t>
  </si>
  <si>
    <t>Morey Elementary School</t>
  </si>
  <si>
    <t>01370025</t>
  </si>
  <si>
    <t>Morgan Full Service Community School</t>
  </si>
  <si>
    <t>00950315</t>
  </si>
  <si>
    <t>Morton Middle School</t>
  </si>
  <si>
    <t>00870015</t>
  </si>
  <si>
    <t>Mountain View School</t>
  </si>
  <si>
    <t>02930015</t>
  </si>
  <si>
    <t>Mulcahey Elementary School</t>
  </si>
  <si>
    <t>01410007</t>
  </si>
  <si>
    <t>Mulready Elementary School</t>
  </si>
  <si>
    <t>03430405</t>
  </si>
  <si>
    <t>Murdock Academy for Success</t>
  </si>
  <si>
    <t>Within the High School</t>
  </si>
  <si>
    <t>03430515</t>
  </si>
  <si>
    <t>Murdock High School</t>
  </si>
  <si>
    <t>03430315</t>
  </si>
  <si>
    <t>Murdock Middle School</t>
  </si>
  <si>
    <t>01600080</t>
  </si>
  <si>
    <t>Murkland Elementary School</t>
  </si>
  <si>
    <t>06450050</t>
  </si>
  <si>
    <t>N. H. Wixon Innovation School</t>
  </si>
  <si>
    <t>02580025</t>
  </si>
  <si>
    <t>Nathaniel Bowditch Elementary  School</t>
  </si>
  <si>
    <t>Yes (2/17/17)</t>
  </si>
  <si>
    <t>00860020</t>
  </si>
  <si>
    <t>Neil A. Pepin School</t>
  </si>
  <si>
    <t>03480200</t>
  </si>
  <si>
    <t>Nelson Place School</t>
  </si>
  <si>
    <t>02010505</t>
  </si>
  <si>
    <t>New Bedford High School</t>
  </si>
  <si>
    <t>03481006</t>
  </si>
  <si>
    <t>New Citizens Center</t>
  </si>
  <si>
    <t>1060004</t>
  </si>
  <si>
    <t>06320025</t>
  </si>
  <si>
    <t>New Hingham Regional Elementary School</t>
  </si>
  <si>
    <t>04670505</t>
  </si>
  <si>
    <t>New Liberty Innovation School</t>
  </si>
  <si>
    <t>01140035</t>
  </si>
  <si>
    <t>Newton School</t>
  </si>
  <si>
    <t>01820305</t>
  </si>
  <si>
    <t>Nichols Middle School</t>
  </si>
  <si>
    <t>07350310</t>
  </si>
  <si>
    <t>Nissitissit Middle School</t>
  </si>
  <si>
    <t>02010410</t>
  </si>
  <si>
    <t>Normandin Middle School</t>
  </si>
  <si>
    <t>03480202</t>
  </si>
  <si>
    <t>Norrback Avenue School</t>
  </si>
  <si>
    <t>02110505</t>
  </si>
  <si>
    <t>North Andover High School</t>
  </si>
  <si>
    <t>02110305</t>
  </si>
  <si>
    <t>North Andover Middle School</t>
  </si>
  <si>
    <t>02120505</t>
  </si>
  <si>
    <t>North Attleboro High School</t>
  </si>
  <si>
    <t>02120020</t>
  </si>
  <si>
    <t>North Attleborough Early Learning Center</t>
  </si>
  <si>
    <t>02120305</t>
  </si>
  <si>
    <t>North Attleborough Middle School</t>
  </si>
  <si>
    <t>change some sample plan descriptions</t>
  </si>
  <si>
    <t>00300040</t>
  </si>
  <si>
    <t>North Beverly Elementary School</t>
  </si>
  <si>
    <t>02150015</t>
  </si>
  <si>
    <t>North Brookfield Elementary School</t>
  </si>
  <si>
    <t>02150505</t>
  </si>
  <si>
    <t>North Brookfield High School</t>
  </si>
  <si>
    <t>Yes (9/22/16)</t>
  </si>
  <si>
    <t>04740505</t>
  </si>
  <si>
    <t>North Central Charter Essential School</t>
  </si>
  <si>
    <t>02730008</t>
  </si>
  <si>
    <t>North Elementary School</t>
  </si>
  <si>
    <t>03480515</t>
  </si>
  <si>
    <t>North High School</t>
  </si>
  <si>
    <t>03420060</t>
  </si>
  <si>
    <t>North Intermediate School</t>
  </si>
  <si>
    <t>00440410</t>
  </si>
  <si>
    <t>North Middle School</t>
  </si>
  <si>
    <t>02310015</t>
  </si>
  <si>
    <t>North Pembroke Elementary School</t>
  </si>
  <si>
    <t>02430510</t>
  </si>
  <si>
    <t>North Quincy High School</t>
  </si>
  <si>
    <t>02950020</t>
  </si>
  <si>
    <t>North Street School</t>
  </si>
  <si>
    <t>02140005</t>
  </si>
  <si>
    <t>Northbridge Elementary School</t>
  </si>
  <si>
    <r>
      <t xml:space="preserve">no results in Tool </t>
    </r>
    <r>
      <rPr>
        <sz val="11"/>
        <color rgb="FFFF0000"/>
        <rFont val="Calibri"/>
        <family val="2"/>
      </rPr>
      <t>for Loc # 001 - 009</t>
    </r>
  </si>
  <si>
    <t>02140505</t>
  </si>
  <si>
    <t>Northbridge High School</t>
  </si>
  <si>
    <t>02140305</t>
  </si>
  <si>
    <t>Northbridge Middle School</t>
  </si>
  <si>
    <t>07500008</t>
  </si>
  <si>
    <t>Northfield Elementary School</t>
  </si>
  <si>
    <t>02180505</t>
  </si>
  <si>
    <t>Norton High School</t>
  </si>
  <si>
    <t>02180305</t>
  </si>
  <si>
    <t>Norton Middle School</t>
  </si>
  <si>
    <t>02190505</t>
  </si>
  <si>
    <t>Norwell High School</t>
  </si>
  <si>
    <t>02190405</t>
  </si>
  <si>
    <t>Norwell Middle School</t>
  </si>
  <si>
    <t>02210005</t>
  </si>
  <si>
    <t>Oak Bluffs Elementary School</t>
  </si>
  <si>
    <t>02610025</t>
  </si>
  <si>
    <t>Oak Ridge School</t>
  </si>
  <si>
    <t>00730030</t>
  </si>
  <si>
    <t>Oakdale School</t>
  </si>
  <si>
    <t>02620050</t>
  </si>
  <si>
    <t>Oaklandvale School</t>
  </si>
  <si>
    <t xml:space="preserve">T0000014 </t>
  </si>
  <si>
    <t>Old Attleboro High School</t>
  </si>
  <si>
    <t>01730010</t>
  </si>
  <si>
    <t>Old Hammondtown School</t>
  </si>
  <si>
    <t>07400505</t>
  </si>
  <si>
    <t>Old Rochester Regional High School</t>
  </si>
  <si>
    <t>07400405</t>
  </si>
  <si>
    <t>Old Rochester Regional Jr. High School</t>
  </si>
  <si>
    <t>00880505</t>
  </si>
  <si>
    <t>Oliver Ames High School</t>
  </si>
  <si>
    <t>01490048</t>
  </si>
  <si>
    <t>Oliver Partnership School</t>
  </si>
  <si>
    <t>00440078</t>
  </si>
  <si>
    <t>Oscar F Raymond School</t>
  </si>
  <si>
    <t>02760305</t>
  </si>
  <si>
    <t>P Brent Trottier School</t>
  </si>
  <si>
    <t>06160002</t>
  </si>
  <si>
    <t>Page Hilltop Elementary School</t>
  </si>
  <si>
    <t>T0000023</t>
  </si>
  <si>
    <t>Paine School (Adult Learning Center) </t>
  </si>
  <si>
    <t>00170025</t>
  </si>
  <si>
    <t>Pakachoag School</t>
  </si>
  <si>
    <t>03160015</t>
  </si>
  <si>
    <t>Park Avenue Elementary School</t>
  </si>
  <si>
    <t>00880015</t>
  </si>
  <si>
    <t>Parkview Elementary School</t>
  </si>
  <si>
    <t>00610015</t>
  </si>
  <si>
    <t>Patrick E. Bowe Elementary School</t>
  </si>
  <si>
    <t>06000025</t>
  </si>
  <si>
    <t>Paul P. Gates Elementary School</t>
  </si>
  <si>
    <t>02290510</t>
  </si>
  <si>
    <t>Peabody Veterans Memorial High School</t>
  </si>
  <si>
    <t>1156001</t>
  </si>
  <si>
    <t>07500007</t>
  </si>
  <si>
    <t>Pearl E Rhodes Elementary School</t>
  </si>
  <si>
    <t>01370030</t>
  </si>
  <si>
    <t>Peck Full Service Community School</t>
  </si>
  <si>
    <t>00360010</t>
  </si>
  <si>
    <t>Peebles Elementaty School</t>
  </si>
  <si>
    <t>02300005</t>
  </si>
  <si>
    <t>Pelham Elementary School</t>
  </si>
  <si>
    <t>02310305</t>
  </si>
  <si>
    <t>Pembroke Community Middle School</t>
  </si>
  <si>
    <t>02310505</t>
  </si>
  <si>
    <t>Pembroke High School</t>
  </si>
  <si>
    <t>01280054</t>
  </si>
  <si>
    <t>Pentucket Lake Elementary School</t>
  </si>
  <si>
    <t>07450405</t>
  </si>
  <si>
    <t>Pentucket Regional Middle School</t>
  </si>
  <si>
    <t>07450505</t>
  </si>
  <si>
    <t>Pentucket Regional Sr. High School</t>
  </si>
  <si>
    <t>00160050</t>
  </si>
  <si>
    <t>Peter Thatcher Elementary School</t>
  </si>
  <si>
    <t>retest 1-7-17</t>
  </si>
  <si>
    <t>03320007</t>
  </si>
  <si>
    <t>Philip G Coburn School</t>
  </si>
  <si>
    <t>T0000015</t>
  </si>
  <si>
    <t>Phillips School</t>
  </si>
  <si>
    <t>01630420</t>
  </si>
  <si>
    <t>Pickering Middle School</t>
  </si>
  <si>
    <t>2 samples to be done 2/7</t>
  </si>
  <si>
    <t>1217002</t>
  </si>
  <si>
    <t>07500505</t>
  </si>
  <si>
    <t>Pioneer Valley Regional School</t>
  </si>
  <si>
    <t>01360010</t>
  </si>
  <si>
    <t>Placentino Elementary School</t>
  </si>
  <si>
    <t>01070042</t>
  </si>
  <si>
    <t>Plum Cove School</t>
  </si>
  <si>
    <t>06030020</t>
  </si>
  <si>
    <t>Plunkett Elementary School</t>
  </si>
  <si>
    <t>02430325</t>
  </si>
  <si>
    <t>Point Webster Middle School</t>
  </si>
  <si>
    <t>POST Academy</t>
  </si>
  <si>
    <t>Within high school</t>
  </si>
  <si>
    <t>07660315</t>
  </si>
  <si>
    <t>Powder Mill School</t>
  </si>
  <si>
    <t>02911886</t>
  </si>
  <si>
    <t>Prime Time After School at Wildwood</t>
  </si>
  <si>
    <t>04870550</t>
  </si>
  <si>
    <t>Prospect Hill Academy Charter</t>
  </si>
  <si>
    <t>02420020</t>
  </si>
  <si>
    <t>Provincetown Early Learning Center</t>
  </si>
  <si>
    <t>Within Provincetown Schools</t>
  </si>
  <si>
    <t>Provincetown Schools</t>
  </si>
  <si>
    <t>01600018</t>
  </si>
  <si>
    <t>Pyne Arts School</t>
  </si>
  <si>
    <t>07780505</t>
  </si>
  <si>
    <t>Quaboag Regional High School</t>
  </si>
  <si>
    <t>07780305</t>
  </si>
  <si>
    <t>Quaboag Regional Middle School</t>
  </si>
  <si>
    <t>Middle school within high school</t>
  </si>
  <si>
    <t>01910025</t>
  </si>
  <si>
    <t>Quarry Hill Community School</t>
  </si>
  <si>
    <t>02430505</t>
  </si>
  <si>
    <t>Quincy High School</t>
  </si>
  <si>
    <t>03480210</t>
  </si>
  <si>
    <t>Quinsigamond School</t>
  </si>
  <si>
    <t>02510025</t>
  </si>
  <si>
    <t>R. Stewart Esten School</t>
  </si>
  <si>
    <t>03490010</t>
  </si>
  <si>
    <t>R.H. Conwell Elementary School      </t>
  </si>
  <si>
    <t>01070305</t>
  </si>
  <si>
    <t>Ralph B. O'Maley Middle School</t>
  </si>
  <si>
    <t>00180010</t>
  </si>
  <si>
    <t>Ralph D. Butler School</t>
  </si>
  <si>
    <t>01860025</t>
  </si>
  <si>
    <t>Raymond E. Shaw Elementary School</t>
  </si>
  <si>
    <t>06000405</t>
  </si>
  <si>
    <t>Raymond J. Grey Junior High School</t>
  </si>
  <si>
    <t>02430320</t>
  </si>
  <si>
    <t>Reay E. Sterling Middle School</t>
  </si>
  <si>
    <t>02810055</t>
  </si>
  <si>
    <t>Rebecca M Johnson School</t>
  </si>
  <si>
    <t>00970043</t>
  </si>
  <si>
    <t>Reingold Elementary School</t>
  </si>
  <si>
    <t>02010124</t>
  </si>
  <si>
    <t>Renaissance Community School for the Arts</t>
  </si>
  <si>
    <t>Within Alfred J. Gomes School</t>
  </si>
  <si>
    <t>Renaissance/Van Sickle School</t>
  </si>
  <si>
    <t>00950335</t>
  </si>
  <si>
    <t>Resiliency Middle School</t>
  </si>
  <si>
    <t>Within Resiliency Preparatory School</t>
  </si>
  <si>
    <t>00950325</t>
  </si>
  <si>
    <t>Resiliency Preparatory School</t>
  </si>
  <si>
    <t>03480215</t>
  </si>
  <si>
    <t>Rice Square School</t>
  </si>
  <si>
    <t>00880025</t>
  </si>
  <si>
    <t>Richardson Olmsted School</t>
  </si>
  <si>
    <t>00730045</t>
  </si>
  <si>
    <t>Riverdale School</t>
  </si>
  <si>
    <t>More results recvd 10/27/16 for 11 samples done 9/29/16</t>
  </si>
  <si>
    <t>01360305</t>
  </si>
  <si>
    <t>Robert H Adams Middle School</t>
  </si>
  <si>
    <t>00160305</t>
  </si>
  <si>
    <t>Robert J. Coelho School</t>
  </si>
  <si>
    <t>retest 12/10/16</t>
  </si>
  <si>
    <t>01630050</t>
  </si>
  <si>
    <t>Robert L. Ford Elementary School</t>
  </si>
  <si>
    <t>02510505</t>
  </si>
  <si>
    <t>Rockland Senior High School</t>
  </si>
  <si>
    <t>00500010</t>
  </si>
  <si>
    <t>Rodman Early Childhood Center</t>
  </si>
  <si>
    <t>00260035</t>
  </si>
  <si>
    <t>Roger E. Wellington School</t>
  </si>
  <si>
    <t>02810620</t>
  </si>
  <si>
    <t>Roger L. Putnam Vocational Technical Academy</t>
  </si>
  <si>
    <t>01490001</t>
  </si>
  <si>
    <t>Rollins Early Childhood Center</t>
  </si>
  <si>
    <t>02120015</t>
  </si>
  <si>
    <t>Roosevelt Avenue School</t>
  </si>
  <si>
    <t>???</t>
  </si>
  <si>
    <t>problem with missing locations/ 2 CoCs</t>
  </si>
  <si>
    <t>02010415</t>
  </si>
  <si>
    <t>Roosevelt Middle School</t>
  </si>
  <si>
    <t>03480220</t>
  </si>
  <si>
    <t>Roosevelt School</t>
  </si>
  <si>
    <t>01780035</t>
  </si>
  <si>
    <t>01580015</t>
  </si>
  <si>
    <t>Russell St Elementary School</t>
  </si>
  <si>
    <t>04850485</t>
  </si>
  <si>
    <t>Salem Academy Charter School</t>
  </si>
  <si>
    <t>02580001</t>
  </si>
  <si>
    <t>Salem Early Childhood Center</t>
  </si>
  <si>
    <t>02580505</t>
  </si>
  <si>
    <t>Salem High School</t>
  </si>
  <si>
    <t>02580515</t>
  </si>
  <si>
    <t>Salem Prep High School</t>
  </si>
  <si>
    <t>02580050</t>
  </si>
  <si>
    <t>Saltonstall Elementary School</t>
  </si>
  <si>
    <t>Yes (2/8/17)</t>
  </si>
  <si>
    <t>02810020</t>
  </si>
  <si>
    <t>Samuel Bowles School</t>
  </si>
  <si>
    <t>00950145</t>
  </si>
  <si>
    <t>Samuel Watson School</t>
  </si>
  <si>
    <t>07170020</t>
  </si>
  <si>
    <t>Sanderson Academy</t>
  </si>
  <si>
    <t>Sandwich High School</t>
  </si>
  <si>
    <t>Sandwich STEM Academy</t>
  </si>
  <si>
    <t>02620505</t>
  </si>
  <si>
    <t>Saugus High School</t>
  </si>
  <si>
    <t>01491001</t>
  </si>
  <si>
    <t>School For Expectional Study @ Bruce Annex</t>
  </si>
  <si>
    <t>02640505</t>
  </si>
  <si>
    <t>Scituate High School</t>
  </si>
  <si>
    <t>01630085</t>
  </si>
  <si>
    <t>Sewell-Anderson Elementary School</t>
  </si>
  <si>
    <t>00610022</t>
  </si>
  <si>
    <t>Sgt. Robert R. Litwin School</t>
  </si>
  <si>
    <t>02010045</t>
  </si>
  <si>
    <t>Sgt. William H. Carney Memorial Academy</t>
  </si>
  <si>
    <t>01580005</t>
  </si>
  <si>
    <t>Shaker Lane Elementary School</t>
  </si>
  <si>
    <t>02660505</t>
  </si>
  <si>
    <t>Sharon High School</t>
  </si>
  <si>
    <t>02660305</t>
  </si>
  <si>
    <t>Sharon Middle School</t>
  </si>
  <si>
    <t>01600050</t>
  </si>
  <si>
    <t>Shaughnessy School</t>
  </si>
  <si>
    <t>03420025</t>
  </si>
  <si>
    <t>Shawsheen Elementary School</t>
  </si>
  <si>
    <t>04770010</t>
  </si>
  <si>
    <t>Silver Hill Horace Mann Charter School</t>
  </si>
  <si>
    <t>01690005</t>
  </si>
  <si>
    <t>Sippican School</t>
  </si>
  <si>
    <t>02430090</t>
  </si>
  <si>
    <t>Snug Harbor Community School</t>
  </si>
  <si>
    <t>07630505</t>
  </si>
  <si>
    <t>Somerset Berkley Regional High School</t>
  </si>
  <si>
    <t>02730305</t>
  </si>
  <si>
    <t>Somerset Middle School</t>
  </si>
  <si>
    <t>06800030</t>
  </si>
  <si>
    <t>Soule Road School</t>
  </si>
  <si>
    <t>06051001</t>
  </si>
  <si>
    <t>South Amherst Campus School</t>
  </si>
  <si>
    <t>Yes (9/21/16)</t>
  </si>
  <si>
    <t>02810355</t>
  </si>
  <si>
    <t>South End Middle School</t>
  </si>
  <si>
    <t>03480520</t>
  </si>
  <si>
    <t>South High Community School</t>
  </si>
  <si>
    <t>01490004</t>
  </si>
  <si>
    <t>South Lawrence East Elementary School</t>
  </si>
  <si>
    <t>02290035</t>
  </si>
  <si>
    <t>South Memorial School</t>
  </si>
  <si>
    <t>00440415</t>
  </si>
  <si>
    <t>South Middle School</t>
  </si>
  <si>
    <t>01710010</t>
  </si>
  <si>
    <t>South River Elementary School</t>
  </si>
  <si>
    <t>00560015</t>
  </si>
  <si>
    <t>South Row School</t>
  </si>
  <si>
    <t>02730015</t>
  </si>
  <si>
    <t>South School</t>
  </si>
  <si>
    <t>00970060</t>
  </si>
  <si>
    <t>South Street Elementary School</t>
  </si>
  <si>
    <t>07660505</t>
  </si>
  <si>
    <t>Southwick Regional School</t>
  </si>
  <si>
    <t>07350005</t>
  </si>
  <si>
    <t>Spaulding Memorial School</t>
  </si>
  <si>
    <t>00950130</t>
  </si>
  <si>
    <t>Spencer Borden School</t>
  </si>
  <si>
    <t>02810500</t>
  </si>
  <si>
    <t>Springfield Central High School</t>
  </si>
  <si>
    <t>02810475</t>
  </si>
  <si>
    <t>Springfield Conservatory of the Arts-Franklin Street</t>
  </si>
  <si>
    <t>Springfield Conservatory of the Arts-Kopernick Street</t>
  </si>
  <si>
    <t>02810530</t>
  </si>
  <si>
    <t>Springfield High School of Science and Technology</t>
  </si>
  <si>
    <t>02810005</t>
  </si>
  <si>
    <t>Springfield Public Day Elementary School</t>
  </si>
  <si>
    <t>02810550</t>
  </si>
  <si>
    <t>Springfield Public Day High School</t>
  </si>
  <si>
    <t>02810345</t>
  </si>
  <si>
    <t>Springfield Public Day Middle School</t>
  </si>
  <si>
    <t>02430095</t>
  </si>
  <si>
    <t>Squantum School</t>
  </si>
  <si>
    <t>03090020</t>
  </si>
  <si>
    <t>Stanley M. Koziol Elementary School</t>
  </si>
  <si>
    <t>06450025</t>
  </si>
  <si>
    <t>Station Avenue Elementary School</t>
  </si>
  <si>
    <t>02810350</t>
  </si>
  <si>
    <t>STEM Middle Academy</t>
  </si>
  <si>
    <t>01600360</t>
  </si>
  <si>
    <t>Stoklosa Middle School</t>
  </si>
  <si>
    <t>00950340</t>
  </si>
  <si>
    <t>Stone Day School</t>
  </si>
  <si>
    <t>06800050</t>
  </si>
  <si>
    <t>Stony Hill School</t>
  </si>
  <si>
    <t>00610065</t>
  </si>
  <si>
    <t>Streiber Memorial School</t>
  </si>
  <si>
    <t>04890505</t>
  </si>
  <si>
    <t>Sturgis Charter Public School</t>
  </si>
  <si>
    <t>01600340</t>
  </si>
  <si>
    <t>Sullivan Middle School</t>
  </si>
  <si>
    <t>03480423</t>
  </si>
  <si>
    <t>01370055</t>
  </si>
  <si>
    <t>Sullivan School</t>
  </si>
  <si>
    <t>02810160</t>
  </si>
  <si>
    <t>Summer Avenue School</t>
  </si>
  <si>
    <t>02890005</t>
  </si>
  <si>
    <t>Sunderland Elementary School</t>
  </si>
  <si>
    <t>06730005</t>
  </si>
  <si>
    <t>Swallow Union Elementary School</t>
  </si>
  <si>
    <t>00170030</t>
  </si>
  <si>
    <t>Swanson Road Intermediate School</t>
  </si>
  <si>
    <t>00240018</t>
  </si>
  <si>
    <t>Swift River Elementary School</t>
  </si>
  <si>
    <t>00610001</t>
  </si>
  <si>
    <t>Szetela Early Childhood School</t>
  </si>
  <si>
    <t>03040005</t>
  </si>
  <si>
    <t>Taft Early Learning Center</t>
  </si>
  <si>
    <t>00950305</t>
  </si>
  <si>
    <t>Talbot Innovation School</t>
  </si>
  <si>
    <t>03320040</t>
  </si>
  <si>
    <t>Tatham School</t>
  </si>
  <si>
    <t>03480230</t>
  </si>
  <si>
    <t>Tatnuck School</t>
  </si>
  <si>
    <t>02930525</t>
  </si>
  <si>
    <t>Taunton Alternative High School</t>
  </si>
  <si>
    <t>02930505</t>
  </si>
  <si>
    <t>Taunton High School</t>
  </si>
  <si>
    <t>01280073</t>
  </si>
  <si>
    <t>TEACH School</t>
  </si>
  <si>
    <t>01810055</t>
  </si>
  <si>
    <t>Tenney Grammar School</t>
  </si>
  <si>
    <t>02950505</t>
  </si>
  <si>
    <t>Tewksbury Memorial High School</t>
  </si>
  <si>
    <t xml:space="preserve"> 01140005</t>
  </si>
  <si>
    <t>The Academy of Early Learning at North Parish</t>
  </si>
  <si>
    <t>Special Education School</t>
  </si>
  <si>
    <t>03150860</t>
  </si>
  <si>
    <t>The Children's Way</t>
  </si>
  <si>
    <t>02290010</t>
  </si>
  <si>
    <t>Thomas Carroll School</t>
  </si>
  <si>
    <t>02810015</t>
  </si>
  <si>
    <t>Thomas M. Balliet School</t>
  </si>
  <si>
    <t>02010125</t>
  </si>
  <si>
    <t>Thomas R. Rodman School</t>
  </si>
  <si>
    <t>00160035</t>
  </si>
  <si>
    <t>Thomas Willet Elementary School</t>
  </si>
  <si>
    <t>retest 11/19/16</t>
  </si>
  <si>
    <t>02110020</t>
  </si>
  <si>
    <t>Thomson School</t>
  </si>
  <si>
    <t>03480235</t>
  </si>
  <si>
    <t>Thorndyke Road School</t>
  </si>
  <si>
    <t>06800005</t>
  </si>
  <si>
    <t>Thornton Burgess School</t>
  </si>
  <si>
    <t>01630305</t>
  </si>
  <si>
    <t>Thurgood Marshall Middle School</t>
  </si>
  <si>
    <t>01280075</t>
  </si>
  <si>
    <t>Tilton School</t>
  </si>
  <si>
    <t>02960005</t>
  </si>
  <si>
    <t>Tisbury Elementary School</t>
  </si>
  <si>
    <t>03430050</t>
  </si>
  <si>
    <t>Toy Town Elementary School</t>
  </si>
  <si>
    <t>01630100</t>
  </si>
  <si>
    <t>Tracy Elementary School</t>
  </si>
  <si>
    <t>211380</t>
  </si>
  <si>
    <t>Transportation Children’s Center</t>
  </si>
  <si>
    <t>02010510</t>
  </si>
  <si>
    <t>Trinity Day Academy</t>
  </si>
  <si>
    <t>03000005</t>
  </si>
  <si>
    <t>Truro Central School</t>
  </si>
  <si>
    <t>03010020</t>
  </si>
  <si>
    <t>Tyngsborough Elementary School</t>
  </si>
  <si>
    <t>03010505</t>
  </si>
  <si>
    <t>Tyngsborough High School</t>
  </si>
  <si>
    <t>03010305</t>
  </si>
  <si>
    <t>Tyngsborough Middle School</t>
  </si>
  <si>
    <t>03480240</t>
  </si>
  <si>
    <t>Union Hill School</t>
  </si>
  <si>
    <t>03480285</t>
  </si>
  <si>
    <t>University Pk Campus School</t>
  </si>
  <si>
    <t>03040505</t>
  </si>
  <si>
    <t>Uxbridge High School</t>
  </si>
  <si>
    <t>05400006</t>
  </si>
  <si>
    <t>Valley Collaborative Elementary School</t>
  </si>
  <si>
    <t>BiLLERICA-Valley Collaborative</t>
  </si>
  <si>
    <t>05400002</t>
  </si>
  <si>
    <t>Valley Collaborative Middle School</t>
  </si>
  <si>
    <t>07350035</t>
  </si>
  <si>
    <t>Varnum Brook School</t>
  </si>
  <si>
    <t>03480280</t>
  </si>
  <si>
    <t>Vernon Hill School</t>
  </si>
  <si>
    <t>01070045</t>
  </si>
  <si>
    <t>Veterans Memorial School</t>
  </si>
  <si>
    <t>02620065</t>
  </si>
  <si>
    <t>02140001</t>
  </si>
  <si>
    <t>W. Edward Balmer School</t>
  </si>
  <si>
    <t>03050505</t>
  </si>
  <si>
    <t>Wakefield High School</t>
  </si>
  <si>
    <t>01280080</t>
  </si>
  <si>
    <t>Walnut Square school</t>
  </si>
  <si>
    <t>Yes (03/09/17)</t>
  </si>
  <si>
    <t>03050040</t>
  </si>
  <si>
    <t>Walton School</t>
  </si>
  <si>
    <t>02640020</t>
  </si>
  <si>
    <t>Wampatuck Elementary School</t>
  </si>
  <si>
    <t>00160320</t>
  </si>
  <si>
    <t>Wamsutta Middle School</t>
  </si>
  <si>
    <t>retest 12-17-16</t>
  </si>
  <si>
    <t>03090505</t>
  </si>
  <si>
    <t>Ware High School</t>
  </si>
  <si>
    <t>03090305</t>
  </si>
  <si>
    <t>Ware Middle School</t>
  </si>
  <si>
    <t>03100305</t>
  </si>
  <si>
    <t>Wareham Middle School</t>
  </si>
  <si>
    <t>03100505</t>
  </si>
  <si>
    <t>Wareham Senior High School</t>
  </si>
  <si>
    <t>02810180</t>
  </si>
  <si>
    <t>Warner School</t>
  </si>
  <si>
    <t>07780005</t>
  </si>
  <si>
    <t>Warren Elementary School</t>
  </si>
  <si>
    <t>1312012</t>
  </si>
  <si>
    <t>07500009</t>
  </si>
  <si>
    <t>Warwick Community School</t>
  </si>
  <si>
    <t>02810185</t>
  </si>
  <si>
    <t>Washington School</t>
  </si>
  <si>
    <t>01630005</t>
  </si>
  <si>
    <t>Washington STEM Elementary School</t>
  </si>
  <si>
    <t>01030020</t>
  </si>
  <si>
    <t>Waterford Street School</t>
  </si>
  <si>
    <t>03140505</t>
  </si>
  <si>
    <t>Watertown High School</t>
  </si>
  <si>
    <t>03140305</t>
  </si>
  <si>
    <t>Watertown Middle School</t>
  </si>
  <si>
    <t>03480026</t>
  </si>
  <si>
    <t>Wawecus Road School</t>
  </si>
  <si>
    <t>03150505</t>
  </si>
  <si>
    <t>Wayland High School</t>
  </si>
  <si>
    <t>03150305</t>
  </si>
  <si>
    <t>Wayland Middle School</t>
  </si>
  <si>
    <t>03160315</t>
  </si>
  <si>
    <t>Webster Middle School</t>
  </si>
  <si>
    <t>00200005</t>
  </si>
  <si>
    <t>West Barnstable Elementary School</t>
  </si>
  <si>
    <t>07780010</t>
  </si>
  <si>
    <t>West Brookfield Elementary School</t>
  </si>
  <si>
    <t>03420080</t>
  </si>
  <si>
    <t>West Intermediate School</t>
  </si>
  <si>
    <t>02290045</t>
  </si>
  <si>
    <t>West Memorial School</t>
  </si>
  <si>
    <t>00440420</t>
  </si>
  <si>
    <t>West Middle School</t>
  </si>
  <si>
    <t>01070050</t>
  </si>
  <si>
    <t>West Parish School</t>
  </si>
  <si>
    <t>03320505</t>
  </si>
  <si>
    <t>West Springfield High School</t>
  </si>
  <si>
    <t>03320305</t>
  </si>
  <si>
    <t>West Springfield Middle School</t>
  </si>
  <si>
    <t>03480260</t>
  </si>
  <si>
    <t>West Tatnuck School</t>
  </si>
  <si>
    <t>00200045</t>
  </si>
  <si>
    <t>West Villages Elementary School</t>
  </si>
  <si>
    <t>03210505</t>
  </si>
  <si>
    <t>Westborough High School</t>
  </si>
  <si>
    <t>03270005</t>
  </si>
  <si>
    <t>Westhampton Elementary School</t>
  </si>
  <si>
    <t>03310505</t>
  </si>
  <si>
    <t>Westport Elementary School</t>
  </si>
  <si>
    <t>02010515</t>
  </si>
  <si>
    <t>Whaling City Junior/Senior High School</t>
  </si>
  <si>
    <t>03370005</t>
  </si>
  <si>
    <t>Whately Elementary School</t>
  </si>
  <si>
    <t>00860305</t>
  </si>
  <si>
    <t>White Brook Middle School</t>
  </si>
  <si>
    <t>02810190</t>
  </si>
  <si>
    <t>White Street School</t>
  </si>
  <si>
    <t>03040020</t>
  </si>
  <si>
    <t>Whitin Elementary School</t>
  </si>
  <si>
    <t>08850605</t>
  </si>
  <si>
    <t>Whittier Regional Vocational Tech High School</t>
  </si>
  <si>
    <t>06800310</t>
  </si>
  <si>
    <t>Wilbraham Middle School</t>
  </si>
  <si>
    <t>00080050</t>
  </si>
  <si>
    <t>Wildwood Elementary School</t>
  </si>
  <si>
    <t>03420015</t>
  </si>
  <si>
    <t>Wildwood School</t>
  </si>
  <si>
    <t>02290027</t>
  </si>
  <si>
    <t>William A. Welch Sr. School</t>
  </si>
  <si>
    <t>02750005</t>
  </si>
  <si>
    <t>William E Norris School</t>
  </si>
  <si>
    <t>02190020</t>
  </si>
  <si>
    <t>William G Vinal School</t>
  </si>
  <si>
    <t>00500305</t>
  </si>
  <si>
    <t>William H. Galvin Middle School</t>
  </si>
  <si>
    <t>02010135</t>
  </si>
  <si>
    <t>William H. Taylor School</t>
  </si>
  <si>
    <t>02810045</t>
  </si>
  <si>
    <t>William N. DeBerry School</t>
  </si>
  <si>
    <t>01630040</t>
  </si>
  <si>
    <t>William P. Connery Elementary School</t>
  </si>
  <si>
    <t>03460015</t>
  </si>
  <si>
    <t>William P. Gorman/Fort Banks Elementary School</t>
  </si>
  <si>
    <t>00140005</t>
  </si>
  <si>
    <t>William Pittaway Elementary School</t>
  </si>
  <si>
    <t>01630080</t>
  </si>
  <si>
    <t>William R. Fallon Elementary School</t>
  </si>
  <si>
    <t>00950065</t>
  </si>
  <si>
    <t>William S. Greene School</t>
  </si>
  <si>
    <t>01590305</t>
  </si>
  <si>
    <t>Williams Middle School</t>
  </si>
  <si>
    <t>03420505</t>
  </si>
  <si>
    <t>Wilmington Highv</t>
  </si>
  <si>
    <t>03420330</t>
  </si>
  <si>
    <t>Wilmington Middle School</t>
  </si>
  <si>
    <t>00260005</t>
  </si>
  <si>
    <t>Winn Brook School</t>
  </si>
  <si>
    <t>06750015</t>
  </si>
  <si>
    <t>Winthrop Elementary School</t>
  </si>
  <si>
    <t>00260305</t>
  </si>
  <si>
    <t>Winthrop L. Chenery Middle School</t>
  </si>
  <si>
    <t>03460505</t>
  </si>
  <si>
    <t>Winthrop Senior High School</t>
  </si>
  <si>
    <t>02580070</t>
  </si>
  <si>
    <t>Witchcraft Heights Elementary School</t>
  </si>
  <si>
    <t>03420020</t>
  </si>
  <si>
    <t>Woburn Street School</t>
  </si>
  <si>
    <t>01590025</t>
  </si>
  <si>
    <t>Wolf Swamp Road School</t>
  </si>
  <si>
    <t>02430110</t>
  </si>
  <si>
    <t>Wollaston School</t>
  </si>
  <si>
    <t>03480030</t>
  </si>
  <si>
    <t>Woodland Academy</t>
  </si>
  <si>
    <t>Complete CoC</t>
  </si>
  <si>
    <t>07660010</t>
  </si>
  <si>
    <t>Woodland School</t>
  </si>
  <si>
    <t>00010015</t>
  </si>
  <si>
    <t>Woodsdale Elementary School</t>
  </si>
  <si>
    <t>03050015</t>
  </si>
  <si>
    <t>Woodville School</t>
  </si>
  <si>
    <t>03480225</t>
  </si>
  <si>
    <t>Worcester Arts Magnet School</t>
  </si>
  <si>
    <t>03480420</t>
  </si>
  <si>
    <t>Worcester East Middle School</t>
  </si>
  <si>
    <t>03480605</t>
  </si>
  <si>
    <t>Worcester Technical High School</t>
  </si>
  <si>
    <t>02740087</t>
  </si>
  <si>
    <t>Albert F. Argenziano School at Lincoln Park</t>
  </si>
  <si>
    <t>00670005</t>
  </si>
  <si>
    <t>Alcott School</t>
  </si>
  <si>
    <t>02260010</t>
  </si>
  <si>
    <t>Alfred M Chaffee School</t>
  </si>
  <si>
    <t>07300505</t>
  </si>
  <si>
    <t>Algonquin Regional High School</t>
  </si>
  <si>
    <t>4334017</t>
  </si>
  <si>
    <t>03310030</t>
  </si>
  <si>
    <t>Alice A Macomber School</t>
  </si>
  <si>
    <t>03440045</t>
  </si>
  <si>
    <t>Ambrose Elementary School</t>
  </si>
  <si>
    <t>02740075</t>
  </si>
  <si>
    <t>Arthur D Healey School</t>
  </si>
  <si>
    <t>2012002</t>
  </si>
  <si>
    <t>07350010</t>
  </si>
  <si>
    <t>Ashby Elementary School</t>
  </si>
  <si>
    <t>02200005</t>
  </si>
  <si>
    <t>Balch School</t>
  </si>
  <si>
    <t>07200005</t>
  </si>
  <si>
    <t>Baldwinville Elementary School</t>
  </si>
  <si>
    <t>01600090</t>
  </si>
  <si>
    <t>Bartlett Community Partnership</t>
  </si>
  <si>
    <t xml:space="preserve">Large Group and School Age </t>
  </si>
  <si>
    <t>02912321</t>
  </si>
  <si>
    <t>Beacon Street Trust Center</t>
  </si>
  <si>
    <t>03470020</t>
  </si>
  <si>
    <t>02740015</t>
  </si>
  <si>
    <t>Benjamin G. Brown School</t>
  </si>
  <si>
    <t>01980005</t>
  </si>
  <si>
    <t>Bennett-Hemenway School</t>
  </si>
  <si>
    <t>00310505</t>
  </si>
  <si>
    <t>Billerica Memorial High School</t>
  </si>
  <si>
    <t>2037010</t>
  </si>
  <si>
    <t>06000005</t>
  </si>
  <si>
    <t>Blanchard Memorial School</t>
  </si>
  <si>
    <t>02100005</t>
  </si>
  <si>
    <t>Bridge Street School</t>
  </si>
  <si>
    <t>01990005</t>
  </si>
  <si>
    <t>Broadmeadow School</t>
  </si>
  <si>
    <t>00460505</t>
  </si>
  <si>
    <t>Brookline High School</t>
  </si>
  <si>
    <t>00790035</t>
  </si>
  <si>
    <t>Brookside Elementary School</t>
  </si>
  <si>
    <t>01980010</t>
  </si>
  <si>
    <t>Brown School</t>
  </si>
  <si>
    <t>01280035</t>
  </si>
  <si>
    <t>Caleb Dustin Hunking School</t>
  </si>
  <si>
    <t>02740005</t>
  </si>
  <si>
    <t>Capuano Early Childhood Center</t>
  </si>
  <si>
    <t>2286005</t>
  </si>
  <si>
    <t>07250310</t>
  </si>
  <si>
    <t>02200025</t>
  </si>
  <si>
    <t>Charles J. Prescott School</t>
  </si>
  <si>
    <t>07120001</t>
  </si>
  <si>
    <t>Chatham Elementary School</t>
  </si>
  <si>
    <t>00780005</t>
  </si>
  <si>
    <t>Chickering School</t>
  </si>
  <si>
    <t>4062008</t>
  </si>
  <si>
    <t>07740010</t>
  </si>
  <si>
    <t>Chilmark Elementary School</t>
  </si>
  <si>
    <t>02260005</t>
  </si>
  <si>
    <t>Clara Barton School</t>
  </si>
  <si>
    <t>03470040</t>
  </si>
  <si>
    <t>Clyde Reeves School</t>
  </si>
  <si>
    <t>00650505</t>
  </si>
  <si>
    <t>Cohasset Middle/High School</t>
  </si>
  <si>
    <t>00670305</t>
  </si>
  <si>
    <t>Concord Middle School</t>
  </si>
  <si>
    <t>02200010</t>
  </si>
  <si>
    <t>Cornelius M. Callahan School</t>
  </si>
  <si>
    <t>03470410</t>
  </si>
  <si>
    <t>Daniel L Joyce Middle School</t>
  </si>
  <si>
    <t>00650005</t>
  </si>
  <si>
    <t>Deer Hill</t>
  </si>
  <si>
    <t>03080032</t>
  </si>
  <si>
    <t>Douglas MacArthur Elementary School</t>
  </si>
  <si>
    <t>06550505</t>
  </si>
  <si>
    <t>Dover-Sherborn Regional High</t>
  </si>
  <si>
    <t>06550405</t>
  </si>
  <si>
    <t>Dover-Sherborn Regional Middle School</t>
  </si>
  <si>
    <t>02200305</t>
  </si>
  <si>
    <t>Dr. Philip O. Coakley Middle School</t>
  </si>
  <si>
    <t>00790505</t>
  </si>
  <si>
    <t>Dracut Senior High School</t>
  </si>
  <si>
    <t>02740111</t>
  </si>
  <si>
    <t>E Somerville Community School</t>
  </si>
  <si>
    <t>00830505</t>
  </si>
  <si>
    <t>East Bridgewater JR./SR. High School</t>
  </si>
  <si>
    <t>1111014</t>
  </si>
  <si>
    <t>01110010</t>
  </si>
  <si>
    <t>East Meadow</t>
  </si>
  <si>
    <t>00460005</t>
  </si>
  <si>
    <t>Edith C. Baker School</t>
  </si>
  <si>
    <t>00460015</t>
  </si>
  <si>
    <t>Edward Devotion School</t>
  </si>
  <si>
    <t>02200015</t>
  </si>
  <si>
    <t>F.A. Cleveland School</t>
  </si>
  <si>
    <t>02130015</t>
  </si>
  <si>
    <t>Fannie E Proctor School</t>
  </si>
  <si>
    <t>2034024</t>
  </si>
  <si>
    <t>07250025</t>
  </si>
  <si>
    <t>Florence Sawyer School</t>
  </si>
  <si>
    <t>01780003</t>
  </si>
  <si>
    <t>Franklin (Early Chidlhood Center)</t>
  </si>
  <si>
    <t>02740510</t>
  </si>
  <si>
    <t>Full Circle High School</t>
  </si>
  <si>
    <t>02200075</t>
  </si>
  <si>
    <t>George F. Willett School</t>
  </si>
  <si>
    <t>00790045</t>
  </si>
  <si>
    <t>George H. Englesby School</t>
  </si>
  <si>
    <t>03470005</t>
  </si>
  <si>
    <t>Goodyear Elementary School</t>
  </si>
  <si>
    <t>00830010</t>
  </si>
  <si>
    <t>Gordon W Mitchell School</t>
  </si>
  <si>
    <t>1111006</t>
  </si>
  <si>
    <t>01110004</t>
  </si>
  <si>
    <t>Granby Jr Sr High School</t>
  </si>
  <si>
    <t>1112006</t>
  </si>
  <si>
    <t>07660215</t>
  </si>
  <si>
    <t>Granville Village School</t>
  </si>
  <si>
    <t>08280605</t>
  </si>
  <si>
    <t>Greater Lowell Reg Voc Tech</t>
  </si>
  <si>
    <t>00790030</t>
  </si>
  <si>
    <t>Greenmont Avenue School</t>
  </si>
  <si>
    <t>2115010</t>
  </si>
  <si>
    <t>06730505</t>
  </si>
  <si>
    <t>Groton Dunstable Regional High School</t>
  </si>
  <si>
    <t>2286007</t>
  </si>
  <si>
    <t>07250020</t>
  </si>
  <si>
    <t>Hale School</t>
  </si>
  <si>
    <t>07120002</t>
  </si>
  <si>
    <t>Harwich Elementary</t>
  </si>
  <si>
    <t>00460025</t>
  </si>
  <si>
    <t>Heath School</t>
  </si>
  <si>
    <t>01600330</t>
  </si>
  <si>
    <t>Henry J. Robinson</t>
  </si>
  <si>
    <t>2179004</t>
  </si>
  <si>
    <t>07100015</t>
  </si>
  <si>
    <t>Henry P Clough</t>
  </si>
  <si>
    <t>03080065</t>
  </si>
  <si>
    <t>Henry Whittemore Elementary School</t>
  </si>
  <si>
    <t>01780017</t>
  </si>
  <si>
    <t>Herbert Clark Hoover School</t>
  </si>
  <si>
    <t>01990410</t>
  </si>
  <si>
    <t>High Rock School</t>
  </si>
  <si>
    <t>04550050</t>
  </si>
  <si>
    <t>Hill View Montessori</t>
  </si>
  <si>
    <t>01990035</t>
  </si>
  <si>
    <t>Hillside Elementary School</t>
  </si>
  <si>
    <t>01780025</t>
  </si>
  <si>
    <t>Horace Mann School</t>
  </si>
  <si>
    <t>01980305</t>
  </si>
  <si>
    <t>J F Kennedy Middle School</t>
  </si>
  <si>
    <t>02290305</t>
  </si>
  <si>
    <t>J Henry Higgins Middle School</t>
  </si>
  <si>
    <t>02100020</t>
  </si>
  <si>
    <t>Jackson Street School</t>
  </si>
  <si>
    <t>03080060</t>
  </si>
  <si>
    <t>James Fitzgerald Elementary School</t>
  </si>
  <si>
    <t>01600315</t>
  </si>
  <si>
    <t>James S. Daley</t>
  </si>
  <si>
    <t>00460045</t>
  </si>
  <si>
    <t>John D. Runkle School</t>
  </si>
  <si>
    <t>01990020</t>
  </si>
  <si>
    <t>John Eliot School</t>
  </si>
  <si>
    <t>03080404</t>
  </si>
  <si>
    <t>03470405</t>
  </si>
  <si>
    <t>02740083</t>
  </si>
  <si>
    <t>02200020</t>
  </si>
  <si>
    <t>John P. Oldham School</t>
  </si>
  <si>
    <t>03080415</t>
  </si>
  <si>
    <t>John W. McDevitt Middle School</t>
  </si>
  <si>
    <t>01980031</t>
  </si>
  <si>
    <t>Johnson School</t>
  </si>
  <si>
    <t>00790020</t>
  </si>
  <si>
    <t>Joseph A. Campbell School</t>
  </si>
  <si>
    <t>00650010</t>
  </si>
  <si>
    <t>Joseph Osgood</t>
  </si>
  <si>
    <t>0290762</t>
  </si>
  <si>
    <t>Kindercare Child Care Center</t>
  </si>
  <si>
    <t>0290311</t>
  </si>
  <si>
    <t>Knowledge Beginnings Inc.</t>
  </si>
  <si>
    <t>01600085</t>
  </si>
  <si>
    <t>Laura Lee Therapeutic Day School</t>
  </si>
  <si>
    <t>00460030</t>
  </si>
  <si>
    <t>Lawrence School</t>
  </si>
  <si>
    <t>01600320</t>
  </si>
  <si>
    <t>Leblanc Therapeutic Day School</t>
  </si>
  <si>
    <t>02100025</t>
  </si>
  <si>
    <t>Leeds School</t>
  </si>
  <si>
    <t>Private (Non-Public/Non-Special Ed) Schools</t>
  </si>
  <si>
    <t>00100842</t>
  </si>
  <si>
    <t>Lesley Ellis School</t>
  </si>
  <si>
    <t>01980035</t>
  </si>
  <si>
    <t>Lilja Elementary School</t>
  </si>
  <si>
    <t>03440005</t>
  </si>
  <si>
    <t>02130003</t>
  </si>
  <si>
    <t>03470025</t>
  </si>
  <si>
    <t>Linscott-Rumford School</t>
  </si>
  <si>
    <t>00310310</t>
  </si>
  <si>
    <t>Locke Middle School</t>
  </si>
  <si>
    <t>01600505</t>
  </si>
  <si>
    <t>Lowell High</t>
  </si>
  <si>
    <t>07250305</t>
  </si>
  <si>
    <t>Luther Burbank Middle School</t>
  </si>
  <si>
    <t>03440020</t>
  </si>
  <si>
    <t>Lynch Elementary School</t>
  </si>
  <si>
    <t>00100055</t>
  </si>
  <si>
    <t>M. Norcross Stratton</t>
  </si>
  <si>
    <t>03470055</t>
  </si>
  <si>
    <t>Malcolm White School</t>
  </si>
  <si>
    <t>02130014</t>
  </si>
  <si>
    <t>Marguerite E Peaslee School</t>
  </si>
  <si>
    <t>02130020</t>
  </si>
  <si>
    <t>Marion E Zeh School</t>
  </si>
  <si>
    <t>00310305</t>
  </si>
  <si>
    <t>Marshall Middle School</t>
  </si>
  <si>
    <t>03470065</t>
  </si>
  <si>
    <t>Mary D. Altavesta School</t>
  </si>
  <si>
    <t>07250010</t>
  </si>
  <si>
    <t>Mary Rowlandson Elementary</t>
  </si>
  <si>
    <t>03440305</t>
  </si>
  <si>
    <t>McCall Middle School</t>
  </si>
  <si>
    <t>01780305</t>
  </si>
  <si>
    <t>Melrose Middle School</t>
  </si>
  <si>
    <t>01980043</t>
  </si>
  <si>
    <t>00100038</t>
  </si>
  <si>
    <t>Menotomy Preschool</t>
  </si>
  <si>
    <t>00460020</t>
  </si>
  <si>
    <t>Michael Driscoll School</t>
  </si>
  <si>
    <t>2179005</t>
  </si>
  <si>
    <t>07100179</t>
  </si>
  <si>
    <t>Miscoe Hill School</t>
  </si>
  <si>
    <t>07120515</t>
  </si>
  <si>
    <t>Monomoy Regional High School</t>
  </si>
  <si>
    <t>07120315</t>
  </si>
  <si>
    <t>Monomoy Regional Middle School</t>
  </si>
  <si>
    <t>03440040</t>
  </si>
  <si>
    <t>Muraco Elementary School</t>
  </si>
  <si>
    <t>07200305</t>
  </si>
  <si>
    <t>Narragansett Middle School</t>
  </si>
  <si>
    <t>07200505</t>
  </si>
  <si>
    <t>Narragansett Regional High School</t>
  </si>
  <si>
    <t>2034010</t>
  </si>
  <si>
    <t>07250505</t>
  </si>
  <si>
    <t>Nashoba Regional High School</t>
  </si>
  <si>
    <t>01980505</t>
  </si>
  <si>
    <t>Natick High School</t>
  </si>
  <si>
    <t>0211407</t>
  </si>
  <si>
    <t>Needham Children's Center, Inc.</t>
  </si>
  <si>
    <t>01990505</t>
  </si>
  <si>
    <t>Needham High School</t>
  </si>
  <si>
    <t>01990050</t>
  </si>
  <si>
    <t>Newman Elementary School</t>
  </si>
  <si>
    <t>02740410</t>
  </si>
  <si>
    <t>Next Wave Junior High School</t>
  </si>
  <si>
    <t>07350505</t>
  </si>
  <si>
    <t>North Middlesex Regional School</t>
  </si>
  <si>
    <t>03080040</t>
  </si>
  <si>
    <t>Northeast Elementary School</t>
  </si>
  <si>
    <t>02200505</t>
  </si>
  <si>
    <t>Norwood High School</t>
  </si>
  <si>
    <t>00100410</t>
  </si>
  <si>
    <t>Ottoson Middle School</t>
  </si>
  <si>
    <t>02260505</t>
  </si>
  <si>
    <t>Oxford High School</t>
  </si>
  <si>
    <t>02260405</t>
  </si>
  <si>
    <t>Oxford Middle School</t>
  </si>
  <si>
    <t>00310015</t>
  </si>
  <si>
    <t>Parker School</t>
  </si>
  <si>
    <t>01600036</t>
  </si>
  <si>
    <t>Pawtucketville Memorial</t>
  </si>
  <si>
    <t>07350515</t>
  </si>
  <si>
    <t>Peter Fitzpatrick School</t>
  </si>
  <si>
    <t>01600040</t>
  </si>
  <si>
    <t>Peter W Reilly</t>
  </si>
  <si>
    <t>00460040</t>
  </si>
  <si>
    <t>Pierce School</t>
  </si>
  <si>
    <t>SHERBORN</t>
  </si>
  <si>
    <t>02690010</t>
  </si>
  <si>
    <t>Pine Hill Elementary School</t>
  </si>
  <si>
    <t>01990405</t>
  </si>
  <si>
    <t>Pollard Middle School</t>
  </si>
  <si>
    <t>02260305</t>
  </si>
  <si>
    <t>Project C.O.F.F.E.E.</t>
  </si>
  <si>
    <t>02100029</t>
  </si>
  <si>
    <t>R.K. Finn Ryan Road School</t>
  </si>
  <si>
    <t>1249004</t>
  </si>
  <si>
    <t>02490005</t>
  </si>
  <si>
    <t>Richmond Consolidated School</t>
  </si>
  <si>
    <t>02130305</t>
  </si>
  <si>
    <t>Robert E. Melican Middle School</t>
  </si>
  <si>
    <t>4250002</t>
  </si>
  <si>
    <t>02500005</t>
  </si>
  <si>
    <t>Rochester Memorial School</t>
  </si>
  <si>
    <t>1253007</t>
  </si>
  <si>
    <t>02530005</t>
  </si>
  <si>
    <t>Rowe Elementary School</t>
  </si>
  <si>
    <t>03210305</t>
  </si>
  <si>
    <t>Sarah W Gibbons Middle School</t>
  </si>
  <si>
    <t>Under renovation, not open for sampling</t>
  </si>
  <si>
    <t>03470043</t>
  </si>
  <si>
    <t>Shamrock School</t>
  </si>
  <si>
    <t>02740505</t>
  </si>
  <si>
    <t>Somerville High School</t>
  </si>
  <si>
    <t>07350002</t>
  </si>
  <si>
    <t>Squannacook Early Childhood Center</t>
  </si>
  <si>
    <t>00460002</t>
  </si>
  <si>
    <t>Temple Emeth/Putterham</t>
  </si>
  <si>
    <t>00460060</t>
  </si>
  <si>
    <t>The Lynch Center</t>
  </si>
  <si>
    <t>00310005</t>
  </si>
  <si>
    <t>Thomas Ditson School</t>
  </si>
  <si>
    <t>03080050</t>
  </si>
  <si>
    <t>Thomas R Plympton Elementary School</t>
  </si>
  <si>
    <t>00670020</t>
  </si>
  <si>
    <t>Thoreau School</t>
  </si>
  <si>
    <t>01490090</t>
  </si>
  <si>
    <t>UP Academy Leonard Middle School</t>
  </si>
  <si>
    <t>03440025</t>
  </si>
  <si>
    <t>Vinson-Owen Elementary School</t>
  </si>
  <si>
    <t>03080505</t>
  </si>
  <si>
    <t>Waltham Sr High School</t>
  </si>
  <si>
    <t>01600055</t>
  </si>
  <si>
    <t>02740115</t>
  </si>
  <si>
    <t>West Somerville Neighborhood School</t>
  </si>
  <si>
    <t>01110505</t>
  </si>
  <si>
    <t>West Street</t>
  </si>
  <si>
    <t>4296005</t>
  </si>
  <si>
    <t>07740020</t>
  </si>
  <si>
    <t>West Tisbury Elementary School</t>
  </si>
  <si>
    <t>03310305</t>
  </si>
  <si>
    <t>Westport Junior High School</t>
  </si>
  <si>
    <t>03310015</t>
  </si>
  <si>
    <t>Westport Senior High School</t>
  </si>
  <si>
    <t>00670030</t>
  </si>
  <si>
    <t>Willard School</t>
  </si>
  <si>
    <t>03080005</t>
  </si>
  <si>
    <t>William F. Stanley Elementary School</t>
  </si>
  <si>
    <t>00460035</t>
  </si>
  <si>
    <t>William H. Lincoln School</t>
  </si>
  <si>
    <t>01990040</t>
  </si>
  <si>
    <t>William Mitchell School</t>
  </si>
  <si>
    <t>01980310</t>
  </si>
  <si>
    <t>Wilson Middle School</t>
  </si>
  <si>
    <t>03440505</t>
  </si>
  <si>
    <t>Winchester High School</t>
  </si>
  <si>
    <t>02740120</t>
  </si>
  <si>
    <t>Winter Hill Community School</t>
  </si>
  <si>
    <t>01780050</t>
  </si>
  <si>
    <t>Winthrop School</t>
  </si>
  <si>
    <t>03470505</t>
  </si>
  <si>
    <t>Woburn High School</t>
  </si>
  <si>
    <t>03470060</t>
  </si>
  <si>
    <t>Wyman School</t>
  </si>
  <si>
    <t>00350003</t>
  </si>
  <si>
    <t>Baldwin Early Learning Center</t>
  </si>
  <si>
    <t>Prior by BPS</t>
  </si>
  <si>
    <t>00350021</t>
  </si>
  <si>
    <t>Beethoven School</t>
  </si>
  <si>
    <t>00350390</t>
  </si>
  <si>
    <t>Blackstone School</t>
  </si>
  <si>
    <t>04110305</t>
  </si>
  <si>
    <t>Boston Green Academy Horace Mann Charter School</t>
  </si>
  <si>
    <t>00350545</t>
  </si>
  <si>
    <t>Boston Latin Academy</t>
  </si>
  <si>
    <t>00350012</t>
  </si>
  <si>
    <t>Boston Teachers Union School.</t>
  </si>
  <si>
    <t>00350036</t>
  </si>
  <si>
    <t>Carter Developmental Center</t>
  </si>
  <si>
    <t>00350054</t>
  </si>
  <si>
    <t>Charles H. Taylor School</t>
  </si>
  <si>
    <t>00350052</t>
  </si>
  <si>
    <t>Charles Sumner School</t>
  </si>
  <si>
    <t>00350020</t>
  </si>
  <si>
    <t>Curley K-8 School</t>
  </si>
  <si>
    <t>00350062</t>
  </si>
  <si>
    <t>Curtis Guild School</t>
  </si>
  <si>
    <t>00350066</t>
  </si>
  <si>
    <t>Dante Alighieri Elementary School</t>
  </si>
  <si>
    <t>TBD</t>
  </si>
  <si>
    <t>Date changed, status not clear yet</t>
  </si>
  <si>
    <t>00350072</t>
  </si>
  <si>
    <t>David Ellis K-8</t>
  </si>
  <si>
    <t>00350077</t>
  </si>
  <si>
    <t>Dennis Haley K-8</t>
  </si>
  <si>
    <t>00350651</t>
  </si>
  <si>
    <t>Dorchester Academy</t>
  </si>
  <si>
    <t>00350266</t>
  </si>
  <si>
    <t>Dr. William Henderson Lower School</t>
  </si>
  <si>
    <t>04070405</t>
  </si>
  <si>
    <t>Dudley Street Neighborhood Charter</t>
  </si>
  <si>
    <t>00350009</t>
  </si>
  <si>
    <t>East Boston Early Education Center</t>
  </si>
  <si>
    <t>00350375</t>
  </si>
  <si>
    <t>Edison K-8 School</t>
  </si>
  <si>
    <t>00350088</t>
  </si>
  <si>
    <t>Edward Everett School</t>
  </si>
  <si>
    <t>00350096</t>
  </si>
  <si>
    <t>Eliot Elementary School</t>
  </si>
  <si>
    <t>00350100</t>
  </si>
  <si>
    <t>Ellis Mendell School</t>
  </si>
  <si>
    <t>00350008</t>
  </si>
  <si>
    <t>Ellison Parks Early Education Center</t>
  </si>
  <si>
    <t>00350116</t>
  </si>
  <si>
    <t>FD Roosevelt Lower K-2</t>
  </si>
  <si>
    <t>00350326</t>
  </si>
  <si>
    <t xml:space="preserve">Gardner Pilot Academy </t>
  </si>
  <si>
    <t>00350122</t>
  </si>
  <si>
    <t>George Conley Elementary School</t>
  </si>
  <si>
    <t>00350200</t>
  </si>
  <si>
    <t>Harvard-Kent School</t>
  </si>
  <si>
    <t>00350135</t>
  </si>
  <si>
    <t>Henry Grew School</t>
  </si>
  <si>
    <t>00350015</t>
  </si>
  <si>
    <t>Higginson School</t>
  </si>
  <si>
    <t>00350141</t>
  </si>
  <si>
    <t>Hugh Roe O'Donnell School</t>
  </si>
  <si>
    <t>00350013</t>
  </si>
  <si>
    <t>Jackson Mann School</t>
  </si>
  <si>
    <t>00350146</t>
  </si>
  <si>
    <t>James Condon Elementary School</t>
  </si>
  <si>
    <t>00350156</t>
  </si>
  <si>
    <t>James Otis School</t>
  </si>
  <si>
    <t>00350153</t>
  </si>
  <si>
    <t>James W. Hennigan School</t>
  </si>
  <si>
    <t>00350172</t>
  </si>
  <si>
    <t>John D. Philbrick School</t>
  </si>
  <si>
    <t>00350166</t>
  </si>
  <si>
    <t>00350180</t>
  </si>
  <si>
    <t>John Winthrop School</t>
  </si>
  <si>
    <t>00350182</t>
  </si>
  <si>
    <t>Joseph J. Hurley School</t>
  </si>
  <si>
    <t>00350184</t>
  </si>
  <si>
    <t>Joseph Manning Elementary School</t>
  </si>
  <si>
    <t>00350181</t>
  </si>
  <si>
    <t>Joseph P. Tynan School</t>
  </si>
  <si>
    <t>00350190</t>
  </si>
  <si>
    <t>Joyce Kilmer Lower School</t>
  </si>
  <si>
    <t>00350001</t>
  </si>
  <si>
    <t>Lee Academy</t>
  </si>
  <si>
    <t>00350004</t>
  </si>
  <si>
    <t>Lyon K-8 School</t>
  </si>
  <si>
    <t>00350215</t>
  </si>
  <si>
    <t>Manassah E. Bradley School</t>
  </si>
  <si>
    <t>00350227</t>
  </si>
  <si>
    <t>Mather School</t>
  </si>
  <si>
    <t>00350226</t>
  </si>
  <si>
    <t>Mattahunt School</t>
  </si>
  <si>
    <t>00350229</t>
  </si>
  <si>
    <t>Maurice J. Tobin School</t>
  </si>
  <si>
    <t>00350231</t>
  </si>
  <si>
    <t>Michael J. Perkins School</t>
  </si>
  <si>
    <t>00350378</t>
  </si>
  <si>
    <t>Mildred Ave K-8</t>
  </si>
  <si>
    <t>00350382</t>
  </si>
  <si>
    <t>Mission Hill School</t>
  </si>
  <si>
    <t>00350376</t>
  </si>
  <si>
    <t>MLJ King K-8 School</t>
  </si>
  <si>
    <t>00350237</t>
  </si>
  <si>
    <t>Mozart School</t>
  </si>
  <si>
    <t>00350243</t>
  </si>
  <si>
    <t>Nathan Hale School</t>
  </si>
  <si>
    <t>00350138</t>
  </si>
  <si>
    <t>O.W. Holmes School</t>
  </si>
  <si>
    <t>00350255</t>
  </si>
  <si>
    <t>Oliver Hazard Perry School</t>
  </si>
  <si>
    <t>00350257</t>
  </si>
  <si>
    <t>Orchard Gardens K-8                                      </t>
  </si>
  <si>
    <t>00350264</t>
  </si>
  <si>
    <t>Patrick J. Kennedy School</t>
  </si>
  <si>
    <t>00350268</t>
  </si>
  <si>
    <t>Paul A. Dever School</t>
  </si>
  <si>
    <t>00350014</t>
  </si>
  <si>
    <t>Pauline Agassiz Shaw Elementary School</t>
  </si>
  <si>
    <t>00350278</t>
  </si>
  <si>
    <t>Phineas Bates School</t>
  </si>
  <si>
    <t>00350691</t>
  </si>
  <si>
    <t>Rafael Hernandez School</t>
  </si>
  <si>
    <t>00350240</t>
  </si>
  <si>
    <t>Richard J. Murphy School</t>
  </si>
  <si>
    <t>00350298</t>
  </si>
  <si>
    <t>Roger Clap School</t>
  </si>
  <si>
    <t>00350302</t>
  </si>
  <si>
    <t>Samuel Adams School</t>
  </si>
  <si>
    <t>00350304</t>
  </si>
  <si>
    <t>Samuel W. Mason School</t>
  </si>
  <si>
    <t>00350308</t>
  </si>
  <si>
    <t>Sarah Greenwood School</t>
  </si>
  <si>
    <t>00350328</t>
  </si>
  <si>
    <t>Thomas J. Kenny School</t>
  </si>
  <si>
    <t>UP Academy Holland Elementary School</t>
  </si>
  <si>
    <t>00350346</t>
  </si>
  <si>
    <t>Warren Prescott K-8 School</t>
  </si>
  <si>
    <t>00350366</t>
  </si>
  <si>
    <t>William E. Russell School</t>
  </si>
  <si>
    <t>00350360</t>
  </si>
  <si>
    <t>William Ellery Channing School.</t>
  </si>
  <si>
    <t>00350258</t>
  </si>
  <si>
    <t>William H. Ohrenberger School</t>
  </si>
  <si>
    <t>00350363</t>
  </si>
  <si>
    <t>William McKinley School</t>
  </si>
  <si>
    <t>00350370</t>
  </si>
  <si>
    <t>William Monroe Trotter School</t>
  </si>
  <si>
    <t>00350374</t>
  </si>
  <si>
    <t>Winship Elementary School</t>
  </si>
  <si>
    <t>00350380</t>
  </si>
  <si>
    <t>Young Achievers School</t>
  </si>
  <si>
    <t>Color Key:</t>
  </si>
  <si>
    <t>Number of schools w/ sample plans</t>
  </si>
  <si>
    <t>Number of schools in program</t>
  </si>
  <si>
    <t>includes Boston, otherwise 818</t>
  </si>
  <si>
    <t>Vocational School</t>
  </si>
  <si>
    <t>Number of schools done sampling</t>
  </si>
  <si>
    <t>Charter school</t>
  </si>
  <si>
    <t>Number of schools w/ results</t>
  </si>
  <si>
    <t>Average number of samples/school</t>
  </si>
  <si>
    <t>Minimum number of samples/ school</t>
  </si>
  <si>
    <t>Maximum number of samples/ school</t>
  </si>
  <si>
    <t>Total number of samples paid by UMass</t>
  </si>
  <si>
    <t>Total number of samples</t>
  </si>
  <si>
    <t>Median samples/school</t>
  </si>
  <si>
    <t>MWRA samples</t>
  </si>
  <si>
    <t>Sample Loactions</t>
  </si>
  <si>
    <t>Max</t>
  </si>
  <si>
    <t>Min</t>
  </si>
  <si>
    <t>Avg/Bldg</t>
  </si>
  <si>
    <t>Town Name</t>
  </si>
  <si>
    <t>PWS Name</t>
  </si>
  <si>
    <t>Class</t>
  </si>
  <si>
    <t>ACTON</t>
  </si>
  <si>
    <t>ACTON WATER SUPPLY DISTRICT</t>
  </si>
  <si>
    <t>COM</t>
  </si>
  <si>
    <t>PINE HILL CONDOMINIUM</t>
  </si>
  <si>
    <t>STRAWBERRY HILL APARTMENTS</t>
  </si>
  <si>
    <t>ACUSHNET WATER DEPARTMENT</t>
  </si>
  <si>
    <t>BROOKSIDE MOBILE HOME PARK</t>
  </si>
  <si>
    <t>ACUSHNET MANUFACTURED HOMES</t>
  </si>
  <si>
    <t>ADAMS</t>
  </si>
  <si>
    <t>ADAMS FIRE DISTRICT</t>
  </si>
  <si>
    <t>AGAWAM</t>
  </si>
  <si>
    <t>AGAWAM WATER DEPARTMENT</t>
  </si>
  <si>
    <t>AMESBURY</t>
  </si>
  <si>
    <t>AMESBURY DPW WATER DIV.</t>
  </si>
  <si>
    <t>AMHERST</t>
  </si>
  <si>
    <t>AMHERST DPW WATER DIVISION</t>
  </si>
  <si>
    <t>ANDOVER</t>
  </si>
  <si>
    <t>ANDOVER WATER DEPT</t>
  </si>
  <si>
    <t>ARLINGTON WATER DEPT. (MWRA)</t>
  </si>
  <si>
    <t>ASHBURNHAM</t>
  </si>
  <si>
    <t>ASHBURNHAM WATER DEPARTMENT</t>
  </si>
  <si>
    <t>ASH/WIN JOINT WATER AUTHORITY</t>
  </si>
  <si>
    <t>ASHFIELD</t>
  </si>
  <si>
    <t>ASHFIELD WATER DISTRICT</t>
  </si>
  <si>
    <t>ASHLAND WATER AND SEWER DEPT.</t>
  </si>
  <si>
    <t>ASSONET</t>
  </si>
  <si>
    <t>FREETOWN WATER COMMISSION</t>
  </si>
  <si>
    <t>ATHOL</t>
  </si>
  <si>
    <t>ATHOL DPW WATER DIVISION</t>
  </si>
  <si>
    <t>ATTLEBORO WATER DEPT</t>
  </si>
  <si>
    <t>AUBURN WATER DISTRICT</t>
  </si>
  <si>
    <t>ELM HILL WATER DISTRICT</t>
  </si>
  <si>
    <t>WOODLAND WATER DISTRICT</t>
  </si>
  <si>
    <t>TOWN OF AVON</t>
  </si>
  <si>
    <t>AYER</t>
  </si>
  <si>
    <t>AYER DPW WATER DIVISION</t>
  </si>
  <si>
    <t>BARNSTABLE FIRE DISTRICT</t>
  </si>
  <si>
    <t>BARRE</t>
  </si>
  <si>
    <t>BARRE WATER DEPARTMENT</t>
  </si>
  <si>
    <t>BARRE MHP/WATERWHEEL VILLAGE</t>
  </si>
  <si>
    <t>BEDFORD</t>
  </si>
  <si>
    <t>BEDFORD WATER DEPT.</t>
  </si>
  <si>
    <t>BELCHERTOWN WATER DISTRICT</t>
  </si>
  <si>
    <t>SPORTS HAVEN MOBILE HOME PARK</t>
  </si>
  <si>
    <t>PINE VALLEY PLANTATION</t>
  </si>
  <si>
    <t>CEDARWOOD APARTMENTS</t>
  </si>
  <si>
    <t>WASHINGTON ACRES</t>
  </si>
  <si>
    <t>VILLAGE GREENE CONDO ASSN</t>
  </si>
  <si>
    <t>BELLINGHAM</t>
  </si>
  <si>
    <t>BELLINGHAM DPW WATER SEWER DIV.</t>
  </si>
  <si>
    <t>BELMONT WATER DEPT. (MWRA)</t>
  </si>
  <si>
    <t>BERKSHIRE</t>
  </si>
  <si>
    <t>BERKSHIRE VILLAGE COOPERATIVE</t>
  </si>
  <si>
    <t>BERLIN</t>
  </si>
  <si>
    <t>NORTHBROOK VILLAGE I / BERLIN RETIREMENT</t>
  </si>
  <si>
    <t>MEADOWBROOK VILLAGE CONDOMINIUMS</t>
  </si>
  <si>
    <t>WHITNEY ESTATES CONDOMINIUMS</t>
  </si>
  <si>
    <t>SAWYER HILL ECOHOUSING</t>
  </si>
  <si>
    <t>NORTHBROOK VILLAGE II</t>
  </si>
  <si>
    <t>BERNARDSTON</t>
  </si>
  <si>
    <t>BERNARDSTON FIRE WATER DIST</t>
  </si>
  <si>
    <t>BEVERLY WATER DEPT</t>
  </si>
  <si>
    <t>SALEM BEVERLY WATER SUPPLY BOARD</t>
  </si>
  <si>
    <t>BILLERICA WATER WORKS</t>
  </si>
  <si>
    <t>BLACKSTONE WATER DEPARTMENT</t>
  </si>
  <si>
    <t>BLANDFORD</t>
  </si>
  <si>
    <t>BLANDFORD WATER DEPT</t>
  </si>
  <si>
    <t>BOLTON</t>
  </si>
  <si>
    <t>BOLTON COUNTRY MANOR</t>
  </si>
  <si>
    <t>SUNSET RIDGE CONDOMINIUMS</t>
  </si>
  <si>
    <t>REGENCY AT BOLTON CONDOMINIUMS</t>
  </si>
  <si>
    <t>CENTURY MILL ESTATES</t>
  </si>
  <si>
    <t>BONDSVILLE</t>
  </si>
  <si>
    <t>BONDSVILLE FIRE AND WATER DISTRICT</t>
  </si>
  <si>
    <t>BOSTON WATER AND SEWER COMMISSION (MWRA)</t>
  </si>
  <si>
    <t>BUZZARDS BAY WATER DISTRICT</t>
  </si>
  <si>
    <t>SCHOONER PASS TRUSTEES CONDOMINIUMS</t>
  </si>
  <si>
    <t>BOXBOROUGH</t>
  </si>
  <si>
    <t>CODMAN HILL CONDOMINIUM</t>
  </si>
  <si>
    <t>HARVARD RIDGE CONDOMINIUM</t>
  </si>
  <si>
    <t>CENTRE VILLAGE APARTMENTS</t>
  </si>
  <si>
    <t>BROOK VILLAGE CONDOMINIUM</t>
  </si>
  <si>
    <t>CARRIAGE HOUSE CONDOMINIUM</t>
  </si>
  <si>
    <t>APPLEWOOD CONDOMINIUM CORPORATION</t>
  </si>
  <si>
    <t>LIBERTY HOUSE CONDOMINIUM</t>
  </si>
  <si>
    <t>BOXFORD</t>
  </si>
  <si>
    <t>FOUR MILE VILLAGE</t>
  </si>
  <si>
    <t>ANDREWS FARM WATER CO.,INC.</t>
  </si>
  <si>
    <t>BOYLSTON</t>
  </si>
  <si>
    <t>BOYLSTON WATER DISTRICT</t>
  </si>
  <si>
    <t>BRAINTREE</t>
  </si>
  <si>
    <t>BRAINTREE WATER AND SEWER DEPT.</t>
  </si>
  <si>
    <t>TRI TOWN WATER BOARD</t>
  </si>
  <si>
    <t>BREWSTER</t>
  </si>
  <si>
    <t>BREWSTER WATER DEPARTMENT</t>
  </si>
  <si>
    <t>BRIDGEWATER</t>
  </si>
  <si>
    <t>BRIDGEWATER WATER DEPARTMENT</t>
  </si>
  <si>
    <t>MCI BRIDGEWATER</t>
  </si>
  <si>
    <t>BRIMFIELD</t>
  </si>
  <si>
    <t>MEADOWBROOK ACRES MOBILE HOME PARK</t>
  </si>
  <si>
    <t>BRIMFIELD HOUSING AUTHORITY</t>
  </si>
  <si>
    <t>BROCKTON WATER COMMISSION</t>
  </si>
  <si>
    <t>BROOKFIELD</t>
  </si>
  <si>
    <t>BROOKFIELD WATER DEPARTMENT</t>
  </si>
  <si>
    <t>NANATOMQUA MOBILE HOME PARK</t>
  </si>
  <si>
    <t>WAGON WHEEL COMMUNITY, INC.</t>
  </si>
  <si>
    <t>BROOKFIELD MEADOWS MHP</t>
  </si>
  <si>
    <t>BROOKLINE WATER AND SEWER DIV (MWRA)</t>
  </si>
  <si>
    <t>BURLINGTON</t>
  </si>
  <si>
    <t>BURLINGTON WATER DEPT</t>
  </si>
  <si>
    <t>BUZZARDS BAY</t>
  </si>
  <si>
    <t>BARNSTABLE COUNTY JAIL</t>
  </si>
  <si>
    <t>OTIS AIR NATIONAL GUARD BASE</t>
  </si>
  <si>
    <t>BYFIELD</t>
  </si>
  <si>
    <t>BYFIELD WATER DISTRICT</t>
  </si>
  <si>
    <t>CAMBRIDGE WATER DEPARTMENT</t>
  </si>
  <si>
    <t>CANTON WATER DEPT</t>
  </si>
  <si>
    <t>CARLISLE</t>
  </si>
  <si>
    <t>BENFIELD FARMS</t>
  </si>
  <si>
    <t>CARVER</t>
  </si>
  <si>
    <t>SOUTH MEADOW VILLAGE</t>
  </si>
  <si>
    <t>PINETREE VILLAGE</t>
  </si>
  <si>
    <t>CRANBERRY VILLAGE INC</t>
  </si>
  <si>
    <t>WATERVIEW PARK LLC</t>
  </si>
  <si>
    <t>MEADOW WOODS MOBILE HOME PARK</t>
  </si>
  <si>
    <t>CARVER MUNICIPAL BUILDINGS</t>
  </si>
  <si>
    <t>TOWN OF CARVER</t>
  </si>
  <si>
    <t>TOWNHOUSES AT CHANCE COURT</t>
  </si>
  <si>
    <t>TOWNHOUSES @ COPPER LANTERN</t>
  </si>
  <si>
    <t>PINE RIDGE CONDOMINIUMS AT SAMPSONS POND</t>
  </si>
  <si>
    <t>CHARLEMONT</t>
  </si>
  <si>
    <t>WOODLAND PARK</t>
  </si>
  <si>
    <t>122 MAIN STREET</t>
  </si>
  <si>
    <t>CHARLTON</t>
  </si>
  <si>
    <t>OVERLOOK LIFE CARE COMMUNITY</t>
  </si>
  <si>
    <t>CHARLTON MANOR REST HOME</t>
  </si>
  <si>
    <t>UPHAM FARMS CONDOMINIUMS</t>
  </si>
  <si>
    <t>WOODLAND WALK APARTMENTS</t>
  </si>
  <si>
    <t>CADY BROOK CROSSING CONDOMINIUMS</t>
  </si>
  <si>
    <t>CHATHAM</t>
  </si>
  <si>
    <t>CHATHAM WATER DEPARTMENT</t>
  </si>
  <si>
    <t>CHELMSFORD WATER DISTRICT</t>
  </si>
  <si>
    <t>EAST CHELMSFORD WATER DISTRICT</t>
  </si>
  <si>
    <t>CHELSEA</t>
  </si>
  <si>
    <t>CHELSEA WATER DEPT. (MWRA)</t>
  </si>
  <si>
    <t>CHESHIRE</t>
  </si>
  <si>
    <t>CHESHIRE WATER DEPT</t>
  </si>
  <si>
    <t>HUTCHINSON WATER COMPANY</t>
  </si>
  <si>
    <t>PINE VALLEY MOBILE HOME PARK</t>
  </si>
  <si>
    <t>CHESTER</t>
  </si>
  <si>
    <t>CHESTER WATER DEPT</t>
  </si>
  <si>
    <t>CHICOPEE WATER DEPT (MWRA)</t>
  </si>
  <si>
    <t>BRIGGSVILLE WATER DISTRICT</t>
  </si>
  <si>
    <t>CLINTON</t>
  </si>
  <si>
    <t>CLINTON WATER DEPT</t>
  </si>
  <si>
    <t>COHASSET WATER DEPT</t>
  </si>
  <si>
    <t>COLRAIN</t>
  </si>
  <si>
    <t>COLRAIN FIRE DISTRICT 1</t>
  </si>
  <si>
    <t>GRISWOLDVILLE WATER DISTRICT</t>
  </si>
  <si>
    <t>FOUNDRY BROOK ASSOCIATION</t>
  </si>
  <si>
    <t>CONCORD WATER DEPT</t>
  </si>
  <si>
    <t>COTUIT</t>
  </si>
  <si>
    <t>COTUIT FIRE DISTRICT WATER DEPARTMENT</t>
  </si>
  <si>
    <t>CUMMINGTON</t>
  </si>
  <si>
    <t>CUMMINGTON WATER DEPT</t>
  </si>
  <si>
    <t>WEST CUMMINGTON WATER DEPT</t>
  </si>
  <si>
    <t>DALTON</t>
  </si>
  <si>
    <t>DALTON FIRE DISTRICT</t>
  </si>
  <si>
    <t>DARTMOUTH</t>
  </si>
  <si>
    <t>DARTMOUTH WATER DIVISION</t>
  </si>
  <si>
    <t>DEDHAM WESTWOOD WATER DIST.</t>
  </si>
  <si>
    <t>DEERFIELD</t>
  </si>
  <si>
    <t>DEERFIELD FIRE DISTRICT</t>
  </si>
  <si>
    <t>EAGLEBROOK SCHOOL</t>
  </si>
  <si>
    <t>DEVENS MASSDEVELOPMENT</t>
  </si>
  <si>
    <t>DOUGLAS WATER DEPARTMENT</t>
  </si>
  <si>
    <t>DOVER</t>
  </si>
  <si>
    <t>OLD FARM ROAD WATER TRUST</t>
  </si>
  <si>
    <t>GLEN RIDGE RESIDENT TRUST</t>
  </si>
  <si>
    <t>MEADOWBROOK WATER TRUST</t>
  </si>
  <si>
    <t>COLONIAL WATER COMPANY</t>
  </si>
  <si>
    <t>SPRINGDALE FARMS WATER SUPPLY TRUST</t>
  </si>
  <si>
    <t>DRACUT WATER SUPPLY DISTRICT</t>
  </si>
  <si>
    <t>KENWOOD WATER DISTRICT</t>
  </si>
  <si>
    <t>DUDLEY</t>
  </si>
  <si>
    <t>DUDLEY WATER DEPARTMENT</t>
  </si>
  <si>
    <t>DUNSTABLE</t>
  </si>
  <si>
    <t>DUNSTABLE WATER DEPARTMENT</t>
  </si>
  <si>
    <t>DUXBURY</t>
  </si>
  <si>
    <t>DUXBURY WATER DEPARTMENT</t>
  </si>
  <si>
    <t>EAST BRIDGEWATER WATER DEPT</t>
  </si>
  <si>
    <t>EAST BROOKFIELD</t>
  </si>
  <si>
    <t>EAST BROOKFIELD WATER DEPARTMENT</t>
  </si>
  <si>
    <t>EAST DEERFIELD</t>
  </si>
  <si>
    <t>PAN AM SOUTHERN RAILROAD</t>
  </si>
  <si>
    <t>EAST LONGMEADOW DPW WATER DEPT</t>
  </si>
  <si>
    <t>EAST NORTHFIELD</t>
  </si>
  <si>
    <t>EAST NORTHFIELD WATER CO</t>
  </si>
  <si>
    <t>EASTHAMPTON WATER DEPT</t>
  </si>
  <si>
    <t>EASTON WATER DIV</t>
  </si>
  <si>
    <t>EDGARTOWN</t>
  </si>
  <si>
    <t>EDGARTOWN WATER DEPARTMENT</t>
  </si>
  <si>
    <t>ERVING WATER DEPT</t>
  </si>
  <si>
    <t>ESSEX</t>
  </si>
  <si>
    <t>ESSEX WATER DEPT.</t>
  </si>
  <si>
    <t>EVERETT</t>
  </si>
  <si>
    <t>EVERETT WATER DEPT. (MWRA)</t>
  </si>
  <si>
    <t>FAIRHAVEN</t>
  </si>
  <si>
    <t>FAIRHAVEN WATER DEPT</t>
  </si>
  <si>
    <t>FALL RIVER WATER DEPARTMENT</t>
  </si>
  <si>
    <t>FALMOUTH</t>
  </si>
  <si>
    <t>FALMOUTH WATER DEPT</t>
  </si>
  <si>
    <t>FITCHBURG DPW, DIV. OF WATER SUPPLY</t>
  </si>
  <si>
    <t>FOXBOROUGH</t>
  </si>
  <si>
    <t>FOXBORO WATER DEPARTMENT</t>
  </si>
  <si>
    <t>FRAMINGHAM WATER DEPT. (MWRA)</t>
  </si>
  <si>
    <t>FRANKLIN</t>
  </si>
  <si>
    <t>FRANKLIN WATER DEPARTMENT</t>
  </si>
  <si>
    <t>GARDNER WATER DEPARTMENT</t>
  </si>
  <si>
    <t>GEORGETOWN</t>
  </si>
  <si>
    <t>GEORGETOWN WATER DEPT.</t>
  </si>
  <si>
    <t>GILL</t>
  </si>
  <si>
    <t>RIVERSIDE WATER DISTRICT</t>
  </si>
  <si>
    <t>NORTHFIELD MT HERMON SCHOOL</t>
  </si>
  <si>
    <t>GLOUCESTER DPW WATER DEPT.</t>
  </si>
  <si>
    <t>GOSHEN</t>
  </si>
  <si>
    <t>WILDWOOD CONDOMINIUM</t>
  </si>
  <si>
    <t>GOSNOLD</t>
  </si>
  <si>
    <t>GOSNOLD WATER DEPT</t>
  </si>
  <si>
    <t>GRAFTON</t>
  </si>
  <si>
    <t>GRAFTON WATER DISTRICT</t>
  </si>
  <si>
    <t>COUNTRYSIDE CONDOMINIUM</t>
  </si>
  <si>
    <t>LAUREL HILL CONDOMINIUMS</t>
  </si>
  <si>
    <t>BACHELOR KNOLLS</t>
  </si>
  <si>
    <t>THE MACDUFFIE SCHOOL</t>
  </si>
  <si>
    <t>GRANBY HOUSING AUTHORITY</t>
  </si>
  <si>
    <t>GRANBY HEIGHTS CONDOMINIUMS</t>
  </si>
  <si>
    <t>CRESCENT VALLEY CONDOS</t>
  </si>
  <si>
    <t>HILLSIDE HEIGHTS OF GRANBY</t>
  </si>
  <si>
    <t>GRANVILLE CENTRE WATER CO</t>
  </si>
  <si>
    <t>GREAT BARRINGTON</t>
  </si>
  <si>
    <t>GREAT BARRINGTON FIRE DIST</t>
  </si>
  <si>
    <t>HOUSATONIC WATER WORKS</t>
  </si>
  <si>
    <t>BARD COLLEGE AT SIMONS ROCK</t>
  </si>
  <si>
    <t>GREENFIELD WATER DEPARTMENT</t>
  </si>
  <si>
    <t>GROTON</t>
  </si>
  <si>
    <t>GROTON WATER DEPARTMENT</t>
  </si>
  <si>
    <t>WEST GROTON WATER SUPPLY DISTRICT</t>
  </si>
  <si>
    <t>STILL MEADOW</t>
  </si>
  <si>
    <t>GROVELAND</t>
  </si>
  <si>
    <t>GROVELAND WATER DEPARTMENT</t>
  </si>
  <si>
    <t>HADLEY</t>
  </si>
  <si>
    <t>HADLEY DPW WATER DIVISION</t>
  </si>
  <si>
    <t>HALIFAX</t>
  </si>
  <si>
    <t>HALIFAX WATER DEPARTMENT</t>
  </si>
  <si>
    <t>HAMILTON</t>
  </si>
  <si>
    <t>HAMILTON WATER DEPT</t>
  </si>
  <si>
    <t>HAMPDEN</t>
  </si>
  <si>
    <t>WINGATE AT HAMPDEN</t>
  </si>
  <si>
    <t>HAMPDEN HOUSING AUTHORITY</t>
  </si>
  <si>
    <t>WHITE BIRCH GARDEN APARTMENTS</t>
  </si>
  <si>
    <t>SCANTIC VALLEY WATER DISTRICT</t>
  </si>
  <si>
    <t>HANCOCK</t>
  </si>
  <si>
    <t>JIMINY PEAK RESORT</t>
  </si>
  <si>
    <t>BEAVER POND MEADOWS</t>
  </si>
  <si>
    <t>HANOVER</t>
  </si>
  <si>
    <t>HANOVER WATER DEPT</t>
  </si>
  <si>
    <t>HANSCOM AFB</t>
  </si>
  <si>
    <t>HANSON</t>
  </si>
  <si>
    <t>HANSON WATER DEPARTMENT</t>
  </si>
  <si>
    <t>HARDWICK</t>
  </si>
  <si>
    <t>HARDWICK CENTER WATER DISTRICT</t>
  </si>
  <si>
    <t>GILBERTVILLE WATER DISTRICT</t>
  </si>
  <si>
    <t>WHEELWRIGHT WATER DISTRICT</t>
  </si>
  <si>
    <t>EAGLE HILL SCHOOL</t>
  </si>
  <si>
    <t>HARVARD</t>
  </si>
  <si>
    <t>HARVARD WATER DEPARTMENT</t>
  </si>
  <si>
    <t>SAINT BENEDICT ABBEY</t>
  </si>
  <si>
    <t>FOXGLOVE APARTMENTS</t>
  </si>
  <si>
    <t>HARVARD GREEN CONDOMINIUMS</t>
  </si>
  <si>
    <t>TRAIL RIDGE CONDOMINIUMS</t>
  </si>
  <si>
    <t>AYER ROAD PROPERTIES LLC</t>
  </si>
  <si>
    <t>HARWICH</t>
  </si>
  <si>
    <t>HARWICH WATER DEPARTMENT</t>
  </si>
  <si>
    <t>HATFIELD</t>
  </si>
  <si>
    <t>HATFIELD WATER DEPT</t>
  </si>
  <si>
    <t>HAVERHILL WATER DEPT</t>
  </si>
  <si>
    <t>HAYDENVILLE</t>
  </si>
  <si>
    <t>WILLIAMSBURG WATER DEPT</t>
  </si>
  <si>
    <t>HINGHAM</t>
  </si>
  <si>
    <t>HINGHAM/HULL AQUARION WATER COMPANY OF</t>
  </si>
  <si>
    <t>HINSDALE</t>
  </si>
  <si>
    <t>HINSDALE WATER DEPT</t>
  </si>
  <si>
    <t>SOUTH ASHMERE WATER ASSOCIATION INC</t>
  </si>
  <si>
    <t>ASHMERE WATER SERVICE</t>
  </si>
  <si>
    <t>BISSELVILLE ESTATE</t>
  </si>
  <si>
    <t>HOLBROOK</t>
  </si>
  <si>
    <t>HOLBROOK PUBLIC WORKS DEPT</t>
  </si>
  <si>
    <t>HOLDEN</t>
  </si>
  <si>
    <t>HOLDEN WATER DIVISION, DPW</t>
  </si>
  <si>
    <t>HOLLISTON WATER DEPARTMENT</t>
  </si>
  <si>
    <t>HOLYOKE WATER WORKS</t>
  </si>
  <si>
    <t>HOPEDALE WATER DEPARTMENT</t>
  </si>
  <si>
    <t>HOPKINTON WATER DEPARTMENT</t>
  </si>
  <si>
    <t>DEERFIELD ESTATES</t>
  </si>
  <si>
    <t>VILLAGE AT HIGHLAND PARK</t>
  </si>
  <si>
    <t>THE PRESERVE AT HOPKINTON CONDO</t>
  </si>
  <si>
    <t>ESTATES AT HIGHLAND RIDGE</t>
  </si>
  <si>
    <t>MAILLET WOODS CONDOMINIUMS</t>
  </si>
  <si>
    <t>HUBBARDSTON</t>
  </si>
  <si>
    <t>HUBBARDSTON HOUSE APARTMENTS</t>
  </si>
  <si>
    <t>SILVERLEAF HOLLOW CONDOMINIUMS</t>
  </si>
  <si>
    <t>BRIARWOOD TOWNHOMES</t>
  </si>
  <si>
    <t>HUDSON WATER SUPPLY</t>
  </si>
  <si>
    <t>HUNTINGTON</t>
  </si>
  <si>
    <t>HUNTINGTON WATER DEPT</t>
  </si>
  <si>
    <t>HYANNIS</t>
  </si>
  <si>
    <t>HYANNIS WATER SYSTEM, TOWN OF BARNSTABLE</t>
  </si>
  <si>
    <t>IPSWICH</t>
  </si>
  <si>
    <t>IPSWICH DPU WATER DEPT</t>
  </si>
  <si>
    <t>KINGSTON</t>
  </si>
  <si>
    <t>KINGSTON WATER DEPARTMENT</t>
  </si>
  <si>
    <t>PROVIDENCE HOUSE</t>
  </si>
  <si>
    <t>LAKEVILLE</t>
  </si>
  <si>
    <t>ISLAND TERRACE NURSING HOME</t>
  </si>
  <si>
    <t>BLUEBERRY ESTATES</t>
  </si>
  <si>
    <t>TWIN COACH / EDGEWAY MOBILE HOMES</t>
  </si>
  <si>
    <t>LANCASTER</t>
  </si>
  <si>
    <t>LANCASTER WATER DEPARTMENT</t>
  </si>
  <si>
    <t>LANCASTER WOODS CONDOMINIUMS</t>
  </si>
  <si>
    <t>LANESBOROUGH</t>
  </si>
  <si>
    <t>LANESBOROUGH FIRE WATER DISTRICT</t>
  </si>
  <si>
    <t>GREYLOCK ESTATES HOMEOWNERS ASSOCIATION</t>
  </si>
  <si>
    <t>LAWRENCE WATER WORKS</t>
  </si>
  <si>
    <t>LEE</t>
  </si>
  <si>
    <t>LEE WATER DEPT</t>
  </si>
  <si>
    <t>HIGH LAWN FARM</t>
  </si>
  <si>
    <t>LEEDS</t>
  </si>
  <si>
    <t>LINDA MANOR NURSING HOME</t>
  </si>
  <si>
    <t>LEICESTER WATER SUPPLY DISTRICT</t>
  </si>
  <si>
    <t>CHERRY VALLEY/ ROCHDALE WATER DISTRICT</t>
  </si>
  <si>
    <t>HILLCREST WATER DISTRICT</t>
  </si>
  <si>
    <t>STAFFORDSHIRE COUNTRY ESTATES</t>
  </si>
  <si>
    <t>LENOX</t>
  </si>
  <si>
    <t>LENOX DPW WATER DIVISION</t>
  </si>
  <si>
    <t>LEOMINSTER</t>
  </si>
  <si>
    <t>LEOMINSTER WATER DIVISION</t>
  </si>
  <si>
    <t>LEXINGTON WATER DEPT. (MWRA)</t>
  </si>
  <si>
    <t>LINCOLN</t>
  </si>
  <si>
    <t>LINCOLN WATER DEPT</t>
  </si>
  <si>
    <t>HANSCOM FAMILY HOUSING (LANDINGS)</t>
  </si>
  <si>
    <t>LITTLETON WATER DEPARTMENT</t>
  </si>
  <si>
    <t>LONGMEADOW WATER DEPT</t>
  </si>
  <si>
    <t>LOWELL REGIONAL WATER UTILITY</t>
  </si>
  <si>
    <t>LUNENBURG</t>
  </si>
  <si>
    <t>LUNENBURG WATER DISTRICT</t>
  </si>
  <si>
    <t>LYNN WATER AND SEWER COMM</t>
  </si>
  <si>
    <t>LYNNFIELD</t>
  </si>
  <si>
    <t>LYNNFIELD WATER DIST. (MWRA)</t>
  </si>
  <si>
    <t>LYNNFIELD CENTER</t>
  </si>
  <si>
    <t>LYNNFIELD CENTER WATER DISTRICT</t>
  </si>
  <si>
    <t>MALDEN</t>
  </si>
  <si>
    <t>MALDEN WATER DIVISION (MWRA)</t>
  </si>
  <si>
    <t>MANCHESTER BY THE SEA</t>
  </si>
  <si>
    <t>MANCHESTER BY THE SEA DPW</t>
  </si>
  <si>
    <t>MANSFIELD</t>
  </si>
  <si>
    <t>MANSFIELD WATER DIVISION</t>
  </si>
  <si>
    <t>MARBLEHEAD</t>
  </si>
  <si>
    <t>MARBLEHEAD WATER DEPT. (MWRA)</t>
  </si>
  <si>
    <t>MARION</t>
  </si>
  <si>
    <t>MARION WATER DIVISION</t>
  </si>
  <si>
    <t>MARLBOROUGH DPW WATER DIV.</t>
  </si>
  <si>
    <t>MARSHFIELD WATER DEPARTMENT</t>
  </si>
  <si>
    <t>MASHPEE</t>
  </si>
  <si>
    <t>LAKESIDE ESTATES</t>
  </si>
  <si>
    <t>SEA OAKS CONDOMINIUMS</t>
  </si>
  <si>
    <t>BEECHWOOD POINT CONDOS</t>
  </si>
  <si>
    <t>MASHPEE WATER DISTRICT</t>
  </si>
  <si>
    <t>MATTAPOISETT</t>
  </si>
  <si>
    <t>MATTAPOISETT WATER DEPARTMENT</t>
  </si>
  <si>
    <t>MATTAPOISETT RIVER VALLEY W.D.</t>
  </si>
  <si>
    <t>MAYNARD</t>
  </si>
  <si>
    <t>MAYNARD DPW, WATER DIVISION</t>
  </si>
  <si>
    <t>MEDFIELD</t>
  </si>
  <si>
    <t>MEDFIELD WATER DEPT.</t>
  </si>
  <si>
    <t>MEDFORD</t>
  </si>
  <si>
    <t>MEDFORD WATER DEPT. (MWRA)</t>
  </si>
  <si>
    <t>MEDWAY WATER/SEWER DEPARTMENT</t>
  </si>
  <si>
    <t>MELROSE WATER DEPT. (MWRA)</t>
  </si>
  <si>
    <t>MENDON WATER DEPARTMENT</t>
  </si>
  <si>
    <t>MENDON HOUSING AUTHORITY</t>
  </si>
  <si>
    <t>MERRIMAC</t>
  </si>
  <si>
    <t>MERRIMAC WATER DEPARTMENT</t>
  </si>
  <si>
    <t>METHUEN WATER DEPT</t>
  </si>
  <si>
    <t>MIDDLEBOROUGH WATER SUPPLY</t>
  </si>
  <si>
    <t>NEMASKET HEALTH CARE CENTER</t>
  </si>
  <si>
    <t>MIDDLETON</t>
  </si>
  <si>
    <t>DANVERS WATER DEPT.</t>
  </si>
  <si>
    <t>MIDDLETON WATER DEPT.</t>
  </si>
  <si>
    <t>MILFORD</t>
  </si>
  <si>
    <t>MILFORD WATER COMPANY</t>
  </si>
  <si>
    <t>MILL RIVER</t>
  </si>
  <si>
    <t>MILL RIVER WATER TAKERS</t>
  </si>
  <si>
    <t>AQUARION WATER COMPANY MILLBURY</t>
  </si>
  <si>
    <t>MILLBURY IND. PARK/ PARK HILL VILLAGE</t>
  </si>
  <si>
    <t>MILLIS</t>
  </si>
  <si>
    <t>MILLIS WATER DEPT</t>
  </si>
  <si>
    <t>SUNNY SPRING/ANN AND HOPE (BLK)</t>
  </si>
  <si>
    <t>MILTON</t>
  </si>
  <si>
    <t>MILTON WATER DEPT. (MWRA)</t>
  </si>
  <si>
    <t>MONROE</t>
  </si>
  <si>
    <t>MONROE WATER DISTRICT</t>
  </si>
  <si>
    <t>MONSON WATER AND SEWER DEPT</t>
  </si>
  <si>
    <t>MONTAGUE</t>
  </si>
  <si>
    <t>MONTAGUE CENTER WATER DISTRICT</t>
  </si>
  <si>
    <t>MONTEREY</t>
  </si>
  <si>
    <t>MONTEREY WATER COMPANY</t>
  </si>
  <si>
    <t>GOULD FARM</t>
  </si>
  <si>
    <t>NAHANT WATER DEPT. (MWRA)</t>
  </si>
  <si>
    <t>NANTUCKET</t>
  </si>
  <si>
    <t>WANNACOMET WATER COMPANY</t>
  </si>
  <si>
    <t>SIASCONSET WATER DEPARTMENT</t>
  </si>
  <si>
    <t>NATICK WATER DEPARTMENT</t>
  </si>
  <si>
    <t>NEEDHAM WATER DEPT</t>
  </si>
  <si>
    <t>NEW BEDFORD DEPT. OF PUB. INFRASTRUCTURE</t>
  </si>
  <si>
    <t>NEWBURYPORT</t>
  </si>
  <si>
    <t>NEWBURYPORT WATER DEPARTMENT</t>
  </si>
  <si>
    <t>NEWTON</t>
  </si>
  <si>
    <t>NEWTON WATER DEPT. (MWRA)</t>
  </si>
  <si>
    <t>NORFOLK WATER DIVISION</t>
  </si>
  <si>
    <t>MCI NORFOLK/CEDAR JUNCTION/WALPOLE</t>
  </si>
  <si>
    <t>NORTH ADAMS WATER DEPT</t>
  </si>
  <si>
    <t>NORTH ANDOVER WATER DEPT</t>
  </si>
  <si>
    <t>NORTH ATTLEBORO WATER DEPT</t>
  </si>
  <si>
    <t>KINGS GRANT WATER CO INC</t>
  </si>
  <si>
    <t>NORTH BROOKFIELD WATER DEPARTMENT</t>
  </si>
  <si>
    <t>NORTH CHELMSFORD</t>
  </si>
  <si>
    <t>NORTH CHELMSFORD WATER DIST</t>
  </si>
  <si>
    <t>NORTH DIGHTON</t>
  </si>
  <si>
    <t>DIGHTON WATER DISTRICT</t>
  </si>
  <si>
    <t>NORTH DIGHTON FIRE DISTRICT</t>
  </si>
  <si>
    <t>INIMA USA / AQUARIA WATER</t>
  </si>
  <si>
    <t>NORTH READING</t>
  </si>
  <si>
    <t>NORTH READING WATER DEPT.</t>
  </si>
  <si>
    <t>NORTHAMPTON WATER DEPT</t>
  </si>
  <si>
    <t>NORTHBOROUGH</t>
  </si>
  <si>
    <t>NORTHBOROUGH WATER DEPARTMENT (MWRA)</t>
  </si>
  <si>
    <t>WHITINSVILLE WATER COMPANY</t>
  </si>
  <si>
    <t>NORTHFIELD</t>
  </si>
  <si>
    <t>NORTHFIELD WATER DISTRICT</t>
  </si>
  <si>
    <t>REDEMPTION CHRISTIAN ACADEMY</t>
  </si>
  <si>
    <t>NORTON WATER DEPARTMENT</t>
  </si>
  <si>
    <t>NORWELL WATER DEPARTMENT</t>
  </si>
  <si>
    <t>NORWOOD WATER DEPT. (MWRA)</t>
  </si>
  <si>
    <t>OAK BLUFFS</t>
  </si>
  <si>
    <t>OAK BLUFFS WATER DISTRICT</t>
  </si>
  <si>
    <t>ONSET</t>
  </si>
  <si>
    <t>ONSET FIRE DISTRICT</t>
  </si>
  <si>
    <t>ORANGE WATER DEPT</t>
  </si>
  <si>
    <t>ORLEANS</t>
  </si>
  <si>
    <t>ORLEANS WATER DEPARTMENT</t>
  </si>
  <si>
    <t>OSTERVILLE</t>
  </si>
  <si>
    <t>CENTERVILLE OSTERVILLE MARSTONS MILLS WD</t>
  </si>
  <si>
    <t>AQUARION WATER COMPANY OXFORD</t>
  </si>
  <si>
    <t>TORIA HEIGHTS CONDOMINIUM</t>
  </si>
  <si>
    <t>BUFFUMVILLE HEIGHTS ESTATES CONDOMINIUM</t>
  </si>
  <si>
    <t>CHARLTON STREET APARTMENTS</t>
  </si>
  <si>
    <t>PINEWOOD ON THE GREEN CONDOS</t>
  </si>
  <si>
    <t>PALMER</t>
  </si>
  <si>
    <t>PALMER WATER DISTRICT NO.1</t>
  </si>
  <si>
    <t>BRETON ESTATES</t>
  </si>
  <si>
    <t>PAXTON</t>
  </si>
  <si>
    <t>PAXTON WATER DEPARTMENT</t>
  </si>
  <si>
    <t>PEABODY WATER DEPT.</t>
  </si>
  <si>
    <t>PEMBROKE WATER DIVISION DPW</t>
  </si>
  <si>
    <t>PEPPERELL</t>
  </si>
  <si>
    <t>PEPPERELL DPW WATER DIVISION</t>
  </si>
  <si>
    <t>PITTSFIELD</t>
  </si>
  <si>
    <t>PITTSFIELD DPU WATER DEPT</t>
  </si>
  <si>
    <t>PLAINVILLE</t>
  </si>
  <si>
    <t>PLAINVILLE WATER DEPARTMENT</t>
  </si>
  <si>
    <t>PLYMOUTH</t>
  </si>
  <si>
    <t>PLYMOUTH WATER DEPARTMENT</t>
  </si>
  <si>
    <t>MCI PLYMOUTH</t>
  </si>
  <si>
    <t>PLYMOUTH WATER COMPANY</t>
  </si>
  <si>
    <t>HERRING COVE CONDOMINIUMS TRUST</t>
  </si>
  <si>
    <t>LONG POND VILLAGE MOBILE HOMES</t>
  </si>
  <si>
    <t>PINEHILLS WATER COMPANY, INC.</t>
  </si>
  <si>
    <t>AGAWAM SPRINGS WATER COMPANY</t>
  </si>
  <si>
    <t>PLYMPTON</t>
  </si>
  <si>
    <t>NORTH CARVER WATER DISTRICT</t>
  </si>
  <si>
    <t>CRANBERRY KNOLL</t>
  </si>
  <si>
    <t>POCASSET</t>
  </si>
  <si>
    <t>BOURNE WATER DISTRICT</t>
  </si>
  <si>
    <t>PROVINCETOWN WATER DEPARTMENT</t>
  </si>
  <si>
    <t>QUINCY WATER DEPT. (MWRA)</t>
  </si>
  <si>
    <t>RANDOLPH</t>
  </si>
  <si>
    <t>RANDOLPH WATER DEPARTMENT</t>
  </si>
  <si>
    <t>RANDOLPH/HOLBROOK WATER BOARD</t>
  </si>
  <si>
    <t>RAYNHAM</t>
  </si>
  <si>
    <t>RAYNHAM CENTER WATER DISTRICT</t>
  </si>
  <si>
    <t>NORTH RAYNHAM WATER DISTRICT</t>
  </si>
  <si>
    <t>READING</t>
  </si>
  <si>
    <t>READING WATER DEPARTMENT</t>
  </si>
  <si>
    <t>REHOBOTH</t>
  </si>
  <si>
    <t>HORTON ESTATES CONDOMINIUM TRUST, INC.</t>
  </si>
  <si>
    <t>REVERE</t>
  </si>
  <si>
    <t>REVERE WATER DEPT. (MWRA)</t>
  </si>
  <si>
    <t>VIEW DRIVE WATER COMMUNITY COOPERATIVE</t>
  </si>
  <si>
    <t>ABINGTON/ROCKLAND JOINT WTR. WORKS</t>
  </si>
  <si>
    <t>ROCKPORT</t>
  </si>
  <si>
    <t>ROCKPORT WATER DEPT</t>
  </si>
  <si>
    <t>ROWLEY</t>
  </si>
  <si>
    <t>ROWLEY WATER DEPARTMENT</t>
  </si>
  <si>
    <t>ROYALSTON</t>
  </si>
  <si>
    <t>SOUTH ROYALSTON IMPROVEMENT CORP</t>
  </si>
  <si>
    <t>RUSSELL</t>
  </si>
  <si>
    <t>RUSSELL WATER DEPT</t>
  </si>
  <si>
    <t>RUTLAND</t>
  </si>
  <si>
    <t>RUTLAND WATER DEPARTMENT</t>
  </si>
  <si>
    <t>COOL SANDY BEACH COMMUNITY WATER SYSTEM</t>
  </si>
  <si>
    <t>SAGAMORE BEACH</t>
  </si>
  <si>
    <t>NORTH SAGAMORE WATER DISTRICT</t>
  </si>
  <si>
    <t>SALEM WATER DEPARTMENT</t>
  </si>
  <si>
    <t>SALISBURY</t>
  </si>
  <si>
    <t>SALISBURY WATER DEPARTMENT</t>
  </si>
  <si>
    <t>RINGS ISLAND WATER DISTRICT</t>
  </si>
  <si>
    <t>SANDISFIELD</t>
  </si>
  <si>
    <t>BERKSHIRE REHAB SKILLED CARE CTR</t>
  </si>
  <si>
    <t>SANDWICH WATER DISTRICT</t>
  </si>
  <si>
    <t>SOUTHPOINT CONDOMINIUM TRUST</t>
  </si>
  <si>
    <t>UPPER CAPE REGIONAL WATER COOPERATIVE</t>
  </si>
  <si>
    <t>SAUGUS WATER DEPT. (MWRA)</t>
  </si>
  <si>
    <t>SCITUATE WATER DIVISION</t>
  </si>
  <si>
    <t>SEEKONK</t>
  </si>
  <si>
    <t>SEEKONK WATER DISTRICT</t>
  </si>
  <si>
    <t>SHARON WATER DEPT</t>
  </si>
  <si>
    <t>SHEFFIELD</t>
  </si>
  <si>
    <t>SHEFFIELD WATER COMPANY</t>
  </si>
  <si>
    <t>BERKSHIRE SCHOOL</t>
  </si>
  <si>
    <t>SHELBURNE</t>
  </si>
  <si>
    <t>DRAGON HILL CONDOMINIUMS</t>
  </si>
  <si>
    <t>SHELBURNE FALLS</t>
  </si>
  <si>
    <t>SHELBURNE FALLS FIRE DISTRICT</t>
  </si>
  <si>
    <t>WOODHAVEN ELDERLY HOUSING COMMITTEE</t>
  </si>
  <si>
    <t>LELAND FARMS</t>
  </si>
  <si>
    <t>SHIRLEY</t>
  </si>
  <si>
    <t>SHIRLEY WATER DISTRICT</t>
  </si>
  <si>
    <t>MCI SHIRLEY</t>
  </si>
  <si>
    <t>WOODLAND RIDGE</t>
  </si>
  <si>
    <t>SHREWSBURY</t>
  </si>
  <si>
    <t>SHREWSBURY WATER DEPARTMENT</t>
  </si>
  <si>
    <t>SOMERSET WATER DEPARTMENT</t>
  </si>
  <si>
    <t>SOMERVILLE WATER DEPT. (MWRA)</t>
  </si>
  <si>
    <t>SOUTH DEERFIELD</t>
  </si>
  <si>
    <t>SOUTH DEERFIELD WATER SUPPLY DISTRICT</t>
  </si>
  <si>
    <t>SOUTH DENNIS</t>
  </si>
  <si>
    <t>DENNIS WATER DISTRICT</t>
  </si>
  <si>
    <t>SOUTH EGREMONT</t>
  </si>
  <si>
    <t>EGREMONT WATER DEPT</t>
  </si>
  <si>
    <t>SOUTH GRAFTON</t>
  </si>
  <si>
    <t>SOUTH GRAFTON WATER DISTRICT</t>
  </si>
  <si>
    <t>SOUTH HADLEY</t>
  </si>
  <si>
    <t>SOUTH HADLEY FD #1 (MWRA)</t>
  </si>
  <si>
    <t>SOUTH HADLEY FIRE DISTRICT #2 WATER DEPT</t>
  </si>
  <si>
    <t>SOUTHAMPTON</t>
  </si>
  <si>
    <t>SOUTHAMPTON WATER DEPT</t>
  </si>
  <si>
    <t>SOUTHBOROUGH</t>
  </si>
  <si>
    <t>SOUTHBOROUGH DPW WATER DIVISION (MWRA)</t>
  </si>
  <si>
    <t>SOUTHBRIDGE</t>
  </si>
  <si>
    <t>SOUTHBRIDGE WATER DEPARTMENT</t>
  </si>
  <si>
    <t>SOUTHFIELD</t>
  </si>
  <si>
    <t>SOUTHFIELD WATER COMPANY</t>
  </si>
  <si>
    <t>SOUTHWICK WATER DEPT</t>
  </si>
  <si>
    <t>SPENCER</t>
  </si>
  <si>
    <t>SPENCER WATER DEPARTMENT</t>
  </si>
  <si>
    <t>SAINT JOSEPHS ABBEY</t>
  </si>
  <si>
    <t>SPRINGFIELD WATER AND SEWER COMMISSION</t>
  </si>
  <si>
    <t>STERLING</t>
  </si>
  <si>
    <t>STERLING WATER DEPARTMENT</t>
  </si>
  <si>
    <t>STOCKBRIDGE</t>
  </si>
  <si>
    <t>STOCKBRIDGE WATER DEPT</t>
  </si>
  <si>
    <t>KRIPALU CENTER</t>
  </si>
  <si>
    <t>WHITE PINES CONDOMINIUMS</t>
  </si>
  <si>
    <t>HERON POND AT STOCKBRIDGE</t>
  </si>
  <si>
    <t>ORONOQUE CONDOMINIUM TRUST</t>
  </si>
  <si>
    <t>STONEHAM</t>
  </si>
  <si>
    <t>STONEHAM WATER DEPT (MWRA SUPPLY)</t>
  </si>
  <si>
    <t>STOUGHTON</t>
  </si>
  <si>
    <t>STOUGHTON WATER DEPARTMENT</t>
  </si>
  <si>
    <t>COPPERWOOD II CONDOMINIUMS</t>
  </si>
  <si>
    <t>COPPERWOOD I CONDOMINIUMS</t>
  </si>
  <si>
    <t>BISHOPS LANDING CONDOMINIUMS</t>
  </si>
  <si>
    <t>STOW</t>
  </si>
  <si>
    <t>JUNIPER HILL WATER COMPANY</t>
  </si>
  <si>
    <t>THE MEETING HOUSE @ STOW CONDO</t>
  </si>
  <si>
    <t>PLANTATION APARTMENTS</t>
  </si>
  <si>
    <t>PILOT GROVE APARTMENTS</t>
  </si>
  <si>
    <t>VILLAGES AT STOW</t>
  </si>
  <si>
    <t>ARBOR GLEN CONDOMINIUMS</t>
  </si>
  <si>
    <t>PILOT GROVE APARTMENTS II</t>
  </si>
  <si>
    <t>STURBRIDGE</t>
  </si>
  <si>
    <t>STURBRIDGE WATER DEPARTMENT</t>
  </si>
  <si>
    <t>STURBRIDGE RETIREMENT COOP. CORP.</t>
  </si>
  <si>
    <t>STURBRIDGE CROSSING CONDOMINIUM</t>
  </si>
  <si>
    <t>SUDBURY WATER DISTRICT</t>
  </si>
  <si>
    <t>SUNDERLAND</t>
  </si>
  <si>
    <t>SUNDERLAND WATER DISTRICT</t>
  </si>
  <si>
    <t>CLIFFSIDE APARTMENTS</t>
  </si>
  <si>
    <t>POND RIDGE CONDO ASSN</t>
  </si>
  <si>
    <t>SUTTON</t>
  </si>
  <si>
    <t>MANCHAUG WATER DISTRICT OF SUTTON</t>
  </si>
  <si>
    <t>WILKINSONVILLE WATER DISTRICT</t>
  </si>
  <si>
    <t>SWAMPSCOTT</t>
  </si>
  <si>
    <t>SWAMPSCOTT WATER DEPT. (MWRA)</t>
  </si>
  <si>
    <t>SWANSEA</t>
  </si>
  <si>
    <t>SWANSEA WATER DISTRICT</t>
  </si>
  <si>
    <t>TAUNTON WATER DIVISION</t>
  </si>
  <si>
    <t>TEMPLETON MUNIC. LIGHT AND WATER PLANT</t>
  </si>
  <si>
    <t>TEWKSBURY WATER DEPT</t>
  </si>
  <si>
    <t>TEWKSBURY HOSPITAL</t>
  </si>
  <si>
    <t>THORNDIKE</t>
  </si>
  <si>
    <t>THORNDIKE FIRE AND WATER DISTRICT</t>
  </si>
  <si>
    <t>THREE RIVERS</t>
  </si>
  <si>
    <t>THREE RIVERS FIRE DISTRICT</t>
  </si>
  <si>
    <t>TISBURY</t>
  </si>
  <si>
    <t>TISBURY WATER WORKS</t>
  </si>
  <si>
    <t>TOPSFIELD</t>
  </si>
  <si>
    <t>TOPSFIELD WATER DEPARTMENT</t>
  </si>
  <si>
    <t>EAGLE TOR TRUST</t>
  </si>
  <si>
    <t>TURNERS FALLS</t>
  </si>
  <si>
    <t>TURNERS FALLS WATER DEPT</t>
  </si>
  <si>
    <t>TYNGSBOROUGH WATER DISTRICT</t>
  </si>
  <si>
    <t>RIVER CROSSING CONDOMINIUM</t>
  </si>
  <si>
    <t>BENCHMARK CONDOMINIUMS</t>
  </si>
  <si>
    <t>COLONY HEIGHTS CONDOMINIUM</t>
  </si>
  <si>
    <t>400 DUNSTABLE ROAD (PINE KNOLL)</t>
  </si>
  <si>
    <t>CURTIS HILL CONDOMINIUM</t>
  </si>
  <si>
    <t>THE GREENS</t>
  </si>
  <si>
    <t>UPTON</t>
  </si>
  <si>
    <t>UPTON DPW WATER/WASTEWATER DIVISION</t>
  </si>
  <si>
    <t>ROCKWOOD MEADOWS</t>
  </si>
  <si>
    <t>UXBRIDGE DPW, WATER DIVISION</t>
  </si>
  <si>
    <t>WAKEFIELD WATER DEPT</t>
  </si>
  <si>
    <t>WALES</t>
  </si>
  <si>
    <t>BROOKSIDE VILLAGE</t>
  </si>
  <si>
    <t>SILVER MEADOW</t>
  </si>
  <si>
    <t>WALPOLE</t>
  </si>
  <si>
    <t>WALPOLE WATER DEPT</t>
  </si>
  <si>
    <t>WALTHAM WATER DEPARTMENT</t>
  </si>
  <si>
    <t>WARE WATER DEPT</t>
  </si>
  <si>
    <t>QUABBIN SUNRISE COOPERATIVE INC</t>
  </si>
  <si>
    <t>WAREHAM FIRE DISTRICT</t>
  </si>
  <si>
    <t>WARREN</t>
  </si>
  <si>
    <t>WARREN WATER DISTRICT</t>
  </si>
  <si>
    <t>WEST WARREN WATER DISTRICT</t>
  </si>
  <si>
    <t>HERITAGE VILLAGE MOBILE PARK</t>
  </si>
  <si>
    <t>WATERTOWN WATER DEPT. (MWRA)</t>
  </si>
  <si>
    <t>WAYLAND WATER DEPARTMENT</t>
  </si>
  <si>
    <t>WEBSTER WATER DEPARTMENT</t>
  </si>
  <si>
    <t>WELLESLEY</t>
  </si>
  <si>
    <t>WELLESLEY WATER DIVISION</t>
  </si>
  <si>
    <t>WELLESLEY COLLEGE</t>
  </si>
  <si>
    <t>WELLFLEET</t>
  </si>
  <si>
    <t>HARBORSIDE VILLAGE</t>
  </si>
  <si>
    <t>MASSASOIT HILLS TRAILER PARK</t>
  </si>
  <si>
    <t>PLEASANT WATER</t>
  </si>
  <si>
    <t>WELLFLEET MUNICIPAL WATER SYSTEM</t>
  </si>
  <si>
    <t>WELLFLEET APARTMENTS</t>
  </si>
  <si>
    <t>WENHAM</t>
  </si>
  <si>
    <t>WENHAM WATER DEPT.</t>
  </si>
  <si>
    <t>WEST BOYLSTON</t>
  </si>
  <si>
    <t>WEST BOYLSTON WATER DISTRICT</t>
  </si>
  <si>
    <t>WEST BRIDGEWATER</t>
  </si>
  <si>
    <t>WEST BRIDGEWATER WATER DEPT</t>
  </si>
  <si>
    <t>WEST BROOKFIELD</t>
  </si>
  <si>
    <t>WEST BROOKFIELD WATER DEPARTMENT</t>
  </si>
  <si>
    <t>MADDEN ESTATES</t>
  </si>
  <si>
    <t>WEST NEWBURY</t>
  </si>
  <si>
    <t>WEST NEWBURY WATER DEPARTMENT</t>
  </si>
  <si>
    <t>WEST SPRINGFIELD DPW WATER DIVISION</t>
  </si>
  <si>
    <t>WEST STOCKBRIDGE</t>
  </si>
  <si>
    <t>WEST STOCKBRIDGE WATER DEPT</t>
  </si>
  <si>
    <t>WEST TOWNSEND</t>
  </si>
  <si>
    <t>TOWNSEND WATER DEPARTMENT</t>
  </si>
  <si>
    <t>WEST YARMOUTH</t>
  </si>
  <si>
    <t>YARMOUTH WATER DEPARTMENT</t>
  </si>
  <si>
    <t>WESTBOROUGH WATER DEPARTMENT</t>
  </si>
  <si>
    <t>WESTBOROUGH STATE HOSPITAL (MWRA)</t>
  </si>
  <si>
    <t>WESTFIELD</t>
  </si>
  <si>
    <t>WESTFIELD WATER DEPT</t>
  </si>
  <si>
    <t>WESTFORD</t>
  </si>
  <si>
    <t>WESTFORD WATER DEPARTMENT</t>
  </si>
  <si>
    <t>VINE BROOK ESTATES</t>
  </si>
  <si>
    <t>HAYSTACK ESTATES</t>
  </si>
  <si>
    <t>WESTMINSTER</t>
  </si>
  <si>
    <t>WESTMINSTER DEPARTMENT OF PUBLIC WORKS</t>
  </si>
  <si>
    <t>HOLMES PARK WATER DISTRICT</t>
  </si>
  <si>
    <t>LEINO PARK WATER DISTRICT</t>
  </si>
  <si>
    <t>WESTON</t>
  </si>
  <si>
    <t>WESTON WATER DEPT.</t>
  </si>
  <si>
    <t>CAMPION RESIDENCE AND RENEWAL CTR</t>
  </si>
  <si>
    <t>M.A.M.O. REALTY LLC</t>
  </si>
  <si>
    <t>WESTPORT SENIOR VILLAGE</t>
  </si>
  <si>
    <t>TOWN OF WESTPORT</t>
  </si>
  <si>
    <t>WEYMOUTH</t>
  </si>
  <si>
    <t>WEYMOUTH WATER DEPARTMENT</t>
  </si>
  <si>
    <t>SOUTHFIELD REDEVELOPEMENT AUTHORITY</t>
  </si>
  <si>
    <t>WHATELY</t>
  </si>
  <si>
    <t>WHATELY WATER DISTRICT</t>
  </si>
  <si>
    <t>WHATELY WATER DEPT</t>
  </si>
  <si>
    <t>WHITINSVILLE</t>
  </si>
  <si>
    <t>NORTHBRIDGE WATER DIVISION</t>
  </si>
  <si>
    <t>WHITMAN</t>
  </si>
  <si>
    <t>WHITMAN WATER SYSTEM</t>
  </si>
  <si>
    <t>ELIOT WOODS CONDOS</t>
  </si>
  <si>
    <t>WILBRAHAM</t>
  </si>
  <si>
    <t>WILBRAHAM WATER DEPT (MWRA)</t>
  </si>
  <si>
    <t>WILLIAMSTOWN</t>
  </si>
  <si>
    <t>WILLIAMSTOWN WATER DEPT</t>
  </si>
  <si>
    <t>SWEET WOOD RETIREMENT COMMUNITY</t>
  </si>
  <si>
    <t>WAUBEEKA SPRINGS</t>
  </si>
  <si>
    <t>WILMINGTON WATER DEPT</t>
  </si>
  <si>
    <t>WINCHENDON WATER DEPARTMENT</t>
  </si>
  <si>
    <t>WINCHESTER WATER DEPT</t>
  </si>
  <si>
    <t>WINTHROP WATER DIVISION, (MWRA)</t>
  </si>
  <si>
    <t>WOBURN WATER DEPT.</t>
  </si>
  <si>
    <t>WORCESTER DPW, WATER SUPPLY DIVISION</t>
  </si>
  <si>
    <t>WORTHINGTON</t>
  </si>
  <si>
    <t>WORTHINGTON FIRE DISTRICT</t>
  </si>
  <si>
    <t>WRENTHAM WATER DIVISION</t>
  </si>
  <si>
    <t>WRENTHAM DEVELOPMENTAL CENTER</t>
  </si>
  <si>
    <t>MOUNT ST MARYS ABBEY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</si>
</sst>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indexed="8"/>
      <name val="Verdana"/>
      <family val="2"/>
    </font>
    <font>
      <b/>
      <sz val="11"/>
      <name val="Calibri"/>
      <family val="2"/>
    </font>
    <font>
      <sz val="10"/>
      <color indexed="8"/>
      <name val="Calibri"/>
      <family val="2"/>
    </font>
    <font>
      <sz val="10"/>
      <color indexed="8"/>
      <name val="Calibri"/>
      <family val="2"/>
      <scheme val="minor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FFFF"/>
        <bgColor indexed="64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D0D7E5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>
      <left style="thin">
        <color rgb="FF000000"/>
      </left>
      <right style="medium">
        <color rgb="FFD0D7E5"/>
      </right>
      <top style="thin">
        <color rgb="FF000000"/>
      </top>
      <bottom style="medium">
        <color rgb="FFD0D7E5"/>
      </bottom>
      <diagonal/>
    </border>
    <border>
      <left style="medium">
        <color rgb="FFD0D7E5"/>
      </left>
      <right style="medium">
        <color rgb="FFD0D7E5"/>
      </right>
      <top style="thin">
        <color rgb="FF000000"/>
      </top>
      <bottom style="medium">
        <color rgb="FFD0D7E5"/>
      </bottom>
      <diagonal/>
    </border>
    <border>
      <left style="medium">
        <color rgb="FFD0D7E5"/>
      </left>
      <right style="thin">
        <color rgb="FF000000"/>
      </right>
      <top style="thin">
        <color rgb="FF000000"/>
      </top>
      <bottom style="medium">
        <color rgb="FFD0D7E5"/>
      </bottom>
      <diagonal/>
    </border>
    <border>
      <left style="thin">
        <color rgb="FF000000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>
      <left style="medium">
        <color rgb="FFD0D7E5"/>
      </left>
      <right style="thin">
        <color rgb="FF000000"/>
      </right>
      <top style="medium">
        <color rgb="FFD0D7E5"/>
      </top>
      <bottom style="medium">
        <color rgb="FFD0D7E5"/>
      </bottom>
      <diagonal/>
    </border>
    <border>
      <left style="thin">
        <color rgb="FF000000"/>
      </left>
      <right style="medium">
        <color rgb="FFD0D7E5"/>
      </right>
      <top style="medium">
        <color rgb="FFD0D7E5"/>
      </top>
      <bottom style="thin">
        <color rgb="FF000000"/>
      </bottom>
      <diagonal/>
    </border>
    <border>
      <left style="medium">
        <color rgb="FFD0D7E5"/>
      </left>
      <right style="medium">
        <color rgb="FFD0D7E5"/>
      </right>
      <top style="medium">
        <color rgb="FFD0D7E5"/>
      </top>
      <bottom style="thin">
        <color rgb="FF000000"/>
      </bottom>
      <diagonal/>
    </border>
    <border>
      <left style="medium">
        <color rgb="FFD0D7E5"/>
      </left>
      <right style="thin">
        <color rgb="FF00000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CCFF"/>
      </left>
      <right style="medium">
        <color rgb="FF00CCFF"/>
      </right>
      <top style="medium">
        <color rgb="FF00CCFF"/>
      </top>
      <bottom style="thin">
        <color theme="0" tint="-0.499984740745262"/>
      </bottom>
      <diagonal/>
    </border>
    <border>
      <left style="medium">
        <color rgb="FF00CCFF"/>
      </left>
      <right style="medium">
        <color rgb="FF00CCFF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CCFF"/>
      </left>
      <right style="medium">
        <color rgb="FF00CCFF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auto="1"/>
      </right>
      <top/>
      <bottom style="medium">
        <color auto="1"/>
      </bottom>
      <diagonal/>
    </border>
  </borders>
  <cellStyleXfs count="13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12" fillId="0" borderId="0"/>
    <xf numFmtId="0" fontId="21" fillId="0" borderId="0"/>
    <xf numFmtId="0" fontId="22" fillId="0" borderId="0"/>
    <xf numFmtId="0" fontId="23" fillId="0" borderId="0" applyNumberFormat="0" applyFill="0" applyBorder="0" applyProtection="0">
      <alignment vertical="top" wrapText="1"/>
    </xf>
    <xf numFmtId="0" fontId="21" fillId="0" borderId="0"/>
  </cellStyleXfs>
  <cellXfs count="410">
    <xf numFmtId="0" fontId="0" fillId="0" borderId="0" xfId="0"/>
    <xf numFmtId="0" fontId="5" fillId="0" borderId="0" xfId="0" applyFont="1"/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6" fillId="2" borderId="6" xfId="0" applyFont="1" applyFill="1" applyBorder="1" applyAlignment="1">
      <alignment vertical="top" wrapText="1"/>
    </xf>
    <xf numFmtId="0" fontId="6" fillId="2" borderId="7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0" fontId="6" fillId="2" borderId="9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0" borderId="2" xfId="0" applyFont="1" applyBorder="1" applyAlignment="1">
      <alignment vertical="top"/>
    </xf>
    <xf numFmtId="0" fontId="4" fillId="3" borderId="11" xfId="1" applyFont="1" applyFill="1" applyBorder="1" applyAlignment="1">
      <alignment horizontal="left" vertical="top"/>
    </xf>
    <xf numFmtId="14" fontId="4" fillId="3" borderId="11" xfId="1" applyNumberFormat="1" applyFont="1" applyFill="1" applyBorder="1" applyAlignment="1">
      <alignment horizontal="center" vertical="top" wrapText="1"/>
    </xf>
    <xf numFmtId="0" fontId="4" fillId="3" borderId="11" xfId="1" applyFont="1" applyFill="1" applyBorder="1" applyAlignment="1">
      <alignment vertical="top"/>
    </xf>
    <xf numFmtId="1" fontId="4" fillId="3" borderId="11" xfId="1" applyNumberFormat="1" applyFont="1" applyFill="1" applyBorder="1" applyAlignment="1">
      <alignment horizontal="center" vertical="top"/>
    </xf>
    <xf numFmtId="49" fontId="4" fillId="3" borderId="11" xfId="1" applyNumberFormat="1" applyFont="1" applyFill="1" applyBorder="1" applyAlignment="1">
      <alignment vertical="top"/>
    </xf>
    <xf numFmtId="0" fontId="20" fillId="3" borderId="11" xfId="0" applyFont="1" applyFill="1" applyBorder="1" applyAlignment="1">
      <alignment vertical="top"/>
    </xf>
    <xf numFmtId="14" fontId="20" fillId="3" borderId="11" xfId="0" applyNumberFormat="1" applyFont="1" applyFill="1" applyBorder="1" applyAlignment="1">
      <alignment horizontal="center" vertical="top"/>
    </xf>
    <xf numFmtId="0" fontId="20" fillId="3" borderId="11" xfId="0" applyFont="1" applyFill="1" applyBorder="1" applyAlignment="1">
      <alignment vertical="center"/>
    </xf>
    <xf numFmtId="0" fontId="15" fillId="11" borderId="11" xfId="0" applyFont="1" applyFill="1" applyBorder="1" applyAlignment="1">
      <alignment vertical="center"/>
    </xf>
    <xf numFmtId="0" fontId="0" fillId="3" borderId="11" xfId="0" applyFill="1" applyBorder="1" applyAlignment="1">
      <alignment horizontal="left" vertical="top"/>
    </xf>
    <xf numFmtId="0" fontId="0" fillId="3" borderId="11" xfId="0" applyFill="1" applyBorder="1" applyAlignment="1">
      <alignment vertical="top"/>
    </xf>
    <xf numFmtId="14" fontId="0" fillId="3" borderId="11" xfId="0" applyNumberFormat="1" applyFill="1" applyBorder="1" applyAlignment="1">
      <alignment horizontal="left" vertical="top"/>
    </xf>
    <xf numFmtId="0" fontId="20" fillId="3" borderId="11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/>
    </xf>
    <xf numFmtId="14" fontId="1" fillId="3" borderId="11" xfId="0" applyNumberFormat="1" applyFont="1" applyFill="1" applyBorder="1" applyAlignment="1">
      <alignment vertical="top"/>
    </xf>
    <xf numFmtId="0" fontId="1" fillId="3" borderId="11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 wrapText="1"/>
    </xf>
    <xf numFmtId="49" fontId="18" fillId="3" borderId="11" xfId="1" applyNumberFormat="1" applyFont="1" applyFill="1" applyBorder="1" applyAlignment="1">
      <alignment horizontal="left" vertical="top" wrapText="1"/>
    </xf>
    <xf numFmtId="0" fontId="1" fillId="3" borderId="11" xfId="0" applyFont="1" applyFill="1" applyBorder="1" applyAlignment="1" applyProtection="1">
      <alignment vertical="top"/>
      <protection locked="0"/>
    </xf>
    <xf numFmtId="0" fontId="1" fillId="3" borderId="11" xfId="0" applyFont="1" applyFill="1" applyBorder="1" applyAlignment="1">
      <alignment vertical="top" wrapText="1"/>
    </xf>
    <xf numFmtId="14" fontId="1" fillId="3" borderId="11" xfId="0" applyNumberFormat="1" applyFont="1" applyFill="1" applyBorder="1" applyAlignment="1">
      <alignment vertical="top" wrapText="1"/>
    </xf>
    <xf numFmtId="49" fontId="1" fillId="3" borderId="11" xfId="0" applyNumberFormat="1" applyFont="1" applyFill="1" applyBorder="1" applyAlignment="1">
      <alignment vertical="top"/>
    </xf>
    <xf numFmtId="0" fontId="1" fillId="3" borderId="11" xfId="0" applyFont="1" applyFill="1" applyBorder="1" applyAlignment="1">
      <alignment horizontal="center" vertical="top"/>
    </xf>
    <xf numFmtId="0" fontId="0" fillId="3" borderId="11" xfId="0" applyFill="1" applyBorder="1" applyAlignment="1">
      <alignment horizontal="center" vertical="top"/>
    </xf>
    <xf numFmtId="0" fontId="16" fillId="3" borderId="11" xfId="1" applyFont="1" applyFill="1" applyBorder="1" applyAlignment="1">
      <alignment horizontal="left" vertical="top"/>
    </xf>
    <xf numFmtId="49" fontId="0" fillId="3" borderId="11" xfId="0" applyNumberFormat="1" applyFill="1" applyBorder="1" applyAlignment="1">
      <alignment horizontal="left" vertical="top" wrapText="1"/>
    </xf>
    <xf numFmtId="0" fontId="0" fillId="3" borderId="11" xfId="0" applyFill="1" applyBorder="1" applyAlignment="1" applyProtection="1">
      <alignment horizontal="center" vertical="top"/>
      <protection locked="0"/>
    </xf>
    <xf numFmtId="0" fontId="0" fillId="3" borderId="11" xfId="0" applyFill="1" applyBorder="1" applyAlignment="1">
      <alignment horizontal="center" vertical="top" wrapText="1"/>
    </xf>
    <xf numFmtId="14" fontId="0" fillId="3" borderId="11" xfId="0" applyNumberFormat="1" applyFill="1" applyBorder="1" applyAlignment="1">
      <alignment horizontal="center" vertical="top" wrapText="1"/>
    </xf>
    <xf numFmtId="49" fontId="0" fillId="3" borderId="11" xfId="0" applyNumberFormat="1" applyFill="1" applyBorder="1" applyAlignment="1">
      <alignment horizontal="center" vertical="top"/>
    </xf>
    <xf numFmtId="0" fontId="0" fillId="3" borderId="11" xfId="0" applyFill="1" applyBorder="1" applyAlignment="1">
      <alignment horizontal="left" vertical="top" wrapText="1"/>
    </xf>
    <xf numFmtId="0" fontId="1" fillId="3" borderId="14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vertical="top"/>
    </xf>
    <xf numFmtId="0" fontId="0" fillId="3" borderId="12" xfId="0" applyFill="1" applyBorder="1" applyAlignment="1">
      <alignment horizontal="center" vertical="top"/>
    </xf>
    <xf numFmtId="0" fontId="1" fillId="3" borderId="13" xfId="0" applyFont="1" applyFill="1" applyBorder="1" applyAlignment="1">
      <alignment horizontal="left" vertical="top"/>
    </xf>
    <xf numFmtId="0" fontId="0" fillId="3" borderId="13" xfId="0" applyFill="1" applyBorder="1" applyAlignment="1">
      <alignment horizontal="left" vertical="top"/>
    </xf>
    <xf numFmtId="14" fontId="1" fillId="7" borderId="11" xfId="0" applyNumberFormat="1" applyFont="1" applyFill="1" applyBorder="1" applyAlignment="1">
      <alignment horizontal="center" vertical="top"/>
    </xf>
    <xf numFmtId="14" fontId="0" fillId="7" borderId="11" xfId="0" applyNumberFormat="1" applyFill="1" applyBorder="1" applyAlignment="1">
      <alignment horizontal="center" vertical="top"/>
    </xf>
    <xf numFmtId="0" fontId="20" fillId="3" borderId="11" xfId="0" applyFont="1" applyFill="1" applyBorder="1" applyAlignment="1">
      <alignment horizontal="center" vertical="top" wrapText="1"/>
    </xf>
    <xf numFmtId="0" fontId="0" fillId="3" borderId="15" xfId="0" applyFill="1" applyBorder="1" applyAlignment="1">
      <alignment horizontal="center" vertical="top"/>
    </xf>
    <xf numFmtId="0" fontId="18" fillId="3" borderId="11" xfId="1" applyFont="1" applyFill="1" applyBorder="1" applyAlignment="1">
      <alignment horizontal="left" vertical="top"/>
    </xf>
    <xf numFmtId="0" fontId="15" fillId="3" borderId="11" xfId="0" applyFont="1" applyFill="1" applyBorder="1" applyAlignment="1">
      <alignment horizontal="left" vertical="center"/>
    </xf>
    <xf numFmtId="14" fontId="3" fillId="3" borderId="11" xfId="1" applyNumberFormat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vertical="center"/>
    </xf>
    <xf numFmtId="0" fontId="3" fillId="3" borderId="11" xfId="1" applyFont="1" applyFill="1" applyBorder="1" applyAlignment="1">
      <alignment horizontal="left" vertical="center"/>
    </xf>
    <xf numFmtId="1" fontId="3" fillId="3" borderId="11" xfId="1" applyNumberFormat="1" applyFont="1" applyFill="1" applyBorder="1" applyAlignment="1">
      <alignment horizontal="center" vertical="center"/>
    </xf>
    <xf numFmtId="49" fontId="3" fillId="3" borderId="11" xfId="1" applyNumberFormat="1" applyFont="1" applyFill="1" applyBorder="1" applyAlignment="1">
      <alignment vertical="center"/>
    </xf>
    <xf numFmtId="0" fontId="15" fillId="3" borderId="11" xfId="0" applyFont="1" applyFill="1" applyBorder="1" applyAlignment="1">
      <alignment vertical="top"/>
    </xf>
    <xf numFmtId="0" fontId="15" fillId="3" borderId="11" xfId="0" applyFont="1" applyFill="1" applyBorder="1" applyAlignment="1">
      <alignment vertical="center"/>
    </xf>
    <xf numFmtId="14" fontId="15" fillId="3" borderId="11" xfId="0" applyNumberFormat="1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vertical="center" wrapText="1"/>
    </xf>
    <xf numFmtId="14" fontId="15" fillId="3" borderId="11" xfId="0" applyNumberFormat="1" applyFont="1" applyFill="1" applyBorder="1" applyAlignment="1">
      <alignment horizontal="center" vertical="center"/>
    </xf>
    <xf numFmtId="49" fontId="15" fillId="3" borderId="11" xfId="0" applyNumberFormat="1" applyFont="1" applyFill="1" applyBorder="1" applyAlignment="1">
      <alignment vertical="center"/>
    </xf>
    <xf numFmtId="0" fontId="15" fillId="3" borderId="11" xfId="0" quotePrefix="1" applyFont="1" applyFill="1" applyBorder="1" applyAlignment="1">
      <alignment horizontal="left"/>
    </xf>
    <xf numFmtId="0" fontId="0" fillId="3" borderId="11" xfId="0" quotePrefix="1" applyFill="1" applyBorder="1" applyAlignment="1">
      <alignment horizontal="left"/>
    </xf>
    <xf numFmtId="0" fontId="19" fillId="0" borderId="11" xfId="0" quotePrefix="1" applyFont="1" applyBorder="1" applyAlignment="1">
      <alignment horizontal="left" vertical="center"/>
    </xf>
    <xf numFmtId="0" fontId="19" fillId="0" borderId="11" xfId="0" applyFont="1" applyBorder="1" applyAlignment="1">
      <alignment vertical="center"/>
    </xf>
    <xf numFmtId="0" fontId="19" fillId="0" borderId="11" xfId="0" applyFont="1" applyBorder="1" applyAlignment="1">
      <alignment horizontal="left" vertical="center"/>
    </xf>
    <xf numFmtId="0" fontId="15" fillId="3" borderId="11" xfId="0" applyFont="1" applyFill="1" applyBorder="1" applyAlignment="1">
      <alignment horizontal="center" vertical="center" wrapText="1"/>
    </xf>
    <xf numFmtId="0" fontId="16" fillId="3" borderId="11" xfId="1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4" fillId="0" borderId="11" xfId="0" quotePrefix="1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/>
    </xf>
    <xf numFmtId="0" fontId="14" fillId="0" borderId="11" xfId="0" quotePrefix="1" applyFont="1" applyBorder="1"/>
    <xf numFmtId="0" fontId="0" fillId="3" borderId="11" xfId="0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3" fillId="10" borderId="11" xfId="1" applyFont="1" applyFill="1" applyBorder="1"/>
    <xf numFmtId="0" fontId="3" fillId="3" borderId="11" xfId="1" quotePrefix="1" applyFont="1" applyFill="1" applyBorder="1" applyAlignment="1">
      <alignment horizontal="left"/>
    </xf>
    <xf numFmtId="49" fontId="15" fillId="3" borderId="11" xfId="0" quotePrefix="1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center" vertical="center" wrapText="1"/>
    </xf>
    <xf numFmtId="0" fontId="26" fillId="10" borderId="11" xfId="0" applyFont="1" applyFill="1" applyBorder="1" applyAlignment="1">
      <alignment horizontal="center" vertical="center"/>
    </xf>
    <xf numFmtId="1" fontId="3" fillId="10" borderId="11" xfId="0" applyNumberFormat="1" applyFont="1" applyFill="1" applyBorder="1" applyAlignment="1">
      <alignment horizontal="center" vertical="center"/>
    </xf>
    <xf numFmtId="1" fontId="3" fillId="10" borderId="11" xfId="0" applyNumberFormat="1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/>
    </xf>
    <xf numFmtId="0" fontId="0" fillId="3" borderId="11" xfId="0" applyFill="1" applyBorder="1" applyAlignment="1">
      <alignment horizontal="left"/>
    </xf>
    <xf numFmtId="0" fontId="15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top"/>
    </xf>
    <xf numFmtId="164" fontId="0" fillId="6" borderId="11" xfId="0" applyNumberFormat="1" applyFill="1" applyBorder="1" applyAlignment="1">
      <alignment horizontal="center" vertical="top"/>
    </xf>
    <xf numFmtId="164" fontId="0" fillId="6" borderId="11" xfId="1" applyNumberFormat="1" applyFont="1" applyFill="1" applyBorder="1" applyAlignment="1">
      <alignment horizontal="center" vertical="top"/>
    </xf>
    <xf numFmtId="14" fontId="16" fillId="6" borderId="11" xfId="1" applyNumberFormat="1" applyFont="1" applyFill="1" applyBorder="1" applyAlignment="1">
      <alignment horizontal="center" vertical="top"/>
    </xf>
    <xf numFmtId="164" fontId="16" fillId="6" borderId="11" xfId="1" applyNumberFormat="1" applyFont="1" applyFill="1" applyBorder="1" applyAlignment="1">
      <alignment horizontal="center" vertical="top"/>
    </xf>
    <xf numFmtId="164" fontId="0" fillId="10" borderId="11" xfId="0" applyNumberFormat="1" applyFill="1" applyBorder="1" applyAlignment="1">
      <alignment horizontal="center" vertical="top"/>
    </xf>
    <xf numFmtId="14" fontId="0" fillId="6" borderId="11" xfId="0" applyNumberFormat="1" applyFill="1" applyBorder="1" applyAlignment="1">
      <alignment horizontal="center" vertical="top"/>
    </xf>
    <xf numFmtId="164" fontId="16" fillId="6" borderId="11" xfId="0" applyNumberFormat="1" applyFont="1" applyFill="1" applyBorder="1" applyAlignment="1">
      <alignment horizontal="center" vertical="top"/>
    </xf>
    <xf numFmtId="0" fontId="0" fillId="10" borderId="11" xfId="0" applyFill="1" applyBorder="1"/>
    <xf numFmtId="14" fontId="15" fillId="10" borderId="11" xfId="0" applyNumberFormat="1" applyFont="1" applyFill="1" applyBorder="1" applyAlignment="1">
      <alignment horizontal="center" vertical="center"/>
    </xf>
    <xf numFmtId="0" fontId="25" fillId="3" borderId="11" xfId="11" applyNumberFormat="1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vertical="center" wrapText="1"/>
    </xf>
    <xf numFmtId="0" fontId="20" fillId="3" borderId="11" xfId="0" applyFont="1" applyFill="1" applyBorder="1" applyAlignment="1">
      <alignment horizontal="center" vertical="top"/>
    </xf>
    <xf numFmtId="0" fontId="3" fillId="3" borderId="11" xfId="1" applyFont="1" applyFill="1" applyBorder="1" applyAlignment="1">
      <alignment horizontal="center" vertical="center"/>
    </xf>
    <xf numFmtId="0" fontId="11" fillId="10" borderId="11" xfId="1" applyFont="1" applyFill="1" applyBorder="1" applyAlignment="1">
      <alignment horizontal="center" vertical="center"/>
    </xf>
    <xf numFmtId="1" fontId="19" fillId="3" borderId="11" xfId="0" applyNumberFormat="1" applyFont="1" applyFill="1" applyBorder="1" applyAlignment="1">
      <alignment horizontal="center"/>
    </xf>
    <xf numFmtId="0" fontId="11" fillId="3" borderId="11" xfId="1" applyFont="1" applyFill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4" fontId="16" fillId="3" borderId="11" xfId="1" applyNumberFormat="1" applyFont="1" applyFill="1" applyBorder="1" applyAlignment="1">
      <alignment horizontal="center" vertical="center"/>
    </xf>
    <xf numFmtId="14" fontId="12" fillId="3" borderId="11" xfId="0" applyNumberFormat="1" applyFont="1" applyFill="1" applyBorder="1" applyAlignment="1">
      <alignment horizontal="center" vertical="top"/>
    </xf>
    <xf numFmtId="0" fontId="11" fillId="10" borderId="11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vertical="center"/>
    </xf>
    <xf numFmtId="0" fontId="0" fillId="0" borderId="11" xfId="0" quotePrefix="1" applyBorder="1"/>
    <xf numFmtId="0" fontId="0" fillId="3" borderId="11" xfId="0" applyFill="1" applyBorder="1" applyAlignment="1">
      <alignment vertical="center"/>
    </xf>
    <xf numFmtId="0" fontId="15" fillId="4" borderId="11" xfId="0" applyFont="1" applyFill="1" applyBorder="1"/>
    <xf numFmtId="1" fontId="15" fillId="7" borderId="11" xfId="0" applyNumberFormat="1" applyFont="1" applyFill="1" applyBorder="1" applyAlignment="1">
      <alignment vertical="center"/>
    </xf>
    <xf numFmtId="0" fontId="15" fillId="8" borderId="11" xfId="0" applyFont="1" applyFill="1" applyBorder="1" applyAlignment="1">
      <alignment horizontal="left" vertical="center"/>
    </xf>
    <xf numFmtId="0" fontId="15" fillId="8" borderId="11" xfId="0" applyFont="1" applyFill="1" applyBorder="1" applyAlignment="1">
      <alignment horizontal="right" vertical="center"/>
    </xf>
    <xf numFmtId="49" fontId="15" fillId="3" borderId="12" xfId="0" applyNumberFormat="1" applyFont="1" applyFill="1" applyBorder="1" applyAlignment="1">
      <alignment vertical="center"/>
    </xf>
    <xf numFmtId="49" fontId="3" fillId="3" borderId="12" xfId="1" quotePrefix="1" applyNumberFormat="1" applyFont="1" applyFill="1" applyBorder="1" applyAlignment="1">
      <alignment vertical="center"/>
    </xf>
    <xf numFmtId="0" fontId="15" fillId="3" borderId="13" xfId="0" applyFont="1" applyFill="1" applyBorder="1" applyAlignment="1">
      <alignment vertical="center"/>
    </xf>
    <xf numFmtId="0" fontId="15" fillId="3" borderId="17" xfId="0" applyFont="1" applyFill="1" applyBorder="1" applyAlignment="1">
      <alignment vertical="center"/>
    </xf>
    <xf numFmtId="0" fontId="15" fillId="3" borderId="18" xfId="0" applyFont="1" applyFill="1" applyBorder="1" applyAlignment="1">
      <alignment vertical="center"/>
    </xf>
    <xf numFmtId="49" fontId="4" fillId="3" borderId="19" xfId="1" applyNumberFormat="1" applyFont="1" applyFill="1" applyBorder="1" applyAlignment="1">
      <alignment vertical="center"/>
    </xf>
    <xf numFmtId="0" fontId="3" fillId="10" borderId="20" xfId="1" applyFont="1" applyFill="1" applyBorder="1" applyAlignment="1">
      <alignment vertical="center"/>
    </xf>
    <xf numFmtId="0" fontId="15" fillId="4" borderId="20" xfId="0" applyFont="1" applyFill="1" applyBorder="1" applyAlignment="1">
      <alignment vertical="center"/>
    </xf>
    <xf numFmtId="0" fontId="15" fillId="5" borderId="21" xfId="0" applyFont="1" applyFill="1" applyBorder="1" applyAlignment="1">
      <alignment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0" fontId="3" fillId="3" borderId="17" xfId="1" applyFont="1" applyFill="1" applyBorder="1" applyAlignment="1">
      <alignment vertical="center"/>
    </xf>
    <xf numFmtId="0" fontId="3" fillId="3" borderId="27" xfId="1" applyFont="1" applyFill="1" applyBorder="1" applyAlignment="1">
      <alignment vertical="center"/>
    </xf>
    <xf numFmtId="0" fontId="20" fillId="12" borderId="24" xfId="0" applyFont="1" applyFill="1" applyBorder="1" applyAlignment="1">
      <alignment horizontal="left" vertical="center"/>
    </xf>
    <xf numFmtId="1" fontId="20" fillId="12" borderId="25" xfId="0" applyNumberFormat="1" applyFont="1" applyFill="1" applyBorder="1" applyAlignment="1">
      <alignment horizontal="right"/>
    </xf>
    <xf numFmtId="0" fontId="20" fillId="12" borderId="24" xfId="0" applyFont="1" applyFill="1" applyBorder="1" applyAlignment="1">
      <alignment vertical="center"/>
    </xf>
    <xf numFmtId="0" fontId="15" fillId="3" borderId="28" xfId="0" applyFont="1" applyFill="1" applyBorder="1" applyAlignment="1">
      <alignment vertical="center"/>
    </xf>
    <xf numFmtId="0" fontId="20" fillId="12" borderId="22" xfId="0" applyFont="1" applyFill="1" applyBorder="1" applyAlignment="1">
      <alignment horizontal="left" vertical="center" wrapText="1"/>
    </xf>
    <xf numFmtId="3" fontId="20" fillId="12" borderId="23" xfId="0" applyNumberFormat="1" applyFont="1" applyFill="1" applyBorder="1" applyAlignment="1">
      <alignment horizontal="right" vertical="center"/>
    </xf>
    <xf numFmtId="0" fontId="20" fillId="12" borderId="24" xfId="0" applyFont="1" applyFill="1" applyBorder="1" applyAlignment="1">
      <alignment horizontal="left" vertical="center" wrapText="1"/>
    </xf>
    <xf numFmtId="3" fontId="20" fillId="12" borderId="25" xfId="0" applyNumberFormat="1" applyFont="1" applyFill="1" applyBorder="1" applyAlignment="1">
      <alignment horizontal="right" vertical="center"/>
    </xf>
    <xf numFmtId="0" fontId="20" fillId="12" borderId="26" xfId="0" applyFont="1" applyFill="1" applyBorder="1" applyAlignment="1">
      <alignment horizontal="left" vertical="center" wrapText="1"/>
    </xf>
    <xf numFmtId="1" fontId="15" fillId="3" borderId="11" xfId="0" applyNumberFormat="1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left" vertical="top" wrapText="1"/>
    </xf>
    <xf numFmtId="16" fontId="15" fillId="3" borderId="11" xfId="0" applyNumberFormat="1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left"/>
    </xf>
    <xf numFmtId="0" fontId="20" fillId="3" borderId="11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 vertical="center"/>
    </xf>
    <xf numFmtId="0" fontId="0" fillId="3" borderId="11" xfId="1" applyFont="1" applyFill="1" applyBorder="1" applyAlignment="1" applyProtection="1">
      <alignment horizontal="center" vertical="top"/>
      <protection locked="0"/>
    </xf>
    <xf numFmtId="0" fontId="0" fillId="3" borderId="11" xfId="1" applyFont="1" applyFill="1" applyBorder="1" applyAlignment="1">
      <alignment horizontal="center" vertical="top" wrapText="1"/>
    </xf>
    <xf numFmtId="14" fontId="0" fillId="3" borderId="11" xfId="1" applyNumberFormat="1" applyFont="1" applyFill="1" applyBorder="1" applyAlignment="1">
      <alignment horizontal="center" vertical="top" wrapText="1"/>
    </xf>
    <xf numFmtId="49" fontId="0" fillId="3" borderId="11" xfId="1" applyNumberFormat="1" applyFont="1" applyFill="1" applyBorder="1" applyAlignment="1">
      <alignment horizontal="center" vertical="top"/>
    </xf>
    <xf numFmtId="0" fontId="0" fillId="3" borderId="11" xfId="1" applyFont="1" applyFill="1" applyBorder="1" applyAlignment="1">
      <alignment horizontal="center" vertical="top"/>
    </xf>
    <xf numFmtId="0" fontId="0" fillId="3" borderId="11" xfId="1" applyFont="1" applyFill="1" applyBorder="1" applyAlignment="1">
      <alignment horizontal="left" vertical="top"/>
    </xf>
    <xf numFmtId="49" fontId="16" fillId="3" borderId="11" xfId="1" applyNumberFormat="1" applyFont="1" applyFill="1" applyBorder="1" applyAlignment="1">
      <alignment horizontal="left" vertical="top" wrapText="1"/>
    </xf>
    <xf numFmtId="0" fontId="16" fillId="3" borderId="11" xfId="1" applyFont="1" applyFill="1" applyBorder="1" applyAlignment="1">
      <alignment horizontal="center" vertical="top"/>
    </xf>
    <xf numFmtId="0" fontId="16" fillId="3" borderId="11" xfId="1" applyFont="1" applyFill="1" applyBorder="1" applyAlignment="1">
      <alignment horizontal="left" vertical="top" wrapText="1"/>
    </xf>
    <xf numFmtId="0" fontId="16" fillId="3" borderId="11" xfId="1" applyFont="1" applyFill="1" applyBorder="1" applyAlignment="1">
      <alignment vertical="top"/>
    </xf>
    <xf numFmtId="1" fontId="16" fillId="3" borderId="11" xfId="1" applyNumberFormat="1" applyFont="1" applyFill="1" applyBorder="1" applyAlignment="1">
      <alignment horizontal="left" vertical="top"/>
    </xf>
    <xf numFmtId="0" fontId="16" fillId="3" borderId="11" xfId="0" applyFont="1" applyFill="1" applyBorder="1" applyAlignment="1">
      <alignment horizontal="left" vertical="top"/>
    </xf>
    <xf numFmtId="0" fontId="0" fillId="3" borderId="11" xfId="0" applyFill="1" applyBorder="1" applyAlignment="1">
      <alignment vertical="top" wrapText="1"/>
    </xf>
    <xf numFmtId="0" fontId="8" fillId="3" borderId="11" xfId="2" applyFill="1" applyBorder="1" applyAlignment="1">
      <alignment horizontal="left" vertical="top" wrapText="1"/>
    </xf>
    <xf numFmtId="164" fontId="0" fillId="3" borderId="11" xfId="0" applyNumberFormat="1" applyFill="1" applyBorder="1" applyAlignment="1">
      <alignment horizontal="left" vertical="top"/>
    </xf>
    <xf numFmtId="14" fontId="16" fillId="3" borderId="11" xfId="1" applyNumberFormat="1" applyFont="1" applyFill="1" applyBorder="1" applyAlignment="1">
      <alignment horizontal="left" vertical="top"/>
    </xf>
    <xf numFmtId="0" fontId="14" fillId="3" borderId="11" xfId="0" applyFont="1" applyFill="1" applyBorder="1" applyAlignment="1">
      <alignment vertical="top"/>
    </xf>
    <xf numFmtId="49" fontId="16" fillId="3" borderId="11" xfId="1" applyNumberFormat="1" applyFont="1" applyFill="1" applyBorder="1" applyAlignment="1">
      <alignment horizontal="center" vertical="top"/>
    </xf>
    <xf numFmtId="0" fontId="14" fillId="3" borderId="11" xfId="0" applyFont="1" applyFill="1" applyBorder="1" applyAlignment="1">
      <alignment vertical="top" wrapText="1"/>
    </xf>
    <xf numFmtId="0" fontId="10" fillId="3" borderId="11" xfId="0" applyFont="1" applyFill="1" applyBorder="1" applyAlignment="1" applyProtection="1">
      <alignment horizontal="center" vertical="top"/>
      <protection locked="0"/>
    </xf>
    <xf numFmtId="0" fontId="10" fillId="3" borderId="11" xfId="1" applyFont="1" applyFill="1" applyBorder="1" applyAlignment="1">
      <alignment horizontal="left" vertical="top"/>
    </xf>
    <xf numFmtId="0" fontId="16" fillId="3" borderId="11" xfId="0" applyFont="1" applyFill="1" applyBorder="1" applyAlignment="1">
      <alignment vertical="top"/>
    </xf>
    <xf numFmtId="164" fontId="0" fillId="3" borderId="11" xfId="0" applyNumberFormat="1" applyFill="1" applyBorder="1" applyAlignment="1">
      <alignment vertical="top"/>
    </xf>
    <xf numFmtId="16" fontId="0" fillId="3" borderId="11" xfId="0" applyNumberFormat="1" applyFill="1" applyBorder="1" applyAlignment="1">
      <alignment horizontal="center" vertical="top" wrapText="1"/>
    </xf>
    <xf numFmtId="0" fontId="10" fillId="3" borderId="11" xfId="1" applyFont="1" applyFill="1" applyBorder="1" applyAlignment="1">
      <alignment horizontal="left" vertical="top" wrapText="1"/>
    </xf>
    <xf numFmtId="0" fontId="16" fillId="3" borderId="11" xfId="0" applyFont="1" applyFill="1" applyBorder="1" applyAlignment="1" applyProtection="1">
      <alignment horizontal="center" vertical="top"/>
      <protection locked="0"/>
    </xf>
    <xf numFmtId="14" fontId="16" fillId="3" borderId="11" xfId="0" applyNumberFormat="1" applyFont="1" applyFill="1" applyBorder="1" applyAlignment="1">
      <alignment horizontal="center" vertical="top" wrapText="1"/>
    </xf>
    <xf numFmtId="49" fontId="16" fillId="3" borderId="11" xfId="0" applyNumberFormat="1" applyFont="1" applyFill="1" applyBorder="1" applyAlignment="1">
      <alignment horizontal="center" vertical="top"/>
    </xf>
    <xf numFmtId="0" fontId="16" fillId="3" borderId="11" xfId="0" applyFont="1" applyFill="1" applyBorder="1" applyAlignment="1">
      <alignment horizontal="center" vertical="top"/>
    </xf>
    <xf numFmtId="14" fontId="0" fillId="3" borderId="11" xfId="0" applyNumberFormat="1" applyFill="1" applyBorder="1" applyAlignment="1">
      <alignment horizontal="left" vertical="center"/>
    </xf>
    <xf numFmtId="0" fontId="14" fillId="0" borderId="11" xfId="0" applyFont="1" applyBorder="1"/>
    <xf numFmtId="0" fontId="14" fillId="3" borderId="11" xfId="0" applyFont="1" applyFill="1" applyBorder="1" applyAlignment="1">
      <alignment vertical="center"/>
    </xf>
    <xf numFmtId="0" fontId="14" fillId="3" borderId="11" xfId="0" applyFont="1" applyFill="1" applyBorder="1" applyAlignment="1">
      <alignment horizontal="left" vertical="top" wrapText="1"/>
    </xf>
    <xf numFmtId="0" fontId="13" fillId="3" borderId="11" xfId="0" applyFont="1" applyFill="1" applyBorder="1" applyAlignment="1">
      <alignment horizontal="left" vertical="top"/>
    </xf>
    <xf numFmtId="49" fontId="0" fillId="3" borderId="11" xfId="0" applyNumberFormat="1" applyFill="1" applyBorder="1" applyAlignment="1">
      <alignment horizontal="center" vertical="top" wrapText="1"/>
    </xf>
    <xf numFmtId="0" fontId="14" fillId="3" borderId="11" xfId="0" applyFont="1" applyFill="1" applyBorder="1" applyAlignment="1">
      <alignment horizontal="left" vertical="top"/>
    </xf>
    <xf numFmtId="0" fontId="17" fillId="3" borderId="11" xfId="0" applyFont="1" applyFill="1" applyBorder="1" applyAlignment="1">
      <alignment horizontal="left" vertical="top"/>
    </xf>
    <xf numFmtId="0" fontId="0" fillId="10" borderId="11" xfId="0" applyFill="1" applyBorder="1" applyAlignment="1">
      <alignment horizontal="left" vertical="top"/>
    </xf>
    <xf numFmtId="0" fontId="0" fillId="10" borderId="11" xfId="0" applyFill="1" applyBorder="1" applyAlignment="1">
      <alignment vertical="top"/>
    </xf>
    <xf numFmtId="14" fontId="0" fillId="10" borderId="11" xfId="0" applyNumberFormat="1" applyFill="1" applyBorder="1" applyAlignment="1">
      <alignment horizontal="left" vertical="top"/>
    </xf>
    <xf numFmtId="0" fontId="0" fillId="10" borderId="11" xfId="0" applyFill="1" applyBorder="1" applyAlignment="1">
      <alignment horizontal="center" vertical="top"/>
    </xf>
    <xf numFmtId="0" fontId="16" fillId="10" borderId="11" xfId="1" applyFont="1" applyFill="1" applyBorder="1" applyAlignment="1">
      <alignment horizontal="left" vertical="top"/>
    </xf>
    <xf numFmtId="0" fontId="0" fillId="10" borderId="11" xfId="0" applyFill="1" applyBorder="1" applyAlignment="1">
      <alignment horizontal="left" vertical="top" wrapText="1"/>
    </xf>
    <xf numFmtId="49" fontId="0" fillId="10" borderId="11" xfId="0" applyNumberFormat="1" applyFill="1" applyBorder="1" applyAlignment="1">
      <alignment horizontal="left" vertical="top" wrapText="1"/>
    </xf>
    <xf numFmtId="0" fontId="0" fillId="10" borderId="11" xfId="0" applyFill="1" applyBorder="1" applyAlignment="1" applyProtection="1">
      <alignment horizontal="center" vertical="top"/>
      <protection locked="0"/>
    </xf>
    <xf numFmtId="0" fontId="0" fillId="10" borderId="11" xfId="0" applyFill="1" applyBorder="1" applyAlignment="1">
      <alignment horizontal="center" vertical="top" wrapText="1"/>
    </xf>
    <xf numFmtId="14" fontId="0" fillId="10" borderId="11" xfId="0" applyNumberFormat="1" applyFill="1" applyBorder="1" applyAlignment="1">
      <alignment horizontal="center" vertical="top" wrapText="1"/>
    </xf>
    <xf numFmtId="14" fontId="0" fillId="3" borderId="11" xfId="0" applyNumberFormat="1" applyFill="1" applyBorder="1" applyAlignment="1">
      <alignment vertical="top"/>
    </xf>
    <xf numFmtId="0" fontId="16" fillId="3" borderId="11" xfId="0" applyFont="1" applyFill="1" applyBorder="1" applyAlignment="1">
      <alignment horizontal="center" vertical="top" wrapText="1"/>
    </xf>
    <xf numFmtId="0" fontId="0" fillId="0" borderId="11" xfId="0" applyBorder="1"/>
    <xf numFmtId="0" fontId="0" fillId="0" borderId="11" xfId="0" applyBorder="1" applyAlignment="1">
      <alignment horizontal="left" vertical="center"/>
    </xf>
    <xf numFmtId="16" fontId="0" fillId="3" borderId="11" xfId="0" applyNumberFormat="1" applyFill="1" applyBorder="1" applyAlignment="1">
      <alignment vertical="top"/>
    </xf>
    <xf numFmtId="0" fontId="10" fillId="0" borderId="11" xfId="0" applyFont="1" applyBorder="1"/>
    <xf numFmtId="0" fontId="16" fillId="3" borderId="12" xfId="1" applyFont="1" applyFill="1" applyBorder="1" applyAlignment="1">
      <alignment horizontal="left" vertical="top"/>
    </xf>
    <xf numFmtId="0" fontId="16" fillId="3" borderId="13" xfId="1" applyFont="1" applyFill="1" applyBorder="1" applyAlignment="1">
      <alignment horizontal="left" vertical="top"/>
    </xf>
    <xf numFmtId="0" fontId="0" fillId="3" borderId="15" xfId="1" applyFont="1" applyFill="1" applyBorder="1" applyAlignment="1">
      <alignment horizontal="center" vertical="top"/>
    </xf>
    <xf numFmtId="0" fontId="16" fillId="3" borderId="15" xfId="1" applyFont="1" applyFill="1" applyBorder="1" applyAlignment="1">
      <alignment horizontal="center" vertical="top"/>
    </xf>
    <xf numFmtId="0" fontId="0" fillId="3" borderId="12" xfId="1" applyFont="1" applyFill="1" applyBorder="1" applyAlignment="1">
      <alignment horizontal="center" vertical="top"/>
    </xf>
    <xf numFmtId="0" fontId="16" fillId="3" borderId="12" xfId="0" applyFont="1" applyFill="1" applyBorder="1" applyAlignment="1">
      <alignment horizontal="center" vertical="top"/>
    </xf>
    <xf numFmtId="0" fontId="0" fillId="10" borderId="12" xfId="0" applyFill="1" applyBorder="1" applyAlignment="1">
      <alignment horizontal="center" vertical="top"/>
    </xf>
    <xf numFmtId="0" fontId="0" fillId="3" borderId="13" xfId="1" applyFont="1" applyFill="1" applyBorder="1" applyAlignment="1">
      <alignment horizontal="left" vertical="top"/>
    </xf>
    <xf numFmtId="0" fontId="16" fillId="3" borderId="13" xfId="0" applyFont="1" applyFill="1" applyBorder="1" applyAlignment="1">
      <alignment horizontal="left" vertical="top"/>
    </xf>
    <xf numFmtId="0" fontId="0" fillId="10" borderId="13" xfId="0" applyFill="1" applyBorder="1" applyAlignment="1">
      <alignment horizontal="left" vertical="top"/>
    </xf>
    <xf numFmtId="0" fontId="0" fillId="3" borderId="15" xfId="7" applyFont="1" applyFill="1" applyBorder="1" applyAlignment="1">
      <alignment horizontal="center" vertical="top"/>
    </xf>
    <xf numFmtId="0" fontId="14" fillId="3" borderId="15" xfId="0" applyFont="1" applyFill="1" applyBorder="1" applyAlignment="1">
      <alignment horizontal="center" vertical="top"/>
    </xf>
    <xf numFmtId="0" fontId="16" fillId="3" borderId="15" xfId="8" applyFont="1" applyFill="1" applyBorder="1" applyAlignment="1">
      <alignment horizontal="center" vertical="top"/>
    </xf>
    <xf numFmtId="0" fontId="0" fillId="3" borderId="15" xfId="8" applyFont="1" applyFill="1" applyBorder="1" applyAlignment="1">
      <alignment horizontal="center" vertical="top"/>
    </xf>
    <xf numFmtId="0" fontId="10" fillId="3" borderId="15" xfId="0" applyFont="1" applyFill="1" applyBorder="1" applyAlignment="1">
      <alignment horizontal="center" vertical="top"/>
    </xf>
    <xf numFmtId="0" fontId="14" fillId="10" borderId="15" xfId="0" applyFont="1" applyFill="1" applyBorder="1" applyAlignment="1">
      <alignment horizontal="center" vertical="top"/>
    </xf>
    <xf numFmtId="0" fontId="10" fillId="0" borderId="15" xfId="0" applyFont="1" applyBorder="1" applyAlignment="1">
      <alignment horizontal="center" vertical="top"/>
    </xf>
    <xf numFmtId="14" fontId="0" fillId="7" borderId="11" xfId="1" applyNumberFormat="1" applyFont="1" applyFill="1" applyBorder="1" applyAlignment="1">
      <alignment horizontal="center" vertical="top"/>
    </xf>
    <xf numFmtId="0" fontId="0" fillId="7" borderId="11" xfId="0" applyFill="1" applyBorder="1" applyAlignment="1">
      <alignment horizontal="center" vertical="top"/>
    </xf>
    <xf numFmtId="14" fontId="16" fillId="7" borderId="11" xfId="0" applyNumberFormat="1" applyFont="1" applyFill="1" applyBorder="1" applyAlignment="1">
      <alignment horizontal="center" vertical="top"/>
    </xf>
    <xf numFmtId="14" fontId="16" fillId="7" borderId="11" xfId="1" applyNumberFormat="1" applyFont="1" applyFill="1" applyBorder="1" applyAlignment="1">
      <alignment horizontal="center" vertical="top"/>
    </xf>
    <xf numFmtId="164" fontId="0" fillId="7" borderId="11" xfId="0" applyNumberFormat="1" applyFill="1" applyBorder="1" applyAlignment="1">
      <alignment horizontal="center" vertical="top"/>
    </xf>
    <xf numFmtId="49" fontId="3" fillId="3" borderId="12" xfId="1" applyNumberFormat="1" applyFont="1" applyFill="1" applyBorder="1" applyAlignment="1">
      <alignment vertical="center"/>
    </xf>
    <xf numFmtId="14" fontId="15" fillId="7" borderId="11" xfId="0" applyNumberFormat="1" applyFont="1" applyFill="1" applyBorder="1" applyAlignment="1">
      <alignment horizontal="center"/>
    </xf>
    <xf numFmtId="0" fontId="0" fillId="3" borderId="15" xfId="0" applyFill="1" applyBorder="1" applyAlignment="1">
      <alignment horizontal="center" vertical="top" wrapText="1"/>
    </xf>
    <xf numFmtId="49" fontId="0" fillId="10" borderId="11" xfId="0" applyNumberFormat="1" applyFill="1" applyBorder="1" applyAlignment="1">
      <alignment horizontal="center" vertical="top"/>
    </xf>
    <xf numFmtId="0" fontId="0" fillId="0" borderId="11" xfId="0" applyBorder="1" applyAlignment="1">
      <alignment vertical="top"/>
    </xf>
    <xf numFmtId="0" fontId="16" fillId="0" borderId="11" xfId="1" applyFont="1" applyBorder="1" applyAlignment="1">
      <alignment vertical="top"/>
    </xf>
    <xf numFmtId="0" fontId="0" fillId="0" borderId="11" xfId="0" applyBorder="1" applyAlignment="1">
      <alignment horizontal="left" vertical="top"/>
    </xf>
    <xf numFmtId="0" fontId="0" fillId="0" borderId="11" xfId="0" applyBorder="1" applyAlignment="1">
      <alignment horizontal="center" vertical="top"/>
    </xf>
    <xf numFmtId="0" fontId="16" fillId="0" borderId="11" xfId="1" applyFont="1" applyBorder="1" applyAlignment="1">
      <alignment horizontal="left" vertical="top"/>
    </xf>
    <xf numFmtId="0" fontId="14" fillId="0" borderId="11" xfId="0" applyFont="1" applyBorder="1" applyAlignment="1">
      <alignment vertical="top" wrapText="1"/>
    </xf>
    <xf numFmtId="0" fontId="0" fillId="0" borderId="11" xfId="0" applyBorder="1" applyAlignment="1" applyProtection="1">
      <alignment horizontal="center" vertical="top"/>
      <protection locked="0"/>
    </xf>
    <xf numFmtId="49" fontId="0" fillId="0" borderId="11" xfId="0" applyNumberFormat="1" applyBorder="1" applyAlignment="1">
      <alignment horizontal="center" vertical="top"/>
    </xf>
    <xf numFmtId="0" fontId="0" fillId="0" borderId="13" xfId="0" applyBorder="1" applyAlignment="1">
      <alignment horizontal="left" vertical="top"/>
    </xf>
    <xf numFmtId="0" fontId="16" fillId="0" borderId="11" xfId="1" applyFont="1" applyBorder="1" applyAlignment="1">
      <alignment horizontal="center" vertical="top"/>
    </xf>
    <xf numFmtId="0" fontId="0" fillId="0" borderId="11" xfId="1" applyFont="1" applyBorder="1" applyAlignment="1">
      <alignment horizontal="left" vertical="top"/>
    </xf>
    <xf numFmtId="0" fontId="15" fillId="0" borderId="11" xfId="0" applyFont="1" applyBorder="1" applyAlignment="1">
      <alignment horizontal="center" vertical="center"/>
    </xf>
    <xf numFmtId="0" fontId="0" fillId="10" borderId="15" xfId="0" applyFill="1" applyBorder="1" applyAlignment="1">
      <alignment horizontal="center" vertical="top"/>
    </xf>
    <xf numFmtId="0" fontId="12" fillId="3" borderId="11" xfId="0" applyFont="1" applyFill="1" applyBorder="1" applyAlignment="1">
      <alignment horizontal="left" vertical="top"/>
    </xf>
    <xf numFmtId="0" fontId="12" fillId="0" borderId="11" xfId="0" applyFont="1" applyBorder="1" applyAlignment="1">
      <alignment horizontal="left" vertical="top"/>
    </xf>
    <xf numFmtId="0" fontId="12" fillId="3" borderId="11" xfId="0" applyFont="1" applyFill="1" applyBorder="1" applyAlignment="1">
      <alignment horizontal="left"/>
    </xf>
    <xf numFmtId="14" fontId="0" fillId="3" borderId="11" xfId="0" applyNumberFormat="1" applyFill="1" applyBorder="1" applyAlignment="1">
      <alignment horizontal="center" vertical="top"/>
    </xf>
    <xf numFmtId="0" fontId="16" fillId="3" borderId="11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vertical="center"/>
    </xf>
    <xf numFmtId="14" fontId="11" fillId="0" borderId="11" xfId="0" applyNumberFormat="1" applyFont="1" applyBorder="1" applyAlignment="1">
      <alignment horizontal="center"/>
    </xf>
    <xf numFmtId="49" fontId="3" fillId="3" borderId="11" xfId="1" quotePrefix="1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vertical="center"/>
    </xf>
    <xf numFmtId="0" fontId="11" fillId="4" borderId="11" xfId="1" applyFont="1" applyFill="1" applyBorder="1" applyAlignment="1">
      <alignment vertical="center"/>
    </xf>
    <xf numFmtId="0" fontId="3" fillId="11" borderId="11" xfId="1" applyFont="1" applyFill="1" applyBorder="1" applyAlignment="1">
      <alignment vertical="center"/>
    </xf>
    <xf numFmtId="1" fontId="3" fillId="11" borderId="11" xfId="1" applyNumberFormat="1" applyFont="1" applyFill="1" applyBorder="1" applyAlignment="1">
      <alignment horizontal="center" vertical="center"/>
    </xf>
    <xf numFmtId="1" fontId="15" fillId="3" borderId="11" xfId="0" applyNumberFormat="1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left" vertical="center" wrapText="1"/>
    </xf>
    <xf numFmtId="0" fontId="15" fillId="10" borderId="11" xfId="0" applyFont="1" applyFill="1" applyBorder="1" applyAlignment="1">
      <alignment vertical="top"/>
    </xf>
    <xf numFmtId="49" fontId="15" fillId="3" borderId="11" xfId="0" applyNumberFormat="1" applyFont="1" applyFill="1" applyBorder="1"/>
    <xf numFmtId="0" fontId="15" fillId="0" borderId="11" xfId="0" applyFont="1" applyBorder="1"/>
    <xf numFmtId="0" fontId="15" fillId="0" borderId="11" xfId="0" applyFont="1" applyBorder="1" applyAlignment="1">
      <alignment vertical="center"/>
    </xf>
    <xf numFmtId="0" fontId="15" fillId="3" borderId="11" xfId="0" applyFont="1" applyFill="1" applyBorder="1"/>
    <xf numFmtId="0" fontId="15" fillId="10" borderId="11" xfId="0" applyFont="1" applyFill="1" applyBorder="1" applyAlignment="1">
      <alignment horizontal="left" vertical="center"/>
    </xf>
    <xf numFmtId="0" fontId="15" fillId="10" borderId="11" xfId="0" applyFont="1" applyFill="1" applyBorder="1" applyAlignment="1">
      <alignment vertical="center"/>
    </xf>
    <xf numFmtId="0" fontId="15" fillId="10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5" fillId="10" borderId="11" xfId="0" applyFont="1" applyFill="1" applyBorder="1" applyAlignment="1">
      <alignment horizontal="left" vertical="top"/>
    </xf>
    <xf numFmtId="14" fontId="11" fillId="3" borderId="11" xfId="0" applyNumberFormat="1" applyFont="1" applyFill="1" applyBorder="1" applyAlignment="1">
      <alignment horizontal="center" vertical="center" wrapText="1"/>
    </xf>
    <xf numFmtId="49" fontId="15" fillId="0" borderId="11" xfId="0" applyNumberFormat="1" applyFont="1" applyBorder="1"/>
    <xf numFmtId="14" fontId="15" fillId="10" borderId="11" xfId="0" applyNumberFormat="1" applyFont="1" applyFill="1" applyBorder="1" applyAlignment="1">
      <alignment horizontal="center"/>
    </xf>
    <xf numFmtId="0" fontId="11" fillId="3" borderId="11" xfId="0" applyFont="1" applyFill="1" applyBorder="1"/>
    <xf numFmtId="0" fontId="19" fillId="3" borderId="11" xfId="0" quotePrefix="1" applyFont="1" applyFill="1" applyBorder="1" applyAlignment="1">
      <alignment horizontal="left" vertical="center"/>
    </xf>
    <xf numFmtId="1" fontId="15" fillId="3" borderId="11" xfId="0" applyNumberFormat="1" applyFont="1" applyFill="1" applyBorder="1" applyAlignment="1">
      <alignment horizontal="center"/>
    </xf>
    <xf numFmtId="49" fontId="15" fillId="3" borderId="11" xfId="0" applyNumberFormat="1" applyFont="1" applyFill="1" applyBorder="1" applyAlignment="1">
      <alignment vertical="top"/>
    </xf>
    <xf numFmtId="0" fontId="19" fillId="3" borderId="11" xfId="0" applyFont="1" applyFill="1" applyBorder="1"/>
    <xf numFmtId="0" fontId="15" fillId="10" borderId="11" xfId="0" applyFont="1" applyFill="1" applyBorder="1" applyAlignment="1">
      <alignment horizontal="center"/>
    </xf>
    <xf numFmtId="0" fontId="14" fillId="0" borderId="11" xfId="9" applyFont="1" applyBorder="1"/>
    <xf numFmtId="0" fontId="3" fillId="10" borderId="11" xfId="1" applyFont="1" applyFill="1" applyBorder="1" applyAlignment="1">
      <alignment horizontal="left" vertical="center"/>
    </xf>
    <xf numFmtId="14" fontId="3" fillId="10" borderId="11" xfId="1" applyNumberFormat="1" applyFont="1" applyFill="1" applyBorder="1" applyAlignment="1">
      <alignment horizontal="center" vertical="center"/>
    </xf>
    <xf numFmtId="0" fontId="3" fillId="10" borderId="11" xfId="1" applyFont="1" applyFill="1" applyBorder="1" applyAlignment="1">
      <alignment vertical="center"/>
    </xf>
    <xf numFmtId="1" fontId="3" fillId="10" borderId="11" xfId="1" applyNumberFormat="1" applyFont="1" applyFill="1" applyBorder="1" applyAlignment="1">
      <alignment horizontal="center" vertical="center"/>
    </xf>
    <xf numFmtId="49" fontId="3" fillId="10" borderId="11" xfId="1" applyNumberFormat="1" applyFont="1" applyFill="1" applyBorder="1" applyAlignment="1">
      <alignment vertical="center"/>
    </xf>
    <xf numFmtId="14" fontId="11" fillId="10" borderId="11" xfId="1" applyNumberFormat="1" applyFont="1" applyFill="1" applyBorder="1" applyAlignment="1">
      <alignment horizontal="center" vertical="center"/>
    </xf>
    <xf numFmtId="0" fontId="11" fillId="10" borderId="11" xfId="1" applyFont="1" applyFill="1" applyBorder="1" applyAlignment="1">
      <alignment horizontal="left" vertical="center"/>
    </xf>
    <xf numFmtId="0" fontId="11" fillId="10" borderId="11" xfId="1" applyFont="1" applyFill="1" applyBorder="1" applyAlignment="1">
      <alignment vertical="center"/>
    </xf>
    <xf numFmtId="1" fontId="11" fillId="10" borderId="11" xfId="1" applyNumberFormat="1" applyFont="1" applyFill="1" applyBorder="1" applyAlignment="1">
      <alignment horizontal="center" vertical="center"/>
    </xf>
    <xf numFmtId="49" fontId="11" fillId="10" borderId="11" xfId="1" applyNumberFormat="1" applyFont="1" applyFill="1" applyBorder="1" applyAlignment="1">
      <alignment vertical="center"/>
    </xf>
    <xf numFmtId="0" fontId="3" fillId="0" borderId="11" xfId="1" applyFont="1" applyBorder="1"/>
    <xf numFmtId="0" fontId="15" fillId="10" borderId="11" xfId="0" applyFont="1" applyFill="1" applyBorder="1" applyAlignment="1">
      <alignment horizontal="left"/>
    </xf>
    <xf numFmtId="0" fontId="3" fillId="3" borderId="11" xfId="1" quotePrefix="1" applyFont="1" applyFill="1" applyBorder="1" applyAlignment="1">
      <alignment vertical="center"/>
    </xf>
    <xf numFmtId="0" fontId="0" fillId="3" borderId="11" xfId="0" applyFill="1" applyBorder="1"/>
    <xf numFmtId="0" fontId="3" fillId="5" borderId="11" xfId="1" applyFont="1" applyFill="1" applyBorder="1" applyAlignment="1">
      <alignment vertical="center"/>
    </xf>
    <xf numFmtId="14" fontId="0" fillId="3" borderId="11" xfId="0" applyNumberFormat="1" applyFill="1" applyBorder="1" applyAlignment="1">
      <alignment horizontal="center"/>
    </xf>
    <xf numFmtId="0" fontId="3" fillId="4" borderId="11" xfId="1" applyFont="1" applyFill="1" applyBorder="1" applyAlignment="1">
      <alignment vertical="center"/>
    </xf>
    <xf numFmtId="49" fontId="3" fillId="3" borderId="11" xfId="1" applyNumberFormat="1" applyFont="1" applyFill="1" applyBorder="1" applyAlignment="1">
      <alignment horizontal="left" vertical="center"/>
    </xf>
    <xf numFmtId="0" fontId="3" fillId="3" borderId="11" xfId="1" applyFont="1" applyFill="1" applyBorder="1" applyAlignment="1">
      <alignment horizontal="left" vertical="top"/>
    </xf>
    <xf numFmtId="0" fontId="3" fillId="3" borderId="11" xfId="1" applyFont="1" applyFill="1" applyBorder="1" applyAlignment="1">
      <alignment vertical="top"/>
    </xf>
    <xf numFmtId="1" fontId="3" fillId="3" borderId="11" xfId="1" applyNumberFormat="1" applyFont="1" applyFill="1" applyBorder="1" applyAlignment="1">
      <alignment horizontal="center" vertical="top"/>
    </xf>
    <xf numFmtId="14" fontId="3" fillId="3" borderId="11" xfId="1" applyNumberFormat="1" applyFont="1" applyFill="1" applyBorder="1" applyAlignment="1">
      <alignment horizontal="center" vertical="top"/>
    </xf>
    <xf numFmtId="0" fontId="3" fillId="3" borderId="11" xfId="1" applyFont="1" applyFill="1" applyBorder="1" applyAlignment="1">
      <alignment horizontal="center"/>
    </xf>
    <xf numFmtId="14" fontId="3" fillId="3" borderId="11" xfId="1" applyNumberFormat="1" applyFont="1" applyFill="1" applyBorder="1" applyAlignment="1">
      <alignment horizontal="center"/>
    </xf>
    <xf numFmtId="49" fontId="10" fillId="3" borderId="11" xfId="0" applyNumberFormat="1" applyFont="1" applyFill="1" applyBorder="1" applyAlignment="1">
      <alignment horizontal="left" vertical="top" wrapText="1"/>
    </xf>
    <xf numFmtId="49" fontId="0" fillId="7" borderId="11" xfId="0" applyNumberFormat="1" applyFill="1" applyBorder="1" applyAlignment="1">
      <alignment horizontal="center" vertical="top"/>
    </xf>
    <xf numFmtId="0" fontId="11" fillId="3" borderId="11" xfId="0" applyFont="1" applyFill="1" applyBorder="1" applyAlignment="1">
      <alignment horizontal="center"/>
    </xf>
    <xf numFmtId="0" fontId="11" fillId="3" borderId="11" xfId="1" applyFont="1" applyFill="1" applyBorder="1" applyAlignment="1">
      <alignment horizontal="left" vertical="center"/>
    </xf>
    <xf numFmtId="0" fontId="11" fillId="3" borderId="11" xfId="1" applyFont="1" applyFill="1" applyBorder="1" applyAlignment="1">
      <alignment vertical="center"/>
    </xf>
    <xf numFmtId="1" fontId="11" fillId="3" borderId="11" xfId="1" applyNumberFormat="1" applyFont="1" applyFill="1" applyBorder="1" applyAlignment="1">
      <alignment horizontal="center" vertical="center"/>
    </xf>
    <xf numFmtId="49" fontId="11" fillId="3" borderId="11" xfId="1" applyNumberFormat="1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14" fontId="11" fillId="3" borderId="11" xfId="0" applyNumberFormat="1" applyFont="1" applyFill="1" applyBorder="1" applyAlignment="1">
      <alignment horizontal="center"/>
    </xf>
    <xf numFmtId="14" fontId="11" fillId="3" borderId="11" xfId="1" applyNumberFormat="1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left" vertical="center"/>
    </xf>
    <xf numFmtId="14" fontId="15" fillId="0" borderId="11" xfId="0" applyNumberFormat="1" applyFont="1" applyBorder="1" applyAlignment="1">
      <alignment horizontal="center"/>
    </xf>
    <xf numFmtId="14" fontId="3" fillId="0" borderId="11" xfId="1" applyNumberFormat="1" applyFont="1" applyBorder="1" applyAlignment="1">
      <alignment horizontal="center" vertical="center"/>
    </xf>
    <xf numFmtId="0" fontId="11" fillId="0" borderId="11" xfId="1" applyFont="1" applyBorder="1" applyAlignment="1">
      <alignment vertical="center"/>
    </xf>
    <xf numFmtId="1" fontId="11" fillId="0" borderId="11" xfId="1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11" fillId="3" borderId="11" xfId="0" applyFont="1" applyFill="1" applyBorder="1" applyAlignment="1">
      <alignment horizontal="center" vertical="center" wrapText="1"/>
    </xf>
    <xf numFmtId="0" fontId="3" fillId="3" borderId="11" xfId="11" applyNumberFormat="1" applyFont="1" applyFill="1" applyBorder="1" applyAlignment="1">
      <alignment horizontal="center" vertical="center"/>
    </xf>
    <xf numFmtId="0" fontId="3" fillId="3" borderId="11" xfId="11" applyNumberFormat="1" applyFont="1" applyFill="1" applyBorder="1" applyAlignment="1">
      <alignment horizontal="center" vertical="center" wrapText="1"/>
    </xf>
    <xf numFmtId="14" fontId="15" fillId="3" borderId="11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left" vertical="center"/>
    </xf>
    <xf numFmtId="0" fontId="16" fillId="0" borderId="11" xfId="1" applyFont="1" applyBorder="1" applyAlignment="1">
      <alignment horizontal="left" vertical="center"/>
    </xf>
    <xf numFmtId="0" fontId="10" fillId="3" borderId="11" xfId="1" applyFont="1" applyFill="1" applyBorder="1" applyAlignment="1">
      <alignment horizontal="left" vertical="center"/>
    </xf>
    <xf numFmtId="0" fontId="16" fillId="10" borderId="11" xfId="1" applyFont="1" applyFill="1" applyBorder="1" applyAlignment="1">
      <alignment horizontal="left" vertical="center"/>
    </xf>
    <xf numFmtId="0" fontId="16" fillId="3" borderId="11" xfId="1" applyFont="1" applyFill="1" applyBorder="1" applyAlignment="1">
      <alignment horizontal="left" vertical="center" wrapText="1"/>
    </xf>
    <xf numFmtId="0" fontId="12" fillId="10" borderId="11" xfId="0" applyFont="1" applyFill="1" applyBorder="1" applyAlignment="1">
      <alignment horizontal="left" vertical="top"/>
    </xf>
    <xf numFmtId="0" fontId="12" fillId="10" borderId="11" xfId="0" applyFont="1" applyFill="1" applyBorder="1" applyAlignment="1">
      <alignment horizontal="left"/>
    </xf>
    <xf numFmtId="0" fontId="10" fillId="0" borderId="11" xfId="1" applyFont="1" applyBorder="1" applyAlignment="1">
      <alignment horizontal="left" vertical="center"/>
    </xf>
    <xf numFmtId="0" fontId="10" fillId="10" borderId="11" xfId="1" applyFont="1" applyFill="1" applyBorder="1" applyAlignment="1">
      <alignment horizontal="left" vertical="center"/>
    </xf>
    <xf numFmtId="0" fontId="12" fillId="3" borderId="11" xfId="0" applyFont="1" applyFill="1" applyBorder="1"/>
    <xf numFmtId="14" fontId="0" fillId="0" borderId="11" xfId="0" applyNumberFormat="1" applyBorder="1" applyAlignment="1">
      <alignment horizontal="center"/>
    </xf>
    <xf numFmtId="0" fontId="15" fillId="7" borderId="11" xfId="0" applyFont="1" applyFill="1" applyBorder="1" applyAlignment="1">
      <alignment vertical="center" wrapText="1"/>
    </xf>
    <xf numFmtId="14" fontId="11" fillId="10" borderId="11" xfId="0" applyNumberFormat="1" applyFont="1" applyFill="1" applyBorder="1" applyAlignment="1">
      <alignment horizontal="center"/>
    </xf>
    <xf numFmtId="0" fontId="11" fillId="5" borderId="11" xfId="1" applyFont="1" applyFill="1" applyBorder="1" applyAlignment="1">
      <alignment vertical="center"/>
    </xf>
    <xf numFmtId="0" fontId="15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/>
    </xf>
    <xf numFmtId="0" fontId="15" fillId="0" borderId="11" xfId="0" applyFont="1" applyBorder="1" applyAlignment="1">
      <alignment horizontal="left" vertical="center" wrapText="1"/>
    </xf>
    <xf numFmtId="0" fontId="11" fillId="3" borderId="11" xfId="0" applyFont="1" applyFill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wrapText="1"/>
    </xf>
    <xf numFmtId="0" fontId="15" fillId="10" borderId="11" xfId="0" applyFont="1" applyFill="1" applyBorder="1" applyAlignment="1">
      <alignment horizontal="left" vertical="center" wrapText="1"/>
    </xf>
    <xf numFmtId="0" fontId="15" fillId="3" borderId="11" xfId="0" quotePrefix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0" fillId="12" borderId="29" xfId="0" applyFont="1" applyFill="1" applyBorder="1" applyAlignment="1">
      <alignment horizontal="left" vertical="center" wrapText="1"/>
    </xf>
    <xf numFmtId="3" fontId="20" fillId="12" borderId="30" xfId="0" applyNumberFormat="1" applyFont="1" applyFill="1" applyBorder="1" applyAlignment="1">
      <alignment horizontal="right" vertical="center"/>
    </xf>
    <xf numFmtId="3" fontId="24" fillId="12" borderId="25" xfId="0" applyNumberFormat="1" applyFont="1" applyFill="1" applyBorder="1" applyAlignment="1">
      <alignment horizontal="right" vertical="center"/>
    </xf>
    <xf numFmtId="0" fontId="11" fillId="5" borderId="11" xfId="1" applyFont="1" applyFill="1" applyBorder="1"/>
    <xf numFmtId="14" fontId="11" fillId="7" borderId="11" xfId="0" applyNumberFormat="1" applyFont="1" applyFill="1" applyBorder="1" applyAlignment="1">
      <alignment horizontal="center"/>
    </xf>
    <xf numFmtId="1" fontId="15" fillId="6" borderId="11" xfId="0" applyNumberFormat="1" applyFont="1" applyFill="1" applyBorder="1" applyAlignment="1">
      <alignment vertical="center" wrapText="1"/>
    </xf>
    <xf numFmtId="1" fontId="15" fillId="8" borderId="11" xfId="0" applyNumberFormat="1" applyFont="1" applyFill="1" applyBorder="1" applyAlignment="1">
      <alignment vertical="center"/>
    </xf>
    <xf numFmtId="1" fontId="15" fillId="6" borderId="11" xfId="0" applyNumberFormat="1" applyFont="1" applyFill="1" applyBorder="1" applyAlignment="1">
      <alignment vertical="center"/>
    </xf>
    <xf numFmtId="1" fontId="15" fillId="7" borderId="11" xfId="0" applyNumberFormat="1" applyFont="1" applyFill="1" applyBorder="1" applyAlignment="1">
      <alignment vertical="center" wrapText="1"/>
    </xf>
    <xf numFmtId="1" fontId="15" fillId="8" borderId="11" xfId="0" applyNumberFormat="1" applyFont="1" applyFill="1" applyBorder="1" applyAlignment="1">
      <alignment vertical="center" wrapText="1"/>
    </xf>
    <xf numFmtId="1" fontId="15" fillId="8" borderId="11" xfId="0" applyNumberFormat="1" applyFont="1" applyFill="1" applyBorder="1" applyAlignment="1">
      <alignment vertical="top"/>
    </xf>
    <xf numFmtId="0" fontId="20" fillId="0" borderId="11" xfId="0" applyFont="1" applyBorder="1" applyAlignment="1">
      <alignment horizontal="left" vertical="top"/>
    </xf>
    <xf numFmtId="1" fontId="15" fillId="0" borderId="11" xfId="0" applyNumberFormat="1" applyFont="1" applyBorder="1" applyAlignment="1">
      <alignment horizontal="center" vertical="center"/>
    </xf>
    <xf numFmtId="0" fontId="15" fillId="0" borderId="11" xfId="0" quotePrefix="1" applyFont="1" applyBorder="1" applyAlignment="1">
      <alignment horizontal="center" vertical="center"/>
    </xf>
    <xf numFmtId="0" fontId="12" fillId="0" borderId="11" xfId="0" applyFont="1" applyBorder="1" applyAlignment="1">
      <alignment horizontal="left"/>
    </xf>
    <xf numFmtId="0" fontId="15" fillId="0" borderId="11" xfId="0" applyFont="1" applyBorder="1" applyAlignment="1">
      <alignment vertical="top"/>
    </xf>
    <xf numFmtId="0" fontId="3" fillId="0" borderId="11" xfId="1" applyFont="1" applyBorder="1" applyAlignment="1">
      <alignment vertical="center"/>
    </xf>
    <xf numFmtId="1" fontId="3" fillId="0" borderId="11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vertical="center"/>
    </xf>
    <xf numFmtId="49" fontId="11" fillId="0" borderId="11" xfId="1" applyNumberFormat="1" applyFont="1" applyBorder="1" applyAlignment="1">
      <alignment vertical="center"/>
    </xf>
    <xf numFmtId="0" fontId="3" fillId="0" borderId="11" xfId="1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16" fillId="0" borderId="11" xfId="1" applyFont="1" applyBorder="1" applyAlignment="1">
      <alignment horizontal="left" vertical="top" wrapText="1"/>
    </xf>
    <xf numFmtId="14" fontId="15" fillId="3" borderId="12" xfId="0" applyNumberFormat="1" applyFont="1" applyFill="1" applyBorder="1" applyAlignment="1">
      <alignment horizontal="center"/>
    </xf>
    <xf numFmtId="0" fontId="15" fillId="3" borderId="12" xfId="0" applyFont="1" applyFill="1" applyBorder="1" applyAlignment="1">
      <alignment vertical="center"/>
    </xf>
    <xf numFmtId="0" fontId="1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3" fillId="0" borderId="11" xfId="11" applyNumberFormat="1" applyFont="1" applyFill="1" applyBorder="1" applyAlignment="1">
      <alignment horizontal="center" vertical="center" wrapText="1"/>
    </xf>
    <xf numFmtId="14" fontId="15" fillId="3" borderId="11" xfId="0" applyNumberFormat="1" applyFont="1" applyFill="1" applyBorder="1" applyAlignment="1">
      <alignment horizontal="left"/>
    </xf>
    <xf numFmtId="14" fontId="15" fillId="0" borderId="11" xfId="0" applyNumberFormat="1" applyFont="1" applyBorder="1" applyAlignment="1">
      <alignment horizontal="left"/>
    </xf>
    <xf numFmtId="0" fontId="16" fillId="0" borderId="11" xfId="1" applyFont="1" applyBorder="1" applyAlignment="1">
      <alignment horizontal="left" vertical="center" wrapText="1"/>
    </xf>
    <xf numFmtId="0" fontId="0" fillId="13" borderId="11" xfId="0" applyFill="1" applyBorder="1" applyAlignment="1">
      <alignment horizontal="left" vertical="top"/>
    </xf>
    <xf numFmtId="164" fontId="0" fillId="13" borderId="11" xfId="0" applyNumberFormat="1" applyFill="1" applyBorder="1" applyAlignment="1">
      <alignment horizontal="center" vertical="top"/>
    </xf>
    <xf numFmtId="0" fontId="1" fillId="0" borderId="11" xfId="0" applyFont="1" applyBorder="1" applyAlignment="1">
      <alignment horizontal="left" vertical="top"/>
    </xf>
    <xf numFmtId="0" fontId="0" fillId="0" borderId="15" xfId="0" applyBorder="1" applyAlignment="1">
      <alignment horizontal="center" vertical="top"/>
    </xf>
    <xf numFmtId="0" fontId="16" fillId="3" borderId="0" xfId="1" applyFont="1" applyFill="1" applyAlignment="1">
      <alignment horizontal="left" vertical="top"/>
    </xf>
    <xf numFmtId="0" fontId="16" fillId="3" borderId="0" xfId="1" applyFont="1" applyFill="1" applyAlignment="1">
      <alignment vertical="top"/>
    </xf>
    <xf numFmtId="0" fontId="0" fillId="3" borderId="0" xfId="0" applyFill="1" applyAlignment="1">
      <alignment horizontal="left" vertical="top" wrapText="1"/>
    </xf>
    <xf numFmtId="0" fontId="0" fillId="3" borderId="15" xfId="0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0" fillId="3" borderId="16" xfId="0" applyFill="1" applyBorder="1" applyAlignment="1">
      <alignment horizontal="center" vertical="top"/>
    </xf>
    <xf numFmtId="0" fontId="3" fillId="0" borderId="11" xfId="1" applyFont="1" applyBorder="1" applyAlignment="1">
      <alignment wrapText="1"/>
    </xf>
    <xf numFmtId="49" fontId="3" fillId="3" borderId="1" xfId="1" applyNumberFormat="1" applyFont="1" applyFill="1" applyBorder="1" applyAlignment="1">
      <alignment vertical="center"/>
    </xf>
    <xf numFmtId="14" fontId="15" fillId="3" borderId="13" xfId="0" applyNumberFormat="1" applyFont="1" applyFill="1" applyBorder="1" applyAlignment="1">
      <alignment horizontal="center"/>
    </xf>
    <xf numFmtId="0" fontId="15" fillId="8" borderId="12" xfId="0" applyFont="1" applyFill="1" applyBorder="1" applyAlignment="1">
      <alignment vertical="center"/>
    </xf>
    <xf numFmtId="0" fontId="15" fillId="0" borderId="13" xfId="0" applyFont="1" applyBorder="1" applyAlignment="1">
      <alignment horizontal="left" vertical="center"/>
    </xf>
    <xf numFmtId="0" fontId="15" fillId="10" borderId="12" xfId="0" applyFont="1" applyFill="1" applyBorder="1" applyAlignment="1">
      <alignment vertical="center"/>
    </xf>
    <xf numFmtId="0" fontId="10" fillId="3" borderId="16" xfId="0" applyFont="1" applyFill="1" applyBorder="1" applyAlignment="1">
      <alignment horizontal="center" vertical="top"/>
    </xf>
    <xf numFmtId="3" fontId="15" fillId="3" borderId="11" xfId="0" applyNumberFormat="1" applyFont="1" applyFill="1" applyBorder="1" applyAlignment="1">
      <alignment vertical="center"/>
    </xf>
    <xf numFmtId="14" fontId="15" fillId="0" borderId="13" xfId="0" applyNumberFormat="1" applyFont="1" applyBorder="1" applyAlignment="1">
      <alignment horizontal="center"/>
    </xf>
    <xf numFmtId="14" fontId="15" fillId="3" borderId="13" xfId="0" applyNumberFormat="1" applyFont="1" applyFill="1" applyBorder="1" applyAlignment="1">
      <alignment horizontal="left"/>
    </xf>
    <xf numFmtId="0" fontId="3" fillId="3" borderId="11" xfId="1" applyFont="1" applyFill="1" applyBorder="1" applyAlignment="1">
      <alignment horizontal="center" wrapText="1"/>
    </xf>
  </cellXfs>
  <cellStyles count="13">
    <cellStyle name="Followed Hyperlink" xfId="5" builtinId="9" hidden="1"/>
    <cellStyle name="Followed Hyperlink" xfId="6" builtinId="9" hidden="1"/>
    <cellStyle name="Followed Hyperlink" xfId="4" builtinId="9" hidden="1"/>
    <cellStyle name="Followed Hyperlink" xfId="3" builtinId="9" hidden="1"/>
    <cellStyle name="Hyperlink" xfId="2" builtinId="8"/>
    <cellStyle name="Normal" xfId="0" builtinId="0"/>
    <cellStyle name="Normal 11" xfId="7" xr:uid="{00000000-0005-0000-0000-000006000000}"/>
    <cellStyle name="Normal 2" xfId="9" xr:uid="{00000000-0005-0000-0000-000007000000}"/>
    <cellStyle name="Normal 2 2" xfId="10" xr:uid="{00000000-0005-0000-0000-000008000000}"/>
    <cellStyle name="Normal 2 2 2" xfId="12" xr:uid="{00000000-0005-0000-0000-000009000000}"/>
    <cellStyle name="Normal 3" xfId="11" xr:uid="{00000000-0005-0000-0000-00000A000000}"/>
    <cellStyle name="Normal 9" xfId="8" xr:uid="{00000000-0005-0000-0000-00000B000000}"/>
    <cellStyle name="Normal_Sheet1" xfId="1" xr:uid="{00000000-0005-0000-0000-00000C000000}"/>
  </cellStyles>
  <dxfs count="65"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</dxfs>
  <tableStyles count="0" defaultTableStyle="TableStyleMedium9" defaultPivotStyle="PivotStyleLight16"/>
  <colors>
    <mruColors>
      <color rgb="FF66FFFF"/>
      <color rgb="FF2FFF71"/>
      <color rgb="FFFFFF99"/>
      <color rgb="FF00CC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04"/>
  <sheetViews>
    <sheetView zoomScale="80" zoomScaleNormal="80" zoomScalePageLayoutView="90" workbookViewId="0">
      <pane xSplit="1" ySplit="1" topLeftCell="B2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9.140625" defaultRowHeight="15"/>
  <cols>
    <col min="1" max="1" width="25.85546875" style="24" customWidth="1"/>
    <col min="2" max="2" width="8.140625" style="24" customWidth="1"/>
    <col min="3" max="3" width="19.42578125" style="26" customWidth="1"/>
    <col min="4" max="5" width="9.140625" style="38" customWidth="1"/>
    <col min="6" max="6" width="12.42578125" style="38" customWidth="1"/>
    <col min="7" max="7" width="10.42578125" style="38" customWidth="1"/>
    <col min="8" max="8" width="15" style="24" customWidth="1"/>
    <col min="9" max="9" width="21.42578125" style="24" customWidth="1"/>
    <col min="10" max="10" width="23.140625" style="24" customWidth="1"/>
    <col min="11" max="11" width="31.42578125" style="24" customWidth="1"/>
    <col min="12" max="12" width="32.42578125" style="24" customWidth="1"/>
    <col min="13" max="13" width="40" style="45" customWidth="1"/>
    <col min="14" max="14" width="27.85546875" style="40" customWidth="1"/>
    <col min="15" max="15" width="21" style="38" customWidth="1"/>
    <col min="16" max="17" width="15.42578125" style="41" customWidth="1"/>
    <col min="18" max="18" width="18" style="42" customWidth="1"/>
    <col min="19" max="19" width="13.85546875" style="43" customWidth="1"/>
    <col min="20" max="20" width="18" style="44" customWidth="1"/>
    <col min="21" max="21" width="20.42578125" style="52" customWidth="1"/>
    <col min="22" max="22" width="17" style="48" customWidth="1"/>
    <col min="23" max="23" width="18.42578125" style="54" customWidth="1"/>
    <col min="24" max="24" width="18.85546875" style="50" customWidth="1"/>
    <col min="25" max="25" width="17.42578125" style="38" customWidth="1"/>
    <col min="26" max="26" width="28.5703125" style="25" customWidth="1"/>
    <col min="27" max="27" width="21.5703125" style="25" customWidth="1"/>
    <col min="28" max="28" width="69.42578125" style="24" customWidth="1"/>
    <col min="29" max="16384" width="9.140625" style="38"/>
  </cols>
  <sheetData>
    <row r="1" spans="1:16383" s="28" customFormat="1" ht="15" customHeight="1">
      <c r="A1" s="28" t="s">
        <v>0</v>
      </c>
      <c r="B1" s="28" t="s">
        <v>1</v>
      </c>
      <c r="C1" s="29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32" t="s">
        <v>13</v>
      </c>
      <c r="O1" s="93" t="s">
        <v>14</v>
      </c>
      <c r="P1" s="33" t="s">
        <v>15</v>
      </c>
      <c r="Q1" s="33" t="s">
        <v>16</v>
      </c>
      <c r="R1" s="34" t="s">
        <v>17</v>
      </c>
      <c r="S1" s="35" t="s">
        <v>18</v>
      </c>
      <c r="T1" s="36" t="s">
        <v>19</v>
      </c>
      <c r="U1" s="51" t="s">
        <v>20</v>
      </c>
      <c r="V1" s="47" t="s">
        <v>21</v>
      </c>
      <c r="W1" s="46" t="s">
        <v>22</v>
      </c>
      <c r="X1" s="49" t="s">
        <v>23</v>
      </c>
      <c r="Y1" s="37" t="s">
        <v>24</v>
      </c>
      <c r="Z1" s="28" t="s">
        <v>25</v>
      </c>
      <c r="AA1" s="28" t="s">
        <v>26</v>
      </c>
      <c r="AB1" s="28" t="s">
        <v>27</v>
      </c>
    </row>
    <row r="2" spans="1:16383" ht="15" customHeight="1">
      <c r="A2" s="24" t="s">
        <v>28</v>
      </c>
      <c r="B2" s="25"/>
      <c r="C2" s="26">
        <v>42676</v>
      </c>
      <c r="D2" s="38" t="s">
        <v>29</v>
      </c>
      <c r="E2" s="38" t="s">
        <v>29</v>
      </c>
      <c r="F2" s="38" t="s">
        <v>30</v>
      </c>
      <c r="G2" s="38">
        <v>5</v>
      </c>
      <c r="H2" s="39" t="s">
        <v>31</v>
      </c>
      <c r="I2" s="39" t="s">
        <v>32</v>
      </c>
      <c r="J2" s="39" t="s">
        <v>33</v>
      </c>
      <c r="K2" s="39" t="s">
        <v>34</v>
      </c>
      <c r="L2" s="39" t="s">
        <v>35</v>
      </c>
      <c r="M2" s="24" t="s">
        <v>36</v>
      </c>
      <c r="N2" s="40" t="s">
        <v>13</v>
      </c>
      <c r="O2" s="94">
        <v>42592.375</v>
      </c>
      <c r="P2" s="41" t="s">
        <v>37</v>
      </c>
      <c r="Q2" s="41" t="s">
        <v>38</v>
      </c>
      <c r="R2" s="42" t="s">
        <v>39</v>
      </c>
      <c r="S2" s="43">
        <v>42461</v>
      </c>
      <c r="T2" s="44" t="s">
        <v>40</v>
      </c>
      <c r="U2" s="52">
        <v>42658</v>
      </c>
      <c r="V2" s="48" t="s">
        <v>41</v>
      </c>
      <c r="W2" s="54" t="s">
        <v>42</v>
      </c>
      <c r="X2" s="50" t="s">
        <v>43</v>
      </c>
      <c r="Y2" s="38">
        <v>142</v>
      </c>
      <c r="Z2" s="25" t="s">
        <v>44</v>
      </c>
      <c r="AA2" s="25">
        <f t="shared" ref="AA2:AA65" si="0">IF(AND(E2="YES",X2&lt;&gt;"MWRA"),1,0)</f>
        <v>0</v>
      </c>
    </row>
    <row r="3" spans="1:16383" ht="15" customHeight="1">
      <c r="A3" s="24" t="s">
        <v>45</v>
      </c>
      <c r="B3" s="25" t="s">
        <v>46</v>
      </c>
      <c r="C3" s="26">
        <v>42744</v>
      </c>
      <c r="D3" s="38" t="s">
        <v>29</v>
      </c>
      <c r="E3" s="38" t="s">
        <v>29</v>
      </c>
      <c r="F3" s="38" t="s">
        <v>47</v>
      </c>
      <c r="G3" s="38">
        <v>7</v>
      </c>
      <c r="H3" s="39" t="s">
        <v>48</v>
      </c>
      <c r="I3" s="39" t="s">
        <v>49</v>
      </c>
      <c r="J3" s="39" t="s">
        <v>50</v>
      </c>
      <c r="K3" s="39" t="s">
        <v>51</v>
      </c>
      <c r="L3" s="39" t="s">
        <v>52</v>
      </c>
      <c r="M3" s="45" t="s">
        <v>53</v>
      </c>
      <c r="N3" s="40" t="s">
        <v>13</v>
      </c>
      <c r="O3" s="94">
        <v>42592.416666666664</v>
      </c>
      <c r="P3" s="152" t="s">
        <v>54</v>
      </c>
      <c r="Q3" s="152" t="s">
        <v>54</v>
      </c>
      <c r="R3" s="153" t="s">
        <v>39</v>
      </c>
      <c r="S3" s="154">
        <v>42491</v>
      </c>
      <c r="T3" s="155" t="s">
        <v>55</v>
      </c>
      <c r="U3" s="222">
        <v>42685</v>
      </c>
      <c r="V3" s="209"/>
      <c r="W3" s="54" t="s">
        <v>56</v>
      </c>
      <c r="X3" s="212" t="s">
        <v>57</v>
      </c>
      <c r="Y3" s="156">
        <v>588</v>
      </c>
      <c r="Z3" s="25" t="s">
        <v>44</v>
      </c>
      <c r="AA3" s="25">
        <f t="shared" si="0"/>
        <v>0</v>
      </c>
    </row>
    <row r="4" spans="1:16383" ht="15" customHeight="1">
      <c r="A4" s="24" t="s">
        <v>58</v>
      </c>
      <c r="B4" s="25"/>
      <c r="C4" s="26">
        <v>42684</v>
      </c>
      <c r="D4" s="38" t="s">
        <v>29</v>
      </c>
      <c r="E4" s="38" t="s">
        <v>29</v>
      </c>
      <c r="F4" s="38" t="s">
        <v>30</v>
      </c>
      <c r="G4" s="38">
        <v>2</v>
      </c>
      <c r="H4" s="39" t="s">
        <v>59</v>
      </c>
      <c r="I4" s="39" t="s">
        <v>60</v>
      </c>
      <c r="J4" s="39" t="s">
        <v>61</v>
      </c>
      <c r="K4" s="39" t="s">
        <v>62</v>
      </c>
      <c r="L4" s="39" t="s">
        <v>63</v>
      </c>
      <c r="M4" s="45" t="s">
        <v>64</v>
      </c>
      <c r="N4" s="158" t="s">
        <v>13</v>
      </c>
      <c r="O4" s="95">
        <v>42606.416666666664</v>
      </c>
      <c r="P4" s="152" t="s">
        <v>54</v>
      </c>
      <c r="Q4" s="152" t="s">
        <v>54</v>
      </c>
      <c r="R4" s="153" t="s">
        <v>39</v>
      </c>
      <c r="S4" s="154">
        <v>42491</v>
      </c>
      <c r="T4" s="155" t="s">
        <v>65</v>
      </c>
      <c r="U4" s="222">
        <v>42668</v>
      </c>
      <c r="V4" s="209"/>
      <c r="W4" s="54" t="s">
        <v>66</v>
      </c>
      <c r="X4" s="212" t="s">
        <v>57</v>
      </c>
      <c r="Y4" s="156">
        <v>192</v>
      </c>
      <c r="Z4" s="25" t="s">
        <v>44</v>
      </c>
      <c r="AA4" s="25">
        <f t="shared" si="0"/>
        <v>0</v>
      </c>
      <c r="AC4" s="159"/>
    </row>
    <row r="5" spans="1:16383" ht="15" customHeight="1">
      <c r="A5" s="24" t="s">
        <v>67</v>
      </c>
      <c r="B5" s="25" t="s">
        <v>68</v>
      </c>
      <c r="C5" s="26">
        <v>42787</v>
      </c>
      <c r="D5" s="38" t="s">
        <v>29</v>
      </c>
      <c r="E5" s="38" t="s">
        <v>29</v>
      </c>
      <c r="F5" s="38" t="s">
        <v>69</v>
      </c>
      <c r="G5" s="38">
        <v>1</v>
      </c>
      <c r="H5" s="39" t="s">
        <v>70</v>
      </c>
      <c r="I5" s="39" t="s">
        <v>71</v>
      </c>
      <c r="J5" s="39" t="s">
        <v>72</v>
      </c>
      <c r="K5" s="39" t="s">
        <v>73</v>
      </c>
      <c r="L5" s="39" t="s">
        <v>74</v>
      </c>
      <c r="M5" s="24" t="s">
        <v>75</v>
      </c>
      <c r="N5" s="158" t="s">
        <v>13</v>
      </c>
      <c r="O5" s="95">
        <v>42717.458333333336</v>
      </c>
      <c r="P5" s="152" t="s">
        <v>76</v>
      </c>
      <c r="Q5" s="152" t="s">
        <v>76</v>
      </c>
      <c r="R5" s="153" t="s">
        <v>77</v>
      </c>
      <c r="S5" s="154"/>
      <c r="T5" s="155" t="s">
        <v>78</v>
      </c>
      <c r="U5" s="52">
        <v>42726</v>
      </c>
      <c r="V5" s="209"/>
      <c r="W5" s="207" t="s">
        <v>79</v>
      </c>
      <c r="X5" s="212" t="s">
        <v>80</v>
      </c>
      <c r="Y5" s="156">
        <v>146</v>
      </c>
      <c r="Z5" s="25" t="s">
        <v>44</v>
      </c>
      <c r="AA5" s="25">
        <f t="shared" si="0"/>
        <v>0</v>
      </c>
      <c r="AB5" s="157"/>
    </row>
    <row r="6" spans="1:16383" ht="15" customHeight="1">
      <c r="A6" s="24" t="s">
        <v>81</v>
      </c>
      <c r="B6" s="25" t="s">
        <v>82</v>
      </c>
      <c r="C6" s="26">
        <v>42690</v>
      </c>
      <c r="D6" s="38" t="s">
        <v>29</v>
      </c>
      <c r="E6" s="38" t="s">
        <v>29</v>
      </c>
      <c r="F6" s="38" t="s">
        <v>69</v>
      </c>
      <c r="G6" s="38">
        <v>8</v>
      </c>
      <c r="H6" s="39" t="s">
        <v>83</v>
      </c>
      <c r="I6" s="39" t="s">
        <v>84</v>
      </c>
      <c r="J6" s="39" t="s">
        <v>85</v>
      </c>
      <c r="K6" s="39" t="s">
        <v>86</v>
      </c>
      <c r="L6" s="39" t="s">
        <v>52</v>
      </c>
      <c r="M6" s="24" t="s">
        <v>87</v>
      </c>
      <c r="N6" s="40" t="s">
        <v>88</v>
      </c>
      <c r="O6" s="94">
        <v>42572.416666666664</v>
      </c>
      <c r="P6" s="152" t="s">
        <v>89</v>
      </c>
      <c r="Q6" s="152" t="s">
        <v>41</v>
      </c>
      <c r="R6" s="153" t="s">
        <v>77</v>
      </c>
      <c r="S6" s="154"/>
      <c r="T6" s="155" t="s">
        <v>90</v>
      </c>
      <c r="U6" s="222">
        <v>42588</v>
      </c>
      <c r="V6" s="209" t="s">
        <v>91</v>
      </c>
      <c r="W6" s="54" t="s">
        <v>92</v>
      </c>
      <c r="X6" s="212" t="s">
        <v>80</v>
      </c>
      <c r="Y6" s="156">
        <v>576</v>
      </c>
      <c r="Z6" s="25" t="s">
        <v>44</v>
      </c>
      <c r="AA6" s="25">
        <f t="shared" si="0"/>
        <v>0</v>
      </c>
    </row>
    <row r="7" spans="1:16383" ht="15" customHeight="1">
      <c r="A7" s="233" t="s">
        <v>93</v>
      </c>
      <c r="B7" s="25"/>
      <c r="C7" s="26">
        <v>42772</v>
      </c>
      <c r="D7" s="38" t="s">
        <v>29</v>
      </c>
      <c r="E7" s="38" t="s">
        <v>94</v>
      </c>
      <c r="F7" s="38" t="s">
        <v>95</v>
      </c>
      <c r="G7" s="38">
        <v>5</v>
      </c>
      <c r="H7" s="39" t="s">
        <v>96</v>
      </c>
      <c r="I7" s="39" t="s">
        <v>97</v>
      </c>
      <c r="J7" s="39" t="s">
        <v>98</v>
      </c>
      <c r="K7" s="39" t="s">
        <v>99</v>
      </c>
      <c r="L7" s="39" t="s">
        <v>100</v>
      </c>
      <c r="M7" s="160" t="s">
        <v>101</v>
      </c>
      <c r="N7" s="158" t="s">
        <v>13</v>
      </c>
      <c r="O7" s="95">
        <v>42695.479166666664</v>
      </c>
      <c r="P7" s="41" t="s">
        <v>102</v>
      </c>
      <c r="Q7" s="41" t="s">
        <v>102</v>
      </c>
      <c r="R7" s="42" t="s">
        <v>77</v>
      </c>
      <c r="S7" s="43">
        <v>42522</v>
      </c>
      <c r="T7" s="44" t="s">
        <v>78</v>
      </c>
      <c r="U7" s="52">
        <v>42755</v>
      </c>
      <c r="W7" s="54" t="s">
        <v>103</v>
      </c>
      <c r="X7" s="50" t="s">
        <v>104</v>
      </c>
      <c r="Y7" s="38">
        <v>28</v>
      </c>
      <c r="Z7" s="25" t="s">
        <v>44</v>
      </c>
      <c r="AA7" s="25">
        <f t="shared" si="0"/>
        <v>0</v>
      </c>
    </row>
    <row r="8" spans="1:16383" ht="15" customHeight="1">
      <c r="A8" s="24" t="s">
        <v>105</v>
      </c>
      <c r="B8" s="25" t="s">
        <v>106</v>
      </c>
      <c r="C8" s="26">
        <v>42745</v>
      </c>
      <c r="D8" s="38" t="s">
        <v>94</v>
      </c>
      <c r="E8" s="38" t="s">
        <v>29</v>
      </c>
      <c r="F8" s="38" t="s">
        <v>69</v>
      </c>
      <c r="G8" s="38">
        <v>1</v>
      </c>
      <c r="H8" s="24" t="s">
        <v>107</v>
      </c>
      <c r="I8" s="24" t="s">
        <v>108</v>
      </c>
      <c r="J8" s="24" t="s">
        <v>109</v>
      </c>
      <c r="K8" s="25" t="s">
        <v>110</v>
      </c>
      <c r="L8" s="24" t="s">
        <v>111</v>
      </c>
      <c r="N8" s="40" t="s">
        <v>13</v>
      </c>
      <c r="O8" s="94">
        <v>42663.5</v>
      </c>
      <c r="P8" s="41" t="s">
        <v>112</v>
      </c>
      <c r="T8" s="44" t="s">
        <v>78</v>
      </c>
      <c r="U8" s="52">
        <v>42714</v>
      </c>
      <c r="W8" s="215" t="s">
        <v>113</v>
      </c>
      <c r="X8" s="50" t="s">
        <v>114</v>
      </c>
      <c r="Y8" s="234">
        <v>71</v>
      </c>
      <c r="Z8" s="25" t="s">
        <v>44</v>
      </c>
      <c r="AA8" s="25">
        <f t="shared" si="0"/>
        <v>0</v>
      </c>
    </row>
    <row r="9" spans="1:16383" ht="15" customHeight="1">
      <c r="A9" s="24" t="s">
        <v>115</v>
      </c>
      <c r="B9" s="25"/>
      <c r="C9" s="26">
        <v>42740</v>
      </c>
      <c r="D9" s="38" t="s">
        <v>29</v>
      </c>
      <c r="E9" s="38" t="s">
        <v>29</v>
      </c>
      <c r="F9" s="38" t="s">
        <v>95</v>
      </c>
      <c r="G9" s="38">
        <v>5</v>
      </c>
      <c r="H9" s="39" t="s">
        <v>116</v>
      </c>
      <c r="I9" s="39" t="s">
        <v>117</v>
      </c>
      <c r="J9" s="39" t="s">
        <v>118</v>
      </c>
      <c r="K9" s="39" t="s">
        <v>119</v>
      </c>
      <c r="L9" s="39" t="s">
        <v>120</v>
      </c>
      <c r="M9" s="24" t="s">
        <v>121</v>
      </c>
      <c r="N9" s="158" t="s">
        <v>13</v>
      </c>
      <c r="O9" s="95">
        <v>42605.375</v>
      </c>
      <c r="P9" s="41" t="s">
        <v>122</v>
      </c>
      <c r="Q9" s="41" t="s">
        <v>122</v>
      </c>
      <c r="R9" s="42" t="s">
        <v>39</v>
      </c>
      <c r="S9" s="43">
        <v>42461</v>
      </c>
      <c r="T9" s="44" t="s">
        <v>40</v>
      </c>
      <c r="U9" s="52">
        <v>42656</v>
      </c>
      <c r="W9" s="54" t="s">
        <v>123</v>
      </c>
      <c r="X9" s="50" t="s">
        <v>43</v>
      </c>
      <c r="Y9" s="38">
        <v>436</v>
      </c>
      <c r="Z9" s="25" t="s">
        <v>44</v>
      </c>
      <c r="AA9" s="25">
        <f t="shared" si="0"/>
        <v>0</v>
      </c>
      <c r="AB9" s="25"/>
    </row>
    <row r="10" spans="1:16383" ht="15" customHeight="1">
      <c r="A10" s="24" t="s">
        <v>124</v>
      </c>
      <c r="B10" s="25"/>
      <c r="C10" s="26">
        <v>42744</v>
      </c>
      <c r="D10" s="38" t="s">
        <v>29</v>
      </c>
      <c r="E10" s="38" t="s">
        <v>29</v>
      </c>
      <c r="F10" s="38" t="s">
        <v>30</v>
      </c>
      <c r="G10" s="38">
        <v>12</v>
      </c>
      <c r="H10" s="39" t="s">
        <v>125</v>
      </c>
      <c r="I10" s="39" t="s">
        <v>126</v>
      </c>
      <c r="J10" s="39" t="s">
        <v>127</v>
      </c>
      <c r="K10" s="39" t="s">
        <v>128</v>
      </c>
      <c r="L10" s="39" t="s">
        <v>129</v>
      </c>
      <c r="M10" s="24" t="s">
        <v>130</v>
      </c>
      <c r="N10" s="158" t="s">
        <v>13</v>
      </c>
      <c r="O10" s="95">
        <v>42571.541666666664</v>
      </c>
      <c r="P10" s="41" t="s">
        <v>131</v>
      </c>
      <c r="Q10" s="41" t="s">
        <v>131</v>
      </c>
      <c r="R10" s="42" t="s">
        <v>77</v>
      </c>
      <c r="T10" s="44" t="s">
        <v>132</v>
      </c>
      <c r="U10" s="52">
        <v>42644</v>
      </c>
      <c r="V10" s="48" t="s">
        <v>133</v>
      </c>
      <c r="W10" s="54" t="s">
        <v>134</v>
      </c>
      <c r="X10" s="50" t="s">
        <v>57</v>
      </c>
      <c r="Y10" s="38">
        <v>943</v>
      </c>
      <c r="Z10" s="25" t="s">
        <v>44</v>
      </c>
      <c r="AA10" s="25">
        <f t="shared" si="0"/>
        <v>0</v>
      </c>
    </row>
    <row r="11" spans="1:16383" ht="15" customHeight="1">
      <c r="A11" s="24" t="s">
        <v>135</v>
      </c>
      <c r="B11" s="25"/>
      <c r="C11" s="26">
        <v>42768</v>
      </c>
      <c r="D11" s="38" t="s">
        <v>29</v>
      </c>
      <c r="E11" s="38" t="s">
        <v>29</v>
      </c>
      <c r="F11" s="38" t="s">
        <v>47</v>
      </c>
      <c r="G11" s="38">
        <v>5</v>
      </c>
      <c r="H11" s="161" t="s">
        <v>136</v>
      </c>
      <c r="I11" s="161" t="s">
        <v>137</v>
      </c>
      <c r="J11" s="161" t="s">
        <v>138</v>
      </c>
      <c r="K11" s="161" t="s">
        <v>139</v>
      </c>
      <c r="L11" s="39" t="s">
        <v>140</v>
      </c>
      <c r="M11" s="24"/>
      <c r="N11" s="158" t="s">
        <v>13</v>
      </c>
      <c r="O11" s="95">
        <v>42689.416666666664</v>
      </c>
      <c r="P11" s="41" t="s">
        <v>54</v>
      </c>
      <c r="Q11" s="41" t="s">
        <v>54</v>
      </c>
      <c r="T11" s="44" t="s">
        <v>40</v>
      </c>
      <c r="U11" s="52">
        <v>42719</v>
      </c>
      <c r="W11" s="54" t="s">
        <v>141</v>
      </c>
      <c r="X11" s="50" t="s">
        <v>57</v>
      </c>
      <c r="Y11" s="38">
        <v>124</v>
      </c>
      <c r="Z11" s="25" t="s">
        <v>44</v>
      </c>
      <c r="AA11" s="25">
        <f t="shared" si="0"/>
        <v>0</v>
      </c>
    </row>
    <row r="12" spans="1:16383" ht="15" customHeight="1">
      <c r="A12" s="24" t="s">
        <v>142</v>
      </c>
      <c r="B12" s="25"/>
      <c r="C12" s="26">
        <v>42675</v>
      </c>
      <c r="D12" s="38" t="s">
        <v>29</v>
      </c>
      <c r="E12" s="38" t="s">
        <v>29</v>
      </c>
      <c r="F12" s="38" t="s">
        <v>30</v>
      </c>
      <c r="G12" s="38">
        <v>2</v>
      </c>
      <c r="H12" s="39" t="s">
        <v>143</v>
      </c>
      <c r="I12" s="39" t="s">
        <v>144</v>
      </c>
      <c r="J12" s="39" t="s">
        <v>145</v>
      </c>
      <c r="K12" s="39" t="s">
        <v>146</v>
      </c>
      <c r="L12" s="39" t="s">
        <v>63</v>
      </c>
      <c r="M12" s="24" t="s">
        <v>147</v>
      </c>
      <c r="N12" s="158" t="s">
        <v>13</v>
      </c>
      <c r="O12" s="95">
        <v>42597.375</v>
      </c>
      <c r="P12" s="41" t="s">
        <v>37</v>
      </c>
      <c r="Q12" s="41" t="s">
        <v>38</v>
      </c>
      <c r="R12" s="42" t="s">
        <v>77</v>
      </c>
      <c r="T12" s="44" t="s">
        <v>65</v>
      </c>
      <c r="U12" s="52">
        <v>42656</v>
      </c>
      <c r="W12" s="54" t="s">
        <v>148</v>
      </c>
      <c r="X12" s="50" t="s">
        <v>149</v>
      </c>
      <c r="Y12" s="38">
        <v>38</v>
      </c>
      <c r="Z12" s="25" t="s">
        <v>44</v>
      </c>
      <c r="AA12" s="25">
        <f t="shared" si="0"/>
        <v>0</v>
      </c>
    </row>
    <row r="13" spans="1:16383" ht="15" customHeight="1">
      <c r="A13" s="235" t="s">
        <v>150</v>
      </c>
      <c r="B13" s="25" t="s">
        <v>151</v>
      </c>
      <c r="C13" s="26">
        <v>42768</v>
      </c>
      <c r="D13" s="38" t="s">
        <v>29</v>
      </c>
      <c r="E13" s="38" t="s">
        <v>29</v>
      </c>
      <c r="F13" s="159" t="s">
        <v>47</v>
      </c>
      <c r="G13" s="159">
        <v>3</v>
      </c>
      <c r="H13" s="39" t="s">
        <v>152</v>
      </c>
      <c r="I13" s="162" t="s">
        <v>153</v>
      </c>
      <c r="J13" s="39" t="s">
        <v>154</v>
      </c>
      <c r="K13" s="39" t="s">
        <v>155</v>
      </c>
      <c r="L13" s="39" t="s">
        <v>111</v>
      </c>
      <c r="M13" s="45" t="s">
        <v>156</v>
      </c>
      <c r="N13" s="40" t="s">
        <v>157</v>
      </c>
      <c r="O13" s="95">
        <v>42535.458333333336</v>
      </c>
      <c r="P13" s="152" t="s">
        <v>158</v>
      </c>
      <c r="Q13" s="152" t="s">
        <v>102</v>
      </c>
      <c r="R13" s="42" t="s">
        <v>77</v>
      </c>
      <c r="T13" s="44" t="s">
        <v>159</v>
      </c>
      <c r="U13" s="52">
        <v>42536</v>
      </c>
      <c r="W13" s="54" t="s">
        <v>160</v>
      </c>
      <c r="X13" s="239" t="s">
        <v>161</v>
      </c>
      <c r="Y13" s="38">
        <v>303</v>
      </c>
      <c r="Z13" s="25" t="s">
        <v>44</v>
      </c>
      <c r="AA13" s="25">
        <f t="shared" si="0"/>
        <v>0</v>
      </c>
    </row>
    <row r="14" spans="1:16383" s="37" customFormat="1" ht="15" customHeight="1">
      <c r="A14" s="24" t="s">
        <v>162</v>
      </c>
      <c r="B14" s="25"/>
      <c r="C14" s="26">
        <v>42740</v>
      </c>
      <c r="D14" s="38" t="s">
        <v>29</v>
      </c>
      <c r="E14" s="38" t="s">
        <v>29</v>
      </c>
      <c r="F14" s="38" t="s">
        <v>30</v>
      </c>
      <c r="G14" s="38">
        <v>14</v>
      </c>
      <c r="H14" s="39" t="s">
        <v>163</v>
      </c>
      <c r="I14" s="39" t="s">
        <v>164</v>
      </c>
      <c r="J14" s="39" t="s">
        <v>165</v>
      </c>
      <c r="K14" s="24" t="s">
        <v>166</v>
      </c>
      <c r="L14" s="39" t="s">
        <v>167</v>
      </c>
      <c r="M14" s="24" t="s">
        <v>168</v>
      </c>
      <c r="N14" s="40" t="s">
        <v>13</v>
      </c>
      <c r="O14" s="94">
        <v>42642</v>
      </c>
      <c r="P14" s="41" t="s">
        <v>169</v>
      </c>
      <c r="Q14" s="41" t="s">
        <v>169</v>
      </c>
      <c r="R14" s="153" t="s">
        <v>39</v>
      </c>
      <c r="S14" s="154"/>
      <c r="T14" s="155" t="s">
        <v>170</v>
      </c>
      <c r="U14" s="52">
        <v>42697</v>
      </c>
      <c r="V14" s="209"/>
      <c r="W14" s="216" t="s">
        <v>171</v>
      </c>
      <c r="X14" s="212" t="s">
        <v>172</v>
      </c>
      <c r="Y14" s="156">
        <v>834</v>
      </c>
      <c r="Z14" s="25" t="s">
        <v>44</v>
      </c>
      <c r="AA14" s="25">
        <f t="shared" si="0"/>
        <v>0</v>
      </c>
      <c r="AB14" s="157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  <c r="AUA14" s="38"/>
      <c r="AUB14" s="38"/>
      <c r="AUC14" s="38"/>
      <c r="AUD14" s="38"/>
      <c r="AUE14" s="38"/>
      <c r="AUF14" s="38"/>
      <c r="AUG14" s="38"/>
      <c r="AUH14" s="38"/>
      <c r="AUI14" s="38"/>
      <c r="AUJ14" s="38"/>
      <c r="AUK14" s="38"/>
      <c r="AUL14" s="38"/>
      <c r="AUM14" s="38"/>
      <c r="AUN14" s="38"/>
      <c r="AUO14" s="38"/>
      <c r="AUP14" s="38"/>
      <c r="AUQ14" s="38"/>
      <c r="AUR14" s="38"/>
      <c r="AUS14" s="38"/>
      <c r="AUT14" s="38"/>
      <c r="AUU14" s="38"/>
      <c r="AUV14" s="38"/>
      <c r="AUW14" s="38"/>
      <c r="AUX14" s="38"/>
      <c r="AUY14" s="38"/>
      <c r="AUZ14" s="38"/>
      <c r="AVA14" s="38"/>
      <c r="AVB14" s="38"/>
      <c r="AVC14" s="38"/>
      <c r="AVD14" s="38"/>
      <c r="AVE14" s="38"/>
      <c r="AVF14" s="38"/>
      <c r="AVG14" s="38"/>
      <c r="AVH14" s="38"/>
      <c r="AVI14" s="38"/>
      <c r="AVJ14" s="38"/>
      <c r="AVK14" s="38"/>
      <c r="AVL14" s="38"/>
      <c r="AVM14" s="38"/>
      <c r="AVN14" s="38"/>
      <c r="AVO14" s="38"/>
      <c r="AVP14" s="38"/>
      <c r="AVQ14" s="38"/>
      <c r="AVR14" s="38"/>
      <c r="AVS14" s="38"/>
      <c r="AVT14" s="38"/>
      <c r="AVU14" s="38"/>
      <c r="AVV14" s="38"/>
      <c r="AVW14" s="38"/>
      <c r="AVX14" s="38"/>
      <c r="AVY14" s="38"/>
      <c r="AVZ14" s="38"/>
      <c r="AWA14" s="38"/>
      <c r="AWB14" s="38"/>
      <c r="AWC14" s="38"/>
      <c r="AWD14" s="38"/>
      <c r="AWE14" s="38"/>
      <c r="AWF14" s="38"/>
      <c r="AWG14" s="38"/>
      <c r="AWH14" s="38"/>
      <c r="AWI14" s="38"/>
      <c r="AWJ14" s="38"/>
      <c r="AWK14" s="38"/>
      <c r="AWL14" s="38"/>
      <c r="AWM14" s="38"/>
      <c r="AWN14" s="38"/>
      <c r="AWO14" s="38"/>
      <c r="AWP14" s="38"/>
      <c r="AWQ14" s="38"/>
      <c r="AWR14" s="38"/>
      <c r="AWS14" s="38"/>
      <c r="AWT14" s="38"/>
      <c r="AWU14" s="38"/>
      <c r="AWV14" s="38"/>
      <c r="AWW14" s="38"/>
      <c r="AWX14" s="38"/>
      <c r="AWY14" s="38"/>
      <c r="AWZ14" s="38"/>
      <c r="AXA14" s="38"/>
      <c r="AXB14" s="38"/>
      <c r="AXC14" s="38"/>
      <c r="AXD14" s="38"/>
      <c r="AXE14" s="38"/>
      <c r="AXF14" s="38"/>
      <c r="AXG14" s="38"/>
      <c r="AXH14" s="38"/>
      <c r="AXI14" s="38"/>
      <c r="AXJ14" s="38"/>
      <c r="AXK14" s="38"/>
      <c r="AXL14" s="38"/>
      <c r="AXM14" s="38"/>
      <c r="AXN14" s="38"/>
      <c r="AXO14" s="38"/>
      <c r="AXP14" s="38"/>
      <c r="AXQ14" s="38"/>
      <c r="AXR14" s="38"/>
      <c r="AXS14" s="38"/>
      <c r="AXT14" s="38"/>
      <c r="AXU14" s="38"/>
      <c r="AXV14" s="38"/>
      <c r="AXW14" s="38"/>
      <c r="AXX14" s="38"/>
      <c r="AXY14" s="38"/>
      <c r="AXZ14" s="38"/>
      <c r="AYA14" s="38"/>
      <c r="AYB14" s="38"/>
      <c r="AYC14" s="38"/>
      <c r="AYD14" s="38"/>
      <c r="AYE14" s="38"/>
      <c r="AYF14" s="38"/>
      <c r="AYG14" s="38"/>
      <c r="AYH14" s="38"/>
      <c r="AYI14" s="38"/>
      <c r="AYJ14" s="38"/>
      <c r="AYK14" s="38"/>
      <c r="AYL14" s="38"/>
      <c r="AYM14" s="38"/>
      <c r="AYN14" s="38"/>
      <c r="AYO14" s="38"/>
      <c r="AYP14" s="38"/>
      <c r="AYQ14" s="38"/>
      <c r="AYR14" s="38"/>
      <c r="AYS14" s="38"/>
      <c r="AYT14" s="38"/>
      <c r="AYU14" s="38"/>
      <c r="AYV14" s="38"/>
      <c r="AYW14" s="38"/>
      <c r="AYX14" s="38"/>
      <c r="AYY14" s="38"/>
      <c r="AYZ14" s="38"/>
      <c r="AZA14" s="38"/>
      <c r="AZB14" s="38"/>
      <c r="AZC14" s="38"/>
      <c r="AZD14" s="38"/>
      <c r="AZE14" s="38"/>
      <c r="AZF14" s="38"/>
      <c r="AZG14" s="38"/>
      <c r="AZH14" s="38"/>
      <c r="AZI14" s="38"/>
      <c r="AZJ14" s="38"/>
      <c r="AZK14" s="38"/>
      <c r="AZL14" s="38"/>
      <c r="AZM14" s="38"/>
      <c r="AZN14" s="38"/>
      <c r="AZO14" s="38"/>
      <c r="AZP14" s="38"/>
      <c r="AZQ14" s="38"/>
      <c r="AZR14" s="38"/>
      <c r="AZS14" s="38"/>
      <c r="AZT14" s="38"/>
      <c r="AZU14" s="38"/>
      <c r="AZV14" s="38"/>
      <c r="AZW14" s="38"/>
      <c r="AZX14" s="38"/>
      <c r="AZY14" s="38"/>
      <c r="AZZ14" s="38"/>
      <c r="BAA14" s="38"/>
      <c r="BAB14" s="38"/>
      <c r="BAC14" s="38"/>
      <c r="BAD14" s="38"/>
      <c r="BAE14" s="38"/>
      <c r="BAF14" s="38"/>
      <c r="BAG14" s="38"/>
      <c r="BAH14" s="38"/>
      <c r="BAI14" s="38"/>
      <c r="BAJ14" s="38"/>
      <c r="BAK14" s="38"/>
      <c r="BAL14" s="38"/>
      <c r="BAM14" s="38"/>
      <c r="BAN14" s="38"/>
      <c r="BAO14" s="38"/>
      <c r="BAP14" s="38"/>
      <c r="BAQ14" s="38"/>
      <c r="BAR14" s="38"/>
      <c r="BAS14" s="38"/>
      <c r="BAT14" s="38"/>
      <c r="BAU14" s="38"/>
      <c r="BAV14" s="38"/>
      <c r="BAW14" s="38"/>
      <c r="BAX14" s="38"/>
      <c r="BAY14" s="38"/>
      <c r="BAZ14" s="38"/>
      <c r="BBA14" s="38"/>
      <c r="BBB14" s="38"/>
      <c r="BBC14" s="38"/>
      <c r="BBD14" s="38"/>
      <c r="BBE14" s="38"/>
      <c r="BBF14" s="38"/>
      <c r="BBG14" s="38"/>
      <c r="BBH14" s="38"/>
      <c r="BBI14" s="38"/>
      <c r="BBJ14" s="38"/>
      <c r="BBK14" s="38"/>
      <c r="BBL14" s="38"/>
      <c r="BBM14" s="38"/>
      <c r="BBN14" s="38"/>
      <c r="BBO14" s="38"/>
      <c r="BBP14" s="38"/>
      <c r="BBQ14" s="38"/>
      <c r="BBR14" s="38"/>
      <c r="BBS14" s="38"/>
      <c r="BBT14" s="38"/>
      <c r="BBU14" s="38"/>
      <c r="BBV14" s="38"/>
      <c r="BBW14" s="38"/>
      <c r="BBX14" s="38"/>
      <c r="BBY14" s="38"/>
      <c r="BBZ14" s="38"/>
      <c r="BCA14" s="38"/>
      <c r="BCB14" s="38"/>
      <c r="BCC14" s="38"/>
      <c r="BCD14" s="38"/>
      <c r="BCE14" s="38"/>
      <c r="BCF14" s="38"/>
      <c r="BCG14" s="38"/>
      <c r="BCH14" s="38"/>
      <c r="BCI14" s="38"/>
      <c r="BCJ14" s="38"/>
      <c r="BCK14" s="38"/>
      <c r="BCL14" s="38"/>
      <c r="BCM14" s="38"/>
      <c r="BCN14" s="38"/>
      <c r="BCO14" s="38"/>
      <c r="BCP14" s="38"/>
      <c r="BCQ14" s="38"/>
      <c r="BCR14" s="38"/>
      <c r="BCS14" s="38"/>
      <c r="BCT14" s="38"/>
      <c r="BCU14" s="38"/>
      <c r="BCV14" s="38"/>
      <c r="BCW14" s="38"/>
      <c r="BCX14" s="38"/>
      <c r="BCY14" s="38"/>
      <c r="BCZ14" s="38"/>
      <c r="BDA14" s="38"/>
      <c r="BDB14" s="38"/>
      <c r="BDC14" s="38"/>
      <c r="BDD14" s="38"/>
      <c r="BDE14" s="38"/>
      <c r="BDF14" s="38"/>
      <c r="BDG14" s="38"/>
      <c r="BDH14" s="38"/>
      <c r="BDI14" s="38"/>
      <c r="BDJ14" s="38"/>
      <c r="BDK14" s="38"/>
      <c r="BDL14" s="38"/>
      <c r="BDM14" s="38"/>
      <c r="BDN14" s="38"/>
      <c r="BDO14" s="38"/>
      <c r="BDP14" s="38"/>
      <c r="BDQ14" s="38"/>
      <c r="BDR14" s="38"/>
      <c r="BDS14" s="38"/>
      <c r="BDT14" s="38"/>
      <c r="BDU14" s="38"/>
      <c r="BDV14" s="38"/>
      <c r="BDW14" s="38"/>
      <c r="BDX14" s="38"/>
      <c r="BDY14" s="38"/>
      <c r="BDZ14" s="38"/>
      <c r="BEA14" s="38"/>
      <c r="BEB14" s="38"/>
      <c r="BEC14" s="38"/>
      <c r="BED14" s="38"/>
      <c r="BEE14" s="38"/>
      <c r="BEF14" s="38"/>
      <c r="BEG14" s="38"/>
      <c r="BEH14" s="38"/>
      <c r="BEI14" s="38"/>
      <c r="BEJ14" s="38"/>
      <c r="BEK14" s="38"/>
      <c r="BEL14" s="38"/>
      <c r="BEM14" s="38"/>
      <c r="BEN14" s="38"/>
      <c r="BEO14" s="38"/>
      <c r="BEP14" s="38"/>
      <c r="BEQ14" s="38"/>
      <c r="BER14" s="38"/>
      <c r="BES14" s="38"/>
      <c r="BET14" s="38"/>
      <c r="BEU14" s="38"/>
      <c r="BEV14" s="38"/>
      <c r="BEW14" s="38"/>
      <c r="BEX14" s="38"/>
      <c r="BEY14" s="38"/>
      <c r="BEZ14" s="38"/>
      <c r="BFA14" s="38"/>
      <c r="BFB14" s="38"/>
      <c r="BFC14" s="38"/>
      <c r="BFD14" s="38"/>
      <c r="BFE14" s="38"/>
      <c r="BFF14" s="38"/>
      <c r="BFG14" s="38"/>
      <c r="BFH14" s="38"/>
      <c r="BFI14" s="38"/>
      <c r="BFJ14" s="38"/>
      <c r="BFK14" s="38"/>
      <c r="BFL14" s="38"/>
      <c r="BFM14" s="38"/>
      <c r="BFN14" s="38"/>
      <c r="BFO14" s="38"/>
      <c r="BFP14" s="38"/>
      <c r="BFQ14" s="38"/>
      <c r="BFR14" s="38"/>
      <c r="BFS14" s="38"/>
      <c r="BFT14" s="38"/>
      <c r="BFU14" s="38"/>
      <c r="BFV14" s="38"/>
      <c r="BFW14" s="38"/>
      <c r="BFX14" s="38"/>
      <c r="BFY14" s="38"/>
      <c r="BFZ14" s="38"/>
      <c r="BGA14" s="38"/>
      <c r="BGB14" s="38"/>
      <c r="BGC14" s="38"/>
      <c r="BGD14" s="38"/>
      <c r="BGE14" s="38"/>
      <c r="BGF14" s="38"/>
      <c r="BGG14" s="38"/>
      <c r="BGH14" s="38"/>
      <c r="BGI14" s="38"/>
      <c r="BGJ14" s="38"/>
      <c r="BGK14" s="38"/>
      <c r="BGL14" s="38"/>
      <c r="BGM14" s="38"/>
      <c r="BGN14" s="38"/>
      <c r="BGO14" s="38"/>
      <c r="BGP14" s="38"/>
      <c r="BGQ14" s="38"/>
      <c r="BGR14" s="38"/>
      <c r="BGS14" s="38"/>
      <c r="BGT14" s="38"/>
      <c r="BGU14" s="38"/>
      <c r="BGV14" s="38"/>
      <c r="BGW14" s="38"/>
      <c r="BGX14" s="38"/>
      <c r="BGY14" s="38"/>
      <c r="BGZ14" s="38"/>
      <c r="BHA14" s="38"/>
      <c r="BHB14" s="38"/>
      <c r="BHC14" s="38"/>
      <c r="BHD14" s="38"/>
      <c r="BHE14" s="38"/>
      <c r="BHF14" s="38"/>
      <c r="BHG14" s="38"/>
      <c r="BHH14" s="38"/>
      <c r="BHI14" s="38"/>
      <c r="BHJ14" s="38"/>
      <c r="BHK14" s="38"/>
      <c r="BHL14" s="38"/>
      <c r="BHM14" s="38"/>
      <c r="BHN14" s="38"/>
      <c r="BHO14" s="38"/>
      <c r="BHP14" s="38"/>
      <c r="BHQ14" s="38"/>
      <c r="BHR14" s="38"/>
      <c r="BHS14" s="38"/>
      <c r="BHT14" s="38"/>
      <c r="BHU14" s="38"/>
      <c r="BHV14" s="38"/>
      <c r="BHW14" s="38"/>
      <c r="BHX14" s="38"/>
      <c r="BHY14" s="38"/>
      <c r="BHZ14" s="38"/>
      <c r="BIA14" s="38"/>
      <c r="BIB14" s="38"/>
      <c r="BIC14" s="38"/>
      <c r="BID14" s="38"/>
      <c r="BIE14" s="38"/>
      <c r="BIF14" s="38"/>
      <c r="BIG14" s="38"/>
      <c r="BIH14" s="38"/>
      <c r="BII14" s="38"/>
      <c r="BIJ14" s="38"/>
      <c r="BIK14" s="38"/>
      <c r="BIL14" s="38"/>
      <c r="BIM14" s="38"/>
      <c r="BIN14" s="38"/>
      <c r="BIO14" s="38"/>
      <c r="BIP14" s="38"/>
      <c r="BIQ14" s="38"/>
      <c r="BIR14" s="38"/>
      <c r="BIS14" s="38"/>
      <c r="BIT14" s="38"/>
      <c r="BIU14" s="38"/>
      <c r="BIV14" s="38"/>
      <c r="BIW14" s="38"/>
      <c r="BIX14" s="38"/>
      <c r="BIY14" s="38"/>
      <c r="BIZ14" s="38"/>
      <c r="BJA14" s="38"/>
      <c r="BJB14" s="38"/>
      <c r="BJC14" s="38"/>
      <c r="BJD14" s="38"/>
      <c r="BJE14" s="38"/>
      <c r="BJF14" s="38"/>
      <c r="BJG14" s="38"/>
      <c r="BJH14" s="38"/>
      <c r="BJI14" s="38"/>
      <c r="BJJ14" s="38"/>
      <c r="BJK14" s="38"/>
      <c r="BJL14" s="38"/>
      <c r="BJM14" s="38"/>
      <c r="BJN14" s="38"/>
      <c r="BJO14" s="38"/>
      <c r="BJP14" s="38"/>
      <c r="BJQ14" s="38"/>
      <c r="BJR14" s="38"/>
      <c r="BJS14" s="38"/>
      <c r="BJT14" s="38"/>
      <c r="BJU14" s="38"/>
      <c r="BJV14" s="38"/>
      <c r="BJW14" s="38"/>
      <c r="BJX14" s="38"/>
      <c r="BJY14" s="38"/>
      <c r="BJZ14" s="38"/>
      <c r="BKA14" s="38"/>
      <c r="BKB14" s="38"/>
      <c r="BKC14" s="38"/>
      <c r="BKD14" s="38"/>
      <c r="BKE14" s="38"/>
      <c r="BKF14" s="38"/>
      <c r="BKG14" s="38"/>
      <c r="BKH14" s="38"/>
      <c r="BKI14" s="38"/>
      <c r="BKJ14" s="38"/>
      <c r="BKK14" s="38"/>
      <c r="BKL14" s="38"/>
      <c r="BKM14" s="38"/>
      <c r="BKN14" s="38"/>
      <c r="BKO14" s="38"/>
      <c r="BKP14" s="38"/>
      <c r="BKQ14" s="38"/>
      <c r="BKR14" s="38"/>
      <c r="BKS14" s="38"/>
      <c r="BKT14" s="38"/>
      <c r="BKU14" s="38"/>
      <c r="BKV14" s="38"/>
      <c r="BKW14" s="38"/>
      <c r="BKX14" s="38"/>
      <c r="BKY14" s="38"/>
      <c r="BKZ14" s="38"/>
      <c r="BLA14" s="38"/>
      <c r="BLB14" s="38"/>
      <c r="BLC14" s="38"/>
      <c r="BLD14" s="38"/>
      <c r="BLE14" s="38"/>
      <c r="BLF14" s="38"/>
      <c r="BLG14" s="38"/>
      <c r="BLH14" s="38"/>
      <c r="BLI14" s="38"/>
      <c r="BLJ14" s="38"/>
      <c r="BLK14" s="38"/>
      <c r="BLL14" s="38"/>
      <c r="BLM14" s="38"/>
      <c r="BLN14" s="38"/>
      <c r="BLO14" s="38"/>
      <c r="BLP14" s="38"/>
      <c r="BLQ14" s="38"/>
      <c r="BLR14" s="38"/>
      <c r="BLS14" s="38"/>
      <c r="BLT14" s="38"/>
      <c r="BLU14" s="38"/>
      <c r="BLV14" s="38"/>
      <c r="BLW14" s="38"/>
      <c r="BLX14" s="38"/>
      <c r="BLY14" s="38"/>
      <c r="BLZ14" s="38"/>
      <c r="BMA14" s="38"/>
      <c r="BMB14" s="38"/>
      <c r="BMC14" s="38"/>
      <c r="BMD14" s="38"/>
      <c r="BME14" s="38"/>
      <c r="BMF14" s="38"/>
      <c r="BMG14" s="38"/>
      <c r="BMH14" s="38"/>
      <c r="BMI14" s="38"/>
      <c r="BMJ14" s="38"/>
      <c r="BMK14" s="38"/>
      <c r="BML14" s="38"/>
      <c r="BMM14" s="38"/>
      <c r="BMN14" s="38"/>
      <c r="BMO14" s="38"/>
      <c r="BMP14" s="38"/>
      <c r="BMQ14" s="38"/>
      <c r="BMR14" s="38"/>
      <c r="BMS14" s="38"/>
      <c r="BMT14" s="38"/>
      <c r="BMU14" s="38"/>
      <c r="BMV14" s="38"/>
      <c r="BMW14" s="38"/>
      <c r="BMX14" s="38"/>
      <c r="BMY14" s="38"/>
      <c r="BMZ14" s="38"/>
      <c r="BNA14" s="38"/>
      <c r="BNB14" s="38"/>
      <c r="BNC14" s="38"/>
      <c r="BND14" s="38"/>
      <c r="BNE14" s="38"/>
      <c r="BNF14" s="38"/>
      <c r="BNG14" s="38"/>
      <c r="BNH14" s="38"/>
      <c r="BNI14" s="38"/>
      <c r="BNJ14" s="38"/>
      <c r="BNK14" s="38"/>
      <c r="BNL14" s="38"/>
      <c r="BNM14" s="38"/>
      <c r="BNN14" s="38"/>
      <c r="BNO14" s="38"/>
      <c r="BNP14" s="38"/>
      <c r="BNQ14" s="38"/>
      <c r="BNR14" s="38"/>
      <c r="BNS14" s="38"/>
      <c r="BNT14" s="38"/>
      <c r="BNU14" s="38"/>
      <c r="BNV14" s="38"/>
      <c r="BNW14" s="38"/>
      <c r="BNX14" s="38"/>
      <c r="BNY14" s="38"/>
      <c r="BNZ14" s="38"/>
      <c r="BOA14" s="38"/>
      <c r="BOB14" s="38"/>
      <c r="BOC14" s="38"/>
      <c r="BOD14" s="38"/>
      <c r="BOE14" s="38"/>
      <c r="BOF14" s="38"/>
      <c r="BOG14" s="38"/>
      <c r="BOH14" s="38"/>
      <c r="BOI14" s="38"/>
      <c r="BOJ14" s="38"/>
      <c r="BOK14" s="38"/>
      <c r="BOL14" s="38"/>
      <c r="BOM14" s="38"/>
      <c r="BON14" s="38"/>
      <c r="BOO14" s="38"/>
      <c r="BOP14" s="38"/>
      <c r="BOQ14" s="38"/>
      <c r="BOR14" s="38"/>
      <c r="BOS14" s="38"/>
      <c r="BOT14" s="38"/>
      <c r="BOU14" s="38"/>
      <c r="BOV14" s="38"/>
      <c r="BOW14" s="38"/>
      <c r="BOX14" s="38"/>
      <c r="BOY14" s="38"/>
      <c r="BOZ14" s="38"/>
      <c r="BPA14" s="38"/>
      <c r="BPB14" s="38"/>
      <c r="BPC14" s="38"/>
      <c r="BPD14" s="38"/>
      <c r="BPE14" s="38"/>
      <c r="BPF14" s="38"/>
      <c r="BPG14" s="38"/>
      <c r="BPH14" s="38"/>
      <c r="BPI14" s="38"/>
      <c r="BPJ14" s="38"/>
      <c r="BPK14" s="38"/>
      <c r="BPL14" s="38"/>
      <c r="BPM14" s="38"/>
      <c r="BPN14" s="38"/>
      <c r="BPO14" s="38"/>
      <c r="BPP14" s="38"/>
      <c r="BPQ14" s="38"/>
      <c r="BPR14" s="38"/>
      <c r="BPS14" s="38"/>
      <c r="BPT14" s="38"/>
      <c r="BPU14" s="38"/>
      <c r="BPV14" s="38"/>
      <c r="BPW14" s="38"/>
      <c r="BPX14" s="38"/>
      <c r="BPY14" s="38"/>
      <c r="BPZ14" s="38"/>
      <c r="BQA14" s="38"/>
      <c r="BQB14" s="38"/>
      <c r="BQC14" s="38"/>
      <c r="BQD14" s="38"/>
      <c r="BQE14" s="38"/>
      <c r="BQF14" s="38"/>
      <c r="BQG14" s="38"/>
      <c r="BQH14" s="38"/>
      <c r="BQI14" s="38"/>
      <c r="BQJ14" s="38"/>
      <c r="BQK14" s="38"/>
      <c r="BQL14" s="38"/>
      <c r="BQM14" s="38"/>
      <c r="BQN14" s="38"/>
      <c r="BQO14" s="38"/>
      <c r="BQP14" s="38"/>
      <c r="BQQ14" s="38"/>
      <c r="BQR14" s="38"/>
      <c r="BQS14" s="38"/>
      <c r="BQT14" s="38"/>
      <c r="BQU14" s="38"/>
      <c r="BQV14" s="38"/>
      <c r="BQW14" s="38"/>
      <c r="BQX14" s="38"/>
      <c r="BQY14" s="38"/>
      <c r="BQZ14" s="38"/>
      <c r="BRA14" s="38"/>
      <c r="BRB14" s="38"/>
      <c r="BRC14" s="38"/>
      <c r="BRD14" s="38"/>
      <c r="BRE14" s="38"/>
      <c r="BRF14" s="38"/>
      <c r="BRG14" s="38"/>
      <c r="BRH14" s="38"/>
      <c r="BRI14" s="38"/>
      <c r="BRJ14" s="38"/>
      <c r="BRK14" s="38"/>
      <c r="BRL14" s="38"/>
      <c r="BRM14" s="38"/>
      <c r="BRN14" s="38"/>
      <c r="BRO14" s="38"/>
      <c r="BRP14" s="38"/>
      <c r="BRQ14" s="38"/>
      <c r="BRR14" s="38"/>
      <c r="BRS14" s="38"/>
      <c r="BRT14" s="38"/>
      <c r="BRU14" s="38"/>
      <c r="BRV14" s="38"/>
      <c r="BRW14" s="38"/>
      <c r="BRX14" s="38"/>
      <c r="BRY14" s="38"/>
      <c r="BRZ14" s="38"/>
      <c r="BSA14" s="38"/>
      <c r="BSB14" s="38"/>
      <c r="BSC14" s="38"/>
      <c r="BSD14" s="38"/>
      <c r="BSE14" s="38"/>
      <c r="BSF14" s="38"/>
      <c r="BSG14" s="38"/>
      <c r="BSH14" s="38"/>
      <c r="BSI14" s="38"/>
      <c r="BSJ14" s="38"/>
      <c r="BSK14" s="38"/>
      <c r="BSL14" s="38"/>
      <c r="BSM14" s="38"/>
      <c r="BSN14" s="38"/>
      <c r="BSO14" s="38"/>
      <c r="BSP14" s="38"/>
      <c r="BSQ14" s="38"/>
      <c r="BSR14" s="38"/>
      <c r="BSS14" s="38"/>
      <c r="BST14" s="38"/>
      <c r="BSU14" s="38"/>
      <c r="BSV14" s="38"/>
      <c r="BSW14" s="38"/>
      <c r="BSX14" s="38"/>
      <c r="BSY14" s="38"/>
      <c r="BSZ14" s="38"/>
      <c r="BTA14" s="38"/>
      <c r="BTB14" s="38"/>
      <c r="BTC14" s="38"/>
      <c r="BTD14" s="38"/>
      <c r="BTE14" s="38"/>
      <c r="BTF14" s="38"/>
      <c r="BTG14" s="38"/>
      <c r="BTH14" s="38"/>
      <c r="BTI14" s="38"/>
      <c r="BTJ14" s="38"/>
      <c r="BTK14" s="38"/>
      <c r="BTL14" s="38"/>
      <c r="BTM14" s="38"/>
      <c r="BTN14" s="38"/>
      <c r="BTO14" s="38"/>
      <c r="BTP14" s="38"/>
      <c r="BTQ14" s="38"/>
      <c r="BTR14" s="38"/>
      <c r="BTS14" s="38"/>
      <c r="BTT14" s="38"/>
      <c r="BTU14" s="38"/>
      <c r="BTV14" s="38"/>
      <c r="BTW14" s="38"/>
      <c r="BTX14" s="38"/>
      <c r="BTY14" s="38"/>
      <c r="BTZ14" s="38"/>
      <c r="BUA14" s="38"/>
      <c r="BUB14" s="38"/>
      <c r="BUC14" s="38"/>
      <c r="BUD14" s="38"/>
      <c r="BUE14" s="38"/>
      <c r="BUF14" s="38"/>
      <c r="BUG14" s="38"/>
      <c r="BUH14" s="38"/>
      <c r="BUI14" s="38"/>
      <c r="BUJ14" s="38"/>
      <c r="BUK14" s="38"/>
      <c r="BUL14" s="38"/>
      <c r="BUM14" s="38"/>
      <c r="BUN14" s="38"/>
      <c r="BUO14" s="38"/>
      <c r="BUP14" s="38"/>
      <c r="BUQ14" s="38"/>
      <c r="BUR14" s="38"/>
      <c r="BUS14" s="38"/>
      <c r="BUT14" s="38"/>
      <c r="BUU14" s="38"/>
      <c r="BUV14" s="38"/>
      <c r="BUW14" s="38"/>
      <c r="BUX14" s="38"/>
      <c r="BUY14" s="38"/>
      <c r="BUZ14" s="38"/>
      <c r="BVA14" s="38"/>
      <c r="BVB14" s="38"/>
      <c r="BVC14" s="38"/>
      <c r="BVD14" s="38"/>
      <c r="BVE14" s="38"/>
      <c r="BVF14" s="38"/>
      <c r="BVG14" s="38"/>
      <c r="BVH14" s="38"/>
      <c r="BVI14" s="38"/>
      <c r="BVJ14" s="38"/>
      <c r="BVK14" s="38"/>
      <c r="BVL14" s="38"/>
      <c r="BVM14" s="38"/>
      <c r="BVN14" s="38"/>
      <c r="BVO14" s="38"/>
      <c r="BVP14" s="38"/>
      <c r="BVQ14" s="38"/>
      <c r="BVR14" s="38"/>
      <c r="BVS14" s="38"/>
      <c r="BVT14" s="38"/>
      <c r="BVU14" s="38"/>
      <c r="BVV14" s="38"/>
      <c r="BVW14" s="38"/>
      <c r="BVX14" s="38"/>
      <c r="BVY14" s="38"/>
      <c r="BVZ14" s="38"/>
      <c r="BWA14" s="38"/>
      <c r="BWB14" s="38"/>
      <c r="BWC14" s="38"/>
      <c r="BWD14" s="38"/>
      <c r="BWE14" s="38"/>
      <c r="BWF14" s="38"/>
      <c r="BWG14" s="38"/>
      <c r="BWH14" s="38"/>
      <c r="BWI14" s="38"/>
      <c r="BWJ14" s="38"/>
      <c r="BWK14" s="38"/>
      <c r="BWL14" s="38"/>
      <c r="BWM14" s="38"/>
      <c r="BWN14" s="38"/>
      <c r="BWO14" s="38"/>
      <c r="BWP14" s="38"/>
      <c r="BWQ14" s="38"/>
      <c r="BWR14" s="38"/>
      <c r="BWS14" s="38"/>
      <c r="BWT14" s="38"/>
      <c r="BWU14" s="38"/>
      <c r="BWV14" s="38"/>
      <c r="BWW14" s="38"/>
      <c r="BWX14" s="38"/>
      <c r="BWY14" s="38"/>
      <c r="BWZ14" s="38"/>
      <c r="BXA14" s="38"/>
      <c r="BXB14" s="38"/>
      <c r="BXC14" s="38"/>
      <c r="BXD14" s="38"/>
      <c r="BXE14" s="38"/>
      <c r="BXF14" s="38"/>
      <c r="BXG14" s="38"/>
      <c r="BXH14" s="38"/>
      <c r="BXI14" s="38"/>
      <c r="BXJ14" s="38"/>
      <c r="BXK14" s="38"/>
      <c r="BXL14" s="38"/>
      <c r="BXM14" s="38"/>
      <c r="BXN14" s="38"/>
      <c r="BXO14" s="38"/>
      <c r="BXP14" s="38"/>
      <c r="BXQ14" s="38"/>
      <c r="BXR14" s="38"/>
      <c r="BXS14" s="38"/>
      <c r="BXT14" s="38"/>
      <c r="BXU14" s="38"/>
      <c r="BXV14" s="38"/>
      <c r="BXW14" s="38"/>
      <c r="BXX14" s="38"/>
      <c r="BXY14" s="38"/>
      <c r="BXZ14" s="38"/>
      <c r="BYA14" s="38"/>
      <c r="BYB14" s="38"/>
      <c r="BYC14" s="38"/>
      <c r="BYD14" s="38"/>
      <c r="BYE14" s="38"/>
      <c r="BYF14" s="38"/>
      <c r="BYG14" s="38"/>
      <c r="BYH14" s="38"/>
      <c r="BYI14" s="38"/>
      <c r="BYJ14" s="38"/>
      <c r="BYK14" s="38"/>
      <c r="BYL14" s="38"/>
      <c r="BYM14" s="38"/>
      <c r="BYN14" s="38"/>
      <c r="BYO14" s="38"/>
      <c r="BYP14" s="38"/>
      <c r="BYQ14" s="38"/>
      <c r="BYR14" s="38"/>
      <c r="BYS14" s="38"/>
      <c r="BYT14" s="38"/>
      <c r="BYU14" s="38"/>
      <c r="BYV14" s="38"/>
      <c r="BYW14" s="38"/>
      <c r="BYX14" s="38"/>
      <c r="BYY14" s="38"/>
      <c r="BYZ14" s="38"/>
      <c r="BZA14" s="38"/>
      <c r="BZB14" s="38"/>
      <c r="BZC14" s="38"/>
      <c r="BZD14" s="38"/>
      <c r="BZE14" s="38"/>
      <c r="BZF14" s="38"/>
      <c r="BZG14" s="38"/>
      <c r="BZH14" s="38"/>
      <c r="BZI14" s="38"/>
      <c r="BZJ14" s="38"/>
      <c r="BZK14" s="38"/>
      <c r="BZL14" s="38"/>
      <c r="BZM14" s="38"/>
      <c r="BZN14" s="38"/>
      <c r="BZO14" s="38"/>
      <c r="BZP14" s="38"/>
      <c r="BZQ14" s="38"/>
      <c r="BZR14" s="38"/>
      <c r="BZS14" s="38"/>
      <c r="BZT14" s="38"/>
      <c r="BZU14" s="38"/>
      <c r="BZV14" s="38"/>
      <c r="BZW14" s="38"/>
      <c r="BZX14" s="38"/>
      <c r="BZY14" s="38"/>
      <c r="BZZ14" s="38"/>
      <c r="CAA14" s="38"/>
      <c r="CAB14" s="38"/>
      <c r="CAC14" s="38"/>
      <c r="CAD14" s="38"/>
      <c r="CAE14" s="38"/>
      <c r="CAF14" s="38"/>
      <c r="CAG14" s="38"/>
      <c r="CAH14" s="38"/>
      <c r="CAI14" s="38"/>
      <c r="CAJ14" s="38"/>
      <c r="CAK14" s="38"/>
      <c r="CAL14" s="38"/>
      <c r="CAM14" s="38"/>
      <c r="CAN14" s="38"/>
      <c r="CAO14" s="38"/>
      <c r="CAP14" s="38"/>
      <c r="CAQ14" s="38"/>
      <c r="CAR14" s="38"/>
      <c r="CAS14" s="38"/>
      <c r="CAT14" s="38"/>
      <c r="CAU14" s="38"/>
      <c r="CAV14" s="38"/>
      <c r="CAW14" s="38"/>
      <c r="CAX14" s="38"/>
      <c r="CAY14" s="38"/>
      <c r="CAZ14" s="38"/>
      <c r="CBA14" s="38"/>
      <c r="CBB14" s="38"/>
      <c r="CBC14" s="38"/>
      <c r="CBD14" s="38"/>
      <c r="CBE14" s="38"/>
      <c r="CBF14" s="38"/>
      <c r="CBG14" s="38"/>
      <c r="CBH14" s="38"/>
      <c r="CBI14" s="38"/>
      <c r="CBJ14" s="38"/>
      <c r="CBK14" s="38"/>
      <c r="CBL14" s="38"/>
      <c r="CBM14" s="38"/>
      <c r="CBN14" s="38"/>
      <c r="CBO14" s="38"/>
      <c r="CBP14" s="38"/>
      <c r="CBQ14" s="38"/>
      <c r="CBR14" s="38"/>
      <c r="CBS14" s="38"/>
      <c r="CBT14" s="38"/>
      <c r="CBU14" s="38"/>
      <c r="CBV14" s="38"/>
      <c r="CBW14" s="38"/>
      <c r="CBX14" s="38"/>
      <c r="CBY14" s="38"/>
      <c r="CBZ14" s="38"/>
      <c r="CCA14" s="38"/>
      <c r="CCB14" s="38"/>
      <c r="CCC14" s="38"/>
      <c r="CCD14" s="38"/>
      <c r="CCE14" s="38"/>
      <c r="CCF14" s="38"/>
      <c r="CCG14" s="38"/>
      <c r="CCH14" s="38"/>
      <c r="CCI14" s="38"/>
      <c r="CCJ14" s="38"/>
      <c r="CCK14" s="38"/>
      <c r="CCL14" s="38"/>
      <c r="CCM14" s="38"/>
      <c r="CCN14" s="38"/>
      <c r="CCO14" s="38"/>
      <c r="CCP14" s="38"/>
      <c r="CCQ14" s="38"/>
      <c r="CCR14" s="38"/>
      <c r="CCS14" s="38"/>
      <c r="CCT14" s="38"/>
      <c r="CCU14" s="38"/>
      <c r="CCV14" s="38"/>
      <c r="CCW14" s="38"/>
      <c r="CCX14" s="38"/>
      <c r="CCY14" s="38"/>
      <c r="CCZ14" s="38"/>
      <c r="CDA14" s="38"/>
      <c r="CDB14" s="38"/>
      <c r="CDC14" s="38"/>
      <c r="CDD14" s="38"/>
      <c r="CDE14" s="38"/>
      <c r="CDF14" s="38"/>
      <c r="CDG14" s="38"/>
      <c r="CDH14" s="38"/>
      <c r="CDI14" s="38"/>
      <c r="CDJ14" s="38"/>
      <c r="CDK14" s="38"/>
      <c r="CDL14" s="38"/>
      <c r="CDM14" s="38"/>
      <c r="CDN14" s="38"/>
      <c r="CDO14" s="38"/>
      <c r="CDP14" s="38"/>
      <c r="CDQ14" s="38"/>
      <c r="CDR14" s="38"/>
      <c r="CDS14" s="38"/>
      <c r="CDT14" s="38"/>
      <c r="CDU14" s="38"/>
      <c r="CDV14" s="38"/>
      <c r="CDW14" s="38"/>
      <c r="CDX14" s="38"/>
      <c r="CDY14" s="38"/>
      <c r="CDZ14" s="38"/>
      <c r="CEA14" s="38"/>
      <c r="CEB14" s="38"/>
      <c r="CEC14" s="38"/>
      <c r="CED14" s="38"/>
      <c r="CEE14" s="38"/>
      <c r="CEF14" s="38"/>
      <c r="CEG14" s="38"/>
      <c r="CEH14" s="38"/>
      <c r="CEI14" s="38"/>
      <c r="CEJ14" s="38"/>
      <c r="CEK14" s="38"/>
      <c r="CEL14" s="38"/>
      <c r="CEM14" s="38"/>
      <c r="CEN14" s="38"/>
      <c r="CEO14" s="38"/>
      <c r="CEP14" s="38"/>
      <c r="CEQ14" s="38"/>
      <c r="CER14" s="38"/>
      <c r="CES14" s="38"/>
      <c r="CET14" s="38"/>
      <c r="CEU14" s="38"/>
      <c r="CEV14" s="38"/>
      <c r="CEW14" s="38"/>
      <c r="CEX14" s="38"/>
      <c r="CEY14" s="38"/>
      <c r="CEZ14" s="38"/>
      <c r="CFA14" s="38"/>
      <c r="CFB14" s="38"/>
      <c r="CFC14" s="38"/>
      <c r="CFD14" s="38"/>
      <c r="CFE14" s="38"/>
      <c r="CFF14" s="38"/>
      <c r="CFG14" s="38"/>
      <c r="CFH14" s="38"/>
      <c r="CFI14" s="38"/>
      <c r="CFJ14" s="38"/>
      <c r="CFK14" s="38"/>
      <c r="CFL14" s="38"/>
      <c r="CFM14" s="38"/>
      <c r="CFN14" s="38"/>
      <c r="CFO14" s="38"/>
      <c r="CFP14" s="38"/>
      <c r="CFQ14" s="38"/>
      <c r="CFR14" s="38"/>
      <c r="CFS14" s="38"/>
      <c r="CFT14" s="38"/>
      <c r="CFU14" s="38"/>
      <c r="CFV14" s="38"/>
      <c r="CFW14" s="38"/>
      <c r="CFX14" s="38"/>
      <c r="CFY14" s="38"/>
      <c r="CFZ14" s="38"/>
      <c r="CGA14" s="38"/>
      <c r="CGB14" s="38"/>
      <c r="CGC14" s="38"/>
      <c r="CGD14" s="38"/>
      <c r="CGE14" s="38"/>
      <c r="CGF14" s="38"/>
      <c r="CGG14" s="38"/>
      <c r="CGH14" s="38"/>
      <c r="CGI14" s="38"/>
      <c r="CGJ14" s="38"/>
      <c r="CGK14" s="38"/>
      <c r="CGL14" s="38"/>
      <c r="CGM14" s="38"/>
      <c r="CGN14" s="38"/>
      <c r="CGO14" s="38"/>
      <c r="CGP14" s="38"/>
      <c r="CGQ14" s="38"/>
      <c r="CGR14" s="38"/>
      <c r="CGS14" s="38"/>
      <c r="CGT14" s="38"/>
      <c r="CGU14" s="38"/>
      <c r="CGV14" s="38"/>
      <c r="CGW14" s="38"/>
      <c r="CGX14" s="38"/>
      <c r="CGY14" s="38"/>
      <c r="CGZ14" s="38"/>
      <c r="CHA14" s="38"/>
      <c r="CHB14" s="38"/>
      <c r="CHC14" s="38"/>
      <c r="CHD14" s="38"/>
      <c r="CHE14" s="38"/>
      <c r="CHF14" s="38"/>
      <c r="CHG14" s="38"/>
      <c r="CHH14" s="38"/>
      <c r="CHI14" s="38"/>
      <c r="CHJ14" s="38"/>
      <c r="CHK14" s="38"/>
      <c r="CHL14" s="38"/>
      <c r="CHM14" s="38"/>
      <c r="CHN14" s="38"/>
      <c r="CHO14" s="38"/>
      <c r="CHP14" s="38"/>
      <c r="CHQ14" s="38"/>
      <c r="CHR14" s="38"/>
      <c r="CHS14" s="38"/>
      <c r="CHT14" s="38"/>
      <c r="CHU14" s="38"/>
      <c r="CHV14" s="38"/>
      <c r="CHW14" s="38"/>
      <c r="CHX14" s="38"/>
      <c r="CHY14" s="38"/>
      <c r="CHZ14" s="38"/>
      <c r="CIA14" s="38"/>
      <c r="CIB14" s="38"/>
      <c r="CIC14" s="38"/>
      <c r="CID14" s="38"/>
      <c r="CIE14" s="38"/>
      <c r="CIF14" s="38"/>
      <c r="CIG14" s="38"/>
      <c r="CIH14" s="38"/>
      <c r="CII14" s="38"/>
      <c r="CIJ14" s="38"/>
      <c r="CIK14" s="38"/>
      <c r="CIL14" s="38"/>
      <c r="CIM14" s="38"/>
      <c r="CIN14" s="38"/>
      <c r="CIO14" s="38"/>
      <c r="CIP14" s="38"/>
      <c r="CIQ14" s="38"/>
      <c r="CIR14" s="38"/>
      <c r="CIS14" s="38"/>
      <c r="CIT14" s="38"/>
      <c r="CIU14" s="38"/>
      <c r="CIV14" s="38"/>
      <c r="CIW14" s="38"/>
      <c r="CIX14" s="38"/>
      <c r="CIY14" s="38"/>
      <c r="CIZ14" s="38"/>
      <c r="CJA14" s="38"/>
      <c r="CJB14" s="38"/>
      <c r="CJC14" s="38"/>
      <c r="CJD14" s="38"/>
      <c r="CJE14" s="38"/>
      <c r="CJF14" s="38"/>
      <c r="CJG14" s="38"/>
      <c r="CJH14" s="38"/>
      <c r="CJI14" s="38"/>
      <c r="CJJ14" s="38"/>
      <c r="CJK14" s="38"/>
      <c r="CJL14" s="38"/>
      <c r="CJM14" s="38"/>
      <c r="CJN14" s="38"/>
      <c r="CJO14" s="38"/>
      <c r="CJP14" s="38"/>
      <c r="CJQ14" s="38"/>
      <c r="CJR14" s="38"/>
      <c r="CJS14" s="38"/>
      <c r="CJT14" s="38"/>
      <c r="CJU14" s="38"/>
      <c r="CJV14" s="38"/>
      <c r="CJW14" s="38"/>
      <c r="CJX14" s="38"/>
      <c r="CJY14" s="38"/>
      <c r="CJZ14" s="38"/>
      <c r="CKA14" s="38"/>
      <c r="CKB14" s="38"/>
      <c r="CKC14" s="38"/>
      <c r="CKD14" s="38"/>
      <c r="CKE14" s="38"/>
      <c r="CKF14" s="38"/>
      <c r="CKG14" s="38"/>
      <c r="CKH14" s="38"/>
      <c r="CKI14" s="38"/>
      <c r="CKJ14" s="38"/>
      <c r="CKK14" s="38"/>
      <c r="CKL14" s="38"/>
      <c r="CKM14" s="38"/>
      <c r="CKN14" s="38"/>
      <c r="CKO14" s="38"/>
      <c r="CKP14" s="38"/>
      <c r="CKQ14" s="38"/>
      <c r="CKR14" s="38"/>
      <c r="CKS14" s="38"/>
      <c r="CKT14" s="38"/>
      <c r="CKU14" s="38"/>
      <c r="CKV14" s="38"/>
      <c r="CKW14" s="38"/>
      <c r="CKX14" s="38"/>
      <c r="CKY14" s="38"/>
      <c r="CKZ14" s="38"/>
      <c r="CLA14" s="38"/>
      <c r="CLB14" s="38"/>
      <c r="CLC14" s="38"/>
      <c r="CLD14" s="38"/>
      <c r="CLE14" s="38"/>
      <c r="CLF14" s="38"/>
      <c r="CLG14" s="38"/>
      <c r="CLH14" s="38"/>
      <c r="CLI14" s="38"/>
      <c r="CLJ14" s="38"/>
      <c r="CLK14" s="38"/>
      <c r="CLL14" s="38"/>
      <c r="CLM14" s="38"/>
      <c r="CLN14" s="38"/>
      <c r="CLO14" s="38"/>
      <c r="CLP14" s="38"/>
      <c r="CLQ14" s="38"/>
      <c r="CLR14" s="38"/>
      <c r="CLS14" s="38"/>
      <c r="CLT14" s="38"/>
      <c r="CLU14" s="38"/>
      <c r="CLV14" s="38"/>
      <c r="CLW14" s="38"/>
      <c r="CLX14" s="38"/>
      <c r="CLY14" s="38"/>
      <c r="CLZ14" s="38"/>
      <c r="CMA14" s="38"/>
      <c r="CMB14" s="38"/>
      <c r="CMC14" s="38"/>
      <c r="CMD14" s="38"/>
      <c r="CME14" s="38"/>
      <c r="CMF14" s="38"/>
      <c r="CMG14" s="38"/>
      <c r="CMH14" s="38"/>
      <c r="CMI14" s="38"/>
      <c r="CMJ14" s="38"/>
      <c r="CMK14" s="38"/>
      <c r="CML14" s="38"/>
      <c r="CMM14" s="38"/>
      <c r="CMN14" s="38"/>
      <c r="CMO14" s="38"/>
      <c r="CMP14" s="38"/>
      <c r="CMQ14" s="38"/>
      <c r="CMR14" s="38"/>
      <c r="CMS14" s="38"/>
      <c r="CMT14" s="38"/>
      <c r="CMU14" s="38"/>
      <c r="CMV14" s="38"/>
      <c r="CMW14" s="38"/>
      <c r="CMX14" s="38"/>
      <c r="CMY14" s="38"/>
      <c r="CMZ14" s="38"/>
      <c r="CNA14" s="38"/>
      <c r="CNB14" s="38"/>
      <c r="CNC14" s="38"/>
      <c r="CND14" s="38"/>
      <c r="CNE14" s="38"/>
      <c r="CNF14" s="38"/>
      <c r="CNG14" s="38"/>
      <c r="CNH14" s="38"/>
      <c r="CNI14" s="38"/>
      <c r="CNJ14" s="38"/>
      <c r="CNK14" s="38"/>
      <c r="CNL14" s="38"/>
      <c r="CNM14" s="38"/>
      <c r="CNN14" s="38"/>
      <c r="CNO14" s="38"/>
      <c r="CNP14" s="38"/>
      <c r="CNQ14" s="38"/>
      <c r="CNR14" s="38"/>
      <c r="CNS14" s="38"/>
      <c r="CNT14" s="38"/>
      <c r="CNU14" s="38"/>
      <c r="CNV14" s="38"/>
      <c r="CNW14" s="38"/>
      <c r="CNX14" s="38"/>
      <c r="CNY14" s="38"/>
      <c r="CNZ14" s="38"/>
      <c r="COA14" s="38"/>
      <c r="COB14" s="38"/>
      <c r="COC14" s="38"/>
      <c r="COD14" s="38"/>
      <c r="COE14" s="38"/>
      <c r="COF14" s="38"/>
      <c r="COG14" s="38"/>
      <c r="COH14" s="38"/>
      <c r="COI14" s="38"/>
      <c r="COJ14" s="38"/>
      <c r="COK14" s="38"/>
      <c r="COL14" s="38"/>
      <c r="COM14" s="38"/>
      <c r="CON14" s="38"/>
      <c r="COO14" s="38"/>
      <c r="COP14" s="38"/>
      <c r="COQ14" s="38"/>
      <c r="COR14" s="38"/>
      <c r="COS14" s="38"/>
      <c r="COT14" s="38"/>
      <c r="COU14" s="38"/>
      <c r="COV14" s="38"/>
      <c r="COW14" s="38"/>
      <c r="COX14" s="38"/>
      <c r="COY14" s="38"/>
      <c r="COZ14" s="38"/>
      <c r="CPA14" s="38"/>
      <c r="CPB14" s="38"/>
      <c r="CPC14" s="38"/>
      <c r="CPD14" s="38"/>
      <c r="CPE14" s="38"/>
      <c r="CPF14" s="38"/>
      <c r="CPG14" s="38"/>
      <c r="CPH14" s="38"/>
      <c r="CPI14" s="38"/>
      <c r="CPJ14" s="38"/>
      <c r="CPK14" s="38"/>
      <c r="CPL14" s="38"/>
      <c r="CPM14" s="38"/>
      <c r="CPN14" s="38"/>
      <c r="CPO14" s="38"/>
      <c r="CPP14" s="38"/>
      <c r="CPQ14" s="38"/>
      <c r="CPR14" s="38"/>
      <c r="CPS14" s="38"/>
      <c r="CPT14" s="38"/>
      <c r="CPU14" s="38"/>
      <c r="CPV14" s="38"/>
      <c r="CPW14" s="38"/>
      <c r="CPX14" s="38"/>
      <c r="CPY14" s="38"/>
      <c r="CPZ14" s="38"/>
      <c r="CQA14" s="38"/>
      <c r="CQB14" s="38"/>
      <c r="CQC14" s="38"/>
      <c r="CQD14" s="38"/>
      <c r="CQE14" s="38"/>
      <c r="CQF14" s="38"/>
      <c r="CQG14" s="38"/>
      <c r="CQH14" s="38"/>
      <c r="CQI14" s="38"/>
      <c r="CQJ14" s="38"/>
      <c r="CQK14" s="38"/>
      <c r="CQL14" s="38"/>
      <c r="CQM14" s="38"/>
      <c r="CQN14" s="38"/>
      <c r="CQO14" s="38"/>
      <c r="CQP14" s="38"/>
      <c r="CQQ14" s="38"/>
      <c r="CQR14" s="38"/>
      <c r="CQS14" s="38"/>
      <c r="CQT14" s="38"/>
      <c r="CQU14" s="38"/>
      <c r="CQV14" s="38"/>
      <c r="CQW14" s="38"/>
      <c r="CQX14" s="38"/>
      <c r="CQY14" s="38"/>
      <c r="CQZ14" s="38"/>
      <c r="CRA14" s="38"/>
      <c r="CRB14" s="38"/>
      <c r="CRC14" s="38"/>
      <c r="CRD14" s="38"/>
      <c r="CRE14" s="38"/>
      <c r="CRF14" s="38"/>
      <c r="CRG14" s="38"/>
      <c r="CRH14" s="38"/>
      <c r="CRI14" s="38"/>
      <c r="CRJ14" s="38"/>
      <c r="CRK14" s="38"/>
      <c r="CRL14" s="38"/>
      <c r="CRM14" s="38"/>
      <c r="CRN14" s="38"/>
      <c r="CRO14" s="38"/>
      <c r="CRP14" s="38"/>
      <c r="CRQ14" s="38"/>
      <c r="CRR14" s="38"/>
      <c r="CRS14" s="38"/>
      <c r="CRT14" s="38"/>
      <c r="CRU14" s="38"/>
      <c r="CRV14" s="38"/>
      <c r="CRW14" s="38"/>
      <c r="CRX14" s="38"/>
      <c r="CRY14" s="38"/>
      <c r="CRZ14" s="38"/>
      <c r="CSA14" s="38"/>
      <c r="CSB14" s="38"/>
      <c r="CSC14" s="38"/>
      <c r="CSD14" s="38"/>
      <c r="CSE14" s="38"/>
      <c r="CSF14" s="38"/>
      <c r="CSG14" s="38"/>
      <c r="CSH14" s="38"/>
      <c r="CSI14" s="38"/>
      <c r="CSJ14" s="38"/>
      <c r="CSK14" s="38"/>
      <c r="CSL14" s="38"/>
      <c r="CSM14" s="38"/>
      <c r="CSN14" s="38"/>
      <c r="CSO14" s="38"/>
      <c r="CSP14" s="38"/>
      <c r="CSQ14" s="38"/>
      <c r="CSR14" s="38"/>
      <c r="CSS14" s="38"/>
      <c r="CST14" s="38"/>
      <c r="CSU14" s="38"/>
      <c r="CSV14" s="38"/>
      <c r="CSW14" s="38"/>
      <c r="CSX14" s="38"/>
      <c r="CSY14" s="38"/>
      <c r="CSZ14" s="38"/>
      <c r="CTA14" s="38"/>
      <c r="CTB14" s="38"/>
      <c r="CTC14" s="38"/>
      <c r="CTD14" s="38"/>
      <c r="CTE14" s="38"/>
      <c r="CTF14" s="38"/>
      <c r="CTG14" s="38"/>
      <c r="CTH14" s="38"/>
      <c r="CTI14" s="38"/>
      <c r="CTJ14" s="38"/>
      <c r="CTK14" s="38"/>
      <c r="CTL14" s="38"/>
      <c r="CTM14" s="38"/>
      <c r="CTN14" s="38"/>
      <c r="CTO14" s="38"/>
      <c r="CTP14" s="38"/>
      <c r="CTQ14" s="38"/>
      <c r="CTR14" s="38"/>
      <c r="CTS14" s="38"/>
      <c r="CTT14" s="38"/>
      <c r="CTU14" s="38"/>
      <c r="CTV14" s="38"/>
      <c r="CTW14" s="38"/>
      <c r="CTX14" s="38"/>
      <c r="CTY14" s="38"/>
      <c r="CTZ14" s="38"/>
      <c r="CUA14" s="38"/>
      <c r="CUB14" s="38"/>
      <c r="CUC14" s="38"/>
      <c r="CUD14" s="38"/>
      <c r="CUE14" s="38"/>
      <c r="CUF14" s="38"/>
      <c r="CUG14" s="38"/>
      <c r="CUH14" s="38"/>
      <c r="CUI14" s="38"/>
      <c r="CUJ14" s="38"/>
      <c r="CUK14" s="38"/>
      <c r="CUL14" s="38"/>
      <c r="CUM14" s="38"/>
      <c r="CUN14" s="38"/>
      <c r="CUO14" s="38"/>
      <c r="CUP14" s="38"/>
      <c r="CUQ14" s="38"/>
      <c r="CUR14" s="38"/>
      <c r="CUS14" s="38"/>
      <c r="CUT14" s="38"/>
      <c r="CUU14" s="38"/>
      <c r="CUV14" s="38"/>
      <c r="CUW14" s="38"/>
      <c r="CUX14" s="38"/>
      <c r="CUY14" s="38"/>
      <c r="CUZ14" s="38"/>
      <c r="CVA14" s="38"/>
      <c r="CVB14" s="38"/>
      <c r="CVC14" s="38"/>
      <c r="CVD14" s="38"/>
      <c r="CVE14" s="38"/>
      <c r="CVF14" s="38"/>
      <c r="CVG14" s="38"/>
      <c r="CVH14" s="38"/>
      <c r="CVI14" s="38"/>
      <c r="CVJ14" s="38"/>
      <c r="CVK14" s="38"/>
      <c r="CVL14" s="38"/>
      <c r="CVM14" s="38"/>
      <c r="CVN14" s="38"/>
      <c r="CVO14" s="38"/>
      <c r="CVP14" s="38"/>
      <c r="CVQ14" s="38"/>
      <c r="CVR14" s="38"/>
      <c r="CVS14" s="38"/>
      <c r="CVT14" s="38"/>
      <c r="CVU14" s="38"/>
      <c r="CVV14" s="38"/>
      <c r="CVW14" s="38"/>
      <c r="CVX14" s="38"/>
      <c r="CVY14" s="38"/>
      <c r="CVZ14" s="38"/>
      <c r="CWA14" s="38"/>
      <c r="CWB14" s="38"/>
      <c r="CWC14" s="38"/>
      <c r="CWD14" s="38"/>
      <c r="CWE14" s="38"/>
      <c r="CWF14" s="38"/>
      <c r="CWG14" s="38"/>
      <c r="CWH14" s="38"/>
      <c r="CWI14" s="38"/>
      <c r="CWJ14" s="38"/>
      <c r="CWK14" s="38"/>
      <c r="CWL14" s="38"/>
      <c r="CWM14" s="38"/>
      <c r="CWN14" s="38"/>
      <c r="CWO14" s="38"/>
      <c r="CWP14" s="38"/>
      <c r="CWQ14" s="38"/>
      <c r="CWR14" s="38"/>
      <c r="CWS14" s="38"/>
      <c r="CWT14" s="38"/>
      <c r="CWU14" s="38"/>
      <c r="CWV14" s="38"/>
      <c r="CWW14" s="38"/>
      <c r="CWX14" s="38"/>
      <c r="CWY14" s="38"/>
      <c r="CWZ14" s="38"/>
      <c r="CXA14" s="38"/>
      <c r="CXB14" s="38"/>
      <c r="CXC14" s="38"/>
      <c r="CXD14" s="38"/>
      <c r="CXE14" s="38"/>
      <c r="CXF14" s="38"/>
      <c r="CXG14" s="38"/>
      <c r="CXH14" s="38"/>
      <c r="CXI14" s="38"/>
      <c r="CXJ14" s="38"/>
      <c r="CXK14" s="38"/>
      <c r="CXL14" s="38"/>
      <c r="CXM14" s="38"/>
      <c r="CXN14" s="38"/>
      <c r="CXO14" s="38"/>
      <c r="CXP14" s="38"/>
      <c r="CXQ14" s="38"/>
      <c r="CXR14" s="38"/>
      <c r="CXS14" s="38"/>
      <c r="CXT14" s="38"/>
      <c r="CXU14" s="38"/>
      <c r="CXV14" s="38"/>
      <c r="CXW14" s="38"/>
      <c r="CXX14" s="38"/>
      <c r="CXY14" s="38"/>
      <c r="CXZ14" s="38"/>
      <c r="CYA14" s="38"/>
      <c r="CYB14" s="38"/>
      <c r="CYC14" s="38"/>
      <c r="CYD14" s="38"/>
      <c r="CYE14" s="38"/>
      <c r="CYF14" s="38"/>
      <c r="CYG14" s="38"/>
      <c r="CYH14" s="38"/>
      <c r="CYI14" s="38"/>
      <c r="CYJ14" s="38"/>
      <c r="CYK14" s="38"/>
      <c r="CYL14" s="38"/>
      <c r="CYM14" s="38"/>
      <c r="CYN14" s="38"/>
      <c r="CYO14" s="38"/>
      <c r="CYP14" s="38"/>
      <c r="CYQ14" s="38"/>
      <c r="CYR14" s="38"/>
      <c r="CYS14" s="38"/>
      <c r="CYT14" s="38"/>
      <c r="CYU14" s="38"/>
      <c r="CYV14" s="38"/>
      <c r="CYW14" s="38"/>
      <c r="CYX14" s="38"/>
      <c r="CYY14" s="38"/>
      <c r="CYZ14" s="38"/>
      <c r="CZA14" s="38"/>
      <c r="CZB14" s="38"/>
      <c r="CZC14" s="38"/>
      <c r="CZD14" s="38"/>
      <c r="CZE14" s="38"/>
      <c r="CZF14" s="38"/>
      <c r="CZG14" s="38"/>
      <c r="CZH14" s="38"/>
      <c r="CZI14" s="38"/>
      <c r="CZJ14" s="38"/>
      <c r="CZK14" s="38"/>
      <c r="CZL14" s="38"/>
      <c r="CZM14" s="38"/>
      <c r="CZN14" s="38"/>
      <c r="CZO14" s="38"/>
      <c r="CZP14" s="38"/>
      <c r="CZQ14" s="38"/>
      <c r="CZR14" s="38"/>
      <c r="CZS14" s="38"/>
      <c r="CZT14" s="38"/>
      <c r="CZU14" s="38"/>
      <c r="CZV14" s="38"/>
      <c r="CZW14" s="38"/>
      <c r="CZX14" s="38"/>
      <c r="CZY14" s="38"/>
      <c r="CZZ14" s="38"/>
      <c r="DAA14" s="38"/>
      <c r="DAB14" s="38"/>
      <c r="DAC14" s="38"/>
      <c r="DAD14" s="38"/>
      <c r="DAE14" s="38"/>
      <c r="DAF14" s="38"/>
      <c r="DAG14" s="38"/>
      <c r="DAH14" s="38"/>
      <c r="DAI14" s="38"/>
      <c r="DAJ14" s="38"/>
      <c r="DAK14" s="38"/>
      <c r="DAL14" s="38"/>
      <c r="DAM14" s="38"/>
      <c r="DAN14" s="38"/>
      <c r="DAO14" s="38"/>
      <c r="DAP14" s="38"/>
      <c r="DAQ14" s="38"/>
      <c r="DAR14" s="38"/>
      <c r="DAS14" s="38"/>
      <c r="DAT14" s="38"/>
      <c r="DAU14" s="38"/>
      <c r="DAV14" s="38"/>
      <c r="DAW14" s="38"/>
      <c r="DAX14" s="38"/>
      <c r="DAY14" s="38"/>
      <c r="DAZ14" s="38"/>
      <c r="DBA14" s="38"/>
      <c r="DBB14" s="38"/>
      <c r="DBC14" s="38"/>
      <c r="DBD14" s="38"/>
      <c r="DBE14" s="38"/>
      <c r="DBF14" s="38"/>
      <c r="DBG14" s="38"/>
      <c r="DBH14" s="38"/>
      <c r="DBI14" s="38"/>
      <c r="DBJ14" s="38"/>
      <c r="DBK14" s="38"/>
      <c r="DBL14" s="38"/>
      <c r="DBM14" s="38"/>
      <c r="DBN14" s="38"/>
      <c r="DBO14" s="38"/>
      <c r="DBP14" s="38"/>
      <c r="DBQ14" s="38"/>
      <c r="DBR14" s="38"/>
      <c r="DBS14" s="38"/>
      <c r="DBT14" s="38"/>
      <c r="DBU14" s="38"/>
      <c r="DBV14" s="38"/>
      <c r="DBW14" s="38"/>
      <c r="DBX14" s="38"/>
      <c r="DBY14" s="38"/>
      <c r="DBZ14" s="38"/>
      <c r="DCA14" s="38"/>
      <c r="DCB14" s="38"/>
      <c r="DCC14" s="38"/>
      <c r="DCD14" s="38"/>
      <c r="DCE14" s="38"/>
      <c r="DCF14" s="38"/>
      <c r="DCG14" s="38"/>
      <c r="DCH14" s="38"/>
      <c r="DCI14" s="38"/>
      <c r="DCJ14" s="38"/>
      <c r="DCK14" s="38"/>
      <c r="DCL14" s="38"/>
      <c r="DCM14" s="38"/>
      <c r="DCN14" s="38"/>
      <c r="DCO14" s="38"/>
      <c r="DCP14" s="38"/>
      <c r="DCQ14" s="38"/>
      <c r="DCR14" s="38"/>
      <c r="DCS14" s="38"/>
      <c r="DCT14" s="38"/>
      <c r="DCU14" s="38"/>
      <c r="DCV14" s="38"/>
      <c r="DCW14" s="38"/>
      <c r="DCX14" s="38"/>
      <c r="DCY14" s="38"/>
      <c r="DCZ14" s="38"/>
      <c r="DDA14" s="38"/>
      <c r="DDB14" s="38"/>
      <c r="DDC14" s="38"/>
      <c r="DDD14" s="38"/>
      <c r="DDE14" s="38"/>
      <c r="DDF14" s="38"/>
      <c r="DDG14" s="38"/>
      <c r="DDH14" s="38"/>
      <c r="DDI14" s="38"/>
      <c r="DDJ14" s="38"/>
      <c r="DDK14" s="38"/>
      <c r="DDL14" s="38"/>
      <c r="DDM14" s="38"/>
      <c r="DDN14" s="38"/>
      <c r="DDO14" s="38"/>
      <c r="DDP14" s="38"/>
      <c r="DDQ14" s="38"/>
      <c r="DDR14" s="38"/>
      <c r="DDS14" s="38"/>
      <c r="DDT14" s="38"/>
      <c r="DDU14" s="38"/>
      <c r="DDV14" s="38"/>
      <c r="DDW14" s="38"/>
      <c r="DDX14" s="38"/>
      <c r="DDY14" s="38"/>
      <c r="DDZ14" s="38"/>
      <c r="DEA14" s="38"/>
      <c r="DEB14" s="38"/>
      <c r="DEC14" s="38"/>
      <c r="DED14" s="38"/>
      <c r="DEE14" s="38"/>
      <c r="DEF14" s="38"/>
      <c r="DEG14" s="38"/>
      <c r="DEH14" s="38"/>
      <c r="DEI14" s="38"/>
      <c r="DEJ14" s="38"/>
      <c r="DEK14" s="38"/>
      <c r="DEL14" s="38"/>
      <c r="DEM14" s="38"/>
      <c r="DEN14" s="38"/>
      <c r="DEO14" s="38"/>
      <c r="DEP14" s="38"/>
      <c r="DEQ14" s="38"/>
      <c r="DER14" s="38"/>
      <c r="DES14" s="38"/>
      <c r="DET14" s="38"/>
      <c r="DEU14" s="38"/>
      <c r="DEV14" s="38"/>
      <c r="DEW14" s="38"/>
      <c r="DEX14" s="38"/>
      <c r="DEY14" s="38"/>
      <c r="DEZ14" s="38"/>
      <c r="DFA14" s="38"/>
      <c r="DFB14" s="38"/>
      <c r="DFC14" s="38"/>
      <c r="DFD14" s="38"/>
      <c r="DFE14" s="38"/>
      <c r="DFF14" s="38"/>
      <c r="DFG14" s="38"/>
      <c r="DFH14" s="38"/>
      <c r="DFI14" s="38"/>
      <c r="DFJ14" s="38"/>
      <c r="DFK14" s="38"/>
      <c r="DFL14" s="38"/>
      <c r="DFM14" s="38"/>
      <c r="DFN14" s="38"/>
      <c r="DFO14" s="38"/>
      <c r="DFP14" s="38"/>
      <c r="DFQ14" s="38"/>
      <c r="DFR14" s="38"/>
      <c r="DFS14" s="38"/>
      <c r="DFT14" s="38"/>
      <c r="DFU14" s="38"/>
      <c r="DFV14" s="38"/>
      <c r="DFW14" s="38"/>
      <c r="DFX14" s="38"/>
      <c r="DFY14" s="38"/>
      <c r="DFZ14" s="38"/>
      <c r="DGA14" s="38"/>
      <c r="DGB14" s="38"/>
      <c r="DGC14" s="38"/>
      <c r="DGD14" s="38"/>
      <c r="DGE14" s="38"/>
      <c r="DGF14" s="38"/>
      <c r="DGG14" s="38"/>
      <c r="DGH14" s="38"/>
      <c r="DGI14" s="38"/>
      <c r="DGJ14" s="38"/>
      <c r="DGK14" s="38"/>
      <c r="DGL14" s="38"/>
      <c r="DGM14" s="38"/>
      <c r="DGN14" s="38"/>
      <c r="DGO14" s="38"/>
      <c r="DGP14" s="38"/>
      <c r="DGQ14" s="38"/>
      <c r="DGR14" s="38"/>
      <c r="DGS14" s="38"/>
      <c r="DGT14" s="38"/>
      <c r="DGU14" s="38"/>
      <c r="DGV14" s="38"/>
      <c r="DGW14" s="38"/>
      <c r="DGX14" s="38"/>
      <c r="DGY14" s="38"/>
      <c r="DGZ14" s="38"/>
      <c r="DHA14" s="38"/>
      <c r="DHB14" s="38"/>
      <c r="DHC14" s="38"/>
      <c r="DHD14" s="38"/>
      <c r="DHE14" s="38"/>
      <c r="DHF14" s="38"/>
      <c r="DHG14" s="38"/>
      <c r="DHH14" s="38"/>
      <c r="DHI14" s="38"/>
      <c r="DHJ14" s="38"/>
      <c r="DHK14" s="38"/>
      <c r="DHL14" s="38"/>
      <c r="DHM14" s="38"/>
      <c r="DHN14" s="38"/>
      <c r="DHO14" s="38"/>
      <c r="DHP14" s="38"/>
      <c r="DHQ14" s="38"/>
      <c r="DHR14" s="38"/>
      <c r="DHS14" s="38"/>
      <c r="DHT14" s="38"/>
      <c r="DHU14" s="38"/>
      <c r="DHV14" s="38"/>
      <c r="DHW14" s="38"/>
      <c r="DHX14" s="38"/>
      <c r="DHY14" s="38"/>
      <c r="DHZ14" s="38"/>
      <c r="DIA14" s="38"/>
      <c r="DIB14" s="38"/>
      <c r="DIC14" s="38"/>
      <c r="DID14" s="38"/>
      <c r="DIE14" s="38"/>
      <c r="DIF14" s="38"/>
      <c r="DIG14" s="38"/>
      <c r="DIH14" s="38"/>
      <c r="DII14" s="38"/>
      <c r="DIJ14" s="38"/>
      <c r="DIK14" s="38"/>
      <c r="DIL14" s="38"/>
      <c r="DIM14" s="38"/>
      <c r="DIN14" s="38"/>
      <c r="DIO14" s="38"/>
      <c r="DIP14" s="38"/>
      <c r="DIQ14" s="38"/>
      <c r="DIR14" s="38"/>
      <c r="DIS14" s="38"/>
      <c r="DIT14" s="38"/>
      <c r="DIU14" s="38"/>
      <c r="DIV14" s="38"/>
      <c r="DIW14" s="38"/>
      <c r="DIX14" s="38"/>
      <c r="DIY14" s="38"/>
      <c r="DIZ14" s="38"/>
      <c r="DJA14" s="38"/>
      <c r="DJB14" s="38"/>
      <c r="DJC14" s="38"/>
      <c r="DJD14" s="38"/>
      <c r="DJE14" s="38"/>
      <c r="DJF14" s="38"/>
      <c r="DJG14" s="38"/>
      <c r="DJH14" s="38"/>
      <c r="DJI14" s="38"/>
      <c r="DJJ14" s="38"/>
      <c r="DJK14" s="38"/>
      <c r="DJL14" s="38"/>
      <c r="DJM14" s="38"/>
      <c r="DJN14" s="38"/>
      <c r="DJO14" s="38"/>
      <c r="DJP14" s="38"/>
      <c r="DJQ14" s="38"/>
      <c r="DJR14" s="38"/>
      <c r="DJS14" s="38"/>
      <c r="DJT14" s="38"/>
      <c r="DJU14" s="38"/>
      <c r="DJV14" s="38"/>
      <c r="DJW14" s="38"/>
      <c r="DJX14" s="38"/>
      <c r="DJY14" s="38"/>
      <c r="DJZ14" s="38"/>
      <c r="DKA14" s="38"/>
      <c r="DKB14" s="38"/>
      <c r="DKC14" s="38"/>
      <c r="DKD14" s="38"/>
      <c r="DKE14" s="38"/>
      <c r="DKF14" s="38"/>
      <c r="DKG14" s="38"/>
      <c r="DKH14" s="38"/>
      <c r="DKI14" s="38"/>
      <c r="DKJ14" s="38"/>
      <c r="DKK14" s="38"/>
      <c r="DKL14" s="38"/>
      <c r="DKM14" s="38"/>
      <c r="DKN14" s="38"/>
      <c r="DKO14" s="38"/>
      <c r="DKP14" s="38"/>
      <c r="DKQ14" s="38"/>
      <c r="DKR14" s="38"/>
      <c r="DKS14" s="38"/>
      <c r="DKT14" s="38"/>
      <c r="DKU14" s="38"/>
      <c r="DKV14" s="38"/>
      <c r="DKW14" s="38"/>
      <c r="DKX14" s="38"/>
      <c r="DKY14" s="38"/>
      <c r="DKZ14" s="38"/>
      <c r="DLA14" s="38"/>
      <c r="DLB14" s="38"/>
      <c r="DLC14" s="38"/>
      <c r="DLD14" s="38"/>
      <c r="DLE14" s="38"/>
      <c r="DLF14" s="38"/>
      <c r="DLG14" s="38"/>
      <c r="DLH14" s="38"/>
      <c r="DLI14" s="38"/>
      <c r="DLJ14" s="38"/>
      <c r="DLK14" s="38"/>
      <c r="DLL14" s="38"/>
      <c r="DLM14" s="38"/>
      <c r="DLN14" s="38"/>
      <c r="DLO14" s="38"/>
      <c r="DLP14" s="38"/>
      <c r="DLQ14" s="38"/>
      <c r="DLR14" s="38"/>
      <c r="DLS14" s="38"/>
      <c r="DLT14" s="38"/>
      <c r="DLU14" s="38"/>
      <c r="DLV14" s="38"/>
      <c r="DLW14" s="38"/>
      <c r="DLX14" s="38"/>
      <c r="DLY14" s="38"/>
      <c r="DLZ14" s="38"/>
      <c r="DMA14" s="38"/>
      <c r="DMB14" s="38"/>
      <c r="DMC14" s="38"/>
      <c r="DMD14" s="38"/>
      <c r="DME14" s="38"/>
      <c r="DMF14" s="38"/>
      <c r="DMG14" s="38"/>
      <c r="DMH14" s="38"/>
      <c r="DMI14" s="38"/>
      <c r="DMJ14" s="38"/>
      <c r="DMK14" s="38"/>
      <c r="DML14" s="38"/>
      <c r="DMM14" s="38"/>
      <c r="DMN14" s="38"/>
      <c r="DMO14" s="38"/>
      <c r="DMP14" s="38"/>
      <c r="DMQ14" s="38"/>
      <c r="DMR14" s="38"/>
      <c r="DMS14" s="38"/>
      <c r="DMT14" s="38"/>
      <c r="DMU14" s="38"/>
      <c r="DMV14" s="38"/>
      <c r="DMW14" s="38"/>
      <c r="DMX14" s="38"/>
      <c r="DMY14" s="38"/>
      <c r="DMZ14" s="38"/>
      <c r="DNA14" s="38"/>
      <c r="DNB14" s="38"/>
      <c r="DNC14" s="38"/>
      <c r="DND14" s="38"/>
      <c r="DNE14" s="38"/>
      <c r="DNF14" s="38"/>
      <c r="DNG14" s="38"/>
      <c r="DNH14" s="38"/>
      <c r="DNI14" s="38"/>
      <c r="DNJ14" s="38"/>
      <c r="DNK14" s="38"/>
      <c r="DNL14" s="38"/>
      <c r="DNM14" s="38"/>
      <c r="DNN14" s="38"/>
      <c r="DNO14" s="38"/>
      <c r="DNP14" s="38"/>
      <c r="DNQ14" s="38"/>
      <c r="DNR14" s="38"/>
      <c r="DNS14" s="38"/>
      <c r="DNT14" s="38"/>
      <c r="DNU14" s="38"/>
      <c r="DNV14" s="38"/>
      <c r="DNW14" s="38"/>
      <c r="DNX14" s="38"/>
      <c r="DNY14" s="38"/>
      <c r="DNZ14" s="38"/>
      <c r="DOA14" s="38"/>
      <c r="DOB14" s="38"/>
      <c r="DOC14" s="38"/>
      <c r="DOD14" s="38"/>
      <c r="DOE14" s="38"/>
      <c r="DOF14" s="38"/>
      <c r="DOG14" s="38"/>
      <c r="DOH14" s="38"/>
      <c r="DOI14" s="38"/>
      <c r="DOJ14" s="38"/>
      <c r="DOK14" s="38"/>
      <c r="DOL14" s="38"/>
      <c r="DOM14" s="38"/>
      <c r="DON14" s="38"/>
      <c r="DOO14" s="38"/>
      <c r="DOP14" s="38"/>
      <c r="DOQ14" s="38"/>
      <c r="DOR14" s="38"/>
      <c r="DOS14" s="38"/>
      <c r="DOT14" s="38"/>
      <c r="DOU14" s="38"/>
      <c r="DOV14" s="38"/>
      <c r="DOW14" s="38"/>
      <c r="DOX14" s="38"/>
      <c r="DOY14" s="38"/>
      <c r="DOZ14" s="38"/>
      <c r="DPA14" s="38"/>
      <c r="DPB14" s="38"/>
      <c r="DPC14" s="38"/>
      <c r="DPD14" s="38"/>
      <c r="DPE14" s="38"/>
      <c r="DPF14" s="38"/>
      <c r="DPG14" s="38"/>
      <c r="DPH14" s="38"/>
      <c r="DPI14" s="38"/>
      <c r="DPJ14" s="38"/>
      <c r="DPK14" s="38"/>
      <c r="DPL14" s="38"/>
      <c r="DPM14" s="38"/>
      <c r="DPN14" s="38"/>
      <c r="DPO14" s="38"/>
      <c r="DPP14" s="38"/>
      <c r="DPQ14" s="38"/>
      <c r="DPR14" s="38"/>
      <c r="DPS14" s="38"/>
      <c r="DPT14" s="38"/>
      <c r="DPU14" s="38"/>
      <c r="DPV14" s="38"/>
      <c r="DPW14" s="38"/>
      <c r="DPX14" s="38"/>
      <c r="DPY14" s="38"/>
      <c r="DPZ14" s="38"/>
      <c r="DQA14" s="38"/>
      <c r="DQB14" s="38"/>
      <c r="DQC14" s="38"/>
      <c r="DQD14" s="38"/>
      <c r="DQE14" s="38"/>
      <c r="DQF14" s="38"/>
      <c r="DQG14" s="38"/>
      <c r="DQH14" s="38"/>
      <c r="DQI14" s="38"/>
      <c r="DQJ14" s="38"/>
      <c r="DQK14" s="38"/>
      <c r="DQL14" s="38"/>
      <c r="DQM14" s="38"/>
      <c r="DQN14" s="38"/>
      <c r="DQO14" s="38"/>
      <c r="DQP14" s="38"/>
      <c r="DQQ14" s="38"/>
      <c r="DQR14" s="38"/>
      <c r="DQS14" s="38"/>
      <c r="DQT14" s="38"/>
      <c r="DQU14" s="38"/>
      <c r="DQV14" s="38"/>
      <c r="DQW14" s="38"/>
      <c r="DQX14" s="38"/>
      <c r="DQY14" s="38"/>
      <c r="DQZ14" s="38"/>
      <c r="DRA14" s="38"/>
      <c r="DRB14" s="38"/>
      <c r="DRC14" s="38"/>
      <c r="DRD14" s="38"/>
      <c r="DRE14" s="38"/>
      <c r="DRF14" s="38"/>
      <c r="DRG14" s="38"/>
      <c r="DRH14" s="38"/>
      <c r="DRI14" s="38"/>
      <c r="DRJ14" s="38"/>
      <c r="DRK14" s="38"/>
      <c r="DRL14" s="38"/>
      <c r="DRM14" s="38"/>
      <c r="DRN14" s="38"/>
      <c r="DRO14" s="38"/>
      <c r="DRP14" s="38"/>
      <c r="DRQ14" s="38"/>
      <c r="DRR14" s="38"/>
      <c r="DRS14" s="38"/>
      <c r="DRT14" s="38"/>
      <c r="DRU14" s="38"/>
      <c r="DRV14" s="38"/>
      <c r="DRW14" s="38"/>
      <c r="DRX14" s="38"/>
      <c r="DRY14" s="38"/>
      <c r="DRZ14" s="38"/>
      <c r="DSA14" s="38"/>
      <c r="DSB14" s="38"/>
      <c r="DSC14" s="38"/>
      <c r="DSD14" s="38"/>
      <c r="DSE14" s="38"/>
      <c r="DSF14" s="38"/>
      <c r="DSG14" s="38"/>
      <c r="DSH14" s="38"/>
      <c r="DSI14" s="38"/>
      <c r="DSJ14" s="38"/>
      <c r="DSK14" s="38"/>
      <c r="DSL14" s="38"/>
      <c r="DSM14" s="38"/>
      <c r="DSN14" s="38"/>
      <c r="DSO14" s="38"/>
      <c r="DSP14" s="38"/>
      <c r="DSQ14" s="38"/>
      <c r="DSR14" s="38"/>
      <c r="DSS14" s="38"/>
      <c r="DST14" s="38"/>
      <c r="DSU14" s="38"/>
      <c r="DSV14" s="38"/>
      <c r="DSW14" s="38"/>
      <c r="DSX14" s="38"/>
      <c r="DSY14" s="38"/>
      <c r="DSZ14" s="38"/>
      <c r="DTA14" s="38"/>
      <c r="DTB14" s="38"/>
      <c r="DTC14" s="38"/>
      <c r="DTD14" s="38"/>
      <c r="DTE14" s="38"/>
      <c r="DTF14" s="38"/>
      <c r="DTG14" s="38"/>
      <c r="DTH14" s="38"/>
      <c r="DTI14" s="38"/>
      <c r="DTJ14" s="38"/>
      <c r="DTK14" s="38"/>
      <c r="DTL14" s="38"/>
      <c r="DTM14" s="38"/>
      <c r="DTN14" s="38"/>
      <c r="DTO14" s="38"/>
      <c r="DTP14" s="38"/>
      <c r="DTQ14" s="38"/>
      <c r="DTR14" s="38"/>
      <c r="DTS14" s="38"/>
      <c r="DTT14" s="38"/>
      <c r="DTU14" s="38"/>
      <c r="DTV14" s="38"/>
      <c r="DTW14" s="38"/>
      <c r="DTX14" s="38"/>
      <c r="DTY14" s="38"/>
      <c r="DTZ14" s="38"/>
      <c r="DUA14" s="38"/>
      <c r="DUB14" s="38"/>
      <c r="DUC14" s="38"/>
      <c r="DUD14" s="38"/>
      <c r="DUE14" s="38"/>
      <c r="DUF14" s="38"/>
      <c r="DUG14" s="38"/>
      <c r="DUH14" s="38"/>
      <c r="DUI14" s="38"/>
      <c r="DUJ14" s="38"/>
      <c r="DUK14" s="38"/>
      <c r="DUL14" s="38"/>
      <c r="DUM14" s="38"/>
      <c r="DUN14" s="38"/>
      <c r="DUO14" s="38"/>
      <c r="DUP14" s="38"/>
      <c r="DUQ14" s="38"/>
      <c r="DUR14" s="38"/>
      <c r="DUS14" s="38"/>
      <c r="DUT14" s="38"/>
      <c r="DUU14" s="38"/>
      <c r="DUV14" s="38"/>
      <c r="DUW14" s="38"/>
      <c r="DUX14" s="38"/>
      <c r="DUY14" s="38"/>
      <c r="DUZ14" s="38"/>
      <c r="DVA14" s="38"/>
      <c r="DVB14" s="38"/>
      <c r="DVC14" s="38"/>
      <c r="DVD14" s="38"/>
      <c r="DVE14" s="38"/>
      <c r="DVF14" s="38"/>
      <c r="DVG14" s="38"/>
      <c r="DVH14" s="38"/>
      <c r="DVI14" s="38"/>
      <c r="DVJ14" s="38"/>
      <c r="DVK14" s="38"/>
      <c r="DVL14" s="38"/>
      <c r="DVM14" s="38"/>
      <c r="DVN14" s="38"/>
      <c r="DVO14" s="38"/>
      <c r="DVP14" s="38"/>
      <c r="DVQ14" s="38"/>
      <c r="DVR14" s="38"/>
      <c r="DVS14" s="38"/>
      <c r="DVT14" s="38"/>
      <c r="DVU14" s="38"/>
      <c r="DVV14" s="38"/>
      <c r="DVW14" s="38"/>
      <c r="DVX14" s="38"/>
      <c r="DVY14" s="38"/>
      <c r="DVZ14" s="38"/>
      <c r="DWA14" s="38"/>
      <c r="DWB14" s="38"/>
      <c r="DWC14" s="38"/>
      <c r="DWD14" s="38"/>
      <c r="DWE14" s="38"/>
      <c r="DWF14" s="38"/>
      <c r="DWG14" s="38"/>
      <c r="DWH14" s="38"/>
      <c r="DWI14" s="38"/>
      <c r="DWJ14" s="38"/>
      <c r="DWK14" s="38"/>
      <c r="DWL14" s="38"/>
      <c r="DWM14" s="38"/>
      <c r="DWN14" s="38"/>
      <c r="DWO14" s="38"/>
      <c r="DWP14" s="38"/>
      <c r="DWQ14" s="38"/>
      <c r="DWR14" s="38"/>
      <c r="DWS14" s="38"/>
      <c r="DWT14" s="38"/>
      <c r="DWU14" s="38"/>
      <c r="DWV14" s="38"/>
      <c r="DWW14" s="38"/>
      <c r="DWX14" s="38"/>
      <c r="DWY14" s="38"/>
      <c r="DWZ14" s="38"/>
      <c r="DXA14" s="38"/>
      <c r="DXB14" s="38"/>
      <c r="DXC14" s="38"/>
      <c r="DXD14" s="38"/>
      <c r="DXE14" s="38"/>
      <c r="DXF14" s="38"/>
      <c r="DXG14" s="38"/>
      <c r="DXH14" s="38"/>
      <c r="DXI14" s="38"/>
      <c r="DXJ14" s="38"/>
      <c r="DXK14" s="38"/>
      <c r="DXL14" s="38"/>
      <c r="DXM14" s="38"/>
      <c r="DXN14" s="38"/>
      <c r="DXO14" s="38"/>
      <c r="DXP14" s="38"/>
      <c r="DXQ14" s="38"/>
      <c r="DXR14" s="38"/>
      <c r="DXS14" s="38"/>
      <c r="DXT14" s="38"/>
      <c r="DXU14" s="38"/>
      <c r="DXV14" s="38"/>
      <c r="DXW14" s="38"/>
      <c r="DXX14" s="38"/>
      <c r="DXY14" s="38"/>
      <c r="DXZ14" s="38"/>
      <c r="DYA14" s="38"/>
      <c r="DYB14" s="38"/>
      <c r="DYC14" s="38"/>
      <c r="DYD14" s="38"/>
      <c r="DYE14" s="38"/>
      <c r="DYF14" s="38"/>
      <c r="DYG14" s="38"/>
      <c r="DYH14" s="38"/>
      <c r="DYI14" s="38"/>
      <c r="DYJ14" s="38"/>
      <c r="DYK14" s="38"/>
      <c r="DYL14" s="38"/>
      <c r="DYM14" s="38"/>
      <c r="DYN14" s="38"/>
      <c r="DYO14" s="38"/>
      <c r="DYP14" s="38"/>
      <c r="DYQ14" s="38"/>
      <c r="DYR14" s="38"/>
      <c r="DYS14" s="38"/>
      <c r="DYT14" s="38"/>
      <c r="DYU14" s="38"/>
      <c r="DYV14" s="38"/>
      <c r="DYW14" s="38"/>
      <c r="DYX14" s="38"/>
      <c r="DYY14" s="38"/>
      <c r="DYZ14" s="38"/>
      <c r="DZA14" s="38"/>
      <c r="DZB14" s="38"/>
      <c r="DZC14" s="38"/>
      <c r="DZD14" s="38"/>
      <c r="DZE14" s="38"/>
      <c r="DZF14" s="38"/>
      <c r="DZG14" s="38"/>
      <c r="DZH14" s="38"/>
      <c r="DZI14" s="38"/>
      <c r="DZJ14" s="38"/>
      <c r="DZK14" s="38"/>
      <c r="DZL14" s="38"/>
      <c r="DZM14" s="38"/>
      <c r="DZN14" s="38"/>
      <c r="DZO14" s="38"/>
      <c r="DZP14" s="38"/>
      <c r="DZQ14" s="38"/>
      <c r="DZR14" s="38"/>
      <c r="DZS14" s="38"/>
      <c r="DZT14" s="38"/>
      <c r="DZU14" s="38"/>
      <c r="DZV14" s="38"/>
      <c r="DZW14" s="38"/>
      <c r="DZX14" s="38"/>
      <c r="DZY14" s="38"/>
      <c r="DZZ14" s="38"/>
      <c r="EAA14" s="38"/>
      <c r="EAB14" s="38"/>
      <c r="EAC14" s="38"/>
      <c r="EAD14" s="38"/>
      <c r="EAE14" s="38"/>
      <c r="EAF14" s="38"/>
      <c r="EAG14" s="38"/>
      <c r="EAH14" s="38"/>
      <c r="EAI14" s="38"/>
      <c r="EAJ14" s="38"/>
      <c r="EAK14" s="38"/>
      <c r="EAL14" s="38"/>
      <c r="EAM14" s="38"/>
      <c r="EAN14" s="38"/>
      <c r="EAO14" s="38"/>
      <c r="EAP14" s="38"/>
      <c r="EAQ14" s="38"/>
      <c r="EAR14" s="38"/>
      <c r="EAS14" s="38"/>
      <c r="EAT14" s="38"/>
      <c r="EAU14" s="38"/>
      <c r="EAV14" s="38"/>
      <c r="EAW14" s="38"/>
      <c r="EAX14" s="38"/>
      <c r="EAY14" s="38"/>
      <c r="EAZ14" s="38"/>
      <c r="EBA14" s="38"/>
      <c r="EBB14" s="38"/>
      <c r="EBC14" s="38"/>
      <c r="EBD14" s="38"/>
      <c r="EBE14" s="38"/>
      <c r="EBF14" s="38"/>
      <c r="EBG14" s="38"/>
      <c r="EBH14" s="38"/>
      <c r="EBI14" s="38"/>
      <c r="EBJ14" s="38"/>
      <c r="EBK14" s="38"/>
      <c r="EBL14" s="38"/>
      <c r="EBM14" s="38"/>
      <c r="EBN14" s="38"/>
      <c r="EBO14" s="38"/>
      <c r="EBP14" s="38"/>
      <c r="EBQ14" s="38"/>
      <c r="EBR14" s="38"/>
      <c r="EBS14" s="38"/>
      <c r="EBT14" s="38"/>
      <c r="EBU14" s="38"/>
      <c r="EBV14" s="38"/>
      <c r="EBW14" s="38"/>
      <c r="EBX14" s="38"/>
      <c r="EBY14" s="38"/>
      <c r="EBZ14" s="38"/>
      <c r="ECA14" s="38"/>
      <c r="ECB14" s="38"/>
      <c r="ECC14" s="38"/>
      <c r="ECD14" s="38"/>
      <c r="ECE14" s="38"/>
      <c r="ECF14" s="38"/>
      <c r="ECG14" s="38"/>
      <c r="ECH14" s="38"/>
      <c r="ECI14" s="38"/>
      <c r="ECJ14" s="38"/>
      <c r="ECK14" s="38"/>
      <c r="ECL14" s="38"/>
      <c r="ECM14" s="38"/>
      <c r="ECN14" s="38"/>
      <c r="ECO14" s="38"/>
      <c r="ECP14" s="38"/>
      <c r="ECQ14" s="38"/>
      <c r="ECR14" s="38"/>
      <c r="ECS14" s="38"/>
      <c r="ECT14" s="38"/>
      <c r="ECU14" s="38"/>
      <c r="ECV14" s="38"/>
      <c r="ECW14" s="38"/>
      <c r="ECX14" s="38"/>
      <c r="ECY14" s="38"/>
      <c r="ECZ14" s="38"/>
      <c r="EDA14" s="38"/>
      <c r="EDB14" s="38"/>
      <c r="EDC14" s="38"/>
      <c r="EDD14" s="38"/>
      <c r="EDE14" s="38"/>
      <c r="EDF14" s="38"/>
      <c r="EDG14" s="38"/>
      <c r="EDH14" s="38"/>
      <c r="EDI14" s="38"/>
      <c r="EDJ14" s="38"/>
      <c r="EDK14" s="38"/>
      <c r="EDL14" s="38"/>
      <c r="EDM14" s="38"/>
      <c r="EDN14" s="38"/>
      <c r="EDO14" s="38"/>
      <c r="EDP14" s="38"/>
      <c r="EDQ14" s="38"/>
      <c r="EDR14" s="38"/>
      <c r="EDS14" s="38"/>
      <c r="EDT14" s="38"/>
      <c r="EDU14" s="38"/>
      <c r="EDV14" s="38"/>
      <c r="EDW14" s="38"/>
      <c r="EDX14" s="38"/>
      <c r="EDY14" s="38"/>
      <c r="EDZ14" s="38"/>
      <c r="EEA14" s="38"/>
      <c r="EEB14" s="38"/>
      <c r="EEC14" s="38"/>
      <c r="EED14" s="38"/>
      <c r="EEE14" s="38"/>
      <c r="EEF14" s="38"/>
      <c r="EEG14" s="38"/>
      <c r="EEH14" s="38"/>
      <c r="EEI14" s="38"/>
      <c r="EEJ14" s="38"/>
      <c r="EEK14" s="38"/>
      <c r="EEL14" s="38"/>
      <c r="EEM14" s="38"/>
      <c r="EEN14" s="38"/>
      <c r="EEO14" s="38"/>
      <c r="EEP14" s="38"/>
      <c r="EEQ14" s="38"/>
      <c r="EER14" s="38"/>
      <c r="EES14" s="38"/>
      <c r="EET14" s="38"/>
      <c r="EEU14" s="38"/>
      <c r="EEV14" s="38"/>
      <c r="EEW14" s="38"/>
      <c r="EEX14" s="38"/>
      <c r="EEY14" s="38"/>
      <c r="EEZ14" s="38"/>
      <c r="EFA14" s="38"/>
      <c r="EFB14" s="38"/>
      <c r="EFC14" s="38"/>
      <c r="EFD14" s="38"/>
      <c r="EFE14" s="38"/>
      <c r="EFF14" s="38"/>
      <c r="EFG14" s="38"/>
      <c r="EFH14" s="38"/>
      <c r="EFI14" s="38"/>
      <c r="EFJ14" s="38"/>
      <c r="EFK14" s="38"/>
      <c r="EFL14" s="38"/>
      <c r="EFM14" s="38"/>
      <c r="EFN14" s="38"/>
      <c r="EFO14" s="38"/>
      <c r="EFP14" s="38"/>
      <c r="EFQ14" s="38"/>
      <c r="EFR14" s="38"/>
      <c r="EFS14" s="38"/>
      <c r="EFT14" s="38"/>
      <c r="EFU14" s="38"/>
      <c r="EFV14" s="38"/>
      <c r="EFW14" s="38"/>
      <c r="EFX14" s="38"/>
      <c r="EFY14" s="38"/>
      <c r="EFZ14" s="38"/>
      <c r="EGA14" s="38"/>
      <c r="EGB14" s="38"/>
      <c r="EGC14" s="38"/>
      <c r="EGD14" s="38"/>
      <c r="EGE14" s="38"/>
      <c r="EGF14" s="38"/>
      <c r="EGG14" s="38"/>
      <c r="EGH14" s="38"/>
      <c r="EGI14" s="38"/>
      <c r="EGJ14" s="38"/>
      <c r="EGK14" s="38"/>
      <c r="EGL14" s="38"/>
      <c r="EGM14" s="38"/>
      <c r="EGN14" s="38"/>
      <c r="EGO14" s="38"/>
      <c r="EGP14" s="38"/>
      <c r="EGQ14" s="38"/>
      <c r="EGR14" s="38"/>
      <c r="EGS14" s="38"/>
      <c r="EGT14" s="38"/>
      <c r="EGU14" s="38"/>
      <c r="EGV14" s="38"/>
      <c r="EGW14" s="38"/>
      <c r="EGX14" s="38"/>
      <c r="EGY14" s="38"/>
      <c r="EGZ14" s="38"/>
      <c r="EHA14" s="38"/>
      <c r="EHB14" s="38"/>
      <c r="EHC14" s="38"/>
      <c r="EHD14" s="38"/>
      <c r="EHE14" s="38"/>
      <c r="EHF14" s="38"/>
      <c r="EHG14" s="38"/>
      <c r="EHH14" s="38"/>
      <c r="EHI14" s="38"/>
      <c r="EHJ14" s="38"/>
      <c r="EHK14" s="38"/>
      <c r="EHL14" s="38"/>
      <c r="EHM14" s="38"/>
      <c r="EHN14" s="38"/>
      <c r="EHO14" s="38"/>
      <c r="EHP14" s="38"/>
      <c r="EHQ14" s="38"/>
      <c r="EHR14" s="38"/>
      <c r="EHS14" s="38"/>
      <c r="EHT14" s="38"/>
      <c r="EHU14" s="38"/>
      <c r="EHV14" s="38"/>
      <c r="EHW14" s="38"/>
      <c r="EHX14" s="38"/>
      <c r="EHY14" s="38"/>
      <c r="EHZ14" s="38"/>
      <c r="EIA14" s="38"/>
      <c r="EIB14" s="38"/>
      <c r="EIC14" s="38"/>
      <c r="EID14" s="38"/>
      <c r="EIE14" s="38"/>
      <c r="EIF14" s="38"/>
      <c r="EIG14" s="38"/>
      <c r="EIH14" s="38"/>
      <c r="EII14" s="38"/>
      <c r="EIJ14" s="38"/>
      <c r="EIK14" s="38"/>
      <c r="EIL14" s="38"/>
      <c r="EIM14" s="38"/>
      <c r="EIN14" s="38"/>
      <c r="EIO14" s="38"/>
      <c r="EIP14" s="38"/>
      <c r="EIQ14" s="38"/>
      <c r="EIR14" s="38"/>
      <c r="EIS14" s="38"/>
      <c r="EIT14" s="38"/>
      <c r="EIU14" s="38"/>
      <c r="EIV14" s="38"/>
      <c r="EIW14" s="38"/>
      <c r="EIX14" s="38"/>
      <c r="EIY14" s="38"/>
      <c r="EIZ14" s="38"/>
      <c r="EJA14" s="38"/>
      <c r="EJB14" s="38"/>
      <c r="EJC14" s="38"/>
      <c r="EJD14" s="38"/>
      <c r="EJE14" s="38"/>
      <c r="EJF14" s="38"/>
      <c r="EJG14" s="38"/>
      <c r="EJH14" s="38"/>
      <c r="EJI14" s="38"/>
      <c r="EJJ14" s="38"/>
      <c r="EJK14" s="38"/>
      <c r="EJL14" s="38"/>
      <c r="EJM14" s="38"/>
      <c r="EJN14" s="38"/>
      <c r="EJO14" s="38"/>
      <c r="EJP14" s="38"/>
      <c r="EJQ14" s="38"/>
      <c r="EJR14" s="38"/>
      <c r="EJS14" s="38"/>
      <c r="EJT14" s="38"/>
      <c r="EJU14" s="38"/>
      <c r="EJV14" s="38"/>
      <c r="EJW14" s="38"/>
      <c r="EJX14" s="38"/>
      <c r="EJY14" s="38"/>
      <c r="EJZ14" s="38"/>
      <c r="EKA14" s="38"/>
      <c r="EKB14" s="38"/>
      <c r="EKC14" s="38"/>
      <c r="EKD14" s="38"/>
      <c r="EKE14" s="38"/>
      <c r="EKF14" s="38"/>
      <c r="EKG14" s="38"/>
      <c r="EKH14" s="38"/>
      <c r="EKI14" s="38"/>
      <c r="EKJ14" s="38"/>
      <c r="EKK14" s="38"/>
      <c r="EKL14" s="38"/>
      <c r="EKM14" s="38"/>
      <c r="EKN14" s="38"/>
      <c r="EKO14" s="38"/>
      <c r="EKP14" s="38"/>
      <c r="EKQ14" s="38"/>
      <c r="EKR14" s="38"/>
      <c r="EKS14" s="38"/>
      <c r="EKT14" s="38"/>
      <c r="EKU14" s="38"/>
      <c r="EKV14" s="38"/>
      <c r="EKW14" s="38"/>
      <c r="EKX14" s="38"/>
      <c r="EKY14" s="38"/>
      <c r="EKZ14" s="38"/>
      <c r="ELA14" s="38"/>
      <c r="ELB14" s="38"/>
      <c r="ELC14" s="38"/>
      <c r="ELD14" s="38"/>
      <c r="ELE14" s="38"/>
      <c r="ELF14" s="38"/>
      <c r="ELG14" s="38"/>
      <c r="ELH14" s="38"/>
      <c r="ELI14" s="38"/>
      <c r="ELJ14" s="38"/>
      <c r="ELK14" s="38"/>
      <c r="ELL14" s="38"/>
      <c r="ELM14" s="38"/>
      <c r="ELN14" s="38"/>
      <c r="ELO14" s="38"/>
      <c r="ELP14" s="38"/>
      <c r="ELQ14" s="38"/>
      <c r="ELR14" s="38"/>
      <c r="ELS14" s="38"/>
      <c r="ELT14" s="38"/>
      <c r="ELU14" s="38"/>
      <c r="ELV14" s="38"/>
      <c r="ELW14" s="38"/>
      <c r="ELX14" s="38"/>
      <c r="ELY14" s="38"/>
      <c r="ELZ14" s="38"/>
      <c r="EMA14" s="38"/>
      <c r="EMB14" s="38"/>
      <c r="EMC14" s="38"/>
      <c r="EMD14" s="38"/>
      <c r="EME14" s="38"/>
      <c r="EMF14" s="38"/>
      <c r="EMG14" s="38"/>
      <c r="EMH14" s="38"/>
      <c r="EMI14" s="38"/>
      <c r="EMJ14" s="38"/>
      <c r="EMK14" s="38"/>
      <c r="EML14" s="38"/>
      <c r="EMM14" s="38"/>
      <c r="EMN14" s="38"/>
      <c r="EMO14" s="38"/>
      <c r="EMP14" s="38"/>
      <c r="EMQ14" s="38"/>
      <c r="EMR14" s="38"/>
      <c r="EMS14" s="38"/>
      <c r="EMT14" s="38"/>
      <c r="EMU14" s="38"/>
      <c r="EMV14" s="38"/>
      <c r="EMW14" s="38"/>
      <c r="EMX14" s="38"/>
      <c r="EMY14" s="38"/>
      <c r="EMZ14" s="38"/>
      <c r="ENA14" s="38"/>
      <c r="ENB14" s="38"/>
      <c r="ENC14" s="38"/>
      <c r="END14" s="38"/>
      <c r="ENE14" s="38"/>
      <c r="ENF14" s="38"/>
      <c r="ENG14" s="38"/>
      <c r="ENH14" s="38"/>
      <c r="ENI14" s="38"/>
      <c r="ENJ14" s="38"/>
      <c r="ENK14" s="38"/>
      <c r="ENL14" s="38"/>
      <c r="ENM14" s="38"/>
      <c r="ENN14" s="38"/>
      <c r="ENO14" s="38"/>
      <c r="ENP14" s="38"/>
      <c r="ENQ14" s="38"/>
      <c r="ENR14" s="38"/>
      <c r="ENS14" s="38"/>
      <c r="ENT14" s="38"/>
      <c r="ENU14" s="38"/>
      <c r="ENV14" s="38"/>
      <c r="ENW14" s="38"/>
      <c r="ENX14" s="38"/>
      <c r="ENY14" s="38"/>
      <c r="ENZ14" s="38"/>
      <c r="EOA14" s="38"/>
      <c r="EOB14" s="38"/>
      <c r="EOC14" s="38"/>
      <c r="EOD14" s="38"/>
      <c r="EOE14" s="38"/>
      <c r="EOF14" s="38"/>
      <c r="EOG14" s="38"/>
      <c r="EOH14" s="38"/>
      <c r="EOI14" s="38"/>
      <c r="EOJ14" s="38"/>
      <c r="EOK14" s="38"/>
      <c r="EOL14" s="38"/>
      <c r="EOM14" s="38"/>
      <c r="EON14" s="38"/>
      <c r="EOO14" s="38"/>
      <c r="EOP14" s="38"/>
      <c r="EOQ14" s="38"/>
      <c r="EOR14" s="38"/>
      <c r="EOS14" s="38"/>
      <c r="EOT14" s="38"/>
      <c r="EOU14" s="38"/>
      <c r="EOV14" s="38"/>
      <c r="EOW14" s="38"/>
      <c r="EOX14" s="38"/>
      <c r="EOY14" s="38"/>
      <c r="EOZ14" s="38"/>
      <c r="EPA14" s="38"/>
      <c r="EPB14" s="38"/>
      <c r="EPC14" s="38"/>
      <c r="EPD14" s="38"/>
      <c r="EPE14" s="38"/>
      <c r="EPF14" s="38"/>
      <c r="EPG14" s="38"/>
      <c r="EPH14" s="38"/>
      <c r="EPI14" s="38"/>
      <c r="EPJ14" s="38"/>
      <c r="EPK14" s="38"/>
      <c r="EPL14" s="38"/>
      <c r="EPM14" s="38"/>
      <c r="EPN14" s="38"/>
      <c r="EPO14" s="38"/>
      <c r="EPP14" s="38"/>
      <c r="EPQ14" s="38"/>
      <c r="EPR14" s="38"/>
      <c r="EPS14" s="38"/>
      <c r="EPT14" s="38"/>
      <c r="EPU14" s="38"/>
      <c r="EPV14" s="38"/>
      <c r="EPW14" s="38"/>
      <c r="EPX14" s="38"/>
      <c r="EPY14" s="38"/>
      <c r="EPZ14" s="38"/>
      <c r="EQA14" s="38"/>
      <c r="EQB14" s="38"/>
      <c r="EQC14" s="38"/>
      <c r="EQD14" s="38"/>
      <c r="EQE14" s="38"/>
      <c r="EQF14" s="38"/>
      <c r="EQG14" s="38"/>
      <c r="EQH14" s="38"/>
      <c r="EQI14" s="38"/>
      <c r="EQJ14" s="38"/>
      <c r="EQK14" s="38"/>
      <c r="EQL14" s="38"/>
      <c r="EQM14" s="38"/>
      <c r="EQN14" s="38"/>
      <c r="EQO14" s="38"/>
      <c r="EQP14" s="38"/>
      <c r="EQQ14" s="38"/>
      <c r="EQR14" s="38"/>
      <c r="EQS14" s="38"/>
      <c r="EQT14" s="38"/>
      <c r="EQU14" s="38"/>
      <c r="EQV14" s="38"/>
      <c r="EQW14" s="38"/>
      <c r="EQX14" s="38"/>
      <c r="EQY14" s="38"/>
      <c r="EQZ14" s="38"/>
      <c r="ERA14" s="38"/>
      <c r="ERB14" s="38"/>
      <c r="ERC14" s="38"/>
      <c r="ERD14" s="38"/>
      <c r="ERE14" s="38"/>
      <c r="ERF14" s="38"/>
      <c r="ERG14" s="38"/>
      <c r="ERH14" s="38"/>
      <c r="ERI14" s="38"/>
      <c r="ERJ14" s="38"/>
      <c r="ERK14" s="38"/>
      <c r="ERL14" s="38"/>
      <c r="ERM14" s="38"/>
      <c r="ERN14" s="38"/>
      <c r="ERO14" s="38"/>
      <c r="ERP14" s="38"/>
      <c r="ERQ14" s="38"/>
      <c r="ERR14" s="38"/>
      <c r="ERS14" s="38"/>
      <c r="ERT14" s="38"/>
      <c r="ERU14" s="38"/>
      <c r="ERV14" s="38"/>
      <c r="ERW14" s="38"/>
      <c r="ERX14" s="38"/>
      <c r="ERY14" s="38"/>
      <c r="ERZ14" s="38"/>
      <c r="ESA14" s="38"/>
      <c r="ESB14" s="38"/>
      <c r="ESC14" s="38"/>
      <c r="ESD14" s="38"/>
      <c r="ESE14" s="38"/>
      <c r="ESF14" s="38"/>
      <c r="ESG14" s="38"/>
      <c r="ESH14" s="38"/>
      <c r="ESI14" s="38"/>
      <c r="ESJ14" s="38"/>
      <c r="ESK14" s="38"/>
      <c r="ESL14" s="38"/>
      <c r="ESM14" s="38"/>
      <c r="ESN14" s="38"/>
      <c r="ESO14" s="38"/>
      <c r="ESP14" s="38"/>
      <c r="ESQ14" s="38"/>
      <c r="ESR14" s="38"/>
      <c r="ESS14" s="38"/>
      <c r="EST14" s="38"/>
      <c r="ESU14" s="38"/>
      <c r="ESV14" s="38"/>
      <c r="ESW14" s="38"/>
      <c r="ESX14" s="38"/>
      <c r="ESY14" s="38"/>
      <c r="ESZ14" s="38"/>
      <c r="ETA14" s="38"/>
      <c r="ETB14" s="38"/>
      <c r="ETC14" s="38"/>
      <c r="ETD14" s="38"/>
      <c r="ETE14" s="38"/>
      <c r="ETF14" s="38"/>
      <c r="ETG14" s="38"/>
      <c r="ETH14" s="38"/>
      <c r="ETI14" s="38"/>
      <c r="ETJ14" s="38"/>
      <c r="ETK14" s="38"/>
      <c r="ETL14" s="38"/>
      <c r="ETM14" s="38"/>
      <c r="ETN14" s="38"/>
      <c r="ETO14" s="38"/>
      <c r="ETP14" s="38"/>
      <c r="ETQ14" s="38"/>
      <c r="ETR14" s="38"/>
      <c r="ETS14" s="38"/>
      <c r="ETT14" s="38"/>
      <c r="ETU14" s="38"/>
      <c r="ETV14" s="38"/>
      <c r="ETW14" s="38"/>
      <c r="ETX14" s="38"/>
      <c r="ETY14" s="38"/>
      <c r="ETZ14" s="38"/>
      <c r="EUA14" s="38"/>
      <c r="EUB14" s="38"/>
      <c r="EUC14" s="38"/>
      <c r="EUD14" s="38"/>
      <c r="EUE14" s="38"/>
      <c r="EUF14" s="38"/>
      <c r="EUG14" s="38"/>
      <c r="EUH14" s="38"/>
      <c r="EUI14" s="38"/>
      <c r="EUJ14" s="38"/>
      <c r="EUK14" s="38"/>
      <c r="EUL14" s="38"/>
      <c r="EUM14" s="38"/>
      <c r="EUN14" s="38"/>
      <c r="EUO14" s="38"/>
      <c r="EUP14" s="38"/>
      <c r="EUQ14" s="38"/>
      <c r="EUR14" s="38"/>
      <c r="EUS14" s="38"/>
      <c r="EUT14" s="38"/>
      <c r="EUU14" s="38"/>
      <c r="EUV14" s="38"/>
      <c r="EUW14" s="38"/>
      <c r="EUX14" s="38"/>
      <c r="EUY14" s="38"/>
      <c r="EUZ14" s="38"/>
      <c r="EVA14" s="38"/>
      <c r="EVB14" s="38"/>
      <c r="EVC14" s="38"/>
      <c r="EVD14" s="38"/>
      <c r="EVE14" s="38"/>
      <c r="EVF14" s="38"/>
      <c r="EVG14" s="38"/>
      <c r="EVH14" s="38"/>
      <c r="EVI14" s="38"/>
      <c r="EVJ14" s="38"/>
      <c r="EVK14" s="38"/>
      <c r="EVL14" s="38"/>
      <c r="EVM14" s="38"/>
      <c r="EVN14" s="38"/>
      <c r="EVO14" s="38"/>
      <c r="EVP14" s="38"/>
      <c r="EVQ14" s="38"/>
      <c r="EVR14" s="38"/>
      <c r="EVS14" s="38"/>
      <c r="EVT14" s="38"/>
      <c r="EVU14" s="38"/>
      <c r="EVV14" s="38"/>
      <c r="EVW14" s="38"/>
      <c r="EVX14" s="38"/>
      <c r="EVY14" s="38"/>
      <c r="EVZ14" s="38"/>
      <c r="EWA14" s="38"/>
      <c r="EWB14" s="38"/>
      <c r="EWC14" s="38"/>
      <c r="EWD14" s="38"/>
      <c r="EWE14" s="38"/>
      <c r="EWF14" s="38"/>
      <c r="EWG14" s="38"/>
      <c r="EWH14" s="38"/>
      <c r="EWI14" s="38"/>
      <c r="EWJ14" s="38"/>
      <c r="EWK14" s="38"/>
      <c r="EWL14" s="38"/>
      <c r="EWM14" s="38"/>
      <c r="EWN14" s="38"/>
      <c r="EWO14" s="38"/>
      <c r="EWP14" s="38"/>
      <c r="EWQ14" s="38"/>
      <c r="EWR14" s="38"/>
      <c r="EWS14" s="38"/>
      <c r="EWT14" s="38"/>
      <c r="EWU14" s="38"/>
      <c r="EWV14" s="38"/>
      <c r="EWW14" s="38"/>
      <c r="EWX14" s="38"/>
      <c r="EWY14" s="38"/>
      <c r="EWZ14" s="38"/>
      <c r="EXA14" s="38"/>
      <c r="EXB14" s="38"/>
      <c r="EXC14" s="38"/>
      <c r="EXD14" s="38"/>
      <c r="EXE14" s="38"/>
      <c r="EXF14" s="38"/>
      <c r="EXG14" s="38"/>
      <c r="EXH14" s="38"/>
      <c r="EXI14" s="38"/>
      <c r="EXJ14" s="38"/>
      <c r="EXK14" s="38"/>
      <c r="EXL14" s="38"/>
      <c r="EXM14" s="38"/>
      <c r="EXN14" s="38"/>
      <c r="EXO14" s="38"/>
      <c r="EXP14" s="38"/>
      <c r="EXQ14" s="38"/>
      <c r="EXR14" s="38"/>
      <c r="EXS14" s="38"/>
      <c r="EXT14" s="38"/>
      <c r="EXU14" s="38"/>
      <c r="EXV14" s="38"/>
      <c r="EXW14" s="38"/>
      <c r="EXX14" s="38"/>
      <c r="EXY14" s="38"/>
      <c r="EXZ14" s="38"/>
      <c r="EYA14" s="38"/>
      <c r="EYB14" s="38"/>
      <c r="EYC14" s="38"/>
      <c r="EYD14" s="38"/>
      <c r="EYE14" s="38"/>
      <c r="EYF14" s="38"/>
      <c r="EYG14" s="38"/>
      <c r="EYH14" s="38"/>
      <c r="EYI14" s="38"/>
      <c r="EYJ14" s="38"/>
      <c r="EYK14" s="38"/>
      <c r="EYL14" s="38"/>
      <c r="EYM14" s="38"/>
      <c r="EYN14" s="38"/>
      <c r="EYO14" s="38"/>
      <c r="EYP14" s="38"/>
      <c r="EYQ14" s="38"/>
      <c r="EYR14" s="38"/>
      <c r="EYS14" s="38"/>
      <c r="EYT14" s="38"/>
      <c r="EYU14" s="38"/>
      <c r="EYV14" s="38"/>
      <c r="EYW14" s="38"/>
      <c r="EYX14" s="38"/>
      <c r="EYY14" s="38"/>
      <c r="EYZ14" s="38"/>
      <c r="EZA14" s="38"/>
      <c r="EZB14" s="38"/>
      <c r="EZC14" s="38"/>
      <c r="EZD14" s="38"/>
      <c r="EZE14" s="38"/>
      <c r="EZF14" s="38"/>
      <c r="EZG14" s="38"/>
      <c r="EZH14" s="38"/>
      <c r="EZI14" s="38"/>
      <c r="EZJ14" s="38"/>
      <c r="EZK14" s="38"/>
      <c r="EZL14" s="38"/>
      <c r="EZM14" s="38"/>
      <c r="EZN14" s="38"/>
      <c r="EZO14" s="38"/>
      <c r="EZP14" s="38"/>
      <c r="EZQ14" s="38"/>
      <c r="EZR14" s="38"/>
      <c r="EZS14" s="38"/>
      <c r="EZT14" s="38"/>
      <c r="EZU14" s="38"/>
      <c r="EZV14" s="38"/>
      <c r="EZW14" s="38"/>
      <c r="EZX14" s="38"/>
      <c r="EZY14" s="38"/>
      <c r="EZZ14" s="38"/>
      <c r="FAA14" s="38"/>
      <c r="FAB14" s="38"/>
      <c r="FAC14" s="38"/>
      <c r="FAD14" s="38"/>
      <c r="FAE14" s="38"/>
      <c r="FAF14" s="38"/>
      <c r="FAG14" s="38"/>
      <c r="FAH14" s="38"/>
      <c r="FAI14" s="38"/>
      <c r="FAJ14" s="38"/>
      <c r="FAK14" s="38"/>
      <c r="FAL14" s="38"/>
      <c r="FAM14" s="38"/>
      <c r="FAN14" s="38"/>
      <c r="FAO14" s="38"/>
      <c r="FAP14" s="38"/>
      <c r="FAQ14" s="38"/>
      <c r="FAR14" s="38"/>
      <c r="FAS14" s="38"/>
      <c r="FAT14" s="38"/>
      <c r="FAU14" s="38"/>
      <c r="FAV14" s="38"/>
      <c r="FAW14" s="38"/>
      <c r="FAX14" s="38"/>
      <c r="FAY14" s="38"/>
      <c r="FAZ14" s="38"/>
      <c r="FBA14" s="38"/>
      <c r="FBB14" s="38"/>
      <c r="FBC14" s="38"/>
      <c r="FBD14" s="38"/>
      <c r="FBE14" s="38"/>
      <c r="FBF14" s="38"/>
      <c r="FBG14" s="38"/>
      <c r="FBH14" s="38"/>
      <c r="FBI14" s="38"/>
      <c r="FBJ14" s="38"/>
      <c r="FBK14" s="38"/>
      <c r="FBL14" s="38"/>
      <c r="FBM14" s="38"/>
      <c r="FBN14" s="38"/>
      <c r="FBO14" s="38"/>
      <c r="FBP14" s="38"/>
      <c r="FBQ14" s="38"/>
      <c r="FBR14" s="38"/>
      <c r="FBS14" s="38"/>
      <c r="FBT14" s="38"/>
      <c r="FBU14" s="38"/>
      <c r="FBV14" s="38"/>
      <c r="FBW14" s="38"/>
      <c r="FBX14" s="38"/>
      <c r="FBY14" s="38"/>
      <c r="FBZ14" s="38"/>
      <c r="FCA14" s="38"/>
      <c r="FCB14" s="38"/>
      <c r="FCC14" s="38"/>
      <c r="FCD14" s="38"/>
      <c r="FCE14" s="38"/>
      <c r="FCF14" s="38"/>
      <c r="FCG14" s="38"/>
      <c r="FCH14" s="38"/>
      <c r="FCI14" s="38"/>
      <c r="FCJ14" s="38"/>
      <c r="FCK14" s="38"/>
      <c r="FCL14" s="38"/>
      <c r="FCM14" s="38"/>
      <c r="FCN14" s="38"/>
      <c r="FCO14" s="38"/>
      <c r="FCP14" s="38"/>
      <c r="FCQ14" s="38"/>
      <c r="FCR14" s="38"/>
      <c r="FCS14" s="38"/>
      <c r="FCT14" s="38"/>
      <c r="FCU14" s="38"/>
      <c r="FCV14" s="38"/>
      <c r="FCW14" s="38"/>
      <c r="FCX14" s="38"/>
      <c r="FCY14" s="38"/>
      <c r="FCZ14" s="38"/>
      <c r="FDA14" s="38"/>
      <c r="FDB14" s="38"/>
      <c r="FDC14" s="38"/>
      <c r="FDD14" s="38"/>
      <c r="FDE14" s="38"/>
      <c r="FDF14" s="38"/>
      <c r="FDG14" s="38"/>
      <c r="FDH14" s="38"/>
      <c r="FDI14" s="38"/>
      <c r="FDJ14" s="38"/>
      <c r="FDK14" s="38"/>
      <c r="FDL14" s="38"/>
      <c r="FDM14" s="38"/>
      <c r="FDN14" s="38"/>
      <c r="FDO14" s="38"/>
      <c r="FDP14" s="38"/>
      <c r="FDQ14" s="38"/>
      <c r="FDR14" s="38"/>
      <c r="FDS14" s="38"/>
      <c r="FDT14" s="38"/>
      <c r="FDU14" s="38"/>
      <c r="FDV14" s="38"/>
      <c r="FDW14" s="38"/>
      <c r="FDX14" s="38"/>
      <c r="FDY14" s="38"/>
      <c r="FDZ14" s="38"/>
      <c r="FEA14" s="38"/>
      <c r="FEB14" s="38"/>
      <c r="FEC14" s="38"/>
      <c r="FED14" s="38"/>
      <c r="FEE14" s="38"/>
      <c r="FEF14" s="38"/>
      <c r="FEG14" s="38"/>
      <c r="FEH14" s="38"/>
      <c r="FEI14" s="38"/>
      <c r="FEJ14" s="38"/>
      <c r="FEK14" s="38"/>
      <c r="FEL14" s="38"/>
      <c r="FEM14" s="38"/>
      <c r="FEN14" s="38"/>
      <c r="FEO14" s="38"/>
      <c r="FEP14" s="38"/>
      <c r="FEQ14" s="38"/>
      <c r="FER14" s="38"/>
      <c r="FES14" s="38"/>
      <c r="FET14" s="38"/>
      <c r="FEU14" s="38"/>
      <c r="FEV14" s="38"/>
      <c r="FEW14" s="38"/>
      <c r="FEX14" s="38"/>
      <c r="FEY14" s="38"/>
      <c r="FEZ14" s="38"/>
      <c r="FFA14" s="38"/>
      <c r="FFB14" s="38"/>
      <c r="FFC14" s="38"/>
      <c r="FFD14" s="38"/>
      <c r="FFE14" s="38"/>
      <c r="FFF14" s="38"/>
      <c r="FFG14" s="38"/>
      <c r="FFH14" s="38"/>
      <c r="FFI14" s="38"/>
      <c r="FFJ14" s="38"/>
      <c r="FFK14" s="38"/>
      <c r="FFL14" s="38"/>
      <c r="FFM14" s="38"/>
      <c r="FFN14" s="38"/>
      <c r="FFO14" s="38"/>
      <c r="FFP14" s="38"/>
      <c r="FFQ14" s="38"/>
      <c r="FFR14" s="38"/>
      <c r="FFS14" s="38"/>
      <c r="FFT14" s="38"/>
      <c r="FFU14" s="38"/>
      <c r="FFV14" s="38"/>
      <c r="FFW14" s="38"/>
      <c r="FFX14" s="38"/>
      <c r="FFY14" s="38"/>
      <c r="FFZ14" s="38"/>
      <c r="FGA14" s="38"/>
      <c r="FGB14" s="38"/>
      <c r="FGC14" s="38"/>
      <c r="FGD14" s="38"/>
      <c r="FGE14" s="38"/>
      <c r="FGF14" s="38"/>
      <c r="FGG14" s="38"/>
      <c r="FGH14" s="38"/>
      <c r="FGI14" s="38"/>
      <c r="FGJ14" s="38"/>
      <c r="FGK14" s="38"/>
      <c r="FGL14" s="38"/>
      <c r="FGM14" s="38"/>
      <c r="FGN14" s="38"/>
      <c r="FGO14" s="38"/>
      <c r="FGP14" s="38"/>
      <c r="FGQ14" s="38"/>
      <c r="FGR14" s="38"/>
      <c r="FGS14" s="38"/>
      <c r="FGT14" s="38"/>
      <c r="FGU14" s="38"/>
      <c r="FGV14" s="38"/>
      <c r="FGW14" s="38"/>
      <c r="FGX14" s="38"/>
      <c r="FGY14" s="38"/>
      <c r="FGZ14" s="38"/>
      <c r="FHA14" s="38"/>
      <c r="FHB14" s="38"/>
      <c r="FHC14" s="38"/>
      <c r="FHD14" s="38"/>
      <c r="FHE14" s="38"/>
      <c r="FHF14" s="38"/>
      <c r="FHG14" s="38"/>
      <c r="FHH14" s="38"/>
      <c r="FHI14" s="38"/>
      <c r="FHJ14" s="38"/>
      <c r="FHK14" s="38"/>
      <c r="FHL14" s="38"/>
      <c r="FHM14" s="38"/>
      <c r="FHN14" s="38"/>
      <c r="FHO14" s="38"/>
      <c r="FHP14" s="38"/>
      <c r="FHQ14" s="38"/>
      <c r="FHR14" s="38"/>
      <c r="FHS14" s="38"/>
      <c r="FHT14" s="38"/>
      <c r="FHU14" s="38"/>
      <c r="FHV14" s="38"/>
      <c r="FHW14" s="38"/>
      <c r="FHX14" s="38"/>
      <c r="FHY14" s="38"/>
      <c r="FHZ14" s="38"/>
      <c r="FIA14" s="38"/>
      <c r="FIB14" s="38"/>
      <c r="FIC14" s="38"/>
      <c r="FID14" s="38"/>
      <c r="FIE14" s="38"/>
      <c r="FIF14" s="38"/>
      <c r="FIG14" s="38"/>
      <c r="FIH14" s="38"/>
      <c r="FII14" s="38"/>
      <c r="FIJ14" s="38"/>
      <c r="FIK14" s="38"/>
      <c r="FIL14" s="38"/>
      <c r="FIM14" s="38"/>
      <c r="FIN14" s="38"/>
      <c r="FIO14" s="38"/>
      <c r="FIP14" s="38"/>
      <c r="FIQ14" s="38"/>
      <c r="FIR14" s="38"/>
      <c r="FIS14" s="38"/>
      <c r="FIT14" s="38"/>
      <c r="FIU14" s="38"/>
      <c r="FIV14" s="38"/>
      <c r="FIW14" s="38"/>
      <c r="FIX14" s="38"/>
      <c r="FIY14" s="38"/>
      <c r="FIZ14" s="38"/>
      <c r="FJA14" s="38"/>
      <c r="FJB14" s="38"/>
      <c r="FJC14" s="38"/>
      <c r="FJD14" s="38"/>
      <c r="FJE14" s="38"/>
      <c r="FJF14" s="38"/>
      <c r="FJG14" s="38"/>
      <c r="FJH14" s="38"/>
      <c r="FJI14" s="38"/>
      <c r="FJJ14" s="38"/>
      <c r="FJK14" s="38"/>
      <c r="FJL14" s="38"/>
      <c r="FJM14" s="38"/>
      <c r="FJN14" s="38"/>
      <c r="FJO14" s="38"/>
      <c r="FJP14" s="38"/>
      <c r="FJQ14" s="38"/>
      <c r="FJR14" s="38"/>
      <c r="FJS14" s="38"/>
      <c r="FJT14" s="38"/>
      <c r="FJU14" s="38"/>
      <c r="FJV14" s="38"/>
      <c r="FJW14" s="38"/>
      <c r="FJX14" s="38"/>
      <c r="FJY14" s="38"/>
      <c r="FJZ14" s="38"/>
      <c r="FKA14" s="38"/>
      <c r="FKB14" s="38"/>
      <c r="FKC14" s="38"/>
      <c r="FKD14" s="38"/>
      <c r="FKE14" s="38"/>
      <c r="FKF14" s="38"/>
      <c r="FKG14" s="38"/>
      <c r="FKH14" s="38"/>
      <c r="FKI14" s="38"/>
      <c r="FKJ14" s="38"/>
      <c r="FKK14" s="38"/>
      <c r="FKL14" s="38"/>
      <c r="FKM14" s="38"/>
      <c r="FKN14" s="38"/>
      <c r="FKO14" s="38"/>
      <c r="FKP14" s="38"/>
      <c r="FKQ14" s="38"/>
      <c r="FKR14" s="38"/>
      <c r="FKS14" s="38"/>
      <c r="FKT14" s="38"/>
      <c r="FKU14" s="38"/>
      <c r="FKV14" s="38"/>
      <c r="FKW14" s="38"/>
      <c r="FKX14" s="38"/>
      <c r="FKY14" s="38"/>
      <c r="FKZ14" s="38"/>
      <c r="FLA14" s="38"/>
      <c r="FLB14" s="38"/>
      <c r="FLC14" s="38"/>
      <c r="FLD14" s="38"/>
      <c r="FLE14" s="38"/>
      <c r="FLF14" s="38"/>
      <c r="FLG14" s="38"/>
      <c r="FLH14" s="38"/>
      <c r="FLI14" s="38"/>
      <c r="FLJ14" s="38"/>
      <c r="FLK14" s="38"/>
      <c r="FLL14" s="38"/>
      <c r="FLM14" s="38"/>
      <c r="FLN14" s="38"/>
      <c r="FLO14" s="38"/>
      <c r="FLP14" s="38"/>
      <c r="FLQ14" s="38"/>
      <c r="FLR14" s="38"/>
      <c r="FLS14" s="38"/>
      <c r="FLT14" s="38"/>
      <c r="FLU14" s="38"/>
      <c r="FLV14" s="38"/>
      <c r="FLW14" s="38"/>
      <c r="FLX14" s="38"/>
      <c r="FLY14" s="38"/>
      <c r="FLZ14" s="38"/>
      <c r="FMA14" s="38"/>
      <c r="FMB14" s="38"/>
      <c r="FMC14" s="38"/>
      <c r="FMD14" s="38"/>
      <c r="FME14" s="38"/>
      <c r="FMF14" s="38"/>
      <c r="FMG14" s="38"/>
      <c r="FMH14" s="38"/>
      <c r="FMI14" s="38"/>
      <c r="FMJ14" s="38"/>
      <c r="FMK14" s="38"/>
      <c r="FML14" s="38"/>
      <c r="FMM14" s="38"/>
      <c r="FMN14" s="38"/>
      <c r="FMO14" s="38"/>
      <c r="FMP14" s="38"/>
      <c r="FMQ14" s="38"/>
      <c r="FMR14" s="38"/>
      <c r="FMS14" s="38"/>
      <c r="FMT14" s="38"/>
      <c r="FMU14" s="38"/>
      <c r="FMV14" s="38"/>
      <c r="FMW14" s="38"/>
      <c r="FMX14" s="38"/>
      <c r="FMY14" s="38"/>
      <c r="FMZ14" s="38"/>
      <c r="FNA14" s="38"/>
      <c r="FNB14" s="38"/>
      <c r="FNC14" s="38"/>
      <c r="FND14" s="38"/>
      <c r="FNE14" s="38"/>
      <c r="FNF14" s="38"/>
      <c r="FNG14" s="38"/>
      <c r="FNH14" s="38"/>
      <c r="FNI14" s="38"/>
      <c r="FNJ14" s="38"/>
      <c r="FNK14" s="38"/>
      <c r="FNL14" s="38"/>
      <c r="FNM14" s="38"/>
      <c r="FNN14" s="38"/>
      <c r="FNO14" s="38"/>
      <c r="FNP14" s="38"/>
      <c r="FNQ14" s="38"/>
      <c r="FNR14" s="38"/>
      <c r="FNS14" s="38"/>
      <c r="FNT14" s="38"/>
      <c r="FNU14" s="38"/>
      <c r="FNV14" s="38"/>
      <c r="FNW14" s="38"/>
      <c r="FNX14" s="38"/>
      <c r="FNY14" s="38"/>
      <c r="FNZ14" s="38"/>
      <c r="FOA14" s="38"/>
      <c r="FOB14" s="38"/>
      <c r="FOC14" s="38"/>
      <c r="FOD14" s="38"/>
      <c r="FOE14" s="38"/>
      <c r="FOF14" s="38"/>
      <c r="FOG14" s="38"/>
      <c r="FOH14" s="38"/>
      <c r="FOI14" s="38"/>
      <c r="FOJ14" s="38"/>
      <c r="FOK14" s="38"/>
      <c r="FOL14" s="38"/>
      <c r="FOM14" s="38"/>
      <c r="FON14" s="38"/>
      <c r="FOO14" s="38"/>
      <c r="FOP14" s="38"/>
      <c r="FOQ14" s="38"/>
      <c r="FOR14" s="38"/>
      <c r="FOS14" s="38"/>
      <c r="FOT14" s="38"/>
      <c r="FOU14" s="38"/>
      <c r="FOV14" s="38"/>
      <c r="FOW14" s="38"/>
      <c r="FOX14" s="38"/>
      <c r="FOY14" s="38"/>
      <c r="FOZ14" s="38"/>
      <c r="FPA14" s="38"/>
      <c r="FPB14" s="38"/>
      <c r="FPC14" s="38"/>
      <c r="FPD14" s="38"/>
      <c r="FPE14" s="38"/>
      <c r="FPF14" s="38"/>
      <c r="FPG14" s="38"/>
      <c r="FPH14" s="38"/>
      <c r="FPI14" s="38"/>
      <c r="FPJ14" s="38"/>
      <c r="FPK14" s="38"/>
      <c r="FPL14" s="38"/>
      <c r="FPM14" s="38"/>
      <c r="FPN14" s="38"/>
      <c r="FPO14" s="38"/>
      <c r="FPP14" s="38"/>
      <c r="FPQ14" s="38"/>
      <c r="FPR14" s="38"/>
      <c r="FPS14" s="38"/>
      <c r="FPT14" s="38"/>
      <c r="FPU14" s="38"/>
      <c r="FPV14" s="38"/>
      <c r="FPW14" s="38"/>
      <c r="FPX14" s="38"/>
      <c r="FPY14" s="38"/>
      <c r="FPZ14" s="38"/>
      <c r="FQA14" s="38"/>
      <c r="FQB14" s="38"/>
      <c r="FQC14" s="38"/>
      <c r="FQD14" s="38"/>
      <c r="FQE14" s="38"/>
      <c r="FQF14" s="38"/>
      <c r="FQG14" s="38"/>
      <c r="FQH14" s="38"/>
      <c r="FQI14" s="38"/>
      <c r="FQJ14" s="38"/>
      <c r="FQK14" s="38"/>
      <c r="FQL14" s="38"/>
      <c r="FQM14" s="38"/>
      <c r="FQN14" s="38"/>
      <c r="FQO14" s="38"/>
      <c r="FQP14" s="38"/>
      <c r="FQQ14" s="38"/>
      <c r="FQR14" s="38"/>
      <c r="FQS14" s="38"/>
      <c r="FQT14" s="38"/>
      <c r="FQU14" s="38"/>
      <c r="FQV14" s="38"/>
      <c r="FQW14" s="38"/>
      <c r="FQX14" s="38"/>
      <c r="FQY14" s="38"/>
      <c r="FQZ14" s="38"/>
      <c r="FRA14" s="38"/>
      <c r="FRB14" s="38"/>
      <c r="FRC14" s="38"/>
      <c r="FRD14" s="38"/>
      <c r="FRE14" s="38"/>
      <c r="FRF14" s="38"/>
      <c r="FRG14" s="38"/>
      <c r="FRH14" s="38"/>
      <c r="FRI14" s="38"/>
      <c r="FRJ14" s="38"/>
      <c r="FRK14" s="38"/>
      <c r="FRL14" s="38"/>
      <c r="FRM14" s="38"/>
      <c r="FRN14" s="38"/>
      <c r="FRO14" s="38"/>
      <c r="FRP14" s="38"/>
      <c r="FRQ14" s="38"/>
      <c r="FRR14" s="38"/>
      <c r="FRS14" s="38"/>
      <c r="FRT14" s="38"/>
      <c r="FRU14" s="38"/>
      <c r="FRV14" s="38"/>
      <c r="FRW14" s="38"/>
      <c r="FRX14" s="38"/>
      <c r="FRY14" s="38"/>
      <c r="FRZ14" s="38"/>
      <c r="FSA14" s="38"/>
      <c r="FSB14" s="38"/>
      <c r="FSC14" s="38"/>
      <c r="FSD14" s="38"/>
      <c r="FSE14" s="38"/>
      <c r="FSF14" s="38"/>
      <c r="FSG14" s="38"/>
      <c r="FSH14" s="38"/>
      <c r="FSI14" s="38"/>
      <c r="FSJ14" s="38"/>
      <c r="FSK14" s="38"/>
      <c r="FSL14" s="38"/>
      <c r="FSM14" s="38"/>
      <c r="FSN14" s="38"/>
      <c r="FSO14" s="38"/>
      <c r="FSP14" s="38"/>
      <c r="FSQ14" s="38"/>
      <c r="FSR14" s="38"/>
      <c r="FSS14" s="38"/>
      <c r="FST14" s="38"/>
      <c r="FSU14" s="38"/>
      <c r="FSV14" s="38"/>
      <c r="FSW14" s="38"/>
      <c r="FSX14" s="38"/>
      <c r="FSY14" s="38"/>
      <c r="FSZ14" s="38"/>
      <c r="FTA14" s="38"/>
      <c r="FTB14" s="38"/>
      <c r="FTC14" s="38"/>
      <c r="FTD14" s="38"/>
      <c r="FTE14" s="38"/>
      <c r="FTF14" s="38"/>
      <c r="FTG14" s="38"/>
      <c r="FTH14" s="38"/>
      <c r="FTI14" s="38"/>
      <c r="FTJ14" s="38"/>
      <c r="FTK14" s="38"/>
      <c r="FTL14" s="38"/>
      <c r="FTM14" s="38"/>
      <c r="FTN14" s="38"/>
      <c r="FTO14" s="38"/>
      <c r="FTP14" s="38"/>
      <c r="FTQ14" s="38"/>
      <c r="FTR14" s="38"/>
      <c r="FTS14" s="38"/>
      <c r="FTT14" s="38"/>
      <c r="FTU14" s="38"/>
      <c r="FTV14" s="38"/>
      <c r="FTW14" s="38"/>
      <c r="FTX14" s="38"/>
      <c r="FTY14" s="38"/>
      <c r="FTZ14" s="38"/>
      <c r="FUA14" s="38"/>
      <c r="FUB14" s="38"/>
      <c r="FUC14" s="38"/>
      <c r="FUD14" s="38"/>
      <c r="FUE14" s="38"/>
      <c r="FUF14" s="38"/>
      <c r="FUG14" s="38"/>
      <c r="FUH14" s="38"/>
      <c r="FUI14" s="38"/>
      <c r="FUJ14" s="38"/>
      <c r="FUK14" s="38"/>
      <c r="FUL14" s="38"/>
      <c r="FUM14" s="38"/>
      <c r="FUN14" s="38"/>
      <c r="FUO14" s="38"/>
      <c r="FUP14" s="38"/>
      <c r="FUQ14" s="38"/>
      <c r="FUR14" s="38"/>
      <c r="FUS14" s="38"/>
      <c r="FUT14" s="38"/>
      <c r="FUU14" s="38"/>
      <c r="FUV14" s="38"/>
      <c r="FUW14" s="38"/>
      <c r="FUX14" s="38"/>
      <c r="FUY14" s="38"/>
      <c r="FUZ14" s="38"/>
      <c r="FVA14" s="38"/>
      <c r="FVB14" s="38"/>
      <c r="FVC14" s="38"/>
      <c r="FVD14" s="38"/>
      <c r="FVE14" s="38"/>
      <c r="FVF14" s="38"/>
      <c r="FVG14" s="38"/>
      <c r="FVH14" s="38"/>
      <c r="FVI14" s="38"/>
      <c r="FVJ14" s="38"/>
      <c r="FVK14" s="38"/>
      <c r="FVL14" s="38"/>
      <c r="FVM14" s="38"/>
      <c r="FVN14" s="38"/>
      <c r="FVO14" s="38"/>
      <c r="FVP14" s="38"/>
      <c r="FVQ14" s="38"/>
      <c r="FVR14" s="38"/>
      <c r="FVS14" s="38"/>
      <c r="FVT14" s="38"/>
      <c r="FVU14" s="38"/>
      <c r="FVV14" s="38"/>
      <c r="FVW14" s="38"/>
      <c r="FVX14" s="38"/>
      <c r="FVY14" s="38"/>
      <c r="FVZ14" s="38"/>
      <c r="FWA14" s="38"/>
      <c r="FWB14" s="38"/>
      <c r="FWC14" s="38"/>
      <c r="FWD14" s="38"/>
      <c r="FWE14" s="38"/>
      <c r="FWF14" s="38"/>
      <c r="FWG14" s="38"/>
      <c r="FWH14" s="38"/>
      <c r="FWI14" s="38"/>
      <c r="FWJ14" s="38"/>
      <c r="FWK14" s="38"/>
      <c r="FWL14" s="38"/>
      <c r="FWM14" s="38"/>
      <c r="FWN14" s="38"/>
      <c r="FWO14" s="38"/>
      <c r="FWP14" s="38"/>
      <c r="FWQ14" s="38"/>
      <c r="FWR14" s="38"/>
      <c r="FWS14" s="38"/>
      <c r="FWT14" s="38"/>
      <c r="FWU14" s="38"/>
      <c r="FWV14" s="38"/>
      <c r="FWW14" s="38"/>
      <c r="FWX14" s="38"/>
      <c r="FWY14" s="38"/>
      <c r="FWZ14" s="38"/>
      <c r="FXA14" s="38"/>
      <c r="FXB14" s="38"/>
      <c r="FXC14" s="38"/>
      <c r="FXD14" s="38"/>
      <c r="FXE14" s="38"/>
      <c r="FXF14" s="38"/>
      <c r="FXG14" s="38"/>
      <c r="FXH14" s="38"/>
      <c r="FXI14" s="38"/>
      <c r="FXJ14" s="38"/>
      <c r="FXK14" s="38"/>
      <c r="FXL14" s="38"/>
      <c r="FXM14" s="38"/>
      <c r="FXN14" s="38"/>
      <c r="FXO14" s="38"/>
      <c r="FXP14" s="38"/>
      <c r="FXQ14" s="38"/>
      <c r="FXR14" s="38"/>
      <c r="FXS14" s="38"/>
      <c r="FXT14" s="38"/>
      <c r="FXU14" s="38"/>
      <c r="FXV14" s="38"/>
      <c r="FXW14" s="38"/>
      <c r="FXX14" s="38"/>
      <c r="FXY14" s="38"/>
      <c r="FXZ14" s="38"/>
      <c r="FYA14" s="38"/>
      <c r="FYB14" s="38"/>
      <c r="FYC14" s="38"/>
      <c r="FYD14" s="38"/>
      <c r="FYE14" s="38"/>
      <c r="FYF14" s="38"/>
      <c r="FYG14" s="38"/>
      <c r="FYH14" s="38"/>
      <c r="FYI14" s="38"/>
      <c r="FYJ14" s="38"/>
      <c r="FYK14" s="38"/>
      <c r="FYL14" s="38"/>
      <c r="FYM14" s="38"/>
      <c r="FYN14" s="38"/>
      <c r="FYO14" s="38"/>
      <c r="FYP14" s="38"/>
      <c r="FYQ14" s="38"/>
      <c r="FYR14" s="38"/>
      <c r="FYS14" s="38"/>
      <c r="FYT14" s="38"/>
      <c r="FYU14" s="38"/>
      <c r="FYV14" s="38"/>
      <c r="FYW14" s="38"/>
      <c r="FYX14" s="38"/>
      <c r="FYY14" s="38"/>
      <c r="FYZ14" s="38"/>
      <c r="FZA14" s="38"/>
      <c r="FZB14" s="38"/>
      <c r="FZC14" s="38"/>
      <c r="FZD14" s="38"/>
      <c r="FZE14" s="38"/>
      <c r="FZF14" s="38"/>
      <c r="FZG14" s="38"/>
      <c r="FZH14" s="38"/>
      <c r="FZI14" s="38"/>
      <c r="FZJ14" s="38"/>
      <c r="FZK14" s="38"/>
      <c r="FZL14" s="38"/>
      <c r="FZM14" s="38"/>
      <c r="FZN14" s="38"/>
      <c r="FZO14" s="38"/>
      <c r="FZP14" s="38"/>
      <c r="FZQ14" s="38"/>
      <c r="FZR14" s="38"/>
      <c r="FZS14" s="38"/>
      <c r="FZT14" s="38"/>
      <c r="FZU14" s="38"/>
      <c r="FZV14" s="38"/>
      <c r="FZW14" s="38"/>
      <c r="FZX14" s="38"/>
      <c r="FZY14" s="38"/>
      <c r="FZZ14" s="38"/>
      <c r="GAA14" s="38"/>
      <c r="GAB14" s="38"/>
      <c r="GAC14" s="38"/>
      <c r="GAD14" s="38"/>
      <c r="GAE14" s="38"/>
      <c r="GAF14" s="38"/>
      <c r="GAG14" s="38"/>
      <c r="GAH14" s="38"/>
      <c r="GAI14" s="38"/>
      <c r="GAJ14" s="38"/>
      <c r="GAK14" s="38"/>
      <c r="GAL14" s="38"/>
      <c r="GAM14" s="38"/>
      <c r="GAN14" s="38"/>
      <c r="GAO14" s="38"/>
      <c r="GAP14" s="38"/>
      <c r="GAQ14" s="38"/>
      <c r="GAR14" s="38"/>
      <c r="GAS14" s="38"/>
      <c r="GAT14" s="38"/>
      <c r="GAU14" s="38"/>
      <c r="GAV14" s="38"/>
      <c r="GAW14" s="38"/>
      <c r="GAX14" s="38"/>
      <c r="GAY14" s="38"/>
      <c r="GAZ14" s="38"/>
      <c r="GBA14" s="38"/>
      <c r="GBB14" s="38"/>
      <c r="GBC14" s="38"/>
      <c r="GBD14" s="38"/>
      <c r="GBE14" s="38"/>
      <c r="GBF14" s="38"/>
      <c r="GBG14" s="38"/>
      <c r="GBH14" s="38"/>
      <c r="GBI14" s="38"/>
      <c r="GBJ14" s="38"/>
      <c r="GBK14" s="38"/>
      <c r="GBL14" s="38"/>
      <c r="GBM14" s="38"/>
      <c r="GBN14" s="38"/>
      <c r="GBO14" s="38"/>
      <c r="GBP14" s="38"/>
      <c r="GBQ14" s="38"/>
      <c r="GBR14" s="38"/>
      <c r="GBS14" s="38"/>
      <c r="GBT14" s="38"/>
      <c r="GBU14" s="38"/>
      <c r="GBV14" s="38"/>
      <c r="GBW14" s="38"/>
      <c r="GBX14" s="38"/>
      <c r="GBY14" s="38"/>
      <c r="GBZ14" s="38"/>
      <c r="GCA14" s="38"/>
      <c r="GCB14" s="38"/>
      <c r="GCC14" s="38"/>
      <c r="GCD14" s="38"/>
      <c r="GCE14" s="38"/>
      <c r="GCF14" s="38"/>
      <c r="GCG14" s="38"/>
      <c r="GCH14" s="38"/>
      <c r="GCI14" s="38"/>
      <c r="GCJ14" s="38"/>
      <c r="GCK14" s="38"/>
      <c r="GCL14" s="38"/>
      <c r="GCM14" s="38"/>
      <c r="GCN14" s="38"/>
      <c r="GCO14" s="38"/>
      <c r="GCP14" s="38"/>
      <c r="GCQ14" s="38"/>
      <c r="GCR14" s="38"/>
      <c r="GCS14" s="38"/>
      <c r="GCT14" s="38"/>
      <c r="GCU14" s="38"/>
      <c r="GCV14" s="38"/>
      <c r="GCW14" s="38"/>
      <c r="GCX14" s="38"/>
      <c r="GCY14" s="38"/>
      <c r="GCZ14" s="38"/>
      <c r="GDA14" s="38"/>
      <c r="GDB14" s="38"/>
      <c r="GDC14" s="38"/>
      <c r="GDD14" s="38"/>
      <c r="GDE14" s="38"/>
      <c r="GDF14" s="38"/>
      <c r="GDG14" s="38"/>
      <c r="GDH14" s="38"/>
      <c r="GDI14" s="38"/>
      <c r="GDJ14" s="38"/>
      <c r="GDK14" s="38"/>
      <c r="GDL14" s="38"/>
      <c r="GDM14" s="38"/>
      <c r="GDN14" s="38"/>
      <c r="GDO14" s="38"/>
      <c r="GDP14" s="38"/>
      <c r="GDQ14" s="38"/>
      <c r="GDR14" s="38"/>
      <c r="GDS14" s="38"/>
      <c r="GDT14" s="38"/>
      <c r="GDU14" s="38"/>
      <c r="GDV14" s="38"/>
      <c r="GDW14" s="38"/>
      <c r="GDX14" s="38"/>
      <c r="GDY14" s="38"/>
      <c r="GDZ14" s="38"/>
      <c r="GEA14" s="38"/>
      <c r="GEB14" s="38"/>
      <c r="GEC14" s="38"/>
      <c r="GED14" s="38"/>
      <c r="GEE14" s="38"/>
      <c r="GEF14" s="38"/>
      <c r="GEG14" s="38"/>
      <c r="GEH14" s="38"/>
      <c r="GEI14" s="38"/>
      <c r="GEJ14" s="38"/>
      <c r="GEK14" s="38"/>
      <c r="GEL14" s="38"/>
      <c r="GEM14" s="38"/>
      <c r="GEN14" s="38"/>
      <c r="GEO14" s="38"/>
      <c r="GEP14" s="38"/>
      <c r="GEQ14" s="38"/>
      <c r="GER14" s="38"/>
      <c r="GES14" s="38"/>
      <c r="GET14" s="38"/>
      <c r="GEU14" s="38"/>
      <c r="GEV14" s="38"/>
      <c r="GEW14" s="38"/>
      <c r="GEX14" s="38"/>
      <c r="GEY14" s="38"/>
      <c r="GEZ14" s="38"/>
      <c r="GFA14" s="38"/>
      <c r="GFB14" s="38"/>
      <c r="GFC14" s="38"/>
      <c r="GFD14" s="38"/>
      <c r="GFE14" s="38"/>
      <c r="GFF14" s="38"/>
      <c r="GFG14" s="38"/>
      <c r="GFH14" s="38"/>
      <c r="GFI14" s="38"/>
      <c r="GFJ14" s="38"/>
      <c r="GFK14" s="38"/>
      <c r="GFL14" s="38"/>
      <c r="GFM14" s="38"/>
      <c r="GFN14" s="38"/>
      <c r="GFO14" s="38"/>
      <c r="GFP14" s="38"/>
      <c r="GFQ14" s="38"/>
      <c r="GFR14" s="38"/>
      <c r="GFS14" s="38"/>
      <c r="GFT14" s="38"/>
      <c r="GFU14" s="38"/>
      <c r="GFV14" s="38"/>
      <c r="GFW14" s="38"/>
      <c r="GFX14" s="38"/>
      <c r="GFY14" s="38"/>
      <c r="GFZ14" s="38"/>
      <c r="GGA14" s="38"/>
      <c r="GGB14" s="38"/>
      <c r="GGC14" s="38"/>
      <c r="GGD14" s="38"/>
      <c r="GGE14" s="38"/>
      <c r="GGF14" s="38"/>
      <c r="GGG14" s="38"/>
      <c r="GGH14" s="38"/>
      <c r="GGI14" s="38"/>
      <c r="GGJ14" s="38"/>
      <c r="GGK14" s="38"/>
      <c r="GGL14" s="38"/>
      <c r="GGM14" s="38"/>
      <c r="GGN14" s="38"/>
      <c r="GGO14" s="38"/>
      <c r="GGP14" s="38"/>
      <c r="GGQ14" s="38"/>
      <c r="GGR14" s="38"/>
      <c r="GGS14" s="38"/>
      <c r="GGT14" s="38"/>
      <c r="GGU14" s="38"/>
      <c r="GGV14" s="38"/>
      <c r="GGW14" s="38"/>
      <c r="GGX14" s="38"/>
      <c r="GGY14" s="38"/>
      <c r="GGZ14" s="38"/>
      <c r="GHA14" s="38"/>
      <c r="GHB14" s="38"/>
      <c r="GHC14" s="38"/>
      <c r="GHD14" s="38"/>
      <c r="GHE14" s="38"/>
      <c r="GHF14" s="38"/>
      <c r="GHG14" s="38"/>
      <c r="GHH14" s="38"/>
      <c r="GHI14" s="38"/>
      <c r="GHJ14" s="38"/>
      <c r="GHK14" s="38"/>
      <c r="GHL14" s="38"/>
      <c r="GHM14" s="38"/>
      <c r="GHN14" s="38"/>
      <c r="GHO14" s="38"/>
      <c r="GHP14" s="38"/>
      <c r="GHQ14" s="38"/>
      <c r="GHR14" s="38"/>
      <c r="GHS14" s="38"/>
      <c r="GHT14" s="38"/>
      <c r="GHU14" s="38"/>
      <c r="GHV14" s="38"/>
      <c r="GHW14" s="38"/>
      <c r="GHX14" s="38"/>
      <c r="GHY14" s="38"/>
      <c r="GHZ14" s="38"/>
      <c r="GIA14" s="38"/>
      <c r="GIB14" s="38"/>
      <c r="GIC14" s="38"/>
      <c r="GID14" s="38"/>
      <c r="GIE14" s="38"/>
      <c r="GIF14" s="38"/>
      <c r="GIG14" s="38"/>
      <c r="GIH14" s="38"/>
      <c r="GII14" s="38"/>
      <c r="GIJ14" s="38"/>
      <c r="GIK14" s="38"/>
      <c r="GIL14" s="38"/>
      <c r="GIM14" s="38"/>
      <c r="GIN14" s="38"/>
      <c r="GIO14" s="38"/>
      <c r="GIP14" s="38"/>
      <c r="GIQ14" s="38"/>
      <c r="GIR14" s="38"/>
      <c r="GIS14" s="38"/>
      <c r="GIT14" s="38"/>
      <c r="GIU14" s="38"/>
      <c r="GIV14" s="38"/>
      <c r="GIW14" s="38"/>
      <c r="GIX14" s="38"/>
      <c r="GIY14" s="38"/>
      <c r="GIZ14" s="38"/>
      <c r="GJA14" s="38"/>
      <c r="GJB14" s="38"/>
      <c r="GJC14" s="38"/>
      <c r="GJD14" s="38"/>
      <c r="GJE14" s="38"/>
      <c r="GJF14" s="38"/>
      <c r="GJG14" s="38"/>
      <c r="GJH14" s="38"/>
      <c r="GJI14" s="38"/>
      <c r="GJJ14" s="38"/>
      <c r="GJK14" s="38"/>
      <c r="GJL14" s="38"/>
      <c r="GJM14" s="38"/>
      <c r="GJN14" s="38"/>
      <c r="GJO14" s="38"/>
      <c r="GJP14" s="38"/>
      <c r="GJQ14" s="38"/>
      <c r="GJR14" s="38"/>
      <c r="GJS14" s="38"/>
      <c r="GJT14" s="38"/>
      <c r="GJU14" s="38"/>
      <c r="GJV14" s="38"/>
      <c r="GJW14" s="38"/>
      <c r="GJX14" s="38"/>
      <c r="GJY14" s="38"/>
      <c r="GJZ14" s="38"/>
      <c r="GKA14" s="38"/>
      <c r="GKB14" s="38"/>
      <c r="GKC14" s="38"/>
      <c r="GKD14" s="38"/>
      <c r="GKE14" s="38"/>
      <c r="GKF14" s="38"/>
      <c r="GKG14" s="38"/>
      <c r="GKH14" s="38"/>
      <c r="GKI14" s="38"/>
      <c r="GKJ14" s="38"/>
      <c r="GKK14" s="38"/>
      <c r="GKL14" s="38"/>
      <c r="GKM14" s="38"/>
      <c r="GKN14" s="38"/>
      <c r="GKO14" s="38"/>
      <c r="GKP14" s="38"/>
      <c r="GKQ14" s="38"/>
      <c r="GKR14" s="38"/>
      <c r="GKS14" s="38"/>
      <c r="GKT14" s="38"/>
      <c r="GKU14" s="38"/>
      <c r="GKV14" s="38"/>
      <c r="GKW14" s="38"/>
      <c r="GKX14" s="38"/>
      <c r="GKY14" s="38"/>
      <c r="GKZ14" s="38"/>
      <c r="GLA14" s="38"/>
      <c r="GLB14" s="38"/>
      <c r="GLC14" s="38"/>
      <c r="GLD14" s="38"/>
      <c r="GLE14" s="38"/>
      <c r="GLF14" s="38"/>
      <c r="GLG14" s="38"/>
      <c r="GLH14" s="38"/>
      <c r="GLI14" s="38"/>
      <c r="GLJ14" s="38"/>
      <c r="GLK14" s="38"/>
      <c r="GLL14" s="38"/>
      <c r="GLM14" s="38"/>
      <c r="GLN14" s="38"/>
      <c r="GLO14" s="38"/>
      <c r="GLP14" s="38"/>
      <c r="GLQ14" s="38"/>
      <c r="GLR14" s="38"/>
      <c r="GLS14" s="38"/>
      <c r="GLT14" s="38"/>
      <c r="GLU14" s="38"/>
      <c r="GLV14" s="38"/>
      <c r="GLW14" s="38"/>
      <c r="GLX14" s="38"/>
      <c r="GLY14" s="38"/>
      <c r="GLZ14" s="38"/>
      <c r="GMA14" s="38"/>
      <c r="GMB14" s="38"/>
      <c r="GMC14" s="38"/>
      <c r="GMD14" s="38"/>
      <c r="GME14" s="38"/>
      <c r="GMF14" s="38"/>
      <c r="GMG14" s="38"/>
      <c r="GMH14" s="38"/>
      <c r="GMI14" s="38"/>
      <c r="GMJ14" s="38"/>
      <c r="GMK14" s="38"/>
      <c r="GML14" s="38"/>
      <c r="GMM14" s="38"/>
      <c r="GMN14" s="38"/>
      <c r="GMO14" s="38"/>
      <c r="GMP14" s="38"/>
      <c r="GMQ14" s="38"/>
      <c r="GMR14" s="38"/>
      <c r="GMS14" s="38"/>
      <c r="GMT14" s="38"/>
      <c r="GMU14" s="38"/>
      <c r="GMV14" s="38"/>
      <c r="GMW14" s="38"/>
      <c r="GMX14" s="38"/>
      <c r="GMY14" s="38"/>
      <c r="GMZ14" s="38"/>
      <c r="GNA14" s="38"/>
      <c r="GNB14" s="38"/>
      <c r="GNC14" s="38"/>
      <c r="GND14" s="38"/>
      <c r="GNE14" s="38"/>
      <c r="GNF14" s="38"/>
      <c r="GNG14" s="38"/>
      <c r="GNH14" s="38"/>
      <c r="GNI14" s="38"/>
      <c r="GNJ14" s="38"/>
      <c r="GNK14" s="38"/>
      <c r="GNL14" s="38"/>
      <c r="GNM14" s="38"/>
      <c r="GNN14" s="38"/>
      <c r="GNO14" s="38"/>
      <c r="GNP14" s="38"/>
      <c r="GNQ14" s="38"/>
      <c r="GNR14" s="38"/>
      <c r="GNS14" s="38"/>
      <c r="GNT14" s="38"/>
      <c r="GNU14" s="38"/>
      <c r="GNV14" s="38"/>
      <c r="GNW14" s="38"/>
      <c r="GNX14" s="38"/>
      <c r="GNY14" s="38"/>
      <c r="GNZ14" s="38"/>
      <c r="GOA14" s="38"/>
      <c r="GOB14" s="38"/>
      <c r="GOC14" s="38"/>
      <c r="GOD14" s="38"/>
      <c r="GOE14" s="38"/>
      <c r="GOF14" s="38"/>
      <c r="GOG14" s="38"/>
      <c r="GOH14" s="38"/>
      <c r="GOI14" s="38"/>
      <c r="GOJ14" s="38"/>
      <c r="GOK14" s="38"/>
      <c r="GOL14" s="38"/>
      <c r="GOM14" s="38"/>
      <c r="GON14" s="38"/>
      <c r="GOO14" s="38"/>
      <c r="GOP14" s="38"/>
      <c r="GOQ14" s="38"/>
      <c r="GOR14" s="38"/>
      <c r="GOS14" s="38"/>
      <c r="GOT14" s="38"/>
      <c r="GOU14" s="38"/>
      <c r="GOV14" s="38"/>
      <c r="GOW14" s="38"/>
      <c r="GOX14" s="38"/>
      <c r="GOY14" s="38"/>
      <c r="GOZ14" s="38"/>
      <c r="GPA14" s="38"/>
      <c r="GPB14" s="38"/>
      <c r="GPC14" s="38"/>
      <c r="GPD14" s="38"/>
      <c r="GPE14" s="38"/>
      <c r="GPF14" s="38"/>
      <c r="GPG14" s="38"/>
      <c r="GPH14" s="38"/>
      <c r="GPI14" s="38"/>
      <c r="GPJ14" s="38"/>
      <c r="GPK14" s="38"/>
      <c r="GPL14" s="38"/>
      <c r="GPM14" s="38"/>
      <c r="GPN14" s="38"/>
      <c r="GPO14" s="38"/>
      <c r="GPP14" s="38"/>
      <c r="GPQ14" s="38"/>
      <c r="GPR14" s="38"/>
      <c r="GPS14" s="38"/>
      <c r="GPT14" s="38"/>
      <c r="GPU14" s="38"/>
      <c r="GPV14" s="38"/>
      <c r="GPW14" s="38"/>
      <c r="GPX14" s="38"/>
      <c r="GPY14" s="38"/>
      <c r="GPZ14" s="38"/>
      <c r="GQA14" s="38"/>
      <c r="GQB14" s="38"/>
      <c r="GQC14" s="38"/>
      <c r="GQD14" s="38"/>
      <c r="GQE14" s="38"/>
      <c r="GQF14" s="38"/>
      <c r="GQG14" s="38"/>
      <c r="GQH14" s="38"/>
      <c r="GQI14" s="38"/>
      <c r="GQJ14" s="38"/>
      <c r="GQK14" s="38"/>
      <c r="GQL14" s="38"/>
      <c r="GQM14" s="38"/>
      <c r="GQN14" s="38"/>
      <c r="GQO14" s="38"/>
      <c r="GQP14" s="38"/>
      <c r="GQQ14" s="38"/>
      <c r="GQR14" s="38"/>
      <c r="GQS14" s="38"/>
      <c r="GQT14" s="38"/>
      <c r="GQU14" s="38"/>
      <c r="GQV14" s="38"/>
      <c r="GQW14" s="38"/>
      <c r="GQX14" s="38"/>
      <c r="GQY14" s="38"/>
      <c r="GQZ14" s="38"/>
      <c r="GRA14" s="38"/>
      <c r="GRB14" s="38"/>
      <c r="GRC14" s="38"/>
      <c r="GRD14" s="38"/>
      <c r="GRE14" s="38"/>
      <c r="GRF14" s="38"/>
      <c r="GRG14" s="38"/>
      <c r="GRH14" s="38"/>
      <c r="GRI14" s="38"/>
      <c r="GRJ14" s="38"/>
      <c r="GRK14" s="38"/>
      <c r="GRL14" s="38"/>
      <c r="GRM14" s="38"/>
      <c r="GRN14" s="38"/>
      <c r="GRO14" s="38"/>
      <c r="GRP14" s="38"/>
      <c r="GRQ14" s="38"/>
      <c r="GRR14" s="38"/>
      <c r="GRS14" s="38"/>
      <c r="GRT14" s="38"/>
      <c r="GRU14" s="38"/>
      <c r="GRV14" s="38"/>
      <c r="GRW14" s="38"/>
      <c r="GRX14" s="38"/>
      <c r="GRY14" s="38"/>
      <c r="GRZ14" s="38"/>
      <c r="GSA14" s="38"/>
      <c r="GSB14" s="38"/>
      <c r="GSC14" s="38"/>
      <c r="GSD14" s="38"/>
      <c r="GSE14" s="38"/>
      <c r="GSF14" s="38"/>
      <c r="GSG14" s="38"/>
      <c r="GSH14" s="38"/>
      <c r="GSI14" s="38"/>
      <c r="GSJ14" s="38"/>
      <c r="GSK14" s="38"/>
      <c r="GSL14" s="38"/>
      <c r="GSM14" s="38"/>
      <c r="GSN14" s="38"/>
      <c r="GSO14" s="38"/>
      <c r="GSP14" s="38"/>
      <c r="GSQ14" s="38"/>
      <c r="GSR14" s="38"/>
      <c r="GSS14" s="38"/>
      <c r="GST14" s="38"/>
      <c r="GSU14" s="38"/>
      <c r="GSV14" s="38"/>
      <c r="GSW14" s="38"/>
      <c r="GSX14" s="38"/>
      <c r="GSY14" s="38"/>
      <c r="GSZ14" s="38"/>
      <c r="GTA14" s="38"/>
      <c r="GTB14" s="38"/>
      <c r="GTC14" s="38"/>
      <c r="GTD14" s="38"/>
      <c r="GTE14" s="38"/>
      <c r="GTF14" s="38"/>
      <c r="GTG14" s="38"/>
      <c r="GTH14" s="38"/>
      <c r="GTI14" s="38"/>
      <c r="GTJ14" s="38"/>
      <c r="GTK14" s="38"/>
      <c r="GTL14" s="38"/>
      <c r="GTM14" s="38"/>
      <c r="GTN14" s="38"/>
      <c r="GTO14" s="38"/>
      <c r="GTP14" s="38"/>
      <c r="GTQ14" s="38"/>
      <c r="GTR14" s="38"/>
      <c r="GTS14" s="38"/>
      <c r="GTT14" s="38"/>
      <c r="GTU14" s="38"/>
      <c r="GTV14" s="38"/>
      <c r="GTW14" s="38"/>
      <c r="GTX14" s="38"/>
      <c r="GTY14" s="38"/>
      <c r="GTZ14" s="38"/>
      <c r="GUA14" s="38"/>
      <c r="GUB14" s="38"/>
      <c r="GUC14" s="38"/>
      <c r="GUD14" s="38"/>
      <c r="GUE14" s="38"/>
      <c r="GUF14" s="38"/>
      <c r="GUG14" s="38"/>
      <c r="GUH14" s="38"/>
      <c r="GUI14" s="38"/>
      <c r="GUJ14" s="38"/>
      <c r="GUK14" s="38"/>
      <c r="GUL14" s="38"/>
      <c r="GUM14" s="38"/>
      <c r="GUN14" s="38"/>
      <c r="GUO14" s="38"/>
      <c r="GUP14" s="38"/>
      <c r="GUQ14" s="38"/>
      <c r="GUR14" s="38"/>
      <c r="GUS14" s="38"/>
      <c r="GUT14" s="38"/>
      <c r="GUU14" s="38"/>
      <c r="GUV14" s="38"/>
      <c r="GUW14" s="38"/>
      <c r="GUX14" s="38"/>
      <c r="GUY14" s="38"/>
      <c r="GUZ14" s="38"/>
      <c r="GVA14" s="38"/>
      <c r="GVB14" s="38"/>
      <c r="GVC14" s="38"/>
      <c r="GVD14" s="38"/>
      <c r="GVE14" s="38"/>
      <c r="GVF14" s="38"/>
      <c r="GVG14" s="38"/>
      <c r="GVH14" s="38"/>
      <c r="GVI14" s="38"/>
      <c r="GVJ14" s="38"/>
      <c r="GVK14" s="38"/>
      <c r="GVL14" s="38"/>
      <c r="GVM14" s="38"/>
      <c r="GVN14" s="38"/>
      <c r="GVO14" s="38"/>
      <c r="GVP14" s="38"/>
      <c r="GVQ14" s="38"/>
      <c r="GVR14" s="38"/>
      <c r="GVS14" s="38"/>
      <c r="GVT14" s="38"/>
      <c r="GVU14" s="38"/>
      <c r="GVV14" s="38"/>
      <c r="GVW14" s="38"/>
      <c r="GVX14" s="38"/>
      <c r="GVY14" s="38"/>
      <c r="GVZ14" s="38"/>
      <c r="GWA14" s="38"/>
      <c r="GWB14" s="38"/>
      <c r="GWC14" s="38"/>
      <c r="GWD14" s="38"/>
      <c r="GWE14" s="38"/>
      <c r="GWF14" s="38"/>
      <c r="GWG14" s="38"/>
      <c r="GWH14" s="38"/>
      <c r="GWI14" s="38"/>
      <c r="GWJ14" s="38"/>
      <c r="GWK14" s="38"/>
      <c r="GWL14" s="38"/>
      <c r="GWM14" s="38"/>
      <c r="GWN14" s="38"/>
      <c r="GWO14" s="38"/>
      <c r="GWP14" s="38"/>
      <c r="GWQ14" s="38"/>
      <c r="GWR14" s="38"/>
      <c r="GWS14" s="38"/>
      <c r="GWT14" s="38"/>
      <c r="GWU14" s="38"/>
      <c r="GWV14" s="38"/>
      <c r="GWW14" s="38"/>
      <c r="GWX14" s="38"/>
      <c r="GWY14" s="38"/>
      <c r="GWZ14" s="38"/>
      <c r="GXA14" s="38"/>
      <c r="GXB14" s="38"/>
      <c r="GXC14" s="38"/>
      <c r="GXD14" s="38"/>
      <c r="GXE14" s="38"/>
      <c r="GXF14" s="38"/>
      <c r="GXG14" s="38"/>
      <c r="GXH14" s="38"/>
      <c r="GXI14" s="38"/>
      <c r="GXJ14" s="38"/>
      <c r="GXK14" s="38"/>
      <c r="GXL14" s="38"/>
      <c r="GXM14" s="38"/>
      <c r="GXN14" s="38"/>
      <c r="GXO14" s="38"/>
      <c r="GXP14" s="38"/>
      <c r="GXQ14" s="38"/>
      <c r="GXR14" s="38"/>
      <c r="GXS14" s="38"/>
      <c r="GXT14" s="38"/>
      <c r="GXU14" s="38"/>
      <c r="GXV14" s="38"/>
      <c r="GXW14" s="38"/>
      <c r="GXX14" s="38"/>
      <c r="GXY14" s="38"/>
      <c r="GXZ14" s="38"/>
      <c r="GYA14" s="38"/>
      <c r="GYB14" s="38"/>
      <c r="GYC14" s="38"/>
      <c r="GYD14" s="38"/>
      <c r="GYE14" s="38"/>
      <c r="GYF14" s="38"/>
      <c r="GYG14" s="38"/>
      <c r="GYH14" s="38"/>
      <c r="GYI14" s="38"/>
      <c r="GYJ14" s="38"/>
      <c r="GYK14" s="38"/>
      <c r="GYL14" s="38"/>
      <c r="GYM14" s="38"/>
      <c r="GYN14" s="38"/>
      <c r="GYO14" s="38"/>
      <c r="GYP14" s="38"/>
      <c r="GYQ14" s="38"/>
      <c r="GYR14" s="38"/>
      <c r="GYS14" s="38"/>
      <c r="GYT14" s="38"/>
      <c r="GYU14" s="38"/>
      <c r="GYV14" s="38"/>
      <c r="GYW14" s="38"/>
      <c r="GYX14" s="38"/>
      <c r="GYY14" s="38"/>
      <c r="GYZ14" s="38"/>
      <c r="GZA14" s="38"/>
      <c r="GZB14" s="38"/>
      <c r="GZC14" s="38"/>
      <c r="GZD14" s="38"/>
      <c r="GZE14" s="38"/>
      <c r="GZF14" s="38"/>
      <c r="GZG14" s="38"/>
      <c r="GZH14" s="38"/>
      <c r="GZI14" s="38"/>
      <c r="GZJ14" s="38"/>
      <c r="GZK14" s="38"/>
      <c r="GZL14" s="38"/>
      <c r="GZM14" s="38"/>
      <c r="GZN14" s="38"/>
      <c r="GZO14" s="38"/>
      <c r="GZP14" s="38"/>
      <c r="GZQ14" s="38"/>
      <c r="GZR14" s="38"/>
      <c r="GZS14" s="38"/>
      <c r="GZT14" s="38"/>
      <c r="GZU14" s="38"/>
      <c r="GZV14" s="38"/>
      <c r="GZW14" s="38"/>
      <c r="GZX14" s="38"/>
      <c r="GZY14" s="38"/>
      <c r="GZZ14" s="38"/>
      <c r="HAA14" s="38"/>
      <c r="HAB14" s="38"/>
      <c r="HAC14" s="38"/>
      <c r="HAD14" s="38"/>
      <c r="HAE14" s="38"/>
      <c r="HAF14" s="38"/>
      <c r="HAG14" s="38"/>
      <c r="HAH14" s="38"/>
      <c r="HAI14" s="38"/>
      <c r="HAJ14" s="38"/>
      <c r="HAK14" s="38"/>
      <c r="HAL14" s="38"/>
      <c r="HAM14" s="38"/>
      <c r="HAN14" s="38"/>
      <c r="HAO14" s="38"/>
      <c r="HAP14" s="38"/>
      <c r="HAQ14" s="38"/>
      <c r="HAR14" s="38"/>
      <c r="HAS14" s="38"/>
      <c r="HAT14" s="38"/>
      <c r="HAU14" s="38"/>
      <c r="HAV14" s="38"/>
      <c r="HAW14" s="38"/>
      <c r="HAX14" s="38"/>
      <c r="HAY14" s="38"/>
      <c r="HAZ14" s="38"/>
      <c r="HBA14" s="38"/>
      <c r="HBB14" s="38"/>
      <c r="HBC14" s="38"/>
      <c r="HBD14" s="38"/>
      <c r="HBE14" s="38"/>
      <c r="HBF14" s="38"/>
      <c r="HBG14" s="38"/>
      <c r="HBH14" s="38"/>
      <c r="HBI14" s="38"/>
      <c r="HBJ14" s="38"/>
      <c r="HBK14" s="38"/>
      <c r="HBL14" s="38"/>
      <c r="HBM14" s="38"/>
      <c r="HBN14" s="38"/>
      <c r="HBO14" s="38"/>
      <c r="HBP14" s="38"/>
      <c r="HBQ14" s="38"/>
      <c r="HBR14" s="38"/>
      <c r="HBS14" s="38"/>
      <c r="HBT14" s="38"/>
      <c r="HBU14" s="38"/>
      <c r="HBV14" s="38"/>
      <c r="HBW14" s="38"/>
      <c r="HBX14" s="38"/>
      <c r="HBY14" s="38"/>
      <c r="HBZ14" s="38"/>
      <c r="HCA14" s="38"/>
      <c r="HCB14" s="38"/>
      <c r="HCC14" s="38"/>
      <c r="HCD14" s="38"/>
      <c r="HCE14" s="38"/>
      <c r="HCF14" s="38"/>
      <c r="HCG14" s="38"/>
      <c r="HCH14" s="38"/>
      <c r="HCI14" s="38"/>
      <c r="HCJ14" s="38"/>
      <c r="HCK14" s="38"/>
      <c r="HCL14" s="38"/>
      <c r="HCM14" s="38"/>
      <c r="HCN14" s="38"/>
      <c r="HCO14" s="38"/>
      <c r="HCP14" s="38"/>
      <c r="HCQ14" s="38"/>
      <c r="HCR14" s="38"/>
      <c r="HCS14" s="38"/>
      <c r="HCT14" s="38"/>
      <c r="HCU14" s="38"/>
      <c r="HCV14" s="38"/>
      <c r="HCW14" s="38"/>
      <c r="HCX14" s="38"/>
      <c r="HCY14" s="38"/>
      <c r="HCZ14" s="38"/>
      <c r="HDA14" s="38"/>
      <c r="HDB14" s="38"/>
      <c r="HDC14" s="38"/>
      <c r="HDD14" s="38"/>
      <c r="HDE14" s="38"/>
      <c r="HDF14" s="38"/>
      <c r="HDG14" s="38"/>
      <c r="HDH14" s="38"/>
      <c r="HDI14" s="38"/>
      <c r="HDJ14" s="38"/>
      <c r="HDK14" s="38"/>
      <c r="HDL14" s="38"/>
      <c r="HDM14" s="38"/>
      <c r="HDN14" s="38"/>
      <c r="HDO14" s="38"/>
      <c r="HDP14" s="38"/>
      <c r="HDQ14" s="38"/>
      <c r="HDR14" s="38"/>
      <c r="HDS14" s="38"/>
      <c r="HDT14" s="38"/>
      <c r="HDU14" s="38"/>
      <c r="HDV14" s="38"/>
      <c r="HDW14" s="38"/>
      <c r="HDX14" s="38"/>
      <c r="HDY14" s="38"/>
      <c r="HDZ14" s="38"/>
      <c r="HEA14" s="38"/>
      <c r="HEB14" s="38"/>
      <c r="HEC14" s="38"/>
      <c r="HED14" s="38"/>
      <c r="HEE14" s="38"/>
      <c r="HEF14" s="38"/>
      <c r="HEG14" s="38"/>
      <c r="HEH14" s="38"/>
      <c r="HEI14" s="38"/>
      <c r="HEJ14" s="38"/>
      <c r="HEK14" s="38"/>
      <c r="HEL14" s="38"/>
      <c r="HEM14" s="38"/>
      <c r="HEN14" s="38"/>
      <c r="HEO14" s="38"/>
      <c r="HEP14" s="38"/>
      <c r="HEQ14" s="38"/>
      <c r="HER14" s="38"/>
      <c r="HES14" s="38"/>
      <c r="HET14" s="38"/>
      <c r="HEU14" s="38"/>
      <c r="HEV14" s="38"/>
      <c r="HEW14" s="38"/>
      <c r="HEX14" s="38"/>
      <c r="HEY14" s="38"/>
      <c r="HEZ14" s="38"/>
      <c r="HFA14" s="38"/>
      <c r="HFB14" s="38"/>
      <c r="HFC14" s="38"/>
      <c r="HFD14" s="38"/>
      <c r="HFE14" s="38"/>
      <c r="HFF14" s="38"/>
      <c r="HFG14" s="38"/>
      <c r="HFH14" s="38"/>
      <c r="HFI14" s="38"/>
      <c r="HFJ14" s="38"/>
      <c r="HFK14" s="38"/>
      <c r="HFL14" s="38"/>
      <c r="HFM14" s="38"/>
      <c r="HFN14" s="38"/>
      <c r="HFO14" s="38"/>
      <c r="HFP14" s="38"/>
      <c r="HFQ14" s="38"/>
      <c r="HFR14" s="38"/>
      <c r="HFS14" s="38"/>
      <c r="HFT14" s="38"/>
      <c r="HFU14" s="38"/>
      <c r="HFV14" s="38"/>
      <c r="HFW14" s="38"/>
      <c r="HFX14" s="38"/>
      <c r="HFY14" s="38"/>
      <c r="HFZ14" s="38"/>
      <c r="HGA14" s="38"/>
      <c r="HGB14" s="38"/>
      <c r="HGC14" s="38"/>
      <c r="HGD14" s="38"/>
      <c r="HGE14" s="38"/>
      <c r="HGF14" s="38"/>
      <c r="HGG14" s="38"/>
      <c r="HGH14" s="38"/>
      <c r="HGI14" s="38"/>
      <c r="HGJ14" s="38"/>
      <c r="HGK14" s="38"/>
      <c r="HGL14" s="38"/>
      <c r="HGM14" s="38"/>
      <c r="HGN14" s="38"/>
      <c r="HGO14" s="38"/>
      <c r="HGP14" s="38"/>
      <c r="HGQ14" s="38"/>
      <c r="HGR14" s="38"/>
      <c r="HGS14" s="38"/>
      <c r="HGT14" s="38"/>
      <c r="HGU14" s="38"/>
      <c r="HGV14" s="38"/>
      <c r="HGW14" s="38"/>
      <c r="HGX14" s="38"/>
      <c r="HGY14" s="38"/>
      <c r="HGZ14" s="38"/>
      <c r="HHA14" s="38"/>
      <c r="HHB14" s="38"/>
      <c r="HHC14" s="38"/>
      <c r="HHD14" s="38"/>
      <c r="HHE14" s="38"/>
      <c r="HHF14" s="38"/>
      <c r="HHG14" s="38"/>
      <c r="HHH14" s="38"/>
      <c r="HHI14" s="38"/>
      <c r="HHJ14" s="38"/>
      <c r="HHK14" s="38"/>
      <c r="HHL14" s="38"/>
      <c r="HHM14" s="38"/>
      <c r="HHN14" s="38"/>
      <c r="HHO14" s="38"/>
      <c r="HHP14" s="38"/>
      <c r="HHQ14" s="38"/>
      <c r="HHR14" s="38"/>
      <c r="HHS14" s="38"/>
      <c r="HHT14" s="38"/>
      <c r="HHU14" s="38"/>
      <c r="HHV14" s="38"/>
      <c r="HHW14" s="38"/>
      <c r="HHX14" s="38"/>
      <c r="HHY14" s="38"/>
      <c r="HHZ14" s="38"/>
      <c r="HIA14" s="38"/>
      <c r="HIB14" s="38"/>
      <c r="HIC14" s="38"/>
      <c r="HID14" s="38"/>
      <c r="HIE14" s="38"/>
      <c r="HIF14" s="38"/>
      <c r="HIG14" s="38"/>
      <c r="HIH14" s="38"/>
      <c r="HII14" s="38"/>
      <c r="HIJ14" s="38"/>
      <c r="HIK14" s="38"/>
      <c r="HIL14" s="38"/>
      <c r="HIM14" s="38"/>
      <c r="HIN14" s="38"/>
      <c r="HIO14" s="38"/>
      <c r="HIP14" s="38"/>
      <c r="HIQ14" s="38"/>
      <c r="HIR14" s="38"/>
      <c r="HIS14" s="38"/>
      <c r="HIT14" s="38"/>
      <c r="HIU14" s="38"/>
      <c r="HIV14" s="38"/>
      <c r="HIW14" s="38"/>
      <c r="HIX14" s="38"/>
      <c r="HIY14" s="38"/>
      <c r="HIZ14" s="38"/>
      <c r="HJA14" s="38"/>
      <c r="HJB14" s="38"/>
      <c r="HJC14" s="38"/>
      <c r="HJD14" s="38"/>
      <c r="HJE14" s="38"/>
      <c r="HJF14" s="38"/>
      <c r="HJG14" s="38"/>
      <c r="HJH14" s="38"/>
      <c r="HJI14" s="38"/>
      <c r="HJJ14" s="38"/>
      <c r="HJK14" s="38"/>
      <c r="HJL14" s="38"/>
      <c r="HJM14" s="38"/>
      <c r="HJN14" s="38"/>
      <c r="HJO14" s="38"/>
      <c r="HJP14" s="38"/>
      <c r="HJQ14" s="38"/>
      <c r="HJR14" s="38"/>
      <c r="HJS14" s="38"/>
      <c r="HJT14" s="38"/>
      <c r="HJU14" s="38"/>
      <c r="HJV14" s="38"/>
      <c r="HJW14" s="38"/>
      <c r="HJX14" s="38"/>
      <c r="HJY14" s="38"/>
      <c r="HJZ14" s="38"/>
      <c r="HKA14" s="38"/>
      <c r="HKB14" s="38"/>
      <c r="HKC14" s="38"/>
      <c r="HKD14" s="38"/>
      <c r="HKE14" s="38"/>
      <c r="HKF14" s="38"/>
      <c r="HKG14" s="38"/>
      <c r="HKH14" s="38"/>
      <c r="HKI14" s="38"/>
      <c r="HKJ14" s="38"/>
      <c r="HKK14" s="38"/>
      <c r="HKL14" s="38"/>
      <c r="HKM14" s="38"/>
      <c r="HKN14" s="38"/>
      <c r="HKO14" s="38"/>
      <c r="HKP14" s="38"/>
      <c r="HKQ14" s="38"/>
      <c r="HKR14" s="38"/>
      <c r="HKS14" s="38"/>
      <c r="HKT14" s="38"/>
      <c r="HKU14" s="38"/>
      <c r="HKV14" s="38"/>
      <c r="HKW14" s="38"/>
      <c r="HKX14" s="38"/>
      <c r="HKY14" s="38"/>
      <c r="HKZ14" s="38"/>
      <c r="HLA14" s="38"/>
      <c r="HLB14" s="38"/>
      <c r="HLC14" s="38"/>
      <c r="HLD14" s="38"/>
      <c r="HLE14" s="38"/>
      <c r="HLF14" s="38"/>
      <c r="HLG14" s="38"/>
      <c r="HLH14" s="38"/>
      <c r="HLI14" s="38"/>
      <c r="HLJ14" s="38"/>
      <c r="HLK14" s="38"/>
      <c r="HLL14" s="38"/>
      <c r="HLM14" s="38"/>
      <c r="HLN14" s="38"/>
      <c r="HLO14" s="38"/>
      <c r="HLP14" s="38"/>
      <c r="HLQ14" s="38"/>
      <c r="HLR14" s="38"/>
      <c r="HLS14" s="38"/>
      <c r="HLT14" s="38"/>
      <c r="HLU14" s="38"/>
      <c r="HLV14" s="38"/>
      <c r="HLW14" s="38"/>
      <c r="HLX14" s="38"/>
      <c r="HLY14" s="38"/>
      <c r="HLZ14" s="38"/>
      <c r="HMA14" s="38"/>
      <c r="HMB14" s="38"/>
      <c r="HMC14" s="38"/>
      <c r="HMD14" s="38"/>
      <c r="HME14" s="38"/>
      <c r="HMF14" s="38"/>
      <c r="HMG14" s="38"/>
      <c r="HMH14" s="38"/>
      <c r="HMI14" s="38"/>
      <c r="HMJ14" s="38"/>
      <c r="HMK14" s="38"/>
      <c r="HML14" s="38"/>
      <c r="HMM14" s="38"/>
      <c r="HMN14" s="38"/>
      <c r="HMO14" s="38"/>
      <c r="HMP14" s="38"/>
      <c r="HMQ14" s="38"/>
      <c r="HMR14" s="38"/>
      <c r="HMS14" s="38"/>
      <c r="HMT14" s="38"/>
      <c r="HMU14" s="38"/>
      <c r="HMV14" s="38"/>
      <c r="HMW14" s="38"/>
      <c r="HMX14" s="38"/>
      <c r="HMY14" s="38"/>
      <c r="HMZ14" s="38"/>
      <c r="HNA14" s="38"/>
      <c r="HNB14" s="38"/>
      <c r="HNC14" s="38"/>
      <c r="HND14" s="38"/>
      <c r="HNE14" s="38"/>
      <c r="HNF14" s="38"/>
      <c r="HNG14" s="38"/>
      <c r="HNH14" s="38"/>
      <c r="HNI14" s="38"/>
      <c r="HNJ14" s="38"/>
      <c r="HNK14" s="38"/>
      <c r="HNL14" s="38"/>
      <c r="HNM14" s="38"/>
      <c r="HNN14" s="38"/>
      <c r="HNO14" s="38"/>
      <c r="HNP14" s="38"/>
      <c r="HNQ14" s="38"/>
      <c r="HNR14" s="38"/>
      <c r="HNS14" s="38"/>
      <c r="HNT14" s="38"/>
      <c r="HNU14" s="38"/>
      <c r="HNV14" s="38"/>
      <c r="HNW14" s="38"/>
      <c r="HNX14" s="38"/>
      <c r="HNY14" s="38"/>
      <c r="HNZ14" s="38"/>
      <c r="HOA14" s="38"/>
      <c r="HOB14" s="38"/>
      <c r="HOC14" s="38"/>
      <c r="HOD14" s="38"/>
      <c r="HOE14" s="38"/>
      <c r="HOF14" s="38"/>
      <c r="HOG14" s="38"/>
      <c r="HOH14" s="38"/>
      <c r="HOI14" s="38"/>
      <c r="HOJ14" s="38"/>
      <c r="HOK14" s="38"/>
      <c r="HOL14" s="38"/>
      <c r="HOM14" s="38"/>
      <c r="HON14" s="38"/>
      <c r="HOO14" s="38"/>
      <c r="HOP14" s="38"/>
      <c r="HOQ14" s="38"/>
      <c r="HOR14" s="38"/>
      <c r="HOS14" s="38"/>
      <c r="HOT14" s="38"/>
      <c r="HOU14" s="38"/>
      <c r="HOV14" s="38"/>
      <c r="HOW14" s="38"/>
      <c r="HOX14" s="38"/>
      <c r="HOY14" s="38"/>
      <c r="HOZ14" s="38"/>
      <c r="HPA14" s="38"/>
      <c r="HPB14" s="38"/>
      <c r="HPC14" s="38"/>
      <c r="HPD14" s="38"/>
      <c r="HPE14" s="38"/>
      <c r="HPF14" s="38"/>
      <c r="HPG14" s="38"/>
      <c r="HPH14" s="38"/>
      <c r="HPI14" s="38"/>
      <c r="HPJ14" s="38"/>
      <c r="HPK14" s="38"/>
      <c r="HPL14" s="38"/>
      <c r="HPM14" s="38"/>
      <c r="HPN14" s="38"/>
      <c r="HPO14" s="38"/>
      <c r="HPP14" s="38"/>
      <c r="HPQ14" s="38"/>
      <c r="HPR14" s="38"/>
      <c r="HPS14" s="38"/>
      <c r="HPT14" s="38"/>
      <c r="HPU14" s="38"/>
      <c r="HPV14" s="38"/>
      <c r="HPW14" s="38"/>
      <c r="HPX14" s="38"/>
      <c r="HPY14" s="38"/>
      <c r="HPZ14" s="38"/>
      <c r="HQA14" s="38"/>
      <c r="HQB14" s="38"/>
      <c r="HQC14" s="38"/>
      <c r="HQD14" s="38"/>
      <c r="HQE14" s="38"/>
      <c r="HQF14" s="38"/>
      <c r="HQG14" s="38"/>
      <c r="HQH14" s="38"/>
      <c r="HQI14" s="38"/>
      <c r="HQJ14" s="38"/>
      <c r="HQK14" s="38"/>
      <c r="HQL14" s="38"/>
      <c r="HQM14" s="38"/>
      <c r="HQN14" s="38"/>
      <c r="HQO14" s="38"/>
      <c r="HQP14" s="38"/>
      <c r="HQQ14" s="38"/>
      <c r="HQR14" s="38"/>
      <c r="HQS14" s="38"/>
      <c r="HQT14" s="38"/>
      <c r="HQU14" s="38"/>
      <c r="HQV14" s="38"/>
      <c r="HQW14" s="38"/>
      <c r="HQX14" s="38"/>
      <c r="HQY14" s="38"/>
      <c r="HQZ14" s="38"/>
      <c r="HRA14" s="38"/>
      <c r="HRB14" s="38"/>
      <c r="HRC14" s="38"/>
      <c r="HRD14" s="38"/>
      <c r="HRE14" s="38"/>
      <c r="HRF14" s="38"/>
      <c r="HRG14" s="38"/>
      <c r="HRH14" s="38"/>
      <c r="HRI14" s="38"/>
      <c r="HRJ14" s="38"/>
      <c r="HRK14" s="38"/>
      <c r="HRL14" s="38"/>
      <c r="HRM14" s="38"/>
      <c r="HRN14" s="38"/>
      <c r="HRO14" s="38"/>
      <c r="HRP14" s="38"/>
      <c r="HRQ14" s="38"/>
      <c r="HRR14" s="38"/>
      <c r="HRS14" s="38"/>
      <c r="HRT14" s="38"/>
      <c r="HRU14" s="38"/>
      <c r="HRV14" s="38"/>
      <c r="HRW14" s="38"/>
      <c r="HRX14" s="38"/>
      <c r="HRY14" s="38"/>
      <c r="HRZ14" s="38"/>
      <c r="HSA14" s="38"/>
      <c r="HSB14" s="38"/>
      <c r="HSC14" s="38"/>
      <c r="HSD14" s="38"/>
      <c r="HSE14" s="38"/>
      <c r="HSF14" s="38"/>
      <c r="HSG14" s="38"/>
      <c r="HSH14" s="38"/>
      <c r="HSI14" s="38"/>
      <c r="HSJ14" s="38"/>
      <c r="HSK14" s="38"/>
      <c r="HSL14" s="38"/>
      <c r="HSM14" s="38"/>
      <c r="HSN14" s="38"/>
      <c r="HSO14" s="38"/>
      <c r="HSP14" s="38"/>
      <c r="HSQ14" s="38"/>
      <c r="HSR14" s="38"/>
      <c r="HSS14" s="38"/>
      <c r="HST14" s="38"/>
      <c r="HSU14" s="38"/>
      <c r="HSV14" s="38"/>
      <c r="HSW14" s="38"/>
      <c r="HSX14" s="38"/>
      <c r="HSY14" s="38"/>
      <c r="HSZ14" s="38"/>
      <c r="HTA14" s="38"/>
      <c r="HTB14" s="38"/>
      <c r="HTC14" s="38"/>
      <c r="HTD14" s="38"/>
      <c r="HTE14" s="38"/>
      <c r="HTF14" s="38"/>
      <c r="HTG14" s="38"/>
      <c r="HTH14" s="38"/>
      <c r="HTI14" s="38"/>
      <c r="HTJ14" s="38"/>
      <c r="HTK14" s="38"/>
      <c r="HTL14" s="38"/>
      <c r="HTM14" s="38"/>
      <c r="HTN14" s="38"/>
      <c r="HTO14" s="38"/>
      <c r="HTP14" s="38"/>
      <c r="HTQ14" s="38"/>
      <c r="HTR14" s="38"/>
      <c r="HTS14" s="38"/>
      <c r="HTT14" s="38"/>
      <c r="HTU14" s="38"/>
      <c r="HTV14" s="38"/>
      <c r="HTW14" s="38"/>
      <c r="HTX14" s="38"/>
      <c r="HTY14" s="38"/>
      <c r="HTZ14" s="38"/>
      <c r="HUA14" s="38"/>
      <c r="HUB14" s="38"/>
      <c r="HUC14" s="38"/>
      <c r="HUD14" s="38"/>
      <c r="HUE14" s="38"/>
      <c r="HUF14" s="38"/>
      <c r="HUG14" s="38"/>
      <c r="HUH14" s="38"/>
      <c r="HUI14" s="38"/>
      <c r="HUJ14" s="38"/>
      <c r="HUK14" s="38"/>
      <c r="HUL14" s="38"/>
      <c r="HUM14" s="38"/>
      <c r="HUN14" s="38"/>
      <c r="HUO14" s="38"/>
      <c r="HUP14" s="38"/>
      <c r="HUQ14" s="38"/>
      <c r="HUR14" s="38"/>
      <c r="HUS14" s="38"/>
      <c r="HUT14" s="38"/>
      <c r="HUU14" s="38"/>
      <c r="HUV14" s="38"/>
      <c r="HUW14" s="38"/>
      <c r="HUX14" s="38"/>
      <c r="HUY14" s="38"/>
      <c r="HUZ14" s="38"/>
      <c r="HVA14" s="38"/>
      <c r="HVB14" s="38"/>
      <c r="HVC14" s="38"/>
      <c r="HVD14" s="38"/>
      <c r="HVE14" s="38"/>
      <c r="HVF14" s="38"/>
      <c r="HVG14" s="38"/>
      <c r="HVH14" s="38"/>
      <c r="HVI14" s="38"/>
      <c r="HVJ14" s="38"/>
      <c r="HVK14" s="38"/>
      <c r="HVL14" s="38"/>
      <c r="HVM14" s="38"/>
      <c r="HVN14" s="38"/>
      <c r="HVO14" s="38"/>
      <c r="HVP14" s="38"/>
      <c r="HVQ14" s="38"/>
      <c r="HVR14" s="38"/>
      <c r="HVS14" s="38"/>
      <c r="HVT14" s="38"/>
      <c r="HVU14" s="38"/>
      <c r="HVV14" s="38"/>
      <c r="HVW14" s="38"/>
      <c r="HVX14" s="38"/>
      <c r="HVY14" s="38"/>
      <c r="HVZ14" s="38"/>
      <c r="HWA14" s="38"/>
      <c r="HWB14" s="38"/>
      <c r="HWC14" s="38"/>
      <c r="HWD14" s="38"/>
      <c r="HWE14" s="38"/>
      <c r="HWF14" s="38"/>
      <c r="HWG14" s="38"/>
      <c r="HWH14" s="38"/>
      <c r="HWI14" s="38"/>
      <c r="HWJ14" s="38"/>
      <c r="HWK14" s="38"/>
      <c r="HWL14" s="38"/>
      <c r="HWM14" s="38"/>
      <c r="HWN14" s="38"/>
      <c r="HWO14" s="38"/>
      <c r="HWP14" s="38"/>
      <c r="HWQ14" s="38"/>
      <c r="HWR14" s="38"/>
      <c r="HWS14" s="38"/>
      <c r="HWT14" s="38"/>
      <c r="HWU14" s="38"/>
      <c r="HWV14" s="38"/>
      <c r="HWW14" s="38"/>
      <c r="HWX14" s="38"/>
      <c r="HWY14" s="38"/>
      <c r="HWZ14" s="38"/>
      <c r="HXA14" s="38"/>
      <c r="HXB14" s="38"/>
      <c r="HXC14" s="38"/>
      <c r="HXD14" s="38"/>
      <c r="HXE14" s="38"/>
      <c r="HXF14" s="38"/>
      <c r="HXG14" s="38"/>
      <c r="HXH14" s="38"/>
      <c r="HXI14" s="38"/>
      <c r="HXJ14" s="38"/>
      <c r="HXK14" s="38"/>
      <c r="HXL14" s="38"/>
      <c r="HXM14" s="38"/>
      <c r="HXN14" s="38"/>
      <c r="HXO14" s="38"/>
      <c r="HXP14" s="38"/>
      <c r="HXQ14" s="38"/>
      <c r="HXR14" s="38"/>
      <c r="HXS14" s="38"/>
      <c r="HXT14" s="38"/>
      <c r="HXU14" s="38"/>
      <c r="HXV14" s="38"/>
      <c r="HXW14" s="38"/>
      <c r="HXX14" s="38"/>
      <c r="HXY14" s="38"/>
      <c r="HXZ14" s="38"/>
      <c r="HYA14" s="38"/>
      <c r="HYB14" s="38"/>
      <c r="HYC14" s="38"/>
      <c r="HYD14" s="38"/>
      <c r="HYE14" s="38"/>
      <c r="HYF14" s="38"/>
      <c r="HYG14" s="38"/>
      <c r="HYH14" s="38"/>
      <c r="HYI14" s="38"/>
      <c r="HYJ14" s="38"/>
      <c r="HYK14" s="38"/>
      <c r="HYL14" s="38"/>
      <c r="HYM14" s="38"/>
      <c r="HYN14" s="38"/>
      <c r="HYO14" s="38"/>
      <c r="HYP14" s="38"/>
      <c r="HYQ14" s="38"/>
      <c r="HYR14" s="38"/>
      <c r="HYS14" s="38"/>
      <c r="HYT14" s="38"/>
      <c r="HYU14" s="38"/>
      <c r="HYV14" s="38"/>
      <c r="HYW14" s="38"/>
      <c r="HYX14" s="38"/>
      <c r="HYY14" s="38"/>
      <c r="HYZ14" s="38"/>
      <c r="HZA14" s="38"/>
      <c r="HZB14" s="38"/>
      <c r="HZC14" s="38"/>
      <c r="HZD14" s="38"/>
      <c r="HZE14" s="38"/>
      <c r="HZF14" s="38"/>
      <c r="HZG14" s="38"/>
      <c r="HZH14" s="38"/>
      <c r="HZI14" s="38"/>
      <c r="HZJ14" s="38"/>
      <c r="HZK14" s="38"/>
      <c r="HZL14" s="38"/>
      <c r="HZM14" s="38"/>
      <c r="HZN14" s="38"/>
      <c r="HZO14" s="38"/>
      <c r="HZP14" s="38"/>
      <c r="HZQ14" s="38"/>
      <c r="HZR14" s="38"/>
      <c r="HZS14" s="38"/>
      <c r="HZT14" s="38"/>
      <c r="HZU14" s="38"/>
      <c r="HZV14" s="38"/>
      <c r="HZW14" s="38"/>
      <c r="HZX14" s="38"/>
      <c r="HZY14" s="38"/>
      <c r="HZZ14" s="38"/>
      <c r="IAA14" s="38"/>
      <c r="IAB14" s="38"/>
      <c r="IAC14" s="38"/>
      <c r="IAD14" s="38"/>
      <c r="IAE14" s="38"/>
      <c r="IAF14" s="38"/>
      <c r="IAG14" s="38"/>
      <c r="IAH14" s="38"/>
      <c r="IAI14" s="38"/>
      <c r="IAJ14" s="38"/>
      <c r="IAK14" s="38"/>
      <c r="IAL14" s="38"/>
      <c r="IAM14" s="38"/>
      <c r="IAN14" s="38"/>
      <c r="IAO14" s="38"/>
      <c r="IAP14" s="38"/>
      <c r="IAQ14" s="38"/>
      <c r="IAR14" s="38"/>
      <c r="IAS14" s="38"/>
      <c r="IAT14" s="38"/>
      <c r="IAU14" s="38"/>
      <c r="IAV14" s="38"/>
      <c r="IAW14" s="38"/>
      <c r="IAX14" s="38"/>
      <c r="IAY14" s="38"/>
      <c r="IAZ14" s="38"/>
      <c r="IBA14" s="38"/>
      <c r="IBB14" s="38"/>
      <c r="IBC14" s="38"/>
      <c r="IBD14" s="38"/>
      <c r="IBE14" s="38"/>
      <c r="IBF14" s="38"/>
      <c r="IBG14" s="38"/>
      <c r="IBH14" s="38"/>
      <c r="IBI14" s="38"/>
      <c r="IBJ14" s="38"/>
      <c r="IBK14" s="38"/>
      <c r="IBL14" s="38"/>
      <c r="IBM14" s="38"/>
      <c r="IBN14" s="38"/>
      <c r="IBO14" s="38"/>
      <c r="IBP14" s="38"/>
      <c r="IBQ14" s="38"/>
      <c r="IBR14" s="38"/>
      <c r="IBS14" s="38"/>
      <c r="IBT14" s="38"/>
      <c r="IBU14" s="38"/>
      <c r="IBV14" s="38"/>
      <c r="IBW14" s="38"/>
      <c r="IBX14" s="38"/>
      <c r="IBY14" s="38"/>
      <c r="IBZ14" s="38"/>
      <c r="ICA14" s="38"/>
      <c r="ICB14" s="38"/>
      <c r="ICC14" s="38"/>
      <c r="ICD14" s="38"/>
      <c r="ICE14" s="38"/>
      <c r="ICF14" s="38"/>
      <c r="ICG14" s="38"/>
      <c r="ICH14" s="38"/>
      <c r="ICI14" s="38"/>
      <c r="ICJ14" s="38"/>
      <c r="ICK14" s="38"/>
      <c r="ICL14" s="38"/>
      <c r="ICM14" s="38"/>
      <c r="ICN14" s="38"/>
      <c r="ICO14" s="38"/>
      <c r="ICP14" s="38"/>
      <c r="ICQ14" s="38"/>
      <c r="ICR14" s="38"/>
      <c r="ICS14" s="38"/>
      <c r="ICT14" s="38"/>
      <c r="ICU14" s="38"/>
      <c r="ICV14" s="38"/>
      <c r="ICW14" s="38"/>
      <c r="ICX14" s="38"/>
      <c r="ICY14" s="38"/>
      <c r="ICZ14" s="38"/>
      <c r="IDA14" s="38"/>
      <c r="IDB14" s="38"/>
      <c r="IDC14" s="38"/>
      <c r="IDD14" s="38"/>
      <c r="IDE14" s="38"/>
      <c r="IDF14" s="38"/>
      <c r="IDG14" s="38"/>
      <c r="IDH14" s="38"/>
      <c r="IDI14" s="38"/>
      <c r="IDJ14" s="38"/>
      <c r="IDK14" s="38"/>
      <c r="IDL14" s="38"/>
      <c r="IDM14" s="38"/>
      <c r="IDN14" s="38"/>
      <c r="IDO14" s="38"/>
      <c r="IDP14" s="38"/>
      <c r="IDQ14" s="38"/>
      <c r="IDR14" s="38"/>
      <c r="IDS14" s="38"/>
      <c r="IDT14" s="38"/>
      <c r="IDU14" s="38"/>
      <c r="IDV14" s="38"/>
      <c r="IDW14" s="38"/>
      <c r="IDX14" s="38"/>
      <c r="IDY14" s="38"/>
      <c r="IDZ14" s="38"/>
      <c r="IEA14" s="38"/>
      <c r="IEB14" s="38"/>
      <c r="IEC14" s="38"/>
      <c r="IED14" s="38"/>
      <c r="IEE14" s="38"/>
      <c r="IEF14" s="38"/>
      <c r="IEG14" s="38"/>
      <c r="IEH14" s="38"/>
      <c r="IEI14" s="38"/>
      <c r="IEJ14" s="38"/>
      <c r="IEK14" s="38"/>
      <c r="IEL14" s="38"/>
      <c r="IEM14" s="38"/>
      <c r="IEN14" s="38"/>
      <c r="IEO14" s="38"/>
      <c r="IEP14" s="38"/>
      <c r="IEQ14" s="38"/>
      <c r="IER14" s="38"/>
      <c r="IES14" s="38"/>
      <c r="IET14" s="38"/>
      <c r="IEU14" s="38"/>
      <c r="IEV14" s="38"/>
      <c r="IEW14" s="38"/>
      <c r="IEX14" s="38"/>
      <c r="IEY14" s="38"/>
      <c r="IEZ14" s="38"/>
      <c r="IFA14" s="38"/>
      <c r="IFB14" s="38"/>
      <c r="IFC14" s="38"/>
      <c r="IFD14" s="38"/>
      <c r="IFE14" s="38"/>
      <c r="IFF14" s="38"/>
      <c r="IFG14" s="38"/>
      <c r="IFH14" s="38"/>
      <c r="IFI14" s="38"/>
      <c r="IFJ14" s="38"/>
      <c r="IFK14" s="38"/>
      <c r="IFL14" s="38"/>
      <c r="IFM14" s="38"/>
      <c r="IFN14" s="38"/>
      <c r="IFO14" s="38"/>
      <c r="IFP14" s="38"/>
      <c r="IFQ14" s="38"/>
      <c r="IFR14" s="38"/>
      <c r="IFS14" s="38"/>
      <c r="IFT14" s="38"/>
      <c r="IFU14" s="38"/>
      <c r="IFV14" s="38"/>
      <c r="IFW14" s="38"/>
      <c r="IFX14" s="38"/>
      <c r="IFY14" s="38"/>
      <c r="IFZ14" s="38"/>
      <c r="IGA14" s="38"/>
      <c r="IGB14" s="38"/>
      <c r="IGC14" s="38"/>
      <c r="IGD14" s="38"/>
      <c r="IGE14" s="38"/>
      <c r="IGF14" s="38"/>
      <c r="IGG14" s="38"/>
      <c r="IGH14" s="38"/>
      <c r="IGI14" s="38"/>
      <c r="IGJ14" s="38"/>
      <c r="IGK14" s="38"/>
      <c r="IGL14" s="38"/>
      <c r="IGM14" s="38"/>
      <c r="IGN14" s="38"/>
      <c r="IGO14" s="38"/>
      <c r="IGP14" s="38"/>
      <c r="IGQ14" s="38"/>
      <c r="IGR14" s="38"/>
      <c r="IGS14" s="38"/>
      <c r="IGT14" s="38"/>
      <c r="IGU14" s="38"/>
      <c r="IGV14" s="38"/>
      <c r="IGW14" s="38"/>
      <c r="IGX14" s="38"/>
      <c r="IGY14" s="38"/>
      <c r="IGZ14" s="38"/>
      <c r="IHA14" s="38"/>
      <c r="IHB14" s="38"/>
      <c r="IHC14" s="38"/>
      <c r="IHD14" s="38"/>
      <c r="IHE14" s="38"/>
      <c r="IHF14" s="38"/>
      <c r="IHG14" s="38"/>
      <c r="IHH14" s="38"/>
      <c r="IHI14" s="38"/>
      <c r="IHJ14" s="38"/>
      <c r="IHK14" s="38"/>
      <c r="IHL14" s="38"/>
      <c r="IHM14" s="38"/>
      <c r="IHN14" s="38"/>
      <c r="IHO14" s="38"/>
      <c r="IHP14" s="38"/>
      <c r="IHQ14" s="38"/>
      <c r="IHR14" s="38"/>
      <c r="IHS14" s="38"/>
      <c r="IHT14" s="38"/>
      <c r="IHU14" s="38"/>
      <c r="IHV14" s="38"/>
      <c r="IHW14" s="38"/>
      <c r="IHX14" s="38"/>
      <c r="IHY14" s="38"/>
      <c r="IHZ14" s="38"/>
      <c r="IIA14" s="38"/>
      <c r="IIB14" s="38"/>
      <c r="IIC14" s="38"/>
      <c r="IID14" s="38"/>
      <c r="IIE14" s="38"/>
      <c r="IIF14" s="38"/>
      <c r="IIG14" s="38"/>
      <c r="IIH14" s="38"/>
      <c r="III14" s="38"/>
      <c r="IIJ14" s="38"/>
      <c r="IIK14" s="38"/>
      <c r="IIL14" s="38"/>
      <c r="IIM14" s="38"/>
      <c r="IIN14" s="38"/>
      <c r="IIO14" s="38"/>
      <c r="IIP14" s="38"/>
      <c r="IIQ14" s="38"/>
      <c r="IIR14" s="38"/>
      <c r="IIS14" s="38"/>
      <c r="IIT14" s="38"/>
      <c r="IIU14" s="38"/>
      <c r="IIV14" s="38"/>
      <c r="IIW14" s="38"/>
      <c r="IIX14" s="38"/>
      <c r="IIY14" s="38"/>
      <c r="IIZ14" s="38"/>
      <c r="IJA14" s="38"/>
      <c r="IJB14" s="38"/>
      <c r="IJC14" s="38"/>
      <c r="IJD14" s="38"/>
      <c r="IJE14" s="38"/>
      <c r="IJF14" s="38"/>
      <c r="IJG14" s="38"/>
      <c r="IJH14" s="38"/>
      <c r="IJI14" s="38"/>
      <c r="IJJ14" s="38"/>
      <c r="IJK14" s="38"/>
      <c r="IJL14" s="38"/>
      <c r="IJM14" s="38"/>
      <c r="IJN14" s="38"/>
      <c r="IJO14" s="38"/>
      <c r="IJP14" s="38"/>
      <c r="IJQ14" s="38"/>
      <c r="IJR14" s="38"/>
      <c r="IJS14" s="38"/>
      <c r="IJT14" s="38"/>
      <c r="IJU14" s="38"/>
      <c r="IJV14" s="38"/>
      <c r="IJW14" s="38"/>
      <c r="IJX14" s="38"/>
      <c r="IJY14" s="38"/>
      <c r="IJZ14" s="38"/>
      <c r="IKA14" s="38"/>
      <c r="IKB14" s="38"/>
      <c r="IKC14" s="38"/>
      <c r="IKD14" s="38"/>
      <c r="IKE14" s="38"/>
      <c r="IKF14" s="38"/>
      <c r="IKG14" s="38"/>
      <c r="IKH14" s="38"/>
      <c r="IKI14" s="38"/>
      <c r="IKJ14" s="38"/>
      <c r="IKK14" s="38"/>
      <c r="IKL14" s="38"/>
      <c r="IKM14" s="38"/>
      <c r="IKN14" s="38"/>
      <c r="IKO14" s="38"/>
      <c r="IKP14" s="38"/>
      <c r="IKQ14" s="38"/>
      <c r="IKR14" s="38"/>
      <c r="IKS14" s="38"/>
      <c r="IKT14" s="38"/>
      <c r="IKU14" s="38"/>
      <c r="IKV14" s="38"/>
      <c r="IKW14" s="38"/>
      <c r="IKX14" s="38"/>
      <c r="IKY14" s="38"/>
      <c r="IKZ14" s="38"/>
      <c r="ILA14" s="38"/>
      <c r="ILB14" s="38"/>
      <c r="ILC14" s="38"/>
      <c r="ILD14" s="38"/>
      <c r="ILE14" s="38"/>
      <c r="ILF14" s="38"/>
      <c r="ILG14" s="38"/>
      <c r="ILH14" s="38"/>
      <c r="ILI14" s="38"/>
      <c r="ILJ14" s="38"/>
      <c r="ILK14" s="38"/>
      <c r="ILL14" s="38"/>
      <c r="ILM14" s="38"/>
      <c r="ILN14" s="38"/>
      <c r="ILO14" s="38"/>
      <c r="ILP14" s="38"/>
      <c r="ILQ14" s="38"/>
      <c r="ILR14" s="38"/>
      <c r="ILS14" s="38"/>
      <c r="ILT14" s="38"/>
      <c r="ILU14" s="38"/>
      <c r="ILV14" s="38"/>
      <c r="ILW14" s="38"/>
      <c r="ILX14" s="38"/>
      <c r="ILY14" s="38"/>
      <c r="ILZ14" s="38"/>
      <c r="IMA14" s="38"/>
      <c r="IMB14" s="38"/>
      <c r="IMC14" s="38"/>
      <c r="IMD14" s="38"/>
      <c r="IME14" s="38"/>
      <c r="IMF14" s="38"/>
      <c r="IMG14" s="38"/>
      <c r="IMH14" s="38"/>
      <c r="IMI14" s="38"/>
      <c r="IMJ14" s="38"/>
      <c r="IMK14" s="38"/>
      <c r="IML14" s="38"/>
      <c r="IMM14" s="38"/>
      <c r="IMN14" s="38"/>
      <c r="IMO14" s="38"/>
      <c r="IMP14" s="38"/>
      <c r="IMQ14" s="38"/>
      <c r="IMR14" s="38"/>
      <c r="IMS14" s="38"/>
      <c r="IMT14" s="38"/>
      <c r="IMU14" s="38"/>
      <c r="IMV14" s="38"/>
      <c r="IMW14" s="38"/>
      <c r="IMX14" s="38"/>
      <c r="IMY14" s="38"/>
      <c r="IMZ14" s="38"/>
      <c r="INA14" s="38"/>
      <c r="INB14" s="38"/>
      <c r="INC14" s="38"/>
      <c r="IND14" s="38"/>
      <c r="INE14" s="38"/>
      <c r="INF14" s="38"/>
      <c r="ING14" s="38"/>
      <c r="INH14" s="38"/>
      <c r="INI14" s="38"/>
      <c r="INJ14" s="38"/>
      <c r="INK14" s="38"/>
      <c r="INL14" s="38"/>
      <c r="INM14" s="38"/>
      <c r="INN14" s="38"/>
      <c r="INO14" s="38"/>
      <c r="INP14" s="38"/>
      <c r="INQ14" s="38"/>
      <c r="INR14" s="38"/>
      <c r="INS14" s="38"/>
      <c r="INT14" s="38"/>
      <c r="INU14" s="38"/>
      <c r="INV14" s="38"/>
      <c r="INW14" s="38"/>
      <c r="INX14" s="38"/>
      <c r="INY14" s="38"/>
      <c r="INZ14" s="38"/>
      <c r="IOA14" s="38"/>
      <c r="IOB14" s="38"/>
      <c r="IOC14" s="38"/>
      <c r="IOD14" s="38"/>
      <c r="IOE14" s="38"/>
      <c r="IOF14" s="38"/>
      <c r="IOG14" s="38"/>
      <c r="IOH14" s="38"/>
      <c r="IOI14" s="38"/>
      <c r="IOJ14" s="38"/>
      <c r="IOK14" s="38"/>
      <c r="IOL14" s="38"/>
      <c r="IOM14" s="38"/>
      <c r="ION14" s="38"/>
      <c r="IOO14" s="38"/>
      <c r="IOP14" s="38"/>
      <c r="IOQ14" s="38"/>
      <c r="IOR14" s="38"/>
      <c r="IOS14" s="38"/>
      <c r="IOT14" s="38"/>
      <c r="IOU14" s="38"/>
      <c r="IOV14" s="38"/>
      <c r="IOW14" s="38"/>
      <c r="IOX14" s="38"/>
      <c r="IOY14" s="38"/>
      <c r="IOZ14" s="38"/>
      <c r="IPA14" s="38"/>
      <c r="IPB14" s="38"/>
      <c r="IPC14" s="38"/>
      <c r="IPD14" s="38"/>
      <c r="IPE14" s="38"/>
      <c r="IPF14" s="38"/>
      <c r="IPG14" s="38"/>
      <c r="IPH14" s="38"/>
      <c r="IPI14" s="38"/>
      <c r="IPJ14" s="38"/>
      <c r="IPK14" s="38"/>
      <c r="IPL14" s="38"/>
      <c r="IPM14" s="38"/>
      <c r="IPN14" s="38"/>
      <c r="IPO14" s="38"/>
      <c r="IPP14" s="38"/>
      <c r="IPQ14" s="38"/>
      <c r="IPR14" s="38"/>
      <c r="IPS14" s="38"/>
      <c r="IPT14" s="38"/>
      <c r="IPU14" s="38"/>
      <c r="IPV14" s="38"/>
      <c r="IPW14" s="38"/>
      <c r="IPX14" s="38"/>
      <c r="IPY14" s="38"/>
      <c r="IPZ14" s="38"/>
      <c r="IQA14" s="38"/>
      <c r="IQB14" s="38"/>
      <c r="IQC14" s="38"/>
      <c r="IQD14" s="38"/>
      <c r="IQE14" s="38"/>
      <c r="IQF14" s="38"/>
      <c r="IQG14" s="38"/>
      <c r="IQH14" s="38"/>
      <c r="IQI14" s="38"/>
      <c r="IQJ14" s="38"/>
      <c r="IQK14" s="38"/>
      <c r="IQL14" s="38"/>
      <c r="IQM14" s="38"/>
      <c r="IQN14" s="38"/>
      <c r="IQO14" s="38"/>
      <c r="IQP14" s="38"/>
      <c r="IQQ14" s="38"/>
      <c r="IQR14" s="38"/>
      <c r="IQS14" s="38"/>
      <c r="IQT14" s="38"/>
      <c r="IQU14" s="38"/>
      <c r="IQV14" s="38"/>
      <c r="IQW14" s="38"/>
      <c r="IQX14" s="38"/>
      <c r="IQY14" s="38"/>
      <c r="IQZ14" s="38"/>
      <c r="IRA14" s="38"/>
      <c r="IRB14" s="38"/>
      <c r="IRC14" s="38"/>
      <c r="IRD14" s="38"/>
      <c r="IRE14" s="38"/>
      <c r="IRF14" s="38"/>
      <c r="IRG14" s="38"/>
      <c r="IRH14" s="38"/>
      <c r="IRI14" s="38"/>
      <c r="IRJ14" s="38"/>
      <c r="IRK14" s="38"/>
      <c r="IRL14" s="38"/>
      <c r="IRM14" s="38"/>
      <c r="IRN14" s="38"/>
      <c r="IRO14" s="38"/>
      <c r="IRP14" s="38"/>
      <c r="IRQ14" s="38"/>
      <c r="IRR14" s="38"/>
      <c r="IRS14" s="38"/>
      <c r="IRT14" s="38"/>
      <c r="IRU14" s="38"/>
      <c r="IRV14" s="38"/>
      <c r="IRW14" s="38"/>
      <c r="IRX14" s="38"/>
      <c r="IRY14" s="38"/>
      <c r="IRZ14" s="38"/>
      <c r="ISA14" s="38"/>
      <c r="ISB14" s="38"/>
      <c r="ISC14" s="38"/>
      <c r="ISD14" s="38"/>
      <c r="ISE14" s="38"/>
      <c r="ISF14" s="38"/>
      <c r="ISG14" s="38"/>
      <c r="ISH14" s="38"/>
      <c r="ISI14" s="38"/>
      <c r="ISJ14" s="38"/>
      <c r="ISK14" s="38"/>
      <c r="ISL14" s="38"/>
      <c r="ISM14" s="38"/>
      <c r="ISN14" s="38"/>
      <c r="ISO14" s="38"/>
      <c r="ISP14" s="38"/>
      <c r="ISQ14" s="38"/>
      <c r="ISR14" s="38"/>
      <c r="ISS14" s="38"/>
      <c r="IST14" s="38"/>
      <c r="ISU14" s="38"/>
      <c r="ISV14" s="38"/>
      <c r="ISW14" s="38"/>
      <c r="ISX14" s="38"/>
      <c r="ISY14" s="38"/>
      <c r="ISZ14" s="38"/>
      <c r="ITA14" s="38"/>
      <c r="ITB14" s="38"/>
      <c r="ITC14" s="38"/>
      <c r="ITD14" s="38"/>
      <c r="ITE14" s="38"/>
      <c r="ITF14" s="38"/>
      <c r="ITG14" s="38"/>
      <c r="ITH14" s="38"/>
      <c r="ITI14" s="38"/>
      <c r="ITJ14" s="38"/>
      <c r="ITK14" s="38"/>
      <c r="ITL14" s="38"/>
      <c r="ITM14" s="38"/>
      <c r="ITN14" s="38"/>
      <c r="ITO14" s="38"/>
      <c r="ITP14" s="38"/>
      <c r="ITQ14" s="38"/>
      <c r="ITR14" s="38"/>
      <c r="ITS14" s="38"/>
      <c r="ITT14" s="38"/>
      <c r="ITU14" s="38"/>
      <c r="ITV14" s="38"/>
      <c r="ITW14" s="38"/>
      <c r="ITX14" s="38"/>
      <c r="ITY14" s="38"/>
      <c r="ITZ14" s="38"/>
      <c r="IUA14" s="38"/>
      <c r="IUB14" s="38"/>
      <c r="IUC14" s="38"/>
      <c r="IUD14" s="38"/>
      <c r="IUE14" s="38"/>
      <c r="IUF14" s="38"/>
      <c r="IUG14" s="38"/>
      <c r="IUH14" s="38"/>
      <c r="IUI14" s="38"/>
      <c r="IUJ14" s="38"/>
      <c r="IUK14" s="38"/>
      <c r="IUL14" s="38"/>
      <c r="IUM14" s="38"/>
      <c r="IUN14" s="38"/>
      <c r="IUO14" s="38"/>
      <c r="IUP14" s="38"/>
      <c r="IUQ14" s="38"/>
      <c r="IUR14" s="38"/>
      <c r="IUS14" s="38"/>
      <c r="IUT14" s="38"/>
      <c r="IUU14" s="38"/>
      <c r="IUV14" s="38"/>
      <c r="IUW14" s="38"/>
      <c r="IUX14" s="38"/>
      <c r="IUY14" s="38"/>
      <c r="IUZ14" s="38"/>
      <c r="IVA14" s="38"/>
      <c r="IVB14" s="38"/>
      <c r="IVC14" s="38"/>
      <c r="IVD14" s="38"/>
      <c r="IVE14" s="38"/>
      <c r="IVF14" s="38"/>
      <c r="IVG14" s="38"/>
      <c r="IVH14" s="38"/>
      <c r="IVI14" s="38"/>
      <c r="IVJ14" s="38"/>
      <c r="IVK14" s="38"/>
      <c r="IVL14" s="38"/>
      <c r="IVM14" s="38"/>
      <c r="IVN14" s="38"/>
      <c r="IVO14" s="38"/>
      <c r="IVP14" s="38"/>
      <c r="IVQ14" s="38"/>
      <c r="IVR14" s="38"/>
      <c r="IVS14" s="38"/>
      <c r="IVT14" s="38"/>
      <c r="IVU14" s="38"/>
      <c r="IVV14" s="38"/>
      <c r="IVW14" s="38"/>
      <c r="IVX14" s="38"/>
      <c r="IVY14" s="38"/>
      <c r="IVZ14" s="38"/>
      <c r="IWA14" s="38"/>
      <c r="IWB14" s="38"/>
      <c r="IWC14" s="38"/>
      <c r="IWD14" s="38"/>
      <c r="IWE14" s="38"/>
      <c r="IWF14" s="38"/>
      <c r="IWG14" s="38"/>
      <c r="IWH14" s="38"/>
      <c r="IWI14" s="38"/>
      <c r="IWJ14" s="38"/>
      <c r="IWK14" s="38"/>
      <c r="IWL14" s="38"/>
      <c r="IWM14" s="38"/>
      <c r="IWN14" s="38"/>
      <c r="IWO14" s="38"/>
      <c r="IWP14" s="38"/>
      <c r="IWQ14" s="38"/>
      <c r="IWR14" s="38"/>
      <c r="IWS14" s="38"/>
      <c r="IWT14" s="38"/>
      <c r="IWU14" s="38"/>
      <c r="IWV14" s="38"/>
      <c r="IWW14" s="38"/>
      <c r="IWX14" s="38"/>
      <c r="IWY14" s="38"/>
      <c r="IWZ14" s="38"/>
      <c r="IXA14" s="38"/>
      <c r="IXB14" s="38"/>
      <c r="IXC14" s="38"/>
      <c r="IXD14" s="38"/>
      <c r="IXE14" s="38"/>
      <c r="IXF14" s="38"/>
      <c r="IXG14" s="38"/>
      <c r="IXH14" s="38"/>
      <c r="IXI14" s="38"/>
      <c r="IXJ14" s="38"/>
      <c r="IXK14" s="38"/>
      <c r="IXL14" s="38"/>
      <c r="IXM14" s="38"/>
      <c r="IXN14" s="38"/>
      <c r="IXO14" s="38"/>
      <c r="IXP14" s="38"/>
      <c r="IXQ14" s="38"/>
      <c r="IXR14" s="38"/>
      <c r="IXS14" s="38"/>
      <c r="IXT14" s="38"/>
      <c r="IXU14" s="38"/>
      <c r="IXV14" s="38"/>
      <c r="IXW14" s="38"/>
      <c r="IXX14" s="38"/>
      <c r="IXY14" s="38"/>
      <c r="IXZ14" s="38"/>
      <c r="IYA14" s="38"/>
      <c r="IYB14" s="38"/>
      <c r="IYC14" s="38"/>
      <c r="IYD14" s="38"/>
      <c r="IYE14" s="38"/>
      <c r="IYF14" s="38"/>
      <c r="IYG14" s="38"/>
      <c r="IYH14" s="38"/>
      <c r="IYI14" s="38"/>
      <c r="IYJ14" s="38"/>
      <c r="IYK14" s="38"/>
      <c r="IYL14" s="38"/>
      <c r="IYM14" s="38"/>
      <c r="IYN14" s="38"/>
      <c r="IYO14" s="38"/>
      <c r="IYP14" s="38"/>
      <c r="IYQ14" s="38"/>
      <c r="IYR14" s="38"/>
      <c r="IYS14" s="38"/>
      <c r="IYT14" s="38"/>
      <c r="IYU14" s="38"/>
      <c r="IYV14" s="38"/>
      <c r="IYW14" s="38"/>
      <c r="IYX14" s="38"/>
      <c r="IYY14" s="38"/>
      <c r="IYZ14" s="38"/>
      <c r="IZA14" s="38"/>
      <c r="IZB14" s="38"/>
      <c r="IZC14" s="38"/>
      <c r="IZD14" s="38"/>
      <c r="IZE14" s="38"/>
      <c r="IZF14" s="38"/>
      <c r="IZG14" s="38"/>
      <c r="IZH14" s="38"/>
      <c r="IZI14" s="38"/>
      <c r="IZJ14" s="38"/>
      <c r="IZK14" s="38"/>
      <c r="IZL14" s="38"/>
      <c r="IZM14" s="38"/>
      <c r="IZN14" s="38"/>
      <c r="IZO14" s="38"/>
      <c r="IZP14" s="38"/>
      <c r="IZQ14" s="38"/>
      <c r="IZR14" s="38"/>
      <c r="IZS14" s="38"/>
      <c r="IZT14" s="38"/>
      <c r="IZU14" s="38"/>
      <c r="IZV14" s="38"/>
      <c r="IZW14" s="38"/>
      <c r="IZX14" s="38"/>
      <c r="IZY14" s="38"/>
      <c r="IZZ14" s="38"/>
      <c r="JAA14" s="38"/>
      <c r="JAB14" s="38"/>
      <c r="JAC14" s="38"/>
      <c r="JAD14" s="38"/>
      <c r="JAE14" s="38"/>
      <c r="JAF14" s="38"/>
      <c r="JAG14" s="38"/>
      <c r="JAH14" s="38"/>
      <c r="JAI14" s="38"/>
      <c r="JAJ14" s="38"/>
      <c r="JAK14" s="38"/>
      <c r="JAL14" s="38"/>
      <c r="JAM14" s="38"/>
      <c r="JAN14" s="38"/>
      <c r="JAO14" s="38"/>
      <c r="JAP14" s="38"/>
      <c r="JAQ14" s="38"/>
      <c r="JAR14" s="38"/>
      <c r="JAS14" s="38"/>
      <c r="JAT14" s="38"/>
      <c r="JAU14" s="38"/>
      <c r="JAV14" s="38"/>
      <c r="JAW14" s="38"/>
      <c r="JAX14" s="38"/>
      <c r="JAY14" s="38"/>
      <c r="JAZ14" s="38"/>
      <c r="JBA14" s="38"/>
      <c r="JBB14" s="38"/>
      <c r="JBC14" s="38"/>
      <c r="JBD14" s="38"/>
      <c r="JBE14" s="38"/>
      <c r="JBF14" s="38"/>
      <c r="JBG14" s="38"/>
      <c r="JBH14" s="38"/>
      <c r="JBI14" s="38"/>
      <c r="JBJ14" s="38"/>
      <c r="JBK14" s="38"/>
      <c r="JBL14" s="38"/>
      <c r="JBM14" s="38"/>
      <c r="JBN14" s="38"/>
      <c r="JBO14" s="38"/>
      <c r="JBP14" s="38"/>
      <c r="JBQ14" s="38"/>
      <c r="JBR14" s="38"/>
      <c r="JBS14" s="38"/>
      <c r="JBT14" s="38"/>
      <c r="JBU14" s="38"/>
      <c r="JBV14" s="38"/>
      <c r="JBW14" s="38"/>
      <c r="JBX14" s="38"/>
      <c r="JBY14" s="38"/>
      <c r="JBZ14" s="38"/>
      <c r="JCA14" s="38"/>
      <c r="JCB14" s="38"/>
      <c r="JCC14" s="38"/>
      <c r="JCD14" s="38"/>
      <c r="JCE14" s="38"/>
      <c r="JCF14" s="38"/>
      <c r="JCG14" s="38"/>
      <c r="JCH14" s="38"/>
      <c r="JCI14" s="38"/>
      <c r="JCJ14" s="38"/>
      <c r="JCK14" s="38"/>
      <c r="JCL14" s="38"/>
      <c r="JCM14" s="38"/>
      <c r="JCN14" s="38"/>
      <c r="JCO14" s="38"/>
      <c r="JCP14" s="38"/>
      <c r="JCQ14" s="38"/>
      <c r="JCR14" s="38"/>
      <c r="JCS14" s="38"/>
      <c r="JCT14" s="38"/>
      <c r="JCU14" s="38"/>
      <c r="JCV14" s="38"/>
      <c r="JCW14" s="38"/>
      <c r="JCX14" s="38"/>
      <c r="JCY14" s="38"/>
      <c r="JCZ14" s="38"/>
      <c r="JDA14" s="38"/>
      <c r="JDB14" s="38"/>
      <c r="JDC14" s="38"/>
      <c r="JDD14" s="38"/>
      <c r="JDE14" s="38"/>
      <c r="JDF14" s="38"/>
      <c r="JDG14" s="38"/>
      <c r="JDH14" s="38"/>
      <c r="JDI14" s="38"/>
      <c r="JDJ14" s="38"/>
      <c r="JDK14" s="38"/>
      <c r="JDL14" s="38"/>
      <c r="JDM14" s="38"/>
      <c r="JDN14" s="38"/>
      <c r="JDO14" s="38"/>
      <c r="JDP14" s="38"/>
      <c r="JDQ14" s="38"/>
      <c r="JDR14" s="38"/>
      <c r="JDS14" s="38"/>
      <c r="JDT14" s="38"/>
      <c r="JDU14" s="38"/>
      <c r="JDV14" s="38"/>
      <c r="JDW14" s="38"/>
      <c r="JDX14" s="38"/>
      <c r="JDY14" s="38"/>
      <c r="JDZ14" s="38"/>
      <c r="JEA14" s="38"/>
      <c r="JEB14" s="38"/>
      <c r="JEC14" s="38"/>
      <c r="JED14" s="38"/>
      <c r="JEE14" s="38"/>
      <c r="JEF14" s="38"/>
      <c r="JEG14" s="38"/>
      <c r="JEH14" s="38"/>
      <c r="JEI14" s="38"/>
      <c r="JEJ14" s="38"/>
      <c r="JEK14" s="38"/>
      <c r="JEL14" s="38"/>
      <c r="JEM14" s="38"/>
      <c r="JEN14" s="38"/>
      <c r="JEO14" s="38"/>
      <c r="JEP14" s="38"/>
      <c r="JEQ14" s="38"/>
      <c r="JER14" s="38"/>
      <c r="JES14" s="38"/>
      <c r="JET14" s="38"/>
      <c r="JEU14" s="38"/>
      <c r="JEV14" s="38"/>
      <c r="JEW14" s="38"/>
      <c r="JEX14" s="38"/>
      <c r="JEY14" s="38"/>
      <c r="JEZ14" s="38"/>
      <c r="JFA14" s="38"/>
      <c r="JFB14" s="38"/>
      <c r="JFC14" s="38"/>
      <c r="JFD14" s="38"/>
      <c r="JFE14" s="38"/>
      <c r="JFF14" s="38"/>
      <c r="JFG14" s="38"/>
      <c r="JFH14" s="38"/>
      <c r="JFI14" s="38"/>
      <c r="JFJ14" s="38"/>
      <c r="JFK14" s="38"/>
      <c r="JFL14" s="38"/>
      <c r="JFM14" s="38"/>
      <c r="JFN14" s="38"/>
      <c r="JFO14" s="38"/>
      <c r="JFP14" s="38"/>
      <c r="JFQ14" s="38"/>
      <c r="JFR14" s="38"/>
      <c r="JFS14" s="38"/>
      <c r="JFT14" s="38"/>
      <c r="JFU14" s="38"/>
      <c r="JFV14" s="38"/>
      <c r="JFW14" s="38"/>
      <c r="JFX14" s="38"/>
      <c r="JFY14" s="38"/>
      <c r="JFZ14" s="38"/>
      <c r="JGA14" s="38"/>
      <c r="JGB14" s="38"/>
      <c r="JGC14" s="38"/>
      <c r="JGD14" s="38"/>
      <c r="JGE14" s="38"/>
      <c r="JGF14" s="38"/>
      <c r="JGG14" s="38"/>
      <c r="JGH14" s="38"/>
      <c r="JGI14" s="38"/>
      <c r="JGJ14" s="38"/>
      <c r="JGK14" s="38"/>
      <c r="JGL14" s="38"/>
      <c r="JGM14" s="38"/>
      <c r="JGN14" s="38"/>
      <c r="JGO14" s="38"/>
      <c r="JGP14" s="38"/>
      <c r="JGQ14" s="38"/>
      <c r="JGR14" s="38"/>
      <c r="JGS14" s="38"/>
      <c r="JGT14" s="38"/>
      <c r="JGU14" s="38"/>
      <c r="JGV14" s="38"/>
      <c r="JGW14" s="38"/>
      <c r="JGX14" s="38"/>
      <c r="JGY14" s="38"/>
      <c r="JGZ14" s="38"/>
      <c r="JHA14" s="38"/>
      <c r="JHB14" s="38"/>
      <c r="JHC14" s="38"/>
      <c r="JHD14" s="38"/>
      <c r="JHE14" s="38"/>
      <c r="JHF14" s="38"/>
      <c r="JHG14" s="38"/>
      <c r="JHH14" s="38"/>
      <c r="JHI14" s="38"/>
      <c r="JHJ14" s="38"/>
      <c r="JHK14" s="38"/>
      <c r="JHL14" s="38"/>
      <c r="JHM14" s="38"/>
      <c r="JHN14" s="38"/>
      <c r="JHO14" s="38"/>
      <c r="JHP14" s="38"/>
      <c r="JHQ14" s="38"/>
      <c r="JHR14" s="38"/>
      <c r="JHS14" s="38"/>
      <c r="JHT14" s="38"/>
      <c r="JHU14" s="38"/>
      <c r="JHV14" s="38"/>
      <c r="JHW14" s="38"/>
      <c r="JHX14" s="38"/>
      <c r="JHY14" s="38"/>
      <c r="JHZ14" s="38"/>
      <c r="JIA14" s="38"/>
      <c r="JIB14" s="38"/>
      <c r="JIC14" s="38"/>
      <c r="JID14" s="38"/>
      <c r="JIE14" s="38"/>
      <c r="JIF14" s="38"/>
      <c r="JIG14" s="38"/>
      <c r="JIH14" s="38"/>
      <c r="JII14" s="38"/>
      <c r="JIJ14" s="38"/>
      <c r="JIK14" s="38"/>
      <c r="JIL14" s="38"/>
      <c r="JIM14" s="38"/>
      <c r="JIN14" s="38"/>
      <c r="JIO14" s="38"/>
      <c r="JIP14" s="38"/>
      <c r="JIQ14" s="38"/>
      <c r="JIR14" s="38"/>
      <c r="JIS14" s="38"/>
      <c r="JIT14" s="38"/>
      <c r="JIU14" s="38"/>
      <c r="JIV14" s="38"/>
      <c r="JIW14" s="38"/>
      <c r="JIX14" s="38"/>
      <c r="JIY14" s="38"/>
      <c r="JIZ14" s="38"/>
      <c r="JJA14" s="38"/>
      <c r="JJB14" s="38"/>
      <c r="JJC14" s="38"/>
      <c r="JJD14" s="38"/>
      <c r="JJE14" s="38"/>
      <c r="JJF14" s="38"/>
      <c r="JJG14" s="38"/>
      <c r="JJH14" s="38"/>
      <c r="JJI14" s="38"/>
      <c r="JJJ14" s="38"/>
      <c r="JJK14" s="38"/>
      <c r="JJL14" s="38"/>
      <c r="JJM14" s="38"/>
      <c r="JJN14" s="38"/>
      <c r="JJO14" s="38"/>
      <c r="JJP14" s="38"/>
      <c r="JJQ14" s="38"/>
      <c r="JJR14" s="38"/>
      <c r="JJS14" s="38"/>
      <c r="JJT14" s="38"/>
      <c r="JJU14" s="38"/>
      <c r="JJV14" s="38"/>
      <c r="JJW14" s="38"/>
      <c r="JJX14" s="38"/>
      <c r="JJY14" s="38"/>
      <c r="JJZ14" s="38"/>
      <c r="JKA14" s="38"/>
      <c r="JKB14" s="38"/>
      <c r="JKC14" s="38"/>
      <c r="JKD14" s="38"/>
      <c r="JKE14" s="38"/>
      <c r="JKF14" s="38"/>
      <c r="JKG14" s="38"/>
      <c r="JKH14" s="38"/>
      <c r="JKI14" s="38"/>
      <c r="JKJ14" s="38"/>
      <c r="JKK14" s="38"/>
      <c r="JKL14" s="38"/>
      <c r="JKM14" s="38"/>
      <c r="JKN14" s="38"/>
      <c r="JKO14" s="38"/>
      <c r="JKP14" s="38"/>
      <c r="JKQ14" s="38"/>
      <c r="JKR14" s="38"/>
      <c r="JKS14" s="38"/>
      <c r="JKT14" s="38"/>
      <c r="JKU14" s="38"/>
      <c r="JKV14" s="38"/>
      <c r="JKW14" s="38"/>
      <c r="JKX14" s="38"/>
      <c r="JKY14" s="38"/>
      <c r="JKZ14" s="38"/>
      <c r="JLA14" s="38"/>
      <c r="JLB14" s="38"/>
      <c r="JLC14" s="38"/>
      <c r="JLD14" s="38"/>
      <c r="JLE14" s="38"/>
      <c r="JLF14" s="38"/>
      <c r="JLG14" s="38"/>
      <c r="JLH14" s="38"/>
      <c r="JLI14" s="38"/>
      <c r="JLJ14" s="38"/>
      <c r="JLK14" s="38"/>
      <c r="JLL14" s="38"/>
      <c r="JLM14" s="38"/>
      <c r="JLN14" s="38"/>
      <c r="JLO14" s="38"/>
      <c r="JLP14" s="38"/>
      <c r="JLQ14" s="38"/>
      <c r="JLR14" s="38"/>
      <c r="JLS14" s="38"/>
      <c r="JLT14" s="38"/>
      <c r="JLU14" s="38"/>
      <c r="JLV14" s="38"/>
      <c r="JLW14" s="38"/>
      <c r="JLX14" s="38"/>
      <c r="JLY14" s="38"/>
      <c r="JLZ14" s="38"/>
      <c r="JMA14" s="38"/>
      <c r="JMB14" s="38"/>
      <c r="JMC14" s="38"/>
      <c r="JMD14" s="38"/>
      <c r="JME14" s="38"/>
      <c r="JMF14" s="38"/>
      <c r="JMG14" s="38"/>
      <c r="JMH14" s="38"/>
      <c r="JMI14" s="38"/>
      <c r="JMJ14" s="38"/>
      <c r="JMK14" s="38"/>
      <c r="JML14" s="38"/>
      <c r="JMM14" s="38"/>
      <c r="JMN14" s="38"/>
      <c r="JMO14" s="38"/>
      <c r="JMP14" s="38"/>
      <c r="JMQ14" s="38"/>
      <c r="JMR14" s="38"/>
      <c r="JMS14" s="38"/>
      <c r="JMT14" s="38"/>
      <c r="JMU14" s="38"/>
      <c r="JMV14" s="38"/>
      <c r="JMW14" s="38"/>
      <c r="JMX14" s="38"/>
      <c r="JMY14" s="38"/>
      <c r="JMZ14" s="38"/>
      <c r="JNA14" s="38"/>
      <c r="JNB14" s="38"/>
      <c r="JNC14" s="38"/>
      <c r="JND14" s="38"/>
      <c r="JNE14" s="38"/>
      <c r="JNF14" s="38"/>
      <c r="JNG14" s="38"/>
      <c r="JNH14" s="38"/>
      <c r="JNI14" s="38"/>
      <c r="JNJ14" s="38"/>
      <c r="JNK14" s="38"/>
      <c r="JNL14" s="38"/>
      <c r="JNM14" s="38"/>
      <c r="JNN14" s="38"/>
      <c r="JNO14" s="38"/>
      <c r="JNP14" s="38"/>
      <c r="JNQ14" s="38"/>
      <c r="JNR14" s="38"/>
      <c r="JNS14" s="38"/>
      <c r="JNT14" s="38"/>
      <c r="JNU14" s="38"/>
      <c r="JNV14" s="38"/>
      <c r="JNW14" s="38"/>
      <c r="JNX14" s="38"/>
      <c r="JNY14" s="38"/>
      <c r="JNZ14" s="38"/>
      <c r="JOA14" s="38"/>
      <c r="JOB14" s="38"/>
      <c r="JOC14" s="38"/>
      <c r="JOD14" s="38"/>
      <c r="JOE14" s="38"/>
      <c r="JOF14" s="38"/>
      <c r="JOG14" s="38"/>
      <c r="JOH14" s="38"/>
      <c r="JOI14" s="38"/>
      <c r="JOJ14" s="38"/>
      <c r="JOK14" s="38"/>
      <c r="JOL14" s="38"/>
      <c r="JOM14" s="38"/>
      <c r="JON14" s="38"/>
      <c r="JOO14" s="38"/>
      <c r="JOP14" s="38"/>
      <c r="JOQ14" s="38"/>
      <c r="JOR14" s="38"/>
      <c r="JOS14" s="38"/>
      <c r="JOT14" s="38"/>
      <c r="JOU14" s="38"/>
      <c r="JOV14" s="38"/>
      <c r="JOW14" s="38"/>
      <c r="JOX14" s="38"/>
      <c r="JOY14" s="38"/>
      <c r="JOZ14" s="38"/>
      <c r="JPA14" s="38"/>
      <c r="JPB14" s="38"/>
      <c r="JPC14" s="38"/>
      <c r="JPD14" s="38"/>
      <c r="JPE14" s="38"/>
      <c r="JPF14" s="38"/>
      <c r="JPG14" s="38"/>
      <c r="JPH14" s="38"/>
      <c r="JPI14" s="38"/>
      <c r="JPJ14" s="38"/>
      <c r="JPK14" s="38"/>
      <c r="JPL14" s="38"/>
      <c r="JPM14" s="38"/>
      <c r="JPN14" s="38"/>
      <c r="JPO14" s="38"/>
      <c r="JPP14" s="38"/>
      <c r="JPQ14" s="38"/>
      <c r="JPR14" s="38"/>
      <c r="JPS14" s="38"/>
      <c r="JPT14" s="38"/>
      <c r="JPU14" s="38"/>
      <c r="JPV14" s="38"/>
      <c r="JPW14" s="38"/>
      <c r="JPX14" s="38"/>
      <c r="JPY14" s="38"/>
      <c r="JPZ14" s="38"/>
      <c r="JQA14" s="38"/>
      <c r="JQB14" s="38"/>
      <c r="JQC14" s="38"/>
      <c r="JQD14" s="38"/>
      <c r="JQE14" s="38"/>
      <c r="JQF14" s="38"/>
      <c r="JQG14" s="38"/>
      <c r="JQH14" s="38"/>
      <c r="JQI14" s="38"/>
      <c r="JQJ14" s="38"/>
      <c r="JQK14" s="38"/>
      <c r="JQL14" s="38"/>
      <c r="JQM14" s="38"/>
      <c r="JQN14" s="38"/>
      <c r="JQO14" s="38"/>
      <c r="JQP14" s="38"/>
      <c r="JQQ14" s="38"/>
      <c r="JQR14" s="38"/>
      <c r="JQS14" s="38"/>
      <c r="JQT14" s="38"/>
      <c r="JQU14" s="38"/>
      <c r="JQV14" s="38"/>
      <c r="JQW14" s="38"/>
      <c r="JQX14" s="38"/>
      <c r="JQY14" s="38"/>
      <c r="JQZ14" s="38"/>
      <c r="JRA14" s="38"/>
      <c r="JRB14" s="38"/>
      <c r="JRC14" s="38"/>
      <c r="JRD14" s="38"/>
      <c r="JRE14" s="38"/>
      <c r="JRF14" s="38"/>
      <c r="JRG14" s="38"/>
      <c r="JRH14" s="38"/>
      <c r="JRI14" s="38"/>
      <c r="JRJ14" s="38"/>
      <c r="JRK14" s="38"/>
      <c r="JRL14" s="38"/>
      <c r="JRM14" s="38"/>
      <c r="JRN14" s="38"/>
      <c r="JRO14" s="38"/>
      <c r="JRP14" s="38"/>
      <c r="JRQ14" s="38"/>
      <c r="JRR14" s="38"/>
      <c r="JRS14" s="38"/>
      <c r="JRT14" s="38"/>
      <c r="JRU14" s="38"/>
      <c r="JRV14" s="38"/>
      <c r="JRW14" s="38"/>
      <c r="JRX14" s="38"/>
      <c r="JRY14" s="38"/>
      <c r="JRZ14" s="38"/>
      <c r="JSA14" s="38"/>
      <c r="JSB14" s="38"/>
      <c r="JSC14" s="38"/>
      <c r="JSD14" s="38"/>
      <c r="JSE14" s="38"/>
      <c r="JSF14" s="38"/>
      <c r="JSG14" s="38"/>
      <c r="JSH14" s="38"/>
      <c r="JSI14" s="38"/>
      <c r="JSJ14" s="38"/>
      <c r="JSK14" s="38"/>
      <c r="JSL14" s="38"/>
      <c r="JSM14" s="38"/>
      <c r="JSN14" s="38"/>
      <c r="JSO14" s="38"/>
      <c r="JSP14" s="38"/>
      <c r="JSQ14" s="38"/>
      <c r="JSR14" s="38"/>
      <c r="JSS14" s="38"/>
      <c r="JST14" s="38"/>
      <c r="JSU14" s="38"/>
      <c r="JSV14" s="38"/>
      <c r="JSW14" s="38"/>
      <c r="JSX14" s="38"/>
      <c r="JSY14" s="38"/>
      <c r="JSZ14" s="38"/>
      <c r="JTA14" s="38"/>
      <c r="JTB14" s="38"/>
      <c r="JTC14" s="38"/>
      <c r="JTD14" s="38"/>
      <c r="JTE14" s="38"/>
      <c r="JTF14" s="38"/>
      <c r="JTG14" s="38"/>
      <c r="JTH14" s="38"/>
      <c r="JTI14" s="38"/>
      <c r="JTJ14" s="38"/>
      <c r="JTK14" s="38"/>
      <c r="JTL14" s="38"/>
      <c r="JTM14" s="38"/>
      <c r="JTN14" s="38"/>
      <c r="JTO14" s="38"/>
      <c r="JTP14" s="38"/>
      <c r="JTQ14" s="38"/>
      <c r="JTR14" s="38"/>
      <c r="JTS14" s="38"/>
      <c r="JTT14" s="38"/>
      <c r="JTU14" s="38"/>
      <c r="JTV14" s="38"/>
      <c r="JTW14" s="38"/>
      <c r="JTX14" s="38"/>
      <c r="JTY14" s="38"/>
      <c r="JTZ14" s="38"/>
      <c r="JUA14" s="38"/>
      <c r="JUB14" s="38"/>
      <c r="JUC14" s="38"/>
      <c r="JUD14" s="38"/>
      <c r="JUE14" s="38"/>
      <c r="JUF14" s="38"/>
      <c r="JUG14" s="38"/>
      <c r="JUH14" s="38"/>
      <c r="JUI14" s="38"/>
      <c r="JUJ14" s="38"/>
      <c r="JUK14" s="38"/>
      <c r="JUL14" s="38"/>
      <c r="JUM14" s="38"/>
      <c r="JUN14" s="38"/>
      <c r="JUO14" s="38"/>
      <c r="JUP14" s="38"/>
      <c r="JUQ14" s="38"/>
      <c r="JUR14" s="38"/>
      <c r="JUS14" s="38"/>
      <c r="JUT14" s="38"/>
      <c r="JUU14" s="38"/>
      <c r="JUV14" s="38"/>
      <c r="JUW14" s="38"/>
      <c r="JUX14" s="38"/>
      <c r="JUY14" s="38"/>
      <c r="JUZ14" s="38"/>
      <c r="JVA14" s="38"/>
      <c r="JVB14" s="38"/>
      <c r="JVC14" s="38"/>
      <c r="JVD14" s="38"/>
      <c r="JVE14" s="38"/>
      <c r="JVF14" s="38"/>
      <c r="JVG14" s="38"/>
      <c r="JVH14" s="38"/>
      <c r="JVI14" s="38"/>
      <c r="JVJ14" s="38"/>
      <c r="JVK14" s="38"/>
      <c r="JVL14" s="38"/>
      <c r="JVM14" s="38"/>
      <c r="JVN14" s="38"/>
      <c r="JVO14" s="38"/>
      <c r="JVP14" s="38"/>
      <c r="JVQ14" s="38"/>
      <c r="JVR14" s="38"/>
      <c r="JVS14" s="38"/>
      <c r="JVT14" s="38"/>
      <c r="JVU14" s="38"/>
      <c r="JVV14" s="38"/>
      <c r="JVW14" s="38"/>
      <c r="JVX14" s="38"/>
      <c r="JVY14" s="38"/>
      <c r="JVZ14" s="38"/>
      <c r="JWA14" s="38"/>
      <c r="JWB14" s="38"/>
      <c r="JWC14" s="38"/>
      <c r="JWD14" s="38"/>
      <c r="JWE14" s="38"/>
      <c r="JWF14" s="38"/>
      <c r="JWG14" s="38"/>
      <c r="JWH14" s="38"/>
      <c r="JWI14" s="38"/>
      <c r="JWJ14" s="38"/>
      <c r="JWK14" s="38"/>
      <c r="JWL14" s="38"/>
      <c r="JWM14" s="38"/>
      <c r="JWN14" s="38"/>
      <c r="JWO14" s="38"/>
      <c r="JWP14" s="38"/>
      <c r="JWQ14" s="38"/>
      <c r="JWR14" s="38"/>
      <c r="JWS14" s="38"/>
      <c r="JWT14" s="38"/>
      <c r="JWU14" s="38"/>
      <c r="JWV14" s="38"/>
      <c r="JWW14" s="38"/>
      <c r="JWX14" s="38"/>
      <c r="JWY14" s="38"/>
      <c r="JWZ14" s="38"/>
      <c r="JXA14" s="38"/>
      <c r="JXB14" s="38"/>
      <c r="JXC14" s="38"/>
      <c r="JXD14" s="38"/>
      <c r="JXE14" s="38"/>
      <c r="JXF14" s="38"/>
      <c r="JXG14" s="38"/>
      <c r="JXH14" s="38"/>
      <c r="JXI14" s="38"/>
      <c r="JXJ14" s="38"/>
      <c r="JXK14" s="38"/>
      <c r="JXL14" s="38"/>
      <c r="JXM14" s="38"/>
      <c r="JXN14" s="38"/>
      <c r="JXO14" s="38"/>
      <c r="JXP14" s="38"/>
      <c r="JXQ14" s="38"/>
      <c r="JXR14" s="38"/>
      <c r="JXS14" s="38"/>
      <c r="JXT14" s="38"/>
      <c r="JXU14" s="38"/>
      <c r="JXV14" s="38"/>
      <c r="JXW14" s="38"/>
      <c r="JXX14" s="38"/>
      <c r="JXY14" s="38"/>
      <c r="JXZ14" s="38"/>
      <c r="JYA14" s="38"/>
      <c r="JYB14" s="38"/>
      <c r="JYC14" s="38"/>
      <c r="JYD14" s="38"/>
      <c r="JYE14" s="38"/>
      <c r="JYF14" s="38"/>
      <c r="JYG14" s="38"/>
      <c r="JYH14" s="38"/>
      <c r="JYI14" s="38"/>
      <c r="JYJ14" s="38"/>
      <c r="JYK14" s="38"/>
      <c r="JYL14" s="38"/>
      <c r="JYM14" s="38"/>
      <c r="JYN14" s="38"/>
      <c r="JYO14" s="38"/>
      <c r="JYP14" s="38"/>
      <c r="JYQ14" s="38"/>
      <c r="JYR14" s="38"/>
      <c r="JYS14" s="38"/>
      <c r="JYT14" s="38"/>
      <c r="JYU14" s="38"/>
      <c r="JYV14" s="38"/>
      <c r="JYW14" s="38"/>
      <c r="JYX14" s="38"/>
      <c r="JYY14" s="38"/>
      <c r="JYZ14" s="38"/>
      <c r="JZA14" s="38"/>
      <c r="JZB14" s="38"/>
      <c r="JZC14" s="38"/>
      <c r="JZD14" s="38"/>
      <c r="JZE14" s="38"/>
      <c r="JZF14" s="38"/>
      <c r="JZG14" s="38"/>
      <c r="JZH14" s="38"/>
      <c r="JZI14" s="38"/>
      <c r="JZJ14" s="38"/>
      <c r="JZK14" s="38"/>
      <c r="JZL14" s="38"/>
      <c r="JZM14" s="38"/>
      <c r="JZN14" s="38"/>
      <c r="JZO14" s="38"/>
      <c r="JZP14" s="38"/>
      <c r="JZQ14" s="38"/>
      <c r="JZR14" s="38"/>
      <c r="JZS14" s="38"/>
      <c r="JZT14" s="38"/>
      <c r="JZU14" s="38"/>
      <c r="JZV14" s="38"/>
      <c r="JZW14" s="38"/>
      <c r="JZX14" s="38"/>
      <c r="JZY14" s="38"/>
      <c r="JZZ14" s="38"/>
      <c r="KAA14" s="38"/>
      <c r="KAB14" s="38"/>
      <c r="KAC14" s="38"/>
      <c r="KAD14" s="38"/>
      <c r="KAE14" s="38"/>
      <c r="KAF14" s="38"/>
      <c r="KAG14" s="38"/>
      <c r="KAH14" s="38"/>
      <c r="KAI14" s="38"/>
      <c r="KAJ14" s="38"/>
      <c r="KAK14" s="38"/>
      <c r="KAL14" s="38"/>
      <c r="KAM14" s="38"/>
      <c r="KAN14" s="38"/>
      <c r="KAO14" s="38"/>
      <c r="KAP14" s="38"/>
      <c r="KAQ14" s="38"/>
      <c r="KAR14" s="38"/>
      <c r="KAS14" s="38"/>
      <c r="KAT14" s="38"/>
      <c r="KAU14" s="38"/>
      <c r="KAV14" s="38"/>
      <c r="KAW14" s="38"/>
      <c r="KAX14" s="38"/>
      <c r="KAY14" s="38"/>
      <c r="KAZ14" s="38"/>
      <c r="KBA14" s="38"/>
      <c r="KBB14" s="38"/>
      <c r="KBC14" s="38"/>
      <c r="KBD14" s="38"/>
      <c r="KBE14" s="38"/>
      <c r="KBF14" s="38"/>
      <c r="KBG14" s="38"/>
      <c r="KBH14" s="38"/>
      <c r="KBI14" s="38"/>
      <c r="KBJ14" s="38"/>
      <c r="KBK14" s="38"/>
      <c r="KBL14" s="38"/>
      <c r="KBM14" s="38"/>
      <c r="KBN14" s="38"/>
      <c r="KBO14" s="38"/>
      <c r="KBP14" s="38"/>
      <c r="KBQ14" s="38"/>
      <c r="KBR14" s="38"/>
      <c r="KBS14" s="38"/>
      <c r="KBT14" s="38"/>
      <c r="KBU14" s="38"/>
      <c r="KBV14" s="38"/>
      <c r="KBW14" s="38"/>
      <c r="KBX14" s="38"/>
      <c r="KBY14" s="38"/>
      <c r="KBZ14" s="38"/>
      <c r="KCA14" s="38"/>
      <c r="KCB14" s="38"/>
      <c r="KCC14" s="38"/>
      <c r="KCD14" s="38"/>
      <c r="KCE14" s="38"/>
      <c r="KCF14" s="38"/>
      <c r="KCG14" s="38"/>
      <c r="KCH14" s="38"/>
      <c r="KCI14" s="38"/>
      <c r="KCJ14" s="38"/>
      <c r="KCK14" s="38"/>
      <c r="KCL14" s="38"/>
      <c r="KCM14" s="38"/>
      <c r="KCN14" s="38"/>
      <c r="KCO14" s="38"/>
      <c r="KCP14" s="38"/>
      <c r="KCQ14" s="38"/>
      <c r="KCR14" s="38"/>
      <c r="KCS14" s="38"/>
      <c r="KCT14" s="38"/>
      <c r="KCU14" s="38"/>
      <c r="KCV14" s="38"/>
      <c r="KCW14" s="38"/>
      <c r="KCX14" s="38"/>
      <c r="KCY14" s="38"/>
      <c r="KCZ14" s="38"/>
      <c r="KDA14" s="38"/>
      <c r="KDB14" s="38"/>
      <c r="KDC14" s="38"/>
      <c r="KDD14" s="38"/>
      <c r="KDE14" s="38"/>
      <c r="KDF14" s="38"/>
      <c r="KDG14" s="38"/>
      <c r="KDH14" s="38"/>
      <c r="KDI14" s="38"/>
      <c r="KDJ14" s="38"/>
      <c r="KDK14" s="38"/>
      <c r="KDL14" s="38"/>
      <c r="KDM14" s="38"/>
      <c r="KDN14" s="38"/>
      <c r="KDO14" s="38"/>
      <c r="KDP14" s="38"/>
      <c r="KDQ14" s="38"/>
      <c r="KDR14" s="38"/>
      <c r="KDS14" s="38"/>
      <c r="KDT14" s="38"/>
      <c r="KDU14" s="38"/>
      <c r="KDV14" s="38"/>
      <c r="KDW14" s="38"/>
      <c r="KDX14" s="38"/>
      <c r="KDY14" s="38"/>
      <c r="KDZ14" s="38"/>
      <c r="KEA14" s="38"/>
      <c r="KEB14" s="38"/>
      <c r="KEC14" s="38"/>
      <c r="KED14" s="38"/>
      <c r="KEE14" s="38"/>
      <c r="KEF14" s="38"/>
      <c r="KEG14" s="38"/>
      <c r="KEH14" s="38"/>
      <c r="KEI14" s="38"/>
      <c r="KEJ14" s="38"/>
      <c r="KEK14" s="38"/>
      <c r="KEL14" s="38"/>
      <c r="KEM14" s="38"/>
      <c r="KEN14" s="38"/>
      <c r="KEO14" s="38"/>
      <c r="KEP14" s="38"/>
      <c r="KEQ14" s="38"/>
      <c r="KER14" s="38"/>
      <c r="KES14" s="38"/>
      <c r="KET14" s="38"/>
      <c r="KEU14" s="38"/>
      <c r="KEV14" s="38"/>
      <c r="KEW14" s="38"/>
      <c r="KEX14" s="38"/>
      <c r="KEY14" s="38"/>
      <c r="KEZ14" s="38"/>
      <c r="KFA14" s="38"/>
      <c r="KFB14" s="38"/>
      <c r="KFC14" s="38"/>
      <c r="KFD14" s="38"/>
      <c r="KFE14" s="38"/>
      <c r="KFF14" s="38"/>
      <c r="KFG14" s="38"/>
      <c r="KFH14" s="38"/>
      <c r="KFI14" s="38"/>
      <c r="KFJ14" s="38"/>
      <c r="KFK14" s="38"/>
      <c r="KFL14" s="38"/>
      <c r="KFM14" s="38"/>
      <c r="KFN14" s="38"/>
      <c r="KFO14" s="38"/>
      <c r="KFP14" s="38"/>
      <c r="KFQ14" s="38"/>
      <c r="KFR14" s="38"/>
      <c r="KFS14" s="38"/>
      <c r="KFT14" s="38"/>
      <c r="KFU14" s="38"/>
      <c r="KFV14" s="38"/>
      <c r="KFW14" s="38"/>
      <c r="KFX14" s="38"/>
      <c r="KFY14" s="38"/>
      <c r="KFZ14" s="38"/>
      <c r="KGA14" s="38"/>
      <c r="KGB14" s="38"/>
      <c r="KGC14" s="38"/>
      <c r="KGD14" s="38"/>
      <c r="KGE14" s="38"/>
      <c r="KGF14" s="38"/>
      <c r="KGG14" s="38"/>
      <c r="KGH14" s="38"/>
      <c r="KGI14" s="38"/>
      <c r="KGJ14" s="38"/>
      <c r="KGK14" s="38"/>
      <c r="KGL14" s="38"/>
      <c r="KGM14" s="38"/>
      <c r="KGN14" s="38"/>
      <c r="KGO14" s="38"/>
      <c r="KGP14" s="38"/>
      <c r="KGQ14" s="38"/>
      <c r="KGR14" s="38"/>
      <c r="KGS14" s="38"/>
      <c r="KGT14" s="38"/>
      <c r="KGU14" s="38"/>
      <c r="KGV14" s="38"/>
      <c r="KGW14" s="38"/>
      <c r="KGX14" s="38"/>
      <c r="KGY14" s="38"/>
      <c r="KGZ14" s="38"/>
      <c r="KHA14" s="38"/>
      <c r="KHB14" s="38"/>
      <c r="KHC14" s="38"/>
      <c r="KHD14" s="38"/>
      <c r="KHE14" s="38"/>
      <c r="KHF14" s="38"/>
      <c r="KHG14" s="38"/>
      <c r="KHH14" s="38"/>
      <c r="KHI14" s="38"/>
      <c r="KHJ14" s="38"/>
      <c r="KHK14" s="38"/>
      <c r="KHL14" s="38"/>
      <c r="KHM14" s="38"/>
      <c r="KHN14" s="38"/>
      <c r="KHO14" s="38"/>
      <c r="KHP14" s="38"/>
      <c r="KHQ14" s="38"/>
      <c r="KHR14" s="38"/>
      <c r="KHS14" s="38"/>
      <c r="KHT14" s="38"/>
      <c r="KHU14" s="38"/>
      <c r="KHV14" s="38"/>
      <c r="KHW14" s="38"/>
      <c r="KHX14" s="38"/>
      <c r="KHY14" s="38"/>
      <c r="KHZ14" s="38"/>
      <c r="KIA14" s="38"/>
      <c r="KIB14" s="38"/>
      <c r="KIC14" s="38"/>
      <c r="KID14" s="38"/>
      <c r="KIE14" s="38"/>
      <c r="KIF14" s="38"/>
      <c r="KIG14" s="38"/>
      <c r="KIH14" s="38"/>
      <c r="KII14" s="38"/>
      <c r="KIJ14" s="38"/>
      <c r="KIK14" s="38"/>
      <c r="KIL14" s="38"/>
      <c r="KIM14" s="38"/>
      <c r="KIN14" s="38"/>
      <c r="KIO14" s="38"/>
      <c r="KIP14" s="38"/>
      <c r="KIQ14" s="38"/>
      <c r="KIR14" s="38"/>
      <c r="KIS14" s="38"/>
      <c r="KIT14" s="38"/>
      <c r="KIU14" s="38"/>
      <c r="KIV14" s="38"/>
      <c r="KIW14" s="38"/>
      <c r="KIX14" s="38"/>
      <c r="KIY14" s="38"/>
      <c r="KIZ14" s="38"/>
      <c r="KJA14" s="38"/>
      <c r="KJB14" s="38"/>
      <c r="KJC14" s="38"/>
      <c r="KJD14" s="38"/>
      <c r="KJE14" s="38"/>
      <c r="KJF14" s="38"/>
      <c r="KJG14" s="38"/>
      <c r="KJH14" s="38"/>
      <c r="KJI14" s="38"/>
      <c r="KJJ14" s="38"/>
      <c r="KJK14" s="38"/>
      <c r="KJL14" s="38"/>
      <c r="KJM14" s="38"/>
      <c r="KJN14" s="38"/>
      <c r="KJO14" s="38"/>
      <c r="KJP14" s="38"/>
      <c r="KJQ14" s="38"/>
      <c r="KJR14" s="38"/>
      <c r="KJS14" s="38"/>
      <c r="KJT14" s="38"/>
      <c r="KJU14" s="38"/>
      <c r="KJV14" s="38"/>
      <c r="KJW14" s="38"/>
      <c r="KJX14" s="38"/>
      <c r="KJY14" s="38"/>
      <c r="KJZ14" s="38"/>
      <c r="KKA14" s="38"/>
      <c r="KKB14" s="38"/>
      <c r="KKC14" s="38"/>
      <c r="KKD14" s="38"/>
      <c r="KKE14" s="38"/>
      <c r="KKF14" s="38"/>
      <c r="KKG14" s="38"/>
      <c r="KKH14" s="38"/>
      <c r="KKI14" s="38"/>
      <c r="KKJ14" s="38"/>
      <c r="KKK14" s="38"/>
      <c r="KKL14" s="38"/>
      <c r="KKM14" s="38"/>
      <c r="KKN14" s="38"/>
      <c r="KKO14" s="38"/>
      <c r="KKP14" s="38"/>
      <c r="KKQ14" s="38"/>
      <c r="KKR14" s="38"/>
      <c r="KKS14" s="38"/>
      <c r="KKT14" s="38"/>
      <c r="KKU14" s="38"/>
      <c r="KKV14" s="38"/>
      <c r="KKW14" s="38"/>
      <c r="KKX14" s="38"/>
      <c r="KKY14" s="38"/>
      <c r="KKZ14" s="38"/>
      <c r="KLA14" s="38"/>
      <c r="KLB14" s="38"/>
      <c r="KLC14" s="38"/>
      <c r="KLD14" s="38"/>
      <c r="KLE14" s="38"/>
      <c r="KLF14" s="38"/>
      <c r="KLG14" s="38"/>
      <c r="KLH14" s="38"/>
      <c r="KLI14" s="38"/>
      <c r="KLJ14" s="38"/>
      <c r="KLK14" s="38"/>
      <c r="KLL14" s="38"/>
      <c r="KLM14" s="38"/>
      <c r="KLN14" s="38"/>
      <c r="KLO14" s="38"/>
      <c r="KLP14" s="38"/>
      <c r="KLQ14" s="38"/>
      <c r="KLR14" s="38"/>
      <c r="KLS14" s="38"/>
      <c r="KLT14" s="38"/>
      <c r="KLU14" s="38"/>
      <c r="KLV14" s="38"/>
      <c r="KLW14" s="38"/>
      <c r="KLX14" s="38"/>
      <c r="KLY14" s="38"/>
      <c r="KLZ14" s="38"/>
      <c r="KMA14" s="38"/>
      <c r="KMB14" s="38"/>
      <c r="KMC14" s="38"/>
      <c r="KMD14" s="38"/>
      <c r="KME14" s="38"/>
      <c r="KMF14" s="38"/>
      <c r="KMG14" s="38"/>
      <c r="KMH14" s="38"/>
      <c r="KMI14" s="38"/>
      <c r="KMJ14" s="38"/>
      <c r="KMK14" s="38"/>
      <c r="KML14" s="38"/>
      <c r="KMM14" s="38"/>
      <c r="KMN14" s="38"/>
      <c r="KMO14" s="38"/>
      <c r="KMP14" s="38"/>
      <c r="KMQ14" s="38"/>
      <c r="KMR14" s="38"/>
      <c r="KMS14" s="38"/>
      <c r="KMT14" s="38"/>
      <c r="KMU14" s="38"/>
      <c r="KMV14" s="38"/>
      <c r="KMW14" s="38"/>
      <c r="KMX14" s="38"/>
      <c r="KMY14" s="38"/>
      <c r="KMZ14" s="38"/>
      <c r="KNA14" s="38"/>
      <c r="KNB14" s="38"/>
      <c r="KNC14" s="38"/>
      <c r="KND14" s="38"/>
      <c r="KNE14" s="38"/>
      <c r="KNF14" s="38"/>
      <c r="KNG14" s="38"/>
      <c r="KNH14" s="38"/>
      <c r="KNI14" s="38"/>
      <c r="KNJ14" s="38"/>
      <c r="KNK14" s="38"/>
      <c r="KNL14" s="38"/>
      <c r="KNM14" s="38"/>
      <c r="KNN14" s="38"/>
      <c r="KNO14" s="38"/>
      <c r="KNP14" s="38"/>
      <c r="KNQ14" s="38"/>
      <c r="KNR14" s="38"/>
      <c r="KNS14" s="38"/>
      <c r="KNT14" s="38"/>
      <c r="KNU14" s="38"/>
      <c r="KNV14" s="38"/>
      <c r="KNW14" s="38"/>
      <c r="KNX14" s="38"/>
      <c r="KNY14" s="38"/>
      <c r="KNZ14" s="38"/>
      <c r="KOA14" s="38"/>
      <c r="KOB14" s="38"/>
      <c r="KOC14" s="38"/>
      <c r="KOD14" s="38"/>
      <c r="KOE14" s="38"/>
      <c r="KOF14" s="38"/>
      <c r="KOG14" s="38"/>
      <c r="KOH14" s="38"/>
      <c r="KOI14" s="38"/>
      <c r="KOJ14" s="38"/>
      <c r="KOK14" s="38"/>
      <c r="KOL14" s="38"/>
      <c r="KOM14" s="38"/>
      <c r="KON14" s="38"/>
      <c r="KOO14" s="38"/>
      <c r="KOP14" s="38"/>
      <c r="KOQ14" s="38"/>
      <c r="KOR14" s="38"/>
      <c r="KOS14" s="38"/>
      <c r="KOT14" s="38"/>
      <c r="KOU14" s="38"/>
      <c r="KOV14" s="38"/>
      <c r="KOW14" s="38"/>
      <c r="KOX14" s="38"/>
      <c r="KOY14" s="38"/>
      <c r="KOZ14" s="38"/>
      <c r="KPA14" s="38"/>
      <c r="KPB14" s="38"/>
      <c r="KPC14" s="38"/>
      <c r="KPD14" s="38"/>
      <c r="KPE14" s="38"/>
      <c r="KPF14" s="38"/>
      <c r="KPG14" s="38"/>
      <c r="KPH14" s="38"/>
      <c r="KPI14" s="38"/>
      <c r="KPJ14" s="38"/>
      <c r="KPK14" s="38"/>
      <c r="KPL14" s="38"/>
      <c r="KPM14" s="38"/>
      <c r="KPN14" s="38"/>
      <c r="KPO14" s="38"/>
      <c r="KPP14" s="38"/>
      <c r="KPQ14" s="38"/>
      <c r="KPR14" s="38"/>
      <c r="KPS14" s="38"/>
      <c r="KPT14" s="38"/>
      <c r="KPU14" s="38"/>
      <c r="KPV14" s="38"/>
      <c r="KPW14" s="38"/>
      <c r="KPX14" s="38"/>
      <c r="KPY14" s="38"/>
      <c r="KPZ14" s="38"/>
      <c r="KQA14" s="38"/>
      <c r="KQB14" s="38"/>
      <c r="KQC14" s="38"/>
      <c r="KQD14" s="38"/>
      <c r="KQE14" s="38"/>
      <c r="KQF14" s="38"/>
      <c r="KQG14" s="38"/>
      <c r="KQH14" s="38"/>
      <c r="KQI14" s="38"/>
      <c r="KQJ14" s="38"/>
      <c r="KQK14" s="38"/>
      <c r="KQL14" s="38"/>
      <c r="KQM14" s="38"/>
      <c r="KQN14" s="38"/>
      <c r="KQO14" s="38"/>
      <c r="KQP14" s="38"/>
      <c r="KQQ14" s="38"/>
      <c r="KQR14" s="38"/>
      <c r="KQS14" s="38"/>
      <c r="KQT14" s="38"/>
      <c r="KQU14" s="38"/>
      <c r="KQV14" s="38"/>
      <c r="KQW14" s="38"/>
      <c r="KQX14" s="38"/>
      <c r="KQY14" s="38"/>
      <c r="KQZ14" s="38"/>
      <c r="KRA14" s="38"/>
      <c r="KRB14" s="38"/>
      <c r="KRC14" s="38"/>
      <c r="KRD14" s="38"/>
      <c r="KRE14" s="38"/>
      <c r="KRF14" s="38"/>
      <c r="KRG14" s="38"/>
      <c r="KRH14" s="38"/>
      <c r="KRI14" s="38"/>
      <c r="KRJ14" s="38"/>
      <c r="KRK14" s="38"/>
      <c r="KRL14" s="38"/>
      <c r="KRM14" s="38"/>
      <c r="KRN14" s="38"/>
      <c r="KRO14" s="38"/>
      <c r="KRP14" s="38"/>
      <c r="KRQ14" s="38"/>
      <c r="KRR14" s="38"/>
      <c r="KRS14" s="38"/>
      <c r="KRT14" s="38"/>
      <c r="KRU14" s="38"/>
      <c r="KRV14" s="38"/>
      <c r="KRW14" s="38"/>
      <c r="KRX14" s="38"/>
      <c r="KRY14" s="38"/>
      <c r="KRZ14" s="38"/>
      <c r="KSA14" s="38"/>
      <c r="KSB14" s="38"/>
      <c r="KSC14" s="38"/>
      <c r="KSD14" s="38"/>
      <c r="KSE14" s="38"/>
      <c r="KSF14" s="38"/>
      <c r="KSG14" s="38"/>
      <c r="KSH14" s="38"/>
      <c r="KSI14" s="38"/>
      <c r="KSJ14" s="38"/>
      <c r="KSK14" s="38"/>
      <c r="KSL14" s="38"/>
      <c r="KSM14" s="38"/>
      <c r="KSN14" s="38"/>
      <c r="KSO14" s="38"/>
      <c r="KSP14" s="38"/>
      <c r="KSQ14" s="38"/>
      <c r="KSR14" s="38"/>
      <c r="KSS14" s="38"/>
      <c r="KST14" s="38"/>
      <c r="KSU14" s="38"/>
      <c r="KSV14" s="38"/>
      <c r="KSW14" s="38"/>
      <c r="KSX14" s="38"/>
      <c r="KSY14" s="38"/>
      <c r="KSZ14" s="38"/>
      <c r="KTA14" s="38"/>
      <c r="KTB14" s="38"/>
      <c r="KTC14" s="38"/>
      <c r="KTD14" s="38"/>
      <c r="KTE14" s="38"/>
      <c r="KTF14" s="38"/>
      <c r="KTG14" s="38"/>
      <c r="KTH14" s="38"/>
      <c r="KTI14" s="38"/>
      <c r="KTJ14" s="38"/>
      <c r="KTK14" s="38"/>
      <c r="KTL14" s="38"/>
      <c r="KTM14" s="38"/>
      <c r="KTN14" s="38"/>
      <c r="KTO14" s="38"/>
      <c r="KTP14" s="38"/>
      <c r="KTQ14" s="38"/>
      <c r="KTR14" s="38"/>
      <c r="KTS14" s="38"/>
      <c r="KTT14" s="38"/>
      <c r="KTU14" s="38"/>
      <c r="KTV14" s="38"/>
      <c r="KTW14" s="38"/>
      <c r="KTX14" s="38"/>
      <c r="KTY14" s="38"/>
      <c r="KTZ14" s="38"/>
      <c r="KUA14" s="38"/>
      <c r="KUB14" s="38"/>
      <c r="KUC14" s="38"/>
      <c r="KUD14" s="38"/>
      <c r="KUE14" s="38"/>
      <c r="KUF14" s="38"/>
      <c r="KUG14" s="38"/>
      <c r="KUH14" s="38"/>
      <c r="KUI14" s="38"/>
      <c r="KUJ14" s="38"/>
      <c r="KUK14" s="38"/>
      <c r="KUL14" s="38"/>
      <c r="KUM14" s="38"/>
      <c r="KUN14" s="38"/>
      <c r="KUO14" s="38"/>
      <c r="KUP14" s="38"/>
      <c r="KUQ14" s="38"/>
      <c r="KUR14" s="38"/>
      <c r="KUS14" s="38"/>
      <c r="KUT14" s="38"/>
      <c r="KUU14" s="38"/>
      <c r="KUV14" s="38"/>
      <c r="KUW14" s="38"/>
      <c r="KUX14" s="38"/>
      <c r="KUY14" s="38"/>
      <c r="KUZ14" s="38"/>
      <c r="KVA14" s="38"/>
      <c r="KVB14" s="38"/>
      <c r="KVC14" s="38"/>
      <c r="KVD14" s="38"/>
      <c r="KVE14" s="38"/>
      <c r="KVF14" s="38"/>
      <c r="KVG14" s="38"/>
      <c r="KVH14" s="38"/>
      <c r="KVI14" s="38"/>
      <c r="KVJ14" s="38"/>
      <c r="KVK14" s="38"/>
      <c r="KVL14" s="38"/>
      <c r="KVM14" s="38"/>
      <c r="KVN14" s="38"/>
      <c r="KVO14" s="38"/>
      <c r="KVP14" s="38"/>
      <c r="KVQ14" s="38"/>
      <c r="KVR14" s="38"/>
      <c r="KVS14" s="38"/>
      <c r="KVT14" s="38"/>
      <c r="KVU14" s="38"/>
      <c r="KVV14" s="38"/>
      <c r="KVW14" s="38"/>
      <c r="KVX14" s="38"/>
      <c r="KVY14" s="38"/>
      <c r="KVZ14" s="38"/>
      <c r="KWA14" s="38"/>
      <c r="KWB14" s="38"/>
      <c r="KWC14" s="38"/>
      <c r="KWD14" s="38"/>
      <c r="KWE14" s="38"/>
      <c r="KWF14" s="38"/>
      <c r="KWG14" s="38"/>
      <c r="KWH14" s="38"/>
      <c r="KWI14" s="38"/>
      <c r="KWJ14" s="38"/>
      <c r="KWK14" s="38"/>
      <c r="KWL14" s="38"/>
      <c r="KWM14" s="38"/>
      <c r="KWN14" s="38"/>
      <c r="KWO14" s="38"/>
      <c r="KWP14" s="38"/>
      <c r="KWQ14" s="38"/>
      <c r="KWR14" s="38"/>
      <c r="KWS14" s="38"/>
      <c r="KWT14" s="38"/>
      <c r="KWU14" s="38"/>
      <c r="KWV14" s="38"/>
      <c r="KWW14" s="38"/>
      <c r="KWX14" s="38"/>
      <c r="KWY14" s="38"/>
      <c r="KWZ14" s="38"/>
      <c r="KXA14" s="38"/>
      <c r="KXB14" s="38"/>
      <c r="KXC14" s="38"/>
      <c r="KXD14" s="38"/>
      <c r="KXE14" s="38"/>
      <c r="KXF14" s="38"/>
      <c r="KXG14" s="38"/>
      <c r="KXH14" s="38"/>
      <c r="KXI14" s="38"/>
      <c r="KXJ14" s="38"/>
      <c r="KXK14" s="38"/>
      <c r="KXL14" s="38"/>
      <c r="KXM14" s="38"/>
      <c r="KXN14" s="38"/>
      <c r="KXO14" s="38"/>
      <c r="KXP14" s="38"/>
      <c r="KXQ14" s="38"/>
      <c r="KXR14" s="38"/>
      <c r="KXS14" s="38"/>
      <c r="KXT14" s="38"/>
      <c r="KXU14" s="38"/>
      <c r="KXV14" s="38"/>
      <c r="KXW14" s="38"/>
      <c r="KXX14" s="38"/>
      <c r="KXY14" s="38"/>
      <c r="KXZ14" s="38"/>
      <c r="KYA14" s="38"/>
      <c r="KYB14" s="38"/>
      <c r="KYC14" s="38"/>
      <c r="KYD14" s="38"/>
      <c r="KYE14" s="38"/>
      <c r="KYF14" s="38"/>
      <c r="KYG14" s="38"/>
      <c r="KYH14" s="38"/>
      <c r="KYI14" s="38"/>
      <c r="KYJ14" s="38"/>
      <c r="KYK14" s="38"/>
      <c r="KYL14" s="38"/>
      <c r="KYM14" s="38"/>
      <c r="KYN14" s="38"/>
      <c r="KYO14" s="38"/>
      <c r="KYP14" s="38"/>
      <c r="KYQ14" s="38"/>
      <c r="KYR14" s="38"/>
      <c r="KYS14" s="38"/>
      <c r="KYT14" s="38"/>
      <c r="KYU14" s="38"/>
      <c r="KYV14" s="38"/>
      <c r="KYW14" s="38"/>
      <c r="KYX14" s="38"/>
      <c r="KYY14" s="38"/>
      <c r="KYZ14" s="38"/>
      <c r="KZA14" s="38"/>
      <c r="KZB14" s="38"/>
      <c r="KZC14" s="38"/>
      <c r="KZD14" s="38"/>
      <c r="KZE14" s="38"/>
      <c r="KZF14" s="38"/>
      <c r="KZG14" s="38"/>
      <c r="KZH14" s="38"/>
      <c r="KZI14" s="38"/>
      <c r="KZJ14" s="38"/>
      <c r="KZK14" s="38"/>
      <c r="KZL14" s="38"/>
      <c r="KZM14" s="38"/>
      <c r="KZN14" s="38"/>
      <c r="KZO14" s="38"/>
      <c r="KZP14" s="38"/>
      <c r="KZQ14" s="38"/>
      <c r="KZR14" s="38"/>
      <c r="KZS14" s="38"/>
      <c r="KZT14" s="38"/>
      <c r="KZU14" s="38"/>
      <c r="KZV14" s="38"/>
      <c r="KZW14" s="38"/>
      <c r="KZX14" s="38"/>
      <c r="KZY14" s="38"/>
      <c r="KZZ14" s="38"/>
      <c r="LAA14" s="38"/>
      <c r="LAB14" s="38"/>
      <c r="LAC14" s="38"/>
      <c r="LAD14" s="38"/>
      <c r="LAE14" s="38"/>
      <c r="LAF14" s="38"/>
      <c r="LAG14" s="38"/>
      <c r="LAH14" s="38"/>
      <c r="LAI14" s="38"/>
      <c r="LAJ14" s="38"/>
      <c r="LAK14" s="38"/>
      <c r="LAL14" s="38"/>
      <c r="LAM14" s="38"/>
      <c r="LAN14" s="38"/>
      <c r="LAO14" s="38"/>
      <c r="LAP14" s="38"/>
      <c r="LAQ14" s="38"/>
      <c r="LAR14" s="38"/>
      <c r="LAS14" s="38"/>
      <c r="LAT14" s="38"/>
      <c r="LAU14" s="38"/>
      <c r="LAV14" s="38"/>
      <c r="LAW14" s="38"/>
      <c r="LAX14" s="38"/>
      <c r="LAY14" s="38"/>
      <c r="LAZ14" s="38"/>
      <c r="LBA14" s="38"/>
      <c r="LBB14" s="38"/>
      <c r="LBC14" s="38"/>
      <c r="LBD14" s="38"/>
      <c r="LBE14" s="38"/>
      <c r="LBF14" s="38"/>
      <c r="LBG14" s="38"/>
      <c r="LBH14" s="38"/>
      <c r="LBI14" s="38"/>
      <c r="LBJ14" s="38"/>
      <c r="LBK14" s="38"/>
      <c r="LBL14" s="38"/>
      <c r="LBM14" s="38"/>
      <c r="LBN14" s="38"/>
      <c r="LBO14" s="38"/>
      <c r="LBP14" s="38"/>
      <c r="LBQ14" s="38"/>
      <c r="LBR14" s="38"/>
      <c r="LBS14" s="38"/>
      <c r="LBT14" s="38"/>
      <c r="LBU14" s="38"/>
      <c r="LBV14" s="38"/>
      <c r="LBW14" s="38"/>
      <c r="LBX14" s="38"/>
      <c r="LBY14" s="38"/>
      <c r="LBZ14" s="38"/>
      <c r="LCA14" s="38"/>
      <c r="LCB14" s="38"/>
      <c r="LCC14" s="38"/>
      <c r="LCD14" s="38"/>
      <c r="LCE14" s="38"/>
      <c r="LCF14" s="38"/>
      <c r="LCG14" s="38"/>
      <c r="LCH14" s="38"/>
      <c r="LCI14" s="38"/>
      <c r="LCJ14" s="38"/>
      <c r="LCK14" s="38"/>
      <c r="LCL14" s="38"/>
      <c r="LCM14" s="38"/>
      <c r="LCN14" s="38"/>
      <c r="LCO14" s="38"/>
      <c r="LCP14" s="38"/>
      <c r="LCQ14" s="38"/>
      <c r="LCR14" s="38"/>
      <c r="LCS14" s="38"/>
      <c r="LCT14" s="38"/>
      <c r="LCU14" s="38"/>
      <c r="LCV14" s="38"/>
      <c r="LCW14" s="38"/>
      <c r="LCX14" s="38"/>
      <c r="LCY14" s="38"/>
      <c r="LCZ14" s="38"/>
      <c r="LDA14" s="38"/>
      <c r="LDB14" s="38"/>
      <c r="LDC14" s="38"/>
      <c r="LDD14" s="38"/>
      <c r="LDE14" s="38"/>
      <c r="LDF14" s="38"/>
      <c r="LDG14" s="38"/>
      <c r="LDH14" s="38"/>
      <c r="LDI14" s="38"/>
      <c r="LDJ14" s="38"/>
      <c r="LDK14" s="38"/>
      <c r="LDL14" s="38"/>
      <c r="LDM14" s="38"/>
      <c r="LDN14" s="38"/>
      <c r="LDO14" s="38"/>
      <c r="LDP14" s="38"/>
      <c r="LDQ14" s="38"/>
      <c r="LDR14" s="38"/>
      <c r="LDS14" s="38"/>
      <c r="LDT14" s="38"/>
      <c r="LDU14" s="38"/>
      <c r="LDV14" s="38"/>
      <c r="LDW14" s="38"/>
      <c r="LDX14" s="38"/>
      <c r="LDY14" s="38"/>
      <c r="LDZ14" s="38"/>
      <c r="LEA14" s="38"/>
      <c r="LEB14" s="38"/>
      <c r="LEC14" s="38"/>
      <c r="LED14" s="38"/>
      <c r="LEE14" s="38"/>
      <c r="LEF14" s="38"/>
      <c r="LEG14" s="38"/>
      <c r="LEH14" s="38"/>
      <c r="LEI14" s="38"/>
      <c r="LEJ14" s="38"/>
      <c r="LEK14" s="38"/>
      <c r="LEL14" s="38"/>
      <c r="LEM14" s="38"/>
      <c r="LEN14" s="38"/>
      <c r="LEO14" s="38"/>
      <c r="LEP14" s="38"/>
      <c r="LEQ14" s="38"/>
      <c r="LER14" s="38"/>
      <c r="LES14" s="38"/>
      <c r="LET14" s="38"/>
      <c r="LEU14" s="38"/>
      <c r="LEV14" s="38"/>
      <c r="LEW14" s="38"/>
      <c r="LEX14" s="38"/>
      <c r="LEY14" s="38"/>
      <c r="LEZ14" s="38"/>
      <c r="LFA14" s="38"/>
      <c r="LFB14" s="38"/>
      <c r="LFC14" s="38"/>
      <c r="LFD14" s="38"/>
      <c r="LFE14" s="38"/>
      <c r="LFF14" s="38"/>
      <c r="LFG14" s="38"/>
      <c r="LFH14" s="38"/>
      <c r="LFI14" s="38"/>
      <c r="LFJ14" s="38"/>
      <c r="LFK14" s="38"/>
      <c r="LFL14" s="38"/>
      <c r="LFM14" s="38"/>
      <c r="LFN14" s="38"/>
      <c r="LFO14" s="38"/>
      <c r="LFP14" s="38"/>
      <c r="LFQ14" s="38"/>
      <c r="LFR14" s="38"/>
      <c r="LFS14" s="38"/>
      <c r="LFT14" s="38"/>
      <c r="LFU14" s="38"/>
      <c r="LFV14" s="38"/>
      <c r="LFW14" s="38"/>
      <c r="LFX14" s="38"/>
      <c r="LFY14" s="38"/>
      <c r="LFZ14" s="38"/>
      <c r="LGA14" s="38"/>
      <c r="LGB14" s="38"/>
      <c r="LGC14" s="38"/>
      <c r="LGD14" s="38"/>
      <c r="LGE14" s="38"/>
      <c r="LGF14" s="38"/>
      <c r="LGG14" s="38"/>
      <c r="LGH14" s="38"/>
      <c r="LGI14" s="38"/>
      <c r="LGJ14" s="38"/>
      <c r="LGK14" s="38"/>
      <c r="LGL14" s="38"/>
      <c r="LGM14" s="38"/>
      <c r="LGN14" s="38"/>
      <c r="LGO14" s="38"/>
      <c r="LGP14" s="38"/>
      <c r="LGQ14" s="38"/>
      <c r="LGR14" s="38"/>
      <c r="LGS14" s="38"/>
      <c r="LGT14" s="38"/>
      <c r="LGU14" s="38"/>
      <c r="LGV14" s="38"/>
      <c r="LGW14" s="38"/>
      <c r="LGX14" s="38"/>
      <c r="LGY14" s="38"/>
      <c r="LGZ14" s="38"/>
      <c r="LHA14" s="38"/>
      <c r="LHB14" s="38"/>
      <c r="LHC14" s="38"/>
      <c r="LHD14" s="38"/>
      <c r="LHE14" s="38"/>
      <c r="LHF14" s="38"/>
      <c r="LHG14" s="38"/>
      <c r="LHH14" s="38"/>
      <c r="LHI14" s="38"/>
      <c r="LHJ14" s="38"/>
      <c r="LHK14" s="38"/>
      <c r="LHL14" s="38"/>
      <c r="LHM14" s="38"/>
      <c r="LHN14" s="38"/>
      <c r="LHO14" s="38"/>
      <c r="LHP14" s="38"/>
      <c r="LHQ14" s="38"/>
      <c r="LHR14" s="38"/>
      <c r="LHS14" s="38"/>
      <c r="LHT14" s="38"/>
      <c r="LHU14" s="38"/>
      <c r="LHV14" s="38"/>
      <c r="LHW14" s="38"/>
      <c r="LHX14" s="38"/>
      <c r="LHY14" s="38"/>
      <c r="LHZ14" s="38"/>
      <c r="LIA14" s="38"/>
      <c r="LIB14" s="38"/>
      <c r="LIC14" s="38"/>
      <c r="LID14" s="38"/>
      <c r="LIE14" s="38"/>
      <c r="LIF14" s="38"/>
      <c r="LIG14" s="38"/>
      <c r="LIH14" s="38"/>
      <c r="LII14" s="38"/>
      <c r="LIJ14" s="38"/>
      <c r="LIK14" s="38"/>
      <c r="LIL14" s="38"/>
      <c r="LIM14" s="38"/>
      <c r="LIN14" s="38"/>
      <c r="LIO14" s="38"/>
      <c r="LIP14" s="38"/>
      <c r="LIQ14" s="38"/>
      <c r="LIR14" s="38"/>
      <c r="LIS14" s="38"/>
      <c r="LIT14" s="38"/>
      <c r="LIU14" s="38"/>
      <c r="LIV14" s="38"/>
      <c r="LIW14" s="38"/>
      <c r="LIX14" s="38"/>
      <c r="LIY14" s="38"/>
      <c r="LIZ14" s="38"/>
      <c r="LJA14" s="38"/>
      <c r="LJB14" s="38"/>
      <c r="LJC14" s="38"/>
      <c r="LJD14" s="38"/>
      <c r="LJE14" s="38"/>
      <c r="LJF14" s="38"/>
      <c r="LJG14" s="38"/>
      <c r="LJH14" s="38"/>
      <c r="LJI14" s="38"/>
      <c r="LJJ14" s="38"/>
      <c r="LJK14" s="38"/>
      <c r="LJL14" s="38"/>
      <c r="LJM14" s="38"/>
      <c r="LJN14" s="38"/>
      <c r="LJO14" s="38"/>
      <c r="LJP14" s="38"/>
      <c r="LJQ14" s="38"/>
      <c r="LJR14" s="38"/>
      <c r="LJS14" s="38"/>
      <c r="LJT14" s="38"/>
      <c r="LJU14" s="38"/>
      <c r="LJV14" s="38"/>
      <c r="LJW14" s="38"/>
      <c r="LJX14" s="38"/>
      <c r="LJY14" s="38"/>
      <c r="LJZ14" s="38"/>
      <c r="LKA14" s="38"/>
      <c r="LKB14" s="38"/>
      <c r="LKC14" s="38"/>
      <c r="LKD14" s="38"/>
      <c r="LKE14" s="38"/>
      <c r="LKF14" s="38"/>
      <c r="LKG14" s="38"/>
      <c r="LKH14" s="38"/>
      <c r="LKI14" s="38"/>
      <c r="LKJ14" s="38"/>
      <c r="LKK14" s="38"/>
      <c r="LKL14" s="38"/>
      <c r="LKM14" s="38"/>
      <c r="LKN14" s="38"/>
      <c r="LKO14" s="38"/>
      <c r="LKP14" s="38"/>
      <c r="LKQ14" s="38"/>
      <c r="LKR14" s="38"/>
      <c r="LKS14" s="38"/>
      <c r="LKT14" s="38"/>
      <c r="LKU14" s="38"/>
      <c r="LKV14" s="38"/>
      <c r="LKW14" s="38"/>
      <c r="LKX14" s="38"/>
      <c r="LKY14" s="38"/>
      <c r="LKZ14" s="38"/>
      <c r="LLA14" s="38"/>
      <c r="LLB14" s="38"/>
      <c r="LLC14" s="38"/>
      <c r="LLD14" s="38"/>
      <c r="LLE14" s="38"/>
      <c r="LLF14" s="38"/>
      <c r="LLG14" s="38"/>
      <c r="LLH14" s="38"/>
      <c r="LLI14" s="38"/>
      <c r="LLJ14" s="38"/>
      <c r="LLK14" s="38"/>
      <c r="LLL14" s="38"/>
      <c r="LLM14" s="38"/>
      <c r="LLN14" s="38"/>
      <c r="LLO14" s="38"/>
      <c r="LLP14" s="38"/>
      <c r="LLQ14" s="38"/>
      <c r="LLR14" s="38"/>
      <c r="LLS14" s="38"/>
      <c r="LLT14" s="38"/>
      <c r="LLU14" s="38"/>
      <c r="LLV14" s="38"/>
      <c r="LLW14" s="38"/>
      <c r="LLX14" s="38"/>
      <c r="LLY14" s="38"/>
      <c r="LLZ14" s="38"/>
      <c r="LMA14" s="38"/>
      <c r="LMB14" s="38"/>
      <c r="LMC14" s="38"/>
      <c r="LMD14" s="38"/>
      <c r="LME14" s="38"/>
      <c r="LMF14" s="38"/>
      <c r="LMG14" s="38"/>
      <c r="LMH14" s="38"/>
      <c r="LMI14" s="38"/>
      <c r="LMJ14" s="38"/>
      <c r="LMK14" s="38"/>
      <c r="LML14" s="38"/>
      <c r="LMM14" s="38"/>
      <c r="LMN14" s="38"/>
      <c r="LMO14" s="38"/>
      <c r="LMP14" s="38"/>
      <c r="LMQ14" s="38"/>
      <c r="LMR14" s="38"/>
      <c r="LMS14" s="38"/>
      <c r="LMT14" s="38"/>
      <c r="LMU14" s="38"/>
      <c r="LMV14" s="38"/>
      <c r="LMW14" s="38"/>
      <c r="LMX14" s="38"/>
      <c r="LMY14" s="38"/>
      <c r="LMZ14" s="38"/>
      <c r="LNA14" s="38"/>
      <c r="LNB14" s="38"/>
      <c r="LNC14" s="38"/>
      <c r="LND14" s="38"/>
      <c r="LNE14" s="38"/>
      <c r="LNF14" s="38"/>
      <c r="LNG14" s="38"/>
      <c r="LNH14" s="38"/>
      <c r="LNI14" s="38"/>
      <c r="LNJ14" s="38"/>
      <c r="LNK14" s="38"/>
      <c r="LNL14" s="38"/>
      <c r="LNM14" s="38"/>
      <c r="LNN14" s="38"/>
      <c r="LNO14" s="38"/>
      <c r="LNP14" s="38"/>
      <c r="LNQ14" s="38"/>
      <c r="LNR14" s="38"/>
      <c r="LNS14" s="38"/>
      <c r="LNT14" s="38"/>
      <c r="LNU14" s="38"/>
      <c r="LNV14" s="38"/>
      <c r="LNW14" s="38"/>
      <c r="LNX14" s="38"/>
      <c r="LNY14" s="38"/>
      <c r="LNZ14" s="38"/>
      <c r="LOA14" s="38"/>
      <c r="LOB14" s="38"/>
      <c r="LOC14" s="38"/>
      <c r="LOD14" s="38"/>
      <c r="LOE14" s="38"/>
      <c r="LOF14" s="38"/>
      <c r="LOG14" s="38"/>
      <c r="LOH14" s="38"/>
      <c r="LOI14" s="38"/>
      <c r="LOJ14" s="38"/>
      <c r="LOK14" s="38"/>
      <c r="LOL14" s="38"/>
      <c r="LOM14" s="38"/>
      <c r="LON14" s="38"/>
      <c r="LOO14" s="38"/>
      <c r="LOP14" s="38"/>
      <c r="LOQ14" s="38"/>
      <c r="LOR14" s="38"/>
      <c r="LOS14" s="38"/>
      <c r="LOT14" s="38"/>
      <c r="LOU14" s="38"/>
      <c r="LOV14" s="38"/>
      <c r="LOW14" s="38"/>
      <c r="LOX14" s="38"/>
      <c r="LOY14" s="38"/>
      <c r="LOZ14" s="38"/>
      <c r="LPA14" s="38"/>
      <c r="LPB14" s="38"/>
      <c r="LPC14" s="38"/>
      <c r="LPD14" s="38"/>
      <c r="LPE14" s="38"/>
      <c r="LPF14" s="38"/>
      <c r="LPG14" s="38"/>
      <c r="LPH14" s="38"/>
      <c r="LPI14" s="38"/>
      <c r="LPJ14" s="38"/>
      <c r="LPK14" s="38"/>
      <c r="LPL14" s="38"/>
      <c r="LPM14" s="38"/>
      <c r="LPN14" s="38"/>
      <c r="LPO14" s="38"/>
      <c r="LPP14" s="38"/>
      <c r="LPQ14" s="38"/>
      <c r="LPR14" s="38"/>
      <c r="LPS14" s="38"/>
      <c r="LPT14" s="38"/>
      <c r="LPU14" s="38"/>
      <c r="LPV14" s="38"/>
      <c r="LPW14" s="38"/>
      <c r="LPX14" s="38"/>
      <c r="LPY14" s="38"/>
      <c r="LPZ14" s="38"/>
      <c r="LQA14" s="38"/>
      <c r="LQB14" s="38"/>
      <c r="LQC14" s="38"/>
      <c r="LQD14" s="38"/>
      <c r="LQE14" s="38"/>
      <c r="LQF14" s="38"/>
      <c r="LQG14" s="38"/>
      <c r="LQH14" s="38"/>
      <c r="LQI14" s="38"/>
      <c r="LQJ14" s="38"/>
      <c r="LQK14" s="38"/>
      <c r="LQL14" s="38"/>
      <c r="LQM14" s="38"/>
      <c r="LQN14" s="38"/>
      <c r="LQO14" s="38"/>
      <c r="LQP14" s="38"/>
      <c r="LQQ14" s="38"/>
      <c r="LQR14" s="38"/>
      <c r="LQS14" s="38"/>
      <c r="LQT14" s="38"/>
      <c r="LQU14" s="38"/>
      <c r="LQV14" s="38"/>
      <c r="LQW14" s="38"/>
      <c r="LQX14" s="38"/>
      <c r="LQY14" s="38"/>
      <c r="LQZ14" s="38"/>
      <c r="LRA14" s="38"/>
      <c r="LRB14" s="38"/>
      <c r="LRC14" s="38"/>
      <c r="LRD14" s="38"/>
      <c r="LRE14" s="38"/>
      <c r="LRF14" s="38"/>
      <c r="LRG14" s="38"/>
      <c r="LRH14" s="38"/>
      <c r="LRI14" s="38"/>
      <c r="LRJ14" s="38"/>
      <c r="LRK14" s="38"/>
      <c r="LRL14" s="38"/>
      <c r="LRM14" s="38"/>
      <c r="LRN14" s="38"/>
      <c r="LRO14" s="38"/>
      <c r="LRP14" s="38"/>
      <c r="LRQ14" s="38"/>
      <c r="LRR14" s="38"/>
      <c r="LRS14" s="38"/>
      <c r="LRT14" s="38"/>
      <c r="LRU14" s="38"/>
      <c r="LRV14" s="38"/>
      <c r="LRW14" s="38"/>
      <c r="LRX14" s="38"/>
      <c r="LRY14" s="38"/>
      <c r="LRZ14" s="38"/>
      <c r="LSA14" s="38"/>
      <c r="LSB14" s="38"/>
      <c r="LSC14" s="38"/>
      <c r="LSD14" s="38"/>
      <c r="LSE14" s="38"/>
      <c r="LSF14" s="38"/>
      <c r="LSG14" s="38"/>
      <c r="LSH14" s="38"/>
      <c r="LSI14" s="38"/>
      <c r="LSJ14" s="38"/>
      <c r="LSK14" s="38"/>
      <c r="LSL14" s="38"/>
      <c r="LSM14" s="38"/>
      <c r="LSN14" s="38"/>
      <c r="LSO14" s="38"/>
      <c r="LSP14" s="38"/>
      <c r="LSQ14" s="38"/>
      <c r="LSR14" s="38"/>
      <c r="LSS14" s="38"/>
      <c r="LST14" s="38"/>
      <c r="LSU14" s="38"/>
      <c r="LSV14" s="38"/>
      <c r="LSW14" s="38"/>
      <c r="LSX14" s="38"/>
      <c r="LSY14" s="38"/>
      <c r="LSZ14" s="38"/>
      <c r="LTA14" s="38"/>
      <c r="LTB14" s="38"/>
      <c r="LTC14" s="38"/>
      <c r="LTD14" s="38"/>
      <c r="LTE14" s="38"/>
      <c r="LTF14" s="38"/>
      <c r="LTG14" s="38"/>
      <c r="LTH14" s="38"/>
      <c r="LTI14" s="38"/>
      <c r="LTJ14" s="38"/>
      <c r="LTK14" s="38"/>
      <c r="LTL14" s="38"/>
      <c r="LTM14" s="38"/>
      <c r="LTN14" s="38"/>
      <c r="LTO14" s="38"/>
      <c r="LTP14" s="38"/>
      <c r="LTQ14" s="38"/>
      <c r="LTR14" s="38"/>
      <c r="LTS14" s="38"/>
      <c r="LTT14" s="38"/>
      <c r="LTU14" s="38"/>
      <c r="LTV14" s="38"/>
      <c r="LTW14" s="38"/>
      <c r="LTX14" s="38"/>
      <c r="LTY14" s="38"/>
      <c r="LTZ14" s="38"/>
      <c r="LUA14" s="38"/>
      <c r="LUB14" s="38"/>
      <c r="LUC14" s="38"/>
      <c r="LUD14" s="38"/>
      <c r="LUE14" s="38"/>
      <c r="LUF14" s="38"/>
      <c r="LUG14" s="38"/>
      <c r="LUH14" s="38"/>
      <c r="LUI14" s="38"/>
      <c r="LUJ14" s="38"/>
      <c r="LUK14" s="38"/>
      <c r="LUL14" s="38"/>
      <c r="LUM14" s="38"/>
      <c r="LUN14" s="38"/>
      <c r="LUO14" s="38"/>
      <c r="LUP14" s="38"/>
      <c r="LUQ14" s="38"/>
      <c r="LUR14" s="38"/>
      <c r="LUS14" s="38"/>
      <c r="LUT14" s="38"/>
      <c r="LUU14" s="38"/>
      <c r="LUV14" s="38"/>
      <c r="LUW14" s="38"/>
      <c r="LUX14" s="38"/>
      <c r="LUY14" s="38"/>
      <c r="LUZ14" s="38"/>
      <c r="LVA14" s="38"/>
      <c r="LVB14" s="38"/>
      <c r="LVC14" s="38"/>
      <c r="LVD14" s="38"/>
      <c r="LVE14" s="38"/>
      <c r="LVF14" s="38"/>
      <c r="LVG14" s="38"/>
      <c r="LVH14" s="38"/>
      <c r="LVI14" s="38"/>
      <c r="LVJ14" s="38"/>
      <c r="LVK14" s="38"/>
      <c r="LVL14" s="38"/>
      <c r="LVM14" s="38"/>
      <c r="LVN14" s="38"/>
      <c r="LVO14" s="38"/>
      <c r="LVP14" s="38"/>
      <c r="LVQ14" s="38"/>
      <c r="LVR14" s="38"/>
      <c r="LVS14" s="38"/>
      <c r="LVT14" s="38"/>
      <c r="LVU14" s="38"/>
      <c r="LVV14" s="38"/>
      <c r="LVW14" s="38"/>
      <c r="LVX14" s="38"/>
      <c r="LVY14" s="38"/>
      <c r="LVZ14" s="38"/>
      <c r="LWA14" s="38"/>
      <c r="LWB14" s="38"/>
      <c r="LWC14" s="38"/>
      <c r="LWD14" s="38"/>
      <c r="LWE14" s="38"/>
      <c r="LWF14" s="38"/>
      <c r="LWG14" s="38"/>
      <c r="LWH14" s="38"/>
      <c r="LWI14" s="38"/>
      <c r="LWJ14" s="38"/>
      <c r="LWK14" s="38"/>
      <c r="LWL14" s="38"/>
      <c r="LWM14" s="38"/>
      <c r="LWN14" s="38"/>
      <c r="LWO14" s="38"/>
      <c r="LWP14" s="38"/>
      <c r="LWQ14" s="38"/>
      <c r="LWR14" s="38"/>
      <c r="LWS14" s="38"/>
      <c r="LWT14" s="38"/>
      <c r="LWU14" s="38"/>
      <c r="LWV14" s="38"/>
      <c r="LWW14" s="38"/>
      <c r="LWX14" s="38"/>
      <c r="LWY14" s="38"/>
      <c r="LWZ14" s="38"/>
      <c r="LXA14" s="38"/>
      <c r="LXB14" s="38"/>
      <c r="LXC14" s="38"/>
      <c r="LXD14" s="38"/>
      <c r="LXE14" s="38"/>
      <c r="LXF14" s="38"/>
      <c r="LXG14" s="38"/>
      <c r="LXH14" s="38"/>
      <c r="LXI14" s="38"/>
      <c r="LXJ14" s="38"/>
      <c r="LXK14" s="38"/>
      <c r="LXL14" s="38"/>
      <c r="LXM14" s="38"/>
      <c r="LXN14" s="38"/>
      <c r="LXO14" s="38"/>
      <c r="LXP14" s="38"/>
      <c r="LXQ14" s="38"/>
      <c r="LXR14" s="38"/>
      <c r="LXS14" s="38"/>
      <c r="LXT14" s="38"/>
      <c r="LXU14" s="38"/>
      <c r="LXV14" s="38"/>
      <c r="LXW14" s="38"/>
      <c r="LXX14" s="38"/>
      <c r="LXY14" s="38"/>
      <c r="LXZ14" s="38"/>
      <c r="LYA14" s="38"/>
      <c r="LYB14" s="38"/>
      <c r="LYC14" s="38"/>
      <c r="LYD14" s="38"/>
      <c r="LYE14" s="38"/>
      <c r="LYF14" s="38"/>
      <c r="LYG14" s="38"/>
      <c r="LYH14" s="38"/>
      <c r="LYI14" s="38"/>
      <c r="LYJ14" s="38"/>
      <c r="LYK14" s="38"/>
      <c r="LYL14" s="38"/>
      <c r="LYM14" s="38"/>
      <c r="LYN14" s="38"/>
      <c r="LYO14" s="38"/>
      <c r="LYP14" s="38"/>
      <c r="LYQ14" s="38"/>
      <c r="LYR14" s="38"/>
      <c r="LYS14" s="38"/>
      <c r="LYT14" s="38"/>
      <c r="LYU14" s="38"/>
      <c r="LYV14" s="38"/>
      <c r="LYW14" s="38"/>
      <c r="LYX14" s="38"/>
      <c r="LYY14" s="38"/>
      <c r="LYZ14" s="38"/>
      <c r="LZA14" s="38"/>
      <c r="LZB14" s="38"/>
      <c r="LZC14" s="38"/>
      <c r="LZD14" s="38"/>
      <c r="LZE14" s="38"/>
      <c r="LZF14" s="38"/>
      <c r="LZG14" s="38"/>
      <c r="LZH14" s="38"/>
      <c r="LZI14" s="38"/>
      <c r="LZJ14" s="38"/>
      <c r="LZK14" s="38"/>
      <c r="LZL14" s="38"/>
      <c r="LZM14" s="38"/>
      <c r="LZN14" s="38"/>
      <c r="LZO14" s="38"/>
      <c r="LZP14" s="38"/>
      <c r="LZQ14" s="38"/>
      <c r="LZR14" s="38"/>
      <c r="LZS14" s="38"/>
      <c r="LZT14" s="38"/>
      <c r="LZU14" s="38"/>
      <c r="LZV14" s="38"/>
      <c r="LZW14" s="38"/>
      <c r="LZX14" s="38"/>
      <c r="LZY14" s="38"/>
      <c r="LZZ14" s="38"/>
      <c r="MAA14" s="38"/>
      <c r="MAB14" s="38"/>
      <c r="MAC14" s="38"/>
      <c r="MAD14" s="38"/>
      <c r="MAE14" s="38"/>
      <c r="MAF14" s="38"/>
      <c r="MAG14" s="38"/>
      <c r="MAH14" s="38"/>
      <c r="MAI14" s="38"/>
      <c r="MAJ14" s="38"/>
      <c r="MAK14" s="38"/>
      <c r="MAL14" s="38"/>
      <c r="MAM14" s="38"/>
      <c r="MAN14" s="38"/>
      <c r="MAO14" s="38"/>
      <c r="MAP14" s="38"/>
      <c r="MAQ14" s="38"/>
      <c r="MAR14" s="38"/>
      <c r="MAS14" s="38"/>
      <c r="MAT14" s="38"/>
      <c r="MAU14" s="38"/>
      <c r="MAV14" s="38"/>
      <c r="MAW14" s="38"/>
      <c r="MAX14" s="38"/>
      <c r="MAY14" s="38"/>
      <c r="MAZ14" s="38"/>
      <c r="MBA14" s="38"/>
      <c r="MBB14" s="38"/>
      <c r="MBC14" s="38"/>
      <c r="MBD14" s="38"/>
      <c r="MBE14" s="38"/>
      <c r="MBF14" s="38"/>
      <c r="MBG14" s="38"/>
      <c r="MBH14" s="38"/>
      <c r="MBI14" s="38"/>
      <c r="MBJ14" s="38"/>
      <c r="MBK14" s="38"/>
      <c r="MBL14" s="38"/>
      <c r="MBM14" s="38"/>
      <c r="MBN14" s="38"/>
      <c r="MBO14" s="38"/>
      <c r="MBP14" s="38"/>
      <c r="MBQ14" s="38"/>
      <c r="MBR14" s="38"/>
      <c r="MBS14" s="38"/>
      <c r="MBT14" s="38"/>
      <c r="MBU14" s="38"/>
      <c r="MBV14" s="38"/>
      <c r="MBW14" s="38"/>
      <c r="MBX14" s="38"/>
      <c r="MBY14" s="38"/>
      <c r="MBZ14" s="38"/>
      <c r="MCA14" s="38"/>
      <c r="MCB14" s="38"/>
      <c r="MCC14" s="38"/>
      <c r="MCD14" s="38"/>
      <c r="MCE14" s="38"/>
      <c r="MCF14" s="38"/>
      <c r="MCG14" s="38"/>
      <c r="MCH14" s="38"/>
      <c r="MCI14" s="38"/>
      <c r="MCJ14" s="38"/>
      <c r="MCK14" s="38"/>
      <c r="MCL14" s="38"/>
      <c r="MCM14" s="38"/>
      <c r="MCN14" s="38"/>
      <c r="MCO14" s="38"/>
      <c r="MCP14" s="38"/>
      <c r="MCQ14" s="38"/>
      <c r="MCR14" s="38"/>
      <c r="MCS14" s="38"/>
      <c r="MCT14" s="38"/>
      <c r="MCU14" s="38"/>
      <c r="MCV14" s="38"/>
      <c r="MCW14" s="38"/>
      <c r="MCX14" s="38"/>
      <c r="MCY14" s="38"/>
      <c r="MCZ14" s="38"/>
      <c r="MDA14" s="38"/>
      <c r="MDB14" s="38"/>
      <c r="MDC14" s="38"/>
      <c r="MDD14" s="38"/>
      <c r="MDE14" s="38"/>
      <c r="MDF14" s="38"/>
      <c r="MDG14" s="38"/>
      <c r="MDH14" s="38"/>
      <c r="MDI14" s="38"/>
      <c r="MDJ14" s="38"/>
      <c r="MDK14" s="38"/>
      <c r="MDL14" s="38"/>
      <c r="MDM14" s="38"/>
      <c r="MDN14" s="38"/>
      <c r="MDO14" s="38"/>
      <c r="MDP14" s="38"/>
      <c r="MDQ14" s="38"/>
      <c r="MDR14" s="38"/>
      <c r="MDS14" s="38"/>
      <c r="MDT14" s="38"/>
      <c r="MDU14" s="38"/>
      <c r="MDV14" s="38"/>
      <c r="MDW14" s="38"/>
      <c r="MDX14" s="38"/>
      <c r="MDY14" s="38"/>
      <c r="MDZ14" s="38"/>
      <c r="MEA14" s="38"/>
      <c r="MEB14" s="38"/>
      <c r="MEC14" s="38"/>
      <c r="MED14" s="38"/>
      <c r="MEE14" s="38"/>
      <c r="MEF14" s="38"/>
      <c r="MEG14" s="38"/>
      <c r="MEH14" s="38"/>
      <c r="MEI14" s="38"/>
      <c r="MEJ14" s="38"/>
      <c r="MEK14" s="38"/>
      <c r="MEL14" s="38"/>
      <c r="MEM14" s="38"/>
      <c r="MEN14" s="38"/>
      <c r="MEO14" s="38"/>
      <c r="MEP14" s="38"/>
      <c r="MEQ14" s="38"/>
      <c r="MER14" s="38"/>
      <c r="MES14" s="38"/>
      <c r="MET14" s="38"/>
      <c r="MEU14" s="38"/>
      <c r="MEV14" s="38"/>
      <c r="MEW14" s="38"/>
      <c r="MEX14" s="38"/>
      <c r="MEY14" s="38"/>
      <c r="MEZ14" s="38"/>
      <c r="MFA14" s="38"/>
      <c r="MFB14" s="38"/>
      <c r="MFC14" s="38"/>
      <c r="MFD14" s="38"/>
      <c r="MFE14" s="38"/>
      <c r="MFF14" s="38"/>
      <c r="MFG14" s="38"/>
      <c r="MFH14" s="38"/>
      <c r="MFI14" s="38"/>
      <c r="MFJ14" s="38"/>
      <c r="MFK14" s="38"/>
      <c r="MFL14" s="38"/>
      <c r="MFM14" s="38"/>
      <c r="MFN14" s="38"/>
      <c r="MFO14" s="38"/>
      <c r="MFP14" s="38"/>
      <c r="MFQ14" s="38"/>
      <c r="MFR14" s="38"/>
      <c r="MFS14" s="38"/>
      <c r="MFT14" s="38"/>
      <c r="MFU14" s="38"/>
      <c r="MFV14" s="38"/>
      <c r="MFW14" s="38"/>
      <c r="MFX14" s="38"/>
      <c r="MFY14" s="38"/>
      <c r="MFZ14" s="38"/>
      <c r="MGA14" s="38"/>
      <c r="MGB14" s="38"/>
      <c r="MGC14" s="38"/>
      <c r="MGD14" s="38"/>
      <c r="MGE14" s="38"/>
      <c r="MGF14" s="38"/>
      <c r="MGG14" s="38"/>
      <c r="MGH14" s="38"/>
      <c r="MGI14" s="38"/>
      <c r="MGJ14" s="38"/>
      <c r="MGK14" s="38"/>
      <c r="MGL14" s="38"/>
      <c r="MGM14" s="38"/>
      <c r="MGN14" s="38"/>
      <c r="MGO14" s="38"/>
      <c r="MGP14" s="38"/>
      <c r="MGQ14" s="38"/>
      <c r="MGR14" s="38"/>
      <c r="MGS14" s="38"/>
      <c r="MGT14" s="38"/>
      <c r="MGU14" s="38"/>
      <c r="MGV14" s="38"/>
      <c r="MGW14" s="38"/>
      <c r="MGX14" s="38"/>
      <c r="MGY14" s="38"/>
      <c r="MGZ14" s="38"/>
      <c r="MHA14" s="38"/>
      <c r="MHB14" s="38"/>
      <c r="MHC14" s="38"/>
      <c r="MHD14" s="38"/>
      <c r="MHE14" s="38"/>
      <c r="MHF14" s="38"/>
      <c r="MHG14" s="38"/>
      <c r="MHH14" s="38"/>
      <c r="MHI14" s="38"/>
      <c r="MHJ14" s="38"/>
      <c r="MHK14" s="38"/>
      <c r="MHL14" s="38"/>
      <c r="MHM14" s="38"/>
      <c r="MHN14" s="38"/>
      <c r="MHO14" s="38"/>
      <c r="MHP14" s="38"/>
      <c r="MHQ14" s="38"/>
      <c r="MHR14" s="38"/>
      <c r="MHS14" s="38"/>
      <c r="MHT14" s="38"/>
      <c r="MHU14" s="38"/>
      <c r="MHV14" s="38"/>
      <c r="MHW14" s="38"/>
      <c r="MHX14" s="38"/>
      <c r="MHY14" s="38"/>
      <c r="MHZ14" s="38"/>
      <c r="MIA14" s="38"/>
      <c r="MIB14" s="38"/>
      <c r="MIC14" s="38"/>
      <c r="MID14" s="38"/>
      <c r="MIE14" s="38"/>
      <c r="MIF14" s="38"/>
      <c r="MIG14" s="38"/>
      <c r="MIH14" s="38"/>
      <c r="MII14" s="38"/>
      <c r="MIJ14" s="38"/>
      <c r="MIK14" s="38"/>
      <c r="MIL14" s="38"/>
      <c r="MIM14" s="38"/>
      <c r="MIN14" s="38"/>
      <c r="MIO14" s="38"/>
      <c r="MIP14" s="38"/>
      <c r="MIQ14" s="38"/>
      <c r="MIR14" s="38"/>
      <c r="MIS14" s="38"/>
      <c r="MIT14" s="38"/>
      <c r="MIU14" s="38"/>
      <c r="MIV14" s="38"/>
      <c r="MIW14" s="38"/>
      <c r="MIX14" s="38"/>
      <c r="MIY14" s="38"/>
      <c r="MIZ14" s="38"/>
      <c r="MJA14" s="38"/>
      <c r="MJB14" s="38"/>
      <c r="MJC14" s="38"/>
      <c r="MJD14" s="38"/>
      <c r="MJE14" s="38"/>
      <c r="MJF14" s="38"/>
      <c r="MJG14" s="38"/>
      <c r="MJH14" s="38"/>
      <c r="MJI14" s="38"/>
      <c r="MJJ14" s="38"/>
      <c r="MJK14" s="38"/>
      <c r="MJL14" s="38"/>
      <c r="MJM14" s="38"/>
      <c r="MJN14" s="38"/>
      <c r="MJO14" s="38"/>
      <c r="MJP14" s="38"/>
      <c r="MJQ14" s="38"/>
      <c r="MJR14" s="38"/>
      <c r="MJS14" s="38"/>
      <c r="MJT14" s="38"/>
      <c r="MJU14" s="38"/>
      <c r="MJV14" s="38"/>
      <c r="MJW14" s="38"/>
      <c r="MJX14" s="38"/>
      <c r="MJY14" s="38"/>
      <c r="MJZ14" s="38"/>
      <c r="MKA14" s="38"/>
      <c r="MKB14" s="38"/>
      <c r="MKC14" s="38"/>
      <c r="MKD14" s="38"/>
      <c r="MKE14" s="38"/>
      <c r="MKF14" s="38"/>
      <c r="MKG14" s="38"/>
      <c r="MKH14" s="38"/>
      <c r="MKI14" s="38"/>
      <c r="MKJ14" s="38"/>
      <c r="MKK14" s="38"/>
      <c r="MKL14" s="38"/>
      <c r="MKM14" s="38"/>
      <c r="MKN14" s="38"/>
      <c r="MKO14" s="38"/>
      <c r="MKP14" s="38"/>
      <c r="MKQ14" s="38"/>
      <c r="MKR14" s="38"/>
      <c r="MKS14" s="38"/>
      <c r="MKT14" s="38"/>
      <c r="MKU14" s="38"/>
      <c r="MKV14" s="38"/>
      <c r="MKW14" s="38"/>
      <c r="MKX14" s="38"/>
      <c r="MKY14" s="38"/>
      <c r="MKZ14" s="38"/>
      <c r="MLA14" s="38"/>
      <c r="MLB14" s="38"/>
      <c r="MLC14" s="38"/>
      <c r="MLD14" s="38"/>
      <c r="MLE14" s="38"/>
      <c r="MLF14" s="38"/>
      <c r="MLG14" s="38"/>
      <c r="MLH14" s="38"/>
      <c r="MLI14" s="38"/>
      <c r="MLJ14" s="38"/>
      <c r="MLK14" s="38"/>
      <c r="MLL14" s="38"/>
      <c r="MLM14" s="38"/>
      <c r="MLN14" s="38"/>
      <c r="MLO14" s="38"/>
      <c r="MLP14" s="38"/>
      <c r="MLQ14" s="38"/>
      <c r="MLR14" s="38"/>
      <c r="MLS14" s="38"/>
      <c r="MLT14" s="38"/>
      <c r="MLU14" s="38"/>
      <c r="MLV14" s="38"/>
      <c r="MLW14" s="38"/>
      <c r="MLX14" s="38"/>
      <c r="MLY14" s="38"/>
      <c r="MLZ14" s="38"/>
      <c r="MMA14" s="38"/>
      <c r="MMB14" s="38"/>
      <c r="MMC14" s="38"/>
      <c r="MMD14" s="38"/>
      <c r="MME14" s="38"/>
      <c r="MMF14" s="38"/>
      <c r="MMG14" s="38"/>
      <c r="MMH14" s="38"/>
      <c r="MMI14" s="38"/>
      <c r="MMJ14" s="38"/>
      <c r="MMK14" s="38"/>
      <c r="MML14" s="38"/>
      <c r="MMM14" s="38"/>
      <c r="MMN14" s="38"/>
      <c r="MMO14" s="38"/>
      <c r="MMP14" s="38"/>
      <c r="MMQ14" s="38"/>
      <c r="MMR14" s="38"/>
      <c r="MMS14" s="38"/>
      <c r="MMT14" s="38"/>
      <c r="MMU14" s="38"/>
      <c r="MMV14" s="38"/>
      <c r="MMW14" s="38"/>
      <c r="MMX14" s="38"/>
      <c r="MMY14" s="38"/>
      <c r="MMZ14" s="38"/>
      <c r="MNA14" s="38"/>
      <c r="MNB14" s="38"/>
      <c r="MNC14" s="38"/>
      <c r="MND14" s="38"/>
      <c r="MNE14" s="38"/>
      <c r="MNF14" s="38"/>
      <c r="MNG14" s="38"/>
      <c r="MNH14" s="38"/>
      <c r="MNI14" s="38"/>
      <c r="MNJ14" s="38"/>
      <c r="MNK14" s="38"/>
      <c r="MNL14" s="38"/>
      <c r="MNM14" s="38"/>
      <c r="MNN14" s="38"/>
      <c r="MNO14" s="38"/>
      <c r="MNP14" s="38"/>
      <c r="MNQ14" s="38"/>
      <c r="MNR14" s="38"/>
      <c r="MNS14" s="38"/>
      <c r="MNT14" s="38"/>
      <c r="MNU14" s="38"/>
      <c r="MNV14" s="38"/>
      <c r="MNW14" s="38"/>
      <c r="MNX14" s="38"/>
      <c r="MNY14" s="38"/>
      <c r="MNZ14" s="38"/>
      <c r="MOA14" s="38"/>
      <c r="MOB14" s="38"/>
      <c r="MOC14" s="38"/>
      <c r="MOD14" s="38"/>
      <c r="MOE14" s="38"/>
      <c r="MOF14" s="38"/>
      <c r="MOG14" s="38"/>
      <c r="MOH14" s="38"/>
      <c r="MOI14" s="38"/>
      <c r="MOJ14" s="38"/>
      <c r="MOK14" s="38"/>
      <c r="MOL14" s="38"/>
      <c r="MOM14" s="38"/>
      <c r="MON14" s="38"/>
      <c r="MOO14" s="38"/>
      <c r="MOP14" s="38"/>
      <c r="MOQ14" s="38"/>
      <c r="MOR14" s="38"/>
      <c r="MOS14" s="38"/>
      <c r="MOT14" s="38"/>
      <c r="MOU14" s="38"/>
      <c r="MOV14" s="38"/>
      <c r="MOW14" s="38"/>
      <c r="MOX14" s="38"/>
      <c r="MOY14" s="38"/>
      <c r="MOZ14" s="38"/>
      <c r="MPA14" s="38"/>
      <c r="MPB14" s="38"/>
      <c r="MPC14" s="38"/>
      <c r="MPD14" s="38"/>
      <c r="MPE14" s="38"/>
      <c r="MPF14" s="38"/>
      <c r="MPG14" s="38"/>
      <c r="MPH14" s="38"/>
      <c r="MPI14" s="38"/>
      <c r="MPJ14" s="38"/>
      <c r="MPK14" s="38"/>
      <c r="MPL14" s="38"/>
      <c r="MPM14" s="38"/>
      <c r="MPN14" s="38"/>
      <c r="MPO14" s="38"/>
      <c r="MPP14" s="38"/>
      <c r="MPQ14" s="38"/>
      <c r="MPR14" s="38"/>
      <c r="MPS14" s="38"/>
      <c r="MPT14" s="38"/>
      <c r="MPU14" s="38"/>
      <c r="MPV14" s="38"/>
      <c r="MPW14" s="38"/>
      <c r="MPX14" s="38"/>
      <c r="MPY14" s="38"/>
      <c r="MPZ14" s="38"/>
      <c r="MQA14" s="38"/>
      <c r="MQB14" s="38"/>
      <c r="MQC14" s="38"/>
      <c r="MQD14" s="38"/>
      <c r="MQE14" s="38"/>
      <c r="MQF14" s="38"/>
      <c r="MQG14" s="38"/>
      <c r="MQH14" s="38"/>
      <c r="MQI14" s="38"/>
      <c r="MQJ14" s="38"/>
      <c r="MQK14" s="38"/>
      <c r="MQL14" s="38"/>
      <c r="MQM14" s="38"/>
      <c r="MQN14" s="38"/>
      <c r="MQO14" s="38"/>
      <c r="MQP14" s="38"/>
      <c r="MQQ14" s="38"/>
      <c r="MQR14" s="38"/>
      <c r="MQS14" s="38"/>
      <c r="MQT14" s="38"/>
      <c r="MQU14" s="38"/>
      <c r="MQV14" s="38"/>
      <c r="MQW14" s="38"/>
      <c r="MQX14" s="38"/>
      <c r="MQY14" s="38"/>
      <c r="MQZ14" s="38"/>
      <c r="MRA14" s="38"/>
      <c r="MRB14" s="38"/>
      <c r="MRC14" s="38"/>
      <c r="MRD14" s="38"/>
      <c r="MRE14" s="38"/>
      <c r="MRF14" s="38"/>
      <c r="MRG14" s="38"/>
      <c r="MRH14" s="38"/>
      <c r="MRI14" s="38"/>
      <c r="MRJ14" s="38"/>
      <c r="MRK14" s="38"/>
      <c r="MRL14" s="38"/>
      <c r="MRM14" s="38"/>
      <c r="MRN14" s="38"/>
      <c r="MRO14" s="38"/>
      <c r="MRP14" s="38"/>
      <c r="MRQ14" s="38"/>
      <c r="MRR14" s="38"/>
      <c r="MRS14" s="38"/>
      <c r="MRT14" s="38"/>
      <c r="MRU14" s="38"/>
      <c r="MRV14" s="38"/>
      <c r="MRW14" s="38"/>
      <c r="MRX14" s="38"/>
      <c r="MRY14" s="38"/>
      <c r="MRZ14" s="38"/>
      <c r="MSA14" s="38"/>
      <c r="MSB14" s="38"/>
      <c r="MSC14" s="38"/>
      <c r="MSD14" s="38"/>
      <c r="MSE14" s="38"/>
      <c r="MSF14" s="38"/>
      <c r="MSG14" s="38"/>
      <c r="MSH14" s="38"/>
      <c r="MSI14" s="38"/>
      <c r="MSJ14" s="38"/>
      <c r="MSK14" s="38"/>
      <c r="MSL14" s="38"/>
      <c r="MSM14" s="38"/>
      <c r="MSN14" s="38"/>
      <c r="MSO14" s="38"/>
      <c r="MSP14" s="38"/>
      <c r="MSQ14" s="38"/>
      <c r="MSR14" s="38"/>
      <c r="MSS14" s="38"/>
      <c r="MST14" s="38"/>
      <c r="MSU14" s="38"/>
      <c r="MSV14" s="38"/>
      <c r="MSW14" s="38"/>
      <c r="MSX14" s="38"/>
      <c r="MSY14" s="38"/>
      <c r="MSZ14" s="38"/>
      <c r="MTA14" s="38"/>
      <c r="MTB14" s="38"/>
      <c r="MTC14" s="38"/>
      <c r="MTD14" s="38"/>
      <c r="MTE14" s="38"/>
      <c r="MTF14" s="38"/>
      <c r="MTG14" s="38"/>
      <c r="MTH14" s="38"/>
      <c r="MTI14" s="38"/>
      <c r="MTJ14" s="38"/>
      <c r="MTK14" s="38"/>
      <c r="MTL14" s="38"/>
      <c r="MTM14" s="38"/>
      <c r="MTN14" s="38"/>
      <c r="MTO14" s="38"/>
      <c r="MTP14" s="38"/>
      <c r="MTQ14" s="38"/>
      <c r="MTR14" s="38"/>
      <c r="MTS14" s="38"/>
      <c r="MTT14" s="38"/>
      <c r="MTU14" s="38"/>
      <c r="MTV14" s="38"/>
      <c r="MTW14" s="38"/>
      <c r="MTX14" s="38"/>
      <c r="MTY14" s="38"/>
      <c r="MTZ14" s="38"/>
      <c r="MUA14" s="38"/>
      <c r="MUB14" s="38"/>
      <c r="MUC14" s="38"/>
      <c r="MUD14" s="38"/>
      <c r="MUE14" s="38"/>
      <c r="MUF14" s="38"/>
      <c r="MUG14" s="38"/>
      <c r="MUH14" s="38"/>
      <c r="MUI14" s="38"/>
      <c r="MUJ14" s="38"/>
      <c r="MUK14" s="38"/>
      <c r="MUL14" s="38"/>
      <c r="MUM14" s="38"/>
      <c r="MUN14" s="38"/>
      <c r="MUO14" s="38"/>
      <c r="MUP14" s="38"/>
      <c r="MUQ14" s="38"/>
      <c r="MUR14" s="38"/>
      <c r="MUS14" s="38"/>
      <c r="MUT14" s="38"/>
      <c r="MUU14" s="38"/>
      <c r="MUV14" s="38"/>
      <c r="MUW14" s="38"/>
      <c r="MUX14" s="38"/>
      <c r="MUY14" s="38"/>
      <c r="MUZ14" s="38"/>
      <c r="MVA14" s="38"/>
      <c r="MVB14" s="38"/>
      <c r="MVC14" s="38"/>
      <c r="MVD14" s="38"/>
      <c r="MVE14" s="38"/>
      <c r="MVF14" s="38"/>
      <c r="MVG14" s="38"/>
      <c r="MVH14" s="38"/>
      <c r="MVI14" s="38"/>
      <c r="MVJ14" s="38"/>
      <c r="MVK14" s="38"/>
      <c r="MVL14" s="38"/>
      <c r="MVM14" s="38"/>
      <c r="MVN14" s="38"/>
      <c r="MVO14" s="38"/>
      <c r="MVP14" s="38"/>
      <c r="MVQ14" s="38"/>
      <c r="MVR14" s="38"/>
      <c r="MVS14" s="38"/>
      <c r="MVT14" s="38"/>
      <c r="MVU14" s="38"/>
      <c r="MVV14" s="38"/>
      <c r="MVW14" s="38"/>
      <c r="MVX14" s="38"/>
      <c r="MVY14" s="38"/>
      <c r="MVZ14" s="38"/>
      <c r="MWA14" s="38"/>
      <c r="MWB14" s="38"/>
      <c r="MWC14" s="38"/>
      <c r="MWD14" s="38"/>
      <c r="MWE14" s="38"/>
      <c r="MWF14" s="38"/>
      <c r="MWG14" s="38"/>
      <c r="MWH14" s="38"/>
      <c r="MWI14" s="38"/>
      <c r="MWJ14" s="38"/>
      <c r="MWK14" s="38"/>
      <c r="MWL14" s="38"/>
      <c r="MWM14" s="38"/>
      <c r="MWN14" s="38"/>
      <c r="MWO14" s="38"/>
      <c r="MWP14" s="38"/>
      <c r="MWQ14" s="38"/>
      <c r="MWR14" s="38"/>
      <c r="MWS14" s="38"/>
      <c r="MWT14" s="38"/>
      <c r="MWU14" s="38"/>
      <c r="MWV14" s="38"/>
      <c r="MWW14" s="38"/>
      <c r="MWX14" s="38"/>
      <c r="MWY14" s="38"/>
      <c r="MWZ14" s="38"/>
      <c r="MXA14" s="38"/>
      <c r="MXB14" s="38"/>
      <c r="MXC14" s="38"/>
      <c r="MXD14" s="38"/>
      <c r="MXE14" s="38"/>
      <c r="MXF14" s="38"/>
      <c r="MXG14" s="38"/>
      <c r="MXH14" s="38"/>
      <c r="MXI14" s="38"/>
      <c r="MXJ14" s="38"/>
      <c r="MXK14" s="38"/>
      <c r="MXL14" s="38"/>
      <c r="MXM14" s="38"/>
      <c r="MXN14" s="38"/>
      <c r="MXO14" s="38"/>
      <c r="MXP14" s="38"/>
      <c r="MXQ14" s="38"/>
      <c r="MXR14" s="38"/>
      <c r="MXS14" s="38"/>
      <c r="MXT14" s="38"/>
      <c r="MXU14" s="38"/>
      <c r="MXV14" s="38"/>
      <c r="MXW14" s="38"/>
      <c r="MXX14" s="38"/>
      <c r="MXY14" s="38"/>
      <c r="MXZ14" s="38"/>
      <c r="MYA14" s="38"/>
      <c r="MYB14" s="38"/>
      <c r="MYC14" s="38"/>
      <c r="MYD14" s="38"/>
      <c r="MYE14" s="38"/>
      <c r="MYF14" s="38"/>
      <c r="MYG14" s="38"/>
      <c r="MYH14" s="38"/>
      <c r="MYI14" s="38"/>
      <c r="MYJ14" s="38"/>
      <c r="MYK14" s="38"/>
      <c r="MYL14" s="38"/>
      <c r="MYM14" s="38"/>
      <c r="MYN14" s="38"/>
      <c r="MYO14" s="38"/>
      <c r="MYP14" s="38"/>
      <c r="MYQ14" s="38"/>
      <c r="MYR14" s="38"/>
      <c r="MYS14" s="38"/>
      <c r="MYT14" s="38"/>
      <c r="MYU14" s="38"/>
      <c r="MYV14" s="38"/>
      <c r="MYW14" s="38"/>
      <c r="MYX14" s="38"/>
      <c r="MYY14" s="38"/>
      <c r="MYZ14" s="38"/>
      <c r="MZA14" s="38"/>
      <c r="MZB14" s="38"/>
      <c r="MZC14" s="38"/>
      <c r="MZD14" s="38"/>
      <c r="MZE14" s="38"/>
      <c r="MZF14" s="38"/>
      <c r="MZG14" s="38"/>
      <c r="MZH14" s="38"/>
      <c r="MZI14" s="38"/>
      <c r="MZJ14" s="38"/>
      <c r="MZK14" s="38"/>
      <c r="MZL14" s="38"/>
      <c r="MZM14" s="38"/>
      <c r="MZN14" s="38"/>
      <c r="MZO14" s="38"/>
      <c r="MZP14" s="38"/>
      <c r="MZQ14" s="38"/>
      <c r="MZR14" s="38"/>
      <c r="MZS14" s="38"/>
      <c r="MZT14" s="38"/>
      <c r="MZU14" s="38"/>
      <c r="MZV14" s="38"/>
      <c r="MZW14" s="38"/>
      <c r="MZX14" s="38"/>
      <c r="MZY14" s="38"/>
      <c r="MZZ14" s="38"/>
      <c r="NAA14" s="38"/>
      <c r="NAB14" s="38"/>
      <c r="NAC14" s="38"/>
      <c r="NAD14" s="38"/>
      <c r="NAE14" s="38"/>
      <c r="NAF14" s="38"/>
      <c r="NAG14" s="38"/>
      <c r="NAH14" s="38"/>
      <c r="NAI14" s="38"/>
      <c r="NAJ14" s="38"/>
      <c r="NAK14" s="38"/>
      <c r="NAL14" s="38"/>
      <c r="NAM14" s="38"/>
      <c r="NAN14" s="38"/>
      <c r="NAO14" s="38"/>
      <c r="NAP14" s="38"/>
      <c r="NAQ14" s="38"/>
      <c r="NAR14" s="38"/>
      <c r="NAS14" s="38"/>
      <c r="NAT14" s="38"/>
      <c r="NAU14" s="38"/>
      <c r="NAV14" s="38"/>
      <c r="NAW14" s="38"/>
      <c r="NAX14" s="38"/>
      <c r="NAY14" s="38"/>
      <c r="NAZ14" s="38"/>
      <c r="NBA14" s="38"/>
      <c r="NBB14" s="38"/>
      <c r="NBC14" s="38"/>
      <c r="NBD14" s="38"/>
      <c r="NBE14" s="38"/>
      <c r="NBF14" s="38"/>
      <c r="NBG14" s="38"/>
      <c r="NBH14" s="38"/>
      <c r="NBI14" s="38"/>
      <c r="NBJ14" s="38"/>
      <c r="NBK14" s="38"/>
      <c r="NBL14" s="38"/>
      <c r="NBM14" s="38"/>
      <c r="NBN14" s="38"/>
      <c r="NBO14" s="38"/>
      <c r="NBP14" s="38"/>
      <c r="NBQ14" s="38"/>
      <c r="NBR14" s="38"/>
      <c r="NBS14" s="38"/>
      <c r="NBT14" s="38"/>
      <c r="NBU14" s="38"/>
      <c r="NBV14" s="38"/>
      <c r="NBW14" s="38"/>
      <c r="NBX14" s="38"/>
      <c r="NBY14" s="38"/>
      <c r="NBZ14" s="38"/>
      <c r="NCA14" s="38"/>
      <c r="NCB14" s="38"/>
      <c r="NCC14" s="38"/>
      <c r="NCD14" s="38"/>
      <c r="NCE14" s="38"/>
      <c r="NCF14" s="38"/>
      <c r="NCG14" s="38"/>
      <c r="NCH14" s="38"/>
      <c r="NCI14" s="38"/>
      <c r="NCJ14" s="38"/>
      <c r="NCK14" s="38"/>
      <c r="NCL14" s="38"/>
      <c r="NCM14" s="38"/>
      <c r="NCN14" s="38"/>
      <c r="NCO14" s="38"/>
      <c r="NCP14" s="38"/>
      <c r="NCQ14" s="38"/>
      <c r="NCR14" s="38"/>
      <c r="NCS14" s="38"/>
      <c r="NCT14" s="38"/>
      <c r="NCU14" s="38"/>
      <c r="NCV14" s="38"/>
      <c r="NCW14" s="38"/>
      <c r="NCX14" s="38"/>
      <c r="NCY14" s="38"/>
      <c r="NCZ14" s="38"/>
      <c r="NDA14" s="38"/>
      <c r="NDB14" s="38"/>
      <c r="NDC14" s="38"/>
      <c r="NDD14" s="38"/>
      <c r="NDE14" s="38"/>
      <c r="NDF14" s="38"/>
      <c r="NDG14" s="38"/>
      <c r="NDH14" s="38"/>
      <c r="NDI14" s="38"/>
      <c r="NDJ14" s="38"/>
      <c r="NDK14" s="38"/>
      <c r="NDL14" s="38"/>
      <c r="NDM14" s="38"/>
      <c r="NDN14" s="38"/>
      <c r="NDO14" s="38"/>
      <c r="NDP14" s="38"/>
      <c r="NDQ14" s="38"/>
      <c r="NDR14" s="38"/>
      <c r="NDS14" s="38"/>
      <c r="NDT14" s="38"/>
      <c r="NDU14" s="38"/>
      <c r="NDV14" s="38"/>
      <c r="NDW14" s="38"/>
      <c r="NDX14" s="38"/>
      <c r="NDY14" s="38"/>
      <c r="NDZ14" s="38"/>
      <c r="NEA14" s="38"/>
      <c r="NEB14" s="38"/>
      <c r="NEC14" s="38"/>
      <c r="NED14" s="38"/>
      <c r="NEE14" s="38"/>
      <c r="NEF14" s="38"/>
      <c r="NEG14" s="38"/>
      <c r="NEH14" s="38"/>
      <c r="NEI14" s="38"/>
      <c r="NEJ14" s="38"/>
      <c r="NEK14" s="38"/>
      <c r="NEL14" s="38"/>
      <c r="NEM14" s="38"/>
      <c r="NEN14" s="38"/>
      <c r="NEO14" s="38"/>
      <c r="NEP14" s="38"/>
      <c r="NEQ14" s="38"/>
      <c r="NER14" s="38"/>
      <c r="NES14" s="38"/>
      <c r="NET14" s="38"/>
      <c r="NEU14" s="38"/>
      <c r="NEV14" s="38"/>
      <c r="NEW14" s="38"/>
      <c r="NEX14" s="38"/>
      <c r="NEY14" s="38"/>
      <c r="NEZ14" s="38"/>
      <c r="NFA14" s="38"/>
      <c r="NFB14" s="38"/>
      <c r="NFC14" s="38"/>
      <c r="NFD14" s="38"/>
      <c r="NFE14" s="38"/>
      <c r="NFF14" s="38"/>
      <c r="NFG14" s="38"/>
      <c r="NFH14" s="38"/>
      <c r="NFI14" s="38"/>
      <c r="NFJ14" s="38"/>
      <c r="NFK14" s="38"/>
      <c r="NFL14" s="38"/>
      <c r="NFM14" s="38"/>
      <c r="NFN14" s="38"/>
      <c r="NFO14" s="38"/>
      <c r="NFP14" s="38"/>
      <c r="NFQ14" s="38"/>
      <c r="NFR14" s="38"/>
      <c r="NFS14" s="38"/>
      <c r="NFT14" s="38"/>
      <c r="NFU14" s="38"/>
      <c r="NFV14" s="38"/>
      <c r="NFW14" s="38"/>
      <c r="NFX14" s="38"/>
      <c r="NFY14" s="38"/>
      <c r="NFZ14" s="38"/>
      <c r="NGA14" s="38"/>
      <c r="NGB14" s="38"/>
      <c r="NGC14" s="38"/>
      <c r="NGD14" s="38"/>
      <c r="NGE14" s="38"/>
      <c r="NGF14" s="38"/>
      <c r="NGG14" s="38"/>
      <c r="NGH14" s="38"/>
      <c r="NGI14" s="38"/>
      <c r="NGJ14" s="38"/>
      <c r="NGK14" s="38"/>
      <c r="NGL14" s="38"/>
      <c r="NGM14" s="38"/>
      <c r="NGN14" s="38"/>
      <c r="NGO14" s="38"/>
      <c r="NGP14" s="38"/>
      <c r="NGQ14" s="38"/>
      <c r="NGR14" s="38"/>
      <c r="NGS14" s="38"/>
      <c r="NGT14" s="38"/>
      <c r="NGU14" s="38"/>
      <c r="NGV14" s="38"/>
      <c r="NGW14" s="38"/>
      <c r="NGX14" s="38"/>
      <c r="NGY14" s="38"/>
      <c r="NGZ14" s="38"/>
      <c r="NHA14" s="38"/>
      <c r="NHB14" s="38"/>
      <c r="NHC14" s="38"/>
      <c r="NHD14" s="38"/>
      <c r="NHE14" s="38"/>
      <c r="NHF14" s="38"/>
      <c r="NHG14" s="38"/>
      <c r="NHH14" s="38"/>
      <c r="NHI14" s="38"/>
      <c r="NHJ14" s="38"/>
      <c r="NHK14" s="38"/>
      <c r="NHL14" s="38"/>
      <c r="NHM14" s="38"/>
      <c r="NHN14" s="38"/>
      <c r="NHO14" s="38"/>
      <c r="NHP14" s="38"/>
      <c r="NHQ14" s="38"/>
      <c r="NHR14" s="38"/>
      <c r="NHS14" s="38"/>
      <c r="NHT14" s="38"/>
      <c r="NHU14" s="38"/>
      <c r="NHV14" s="38"/>
      <c r="NHW14" s="38"/>
      <c r="NHX14" s="38"/>
      <c r="NHY14" s="38"/>
      <c r="NHZ14" s="38"/>
      <c r="NIA14" s="38"/>
      <c r="NIB14" s="38"/>
      <c r="NIC14" s="38"/>
      <c r="NID14" s="38"/>
      <c r="NIE14" s="38"/>
      <c r="NIF14" s="38"/>
      <c r="NIG14" s="38"/>
      <c r="NIH14" s="38"/>
      <c r="NII14" s="38"/>
      <c r="NIJ14" s="38"/>
      <c r="NIK14" s="38"/>
      <c r="NIL14" s="38"/>
      <c r="NIM14" s="38"/>
      <c r="NIN14" s="38"/>
      <c r="NIO14" s="38"/>
      <c r="NIP14" s="38"/>
      <c r="NIQ14" s="38"/>
      <c r="NIR14" s="38"/>
      <c r="NIS14" s="38"/>
      <c r="NIT14" s="38"/>
      <c r="NIU14" s="38"/>
      <c r="NIV14" s="38"/>
      <c r="NIW14" s="38"/>
      <c r="NIX14" s="38"/>
      <c r="NIY14" s="38"/>
      <c r="NIZ14" s="38"/>
      <c r="NJA14" s="38"/>
      <c r="NJB14" s="38"/>
      <c r="NJC14" s="38"/>
      <c r="NJD14" s="38"/>
      <c r="NJE14" s="38"/>
      <c r="NJF14" s="38"/>
      <c r="NJG14" s="38"/>
      <c r="NJH14" s="38"/>
      <c r="NJI14" s="38"/>
      <c r="NJJ14" s="38"/>
      <c r="NJK14" s="38"/>
      <c r="NJL14" s="38"/>
      <c r="NJM14" s="38"/>
      <c r="NJN14" s="38"/>
      <c r="NJO14" s="38"/>
      <c r="NJP14" s="38"/>
      <c r="NJQ14" s="38"/>
      <c r="NJR14" s="38"/>
      <c r="NJS14" s="38"/>
      <c r="NJT14" s="38"/>
      <c r="NJU14" s="38"/>
      <c r="NJV14" s="38"/>
      <c r="NJW14" s="38"/>
      <c r="NJX14" s="38"/>
      <c r="NJY14" s="38"/>
      <c r="NJZ14" s="38"/>
      <c r="NKA14" s="38"/>
      <c r="NKB14" s="38"/>
      <c r="NKC14" s="38"/>
      <c r="NKD14" s="38"/>
      <c r="NKE14" s="38"/>
      <c r="NKF14" s="38"/>
      <c r="NKG14" s="38"/>
      <c r="NKH14" s="38"/>
      <c r="NKI14" s="38"/>
      <c r="NKJ14" s="38"/>
      <c r="NKK14" s="38"/>
      <c r="NKL14" s="38"/>
      <c r="NKM14" s="38"/>
      <c r="NKN14" s="38"/>
      <c r="NKO14" s="38"/>
      <c r="NKP14" s="38"/>
      <c r="NKQ14" s="38"/>
      <c r="NKR14" s="38"/>
      <c r="NKS14" s="38"/>
      <c r="NKT14" s="38"/>
      <c r="NKU14" s="38"/>
      <c r="NKV14" s="38"/>
      <c r="NKW14" s="38"/>
      <c r="NKX14" s="38"/>
      <c r="NKY14" s="38"/>
      <c r="NKZ14" s="38"/>
      <c r="NLA14" s="38"/>
      <c r="NLB14" s="38"/>
      <c r="NLC14" s="38"/>
      <c r="NLD14" s="38"/>
      <c r="NLE14" s="38"/>
      <c r="NLF14" s="38"/>
      <c r="NLG14" s="38"/>
      <c r="NLH14" s="38"/>
      <c r="NLI14" s="38"/>
      <c r="NLJ14" s="38"/>
      <c r="NLK14" s="38"/>
      <c r="NLL14" s="38"/>
      <c r="NLM14" s="38"/>
      <c r="NLN14" s="38"/>
      <c r="NLO14" s="38"/>
      <c r="NLP14" s="38"/>
      <c r="NLQ14" s="38"/>
      <c r="NLR14" s="38"/>
      <c r="NLS14" s="38"/>
      <c r="NLT14" s="38"/>
      <c r="NLU14" s="38"/>
      <c r="NLV14" s="38"/>
      <c r="NLW14" s="38"/>
      <c r="NLX14" s="38"/>
      <c r="NLY14" s="38"/>
      <c r="NLZ14" s="38"/>
      <c r="NMA14" s="38"/>
      <c r="NMB14" s="38"/>
      <c r="NMC14" s="38"/>
      <c r="NMD14" s="38"/>
      <c r="NME14" s="38"/>
      <c r="NMF14" s="38"/>
      <c r="NMG14" s="38"/>
      <c r="NMH14" s="38"/>
      <c r="NMI14" s="38"/>
      <c r="NMJ14" s="38"/>
      <c r="NMK14" s="38"/>
      <c r="NML14" s="38"/>
      <c r="NMM14" s="38"/>
      <c r="NMN14" s="38"/>
      <c r="NMO14" s="38"/>
      <c r="NMP14" s="38"/>
      <c r="NMQ14" s="38"/>
      <c r="NMR14" s="38"/>
      <c r="NMS14" s="38"/>
      <c r="NMT14" s="38"/>
      <c r="NMU14" s="38"/>
      <c r="NMV14" s="38"/>
      <c r="NMW14" s="38"/>
      <c r="NMX14" s="38"/>
      <c r="NMY14" s="38"/>
      <c r="NMZ14" s="38"/>
      <c r="NNA14" s="38"/>
      <c r="NNB14" s="38"/>
      <c r="NNC14" s="38"/>
      <c r="NND14" s="38"/>
      <c r="NNE14" s="38"/>
      <c r="NNF14" s="38"/>
      <c r="NNG14" s="38"/>
      <c r="NNH14" s="38"/>
      <c r="NNI14" s="38"/>
      <c r="NNJ14" s="38"/>
      <c r="NNK14" s="38"/>
      <c r="NNL14" s="38"/>
      <c r="NNM14" s="38"/>
      <c r="NNN14" s="38"/>
      <c r="NNO14" s="38"/>
      <c r="NNP14" s="38"/>
      <c r="NNQ14" s="38"/>
      <c r="NNR14" s="38"/>
      <c r="NNS14" s="38"/>
      <c r="NNT14" s="38"/>
      <c r="NNU14" s="38"/>
      <c r="NNV14" s="38"/>
      <c r="NNW14" s="38"/>
      <c r="NNX14" s="38"/>
      <c r="NNY14" s="38"/>
      <c r="NNZ14" s="38"/>
      <c r="NOA14" s="38"/>
      <c r="NOB14" s="38"/>
      <c r="NOC14" s="38"/>
      <c r="NOD14" s="38"/>
      <c r="NOE14" s="38"/>
      <c r="NOF14" s="38"/>
      <c r="NOG14" s="38"/>
      <c r="NOH14" s="38"/>
      <c r="NOI14" s="38"/>
      <c r="NOJ14" s="38"/>
      <c r="NOK14" s="38"/>
      <c r="NOL14" s="38"/>
      <c r="NOM14" s="38"/>
      <c r="NON14" s="38"/>
      <c r="NOO14" s="38"/>
      <c r="NOP14" s="38"/>
      <c r="NOQ14" s="38"/>
      <c r="NOR14" s="38"/>
      <c r="NOS14" s="38"/>
      <c r="NOT14" s="38"/>
      <c r="NOU14" s="38"/>
      <c r="NOV14" s="38"/>
      <c r="NOW14" s="38"/>
      <c r="NOX14" s="38"/>
      <c r="NOY14" s="38"/>
      <c r="NOZ14" s="38"/>
      <c r="NPA14" s="38"/>
      <c r="NPB14" s="38"/>
      <c r="NPC14" s="38"/>
      <c r="NPD14" s="38"/>
      <c r="NPE14" s="38"/>
      <c r="NPF14" s="38"/>
      <c r="NPG14" s="38"/>
      <c r="NPH14" s="38"/>
      <c r="NPI14" s="38"/>
      <c r="NPJ14" s="38"/>
      <c r="NPK14" s="38"/>
      <c r="NPL14" s="38"/>
      <c r="NPM14" s="38"/>
      <c r="NPN14" s="38"/>
      <c r="NPO14" s="38"/>
      <c r="NPP14" s="38"/>
      <c r="NPQ14" s="38"/>
      <c r="NPR14" s="38"/>
      <c r="NPS14" s="38"/>
      <c r="NPT14" s="38"/>
      <c r="NPU14" s="38"/>
      <c r="NPV14" s="38"/>
      <c r="NPW14" s="38"/>
      <c r="NPX14" s="38"/>
      <c r="NPY14" s="38"/>
      <c r="NPZ14" s="38"/>
      <c r="NQA14" s="38"/>
      <c r="NQB14" s="38"/>
      <c r="NQC14" s="38"/>
      <c r="NQD14" s="38"/>
      <c r="NQE14" s="38"/>
      <c r="NQF14" s="38"/>
      <c r="NQG14" s="38"/>
      <c r="NQH14" s="38"/>
      <c r="NQI14" s="38"/>
      <c r="NQJ14" s="38"/>
      <c r="NQK14" s="38"/>
      <c r="NQL14" s="38"/>
      <c r="NQM14" s="38"/>
      <c r="NQN14" s="38"/>
      <c r="NQO14" s="38"/>
      <c r="NQP14" s="38"/>
      <c r="NQQ14" s="38"/>
      <c r="NQR14" s="38"/>
      <c r="NQS14" s="38"/>
      <c r="NQT14" s="38"/>
      <c r="NQU14" s="38"/>
      <c r="NQV14" s="38"/>
      <c r="NQW14" s="38"/>
      <c r="NQX14" s="38"/>
      <c r="NQY14" s="38"/>
      <c r="NQZ14" s="38"/>
      <c r="NRA14" s="38"/>
      <c r="NRB14" s="38"/>
      <c r="NRC14" s="38"/>
      <c r="NRD14" s="38"/>
      <c r="NRE14" s="38"/>
      <c r="NRF14" s="38"/>
      <c r="NRG14" s="38"/>
      <c r="NRH14" s="38"/>
      <c r="NRI14" s="38"/>
      <c r="NRJ14" s="38"/>
      <c r="NRK14" s="38"/>
      <c r="NRL14" s="38"/>
      <c r="NRM14" s="38"/>
      <c r="NRN14" s="38"/>
      <c r="NRO14" s="38"/>
      <c r="NRP14" s="38"/>
      <c r="NRQ14" s="38"/>
      <c r="NRR14" s="38"/>
      <c r="NRS14" s="38"/>
      <c r="NRT14" s="38"/>
      <c r="NRU14" s="38"/>
      <c r="NRV14" s="38"/>
      <c r="NRW14" s="38"/>
      <c r="NRX14" s="38"/>
      <c r="NRY14" s="38"/>
      <c r="NRZ14" s="38"/>
      <c r="NSA14" s="38"/>
      <c r="NSB14" s="38"/>
      <c r="NSC14" s="38"/>
      <c r="NSD14" s="38"/>
      <c r="NSE14" s="38"/>
      <c r="NSF14" s="38"/>
      <c r="NSG14" s="38"/>
      <c r="NSH14" s="38"/>
      <c r="NSI14" s="38"/>
      <c r="NSJ14" s="38"/>
      <c r="NSK14" s="38"/>
      <c r="NSL14" s="38"/>
      <c r="NSM14" s="38"/>
      <c r="NSN14" s="38"/>
      <c r="NSO14" s="38"/>
      <c r="NSP14" s="38"/>
      <c r="NSQ14" s="38"/>
      <c r="NSR14" s="38"/>
      <c r="NSS14" s="38"/>
      <c r="NST14" s="38"/>
      <c r="NSU14" s="38"/>
      <c r="NSV14" s="38"/>
      <c r="NSW14" s="38"/>
      <c r="NSX14" s="38"/>
      <c r="NSY14" s="38"/>
      <c r="NSZ14" s="38"/>
      <c r="NTA14" s="38"/>
      <c r="NTB14" s="38"/>
      <c r="NTC14" s="38"/>
      <c r="NTD14" s="38"/>
      <c r="NTE14" s="38"/>
      <c r="NTF14" s="38"/>
      <c r="NTG14" s="38"/>
      <c r="NTH14" s="38"/>
      <c r="NTI14" s="38"/>
      <c r="NTJ14" s="38"/>
      <c r="NTK14" s="38"/>
      <c r="NTL14" s="38"/>
      <c r="NTM14" s="38"/>
      <c r="NTN14" s="38"/>
      <c r="NTO14" s="38"/>
      <c r="NTP14" s="38"/>
      <c r="NTQ14" s="38"/>
      <c r="NTR14" s="38"/>
      <c r="NTS14" s="38"/>
      <c r="NTT14" s="38"/>
      <c r="NTU14" s="38"/>
      <c r="NTV14" s="38"/>
      <c r="NTW14" s="38"/>
      <c r="NTX14" s="38"/>
      <c r="NTY14" s="38"/>
      <c r="NTZ14" s="38"/>
      <c r="NUA14" s="38"/>
      <c r="NUB14" s="38"/>
      <c r="NUC14" s="38"/>
      <c r="NUD14" s="38"/>
      <c r="NUE14" s="38"/>
      <c r="NUF14" s="38"/>
      <c r="NUG14" s="38"/>
      <c r="NUH14" s="38"/>
      <c r="NUI14" s="38"/>
      <c r="NUJ14" s="38"/>
      <c r="NUK14" s="38"/>
      <c r="NUL14" s="38"/>
      <c r="NUM14" s="38"/>
      <c r="NUN14" s="38"/>
      <c r="NUO14" s="38"/>
      <c r="NUP14" s="38"/>
      <c r="NUQ14" s="38"/>
      <c r="NUR14" s="38"/>
      <c r="NUS14" s="38"/>
      <c r="NUT14" s="38"/>
      <c r="NUU14" s="38"/>
      <c r="NUV14" s="38"/>
      <c r="NUW14" s="38"/>
      <c r="NUX14" s="38"/>
      <c r="NUY14" s="38"/>
      <c r="NUZ14" s="38"/>
      <c r="NVA14" s="38"/>
      <c r="NVB14" s="38"/>
      <c r="NVC14" s="38"/>
      <c r="NVD14" s="38"/>
      <c r="NVE14" s="38"/>
      <c r="NVF14" s="38"/>
      <c r="NVG14" s="38"/>
      <c r="NVH14" s="38"/>
      <c r="NVI14" s="38"/>
      <c r="NVJ14" s="38"/>
      <c r="NVK14" s="38"/>
      <c r="NVL14" s="38"/>
      <c r="NVM14" s="38"/>
      <c r="NVN14" s="38"/>
      <c r="NVO14" s="38"/>
      <c r="NVP14" s="38"/>
      <c r="NVQ14" s="38"/>
      <c r="NVR14" s="38"/>
      <c r="NVS14" s="38"/>
      <c r="NVT14" s="38"/>
      <c r="NVU14" s="38"/>
      <c r="NVV14" s="38"/>
      <c r="NVW14" s="38"/>
      <c r="NVX14" s="38"/>
      <c r="NVY14" s="38"/>
      <c r="NVZ14" s="38"/>
      <c r="NWA14" s="38"/>
      <c r="NWB14" s="38"/>
      <c r="NWC14" s="38"/>
      <c r="NWD14" s="38"/>
      <c r="NWE14" s="38"/>
      <c r="NWF14" s="38"/>
      <c r="NWG14" s="38"/>
      <c r="NWH14" s="38"/>
      <c r="NWI14" s="38"/>
      <c r="NWJ14" s="38"/>
      <c r="NWK14" s="38"/>
      <c r="NWL14" s="38"/>
      <c r="NWM14" s="38"/>
      <c r="NWN14" s="38"/>
      <c r="NWO14" s="38"/>
      <c r="NWP14" s="38"/>
      <c r="NWQ14" s="38"/>
      <c r="NWR14" s="38"/>
      <c r="NWS14" s="38"/>
      <c r="NWT14" s="38"/>
      <c r="NWU14" s="38"/>
      <c r="NWV14" s="38"/>
      <c r="NWW14" s="38"/>
      <c r="NWX14" s="38"/>
      <c r="NWY14" s="38"/>
      <c r="NWZ14" s="38"/>
      <c r="NXA14" s="38"/>
      <c r="NXB14" s="38"/>
      <c r="NXC14" s="38"/>
      <c r="NXD14" s="38"/>
      <c r="NXE14" s="38"/>
      <c r="NXF14" s="38"/>
      <c r="NXG14" s="38"/>
      <c r="NXH14" s="38"/>
      <c r="NXI14" s="38"/>
      <c r="NXJ14" s="38"/>
      <c r="NXK14" s="38"/>
      <c r="NXL14" s="38"/>
      <c r="NXM14" s="38"/>
      <c r="NXN14" s="38"/>
      <c r="NXO14" s="38"/>
      <c r="NXP14" s="38"/>
      <c r="NXQ14" s="38"/>
      <c r="NXR14" s="38"/>
      <c r="NXS14" s="38"/>
      <c r="NXT14" s="38"/>
      <c r="NXU14" s="38"/>
      <c r="NXV14" s="38"/>
      <c r="NXW14" s="38"/>
      <c r="NXX14" s="38"/>
      <c r="NXY14" s="38"/>
      <c r="NXZ14" s="38"/>
      <c r="NYA14" s="38"/>
      <c r="NYB14" s="38"/>
      <c r="NYC14" s="38"/>
      <c r="NYD14" s="38"/>
      <c r="NYE14" s="38"/>
      <c r="NYF14" s="38"/>
      <c r="NYG14" s="38"/>
      <c r="NYH14" s="38"/>
      <c r="NYI14" s="38"/>
      <c r="NYJ14" s="38"/>
      <c r="NYK14" s="38"/>
      <c r="NYL14" s="38"/>
      <c r="NYM14" s="38"/>
      <c r="NYN14" s="38"/>
      <c r="NYO14" s="38"/>
      <c r="NYP14" s="38"/>
      <c r="NYQ14" s="38"/>
      <c r="NYR14" s="38"/>
      <c r="NYS14" s="38"/>
      <c r="NYT14" s="38"/>
      <c r="NYU14" s="38"/>
      <c r="NYV14" s="38"/>
      <c r="NYW14" s="38"/>
      <c r="NYX14" s="38"/>
      <c r="NYY14" s="38"/>
      <c r="NYZ14" s="38"/>
      <c r="NZA14" s="38"/>
      <c r="NZB14" s="38"/>
      <c r="NZC14" s="38"/>
      <c r="NZD14" s="38"/>
      <c r="NZE14" s="38"/>
      <c r="NZF14" s="38"/>
      <c r="NZG14" s="38"/>
      <c r="NZH14" s="38"/>
      <c r="NZI14" s="38"/>
      <c r="NZJ14" s="38"/>
      <c r="NZK14" s="38"/>
      <c r="NZL14" s="38"/>
      <c r="NZM14" s="38"/>
      <c r="NZN14" s="38"/>
      <c r="NZO14" s="38"/>
      <c r="NZP14" s="38"/>
      <c r="NZQ14" s="38"/>
      <c r="NZR14" s="38"/>
      <c r="NZS14" s="38"/>
      <c r="NZT14" s="38"/>
      <c r="NZU14" s="38"/>
      <c r="NZV14" s="38"/>
      <c r="NZW14" s="38"/>
      <c r="NZX14" s="38"/>
      <c r="NZY14" s="38"/>
      <c r="NZZ14" s="38"/>
      <c r="OAA14" s="38"/>
      <c r="OAB14" s="38"/>
      <c r="OAC14" s="38"/>
      <c r="OAD14" s="38"/>
      <c r="OAE14" s="38"/>
      <c r="OAF14" s="38"/>
      <c r="OAG14" s="38"/>
      <c r="OAH14" s="38"/>
      <c r="OAI14" s="38"/>
      <c r="OAJ14" s="38"/>
      <c r="OAK14" s="38"/>
      <c r="OAL14" s="38"/>
      <c r="OAM14" s="38"/>
      <c r="OAN14" s="38"/>
      <c r="OAO14" s="38"/>
      <c r="OAP14" s="38"/>
      <c r="OAQ14" s="38"/>
      <c r="OAR14" s="38"/>
      <c r="OAS14" s="38"/>
      <c r="OAT14" s="38"/>
      <c r="OAU14" s="38"/>
      <c r="OAV14" s="38"/>
      <c r="OAW14" s="38"/>
      <c r="OAX14" s="38"/>
      <c r="OAY14" s="38"/>
      <c r="OAZ14" s="38"/>
      <c r="OBA14" s="38"/>
      <c r="OBB14" s="38"/>
      <c r="OBC14" s="38"/>
      <c r="OBD14" s="38"/>
      <c r="OBE14" s="38"/>
      <c r="OBF14" s="38"/>
      <c r="OBG14" s="38"/>
      <c r="OBH14" s="38"/>
      <c r="OBI14" s="38"/>
      <c r="OBJ14" s="38"/>
      <c r="OBK14" s="38"/>
      <c r="OBL14" s="38"/>
      <c r="OBM14" s="38"/>
      <c r="OBN14" s="38"/>
      <c r="OBO14" s="38"/>
      <c r="OBP14" s="38"/>
      <c r="OBQ14" s="38"/>
      <c r="OBR14" s="38"/>
      <c r="OBS14" s="38"/>
      <c r="OBT14" s="38"/>
      <c r="OBU14" s="38"/>
      <c r="OBV14" s="38"/>
      <c r="OBW14" s="38"/>
      <c r="OBX14" s="38"/>
      <c r="OBY14" s="38"/>
      <c r="OBZ14" s="38"/>
      <c r="OCA14" s="38"/>
      <c r="OCB14" s="38"/>
      <c r="OCC14" s="38"/>
      <c r="OCD14" s="38"/>
      <c r="OCE14" s="38"/>
      <c r="OCF14" s="38"/>
      <c r="OCG14" s="38"/>
      <c r="OCH14" s="38"/>
      <c r="OCI14" s="38"/>
      <c r="OCJ14" s="38"/>
      <c r="OCK14" s="38"/>
      <c r="OCL14" s="38"/>
      <c r="OCM14" s="38"/>
      <c r="OCN14" s="38"/>
      <c r="OCO14" s="38"/>
      <c r="OCP14" s="38"/>
      <c r="OCQ14" s="38"/>
      <c r="OCR14" s="38"/>
      <c r="OCS14" s="38"/>
      <c r="OCT14" s="38"/>
      <c r="OCU14" s="38"/>
      <c r="OCV14" s="38"/>
      <c r="OCW14" s="38"/>
      <c r="OCX14" s="38"/>
      <c r="OCY14" s="38"/>
      <c r="OCZ14" s="38"/>
      <c r="ODA14" s="38"/>
      <c r="ODB14" s="38"/>
      <c r="ODC14" s="38"/>
      <c r="ODD14" s="38"/>
      <c r="ODE14" s="38"/>
      <c r="ODF14" s="38"/>
      <c r="ODG14" s="38"/>
      <c r="ODH14" s="38"/>
      <c r="ODI14" s="38"/>
      <c r="ODJ14" s="38"/>
      <c r="ODK14" s="38"/>
      <c r="ODL14" s="38"/>
      <c r="ODM14" s="38"/>
      <c r="ODN14" s="38"/>
      <c r="ODO14" s="38"/>
      <c r="ODP14" s="38"/>
      <c r="ODQ14" s="38"/>
      <c r="ODR14" s="38"/>
      <c r="ODS14" s="38"/>
      <c r="ODT14" s="38"/>
      <c r="ODU14" s="38"/>
      <c r="ODV14" s="38"/>
      <c r="ODW14" s="38"/>
      <c r="ODX14" s="38"/>
      <c r="ODY14" s="38"/>
      <c r="ODZ14" s="38"/>
      <c r="OEA14" s="38"/>
      <c r="OEB14" s="38"/>
      <c r="OEC14" s="38"/>
      <c r="OED14" s="38"/>
      <c r="OEE14" s="38"/>
      <c r="OEF14" s="38"/>
      <c r="OEG14" s="38"/>
      <c r="OEH14" s="38"/>
      <c r="OEI14" s="38"/>
      <c r="OEJ14" s="38"/>
      <c r="OEK14" s="38"/>
      <c r="OEL14" s="38"/>
      <c r="OEM14" s="38"/>
      <c r="OEN14" s="38"/>
      <c r="OEO14" s="38"/>
      <c r="OEP14" s="38"/>
      <c r="OEQ14" s="38"/>
      <c r="OER14" s="38"/>
      <c r="OES14" s="38"/>
      <c r="OET14" s="38"/>
      <c r="OEU14" s="38"/>
      <c r="OEV14" s="38"/>
      <c r="OEW14" s="38"/>
      <c r="OEX14" s="38"/>
      <c r="OEY14" s="38"/>
      <c r="OEZ14" s="38"/>
      <c r="OFA14" s="38"/>
      <c r="OFB14" s="38"/>
      <c r="OFC14" s="38"/>
      <c r="OFD14" s="38"/>
      <c r="OFE14" s="38"/>
      <c r="OFF14" s="38"/>
      <c r="OFG14" s="38"/>
      <c r="OFH14" s="38"/>
      <c r="OFI14" s="38"/>
      <c r="OFJ14" s="38"/>
      <c r="OFK14" s="38"/>
      <c r="OFL14" s="38"/>
      <c r="OFM14" s="38"/>
      <c r="OFN14" s="38"/>
      <c r="OFO14" s="38"/>
      <c r="OFP14" s="38"/>
      <c r="OFQ14" s="38"/>
      <c r="OFR14" s="38"/>
      <c r="OFS14" s="38"/>
      <c r="OFT14" s="38"/>
      <c r="OFU14" s="38"/>
      <c r="OFV14" s="38"/>
      <c r="OFW14" s="38"/>
      <c r="OFX14" s="38"/>
      <c r="OFY14" s="38"/>
      <c r="OFZ14" s="38"/>
      <c r="OGA14" s="38"/>
      <c r="OGB14" s="38"/>
      <c r="OGC14" s="38"/>
      <c r="OGD14" s="38"/>
      <c r="OGE14" s="38"/>
      <c r="OGF14" s="38"/>
      <c r="OGG14" s="38"/>
      <c r="OGH14" s="38"/>
      <c r="OGI14" s="38"/>
      <c r="OGJ14" s="38"/>
      <c r="OGK14" s="38"/>
      <c r="OGL14" s="38"/>
      <c r="OGM14" s="38"/>
      <c r="OGN14" s="38"/>
      <c r="OGO14" s="38"/>
      <c r="OGP14" s="38"/>
      <c r="OGQ14" s="38"/>
      <c r="OGR14" s="38"/>
      <c r="OGS14" s="38"/>
      <c r="OGT14" s="38"/>
      <c r="OGU14" s="38"/>
      <c r="OGV14" s="38"/>
      <c r="OGW14" s="38"/>
      <c r="OGX14" s="38"/>
      <c r="OGY14" s="38"/>
      <c r="OGZ14" s="38"/>
      <c r="OHA14" s="38"/>
      <c r="OHB14" s="38"/>
      <c r="OHC14" s="38"/>
      <c r="OHD14" s="38"/>
      <c r="OHE14" s="38"/>
      <c r="OHF14" s="38"/>
      <c r="OHG14" s="38"/>
      <c r="OHH14" s="38"/>
      <c r="OHI14" s="38"/>
      <c r="OHJ14" s="38"/>
      <c r="OHK14" s="38"/>
      <c r="OHL14" s="38"/>
      <c r="OHM14" s="38"/>
      <c r="OHN14" s="38"/>
      <c r="OHO14" s="38"/>
      <c r="OHP14" s="38"/>
      <c r="OHQ14" s="38"/>
      <c r="OHR14" s="38"/>
      <c r="OHS14" s="38"/>
      <c r="OHT14" s="38"/>
      <c r="OHU14" s="38"/>
      <c r="OHV14" s="38"/>
      <c r="OHW14" s="38"/>
      <c r="OHX14" s="38"/>
      <c r="OHY14" s="38"/>
      <c r="OHZ14" s="38"/>
      <c r="OIA14" s="38"/>
      <c r="OIB14" s="38"/>
      <c r="OIC14" s="38"/>
      <c r="OID14" s="38"/>
      <c r="OIE14" s="38"/>
      <c r="OIF14" s="38"/>
      <c r="OIG14" s="38"/>
      <c r="OIH14" s="38"/>
      <c r="OII14" s="38"/>
      <c r="OIJ14" s="38"/>
      <c r="OIK14" s="38"/>
      <c r="OIL14" s="38"/>
      <c r="OIM14" s="38"/>
      <c r="OIN14" s="38"/>
      <c r="OIO14" s="38"/>
      <c r="OIP14" s="38"/>
      <c r="OIQ14" s="38"/>
      <c r="OIR14" s="38"/>
      <c r="OIS14" s="38"/>
      <c r="OIT14" s="38"/>
      <c r="OIU14" s="38"/>
      <c r="OIV14" s="38"/>
      <c r="OIW14" s="38"/>
      <c r="OIX14" s="38"/>
      <c r="OIY14" s="38"/>
      <c r="OIZ14" s="38"/>
      <c r="OJA14" s="38"/>
      <c r="OJB14" s="38"/>
      <c r="OJC14" s="38"/>
      <c r="OJD14" s="38"/>
      <c r="OJE14" s="38"/>
      <c r="OJF14" s="38"/>
      <c r="OJG14" s="38"/>
      <c r="OJH14" s="38"/>
      <c r="OJI14" s="38"/>
      <c r="OJJ14" s="38"/>
      <c r="OJK14" s="38"/>
      <c r="OJL14" s="38"/>
      <c r="OJM14" s="38"/>
      <c r="OJN14" s="38"/>
      <c r="OJO14" s="38"/>
      <c r="OJP14" s="38"/>
      <c r="OJQ14" s="38"/>
      <c r="OJR14" s="38"/>
      <c r="OJS14" s="38"/>
      <c r="OJT14" s="38"/>
      <c r="OJU14" s="38"/>
      <c r="OJV14" s="38"/>
      <c r="OJW14" s="38"/>
      <c r="OJX14" s="38"/>
      <c r="OJY14" s="38"/>
      <c r="OJZ14" s="38"/>
      <c r="OKA14" s="38"/>
      <c r="OKB14" s="38"/>
      <c r="OKC14" s="38"/>
      <c r="OKD14" s="38"/>
      <c r="OKE14" s="38"/>
      <c r="OKF14" s="38"/>
      <c r="OKG14" s="38"/>
      <c r="OKH14" s="38"/>
      <c r="OKI14" s="38"/>
      <c r="OKJ14" s="38"/>
      <c r="OKK14" s="38"/>
      <c r="OKL14" s="38"/>
      <c r="OKM14" s="38"/>
      <c r="OKN14" s="38"/>
      <c r="OKO14" s="38"/>
      <c r="OKP14" s="38"/>
      <c r="OKQ14" s="38"/>
      <c r="OKR14" s="38"/>
      <c r="OKS14" s="38"/>
      <c r="OKT14" s="38"/>
      <c r="OKU14" s="38"/>
      <c r="OKV14" s="38"/>
      <c r="OKW14" s="38"/>
      <c r="OKX14" s="38"/>
      <c r="OKY14" s="38"/>
      <c r="OKZ14" s="38"/>
      <c r="OLA14" s="38"/>
      <c r="OLB14" s="38"/>
      <c r="OLC14" s="38"/>
      <c r="OLD14" s="38"/>
      <c r="OLE14" s="38"/>
      <c r="OLF14" s="38"/>
      <c r="OLG14" s="38"/>
      <c r="OLH14" s="38"/>
      <c r="OLI14" s="38"/>
      <c r="OLJ14" s="38"/>
      <c r="OLK14" s="38"/>
      <c r="OLL14" s="38"/>
      <c r="OLM14" s="38"/>
      <c r="OLN14" s="38"/>
      <c r="OLO14" s="38"/>
      <c r="OLP14" s="38"/>
      <c r="OLQ14" s="38"/>
      <c r="OLR14" s="38"/>
      <c r="OLS14" s="38"/>
      <c r="OLT14" s="38"/>
      <c r="OLU14" s="38"/>
      <c r="OLV14" s="38"/>
      <c r="OLW14" s="38"/>
      <c r="OLX14" s="38"/>
      <c r="OLY14" s="38"/>
      <c r="OLZ14" s="38"/>
      <c r="OMA14" s="38"/>
      <c r="OMB14" s="38"/>
      <c r="OMC14" s="38"/>
      <c r="OMD14" s="38"/>
      <c r="OME14" s="38"/>
      <c r="OMF14" s="38"/>
      <c r="OMG14" s="38"/>
      <c r="OMH14" s="38"/>
      <c r="OMI14" s="38"/>
      <c r="OMJ14" s="38"/>
      <c r="OMK14" s="38"/>
      <c r="OML14" s="38"/>
      <c r="OMM14" s="38"/>
      <c r="OMN14" s="38"/>
      <c r="OMO14" s="38"/>
      <c r="OMP14" s="38"/>
      <c r="OMQ14" s="38"/>
      <c r="OMR14" s="38"/>
      <c r="OMS14" s="38"/>
      <c r="OMT14" s="38"/>
      <c r="OMU14" s="38"/>
      <c r="OMV14" s="38"/>
      <c r="OMW14" s="38"/>
      <c r="OMX14" s="38"/>
      <c r="OMY14" s="38"/>
      <c r="OMZ14" s="38"/>
      <c r="ONA14" s="38"/>
      <c r="ONB14" s="38"/>
      <c r="ONC14" s="38"/>
      <c r="OND14" s="38"/>
      <c r="ONE14" s="38"/>
      <c r="ONF14" s="38"/>
      <c r="ONG14" s="38"/>
      <c r="ONH14" s="38"/>
      <c r="ONI14" s="38"/>
      <c r="ONJ14" s="38"/>
      <c r="ONK14" s="38"/>
      <c r="ONL14" s="38"/>
      <c r="ONM14" s="38"/>
      <c r="ONN14" s="38"/>
      <c r="ONO14" s="38"/>
      <c r="ONP14" s="38"/>
      <c r="ONQ14" s="38"/>
      <c r="ONR14" s="38"/>
      <c r="ONS14" s="38"/>
      <c r="ONT14" s="38"/>
      <c r="ONU14" s="38"/>
      <c r="ONV14" s="38"/>
      <c r="ONW14" s="38"/>
      <c r="ONX14" s="38"/>
      <c r="ONY14" s="38"/>
      <c r="ONZ14" s="38"/>
      <c r="OOA14" s="38"/>
      <c r="OOB14" s="38"/>
      <c r="OOC14" s="38"/>
      <c r="OOD14" s="38"/>
      <c r="OOE14" s="38"/>
      <c r="OOF14" s="38"/>
      <c r="OOG14" s="38"/>
      <c r="OOH14" s="38"/>
      <c r="OOI14" s="38"/>
      <c r="OOJ14" s="38"/>
      <c r="OOK14" s="38"/>
      <c r="OOL14" s="38"/>
      <c r="OOM14" s="38"/>
      <c r="OON14" s="38"/>
      <c r="OOO14" s="38"/>
      <c r="OOP14" s="38"/>
      <c r="OOQ14" s="38"/>
      <c r="OOR14" s="38"/>
      <c r="OOS14" s="38"/>
      <c r="OOT14" s="38"/>
      <c r="OOU14" s="38"/>
      <c r="OOV14" s="38"/>
      <c r="OOW14" s="38"/>
      <c r="OOX14" s="38"/>
      <c r="OOY14" s="38"/>
      <c r="OOZ14" s="38"/>
      <c r="OPA14" s="38"/>
      <c r="OPB14" s="38"/>
      <c r="OPC14" s="38"/>
      <c r="OPD14" s="38"/>
      <c r="OPE14" s="38"/>
      <c r="OPF14" s="38"/>
      <c r="OPG14" s="38"/>
      <c r="OPH14" s="38"/>
      <c r="OPI14" s="38"/>
      <c r="OPJ14" s="38"/>
      <c r="OPK14" s="38"/>
      <c r="OPL14" s="38"/>
      <c r="OPM14" s="38"/>
      <c r="OPN14" s="38"/>
      <c r="OPO14" s="38"/>
      <c r="OPP14" s="38"/>
      <c r="OPQ14" s="38"/>
      <c r="OPR14" s="38"/>
      <c r="OPS14" s="38"/>
      <c r="OPT14" s="38"/>
      <c r="OPU14" s="38"/>
      <c r="OPV14" s="38"/>
      <c r="OPW14" s="38"/>
      <c r="OPX14" s="38"/>
      <c r="OPY14" s="38"/>
      <c r="OPZ14" s="38"/>
      <c r="OQA14" s="38"/>
      <c r="OQB14" s="38"/>
      <c r="OQC14" s="38"/>
      <c r="OQD14" s="38"/>
      <c r="OQE14" s="38"/>
      <c r="OQF14" s="38"/>
      <c r="OQG14" s="38"/>
      <c r="OQH14" s="38"/>
      <c r="OQI14" s="38"/>
      <c r="OQJ14" s="38"/>
      <c r="OQK14" s="38"/>
      <c r="OQL14" s="38"/>
      <c r="OQM14" s="38"/>
      <c r="OQN14" s="38"/>
      <c r="OQO14" s="38"/>
      <c r="OQP14" s="38"/>
      <c r="OQQ14" s="38"/>
      <c r="OQR14" s="38"/>
      <c r="OQS14" s="38"/>
      <c r="OQT14" s="38"/>
      <c r="OQU14" s="38"/>
      <c r="OQV14" s="38"/>
      <c r="OQW14" s="38"/>
      <c r="OQX14" s="38"/>
      <c r="OQY14" s="38"/>
      <c r="OQZ14" s="38"/>
      <c r="ORA14" s="38"/>
      <c r="ORB14" s="38"/>
      <c r="ORC14" s="38"/>
      <c r="ORD14" s="38"/>
      <c r="ORE14" s="38"/>
      <c r="ORF14" s="38"/>
      <c r="ORG14" s="38"/>
      <c r="ORH14" s="38"/>
      <c r="ORI14" s="38"/>
      <c r="ORJ14" s="38"/>
      <c r="ORK14" s="38"/>
      <c r="ORL14" s="38"/>
      <c r="ORM14" s="38"/>
      <c r="ORN14" s="38"/>
      <c r="ORO14" s="38"/>
      <c r="ORP14" s="38"/>
      <c r="ORQ14" s="38"/>
      <c r="ORR14" s="38"/>
      <c r="ORS14" s="38"/>
      <c r="ORT14" s="38"/>
      <c r="ORU14" s="38"/>
      <c r="ORV14" s="38"/>
      <c r="ORW14" s="38"/>
      <c r="ORX14" s="38"/>
      <c r="ORY14" s="38"/>
      <c r="ORZ14" s="38"/>
      <c r="OSA14" s="38"/>
      <c r="OSB14" s="38"/>
      <c r="OSC14" s="38"/>
      <c r="OSD14" s="38"/>
      <c r="OSE14" s="38"/>
      <c r="OSF14" s="38"/>
      <c r="OSG14" s="38"/>
      <c r="OSH14" s="38"/>
      <c r="OSI14" s="38"/>
      <c r="OSJ14" s="38"/>
      <c r="OSK14" s="38"/>
      <c r="OSL14" s="38"/>
      <c r="OSM14" s="38"/>
      <c r="OSN14" s="38"/>
      <c r="OSO14" s="38"/>
      <c r="OSP14" s="38"/>
      <c r="OSQ14" s="38"/>
      <c r="OSR14" s="38"/>
      <c r="OSS14" s="38"/>
      <c r="OST14" s="38"/>
      <c r="OSU14" s="38"/>
      <c r="OSV14" s="38"/>
      <c r="OSW14" s="38"/>
      <c r="OSX14" s="38"/>
      <c r="OSY14" s="38"/>
      <c r="OSZ14" s="38"/>
      <c r="OTA14" s="38"/>
      <c r="OTB14" s="38"/>
      <c r="OTC14" s="38"/>
      <c r="OTD14" s="38"/>
      <c r="OTE14" s="38"/>
      <c r="OTF14" s="38"/>
      <c r="OTG14" s="38"/>
      <c r="OTH14" s="38"/>
      <c r="OTI14" s="38"/>
      <c r="OTJ14" s="38"/>
      <c r="OTK14" s="38"/>
      <c r="OTL14" s="38"/>
      <c r="OTM14" s="38"/>
      <c r="OTN14" s="38"/>
      <c r="OTO14" s="38"/>
      <c r="OTP14" s="38"/>
      <c r="OTQ14" s="38"/>
      <c r="OTR14" s="38"/>
      <c r="OTS14" s="38"/>
      <c r="OTT14" s="38"/>
      <c r="OTU14" s="38"/>
      <c r="OTV14" s="38"/>
      <c r="OTW14" s="38"/>
      <c r="OTX14" s="38"/>
      <c r="OTY14" s="38"/>
      <c r="OTZ14" s="38"/>
      <c r="OUA14" s="38"/>
      <c r="OUB14" s="38"/>
      <c r="OUC14" s="38"/>
      <c r="OUD14" s="38"/>
      <c r="OUE14" s="38"/>
      <c r="OUF14" s="38"/>
      <c r="OUG14" s="38"/>
      <c r="OUH14" s="38"/>
      <c r="OUI14" s="38"/>
      <c r="OUJ14" s="38"/>
      <c r="OUK14" s="38"/>
      <c r="OUL14" s="38"/>
      <c r="OUM14" s="38"/>
      <c r="OUN14" s="38"/>
      <c r="OUO14" s="38"/>
      <c r="OUP14" s="38"/>
      <c r="OUQ14" s="38"/>
      <c r="OUR14" s="38"/>
      <c r="OUS14" s="38"/>
      <c r="OUT14" s="38"/>
      <c r="OUU14" s="38"/>
      <c r="OUV14" s="38"/>
      <c r="OUW14" s="38"/>
      <c r="OUX14" s="38"/>
      <c r="OUY14" s="38"/>
      <c r="OUZ14" s="38"/>
      <c r="OVA14" s="38"/>
      <c r="OVB14" s="38"/>
      <c r="OVC14" s="38"/>
      <c r="OVD14" s="38"/>
      <c r="OVE14" s="38"/>
      <c r="OVF14" s="38"/>
      <c r="OVG14" s="38"/>
      <c r="OVH14" s="38"/>
      <c r="OVI14" s="38"/>
      <c r="OVJ14" s="38"/>
      <c r="OVK14" s="38"/>
      <c r="OVL14" s="38"/>
      <c r="OVM14" s="38"/>
      <c r="OVN14" s="38"/>
      <c r="OVO14" s="38"/>
      <c r="OVP14" s="38"/>
      <c r="OVQ14" s="38"/>
      <c r="OVR14" s="38"/>
      <c r="OVS14" s="38"/>
      <c r="OVT14" s="38"/>
      <c r="OVU14" s="38"/>
      <c r="OVV14" s="38"/>
      <c r="OVW14" s="38"/>
      <c r="OVX14" s="38"/>
      <c r="OVY14" s="38"/>
      <c r="OVZ14" s="38"/>
      <c r="OWA14" s="38"/>
      <c r="OWB14" s="38"/>
      <c r="OWC14" s="38"/>
      <c r="OWD14" s="38"/>
      <c r="OWE14" s="38"/>
      <c r="OWF14" s="38"/>
      <c r="OWG14" s="38"/>
      <c r="OWH14" s="38"/>
      <c r="OWI14" s="38"/>
      <c r="OWJ14" s="38"/>
      <c r="OWK14" s="38"/>
      <c r="OWL14" s="38"/>
      <c r="OWM14" s="38"/>
      <c r="OWN14" s="38"/>
      <c r="OWO14" s="38"/>
      <c r="OWP14" s="38"/>
      <c r="OWQ14" s="38"/>
      <c r="OWR14" s="38"/>
      <c r="OWS14" s="38"/>
      <c r="OWT14" s="38"/>
      <c r="OWU14" s="38"/>
      <c r="OWV14" s="38"/>
      <c r="OWW14" s="38"/>
      <c r="OWX14" s="38"/>
      <c r="OWY14" s="38"/>
      <c r="OWZ14" s="38"/>
      <c r="OXA14" s="38"/>
      <c r="OXB14" s="38"/>
      <c r="OXC14" s="38"/>
      <c r="OXD14" s="38"/>
      <c r="OXE14" s="38"/>
      <c r="OXF14" s="38"/>
      <c r="OXG14" s="38"/>
      <c r="OXH14" s="38"/>
      <c r="OXI14" s="38"/>
      <c r="OXJ14" s="38"/>
      <c r="OXK14" s="38"/>
      <c r="OXL14" s="38"/>
      <c r="OXM14" s="38"/>
      <c r="OXN14" s="38"/>
      <c r="OXO14" s="38"/>
      <c r="OXP14" s="38"/>
      <c r="OXQ14" s="38"/>
      <c r="OXR14" s="38"/>
      <c r="OXS14" s="38"/>
      <c r="OXT14" s="38"/>
      <c r="OXU14" s="38"/>
      <c r="OXV14" s="38"/>
      <c r="OXW14" s="38"/>
      <c r="OXX14" s="38"/>
      <c r="OXY14" s="38"/>
      <c r="OXZ14" s="38"/>
      <c r="OYA14" s="38"/>
      <c r="OYB14" s="38"/>
      <c r="OYC14" s="38"/>
      <c r="OYD14" s="38"/>
      <c r="OYE14" s="38"/>
      <c r="OYF14" s="38"/>
      <c r="OYG14" s="38"/>
      <c r="OYH14" s="38"/>
      <c r="OYI14" s="38"/>
      <c r="OYJ14" s="38"/>
      <c r="OYK14" s="38"/>
      <c r="OYL14" s="38"/>
      <c r="OYM14" s="38"/>
      <c r="OYN14" s="38"/>
      <c r="OYO14" s="38"/>
      <c r="OYP14" s="38"/>
      <c r="OYQ14" s="38"/>
      <c r="OYR14" s="38"/>
      <c r="OYS14" s="38"/>
      <c r="OYT14" s="38"/>
      <c r="OYU14" s="38"/>
      <c r="OYV14" s="38"/>
      <c r="OYW14" s="38"/>
      <c r="OYX14" s="38"/>
      <c r="OYY14" s="38"/>
      <c r="OYZ14" s="38"/>
      <c r="OZA14" s="38"/>
      <c r="OZB14" s="38"/>
      <c r="OZC14" s="38"/>
      <c r="OZD14" s="38"/>
      <c r="OZE14" s="38"/>
      <c r="OZF14" s="38"/>
      <c r="OZG14" s="38"/>
      <c r="OZH14" s="38"/>
      <c r="OZI14" s="38"/>
      <c r="OZJ14" s="38"/>
      <c r="OZK14" s="38"/>
      <c r="OZL14" s="38"/>
      <c r="OZM14" s="38"/>
      <c r="OZN14" s="38"/>
      <c r="OZO14" s="38"/>
      <c r="OZP14" s="38"/>
      <c r="OZQ14" s="38"/>
      <c r="OZR14" s="38"/>
      <c r="OZS14" s="38"/>
      <c r="OZT14" s="38"/>
      <c r="OZU14" s="38"/>
      <c r="OZV14" s="38"/>
      <c r="OZW14" s="38"/>
      <c r="OZX14" s="38"/>
      <c r="OZY14" s="38"/>
      <c r="OZZ14" s="38"/>
      <c r="PAA14" s="38"/>
      <c r="PAB14" s="38"/>
      <c r="PAC14" s="38"/>
      <c r="PAD14" s="38"/>
      <c r="PAE14" s="38"/>
      <c r="PAF14" s="38"/>
      <c r="PAG14" s="38"/>
      <c r="PAH14" s="38"/>
      <c r="PAI14" s="38"/>
      <c r="PAJ14" s="38"/>
      <c r="PAK14" s="38"/>
      <c r="PAL14" s="38"/>
      <c r="PAM14" s="38"/>
      <c r="PAN14" s="38"/>
      <c r="PAO14" s="38"/>
      <c r="PAP14" s="38"/>
      <c r="PAQ14" s="38"/>
      <c r="PAR14" s="38"/>
      <c r="PAS14" s="38"/>
      <c r="PAT14" s="38"/>
      <c r="PAU14" s="38"/>
      <c r="PAV14" s="38"/>
      <c r="PAW14" s="38"/>
      <c r="PAX14" s="38"/>
      <c r="PAY14" s="38"/>
      <c r="PAZ14" s="38"/>
      <c r="PBA14" s="38"/>
      <c r="PBB14" s="38"/>
      <c r="PBC14" s="38"/>
      <c r="PBD14" s="38"/>
      <c r="PBE14" s="38"/>
      <c r="PBF14" s="38"/>
      <c r="PBG14" s="38"/>
      <c r="PBH14" s="38"/>
      <c r="PBI14" s="38"/>
      <c r="PBJ14" s="38"/>
      <c r="PBK14" s="38"/>
      <c r="PBL14" s="38"/>
      <c r="PBM14" s="38"/>
      <c r="PBN14" s="38"/>
      <c r="PBO14" s="38"/>
      <c r="PBP14" s="38"/>
      <c r="PBQ14" s="38"/>
      <c r="PBR14" s="38"/>
      <c r="PBS14" s="38"/>
      <c r="PBT14" s="38"/>
      <c r="PBU14" s="38"/>
      <c r="PBV14" s="38"/>
      <c r="PBW14" s="38"/>
      <c r="PBX14" s="38"/>
      <c r="PBY14" s="38"/>
      <c r="PBZ14" s="38"/>
      <c r="PCA14" s="38"/>
      <c r="PCB14" s="38"/>
      <c r="PCC14" s="38"/>
      <c r="PCD14" s="38"/>
      <c r="PCE14" s="38"/>
      <c r="PCF14" s="38"/>
      <c r="PCG14" s="38"/>
      <c r="PCH14" s="38"/>
      <c r="PCI14" s="38"/>
      <c r="PCJ14" s="38"/>
      <c r="PCK14" s="38"/>
      <c r="PCL14" s="38"/>
      <c r="PCM14" s="38"/>
      <c r="PCN14" s="38"/>
      <c r="PCO14" s="38"/>
      <c r="PCP14" s="38"/>
      <c r="PCQ14" s="38"/>
      <c r="PCR14" s="38"/>
      <c r="PCS14" s="38"/>
      <c r="PCT14" s="38"/>
      <c r="PCU14" s="38"/>
      <c r="PCV14" s="38"/>
      <c r="PCW14" s="38"/>
      <c r="PCX14" s="38"/>
      <c r="PCY14" s="38"/>
      <c r="PCZ14" s="38"/>
      <c r="PDA14" s="38"/>
      <c r="PDB14" s="38"/>
      <c r="PDC14" s="38"/>
      <c r="PDD14" s="38"/>
      <c r="PDE14" s="38"/>
      <c r="PDF14" s="38"/>
      <c r="PDG14" s="38"/>
      <c r="PDH14" s="38"/>
      <c r="PDI14" s="38"/>
      <c r="PDJ14" s="38"/>
      <c r="PDK14" s="38"/>
      <c r="PDL14" s="38"/>
      <c r="PDM14" s="38"/>
      <c r="PDN14" s="38"/>
      <c r="PDO14" s="38"/>
      <c r="PDP14" s="38"/>
      <c r="PDQ14" s="38"/>
      <c r="PDR14" s="38"/>
      <c r="PDS14" s="38"/>
      <c r="PDT14" s="38"/>
      <c r="PDU14" s="38"/>
      <c r="PDV14" s="38"/>
      <c r="PDW14" s="38"/>
      <c r="PDX14" s="38"/>
      <c r="PDY14" s="38"/>
      <c r="PDZ14" s="38"/>
      <c r="PEA14" s="38"/>
      <c r="PEB14" s="38"/>
      <c r="PEC14" s="38"/>
      <c r="PED14" s="38"/>
      <c r="PEE14" s="38"/>
      <c r="PEF14" s="38"/>
      <c r="PEG14" s="38"/>
      <c r="PEH14" s="38"/>
      <c r="PEI14" s="38"/>
      <c r="PEJ14" s="38"/>
      <c r="PEK14" s="38"/>
      <c r="PEL14" s="38"/>
      <c r="PEM14" s="38"/>
      <c r="PEN14" s="38"/>
      <c r="PEO14" s="38"/>
      <c r="PEP14" s="38"/>
      <c r="PEQ14" s="38"/>
      <c r="PER14" s="38"/>
      <c r="PES14" s="38"/>
      <c r="PET14" s="38"/>
      <c r="PEU14" s="38"/>
      <c r="PEV14" s="38"/>
      <c r="PEW14" s="38"/>
      <c r="PEX14" s="38"/>
      <c r="PEY14" s="38"/>
      <c r="PEZ14" s="38"/>
      <c r="PFA14" s="38"/>
      <c r="PFB14" s="38"/>
      <c r="PFC14" s="38"/>
      <c r="PFD14" s="38"/>
      <c r="PFE14" s="38"/>
      <c r="PFF14" s="38"/>
      <c r="PFG14" s="38"/>
      <c r="PFH14" s="38"/>
      <c r="PFI14" s="38"/>
      <c r="PFJ14" s="38"/>
      <c r="PFK14" s="38"/>
      <c r="PFL14" s="38"/>
      <c r="PFM14" s="38"/>
      <c r="PFN14" s="38"/>
      <c r="PFO14" s="38"/>
      <c r="PFP14" s="38"/>
      <c r="PFQ14" s="38"/>
      <c r="PFR14" s="38"/>
      <c r="PFS14" s="38"/>
      <c r="PFT14" s="38"/>
      <c r="PFU14" s="38"/>
      <c r="PFV14" s="38"/>
      <c r="PFW14" s="38"/>
      <c r="PFX14" s="38"/>
      <c r="PFY14" s="38"/>
      <c r="PFZ14" s="38"/>
      <c r="PGA14" s="38"/>
      <c r="PGB14" s="38"/>
      <c r="PGC14" s="38"/>
      <c r="PGD14" s="38"/>
      <c r="PGE14" s="38"/>
      <c r="PGF14" s="38"/>
      <c r="PGG14" s="38"/>
      <c r="PGH14" s="38"/>
      <c r="PGI14" s="38"/>
      <c r="PGJ14" s="38"/>
      <c r="PGK14" s="38"/>
      <c r="PGL14" s="38"/>
      <c r="PGM14" s="38"/>
      <c r="PGN14" s="38"/>
      <c r="PGO14" s="38"/>
      <c r="PGP14" s="38"/>
      <c r="PGQ14" s="38"/>
      <c r="PGR14" s="38"/>
      <c r="PGS14" s="38"/>
      <c r="PGT14" s="38"/>
      <c r="PGU14" s="38"/>
      <c r="PGV14" s="38"/>
      <c r="PGW14" s="38"/>
      <c r="PGX14" s="38"/>
      <c r="PGY14" s="38"/>
      <c r="PGZ14" s="38"/>
      <c r="PHA14" s="38"/>
      <c r="PHB14" s="38"/>
      <c r="PHC14" s="38"/>
      <c r="PHD14" s="38"/>
      <c r="PHE14" s="38"/>
      <c r="PHF14" s="38"/>
      <c r="PHG14" s="38"/>
      <c r="PHH14" s="38"/>
      <c r="PHI14" s="38"/>
      <c r="PHJ14" s="38"/>
      <c r="PHK14" s="38"/>
      <c r="PHL14" s="38"/>
      <c r="PHM14" s="38"/>
      <c r="PHN14" s="38"/>
      <c r="PHO14" s="38"/>
      <c r="PHP14" s="38"/>
      <c r="PHQ14" s="38"/>
      <c r="PHR14" s="38"/>
      <c r="PHS14" s="38"/>
      <c r="PHT14" s="38"/>
      <c r="PHU14" s="38"/>
      <c r="PHV14" s="38"/>
      <c r="PHW14" s="38"/>
      <c r="PHX14" s="38"/>
      <c r="PHY14" s="38"/>
      <c r="PHZ14" s="38"/>
      <c r="PIA14" s="38"/>
      <c r="PIB14" s="38"/>
      <c r="PIC14" s="38"/>
      <c r="PID14" s="38"/>
      <c r="PIE14" s="38"/>
      <c r="PIF14" s="38"/>
      <c r="PIG14" s="38"/>
      <c r="PIH14" s="38"/>
      <c r="PII14" s="38"/>
      <c r="PIJ14" s="38"/>
      <c r="PIK14" s="38"/>
      <c r="PIL14" s="38"/>
      <c r="PIM14" s="38"/>
      <c r="PIN14" s="38"/>
      <c r="PIO14" s="38"/>
      <c r="PIP14" s="38"/>
      <c r="PIQ14" s="38"/>
      <c r="PIR14" s="38"/>
      <c r="PIS14" s="38"/>
      <c r="PIT14" s="38"/>
      <c r="PIU14" s="38"/>
      <c r="PIV14" s="38"/>
      <c r="PIW14" s="38"/>
      <c r="PIX14" s="38"/>
      <c r="PIY14" s="38"/>
      <c r="PIZ14" s="38"/>
      <c r="PJA14" s="38"/>
      <c r="PJB14" s="38"/>
      <c r="PJC14" s="38"/>
      <c r="PJD14" s="38"/>
      <c r="PJE14" s="38"/>
      <c r="PJF14" s="38"/>
      <c r="PJG14" s="38"/>
      <c r="PJH14" s="38"/>
      <c r="PJI14" s="38"/>
      <c r="PJJ14" s="38"/>
      <c r="PJK14" s="38"/>
      <c r="PJL14" s="38"/>
      <c r="PJM14" s="38"/>
      <c r="PJN14" s="38"/>
      <c r="PJO14" s="38"/>
      <c r="PJP14" s="38"/>
      <c r="PJQ14" s="38"/>
      <c r="PJR14" s="38"/>
      <c r="PJS14" s="38"/>
      <c r="PJT14" s="38"/>
      <c r="PJU14" s="38"/>
      <c r="PJV14" s="38"/>
      <c r="PJW14" s="38"/>
      <c r="PJX14" s="38"/>
      <c r="PJY14" s="38"/>
      <c r="PJZ14" s="38"/>
      <c r="PKA14" s="38"/>
      <c r="PKB14" s="38"/>
      <c r="PKC14" s="38"/>
      <c r="PKD14" s="38"/>
      <c r="PKE14" s="38"/>
      <c r="PKF14" s="38"/>
      <c r="PKG14" s="38"/>
      <c r="PKH14" s="38"/>
      <c r="PKI14" s="38"/>
      <c r="PKJ14" s="38"/>
      <c r="PKK14" s="38"/>
      <c r="PKL14" s="38"/>
      <c r="PKM14" s="38"/>
      <c r="PKN14" s="38"/>
      <c r="PKO14" s="38"/>
      <c r="PKP14" s="38"/>
      <c r="PKQ14" s="38"/>
      <c r="PKR14" s="38"/>
      <c r="PKS14" s="38"/>
      <c r="PKT14" s="38"/>
      <c r="PKU14" s="38"/>
      <c r="PKV14" s="38"/>
      <c r="PKW14" s="38"/>
      <c r="PKX14" s="38"/>
      <c r="PKY14" s="38"/>
      <c r="PKZ14" s="38"/>
      <c r="PLA14" s="38"/>
      <c r="PLB14" s="38"/>
      <c r="PLC14" s="38"/>
      <c r="PLD14" s="38"/>
      <c r="PLE14" s="38"/>
      <c r="PLF14" s="38"/>
      <c r="PLG14" s="38"/>
      <c r="PLH14" s="38"/>
      <c r="PLI14" s="38"/>
      <c r="PLJ14" s="38"/>
      <c r="PLK14" s="38"/>
      <c r="PLL14" s="38"/>
      <c r="PLM14" s="38"/>
      <c r="PLN14" s="38"/>
      <c r="PLO14" s="38"/>
      <c r="PLP14" s="38"/>
      <c r="PLQ14" s="38"/>
      <c r="PLR14" s="38"/>
      <c r="PLS14" s="38"/>
      <c r="PLT14" s="38"/>
      <c r="PLU14" s="38"/>
      <c r="PLV14" s="38"/>
      <c r="PLW14" s="38"/>
      <c r="PLX14" s="38"/>
      <c r="PLY14" s="38"/>
      <c r="PLZ14" s="38"/>
      <c r="PMA14" s="38"/>
      <c r="PMB14" s="38"/>
      <c r="PMC14" s="38"/>
      <c r="PMD14" s="38"/>
      <c r="PME14" s="38"/>
      <c r="PMF14" s="38"/>
      <c r="PMG14" s="38"/>
      <c r="PMH14" s="38"/>
      <c r="PMI14" s="38"/>
      <c r="PMJ14" s="38"/>
      <c r="PMK14" s="38"/>
      <c r="PML14" s="38"/>
      <c r="PMM14" s="38"/>
      <c r="PMN14" s="38"/>
      <c r="PMO14" s="38"/>
      <c r="PMP14" s="38"/>
      <c r="PMQ14" s="38"/>
      <c r="PMR14" s="38"/>
      <c r="PMS14" s="38"/>
      <c r="PMT14" s="38"/>
      <c r="PMU14" s="38"/>
      <c r="PMV14" s="38"/>
      <c r="PMW14" s="38"/>
      <c r="PMX14" s="38"/>
      <c r="PMY14" s="38"/>
      <c r="PMZ14" s="38"/>
      <c r="PNA14" s="38"/>
      <c r="PNB14" s="38"/>
      <c r="PNC14" s="38"/>
      <c r="PND14" s="38"/>
      <c r="PNE14" s="38"/>
      <c r="PNF14" s="38"/>
      <c r="PNG14" s="38"/>
      <c r="PNH14" s="38"/>
      <c r="PNI14" s="38"/>
      <c r="PNJ14" s="38"/>
      <c r="PNK14" s="38"/>
      <c r="PNL14" s="38"/>
      <c r="PNM14" s="38"/>
      <c r="PNN14" s="38"/>
      <c r="PNO14" s="38"/>
      <c r="PNP14" s="38"/>
      <c r="PNQ14" s="38"/>
      <c r="PNR14" s="38"/>
      <c r="PNS14" s="38"/>
      <c r="PNT14" s="38"/>
      <c r="PNU14" s="38"/>
      <c r="PNV14" s="38"/>
      <c r="PNW14" s="38"/>
      <c r="PNX14" s="38"/>
      <c r="PNY14" s="38"/>
      <c r="PNZ14" s="38"/>
      <c r="POA14" s="38"/>
      <c r="POB14" s="38"/>
      <c r="POC14" s="38"/>
      <c r="POD14" s="38"/>
      <c r="POE14" s="38"/>
      <c r="POF14" s="38"/>
      <c r="POG14" s="38"/>
      <c r="POH14" s="38"/>
      <c r="POI14" s="38"/>
      <c r="POJ14" s="38"/>
      <c r="POK14" s="38"/>
      <c r="POL14" s="38"/>
      <c r="POM14" s="38"/>
      <c r="PON14" s="38"/>
      <c r="POO14" s="38"/>
      <c r="POP14" s="38"/>
      <c r="POQ14" s="38"/>
      <c r="POR14" s="38"/>
      <c r="POS14" s="38"/>
      <c r="POT14" s="38"/>
      <c r="POU14" s="38"/>
      <c r="POV14" s="38"/>
      <c r="POW14" s="38"/>
      <c r="POX14" s="38"/>
      <c r="POY14" s="38"/>
      <c r="POZ14" s="38"/>
      <c r="PPA14" s="38"/>
      <c r="PPB14" s="38"/>
      <c r="PPC14" s="38"/>
      <c r="PPD14" s="38"/>
      <c r="PPE14" s="38"/>
      <c r="PPF14" s="38"/>
      <c r="PPG14" s="38"/>
      <c r="PPH14" s="38"/>
      <c r="PPI14" s="38"/>
      <c r="PPJ14" s="38"/>
      <c r="PPK14" s="38"/>
      <c r="PPL14" s="38"/>
      <c r="PPM14" s="38"/>
      <c r="PPN14" s="38"/>
      <c r="PPO14" s="38"/>
      <c r="PPP14" s="38"/>
      <c r="PPQ14" s="38"/>
      <c r="PPR14" s="38"/>
      <c r="PPS14" s="38"/>
      <c r="PPT14" s="38"/>
      <c r="PPU14" s="38"/>
      <c r="PPV14" s="38"/>
      <c r="PPW14" s="38"/>
      <c r="PPX14" s="38"/>
      <c r="PPY14" s="38"/>
      <c r="PPZ14" s="38"/>
      <c r="PQA14" s="38"/>
      <c r="PQB14" s="38"/>
      <c r="PQC14" s="38"/>
      <c r="PQD14" s="38"/>
      <c r="PQE14" s="38"/>
      <c r="PQF14" s="38"/>
      <c r="PQG14" s="38"/>
      <c r="PQH14" s="38"/>
      <c r="PQI14" s="38"/>
      <c r="PQJ14" s="38"/>
      <c r="PQK14" s="38"/>
      <c r="PQL14" s="38"/>
      <c r="PQM14" s="38"/>
      <c r="PQN14" s="38"/>
      <c r="PQO14" s="38"/>
      <c r="PQP14" s="38"/>
      <c r="PQQ14" s="38"/>
      <c r="PQR14" s="38"/>
      <c r="PQS14" s="38"/>
      <c r="PQT14" s="38"/>
      <c r="PQU14" s="38"/>
      <c r="PQV14" s="38"/>
      <c r="PQW14" s="38"/>
      <c r="PQX14" s="38"/>
      <c r="PQY14" s="38"/>
      <c r="PQZ14" s="38"/>
      <c r="PRA14" s="38"/>
      <c r="PRB14" s="38"/>
      <c r="PRC14" s="38"/>
      <c r="PRD14" s="38"/>
      <c r="PRE14" s="38"/>
      <c r="PRF14" s="38"/>
      <c r="PRG14" s="38"/>
      <c r="PRH14" s="38"/>
      <c r="PRI14" s="38"/>
      <c r="PRJ14" s="38"/>
      <c r="PRK14" s="38"/>
      <c r="PRL14" s="38"/>
      <c r="PRM14" s="38"/>
      <c r="PRN14" s="38"/>
      <c r="PRO14" s="38"/>
      <c r="PRP14" s="38"/>
      <c r="PRQ14" s="38"/>
      <c r="PRR14" s="38"/>
      <c r="PRS14" s="38"/>
      <c r="PRT14" s="38"/>
      <c r="PRU14" s="38"/>
      <c r="PRV14" s="38"/>
      <c r="PRW14" s="38"/>
      <c r="PRX14" s="38"/>
      <c r="PRY14" s="38"/>
      <c r="PRZ14" s="38"/>
      <c r="PSA14" s="38"/>
      <c r="PSB14" s="38"/>
      <c r="PSC14" s="38"/>
      <c r="PSD14" s="38"/>
      <c r="PSE14" s="38"/>
      <c r="PSF14" s="38"/>
      <c r="PSG14" s="38"/>
      <c r="PSH14" s="38"/>
      <c r="PSI14" s="38"/>
      <c r="PSJ14" s="38"/>
      <c r="PSK14" s="38"/>
      <c r="PSL14" s="38"/>
      <c r="PSM14" s="38"/>
      <c r="PSN14" s="38"/>
      <c r="PSO14" s="38"/>
      <c r="PSP14" s="38"/>
      <c r="PSQ14" s="38"/>
      <c r="PSR14" s="38"/>
      <c r="PSS14" s="38"/>
      <c r="PST14" s="38"/>
      <c r="PSU14" s="38"/>
      <c r="PSV14" s="38"/>
      <c r="PSW14" s="38"/>
      <c r="PSX14" s="38"/>
      <c r="PSY14" s="38"/>
      <c r="PSZ14" s="38"/>
      <c r="PTA14" s="38"/>
      <c r="PTB14" s="38"/>
      <c r="PTC14" s="38"/>
      <c r="PTD14" s="38"/>
      <c r="PTE14" s="38"/>
      <c r="PTF14" s="38"/>
      <c r="PTG14" s="38"/>
      <c r="PTH14" s="38"/>
      <c r="PTI14" s="38"/>
      <c r="PTJ14" s="38"/>
      <c r="PTK14" s="38"/>
      <c r="PTL14" s="38"/>
      <c r="PTM14" s="38"/>
      <c r="PTN14" s="38"/>
      <c r="PTO14" s="38"/>
      <c r="PTP14" s="38"/>
      <c r="PTQ14" s="38"/>
      <c r="PTR14" s="38"/>
      <c r="PTS14" s="38"/>
      <c r="PTT14" s="38"/>
      <c r="PTU14" s="38"/>
      <c r="PTV14" s="38"/>
      <c r="PTW14" s="38"/>
      <c r="PTX14" s="38"/>
      <c r="PTY14" s="38"/>
      <c r="PTZ14" s="38"/>
      <c r="PUA14" s="38"/>
      <c r="PUB14" s="38"/>
      <c r="PUC14" s="38"/>
      <c r="PUD14" s="38"/>
      <c r="PUE14" s="38"/>
      <c r="PUF14" s="38"/>
      <c r="PUG14" s="38"/>
      <c r="PUH14" s="38"/>
      <c r="PUI14" s="38"/>
      <c r="PUJ14" s="38"/>
      <c r="PUK14" s="38"/>
      <c r="PUL14" s="38"/>
      <c r="PUM14" s="38"/>
      <c r="PUN14" s="38"/>
      <c r="PUO14" s="38"/>
      <c r="PUP14" s="38"/>
      <c r="PUQ14" s="38"/>
      <c r="PUR14" s="38"/>
      <c r="PUS14" s="38"/>
      <c r="PUT14" s="38"/>
      <c r="PUU14" s="38"/>
      <c r="PUV14" s="38"/>
      <c r="PUW14" s="38"/>
      <c r="PUX14" s="38"/>
      <c r="PUY14" s="38"/>
      <c r="PUZ14" s="38"/>
      <c r="PVA14" s="38"/>
      <c r="PVB14" s="38"/>
      <c r="PVC14" s="38"/>
      <c r="PVD14" s="38"/>
      <c r="PVE14" s="38"/>
      <c r="PVF14" s="38"/>
      <c r="PVG14" s="38"/>
      <c r="PVH14" s="38"/>
      <c r="PVI14" s="38"/>
      <c r="PVJ14" s="38"/>
      <c r="PVK14" s="38"/>
      <c r="PVL14" s="38"/>
      <c r="PVM14" s="38"/>
      <c r="PVN14" s="38"/>
      <c r="PVO14" s="38"/>
      <c r="PVP14" s="38"/>
      <c r="PVQ14" s="38"/>
      <c r="PVR14" s="38"/>
      <c r="PVS14" s="38"/>
      <c r="PVT14" s="38"/>
      <c r="PVU14" s="38"/>
      <c r="PVV14" s="38"/>
      <c r="PVW14" s="38"/>
      <c r="PVX14" s="38"/>
      <c r="PVY14" s="38"/>
      <c r="PVZ14" s="38"/>
      <c r="PWA14" s="38"/>
      <c r="PWB14" s="38"/>
      <c r="PWC14" s="38"/>
      <c r="PWD14" s="38"/>
      <c r="PWE14" s="38"/>
      <c r="PWF14" s="38"/>
      <c r="PWG14" s="38"/>
      <c r="PWH14" s="38"/>
      <c r="PWI14" s="38"/>
      <c r="PWJ14" s="38"/>
      <c r="PWK14" s="38"/>
      <c r="PWL14" s="38"/>
      <c r="PWM14" s="38"/>
      <c r="PWN14" s="38"/>
      <c r="PWO14" s="38"/>
      <c r="PWP14" s="38"/>
      <c r="PWQ14" s="38"/>
      <c r="PWR14" s="38"/>
      <c r="PWS14" s="38"/>
      <c r="PWT14" s="38"/>
      <c r="PWU14" s="38"/>
      <c r="PWV14" s="38"/>
      <c r="PWW14" s="38"/>
      <c r="PWX14" s="38"/>
      <c r="PWY14" s="38"/>
      <c r="PWZ14" s="38"/>
      <c r="PXA14" s="38"/>
      <c r="PXB14" s="38"/>
      <c r="PXC14" s="38"/>
      <c r="PXD14" s="38"/>
      <c r="PXE14" s="38"/>
      <c r="PXF14" s="38"/>
      <c r="PXG14" s="38"/>
      <c r="PXH14" s="38"/>
      <c r="PXI14" s="38"/>
      <c r="PXJ14" s="38"/>
      <c r="PXK14" s="38"/>
      <c r="PXL14" s="38"/>
      <c r="PXM14" s="38"/>
      <c r="PXN14" s="38"/>
      <c r="PXO14" s="38"/>
      <c r="PXP14" s="38"/>
      <c r="PXQ14" s="38"/>
      <c r="PXR14" s="38"/>
      <c r="PXS14" s="38"/>
      <c r="PXT14" s="38"/>
      <c r="PXU14" s="38"/>
      <c r="PXV14" s="38"/>
      <c r="PXW14" s="38"/>
      <c r="PXX14" s="38"/>
      <c r="PXY14" s="38"/>
      <c r="PXZ14" s="38"/>
      <c r="PYA14" s="38"/>
      <c r="PYB14" s="38"/>
      <c r="PYC14" s="38"/>
      <c r="PYD14" s="38"/>
      <c r="PYE14" s="38"/>
      <c r="PYF14" s="38"/>
      <c r="PYG14" s="38"/>
      <c r="PYH14" s="38"/>
      <c r="PYI14" s="38"/>
      <c r="PYJ14" s="38"/>
      <c r="PYK14" s="38"/>
      <c r="PYL14" s="38"/>
      <c r="PYM14" s="38"/>
      <c r="PYN14" s="38"/>
      <c r="PYO14" s="38"/>
      <c r="PYP14" s="38"/>
      <c r="PYQ14" s="38"/>
      <c r="PYR14" s="38"/>
      <c r="PYS14" s="38"/>
      <c r="PYT14" s="38"/>
      <c r="PYU14" s="38"/>
      <c r="PYV14" s="38"/>
      <c r="PYW14" s="38"/>
      <c r="PYX14" s="38"/>
      <c r="PYY14" s="38"/>
      <c r="PYZ14" s="38"/>
      <c r="PZA14" s="38"/>
      <c r="PZB14" s="38"/>
      <c r="PZC14" s="38"/>
      <c r="PZD14" s="38"/>
      <c r="PZE14" s="38"/>
      <c r="PZF14" s="38"/>
      <c r="PZG14" s="38"/>
      <c r="PZH14" s="38"/>
      <c r="PZI14" s="38"/>
      <c r="PZJ14" s="38"/>
      <c r="PZK14" s="38"/>
      <c r="PZL14" s="38"/>
      <c r="PZM14" s="38"/>
      <c r="PZN14" s="38"/>
      <c r="PZO14" s="38"/>
      <c r="PZP14" s="38"/>
      <c r="PZQ14" s="38"/>
      <c r="PZR14" s="38"/>
      <c r="PZS14" s="38"/>
      <c r="PZT14" s="38"/>
      <c r="PZU14" s="38"/>
      <c r="PZV14" s="38"/>
      <c r="PZW14" s="38"/>
      <c r="PZX14" s="38"/>
      <c r="PZY14" s="38"/>
      <c r="PZZ14" s="38"/>
      <c r="QAA14" s="38"/>
      <c r="QAB14" s="38"/>
      <c r="QAC14" s="38"/>
      <c r="QAD14" s="38"/>
      <c r="QAE14" s="38"/>
      <c r="QAF14" s="38"/>
      <c r="QAG14" s="38"/>
      <c r="QAH14" s="38"/>
      <c r="QAI14" s="38"/>
      <c r="QAJ14" s="38"/>
      <c r="QAK14" s="38"/>
      <c r="QAL14" s="38"/>
      <c r="QAM14" s="38"/>
      <c r="QAN14" s="38"/>
      <c r="QAO14" s="38"/>
      <c r="QAP14" s="38"/>
      <c r="QAQ14" s="38"/>
      <c r="QAR14" s="38"/>
      <c r="QAS14" s="38"/>
      <c r="QAT14" s="38"/>
      <c r="QAU14" s="38"/>
      <c r="QAV14" s="38"/>
      <c r="QAW14" s="38"/>
      <c r="QAX14" s="38"/>
      <c r="QAY14" s="38"/>
      <c r="QAZ14" s="38"/>
      <c r="QBA14" s="38"/>
      <c r="QBB14" s="38"/>
      <c r="QBC14" s="38"/>
      <c r="QBD14" s="38"/>
      <c r="QBE14" s="38"/>
      <c r="QBF14" s="38"/>
      <c r="QBG14" s="38"/>
      <c r="QBH14" s="38"/>
      <c r="QBI14" s="38"/>
      <c r="QBJ14" s="38"/>
      <c r="QBK14" s="38"/>
      <c r="QBL14" s="38"/>
      <c r="QBM14" s="38"/>
      <c r="QBN14" s="38"/>
      <c r="QBO14" s="38"/>
      <c r="QBP14" s="38"/>
      <c r="QBQ14" s="38"/>
      <c r="QBR14" s="38"/>
      <c r="QBS14" s="38"/>
      <c r="QBT14" s="38"/>
      <c r="QBU14" s="38"/>
      <c r="QBV14" s="38"/>
      <c r="QBW14" s="38"/>
      <c r="QBX14" s="38"/>
      <c r="QBY14" s="38"/>
      <c r="QBZ14" s="38"/>
      <c r="QCA14" s="38"/>
      <c r="QCB14" s="38"/>
      <c r="QCC14" s="38"/>
      <c r="QCD14" s="38"/>
      <c r="QCE14" s="38"/>
      <c r="QCF14" s="38"/>
      <c r="QCG14" s="38"/>
      <c r="QCH14" s="38"/>
      <c r="QCI14" s="38"/>
      <c r="QCJ14" s="38"/>
      <c r="QCK14" s="38"/>
      <c r="QCL14" s="38"/>
      <c r="QCM14" s="38"/>
      <c r="QCN14" s="38"/>
      <c r="QCO14" s="38"/>
      <c r="QCP14" s="38"/>
      <c r="QCQ14" s="38"/>
      <c r="QCR14" s="38"/>
      <c r="QCS14" s="38"/>
      <c r="QCT14" s="38"/>
      <c r="QCU14" s="38"/>
      <c r="QCV14" s="38"/>
      <c r="QCW14" s="38"/>
      <c r="QCX14" s="38"/>
      <c r="QCY14" s="38"/>
      <c r="QCZ14" s="38"/>
      <c r="QDA14" s="38"/>
      <c r="QDB14" s="38"/>
      <c r="QDC14" s="38"/>
      <c r="QDD14" s="38"/>
      <c r="QDE14" s="38"/>
      <c r="QDF14" s="38"/>
      <c r="QDG14" s="38"/>
      <c r="QDH14" s="38"/>
      <c r="QDI14" s="38"/>
      <c r="QDJ14" s="38"/>
      <c r="QDK14" s="38"/>
      <c r="QDL14" s="38"/>
      <c r="QDM14" s="38"/>
      <c r="QDN14" s="38"/>
      <c r="QDO14" s="38"/>
      <c r="QDP14" s="38"/>
      <c r="QDQ14" s="38"/>
      <c r="QDR14" s="38"/>
      <c r="QDS14" s="38"/>
      <c r="QDT14" s="38"/>
      <c r="QDU14" s="38"/>
      <c r="QDV14" s="38"/>
      <c r="QDW14" s="38"/>
      <c r="QDX14" s="38"/>
      <c r="QDY14" s="38"/>
      <c r="QDZ14" s="38"/>
      <c r="QEA14" s="38"/>
      <c r="QEB14" s="38"/>
      <c r="QEC14" s="38"/>
      <c r="QED14" s="38"/>
      <c r="QEE14" s="38"/>
      <c r="QEF14" s="38"/>
      <c r="QEG14" s="38"/>
      <c r="QEH14" s="38"/>
      <c r="QEI14" s="38"/>
      <c r="QEJ14" s="38"/>
      <c r="QEK14" s="38"/>
      <c r="QEL14" s="38"/>
      <c r="QEM14" s="38"/>
      <c r="QEN14" s="38"/>
      <c r="QEO14" s="38"/>
      <c r="QEP14" s="38"/>
      <c r="QEQ14" s="38"/>
      <c r="QER14" s="38"/>
      <c r="QES14" s="38"/>
      <c r="QET14" s="38"/>
      <c r="QEU14" s="38"/>
      <c r="QEV14" s="38"/>
      <c r="QEW14" s="38"/>
      <c r="QEX14" s="38"/>
      <c r="QEY14" s="38"/>
      <c r="QEZ14" s="38"/>
      <c r="QFA14" s="38"/>
      <c r="QFB14" s="38"/>
      <c r="QFC14" s="38"/>
      <c r="QFD14" s="38"/>
      <c r="QFE14" s="38"/>
      <c r="QFF14" s="38"/>
      <c r="QFG14" s="38"/>
      <c r="QFH14" s="38"/>
      <c r="QFI14" s="38"/>
      <c r="QFJ14" s="38"/>
      <c r="QFK14" s="38"/>
      <c r="QFL14" s="38"/>
      <c r="QFM14" s="38"/>
      <c r="QFN14" s="38"/>
      <c r="QFO14" s="38"/>
      <c r="QFP14" s="38"/>
      <c r="QFQ14" s="38"/>
      <c r="QFR14" s="38"/>
      <c r="QFS14" s="38"/>
      <c r="QFT14" s="38"/>
      <c r="QFU14" s="38"/>
      <c r="QFV14" s="38"/>
      <c r="QFW14" s="38"/>
      <c r="QFX14" s="38"/>
      <c r="QFY14" s="38"/>
      <c r="QFZ14" s="38"/>
      <c r="QGA14" s="38"/>
      <c r="QGB14" s="38"/>
      <c r="QGC14" s="38"/>
      <c r="QGD14" s="38"/>
      <c r="QGE14" s="38"/>
      <c r="QGF14" s="38"/>
      <c r="QGG14" s="38"/>
      <c r="QGH14" s="38"/>
      <c r="QGI14" s="38"/>
      <c r="QGJ14" s="38"/>
      <c r="QGK14" s="38"/>
      <c r="QGL14" s="38"/>
      <c r="QGM14" s="38"/>
      <c r="QGN14" s="38"/>
      <c r="QGO14" s="38"/>
      <c r="QGP14" s="38"/>
      <c r="QGQ14" s="38"/>
      <c r="QGR14" s="38"/>
      <c r="QGS14" s="38"/>
      <c r="QGT14" s="38"/>
      <c r="QGU14" s="38"/>
      <c r="QGV14" s="38"/>
      <c r="QGW14" s="38"/>
      <c r="QGX14" s="38"/>
      <c r="QGY14" s="38"/>
      <c r="QGZ14" s="38"/>
      <c r="QHA14" s="38"/>
      <c r="QHB14" s="38"/>
      <c r="QHC14" s="38"/>
      <c r="QHD14" s="38"/>
      <c r="QHE14" s="38"/>
      <c r="QHF14" s="38"/>
      <c r="QHG14" s="38"/>
      <c r="QHH14" s="38"/>
      <c r="QHI14" s="38"/>
      <c r="QHJ14" s="38"/>
      <c r="QHK14" s="38"/>
      <c r="QHL14" s="38"/>
      <c r="QHM14" s="38"/>
      <c r="QHN14" s="38"/>
      <c r="QHO14" s="38"/>
      <c r="QHP14" s="38"/>
      <c r="QHQ14" s="38"/>
      <c r="QHR14" s="38"/>
      <c r="QHS14" s="38"/>
      <c r="QHT14" s="38"/>
      <c r="QHU14" s="38"/>
      <c r="QHV14" s="38"/>
      <c r="QHW14" s="38"/>
      <c r="QHX14" s="38"/>
      <c r="QHY14" s="38"/>
      <c r="QHZ14" s="38"/>
      <c r="QIA14" s="38"/>
      <c r="QIB14" s="38"/>
      <c r="QIC14" s="38"/>
      <c r="QID14" s="38"/>
      <c r="QIE14" s="38"/>
      <c r="QIF14" s="38"/>
      <c r="QIG14" s="38"/>
      <c r="QIH14" s="38"/>
      <c r="QII14" s="38"/>
      <c r="QIJ14" s="38"/>
      <c r="QIK14" s="38"/>
      <c r="QIL14" s="38"/>
      <c r="QIM14" s="38"/>
      <c r="QIN14" s="38"/>
      <c r="QIO14" s="38"/>
      <c r="QIP14" s="38"/>
      <c r="QIQ14" s="38"/>
      <c r="QIR14" s="38"/>
      <c r="QIS14" s="38"/>
      <c r="QIT14" s="38"/>
      <c r="QIU14" s="38"/>
      <c r="QIV14" s="38"/>
      <c r="QIW14" s="38"/>
      <c r="QIX14" s="38"/>
      <c r="QIY14" s="38"/>
      <c r="QIZ14" s="38"/>
      <c r="QJA14" s="38"/>
      <c r="QJB14" s="38"/>
      <c r="QJC14" s="38"/>
      <c r="QJD14" s="38"/>
      <c r="QJE14" s="38"/>
      <c r="QJF14" s="38"/>
      <c r="QJG14" s="38"/>
      <c r="QJH14" s="38"/>
      <c r="QJI14" s="38"/>
      <c r="QJJ14" s="38"/>
      <c r="QJK14" s="38"/>
      <c r="QJL14" s="38"/>
      <c r="QJM14" s="38"/>
      <c r="QJN14" s="38"/>
      <c r="QJO14" s="38"/>
      <c r="QJP14" s="38"/>
      <c r="QJQ14" s="38"/>
      <c r="QJR14" s="38"/>
      <c r="QJS14" s="38"/>
      <c r="QJT14" s="38"/>
      <c r="QJU14" s="38"/>
      <c r="QJV14" s="38"/>
      <c r="QJW14" s="38"/>
      <c r="QJX14" s="38"/>
      <c r="QJY14" s="38"/>
      <c r="QJZ14" s="38"/>
      <c r="QKA14" s="38"/>
      <c r="QKB14" s="38"/>
      <c r="QKC14" s="38"/>
      <c r="QKD14" s="38"/>
      <c r="QKE14" s="38"/>
      <c r="QKF14" s="38"/>
      <c r="QKG14" s="38"/>
      <c r="QKH14" s="38"/>
      <c r="QKI14" s="38"/>
      <c r="QKJ14" s="38"/>
      <c r="QKK14" s="38"/>
      <c r="QKL14" s="38"/>
      <c r="QKM14" s="38"/>
      <c r="QKN14" s="38"/>
      <c r="QKO14" s="38"/>
      <c r="QKP14" s="38"/>
      <c r="QKQ14" s="38"/>
      <c r="QKR14" s="38"/>
      <c r="QKS14" s="38"/>
      <c r="QKT14" s="38"/>
      <c r="QKU14" s="38"/>
      <c r="QKV14" s="38"/>
      <c r="QKW14" s="38"/>
      <c r="QKX14" s="38"/>
      <c r="QKY14" s="38"/>
      <c r="QKZ14" s="38"/>
      <c r="QLA14" s="38"/>
      <c r="QLB14" s="38"/>
      <c r="QLC14" s="38"/>
      <c r="QLD14" s="38"/>
      <c r="QLE14" s="38"/>
      <c r="QLF14" s="38"/>
      <c r="QLG14" s="38"/>
      <c r="QLH14" s="38"/>
      <c r="QLI14" s="38"/>
      <c r="QLJ14" s="38"/>
      <c r="QLK14" s="38"/>
      <c r="QLL14" s="38"/>
      <c r="QLM14" s="38"/>
      <c r="QLN14" s="38"/>
      <c r="QLO14" s="38"/>
      <c r="QLP14" s="38"/>
      <c r="QLQ14" s="38"/>
      <c r="QLR14" s="38"/>
      <c r="QLS14" s="38"/>
      <c r="QLT14" s="38"/>
      <c r="QLU14" s="38"/>
      <c r="QLV14" s="38"/>
      <c r="QLW14" s="38"/>
      <c r="QLX14" s="38"/>
      <c r="QLY14" s="38"/>
      <c r="QLZ14" s="38"/>
      <c r="QMA14" s="38"/>
      <c r="QMB14" s="38"/>
      <c r="QMC14" s="38"/>
      <c r="QMD14" s="38"/>
      <c r="QME14" s="38"/>
      <c r="QMF14" s="38"/>
      <c r="QMG14" s="38"/>
      <c r="QMH14" s="38"/>
      <c r="QMI14" s="38"/>
      <c r="QMJ14" s="38"/>
      <c r="QMK14" s="38"/>
      <c r="QML14" s="38"/>
      <c r="QMM14" s="38"/>
      <c r="QMN14" s="38"/>
      <c r="QMO14" s="38"/>
      <c r="QMP14" s="38"/>
      <c r="QMQ14" s="38"/>
      <c r="QMR14" s="38"/>
      <c r="QMS14" s="38"/>
      <c r="QMT14" s="38"/>
      <c r="QMU14" s="38"/>
      <c r="QMV14" s="38"/>
      <c r="QMW14" s="38"/>
      <c r="QMX14" s="38"/>
      <c r="QMY14" s="38"/>
      <c r="QMZ14" s="38"/>
      <c r="QNA14" s="38"/>
      <c r="QNB14" s="38"/>
      <c r="QNC14" s="38"/>
      <c r="QND14" s="38"/>
      <c r="QNE14" s="38"/>
      <c r="QNF14" s="38"/>
      <c r="QNG14" s="38"/>
      <c r="QNH14" s="38"/>
      <c r="QNI14" s="38"/>
      <c r="QNJ14" s="38"/>
      <c r="QNK14" s="38"/>
      <c r="QNL14" s="38"/>
      <c r="QNM14" s="38"/>
      <c r="QNN14" s="38"/>
      <c r="QNO14" s="38"/>
      <c r="QNP14" s="38"/>
      <c r="QNQ14" s="38"/>
      <c r="QNR14" s="38"/>
      <c r="QNS14" s="38"/>
      <c r="QNT14" s="38"/>
      <c r="QNU14" s="38"/>
      <c r="QNV14" s="38"/>
      <c r="QNW14" s="38"/>
      <c r="QNX14" s="38"/>
      <c r="QNY14" s="38"/>
      <c r="QNZ14" s="38"/>
      <c r="QOA14" s="38"/>
      <c r="QOB14" s="38"/>
      <c r="QOC14" s="38"/>
      <c r="QOD14" s="38"/>
      <c r="QOE14" s="38"/>
      <c r="QOF14" s="38"/>
      <c r="QOG14" s="38"/>
      <c r="QOH14" s="38"/>
      <c r="QOI14" s="38"/>
      <c r="QOJ14" s="38"/>
      <c r="QOK14" s="38"/>
      <c r="QOL14" s="38"/>
      <c r="QOM14" s="38"/>
      <c r="QON14" s="38"/>
      <c r="QOO14" s="38"/>
      <c r="QOP14" s="38"/>
      <c r="QOQ14" s="38"/>
      <c r="QOR14" s="38"/>
      <c r="QOS14" s="38"/>
      <c r="QOT14" s="38"/>
      <c r="QOU14" s="38"/>
      <c r="QOV14" s="38"/>
      <c r="QOW14" s="38"/>
      <c r="QOX14" s="38"/>
      <c r="QOY14" s="38"/>
      <c r="QOZ14" s="38"/>
      <c r="QPA14" s="38"/>
      <c r="QPB14" s="38"/>
      <c r="QPC14" s="38"/>
      <c r="QPD14" s="38"/>
      <c r="QPE14" s="38"/>
      <c r="QPF14" s="38"/>
      <c r="QPG14" s="38"/>
      <c r="QPH14" s="38"/>
      <c r="QPI14" s="38"/>
      <c r="QPJ14" s="38"/>
      <c r="QPK14" s="38"/>
      <c r="QPL14" s="38"/>
      <c r="QPM14" s="38"/>
      <c r="QPN14" s="38"/>
      <c r="QPO14" s="38"/>
      <c r="QPP14" s="38"/>
      <c r="QPQ14" s="38"/>
      <c r="QPR14" s="38"/>
      <c r="QPS14" s="38"/>
      <c r="QPT14" s="38"/>
      <c r="QPU14" s="38"/>
      <c r="QPV14" s="38"/>
      <c r="QPW14" s="38"/>
      <c r="QPX14" s="38"/>
      <c r="QPY14" s="38"/>
      <c r="QPZ14" s="38"/>
      <c r="QQA14" s="38"/>
      <c r="QQB14" s="38"/>
      <c r="QQC14" s="38"/>
      <c r="QQD14" s="38"/>
      <c r="QQE14" s="38"/>
      <c r="QQF14" s="38"/>
      <c r="QQG14" s="38"/>
      <c r="QQH14" s="38"/>
      <c r="QQI14" s="38"/>
      <c r="QQJ14" s="38"/>
      <c r="QQK14" s="38"/>
      <c r="QQL14" s="38"/>
      <c r="QQM14" s="38"/>
      <c r="QQN14" s="38"/>
      <c r="QQO14" s="38"/>
      <c r="QQP14" s="38"/>
      <c r="QQQ14" s="38"/>
      <c r="QQR14" s="38"/>
      <c r="QQS14" s="38"/>
      <c r="QQT14" s="38"/>
      <c r="QQU14" s="38"/>
      <c r="QQV14" s="38"/>
      <c r="QQW14" s="38"/>
      <c r="QQX14" s="38"/>
      <c r="QQY14" s="38"/>
      <c r="QQZ14" s="38"/>
      <c r="QRA14" s="38"/>
      <c r="QRB14" s="38"/>
      <c r="QRC14" s="38"/>
      <c r="QRD14" s="38"/>
      <c r="QRE14" s="38"/>
      <c r="QRF14" s="38"/>
      <c r="QRG14" s="38"/>
      <c r="QRH14" s="38"/>
      <c r="QRI14" s="38"/>
      <c r="QRJ14" s="38"/>
      <c r="QRK14" s="38"/>
      <c r="QRL14" s="38"/>
      <c r="QRM14" s="38"/>
      <c r="QRN14" s="38"/>
      <c r="QRO14" s="38"/>
      <c r="QRP14" s="38"/>
      <c r="QRQ14" s="38"/>
      <c r="QRR14" s="38"/>
      <c r="QRS14" s="38"/>
      <c r="QRT14" s="38"/>
      <c r="QRU14" s="38"/>
      <c r="QRV14" s="38"/>
      <c r="QRW14" s="38"/>
      <c r="QRX14" s="38"/>
      <c r="QRY14" s="38"/>
      <c r="QRZ14" s="38"/>
      <c r="QSA14" s="38"/>
      <c r="QSB14" s="38"/>
      <c r="QSC14" s="38"/>
      <c r="QSD14" s="38"/>
      <c r="QSE14" s="38"/>
      <c r="QSF14" s="38"/>
      <c r="QSG14" s="38"/>
      <c r="QSH14" s="38"/>
      <c r="QSI14" s="38"/>
      <c r="QSJ14" s="38"/>
      <c r="QSK14" s="38"/>
      <c r="QSL14" s="38"/>
      <c r="QSM14" s="38"/>
      <c r="QSN14" s="38"/>
      <c r="QSO14" s="38"/>
      <c r="QSP14" s="38"/>
      <c r="QSQ14" s="38"/>
      <c r="QSR14" s="38"/>
      <c r="QSS14" s="38"/>
      <c r="QST14" s="38"/>
      <c r="QSU14" s="38"/>
      <c r="QSV14" s="38"/>
      <c r="QSW14" s="38"/>
      <c r="QSX14" s="38"/>
      <c r="QSY14" s="38"/>
      <c r="QSZ14" s="38"/>
      <c r="QTA14" s="38"/>
      <c r="QTB14" s="38"/>
      <c r="QTC14" s="38"/>
      <c r="QTD14" s="38"/>
      <c r="QTE14" s="38"/>
      <c r="QTF14" s="38"/>
      <c r="QTG14" s="38"/>
      <c r="QTH14" s="38"/>
      <c r="QTI14" s="38"/>
      <c r="QTJ14" s="38"/>
      <c r="QTK14" s="38"/>
      <c r="QTL14" s="38"/>
      <c r="QTM14" s="38"/>
      <c r="QTN14" s="38"/>
      <c r="QTO14" s="38"/>
      <c r="QTP14" s="38"/>
      <c r="QTQ14" s="38"/>
      <c r="QTR14" s="38"/>
      <c r="QTS14" s="38"/>
      <c r="QTT14" s="38"/>
      <c r="QTU14" s="38"/>
      <c r="QTV14" s="38"/>
      <c r="QTW14" s="38"/>
      <c r="QTX14" s="38"/>
      <c r="QTY14" s="38"/>
      <c r="QTZ14" s="38"/>
      <c r="QUA14" s="38"/>
      <c r="QUB14" s="38"/>
      <c r="QUC14" s="38"/>
      <c r="QUD14" s="38"/>
      <c r="QUE14" s="38"/>
      <c r="QUF14" s="38"/>
      <c r="QUG14" s="38"/>
      <c r="QUH14" s="38"/>
      <c r="QUI14" s="38"/>
      <c r="QUJ14" s="38"/>
      <c r="QUK14" s="38"/>
      <c r="QUL14" s="38"/>
      <c r="QUM14" s="38"/>
      <c r="QUN14" s="38"/>
      <c r="QUO14" s="38"/>
      <c r="QUP14" s="38"/>
      <c r="QUQ14" s="38"/>
      <c r="QUR14" s="38"/>
      <c r="QUS14" s="38"/>
      <c r="QUT14" s="38"/>
      <c r="QUU14" s="38"/>
      <c r="QUV14" s="38"/>
      <c r="QUW14" s="38"/>
      <c r="QUX14" s="38"/>
      <c r="QUY14" s="38"/>
      <c r="QUZ14" s="38"/>
      <c r="QVA14" s="38"/>
      <c r="QVB14" s="38"/>
      <c r="QVC14" s="38"/>
      <c r="QVD14" s="38"/>
      <c r="QVE14" s="38"/>
      <c r="QVF14" s="38"/>
      <c r="QVG14" s="38"/>
      <c r="QVH14" s="38"/>
      <c r="QVI14" s="38"/>
      <c r="QVJ14" s="38"/>
      <c r="QVK14" s="38"/>
      <c r="QVL14" s="38"/>
      <c r="QVM14" s="38"/>
      <c r="QVN14" s="38"/>
      <c r="QVO14" s="38"/>
      <c r="QVP14" s="38"/>
      <c r="QVQ14" s="38"/>
      <c r="QVR14" s="38"/>
      <c r="QVS14" s="38"/>
      <c r="QVT14" s="38"/>
      <c r="QVU14" s="38"/>
      <c r="QVV14" s="38"/>
      <c r="QVW14" s="38"/>
      <c r="QVX14" s="38"/>
      <c r="QVY14" s="38"/>
      <c r="QVZ14" s="38"/>
      <c r="QWA14" s="38"/>
      <c r="QWB14" s="38"/>
      <c r="QWC14" s="38"/>
      <c r="QWD14" s="38"/>
      <c r="QWE14" s="38"/>
      <c r="QWF14" s="38"/>
      <c r="QWG14" s="38"/>
      <c r="QWH14" s="38"/>
      <c r="QWI14" s="38"/>
      <c r="QWJ14" s="38"/>
      <c r="QWK14" s="38"/>
      <c r="QWL14" s="38"/>
      <c r="QWM14" s="38"/>
      <c r="QWN14" s="38"/>
      <c r="QWO14" s="38"/>
      <c r="QWP14" s="38"/>
      <c r="QWQ14" s="38"/>
      <c r="QWR14" s="38"/>
      <c r="QWS14" s="38"/>
      <c r="QWT14" s="38"/>
      <c r="QWU14" s="38"/>
      <c r="QWV14" s="38"/>
      <c r="QWW14" s="38"/>
      <c r="QWX14" s="38"/>
      <c r="QWY14" s="38"/>
      <c r="QWZ14" s="38"/>
      <c r="QXA14" s="38"/>
      <c r="QXB14" s="38"/>
      <c r="QXC14" s="38"/>
      <c r="QXD14" s="38"/>
      <c r="QXE14" s="38"/>
      <c r="QXF14" s="38"/>
      <c r="QXG14" s="38"/>
      <c r="QXH14" s="38"/>
      <c r="QXI14" s="38"/>
      <c r="QXJ14" s="38"/>
      <c r="QXK14" s="38"/>
      <c r="QXL14" s="38"/>
      <c r="QXM14" s="38"/>
      <c r="QXN14" s="38"/>
      <c r="QXO14" s="38"/>
      <c r="QXP14" s="38"/>
      <c r="QXQ14" s="38"/>
      <c r="QXR14" s="38"/>
      <c r="QXS14" s="38"/>
      <c r="QXT14" s="38"/>
      <c r="QXU14" s="38"/>
      <c r="QXV14" s="38"/>
      <c r="QXW14" s="38"/>
      <c r="QXX14" s="38"/>
      <c r="QXY14" s="38"/>
      <c r="QXZ14" s="38"/>
      <c r="QYA14" s="38"/>
      <c r="QYB14" s="38"/>
      <c r="QYC14" s="38"/>
      <c r="QYD14" s="38"/>
      <c r="QYE14" s="38"/>
      <c r="QYF14" s="38"/>
      <c r="QYG14" s="38"/>
      <c r="QYH14" s="38"/>
      <c r="QYI14" s="38"/>
      <c r="QYJ14" s="38"/>
      <c r="QYK14" s="38"/>
      <c r="QYL14" s="38"/>
      <c r="QYM14" s="38"/>
      <c r="QYN14" s="38"/>
      <c r="QYO14" s="38"/>
      <c r="QYP14" s="38"/>
      <c r="QYQ14" s="38"/>
      <c r="QYR14" s="38"/>
      <c r="QYS14" s="38"/>
      <c r="QYT14" s="38"/>
      <c r="QYU14" s="38"/>
      <c r="QYV14" s="38"/>
      <c r="QYW14" s="38"/>
      <c r="QYX14" s="38"/>
      <c r="QYY14" s="38"/>
      <c r="QYZ14" s="38"/>
      <c r="QZA14" s="38"/>
      <c r="QZB14" s="38"/>
      <c r="QZC14" s="38"/>
      <c r="QZD14" s="38"/>
      <c r="QZE14" s="38"/>
      <c r="QZF14" s="38"/>
      <c r="QZG14" s="38"/>
      <c r="QZH14" s="38"/>
      <c r="QZI14" s="38"/>
      <c r="QZJ14" s="38"/>
      <c r="QZK14" s="38"/>
      <c r="QZL14" s="38"/>
      <c r="QZM14" s="38"/>
      <c r="QZN14" s="38"/>
      <c r="QZO14" s="38"/>
      <c r="QZP14" s="38"/>
      <c r="QZQ14" s="38"/>
      <c r="QZR14" s="38"/>
      <c r="QZS14" s="38"/>
      <c r="QZT14" s="38"/>
      <c r="QZU14" s="38"/>
      <c r="QZV14" s="38"/>
      <c r="QZW14" s="38"/>
      <c r="QZX14" s="38"/>
      <c r="QZY14" s="38"/>
      <c r="QZZ14" s="38"/>
      <c r="RAA14" s="38"/>
      <c r="RAB14" s="38"/>
      <c r="RAC14" s="38"/>
      <c r="RAD14" s="38"/>
      <c r="RAE14" s="38"/>
      <c r="RAF14" s="38"/>
      <c r="RAG14" s="38"/>
      <c r="RAH14" s="38"/>
      <c r="RAI14" s="38"/>
      <c r="RAJ14" s="38"/>
      <c r="RAK14" s="38"/>
      <c r="RAL14" s="38"/>
      <c r="RAM14" s="38"/>
      <c r="RAN14" s="38"/>
      <c r="RAO14" s="38"/>
      <c r="RAP14" s="38"/>
      <c r="RAQ14" s="38"/>
      <c r="RAR14" s="38"/>
      <c r="RAS14" s="38"/>
      <c r="RAT14" s="38"/>
      <c r="RAU14" s="38"/>
      <c r="RAV14" s="38"/>
      <c r="RAW14" s="38"/>
      <c r="RAX14" s="38"/>
      <c r="RAY14" s="38"/>
      <c r="RAZ14" s="38"/>
      <c r="RBA14" s="38"/>
      <c r="RBB14" s="38"/>
      <c r="RBC14" s="38"/>
      <c r="RBD14" s="38"/>
      <c r="RBE14" s="38"/>
      <c r="RBF14" s="38"/>
      <c r="RBG14" s="38"/>
      <c r="RBH14" s="38"/>
      <c r="RBI14" s="38"/>
      <c r="RBJ14" s="38"/>
      <c r="RBK14" s="38"/>
      <c r="RBL14" s="38"/>
      <c r="RBM14" s="38"/>
      <c r="RBN14" s="38"/>
      <c r="RBO14" s="38"/>
      <c r="RBP14" s="38"/>
      <c r="RBQ14" s="38"/>
      <c r="RBR14" s="38"/>
      <c r="RBS14" s="38"/>
      <c r="RBT14" s="38"/>
      <c r="RBU14" s="38"/>
      <c r="RBV14" s="38"/>
      <c r="RBW14" s="38"/>
      <c r="RBX14" s="38"/>
      <c r="RBY14" s="38"/>
      <c r="RBZ14" s="38"/>
      <c r="RCA14" s="38"/>
      <c r="RCB14" s="38"/>
      <c r="RCC14" s="38"/>
      <c r="RCD14" s="38"/>
      <c r="RCE14" s="38"/>
      <c r="RCF14" s="38"/>
      <c r="RCG14" s="38"/>
      <c r="RCH14" s="38"/>
      <c r="RCI14" s="38"/>
      <c r="RCJ14" s="38"/>
      <c r="RCK14" s="38"/>
      <c r="RCL14" s="38"/>
      <c r="RCM14" s="38"/>
      <c r="RCN14" s="38"/>
      <c r="RCO14" s="38"/>
      <c r="RCP14" s="38"/>
      <c r="RCQ14" s="38"/>
      <c r="RCR14" s="38"/>
      <c r="RCS14" s="38"/>
      <c r="RCT14" s="38"/>
      <c r="RCU14" s="38"/>
      <c r="RCV14" s="38"/>
      <c r="RCW14" s="38"/>
      <c r="RCX14" s="38"/>
      <c r="RCY14" s="38"/>
      <c r="RCZ14" s="38"/>
      <c r="RDA14" s="38"/>
      <c r="RDB14" s="38"/>
      <c r="RDC14" s="38"/>
      <c r="RDD14" s="38"/>
      <c r="RDE14" s="38"/>
      <c r="RDF14" s="38"/>
      <c r="RDG14" s="38"/>
      <c r="RDH14" s="38"/>
      <c r="RDI14" s="38"/>
      <c r="RDJ14" s="38"/>
      <c r="RDK14" s="38"/>
      <c r="RDL14" s="38"/>
      <c r="RDM14" s="38"/>
      <c r="RDN14" s="38"/>
      <c r="RDO14" s="38"/>
      <c r="RDP14" s="38"/>
      <c r="RDQ14" s="38"/>
      <c r="RDR14" s="38"/>
      <c r="RDS14" s="38"/>
      <c r="RDT14" s="38"/>
      <c r="RDU14" s="38"/>
      <c r="RDV14" s="38"/>
      <c r="RDW14" s="38"/>
      <c r="RDX14" s="38"/>
      <c r="RDY14" s="38"/>
      <c r="RDZ14" s="38"/>
      <c r="REA14" s="38"/>
      <c r="REB14" s="38"/>
      <c r="REC14" s="38"/>
      <c r="RED14" s="38"/>
      <c r="REE14" s="38"/>
      <c r="REF14" s="38"/>
      <c r="REG14" s="38"/>
      <c r="REH14" s="38"/>
      <c r="REI14" s="38"/>
      <c r="REJ14" s="38"/>
      <c r="REK14" s="38"/>
      <c r="REL14" s="38"/>
      <c r="REM14" s="38"/>
      <c r="REN14" s="38"/>
      <c r="REO14" s="38"/>
      <c r="REP14" s="38"/>
      <c r="REQ14" s="38"/>
      <c r="RER14" s="38"/>
      <c r="RES14" s="38"/>
      <c r="RET14" s="38"/>
      <c r="REU14" s="38"/>
      <c r="REV14" s="38"/>
      <c r="REW14" s="38"/>
      <c r="REX14" s="38"/>
      <c r="REY14" s="38"/>
      <c r="REZ14" s="38"/>
      <c r="RFA14" s="38"/>
      <c r="RFB14" s="38"/>
      <c r="RFC14" s="38"/>
      <c r="RFD14" s="38"/>
      <c r="RFE14" s="38"/>
      <c r="RFF14" s="38"/>
      <c r="RFG14" s="38"/>
      <c r="RFH14" s="38"/>
      <c r="RFI14" s="38"/>
      <c r="RFJ14" s="38"/>
      <c r="RFK14" s="38"/>
      <c r="RFL14" s="38"/>
      <c r="RFM14" s="38"/>
      <c r="RFN14" s="38"/>
      <c r="RFO14" s="38"/>
      <c r="RFP14" s="38"/>
      <c r="RFQ14" s="38"/>
      <c r="RFR14" s="38"/>
      <c r="RFS14" s="38"/>
      <c r="RFT14" s="38"/>
      <c r="RFU14" s="38"/>
      <c r="RFV14" s="38"/>
      <c r="RFW14" s="38"/>
      <c r="RFX14" s="38"/>
      <c r="RFY14" s="38"/>
      <c r="RFZ14" s="38"/>
      <c r="RGA14" s="38"/>
      <c r="RGB14" s="38"/>
      <c r="RGC14" s="38"/>
      <c r="RGD14" s="38"/>
      <c r="RGE14" s="38"/>
      <c r="RGF14" s="38"/>
      <c r="RGG14" s="38"/>
      <c r="RGH14" s="38"/>
      <c r="RGI14" s="38"/>
      <c r="RGJ14" s="38"/>
      <c r="RGK14" s="38"/>
      <c r="RGL14" s="38"/>
      <c r="RGM14" s="38"/>
      <c r="RGN14" s="38"/>
      <c r="RGO14" s="38"/>
      <c r="RGP14" s="38"/>
      <c r="RGQ14" s="38"/>
      <c r="RGR14" s="38"/>
      <c r="RGS14" s="38"/>
      <c r="RGT14" s="38"/>
      <c r="RGU14" s="38"/>
      <c r="RGV14" s="38"/>
      <c r="RGW14" s="38"/>
      <c r="RGX14" s="38"/>
      <c r="RGY14" s="38"/>
      <c r="RGZ14" s="38"/>
      <c r="RHA14" s="38"/>
      <c r="RHB14" s="38"/>
      <c r="RHC14" s="38"/>
      <c r="RHD14" s="38"/>
      <c r="RHE14" s="38"/>
      <c r="RHF14" s="38"/>
      <c r="RHG14" s="38"/>
      <c r="RHH14" s="38"/>
      <c r="RHI14" s="38"/>
      <c r="RHJ14" s="38"/>
      <c r="RHK14" s="38"/>
      <c r="RHL14" s="38"/>
      <c r="RHM14" s="38"/>
      <c r="RHN14" s="38"/>
      <c r="RHO14" s="38"/>
      <c r="RHP14" s="38"/>
      <c r="RHQ14" s="38"/>
      <c r="RHR14" s="38"/>
      <c r="RHS14" s="38"/>
      <c r="RHT14" s="38"/>
      <c r="RHU14" s="38"/>
      <c r="RHV14" s="38"/>
      <c r="RHW14" s="38"/>
      <c r="RHX14" s="38"/>
      <c r="RHY14" s="38"/>
      <c r="RHZ14" s="38"/>
      <c r="RIA14" s="38"/>
      <c r="RIB14" s="38"/>
      <c r="RIC14" s="38"/>
      <c r="RID14" s="38"/>
      <c r="RIE14" s="38"/>
      <c r="RIF14" s="38"/>
      <c r="RIG14" s="38"/>
      <c r="RIH14" s="38"/>
      <c r="RII14" s="38"/>
      <c r="RIJ14" s="38"/>
      <c r="RIK14" s="38"/>
      <c r="RIL14" s="38"/>
      <c r="RIM14" s="38"/>
      <c r="RIN14" s="38"/>
      <c r="RIO14" s="38"/>
      <c r="RIP14" s="38"/>
      <c r="RIQ14" s="38"/>
      <c r="RIR14" s="38"/>
      <c r="RIS14" s="38"/>
      <c r="RIT14" s="38"/>
      <c r="RIU14" s="38"/>
      <c r="RIV14" s="38"/>
      <c r="RIW14" s="38"/>
      <c r="RIX14" s="38"/>
      <c r="RIY14" s="38"/>
      <c r="RIZ14" s="38"/>
      <c r="RJA14" s="38"/>
      <c r="RJB14" s="38"/>
      <c r="RJC14" s="38"/>
      <c r="RJD14" s="38"/>
      <c r="RJE14" s="38"/>
      <c r="RJF14" s="38"/>
      <c r="RJG14" s="38"/>
      <c r="RJH14" s="38"/>
      <c r="RJI14" s="38"/>
      <c r="RJJ14" s="38"/>
      <c r="RJK14" s="38"/>
      <c r="RJL14" s="38"/>
      <c r="RJM14" s="38"/>
      <c r="RJN14" s="38"/>
      <c r="RJO14" s="38"/>
      <c r="RJP14" s="38"/>
      <c r="RJQ14" s="38"/>
      <c r="RJR14" s="38"/>
      <c r="RJS14" s="38"/>
      <c r="RJT14" s="38"/>
      <c r="RJU14" s="38"/>
      <c r="RJV14" s="38"/>
      <c r="RJW14" s="38"/>
      <c r="RJX14" s="38"/>
      <c r="RJY14" s="38"/>
      <c r="RJZ14" s="38"/>
      <c r="RKA14" s="38"/>
      <c r="RKB14" s="38"/>
      <c r="RKC14" s="38"/>
      <c r="RKD14" s="38"/>
      <c r="RKE14" s="38"/>
      <c r="RKF14" s="38"/>
      <c r="RKG14" s="38"/>
      <c r="RKH14" s="38"/>
      <c r="RKI14" s="38"/>
      <c r="RKJ14" s="38"/>
      <c r="RKK14" s="38"/>
      <c r="RKL14" s="38"/>
      <c r="RKM14" s="38"/>
      <c r="RKN14" s="38"/>
      <c r="RKO14" s="38"/>
      <c r="RKP14" s="38"/>
      <c r="RKQ14" s="38"/>
      <c r="RKR14" s="38"/>
      <c r="RKS14" s="38"/>
      <c r="RKT14" s="38"/>
      <c r="RKU14" s="38"/>
      <c r="RKV14" s="38"/>
      <c r="RKW14" s="38"/>
      <c r="RKX14" s="38"/>
      <c r="RKY14" s="38"/>
      <c r="RKZ14" s="38"/>
      <c r="RLA14" s="38"/>
      <c r="RLB14" s="38"/>
      <c r="RLC14" s="38"/>
      <c r="RLD14" s="38"/>
      <c r="RLE14" s="38"/>
      <c r="RLF14" s="38"/>
      <c r="RLG14" s="38"/>
      <c r="RLH14" s="38"/>
      <c r="RLI14" s="38"/>
      <c r="RLJ14" s="38"/>
      <c r="RLK14" s="38"/>
      <c r="RLL14" s="38"/>
      <c r="RLM14" s="38"/>
      <c r="RLN14" s="38"/>
      <c r="RLO14" s="38"/>
      <c r="RLP14" s="38"/>
      <c r="RLQ14" s="38"/>
      <c r="RLR14" s="38"/>
      <c r="RLS14" s="38"/>
      <c r="RLT14" s="38"/>
      <c r="RLU14" s="38"/>
      <c r="RLV14" s="38"/>
      <c r="RLW14" s="38"/>
      <c r="RLX14" s="38"/>
      <c r="RLY14" s="38"/>
      <c r="RLZ14" s="38"/>
      <c r="RMA14" s="38"/>
      <c r="RMB14" s="38"/>
      <c r="RMC14" s="38"/>
      <c r="RMD14" s="38"/>
      <c r="RME14" s="38"/>
      <c r="RMF14" s="38"/>
      <c r="RMG14" s="38"/>
      <c r="RMH14" s="38"/>
      <c r="RMI14" s="38"/>
      <c r="RMJ14" s="38"/>
      <c r="RMK14" s="38"/>
      <c r="RML14" s="38"/>
      <c r="RMM14" s="38"/>
      <c r="RMN14" s="38"/>
      <c r="RMO14" s="38"/>
      <c r="RMP14" s="38"/>
      <c r="RMQ14" s="38"/>
      <c r="RMR14" s="38"/>
      <c r="RMS14" s="38"/>
      <c r="RMT14" s="38"/>
      <c r="RMU14" s="38"/>
      <c r="RMV14" s="38"/>
      <c r="RMW14" s="38"/>
      <c r="RMX14" s="38"/>
      <c r="RMY14" s="38"/>
      <c r="RMZ14" s="38"/>
      <c r="RNA14" s="38"/>
      <c r="RNB14" s="38"/>
      <c r="RNC14" s="38"/>
      <c r="RND14" s="38"/>
      <c r="RNE14" s="38"/>
      <c r="RNF14" s="38"/>
      <c r="RNG14" s="38"/>
      <c r="RNH14" s="38"/>
      <c r="RNI14" s="38"/>
      <c r="RNJ14" s="38"/>
      <c r="RNK14" s="38"/>
      <c r="RNL14" s="38"/>
      <c r="RNM14" s="38"/>
      <c r="RNN14" s="38"/>
      <c r="RNO14" s="38"/>
      <c r="RNP14" s="38"/>
      <c r="RNQ14" s="38"/>
      <c r="RNR14" s="38"/>
      <c r="RNS14" s="38"/>
      <c r="RNT14" s="38"/>
      <c r="RNU14" s="38"/>
      <c r="RNV14" s="38"/>
      <c r="RNW14" s="38"/>
      <c r="RNX14" s="38"/>
      <c r="RNY14" s="38"/>
      <c r="RNZ14" s="38"/>
      <c r="ROA14" s="38"/>
      <c r="ROB14" s="38"/>
      <c r="ROC14" s="38"/>
      <c r="ROD14" s="38"/>
      <c r="ROE14" s="38"/>
      <c r="ROF14" s="38"/>
      <c r="ROG14" s="38"/>
      <c r="ROH14" s="38"/>
      <c r="ROI14" s="38"/>
      <c r="ROJ14" s="38"/>
      <c r="ROK14" s="38"/>
      <c r="ROL14" s="38"/>
      <c r="ROM14" s="38"/>
      <c r="RON14" s="38"/>
      <c r="ROO14" s="38"/>
      <c r="ROP14" s="38"/>
      <c r="ROQ14" s="38"/>
      <c r="ROR14" s="38"/>
      <c r="ROS14" s="38"/>
      <c r="ROT14" s="38"/>
      <c r="ROU14" s="38"/>
      <c r="ROV14" s="38"/>
      <c r="ROW14" s="38"/>
      <c r="ROX14" s="38"/>
      <c r="ROY14" s="38"/>
      <c r="ROZ14" s="38"/>
      <c r="RPA14" s="38"/>
      <c r="RPB14" s="38"/>
      <c r="RPC14" s="38"/>
      <c r="RPD14" s="38"/>
      <c r="RPE14" s="38"/>
      <c r="RPF14" s="38"/>
      <c r="RPG14" s="38"/>
      <c r="RPH14" s="38"/>
      <c r="RPI14" s="38"/>
      <c r="RPJ14" s="38"/>
      <c r="RPK14" s="38"/>
      <c r="RPL14" s="38"/>
      <c r="RPM14" s="38"/>
      <c r="RPN14" s="38"/>
      <c r="RPO14" s="38"/>
      <c r="RPP14" s="38"/>
      <c r="RPQ14" s="38"/>
      <c r="RPR14" s="38"/>
      <c r="RPS14" s="38"/>
      <c r="RPT14" s="38"/>
      <c r="RPU14" s="38"/>
      <c r="RPV14" s="38"/>
      <c r="RPW14" s="38"/>
      <c r="RPX14" s="38"/>
      <c r="RPY14" s="38"/>
      <c r="RPZ14" s="38"/>
      <c r="RQA14" s="38"/>
      <c r="RQB14" s="38"/>
      <c r="RQC14" s="38"/>
      <c r="RQD14" s="38"/>
      <c r="RQE14" s="38"/>
      <c r="RQF14" s="38"/>
      <c r="RQG14" s="38"/>
      <c r="RQH14" s="38"/>
      <c r="RQI14" s="38"/>
      <c r="RQJ14" s="38"/>
      <c r="RQK14" s="38"/>
      <c r="RQL14" s="38"/>
      <c r="RQM14" s="38"/>
      <c r="RQN14" s="38"/>
      <c r="RQO14" s="38"/>
      <c r="RQP14" s="38"/>
      <c r="RQQ14" s="38"/>
      <c r="RQR14" s="38"/>
      <c r="RQS14" s="38"/>
      <c r="RQT14" s="38"/>
      <c r="RQU14" s="38"/>
      <c r="RQV14" s="38"/>
      <c r="RQW14" s="38"/>
      <c r="RQX14" s="38"/>
      <c r="RQY14" s="38"/>
      <c r="RQZ14" s="38"/>
      <c r="RRA14" s="38"/>
      <c r="RRB14" s="38"/>
      <c r="RRC14" s="38"/>
      <c r="RRD14" s="38"/>
      <c r="RRE14" s="38"/>
      <c r="RRF14" s="38"/>
      <c r="RRG14" s="38"/>
      <c r="RRH14" s="38"/>
      <c r="RRI14" s="38"/>
      <c r="RRJ14" s="38"/>
      <c r="RRK14" s="38"/>
      <c r="RRL14" s="38"/>
      <c r="RRM14" s="38"/>
      <c r="RRN14" s="38"/>
      <c r="RRO14" s="38"/>
      <c r="RRP14" s="38"/>
      <c r="RRQ14" s="38"/>
      <c r="RRR14" s="38"/>
      <c r="RRS14" s="38"/>
      <c r="RRT14" s="38"/>
      <c r="RRU14" s="38"/>
      <c r="RRV14" s="38"/>
      <c r="RRW14" s="38"/>
      <c r="RRX14" s="38"/>
      <c r="RRY14" s="38"/>
      <c r="RRZ14" s="38"/>
      <c r="RSA14" s="38"/>
      <c r="RSB14" s="38"/>
      <c r="RSC14" s="38"/>
      <c r="RSD14" s="38"/>
      <c r="RSE14" s="38"/>
      <c r="RSF14" s="38"/>
      <c r="RSG14" s="38"/>
      <c r="RSH14" s="38"/>
      <c r="RSI14" s="38"/>
      <c r="RSJ14" s="38"/>
      <c r="RSK14" s="38"/>
      <c r="RSL14" s="38"/>
      <c r="RSM14" s="38"/>
      <c r="RSN14" s="38"/>
      <c r="RSO14" s="38"/>
      <c r="RSP14" s="38"/>
      <c r="RSQ14" s="38"/>
      <c r="RSR14" s="38"/>
      <c r="RSS14" s="38"/>
      <c r="RST14" s="38"/>
      <c r="RSU14" s="38"/>
      <c r="RSV14" s="38"/>
      <c r="RSW14" s="38"/>
      <c r="RSX14" s="38"/>
      <c r="RSY14" s="38"/>
      <c r="RSZ14" s="38"/>
      <c r="RTA14" s="38"/>
      <c r="RTB14" s="38"/>
      <c r="RTC14" s="38"/>
      <c r="RTD14" s="38"/>
      <c r="RTE14" s="38"/>
      <c r="RTF14" s="38"/>
      <c r="RTG14" s="38"/>
      <c r="RTH14" s="38"/>
      <c r="RTI14" s="38"/>
      <c r="RTJ14" s="38"/>
      <c r="RTK14" s="38"/>
      <c r="RTL14" s="38"/>
      <c r="RTM14" s="38"/>
      <c r="RTN14" s="38"/>
      <c r="RTO14" s="38"/>
      <c r="RTP14" s="38"/>
      <c r="RTQ14" s="38"/>
      <c r="RTR14" s="38"/>
      <c r="RTS14" s="38"/>
      <c r="RTT14" s="38"/>
      <c r="RTU14" s="38"/>
      <c r="RTV14" s="38"/>
      <c r="RTW14" s="38"/>
      <c r="RTX14" s="38"/>
      <c r="RTY14" s="38"/>
      <c r="RTZ14" s="38"/>
      <c r="RUA14" s="38"/>
      <c r="RUB14" s="38"/>
      <c r="RUC14" s="38"/>
      <c r="RUD14" s="38"/>
      <c r="RUE14" s="38"/>
      <c r="RUF14" s="38"/>
      <c r="RUG14" s="38"/>
      <c r="RUH14" s="38"/>
      <c r="RUI14" s="38"/>
      <c r="RUJ14" s="38"/>
      <c r="RUK14" s="38"/>
      <c r="RUL14" s="38"/>
      <c r="RUM14" s="38"/>
      <c r="RUN14" s="38"/>
      <c r="RUO14" s="38"/>
      <c r="RUP14" s="38"/>
      <c r="RUQ14" s="38"/>
      <c r="RUR14" s="38"/>
      <c r="RUS14" s="38"/>
      <c r="RUT14" s="38"/>
      <c r="RUU14" s="38"/>
      <c r="RUV14" s="38"/>
      <c r="RUW14" s="38"/>
      <c r="RUX14" s="38"/>
      <c r="RUY14" s="38"/>
      <c r="RUZ14" s="38"/>
      <c r="RVA14" s="38"/>
      <c r="RVB14" s="38"/>
      <c r="RVC14" s="38"/>
      <c r="RVD14" s="38"/>
      <c r="RVE14" s="38"/>
      <c r="RVF14" s="38"/>
      <c r="RVG14" s="38"/>
      <c r="RVH14" s="38"/>
      <c r="RVI14" s="38"/>
      <c r="RVJ14" s="38"/>
      <c r="RVK14" s="38"/>
      <c r="RVL14" s="38"/>
      <c r="RVM14" s="38"/>
      <c r="RVN14" s="38"/>
      <c r="RVO14" s="38"/>
      <c r="RVP14" s="38"/>
      <c r="RVQ14" s="38"/>
      <c r="RVR14" s="38"/>
      <c r="RVS14" s="38"/>
      <c r="RVT14" s="38"/>
      <c r="RVU14" s="38"/>
      <c r="RVV14" s="38"/>
      <c r="RVW14" s="38"/>
      <c r="RVX14" s="38"/>
      <c r="RVY14" s="38"/>
      <c r="RVZ14" s="38"/>
      <c r="RWA14" s="38"/>
      <c r="RWB14" s="38"/>
      <c r="RWC14" s="38"/>
      <c r="RWD14" s="38"/>
      <c r="RWE14" s="38"/>
      <c r="RWF14" s="38"/>
      <c r="RWG14" s="38"/>
      <c r="RWH14" s="38"/>
      <c r="RWI14" s="38"/>
      <c r="RWJ14" s="38"/>
      <c r="RWK14" s="38"/>
      <c r="RWL14" s="38"/>
      <c r="RWM14" s="38"/>
      <c r="RWN14" s="38"/>
      <c r="RWO14" s="38"/>
      <c r="RWP14" s="38"/>
      <c r="RWQ14" s="38"/>
      <c r="RWR14" s="38"/>
      <c r="RWS14" s="38"/>
      <c r="RWT14" s="38"/>
      <c r="RWU14" s="38"/>
      <c r="RWV14" s="38"/>
      <c r="RWW14" s="38"/>
      <c r="RWX14" s="38"/>
      <c r="RWY14" s="38"/>
      <c r="RWZ14" s="38"/>
      <c r="RXA14" s="38"/>
      <c r="RXB14" s="38"/>
      <c r="RXC14" s="38"/>
      <c r="RXD14" s="38"/>
      <c r="RXE14" s="38"/>
      <c r="RXF14" s="38"/>
      <c r="RXG14" s="38"/>
      <c r="RXH14" s="38"/>
      <c r="RXI14" s="38"/>
      <c r="RXJ14" s="38"/>
      <c r="RXK14" s="38"/>
      <c r="RXL14" s="38"/>
      <c r="RXM14" s="38"/>
      <c r="RXN14" s="38"/>
      <c r="RXO14" s="38"/>
      <c r="RXP14" s="38"/>
      <c r="RXQ14" s="38"/>
      <c r="RXR14" s="38"/>
      <c r="RXS14" s="38"/>
      <c r="RXT14" s="38"/>
      <c r="RXU14" s="38"/>
      <c r="RXV14" s="38"/>
      <c r="RXW14" s="38"/>
      <c r="RXX14" s="38"/>
      <c r="RXY14" s="38"/>
      <c r="RXZ14" s="38"/>
      <c r="RYA14" s="38"/>
      <c r="RYB14" s="38"/>
      <c r="RYC14" s="38"/>
      <c r="RYD14" s="38"/>
      <c r="RYE14" s="38"/>
      <c r="RYF14" s="38"/>
      <c r="RYG14" s="38"/>
      <c r="RYH14" s="38"/>
      <c r="RYI14" s="38"/>
      <c r="RYJ14" s="38"/>
      <c r="RYK14" s="38"/>
      <c r="RYL14" s="38"/>
      <c r="RYM14" s="38"/>
      <c r="RYN14" s="38"/>
      <c r="RYO14" s="38"/>
      <c r="RYP14" s="38"/>
      <c r="RYQ14" s="38"/>
      <c r="RYR14" s="38"/>
      <c r="RYS14" s="38"/>
      <c r="RYT14" s="38"/>
      <c r="RYU14" s="38"/>
      <c r="RYV14" s="38"/>
      <c r="RYW14" s="38"/>
      <c r="RYX14" s="38"/>
      <c r="RYY14" s="38"/>
      <c r="RYZ14" s="38"/>
      <c r="RZA14" s="38"/>
      <c r="RZB14" s="38"/>
      <c r="RZC14" s="38"/>
      <c r="RZD14" s="38"/>
      <c r="RZE14" s="38"/>
      <c r="RZF14" s="38"/>
      <c r="RZG14" s="38"/>
      <c r="RZH14" s="38"/>
      <c r="RZI14" s="38"/>
      <c r="RZJ14" s="38"/>
      <c r="RZK14" s="38"/>
      <c r="RZL14" s="38"/>
      <c r="RZM14" s="38"/>
      <c r="RZN14" s="38"/>
      <c r="RZO14" s="38"/>
      <c r="RZP14" s="38"/>
      <c r="RZQ14" s="38"/>
      <c r="RZR14" s="38"/>
      <c r="RZS14" s="38"/>
      <c r="RZT14" s="38"/>
      <c r="RZU14" s="38"/>
      <c r="RZV14" s="38"/>
      <c r="RZW14" s="38"/>
      <c r="RZX14" s="38"/>
      <c r="RZY14" s="38"/>
      <c r="RZZ14" s="38"/>
      <c r="SAA14" s="38"/>
      <c r="SAB14" s="38"/>
      <c r="SAC14" s="38"/>
      <c r="SAD14" s="38"/>
      <c r="SAE14" s="38"/>
      <c r="SAF14" s="38"/>
      <c r="SAG14" s="38"/>
      <c r="SAH14" s="38"/>
      <c r="SAI14" s="38"/>
      <c r="SAJ14" s="38"/>
      <c r="SAK14" s="38"/>
      <c r="SAL14" s="38"/>
      <c r="SAM14" s="38"/>
      <c r="SAN14" s="38"/>
      <c r="SAO14" s="38"/>
      <c r="SAP14" s="38"/>
      <c r="SAQ14" s="38"/>
      <c r="SAR14" s="38"/>
      <c r="SAS14" s="38"/>
      <c r="SAT14" s="38"/>
      <c r="SAU14" s="38"/>
      <c r="SAV14" s="38"/>
      <c r="SAW14" s="38"/>
      <c r="SAX14" s="38"/>
      <c r="SAY14" s="38"/>
      <c r="SAZ14" s="38"/>
      <c r="SBA14" s="38"/>
      <c r="SBB14" s="38"/>
      <c r="SBC14" s="38"/>
      <c r="SBD14" s="38"/>
      <c r="SBE14" s="38"/>
      <c r="SBF14" s="38"/>
      <c r="SBG14" s="38"/>
      <c r="SBH14" s="38"/>
      <c r="SBI14" s="38"/>
      <c r="SBJ14" s="38"/>
      <c r="SBK14" s="38"/>
      <c r="SBL14" s="38"/>
      <c r="SBM14" s="38"/>
      <c r="SBN14" s="38"/>
      <c r="SBO14" s="38"/>
      <c r="SBP14" s="38"/>
      <c r="SBQ14" s="38"/>
      <c r="SBR14" s="38"/>
      <c r="SBS14" s="38"/>
      <c r="SBT14" s="38"/>
      <c r="SBU14" s="38"/>
      <c r="SBV14" s="38"/>
      <c r="SBW14" s="38"/>
      <c r="SBX14" s="38"/>
      <c r="SBY14" s="38"/>
      <c r="SBZ14" s="38"/>
      <c r="SCA14" s="38"/>
      <c r="SCB14" s="38"/>
      <c r="SCC14" s="38"/>
      <c r="SCD14" s="38"/>
      <c r="SCE14" s="38"/>
      <c r="SCF14" s="38"/>
      <c r="SCG14" s="38"/>
      <c r="SCH14" s="38"/>
      <c r="SCI14" s="38"/>
      <c r="SCJ14" s="38"/>
      <c r="SCK14" s="38"/>
      <c r="SCL14" s="38"/>
      <c r="SCM14" s="38"/>
      <c r="SCN14" s="38"/>
      <c r="SCO14" s="38"/>
      <c r="SCP14" s="38"/>
      <c r="SCQ14" s="38"/>
      <c r="SCR14" s="38"/>
      <c r="SCS14" s="38"/>
      <c r="SCT14" s="38"/>
      <c r="SCU14" s="38"/>
      <c r="SCV14" s="38"/>
      <c r="SCW14" s="38"/>
      <c r="SCX14" s="38"/>
      <c r="SCY14" s="38"/>
      <c r="SCZ14" s="38"/>
      <c r="SDA14" s="38"/>
      <c r="SDB14" s="38"/>
      <c r="SDC14" s="38"/>
      <c r="SDD14" s="38"/>
      <c r="SDE14" s="38"/>
      <c r="SDF14" s="38"/>
      <c r="SDG14" s="38"/>
      <c r="SDH14" s="38"/>
      <c r="SDI14" s="38"/>
      <c r="SDJ14" s="38"/>
      <c r="SDK14" s="38"/>
      <c r="SDL14" s="38"/>
      <c r="SDM14" s="38"/>
      <c r="SDN14" s="38"/>
      <c r="SDO14" s="38"/>
      <c r="SDP14" s="38"/>
      <c r="SDQ14" s="38"/>
      <c r="SDR14" s="38"/>
      <c r="SDS14" s="38"/>
      <c r="SDT14" s="38"/>
      <c r="SDU14" s="38"/>
      <c r="SDV14" s="38"/>
      <c r="SDW14" s="38"/>
      <c r="SDX14" s="38"/>
      <c r="SDY14" s="38"/>
      <c r="SDZ14" s="38"/>
      <c r="SEA14" s="38"/>
      <c r="SEB14" s="38"/>
      <c r="SEC14" s="38"/>
      <c r="SED14" s="38"/>
      <c r="SEE14" s="38"/>
      <c r="SEF14" s="38"/>
      <c r="SEG14" s="38"/>
      <c r="SEH14" s="38"/>
      <c r="SEI14" s="38"/>
      <c r="SEJ14" s="38"/>
      <c r="SEK14" s="38"/>
      <c r="SEL14" s="38"/>
      <c r="SEM14" s="38"/>
      <c r="SEN14" s="38"/>
      <c r="SEO14" s="38"/>
      <c r="SEP14" s="38"/>
      <c r="SEQ14" s="38"/>
      <c r="SER14" s="38"/>
      <c r="SES14" s="38"/>
      <c r="SET14" s="38"/>
      <c r="SEU14" s="38"/>
      <c r="SEV14" s="38"/>
      <c r="SEW14" s="38"/>
      <c r="SEX14" s="38"/>
      <c r="SEY14" s="38"/>
      <c r="SEZ14" s="38"/>
      <c r="SFA14" s="38"/>
      <c r="SFB14" s="38"/>
      <c r="SFC14" s="38"/>
      <c r="SFD14" s="38"/>
      <c r="SFE14" s="38"/>
      <c r="SFF14" s="38"/>
      <c r="SFG14" s="38"/>
      <c r="SFH14" s="38"/>
      <c r="SFI14" s="38"/>
      <c r="SFJ14" s="38"/>
      <c r="SFK14" s="38"/>
      <c r="SFL14" s="38"/>
      <c r="SFM14" s="38"/>
      <c r="SFN14" s="38"/>
      <c r="SFO14" s="38"/>
      <c r="SFP14" s="38"/>
      <c r="SFQ14" s="38"/>
      <c r="SFR14" s="38"/>
      <c r="SFS14" s="38"/>
      <c r="SFT14" s="38"/>
      <c r="SFU14" s="38"/>
      <c r="SFV14" s="38"/>
      <c r="SFW14" s="38"/>
      <c r="SFX14" s="38"/>
      <c r="SFY14" s="38"/>
      <c r="SFZ14" s="38"/>
      <c r="SGA14" s="38"/>
      <c r="SGB14" s="38"/>
      <c r="SGC14" s="38"/>
      <c r="SGD14" s="38"/>
      <c r="SGE14" s="38"/>
      <c r="SGF14" s="38"/>
      <c r="SGG14" s="38"/>
      <c r="SGH14" s="38"/>
      <c r="SGI14" s="38"/>
      <c r="SGJ14" s="38"/>
      <c r="SGK14" s="38"/>
      <c r="SGL14" s="38"/>
      <c r="SGM14" s="38"/>
      <c r="SGN14" s="38"/>
      <c r="SGO14" s="38"/>
      <c r="SGP14" s="38"/>
      <c r="SGQ14" s="38"/>
      <c r="SGR14" s="38"/>
      <c r="SGS14" s="38"/>
      <c r="SGT14" s="38"/>
      <c r="SGU14" s="38"/>
      <c r="SGV14" s="38"/>
      <c r="SGW14" s="38"/>
      <c r="SGX14" s="38"/>
      <c r="SGY14" s="38"/>
      <c r="SGZ14" s="38"/>
      <c r="SHA14" s="38"/>
      <c r="SHB14" s="38"/>
      <c r="SHC14" s="38"/>
      <c r="SHD14" s="38"/>
      <c r="SHE14" s="38"/>
      <c r="SHF14" s="38"/>
      <c r="SHG14" s="38"/>
      <c r="SHH14" s="38"/>
      <c r="SHI14" s="38"/>
      <c r="SHJ14" s="38"/>
      <c r="SHK14" s="38"/>
      <c r="SHL14" s="38"/>
      <c r="SHM14" s="38"/>
      <c r="SHN14" s="38"/>
      <c r="SHO14" s="38"/>
      <c r="SHP14" s="38"/>
      <c r="SHQ14" s="38"/>
      <c r="SHR14" s="38"/>
      <c r="SHS14" s="38"/>
      <c r="SHT14" s="38"/>
      <c r="SHU14" s="38"/>
      <c r="SHV14" s="38"/>
      <c r="SHW14" s="38"/>
      <c r="SHX14" s="38"/>
      <c r="SHY14" s="38"/>
      <c r="SHZ14" s="38"/>
      <c r="SIA14" s="38"/>
      <c r="SIB14" s="38"/>
      <c r="SIC14" s="38"/>
      <c r="SID14" s="38"/>
      <c r="SIE14" s="38"/>
      <c r="SIF14" s="38"/>
      <c r="SIG14" s="38"/>
      <c r="SIH14" s="38"/>
      <c r="SII14" s="38"/>
      <c r="SIJ14" s="38"/>
      <c r="SIK14" s="38"/>
      <c r="SIL14" s="38"/>
      <c r="SIM14" s="38"/>
      <c r="SIN14" s="38"/>
      <c r="SIO14" s="38"/>
      <c r="SIP14" s="38"/>
      <c r="SIQ14" s="38"/>
      <c r="SIR14" s="38"/>
      <c r="SIS14" s="38"/>
      <c r="SIT14" s="38"/>
      <c r="SIU14" s="38"/>
      <c r="SIV14" s="38"/>
      <c r="SIW14" s="38"/>
      <c r="SIX14" s="38"/>
      <c r="SIY14" s="38"/>
      <c r="SIZ14" s="38"/>
      <c r="SJA14" s="38"/>
      <c r="SJB14" s="38"/>
      <c r="SJC14" s="38"/>
      <c r="SJD14" s="38"/>
      <c r="SJE14" s="38"/>
      <c r="SJF14" s="38"/>
      <c r="SJG14" s="38"/>
      <c r="SJH14" s="38"/>
      <c r="SJI14" s="38"/>
      <c r="SJJ14" s="38"/>
      <c r="SJK14" s="38"/>
      <c r="SJL14" s="38"/>
      <c r="SJM14" s="38"/>
      <c r="SJN14" s="38"/>
      <c r="SJO14" s="38"/>
      <c r="SJP14" s="38"/>
      <c r="SJQ14" s="38"/>
      <c r="SJR14" s="38"/>
      <c r="SJS14" s="38"/>
      <c r="SJT14" s="38"/>
      <c r="SJU14" s="38"/>
      <c r="SJV14" s="38"/>
      <c r="SJW14" s="38"/>
      <c r="SJX14" s="38"/>
      <c r="SJY14" s="38"/>
      <c r="SJZ14" s="38"/>
      <c r="SKA14" s="38"/>
      <c r="SKB14" s="38"/>
      <c r="SKC14" s="38"/>
      <c r="SKD14" s="38"/>
      <c r="SKE14" s="38"/>
      <c r="SKF14" s="38"/>
      <c r="SKG14" s="38"/>
      <c r="SKH14" s="38"/>
      <c r="SKI14" s="38"/>
      <c r="SKJ14" s="38"/>
      <c r="SKK14" s="38"/>
      <c r="SKL14" s="38"/>
      <c r="SKM14" s="38"/>
      <c r="SKN14" s="38"/>
      <c r="SKO14" s="38"/>
      <c r="SKP14" s="38"/>
      <c r="SKQ14" s="38"/>
      <c r="SKR14" s="38"/>
      <c r="SKS14" s="38"/>
      <c r="SKT14" s="38"/>
      <c r="SKU14" s="38"/>
      <c r="SKV14" s="38"/>
      <c r="SKW14" s="38"/>
      <c r="SKX14" s="38"/>
      <c r="SKY14" s="38"/>
      <c r="SKZ14" s="38"/>
      <c r="SLA14" s="38"/>
      <c r="SLB14" s="38"/>
      <c r="SLC14" s="38"/>
      <c r="SLD14" s="38"/>
      <c r="SLE14" s="38"/>
      <c r="SLF14" s="38"/>
      <c r="SLG14" s="38"/>
      <c r="SLH14" s="38"/>
      <c r="SLI14" s="38"/>
      <c r="SLJ14" s="38"/>
      <c r="SLK14" s="38"/>
      <c r="SLL14" s="38"/>
      <c r="SLM14" s="38"/>
      <c r="SLN14" s="38"/>
      <c r="SLO14" s="38"/>
      <c r="SLP14" s="38"/>
      <c r="SLQ14" s="38"/>
      <c r="SLR14" s="38"/>
      <c r="SLS14" s="38"/>
      <c r="SLT14" s="38"/>
      <c r="SLU14" s="38"/>
      <c r="SLV14" s="38"/>
      <c r="SLW14" s="38"/>
      <c r="SLX14" s="38"/>
      <c r="SLY14" s="38"/>
      <c r="SLZ14" s="38"/>
      <c r="SMA14" s="38"/>
      <c r="SMB14" s="38"/>
      <c r="SMC14" s="38"/>
      <c r="SMD14" s="38"/>
      <c r="SME14" s="38"/>
      <c r="SMF14" s="38"/>
      <c r="SMG14" s="38"/>
      <c r="SMH14" s="38"/>
      <c r="SMI14" s="38"/>
      <c r="SMJ14" s="38"/>
      <c r="SMK14" s="38"/>
      <c r="SML14" s="38"/>
      <c r="SMM14" s="38"/>
      <c r="SMN14" s="38"/>
      <c r="SMO14" s="38"/>
      <c r="SMP14" s="38"/>
      <c r="SMQ14" s="38"/>
      <c r="SMR14" s="38"/>
      <c r="SMS14" s="38"/>
      <c r="SMT14" s="38"/>
      <c r="SMU14" s="38"/>
      <c r="SMV14" s="38"/>
      <c r="SMW14" s="38"/>
      <c r="SMX14" s="38"/>
      <c r="SMY14" s="38"/>
      <c r="SMZ14" s="38"/>
      <c r="SNA14" s="38"/>
      <c r="SNB14" s="38"/>
      <c r="SNC14" s="38"/>
      <c r="SND14" s="38"/>
      <c r="SNE14" s="38"/>
      <c r="SNF14" s="38"/>
      <c r="SNG14" s="38"/>
      <c r="SNH14" s="38"/>
      <c r="SNI14" s="38"/>
      <c r="SNJ14" s="38"/>
      <c r="SNK14" s="38"/>
      <c r="SNL14" s="38"/>
      <c r="SNM14" s="38"/>
      <c r="SNN14" s="38"/>
      <c r="SNO14" s="38"/>
      <c r="SNP14" s="38"/>
      <c r="SNQ14" s="38"/>
      <c r="SNR14" s="38"/>
      <c r="SNS14" s="38"/>
      <c r="SNT14" s="38"/>
      <c r="SNU14" s="38"/>
      <c r="SNV14" s="38"/>
      <c r="SNW14" s="38"/>
      <c r="SNX14" s="38"/>
      <c r="SNY14" s="38"/>
      <c r="SNZ14" s="38"/>
      <c r="SOA14" s="38"/>
      <c r="SOB14" s="38"/>
      <c r="SOC14" s="38"/>
      <c r="SOD14" s="38"/>
      <c r="SOE14" s="38"/>
      <c r="SOF14" s="38"/>
      <c r="SOG14" s="38"/>
      <c r="SOH14" s="38"/>
      <c r="SOI14" s="38"/>
      <c r="SOJ14" s="38"/>
      <c r="SOK14" s="38"/>
      <c r="SOL14" s="38"/>
      <c r="SOM14" s="38"/>
      <c r="SON14" s="38"/>
      <c r="SOO14" s="38"/>
      <c r="SOP14" s="38"/>
      <c r="SOQ14" s="38"/>
      <c r="SOR14" s="38"/>
      <c r="SOS14" s="38"/>
      <c r="SOT14" s="38"/>
      <c r="SOU14" s="38"/>
      <c r="SOV14" s="38"/>
      <c r="SOW14" s="38"/>
      <c r="SOX14" s="38"/>
      <c r="SOY14" s="38"/>
      <c r="SOZ14" s="38"/>
      <c r="SPA14" s="38"/>
      <c r="SPB14" s="38"/>
      <c r="SPC14" s="38"/>
      <c r="SPD14" s="38"/>
      <c r="SPE14" s="38"/>
      <c r="SPF14" s="38"/>
      <c r="SPG14" s="38"/>
      <c r="SPH14" s="38"/>
      <c r="SPI14" s="38"/>
      <c r="SPJ14" s="38"/>
      <c r="SPK14" s="38"/>
      <c r="SPL14" s="38"/>
      <c r="SPM14" s="38"/>
      <c r="SPN14" s="38"/>
      <c r="SPO14" s="38"/>
      <c r="SPP14" s="38"/>
      <c r="SPQ14" s="38"/>
      <c r="SPR14" s="38"/>
      <c r="SPS14" s="38"/>
      <c r="SPT14" s="38"/>
      <c r="SPU14" s="38"/>
      <c r="SPV14" s="38"/>
      <c r="SPW14" s="38"/>
      <c r="SPX14" s="38"/>
      <c r="SPY14" s="38"/>
      <c r="SPZ14" s="38"/>
      <c r="SQA14" s="38"/>
      <c r="SQB14" s="38"/>
      <c r="SQC14" s="38"/>
      <c r="SQD14" s="38"/>
      <c r="SQE14" s="38"/>
      <c r="SQF14" s="38"/>
      <c r="SQG14" s="38"/>
      <c r="SQH14" s="38"/>
      <c r="SQI14" s="38"/>
      <c r="SQJ14" s="38"/>
      <c r="SQK14" s="38"/>
      <c r="SQL14" s="38"/>
      <c r="SQM14" s="38"/>
      <c r="SQN14" s="38"/>
      <c r="SQO14" s="38"/>
      <c r="SQP14" s="38"/>
      <c r="SQQ14" s="38"/>
      <c r="SQR14" s="38"/>
      <c r="SQS14" s="38"/>
      <c r="SQT14" s="38"/>
      <c r="SQU14" s="38"/>
      <c r="SQV14" s="38"/>
      <c r="SQW14" s="38"/>
      <c r="SQX14" s="38"/>
      <c r="SQY14" s="38"/>
      <c r="SQZ14" s="38"/>
      <c r="SRA14" s="38"/>
      <c r="SRB14" s="38"/>
      <c r="SRC14" s="38"/>
      <c r="SRD14" s="38"/>
      <c r="SRE14" s="38"/>
      <c r="SRF14" s="38"/>
      <c r="SRG14" s="38"/>
      <c r="SRH14" s="38"/>
      <c r="SRI14" s="38"/>
      <c r="SRJ14" s="38"/>
      <c r="SRK14" s="38"/>
      <c r="SRL14" s="38"/>
      <c r="SRM14" s="38"/>
      <c r="SRN14" s="38"/>
      <c r="SRO14" s="38"/>
      <c r="SRP14" s="38"/>
      <c r="SRQ14" s="38"/>
      <c r="SRR14" s="38"/>
      <c r="SRS14" s="38"/>
      <c r="SRT14" s="38"/>
      <c r="SRU14" s="38"/>
      <c r="SRV14" s="38"/>
      <c r="SRW14" s="38"/>
      <c r="SRX14" s="38"/>
      <c r="SRY14" s="38"/>
      <c r="SRZ14" s="38"/>
      <c r="SSA14" s="38"/>
      <c r="SSB14" s="38"/>
      <c r="SSC14" s="38"/>
      <c r="SSD14" s="38"/>
      <c r="SSE14" s="38"/>
      <c r="SSF14" s="38"/>
      <c r="SSG14" s="38"/>
      <c r="SSH14" s="38"/>
      <c r="SSI14" s="38"/>
      <c r="SSJ14" s="38"/>
      <c r="SSK14" s="38"/>
      <c r="SSL14" s="38"/>
      <c r="SSM14" s="38"/>
      <c r="SSN14" s="38"/>
      <c r="SSO14" s="38"/>
      <c r="SSP14" s="38"/>
      <c r="SSQ14" s="38"/>
      <c r="SSR14" s="38"/>
      <c r="SSS14" s="38"/>
      <c r="SST14" s="38"/>
      <c r="SSU14" s="38"/>
      <c r="SSV14" s="38"/>
      <c r="SSW14" s="38"/>
      <c r="SSX14" s="38"/>
      <c r="SSY14" s="38"/>
      <c r="SSZ14" s="38"/>
      <c r="STA14" s="38"/>
      <c r="STB14" s="38"/>
      <c r="STC14" s="38"/>
      <c r="STD14" s="38"/>
      <c r="STE14" s="38"/>
      <c r="STF14" s="38"/>
      <c r="STG14" s="38"/>
      <c r="STH14" s="38"/>
      <c r="STI14" s="38"/>
      <c r="STJ14" s="38"/>
      <c r="STK14" s="38"/>
      <c r="STL14" s="38"/>
      <c r="STM14" s="38"/>
      <c r="STN14" s="38"/>
      <c r="STO14" s="38"/>
      <c r="STP14" s="38"/>
      <c r="STQ14" s="38"/>
      <c r="STR14" s="38"/>
      <c r="STS14" s="38"/>
      <c r="STT14" s="38"/>
      <c r="STU14" s="38"/>
      <c r="STV14" s="38"/>
      <c r="STW14" s="38"/>
      <c r="STX14" s="38"/>
      <c r="STY14" s="38"/>
      <c r="STZ14" s="38"/>
      <c r="SUA14" s="38"/>
      <c r="SUB14" s="38"/>
      <c r="SUC14" s="38"/>
      <c r="SUD14" s="38"/>
      <c r="SUE14" s="38"/>
      <c r="SUF14" s="38"/>
      <c r="SUG14" s="38"/>
      <c r="SUH14" s="38"/>
      <c r="SUI14" s="38"/>
      <c r="SUJ14" s="38"/>
      <c r="SUK14" s="38"/>
      <c r="SUL14" s="38"/>
      <c r="SUM14" s="38"/>
      <c r="SUN14" s="38"/>
      <c r="SUO14" s="38"/>
      <c r="SUP14" s="38"/>
      <c r="SUQ14" s="38"/>
      <c r="SUR14" s="38"/>
      <c r="SUS14" s="38"/>
      <c r="SUT14" s="38"/>
      <c r="SUU14" s="38"/>
      <c r="SUV14" s="38"/>
      <c r="SUW14" s="38"/>
      <c r="SUX14" s="38"/>
      <c r="SUY14" s="38"/>
      <c r="SUZ14" s="38"/>
      <c r="SVA14" s="38"/>
      <c r="SVB14" s="38"/>
      <c r="SVC14" s="38"/>
      <c r="SVD14" s="38"/>
      <c r="SVE14" s="38"/>
      <c r="SVF14" s="38"/>
      <c r="SVG14" s="38"/>
      <c r="SVH14" s="38"/>
      <c r="SVI14" s="38"/>
      <c r="SVJ14" s="38"/>
      <c r="SVK14" s="38"/>
      <c r="SVL14" s="38"/>
      <c r="SVM14" s="38"/>
      <c r="SVN14" s="38"/>
      <c r="SVO14" s="38"/>
      <c r="SVP14" s="38"/>
      <c r="SVQ14" s="38"/>
      <c r="SVR14" s="38"/>
      <c r="SVS14" s="38"/>
      <c r="SVT14" s="38"/>
      <c r="SVU14" s="38"/>
      <c r="SVV14" s="38"/>
      <c r="SVW14" s="38"/>
      <c r="SVX14" s="38"/>
      <c r="SVY14" s="38"/>
      <c r="SVZ14" s="38"/>
      <c r="SWA14" s="38"/>
      <c r="SWB14" s="38"/>
      <c r="SWC14" s="38"/>
      <c r="SWD14" s="38"/>
      <c r="SWE14" s="38"/>
      <c r="SWF14" s="38"/>
      <c r="SWG14" s="38"/>
      <c r="SWH14" s="38"/>
      <c r="SWI14" s="38"/>
      <c r="SWJ14" s="38"/>
      <c r="SWK14" s="38"/>
      <c r="SWL14" s="38"/>
      <c r="SWM14" s="38"/>
      <c r="SWN14" s="38"/>
      <c r="SWO14" s="38"/>
      <c r="SWP14" s="38"/>
      <c r="SWQ14" s="38"/>
      <c r="SWR14" s="38"/>
      <c r="SWS14" s="38"/>
      <c r="SWT14" s="38"/>
      <c r="SWU14" s="38"/>
      <c r="SWV14" s="38"/>
      <c r="SWW14" s="38"/>
      <c r="SWX14" s="38"/>
      <c r="SWY14" s="38"/>
      <c r="SWZ14" s="38"/>
      <c r="SXA14" s="38"/>
      <c r="SXB14" s="38"/>
      <c r="SXC14" s="38"/>
      <c r="SXD14" s="38"/>
      <c r="SXE14" s="38"/>
      <c r="SXF14" s="38"/>
      <c r="SXG14" s="38"/>
      <c r="SXH14" s="38"/>
      <c r="SXI14" s="38"/>
      <c r="SXJ14" s="38"/>
      <c r="SXK14" s="38"/>
      <c r="SXL14" s="38"/>
      <c r="SXM14" s="38"/>
      <c r="SXN14" s="38"/>
      <c r="SXO14" s="38"/>
      <c r="SXP14" s="38"/>
      <c r="SXQ14" s="38"/>
      <c r="SXR14" s="38"/>
      <c r="SXS14" s="38"/>
      <c r="SXT14" s="38"/>
      <c r="SXU14" s="38"/>
      <c r="SXV14" s="38"/>
      <c r="SXW14" s="38"/>
      <c r="SXX14" s="38"/>
      <c r="SXY14" s="38"/>
      <c r="SXZ14" s="38"/>
      <c r="SYA14" s="38"/>
      <c r="SYB14" s="38"/>
      <c r="SYC14" s="38"/>
      <c r="SYD14" s="38"/>
      <c r="SYE14" s="38"/>
      <c r="SYF14" s="38"/>
      <c r="SYG14" s="38"/>
      <c r="SYH14" s="38"/>
      <c r="SYI14" s="38"/>
      <c r="SYJ14" s="38"/>
      <c r="SYK14" s="38"/>
      <c r="SYL14" s="38"/>
      <c r="SYM14" s="38"/>
      <c r="SYN14" s="38"/>
      <c r="SYO14" s="38"/>
      <c r="SYP14" s="38"/>
      <c r="SYQ14" s="38"/>
      <c r="SYR14" s="38"/>
      <c r="SYS14" s="38"/>
      <c r="SYT14" s="38"/>
      <c r="SYU14" s="38"/>
      <c r="SYV14" s="38"/>
      <c r="SYW14" s="38"/>
      <c r="SYX14" s="38"/>
      <c r="SYY14" s="38"/>
      <c r="SYZ14" s="38"/>
      <c r="SZA14" s="38"/>
      <c r="SZB14" s="38"/>
      <c r="SZC14" s="38"/>
      <c r="SZD14" s="38"/>
      <c r="SZE14" s="38"/>
      <c r="SZF14" s="38"/>
      <c r="SZG14" s="38"/>
      <c r="SZH14" s="38"/>
      <c r="SZI14" s="38"/>
      <c r="SZJ14" s="38"/>
      <c r="SZK14" s="38"/>
      <c r="SZL14" s="38"/>
      <c r="SZM14" s="38"/>
      <c r="SZN14" s="38"/>
      <c r="SZO14" s="38"/>
      <c r="SZP14" s="38"/>
      <c r="SZQ14" s="38"/>
      <c r="SZR14" s="38"/>
      <c r="SZS14" s="38"/>
      <c r="SZT14" s="38"/>
      <c r="SZU14" s="38"/>
      <c r="SZV14" s="38"/>
      <c r="SZW14" s="38"/>
      <c r="SZX14" s="38"/>
      <c r="SZY14" s="38"/>
      <c r="SZZ14" s="38"/>
      <c r="TAA14" s="38"/>
      <c r="TAB14" s="38"/>
      <c r="TAC14" s="38"/>
      <c r="TAD14" s="38"/>
      <c r="TAE14" s="38"/>
      <c r="TAF14" s="38"/>
      <c r="TAG14" s="38"/>
      <c r="TAH14" s="38"/>
      <c r="TAI14" s="38"/>
      <c r="TAJ14" s="38"/>
      <c r="TAK14" s="38"/>
      <c r="TAL14" s="38"/>
      <c r="TAM14" s="38"/>
      <c r="TAN14" s="38"/>
      <c r="TAO14" s="38"/>
      <c r="TAP14" s="38"/>
      <c r="TAQ14" s="38"/>
      <c r="TAR14" s="38"/>
      <c r="TAS14" s="38"/>
      <c r="TAT14" s="38"/>
      <c r="TAU14" s="38"/>
      <c r="TAV14" s="38"/>
      <c r="TAW14" s="38"/>
      <c r="TAX14" s="38"/>
      <c r="TAY14" s="38"/>
      <c r="TAZ14" s="38"/>
      <c r="TBA14" s="38"/>
      <c r="TBB14" s="38"/>
      <c r="TBC14" s="38"/>
      <c r="TBD14" s="38"/>
      <c r="TBE14" s="38"/>
      <c r="TBF14" s="38"/>
      <c r="TBG14" s="38"/>
      <c r="TBH14" s="38"/>
      <c r="TBI14" s="38"/>
      <c r="TBJ14" s="38"/>
      <c r="TBK14" s="38"/>
      <c r="TBL14" s="38"/>
      <c r="TBM14" s="38"/>
      <c r="TBN14" s="38"/>
      <c r="TBO14" s="38"/>
      <c r="TBP14" s="38"/>
      <c r="TBQ14" s="38"/>
      <c r="TBR14" s="38"/>
      <c r="TBS14" s="38"/>
      <c r="TBT14" s="38"/>
      <c r="TBU14" s="38"/>
      <c r="TBV14" s="38"/>
      <c r="TBW14" s="38"/>
      <c r="TBX14" s="38"/>
      <c r="TBY14" s="38"/>
      <c r="TBZ14" s="38"/>
      <c r="TCA14" s="38"/>
      <c r="TCB14" s="38"/>
      <c r="TCC14" s="38"/>
      <c r="TCD14" s="38"/>
      <c r="TCE14" s="38"/>
      <c r="TCF14" s="38"/>
      <c r="TCG14" s="38"/>
      <c r="TCH14" s="38"/>
      <c r="TCI14" s="38"/>
      <c r="TCJ14" s="38"/>
      <c r="TCK14" s="38"/>
      <c r="TCL14" s="38"/>
      <c r="TCM14" s="38"/>
      <c r="TCN14" s="38"/>
      <c r="TCO14" s="38"/>
      <c r="TCP14" s="38"/>
      <c r="TCQ14" s="38"/>
      <c r="TCR14" s="38"/>
      <c r="TCS14" s="38"/>
      <c r="TCT14" s="38"/>
      <c r="TCU14" s="38"/>
      <c r="TCV14" s="38"/>
      <c r="TCW14" s="38"/>
      <c r="TCX14" s="38"/>
      <c r="TCY14" s="38"/>
      <c r="TCZ14" s="38"/>
      <c r="TDA14" s="38"/>
      <c r="TDB14" s="38"/>
      <c r="TDC14" s="38"/>
      <c r="TDD14" s="38"/>
      <c r="TDE14" s="38"/>
      <c r="TDF14" s="38"/>
      <c r="TDG14" s="38"/>
      <c r="TDH14" s="38"/>
      <c r="TDI14" s="38"/>
      <c r="TDJ14" s="38"/>
      <c r="TDK14" s="38"/>
      <c r="TDL14" s="38"/>
      <c r="TDM14" s="38"/>
      <c r="TDN14" s="38"/>
      <c r="TDO14" s="38"/>
      <c r="TDP14" s="38"/>
      <c r="TDQ14" s="38"/>
      <c r="TDR14" s="38"/>
      <c r="TDS14" s="38"/>
      <c r="TDT14" s="38"/>
      <c r="TDU14" s="38"/>
      <c r="TDV14" s="38"/>
      <c r="TDW14" s="38"/>
      <c r="TDX14" s="38"/>
      <c r="TDY14" s="38"/>
      <c r="TDZ14" s="38"/>
      <c r="TEA14" s="38"/>
      <c r="TEB14" s="38"/>
      <c r="TEC14" s="38"/>
      <c r="TED14" s="38"/>
      <c r="TEE14" s="38"/>
      <c r="TEF14" s="38"/>
      <c r="TEG14" s="38"/>
      <c r="TEH14" s="38"/>
      <c r="TEI14" s="38"/>
      <c r="TEJ14" s="38"/>
      <c r="TEK14" s="38"/>
      <c r="TEL14" s="38"/>
      <c r="TEM14" s="38"/>
      <c r="TEN14" s="38"/>
      <c r="TEO14" s="38"/>
      <c r="TEP14" s="38"/>
      <c r="TEQ14" s="38"/>
      <c r="TER14" s="38"/>
      <c r="TES14" s="38"/>
      <c r="TET14" s="38"/>
      <c r="TEU14" s="38"/>
      <c r="TEV14" s="38"/>
      <c r="TEW14" s="38"/>
      <c r="TEX14" s="38"/>
      <c r="TEY14" s="38"/>
      <c r="TEZ14" s="38"/>
      <c r="TFA14" s="38"/>
      <c r="TFB14" s="38"/>
      <c r="TFC14" s="38"/>
      <c r="TFD14" s="38"/>
      <c r="TFE14" s="38"/>
      <c r="TFF14" s="38"/>
      <c r="TFG14" s="38"/>
      <c r="TFH14" s="38"/>
      <c r="TFI14" s="38"/>
      <c r="TFJ14" s="38"/>
      <c r="TFK14" s="38"/>
      <c r="TFL14" s="38"/>
      <c r="TFM14" s="38"/>
      <c r="TFN14" s="38"/>
      <c r="TFO14" s="38"/>
      <c r="TFP14" s="38"/>
      <c r="TFQ14" s="38"/>
      <c r="TFR14" s="38"/>
      <c r="TFS14" s="38"/>
      <c r="TFT14" s="38"/>
      <c r="TFU14" s="38"/>
      <c r="TFV14" s="38"/>
      <c r="TFW14" s="38"/>
      <c r="TFX14" s="38"/>
      <c r="TFY14" s="38"/>
      <c r="TFZ14" s="38"/>
      <c r="TGA14" s="38"/>
      <c r="TGB14" s="38"/>
      <c r="TGC14" s="38"/>
      <c r="TGD14" s="38"/>
      <c r="TGE14" s="38"/>
      <c r="TGF14" s="38"/>
      <c r="TGG14" s="38"/>
      <c r="TGH14" s="38"/>
      <c r="TGI14" s="38"/>
      <c r="TGJ14" s="38"/>
      <c r="TGK14" s="38"/>
      <c r="TGL14" s="38"/>
      <c r="TGM14" s="38"/>
      <c r="TGN14" s="38"/>
      <c r="TGO14" s="38"/>
      <c r="TGP14" s="38"/>
      <c r="TGQ14" s="38"/>
      <c r="TGR14" s="38"/>
      <c r="TGS14" s="38"/>
      <c r="TGT14" s="38"/>
      <c r="TGU14" s="38"/>
      <c r="TGV14" s="38"/>
      <c r="TGW14" s="38"/>
      <c r="TGX14" s="38"/>
      <c r="TGY14" s="38"/>
      <c r="TGZ14" s="38"/>
      <c r="THA14" s="38"/>
      <c r="THB14" s="38"/>
      <c r="THC14" s="38"/>
      <c r="THD14" s="38"/>
      <c r="THE14" s="38"/>
      <c r="THF14" s="38"/>
      <c r="THG14" s="38"/>
      <c r="THH14" s="38"/>
      <c r="THI14" s="38"/>
      <c r="THJ14" s="38"/>
      <c r="THK14" s="38"/>
      <c r="THL14" s="38"/>
      <c r="THM14" s="38"/>
      <c r="THN14" s="38"/>
      <c r="THO14" s="38"/>
      <c r="THP14" s="38"/>
      <c r="THQ14" s="38"/>
      <c r="THR14" s="38"/>
      <c r="THS14" s="38"/>
      <c r="THT14" s="38"/>
      <c r="THU14" s="38"/>
      <c r="THV14" s="38"/>
      <c r="THW14" s="38"/>
      <c r="THX14" s="38"/>
      <c r="THY14" s="38"/>
      <c r="THZ14" s="38"/>
      <c r="TIA14" s="38"/>
      <c r="TIB14" s="38"/>
      <c r="TIC14" s="38"/>
      <c r="TID14" s="38"/>
      <c r="TIE14" s="38"/>
      <c r="TIF14" s="38"/>
      <c r="TIG14" s="38"/>
      <c r="TIH14" s="38"/>
      <c r="TII14" s="38"/>
      <c r="TIJ14" s="38"/>
      <c r="TIK14" s="38"/>
      <c r="TIL14" s="38"/>
      <c r="TIM14" s="38"/>
      <c r="TIN14" s="38"/>
      <c r="TIO14" s="38"/>
      <c r="TIP14" s="38"/>
      <c r="TIQ14" s="38"/>
      <c r="TIR14" s="38"/>
      <c r="TIS14" s="38"/>
      <c r="TIT14" s="38"/>
      <c r="TIU14" s="38"/>
      <c r="TIV14" s="38"/>
      <c r="TIW14" s="38"/>
      <c r="TIX14" s="38"/>
      <c r="TIY14" s="38"/>
      <c r="TIZ14" s="38"/>
      <c r="TJA14" s="38"/>
      <c r="TJB14" s="38"/>
      <c r="TJC14" s="38"/>
      <c r="TJD14" s="38"/>
      <c r="TJE14" s="38"/>
      <c r="TJF14" s="38"/>
      <c r="TJG14" s="38"/>
      <c r="TJH14" s="38"/>
      <c r="TJI14" s="38"/>
      <c r="TJJ14" s="38"/>
      <c r="TJK14" s="38"/>
      <c r="TJL14" s="38"/>
      <c r="TJM14" s="38"/>
      <c r="TJN14" s="38"/>
      <c r="TJO14" s="38"/>
      <c r="TJP14" s="38"/>
      <c r="TJQ14" s="38"/>
      <c r="TJR14" s="38"/>
      <c r="TJS14" s="38"/>
      <c r="TJT14" s="38"/>
      <c r="TJU14" s="38"/>
      <c r="TJV14" s="38"/>
      <c r="TJW14" s="38"/>
      <c r="TJX14" s="38"/>
      <c r="TJY14" s="38"/>
      <c r="TJZ14" s="38"/>
      <c r="TKA14" s="38"/>
      <c r="TKB14" s="38"/>
      <c r="TKC14" s="38"/>
      <c r="TKD14" s="38"/>
      <c r="TKE14" s="38"/>
      <c r="TKF14" s="38"/>
      <c r="TKG14" s="38"/>
      <c r="TKH14" s="38"/>
      <c r="TKI14" s="38"/>
      <c r="TKJ14" s="38"/>
      <c r="TKK14" s="38"/>
      <c r="TKL14" s="38"/>
      <c r="TKM14" s="38"/>
      <c r="TKN14" s="38"/>
      <c r="TKO14" s="38"/>
      <c r="TKP14" s="38"/>
      <c r="TKQ14" s="38"/>
      <c r="TKR14" s="38"/>
      <c r="TKS14" s="38"/>
      <c r="TKT14" s="38"/>
      <c r="TKU14" s="38"/>
      <c r="TKV14" s="38"/>
      <c r="TKW14" s="38"/>
      <c r="TKX14" s="38"/>
      <c r="TKY14" s="38"/>
      <c r="TKZ14" s="38"/>
      <c r="TLA14" s="38"/>
      <c r="TLB14" s="38"/>
      <c r="TLC14" s="38"/>
      <c r="TLD14" s="38"/>
      <c r="TLE14" s="38"/>
      <c r="TLF14" s="38"/>
      <c r="TLG14" s="38"/>
      <c r="TLH14" s="38"/>
      <c r="TLI14" s="38"/>
      <c r="TLJ14" s="38"/>
      <c r="TLK14" s="38"/>
      <c r="TLL14" s="38"/>
      <c r="TLM14" s="38"/>
      <c r="TLN14" s="38"/>
      <c r="TLO14" s="38"/>
      <c r="TLP14" s="38"/>
      <c r="TLQ14" s="38"/>
      <c r="TLR14" s="38"/>
      <c r="TLS14" s="38"/>
      <c r="TLT14" s="38"/>
      <c r="TLU14" s="38"/>
      <c r="TLV14" s="38"/>
      <c r="TLW14" s="38"/>
      <c r="TLX14" s="38"/>
      <c r="TLY14" s="38"/>
      <c r="TLZ14" s="38"/>
      <c r="TMA14" s="38"/>
      <c r="TMB14" s="38"/>
      <c r="TMC14" s="38"/>
      <c r="TMD14" s="38"/>
      <c r="TME14" s="38"/>
      <c r="TMF14" s="38"/>
      <c r="TMG14" s="38"/>
      <c r="TMH14" s="38"/>
      <c r="TMI14" s="38"/>
      <c r="TMJ14" s="38"/>
      <c r="TMK14" s="38"/>
      <c r="TML14" s="38"/>
      <c r="TMM14" s="38"/>
      <c r="TMN14" s="38"/>
      <c r="TMO14" s="38"/>
      <c r="TMP14" s="38"/>
      <c r="TMQ14" s="38"/>
      <c r="TMR14" s="38"/>
      <c r="TMS14" s="38"/>
      <c r="TMT14" s="38"/>
      <c r="TMU14" s="38"/>
      <c r="TMV14" s="38"/>
      <c r="TMW14" s="38"/>
      <c r="TMX14" s="38"/>
      <c r="TMY14" s="38"/>
      <c r="TMZ14" s="38"/>
      <c r="TNA14" s="38"/>
      <c r="TNB14" s="38"/>
      <c r="TNC14" s="38"/>
      <c r="TND14" s="38"/>
      <c r="TNE14" s="38"/>
      <c r="TNF14" s="38"/>
      <c r="TNG14" s="38"/>
      <c r="TNH14" s="38"/>
      <c r="TNI14" s="38"/>
      <c r="TNJ14" s="38"/>
      <c r="TNK14" s="38"/>
      <c r="TNL14" s="38"/>
      <c r="TNM14" s="38"/>
      <c r="TNN14" s="38"/>
      <c r="TNO14" s="38"/>
      <c r="TNP14" s="38"/>
      <c r="TNQ14" s="38"/>
      <c r="TNR14" s="38"/>
      <c r="TNS14" s="38"/>
      <c r="TNT14" s="38"/>
      <c r="TNU14" s="38"/>
      <c r="TNV14" s="38"/>
      <c r="TNW14" s="38"/>
      <c r="TNX14" s="38"/>
      <c r="TNY14" s="38"/>
      <c r="TNZ14" s="38"/>
      <c r="TOA14" s="38"/>
      <c r="TOB14" s="38"/>
      <c r="TOC14" s="38"/>
      <c r="TOD14" s="38"/>
      <c r="TOE14" s="38"/>
      <c r="TOF14" s="38"/>
      <c r="TOG14" s="38"/>
      <c r="TOH14" s="38"/>
      <c r="TOI14" s="38"/>
      <c r="TOJ14" s="38"/>
      <c r="TOK14" s="38"/>
      <c r="TOL14" s="38"/>
      <c r="TOM14" s="38"/>
      <c r="TON14" s="38"/>
      <c r="TOO14" s="38"/>
      <c r="TOP14" s="38"/>
      <c r="TOQ14" s="38"/>
      <c r="TOR14" s="38"/>
      <c r="TOS14" s="38"/>
      <c r="TOT14" s="38"/>
      <c r="TOU14" s="38"/>
      <c r="TOV14" s="38"/>
      <c r="TOW14" s="38"/>
      <c r="TOX14" s="38"/>
      <c r="TOY14" s="38"/>
      <c r="TOZ14" s="38"/>
      <c r="TPA14" s="38"/>
      <c r="TPB14" s="38"/>
      <c r="TPC14" s="38"/>
      <c r="TPD14" s="38"/>
      <c r="TPE14" s="38"/>
      <c r="TPF14" s="38"/>
      <c r="TPG14" s="38"/>
      <c r="TPH14" s="38"/>
      <c r="TPI14" s="38"/>
      <c r="TPJ14" s="38"/>
      <c r="TPK14" s="38"/>
      <c r="TPL14" s="38"/>
      <c r="TPM14" s="38"/>
      <c r="TPN14" s="38"/>
      <c r="TPO14" s="38"/>
      <c r="TPP14" s="38"/>
      <c r="TPQ14" s="38"/>
      <c r="TPR14" s="38"/>
      <c r="TPS14" s="38"/>
      <c r="TPT14" s="38"/>
      <c r="TPU14" s="38"/>
      <c r="TPV14" s="38"/>
      <c r="TPW14" s="38"/>
      <c r="TPX14" s="38"/>
      <c r="TPY14" s="38"/>
      <c r="TPZ14" s="38"/>
      <c r="TQA14" s="38"/>
      <c r="TQB14" s="38"/>
      <c r="TQC14" s="38"/>
      <c r="TQD14" s="38"/>
      <c r="TQE14" s="38"/>
      <c r="TQF14" s="38"/>
      <c r="TQG14" s="38"/>
      <c r="TQH14" s="38"/>
      <c r="TQI14" s="38"/>
      <c r="TQJ14" s="38"/>
      <c r="TQK14" s="38"/>
      <c r="TQL14" s="38"/>
      <c r="TQM14" s="38"/>
      <c r="TQN14" s="38"/>
      <c r="TQO14" s="38"/>
      <c r="TQP14" s="38"/>
      <c r="TQQ14" s="38"/>
      <c r="TQR14" s="38"/>
      <c r="TQS14" s="38"/>
      <c r="TQT14" s="38"/>
      <c r="TQU14" s="38"/>
      <c r="TQV14" s="38"/>
      <c r="TQW14" s="38"/>
      <c r="TQX14" s="38"/>
      <c r="TQY14" s="38"/>
      <c r="TQZ14" s="38"/>
      <c r="TRA14" s="38"/>
      <c r="TRB14" s="38"/>
      <c r="TRC14" s="38"/>
      <c r="TRD14" s="38"/>
      <c r="TRE14" s="38"/>
      <c r="TRF14" s="38"/>
      <c r="TRG14" s="38"/>
      <c r="TRH14" s="38"/>
      <c r="TRI14" s="38"/>
      <c r="TRJ14" s="38"/>
      <c r="TRK14" s="38"/>
      <c r="TRL14" s="38"/>
      <c r="TRM14" s="38"/>
      <c r="TRN14" s="38"/>
      <c r="TRO14" s="38"/>
      <c r="TRP14" s="38"/>
      <c r="TRQ14" s="38"/>
      <c r="TRR14" s="38"/>
      <c r="TRS14" s="38"/>
      <c r="TRT14" s="38"/>
      <c r="TRU14" s="38"/>
      <c r="TRV14" s="38"/>
      <c r="TRW14" s="38"/>
      <c r="TRX14" s="38"/>
      <c r="TRY14" s="38"/>
      <c r="TRZ14" s="38"/>
      <c r="TSA14" s="38"/>
      <c r="TSB14" s="38"/>
      <c r="TSC14" s="38"/>
      <c r="TSD14" s="38"/>
      <c r="TSE14" s="38"/>
      <c r="TSF14" s="38"/>
      <c r="TSG14" s="38"/>
      <c r="TSH14" s="38"/>
      <c r="TSI14" s="38"/>
      <c r="TSJ14" s="38"/>
      <c r="TSK14" s="38"/>
      <c r="TSL14" s="38"/>
      <c r="TSM14" s="38"/>
      <c r="TSN14" s="38"/>
      <c r="TSO14" s="38"/>
      <c r="TSP14" s="38"/>
      <c r="TSQ14" s="38"/>
      <c r="TSR14" s="38"/>
      <c r="TSS14" s="38"/>
      <c r="TST14" s="38"/>
      <c r="TSU14" s="38"/>
      <c r="TSV14" s="38"/>
      <c r="TSW14" s="38"/>
      <c r="TSX14" s="38"/>
      <c r="TSY14" s="38"/>
      <c r="TSZ14" s="38"/>
      <c r="TTA14" s="38"/>
      <c r="TTB14" s="38"/>
      <c r="TTC14" s="38"/>
      <c r="TTD14" s="38"/>
      <c r="TTE14" s="38"/>
      <c r="TTF14" s="38"/>
      <c r="TTG14" s="38"/>
      <c r="TTH14" s="38"/>
      <c r="TTI14" s="38"/>
      <c r="TTJ14" s="38"/>
      <c r="TTK14" s="38"/>
      <c r="TTL14" s="38"/>
      <c r="TTM14" s="38"/>
      <c r="TTN14" s="38"/>
      <c r="TTO14" s="38"/>
      <c r="TTP14" s="38"/>
      <c r="TTQ14" s="38"/>
      <c r="TTR14" s="38"/>
      <c r="TTS14" s="38"/>
      <c r="TTT14" s="38"/>
      <c r="TTU14" s="38"/>
      <c r="TTV14" s="38"/>
      <c r="TTW14" s="38"/>
      <c r="TTX14" s="38"/>
      <c r="TTY14" s="38"/>
      <c r="TTZ14" s="38"/>
      <c r="TUA14" s="38"/>
      <c r="TUB14" s="38"/>
      <c r="TUC14" s="38"/>
      <c r="TUD14" s="38"/>
      <c r="TUE14" s="38"/>
      <c r="TUF14" s="38"/>
      <c r="TUG14" s="38"/>
      <c r="TUH14" s="38"/>
      <c r="TUI14" s="38"/>
      <c r="TUJ14" s="38"/>
      <c r="TUK14" s="38"/>
      <c r="TUL14" s="38"/>
      <c r="TUM14" s="38"/>
      <c r="TUN14" s="38"/>
      <c r="TUO14" s="38"/>
      <c r="TUP14" s="38"/>
      <c r="TUQ14" s="38"/>
      <c r="TUR14" s="38"/>
      <c r="TUS14" s="38"/>
      <c r="TUT14" s="38"/>
      <c r="TUU14" s="38"/>
      <c r="TUV14" s="38"/>
      <c r="TUW14" s="38"/>
      <c r="TUX14" s="38"/>
      <c r="TUY14" s="38"/>
      <c r="TUZ14" s="38"/>
      <c r="TVA14" s="38"/>
      <c r="TVB14" s="38"/>
      <c r="TVC14" s="38"/>
      <c r="TVD14" s="38"/>
      <c r="TVE14" s="38"/>
      <c r="TVF14" s="38"/>
      <c r="TVG14" s="38"/>
      <c r="TVH14" s="38"/>
      <c r="TVI14" s="38"/>
      <c r="TVJ14" s="38"/>
      <c r="TVK14" s="38"/>
      <c r="TVL14" s="38"/>
      <c r="TVM14" s="38"/>
      <c r="TVN14" s="38"/>
      <c r="TVO14" s="38"/>
      <c r="TVP14" s="38"/>
      <c r="TVQ14" s="38"/>
      <c r="TVR14" s="38"/>
      <c r="TVS14" s="38"/>
      <c r="TVT14" s="38"/>
      <c r="TVU14" s="38"/>
      <c r="TVV14" s="38"/>
      <c r="TVW14" s="38"/>
      <c r="TVX14" s="38"/>
      <c r="TVY14" s="38"/>
      <c r="TVZ14" s="38"/>
      <c r="TWA14" s="38"/>
      <c r="TWB14" s="38"/>
      <c r="TWC14" s="38"/>
      <c r="TWD14" s="38"/>
      <c r="TWE14" s="38"/>
      <c r="TWF14" s="38"/>
      <c r="TWG14" s="38"/>
      <c r="TWH14" s="38"/>
      <c r="TWI14" s="38"/>
      <c r="TWJ14" s="38"/>
      <c r="TWK14" s="38"/>
      <c r="TWL14" s="38"/>
      <c r="TWM14" s="38"/>
      <c r="TWN14" s="38"/>
      <c r="TWO14" s="38"/>
      <c r="TWP14" s="38"/>
      <c r="TWQ14" s="38"/>
      <c r="TWR14" s="38"/>
      <c r="TWS14" s="38"/>
      <c r="TWT14" s="38"/>
      <c r="TWU14" s="38"/>
      <c r="TWV14" s="38"/>
      <c r="TWW14" s="38"/>
      <c r="TWX14" s="38"/>
      <c r="TWY14" s="38"/>
      <c r="TWZ14" s="38"/>
      <c r="TXA14" s="38"/>
      <c r="TXB14" s="38"/>
      <c r="TXC14" s="38"/>
      <c r="TXD14" s="38"/>
      <c r="TXE14" s="38"/>
      <c r="TXF14" s="38"/>
      <c r="TXG14" s="38"/>
      <c r="TXH14" s="38"/>
      <c r="TXI14" s="38"/>
      <c r="TXJ14" s="38"/>
      <c r="TXK14" s="38"/>
      <c r="TXL14" s="38"/>
      <c r="TXM14" s="38"/>
      <c r="TXN14" s="38"/>
      <c r="TXO14" s="38"/>
      <c r="TXP14" s="38"/>
      <c r="TXQ14" s="38"/>
      <c r="TXR14" s="38"/>
      <c r="TXS14" s="38"/>
      <c r="TXT14" s="38"/>
      <c r="TXU14" s="38"/>
      <c r="TXV14" s="38"/>
      <c r="TXW14" s="38"/>
      <c r="TXX14" s="38"/>
      <c r="TXY14" s="38"/>
      <c r="TXZ14" s="38"/>
      <c r="TYA14" s="38"/>
      <c r="TYB14" s="38"/>
      <c r="TYC14" s="38"/>
      <c r="TYD14" s="38"/>
      <c r="TYE14" s="38"/>
      <c r="TYF14" s="38"/>
      <c r="TYG14" s="38"/>
      <c r="TYH14" s="38"/>
      <c r="TYI14" s="38"/>
      <c r="TYJ14" s="38"/>
      <c r="TYK14" s="38"/>
      <c r="TYL14" s="38"/>
      <c r="TYM14" s="38"/>
      <c r="TYN14" s="38"/>
      <c r="TYO14" s="38"/>
      <c r="TYP14" s="38"/>
      <c r="TYQ14" s="38"/>
      <c r="TYR14" s="38"/>
      <c r="TYS14" s="38"/>
      <c r="TYT14" s="38"/>
      <c r="TYU14" s="38"/>
      <c r="TYV14" s="38"/>
      <c r="TYW14" s="38"/>
      <c r="TYX14" s="38"/>
      <c r="TYY14" s="38"/>
      <c r="TYZ14" s="38"/>
      <c r="TZA14" s="38"/>
      <c r="TZB14" s="38"/>
      <c r="TZC14" s="38"/>
      <c r="TZD14" s="38"/>
      <c r="TZE14" s="38"/>
      <c r="TZF14" s="38"/>
      <c r="TZG14" s="38"/>
      <c r="TZH14" s="38"/>
      <c r="TZI14" s="38"/>
      <c r="TZJ14" s="38"/>
      <c r="TZK14" s="38"/>
      <c r="TZL14" s="38"/>
      <c r="TZM14" s="38"/>
      <c r="TZN14" s="38"/>
      <c r="TZO14" s="38"/>
      <c r="TZP14" s="38"/>
      <c r="TZQ14" s="38"/>
      <c r="TZR14" s="38"/>
      <c r="TZS14" s="38"/>
      <c r="TZT14" s="38"/>
      <c r="TZU14" s="38"/>
      <c r="TZV14" s="38"/>
      <c r="TZW14" s="38"/>
      <c r="TZX14" s="38"/>
      <c r="TZY14" s="38"/>
      <c r="TZZ14" s="38"/>
      <c r="UAA14" s="38"/>
      <c r="UAB14" s="38"/>
      <c r="UAC14" s="38"/>
      <c r="UAD14" s="38"/>
      <c r="UAE14" s="38"/>
      <c r="UAF14" s="38"/>
      <c r="UAG14" s="38"/>
      <c r="UAH14" s="38"/>
      <c r="UAI14" s="38"/>
      <c r="UAJ14" s="38"/>
      <c r="UAK14" s="38"/>
      <c r="UAL14" s="38"/>
      <c r="UAM14" s="38"/>
      <c r="UAN14" s="38"/>
      <c r="UAO14" s="38"/>
      <c r="UAP14" s="38"/>
      <c r="UAQ14" s="38"/>
      <c r="UAR14" s="38"/>
      <c r="UAS14" s="38"/>
      <c r="UAT14" s="38"/>
      <c r="UAU14" s="38"/>
      <c r="UAV14" s="38"/>
      <c r="UAW14" s="38"/>
      <c r="UAX14" s="38"/>
      <c r="UAY14" s="38"/>
      <c r="UAZ14" s="38"/>
      <c r="UBA14" s="38"/>
      <c r="UBB14" s="38"/>
      <c r="UBC14" s="38"/>
      <c r="UBD14" s="38"/>
      <c r="UBE14" s="38"/>
      <c r="UBF14" s="38"/>
      <c r="UBG14" s="38"/>
      <c r="UBH14" s="38"/>
      <c r="UBI14" s="38"/>
      <c r="UBJ14" s="38"/>
      <c r="UBK14" s="38"/>
      <c r="UBL14" s="38"/>
      <c r="UBM14" s="38"/>
      <c r="UBN14" s="38"/>
      <c r="UBO14" s="38"/>
      <c r="UBP14" s="38"/>
      <c r="UBQ14" s="38"/>
      <c r="UBR14" s="38"/>
      <c r="UBS14" s="38"/>
      <c r="UBT14" s="38"/>
      <c r="UBU14" s="38"/>
      <c r="UBV14" s="38"/>
      <c r="UBW14" s="38"/>
      <c r="UBX14" s="38"/>
      <c r="UBY14" s="38"/>
      <c r="UBZ14" s="38"/>
      <c r="UCA14" s="38"/>
      <c r="UCB14" s="38"/>
      <c r="UCC14" s="38"/>
      <c r="UCD14" s="38"/>
      <c r="UCE14" s="38"/>
      <c r="UCF14" s="38"/>
      <c r="UCG14" s="38"/>
      <c r="UCH14" s="38"/>
      <c r="UCI14" s="38"/>
      <c r="UCJ14" s="38"/>
      <c r="UCK14" s="38"/>
      <c r="UCL14" s="38"/>
      <c r="UCM14" s="38"/>
      <c r="UCN14" s="38"/>
      <c r="UCO14" s="38"/>
      <c r="UCP14" s="38"/>
      <c r="UCQ14" s="38"/>
      <c r="UCR14" s="38"/>
      <c r="UCS14" s="38"/>
      <c r="UCT14" s="38"/>
      <c r="UCU14" s="38"/>
      <c r="UCV14" s="38"/>
      <c r="UCW14" s="38"/>
      <c r="UCX14" s="38"/>
      <c r="UCY14" s="38"/>
      <c r="UCZ14" s="38"/>
      <c r="UDA14" s="38"/>
      <c r="UDB14" s="38"/>
      <c r="UDC14" s="38"/>
      <c r="UDD14" s="38"/>
      <c r="UDE14" s="38"/>
      <c r="UDF14" s="38"/>
      <c r="UDG14" s="38"/>
      <c r="UDH14" s="38"/>
      <c r="UDI14" s="38"/>
      <c r="UDJ14" s="38"/>
      <c r="UDK14" s="38"/>
      <c r="UDL14" s="38"/>
      <c r="UDM14" s="38"/>
      <c r="UDN14" s="38"/>
      <c r="UDO14" s="38"/>
      <c r="UDP14" s="38"/>
      <c r="UDQ14" s="38"/>
      <c r="UDR14" s="38"/>
      <c r="UDS14" s="38"/>
      <c r="UDT14" s="38"/>
      <c r="UDU14" s="38"/>
      <c r="UDV14" s="38"/>
      <c r="UDW14" s="38"/>
      <c r="UDX14" s="38"/>
      <c r="UDY14" s="38"/>
      <c r="UDZ14" s="38"/>
      <c r="UEA14" s="38"/>
      <c r="UEB14" s="38"/>
      <c r="UEC14" s="38"/>
      <c r="UED14" s="38"/>
      <c r="UEE14" s="38"/>
      <c r="UEF14" s="38"/>
      <c r="UEG14" s="38"/>
      <c r="UEH14" s="38"/>
      <c r="UEI14" s="38"/>
      <c r="UEJ14" s="38"/>
      <c r="UEK14" s="38"/>
      <c r="UEL14" s="38"/>
      <c r="UEM14" s="38"/>
      <c r="UEN14" s="38"/>
      <c r="UEO14" s="38"/>
      <c r="UEP14" s="38"/>
      <c r="UEQ14" s="38"/>
      <c r="UER14" s="38"/>
      <c r="UES14" s="38"/>
      <c r="UET14" s="38"/>
      <c r="UEU14" s="38"/>
      <c r="UEV14" s="38"/>
      <c r="UEW14" s="38"/>
      <c r="UEX14" s="38"/>
      <c r="UEY14" s="38"/>
      <c r="UEZ14" s="38"/>
      <c r="UFA14" s="38"/>
      <c r="UFB14" s="38"/>
      <c r="UFC14" s="38"/>
      <c r="UFD14" s="38"/>
      <c r="UFE14" s="38"/>
      <c r="UFF14" s="38"/>
      <c r="UFG14" s="38"/>
      <c r="UFH14" s="38"/>
      <c r="UFI14" s="38"/>
      <c r="UFJ14" s="38"/>
      <c r="UFK14" s="38"/>
      <c r="UFL14" s="38"/>
      <c r="UFM14" s="38"/>
      <c r="UFN14" s="38"/>
      <c r="UFO14" s="38"/>
      <c r="UFP14" s="38"/>
      <c r="UFQ14" s="38"/>
      <c r="UFR14" s="38"/>
      <c r="UFS14" s="38"/>
      <c r="UFT14" s="38"/>
      <c r="UFU14" s="38"/>
      <c r="UFV14" s="38"/>
      <c r="UFW14" s="38"/>
      <c r="UFX14" s="38"/>
      <c r="UFY14" s="38"/>
      <c r="UFZ14" s="38"/>
      <c r="UGA14" s="38"/>
      <c r="UGB14" s="38"/>
      <c r="UGC14" s="38"/>
      <c r="UGD14" s="38"/>
      <c r="UGE14" s="38"/>
      <c r="UGF14" s="38"/>
      <c r="UGG14" s="38"/>
      <c r="UGH14" s="38"/>
      <c r="UGI14" s="38"/>
      <c r="UGJ14" s="38"/>
      <c r="UGK14" s="38"/>
      <c r="UGL14" s="38"/>
      <c r="UGM14" s="38"/>
      <c r="UGN14" s="38"/>
      <c r="UGO14" s="38"/>
      <c r="UGP14" s="38"/>
      <c r="UGQ14" s="38"/>
      <c r="UGR14" s="38"/>
      <c r="UGS14" s="38"/>
      <c r="UGT14" s="38"/>
      <c r="UGU14" s="38"/>
      <c r="UGV14" s="38"/>
      <c r="UGW14" s="38"/>
      <c r="UGX14" s="38"/>
      <c r="UGY14" s="38"/>
      <c r="UGZ14" s="38"/>
      <c r="UHA14" s="38"/>
      <c r="UHB14" s="38"/>
      <c r="UHC14" s="38"/>
      <c r="UHD14" s="38"/>
      <c r="UHE14" s="38"/>
      <c r="UHF14" s="38"/>
      <c r="UHG14" s="38"/>
      <c r="UHH14" s="38"/>
      <c r="UHI14" s="38"/>
      <c r="UHJ14" s="38"/>
      <c r="UHK14" s="38"/>
      <c r="UHL14" s="38"/>
      <c r="UHM14" s="38"/>
      <c r="UHN14" s="38"/>
      <c r="UHO14" s="38"/>
      <c r="UHP14" s="38"/>
      <c r="UHQ14" s="38"/>
      <c r="UHR14" s="38"/>
      <c r="UHS14" s="38"/>
      <c r="UHT14" s="38"/>
      <c r="UHU14" s="38"/>
      <c r="UHV14" s="38"/>
      <c r="UHW14" s="38"/>
      <c r="UHX14" s="38"/>
      <c r="UHY14" s="38"/>
      <c r="UHZ14" s="38"/>
      <c r="UIA14" s="38"/>
      <c r="UIB14" s="38"/>
      <c r="UIC14" s="38"/>
      <c r="UID14" s="38"/>
      <c r="UIE14" s="38"/>
      <c r="UIF14" s="38"/>
      <c r="UIG14" s="38"/>
      <c r="UIH14" s="38"/>
      <c r="UII14" s="38"/>
      <c r="UIJ14" s="38"/>
      <c r="UIK14" s="38"/>
      <c r="UIL14" s="38"/>
      <c r="UIM14" s="38"/>
      <c r="UIN14" s="38"/>
      <c r="UIO14" s="38"/>
      <c r="UIP14" s="38"/>
      <c r="UIQ14" s="38"/>
      <c r="UIR14" s="38"/>
      <c r="UIS14" s="38"/>
      <c r="UIT14" s="38"/>
      <c r="UIU14" s="38"/>
      <c r="UIV14" s="38"/>
      <c r="UIW14" s="38"/>
      <c r="UIX14" s="38"/>
      <c r="UIY14" s="38"/>
      <c r="UIZ14" s="38"/>
      <c r="UJA14" s="38"/>
      <c r="UJB14" s="38"/>
      <c r="UJC14" s="38"/>
      <c r="UJD14" s="38"/>
      <c r="UJE14" s="38"/>
      <c r="UJF14" s="38"/>
      <c r="UJG14" s="38"/>
      <c r="UJH14" s="38"/>
      <c r="UJI14" s="38"/>
      <c r="UJJ14" s="38"/>
      <c r="UJK14" s="38"/>
      <c r="UJL14" s="38"/>
      <c r="UJM14" s="38"/>
      <c r="UJN14" s="38"/>
      <c r="UJO14" s="38"/>
      <c r="UJP14" s="38"/>
      <c r="UJQ14" s="38"/>
      <c r="UJR14" s="38"/>
      <c r="UJS14" s="38"/>
      <c r="UJT14" s="38"/>
      <c r="UJU14" s="38"/>
      <c r="UJV14" s="38"/>
      <c r="UJW14" s="38"/>
      <c r="UJX14" s="38"/>
      <c r="UJY14" s="38"/>
      <c r="UJZ14" s="38"/>
      <c r="UKA14" s="38"/>
      <c r="UKB14" s="38"/>
      <c r="UKC14" s="38"/>
      <c r="UKD14" s="38"/>
      <c r="UKE14" s="38"/>
      <c r="UKF14" s="38"/>
      <c r="UKG14" s="38"/>
      <c r="UKH14" s="38"/>
      <c r="UKI14" s="38"/>
      <c r="UKJ14" s="38"/>
      <c r="UKK14" s="38"/>
      <c r="UKL14" s="38"/>
      <c r="UKM14" s="38"/>
      <c r="UKN14" s="38"/>
      <c r="UKO14" s="38"/>
      <c r="UKP14" s="38"/>
      <c r="UKQ14" s="38"/>
      <c r="UKR14" s="38"/>
      <c r="UKS14" s="38"/>
      <c r="UKT14" s="38"/>
      <c r="UKU14" s="38"/>
      <c r="UKV14" s="38"/>
      <c r="UKW14" s="38"/>
      <c r="UKX14" s="38"/>
      <c r="UKY14" s="38"/>
      <c r="UKZ14" s="38"/>
      <c r="ULA14" s="38"/>
      <c r="ULB14" s="38"/>
      <c r="ULC14" s="38"/>
      <c r="ULD14" s="38"/>
      <c r="ULE14" s="38"/>
      <c r="ULF14" s="38"/>
      <c r="ULG14" s="38"/>
      <c r="ULH14" s="38"/>
      <c r="ULI14" s="38"/>
      <c r="ULJ14" s="38"/>
      <c r="ULK14" s="38"/>
      <c r="ULL14" s="38"/>
      <c r="ULM14" s="38"/>
      <c r="ULN14" s="38"/>
      <c r="ULO14" s="38"/>
      <c r="ULP14" s="38"/>
      <c r="ULQ14" s="38"/>
      <c r="ULR14" s="38"/>
      <c r="ULS14" s="38"/>
      <c r="ULT14" s="38"/>
      <c r="ULU14" s="38"/>
      <c r="ULV14" s="38"/>
      <c r="ULW14" s="38"/>
      <c r="ULX14" s="38"/>
      <c r="ULY14" s="38"/>
      <c r="ULZ14" s="38"/>
      <c r="UMA14" s="38"/>
      <c r="UMB14" s="38"/>
      <c r="UMC14" s="38"/>
      <c r="UMD14" s="38"/>
      <c r="UME14" s="38"/>
      <c r="UMF14" s="38"/>
      <c r="UMG14" s="38"/>
      <c r="UMH14" s="38"/>
      <c r="UMI14" s="38"/>
      <c r="UMJ14" s="38"/>
      <c r="UMK14" s="38"/>
      <c r="UML14" s="38"/>
      <c r="UMM14" s="38"/>
      <c r="UMN14" s="38"/>
      <c r="UMO14" s="38"/>
      <c r="UMP14" s="38"/>
      <c r="UMQ14" s="38"/>
      <c r="UMR14" s="38"/>
      <c r="UMS14" s="38"/>
      <c r="UMT14" s="38"/>
      <c r="UMU14" s="38"/>
      <c r="UMV14" s="38"/>
      <c r="UMW14" s="38"/>
      <c r="UMX14" s="38"/>
      <c r="UMY14" s="38"/>
      <c r="UMZ14" s="38"/>
      <c r="UNA14" s="38"/>
      <c r="UNB14" s="38"/>
      <c r="UNC14" s="38"/>
      <c r="UND14" s="38"/>
      <c r="UNE14" s="38"/>
      <c r="UNF14" s="38"/>
      <c r="UNG14" s="38"/>
      <c r="UNH14" s="38"/>
      <c r="UNI14" s="38"/>
      <c r="UNJ14" s="38"/>
      <c r="UNK14" s="38"/>
      <c r="UNL14" s="38"/>
      <c r="UNM14" s="38"/>
      <c r="UNN14" s="38"/>
      <c r="UNO14" s="38"/>
      <c r="UNP14" s="38"/>
      <c r="UNQ14" s="38"/>
      <c r="UNR14" s="38"/>
      <c r="UNS14" s="38"/>
      <c r="UNT14" s="38"/>
      <c r="UNU14" s="38"/>
      <c r="UNV14" s="38"/>
      <c r="UNW14" s="38"/>
      <c r="UNX14" s="38"/>
      <c r="UNY14" s="38"/>
      <c r="UNZ14" s="38"/>
      <c r="UOA14" s="38"/>
      <c r="UOB14" s="38"/>
      <c r="UOC14" s="38"/>
      <c r="UOD14" s="38"/>
      <c r="UOE14" s="38"/>
      <c r="UOF14" s="38"/>
      <c r="UOG14" s="38"/>
      <c r="UOH14" s="38"/>
      <c r="UOI14" s="38"/>
      <c r="UOJ14" s="38"/>
      <c r="UOK14" s="38"/>
      <c r="UOL14" s="38"/>
      <c r="UOM14" s="38"/>
      <c r="UON14" s="38"/>
      <c r="UOO14" s="38"/>
      <c r="UOP14" s="38"/>
      <c r="UOQ14" s="38"/>
      <c r="UOR14" s="38"/>
      <c r="UOS14" s="38"/>
      <c r="UOT14" s="38"/>
      <c r="UOU14" s="38"/>
      <c r="UOV14" s="38"/>
      <c r="UOW14" s="38"/>
      <c r="UOX14" s="38"/>
      <c r="UOY14" s="38"/>
      <c r="UOZ14" s="38"/>
      <c r="UPA14" s="38"/>
      <c r="UPB14" s="38"/>
      <c r="UPC14" s="38"/>
      <c r="UPD14" s="38"/>
      <c r="UPE14" s="38"/>
      <c r="UPF14" s="38"/>
      <c r="UPG14" s="38"/>
      <c r="UPH14" s="38"/>
      <c r="UPI14" s="38"/>
      <c r="UPJ14" s="38"/>
      <c r="UPK14" s="38"/>
      <c r="UPL14" s="38"/>
      <c r="UPM14" s="38"/>
      <c r="UPN14" s="38"/>
      <c r="UPO14" s="38"/>
      <c r="UPP14" s="38"/>
      <c r="UPQ14" s="38"/>
      <c r="UPR14" s="38"/>
      <c r="UPS14" s="38"/>
      <c r="UPT14" s="38"/>
      <c r="UPU14" s="38"/>
      <c r="UPV14" s="38"/>
      <c r="UPW14" s="38"/>
      <c r="UPX14" s="38"/>
      <c r="UPY14" s="38"/>
      <c r="UPZ14" s="38"/>
      <c r="UQA14" s="38"/>
      <c r="UQB14" s="38"/>
      <c r="UQC14" s="38"/>
      <c r="UQD14" s="38"/>
      <c r="UQE14" s="38"/>
      <c r="UQF14" s="38"/>
      <c r="UQG14" s="38"/>
      <c r="UQH14" s="38"/>
      <c r="UQI14" s="38"/>
      <c r="UQJ14" s="38"/>
      <c r="UQK14" s="38"/>
      <c r="UQL14" s="38"/>
      <c r="UQM14" s="38"/>
      <c r="UQN14" s="38"/>
      <c r="UQO14" s="38"/>
      <c r="UQP14" s="38"/>
      <c r="UQQ14" s="38"/>
      <c r="UQR14" s="38"/>
      <c r="UQS14" s="38"/>
      <c r="UQT14" s="38"/>
      <c r="UQU14" s="38"/>
      <c r="UQV14" s="38"/>
      <c r="UQW14" s="38"/>
      <c r="UQX14" s="38"/>
      <c r="UQY14" s="38"/>
      <c r="UQZ14" s="38"/>
      <c r="URA14" s="38"/>
      <c r="URB14" s="38"/>
      <c r="URC14" s="38"/>
      <c r="URD14" s="38"/>
      <c r="URE14" s="38"/>
      <c r="URF14" s="38"/>
      <c r="URG14" s="38"/>
      <c r="URH14" s="38"/>
      <c r="URI14" s="38"/>
      <c r="URJ14" s="38"/>
      <c r="URK14" s="38"/>
      <c r="URL14" s="38"/>
      <c r="URM14" s="38"/>
      <c r="URN14" s="38"/>
      <c r="URO14" s="38"/>
      <c r="URP14" s="38"/>
      <c r="URQ14" s="38"/>
      <c r="URR14" s="38"/>
      <c r="URS14" s="38"/>
      <c r="URT14" s="38"/>
      <c r="URU14" s="38"/>
      <c r="URV14" s="38"/>
      <c r="URW14" s="38"/>
      <c r="URX14" s="38"/>
      <c r="URY14" s="38"/>
      <c r="URZ14" s="38"/>
      <c r="USA14" s="38"/>
      <c r="USB14" s="38"/>
      <c r="USC14" s="38"/>
      <c r="USD14" s="38"/>
      <c r="USE14" s="38"/>
      <c r="USF14" s="38"/>
      <c r="USG14" s="38"/>
      <c r="USH14" s="38"/>
      <c r="USI14" s="38"/>
      <c r="USJ14" s="38"/>
      <c r="USK14" s="38"/>
      <c r="USL14" s="38"/>
      <c r="USM14" s="38"/>
      <c r="USN14" s="38"/>
      <c r="USO14" s="38"/>
      <c r="USP14" s="38"/>
      <c r="USQ14" s="38"/>
      <c r="USR14" s="38"/>
      <c r="USS14" s="38"/>
      <c r="UST14" s="38"/>
      <c r="USU14" s="38"/>
      <c r="USV14" s="38"/>
      <c r="USW14" s="38"/>
      <c r="USX14" s="38"/>
      <c r="USY14" s="38"/>
      <c r="USZ14" s="38"/>
      <c r="UTA14" s="38"/>
      <c r="UTB14" s="38"/>
      <c r="UTC14" s="38"/>
      <c r="UTD14" s="38"/>
      <c r="UTE14" s="38"/>
      <c r="UTF14" s="38"/>
      <c r="UTG14" s="38"/>
      <c r="UTH14" s="38"/>
      <c r="UTI14" s="38"/>
      <c r="UTJ14" s="38"/>
      <c r="UTK14" s="38"/>
      <c r="UTL14" s="38"/>
      <c r="UTM14" s="38"/>
      <c r="UTN14" s="38"/>
      <c r="UTO14" s="38"/>
      <c r="UTP14" s="38"/>
      <c r="UTQ14" s="38"/>
      <c r="UTR14" s="38"/>
      <c r="UTS14" s="38"/>
      <c r="UTT14" s="38"/>
      <c r="UTU14" s="38"/>
      <c r="UTV14" s="38"/>
      <c r="UTW14" s="38"/>
      <c r="UTX14" s="38"/>
      <c r="UTY14" s="38"/>
      <c r="UTZ14" s="38"/>
      <c r="UUA14" s="38"/>
      <c r="UUB14" s="38"/>
      <c r="UUC14" s="38"/>
      <c r="UUD14" s="38"/>
      <c r="UUE14" s="38"/>
      <c r="UUF14" s="38"/>
      <c r="UUG14" s="38"/>
      <c r="UUH14" s="38"/>
      <c r="UUI14" s="38"/>
      <c r="UUJ14" s="38"/>
      <c r="UUK14" s="38"/>
      <c r="UUL14" s="38"/>
      <c r="UUM14" s="38"/>
      <c r="UUN14" s="38"/>
      <c r="UUO14" s="38"/>
      <c r="UUP14" s="38"/>
      <c r="UUQ14" s="38"/>
      <c r="UUR14" s="38"/>
      <c r="UUS14" s="38"/>
      <c r="UUT14" s="38"/>
      <c r="UUU14" s="38"/>
      <c r="UUV14" s="38"/>
      <c r="UUW14" s="38"/>
      <c r="UUX14" s="38"/>
      <c r="UUY14" s="38"/>
      <c r="UUZ14" s="38"/>
      <c r="UVA14" s="38"/>
      <c r="UVB14" s="38"/>
      <c r="UVC14" s="38"/>
      <c r="UVD14" s="38"/>
      <c r="UVE14" s="38"/>
      <c r="UVF14" s="38"/>
      <c r="UVG14" s="38"/>
      <c r="UVH14" s="38"/>
      <c r="UVI14" s="38"/>
      <c r="UVJ14" s="38"/>
      <c r="UVK14" s="38"/>
      <c r="UVL14" s="38"/>
      <c r="UVM14" s="38"/>
      <c r="UVN14" s="38"/>
      <c r="UVO14" s="38"/>
      <c r="UVP14" s="38"/>
      <c r="UVQ14" s="38"/>
      <c r="UVR14" s="38"/>
      <c r="UVS14" s="38"/>
      <c r="UVT14" s="38"/>
      <c r="UVU14" s="38"/>
      <c r="UVV14" s="38"/>
      <c r="UVW14" s="38"/>
      <c r="UVX14" s="38"/>
      <c r="UVY14" s="38"/>
      <c r="UVZ14" s="38"/>
      <c r="UWA14" s="38"/>
      <c r="UWB14" s="38"/>
      <c r="UWC14" s="38"/>
      <c r="UWD14" s="38"/>
      <c r="UWE14" s="38"/>
      <c r="UWF14" s="38"/>
      <c r="UWG14" s="38"/>
      <c r="UWH14" s="38"/>
      <c r="UWI14" s="38"/>
      <c r="UWJ14" s="38"/>
      <c r="UWK14" s="38"/>
      <c r="UWL14" s="38"/>
      <c r="UWM14" s="38"/>
      <c r="UWN14" s="38"/>
      <c r="UWO14" s="38"/>
      <c r="UWP14" s="38"/>
      <c r="UWQ14" s="38"/>
      <c r="UWR14" s="38"/>
      <c r="UWS14" s="38"/>
      <c r="UWT14" s="38"/>
      <c r="UWU14" s="38"/>
      <c r="UWV14" s="38"/>
      <c r="UWW14" s="38"/>
      <c r="UWX14" s="38"/>
      <c r="UWY14" s="38"/>
      <c r="UWZ14" s="38"/>
      <c r="UXA14" s="38"/>
      <c r="UXB14" s="38"/>
      <c r="UXC14" s="38"/>
      <c r="UXD14" s="38"/>
      <c r="UXE14" s="38"/>
      <c r="UXF14" s="38"/>
      <c r="UXG14" s="38"/>
      <c r="UXH14" s="38"/>
      <c r="UXI14" s="38"/>
      <c r="UXJ14" s="38"/>
      <c r="UXK14" s="38"/>
      <c r="UXL14" s="38"/>
      <c r="UXM14" s="38"/>
      <c r="UXN14" s="38"/>
      <c r="UXO14" s="38"/>
      <c r="UXP14" s="38"/>
      <c r="UXQ14" s="38"/>
      <c r="UXR14" s="38"/>
      <c r="UXS14" s="38"/>
      <c r="UXT14" s="38"/>
      <c r="UXU14" s="38"/>
      <c r="UXV14" s="38"/>
      <c r="UXW14" s="38"/>
      <c r="UXX14" s="38"/>
      <c r="UXY14" s="38"/>
      <c r="UXZ14" s="38"/>
      <c r="UYA14" s="38"/>
      <c r="UYB14" s="38"/>
      <c r="UYC14" s="38"/>
      <c r="UYD14" s="38"/>
      <c r="UYE14" s="38"/>
      <c r="UYF14" s="38"/>
      <c r="UYG14" s="38"/>
      <c r="UYH14" s="38"/>
      <c r="UYI14" s="38"/>
      <c r="UYJ14" s="38"/>
      <c r="UYK14" s="38"/>
      <c r="UYL14" s="38"/>
      <c r="UYM14" s="38"/>
      <c r="UYN14" s="38"/>
      <c r="UYO14" s="38"/>
      <c r="UYP14" s="38"/>
      <c r="UYQ14" s="38"/>
      <c r="UYR14" s="38"/>
      <c r="UYS14" s="38"/>
      <c r="UYT14" s="38"/>
      <c r="UYU14" s="38"/>
      <c r="UYV14" s="38"/>
      <c r="UYW14" s="38"/>
      <c r="UYX14" s="38"/>
      <c r="UYY14" s="38"/>
      <c r="UYZ14" s="38"/>
      <c r="UZA14" s="38"/>
      <c r="UZB14" s="38"/>
      <c r="UZC14" s="38"/>
      <c r="UZD14" s="38"/>
      <c r="UZE14" s="38"/>
      <c r="UZF14" s="38"/>
      <c r="UZG14" s="38"/>
      <c r="UZH14" s="38"/>
      <c r="UZI14" s="38"/>
      <c r="UZJ14" s="38"/>
      <c r="UZK14" s="38"/>
      <c r="UZL14" s="38"/>
      <c r="UZM14" s="38"/>
      <c r="UZN14" s="38"/>
      <c r="UZO14" s="38"/>
      <c r="UZP14" s="38"/>
      <c r="UZQ14" s="38"/>
      <c r="UZR14" s="38"/>
      <c r="UZS14" s="38"/>
      <c r="UZT14" s="38"/>
      <c r="UZU14" s="38"/>
      <c r="UZV14" s="38"/>
      <c r="UZW14" s="38"/>
      <c r="UZX14" s="38"/>
      <c r="UZY14" s="38"/>
      <c r="UZZ14" s="38"/>
      <c r="VAA14" s="38"/>
      <c r="VAB14" s="38"/>
      <c r="VAC14" s="38"/>
      <c r="VAD14" s="38"/>
      <c r="VAE14" s="38"/>
      <c r="VAF14" s="38"/>
      <c r="VAG14" s="38"/>
      <c r="VAH14" s="38"/>
      <c r="VAI14" s="38"/>
      <c r="VAJ14" s="38"/>
      <c r="VAK14" s="38"/>
      <c r="VAL14" s="38"/>
      <c r="VAM14" s="38"/>
      <c r="VAN14" s="38"/>
      <c r="VAO14" s="38"/>
      <c r="VAP14" s="38"/>
      <c r="VAQ14" s="38"/>
      <c r="VAR14" s="38"/>
      <c r="VAS14" s="38"/>
      <c r="VAT14" s="38"/>
      <c r="VAU14" s="38"/>
      <c r="VAV14" s="38"/>
      <c r="VAW14" s="38"/>
      <c r="VAX14" s="38"/>
      <c r="VAY14" s="38"/>
      <c r="VAZ14" s="38"/>
      <c r="VBA14" s="38"/>
      <c r="VBB14" s="38"/>
      <c r="VBC14" s="38"/>
      <c r="VBD14" s="38"/>
      <c r="VBE14" s="38"/>
      <c r="VBF14" s="38"/>
      <c r="VBG14" s="38"/>
      <c r="VBH14" s="38"/>
      <c r="VBI14" s="38"/>
      <c r="VBJ14" s="38"/>
      <c r="VBK14" s="38"/>
      <c r="VBL14" s="38"/>
      <c r="VBM14" s="38"/>
      <c r="VBN14" s="38"/>
      <c r="VBO14" s="38"/>
      <c r="VBP14" s="38"/>
      <c r="VBQ14" s="38"/>
      <c r="VBR14" s="38"/>
      <c r="VBS14" s="38"/>
      <c r="VBT14" s="38"/>
      <c r="VBU14" s="38"/>
      <c r="VBV14" s="38"/>
      <c r="VBW14" s="38"/>
      <c r="VBX14" s="38"/>
      <c r="VBY14" s="38"/>
      <c r="VBZ14" s="38"/>
      <c r="VCA14" s="38"/>
      <c r="VCB14" s="38"/>
      <c r="VCC14" s="38"/>
      <c r="VCD14" s="38"/>
      <c r="VCE14" s="38"/>
      <c r="VCF14" s="38"/>
      <c r="VCG14" s="38"/>
      <c r="VCH14" s="38"/>
      <c r="VCI14" s="38"/>
      <c r="VCJ14" s="38"/>
      <c r="VCK14" s="38"/>
      <c r="VCL14" s="38"/>
      <c r="VCM14" s="38"/>
      <c r="VCN14" s="38"/>
      <c r="VCO14" s="38"/>
      <c r="VCP14" s="38"/>
      <c r="VCQ14" s="38"/>
      <c r="VCR14" s="38"/>
      <c r="VCS14" s="38"/>
      <c r="VCT14" s="38"/>
      <c r="VCU14" s="38"/>
      <c r="VCV14" s="38"/>
      <c r="VCW14" s="38"/>
      <c r="VCX14" s="38"/>
      <c r="VCY14" s="38"/>
      <c r="VCZ14" s="38"/>
      <c r="VDA14" s="38"/>
      <c r="VDB14" s="38"/>
      <c r="VDC14" s="38"/>
      <c r="VDD14" s="38"/>
      <c r="VDE14" s="38"/>
      <c r="VDF14" s="38"/>
      <c r="VDG14" s="38"/>
      <c r="VDH14" s="38"/>
      <c r="VDI14" s="38"/>
      <c r="VDJ14" s="38"/>
      <c r="VDK14" s="38"/>
      <c r="VDL14" s="38"/>
      <c r="VDM14" s="38"/>
      <c r="VDN14" s="38"/>
      <c r="VDO14" s="38"/>
      <c r="VDP14" s="38"/>
      <c r="VDQ14" s="38"/>
      <c r="VDR14" s="38"/>
      <c r="VDS14" s="38"/>
      <c r="VDT14" s="38"/>
      <c r="VDU14" s="38"/>
      <c r="VDV14" s="38"/>
      <c r="VDW14" s="38"/>
      <c r="VDX14" s="38"/>
      <c r="VDY14" s="38"/>
      <c r="VDZ14" s="38"/>
      <c r="VEA14" s="38"/>
      <c r="VEB14" s="38"/>
      <c r="VEC14" s="38"/>
      <c r="VED14" s="38"/>
      <c r="VEE14" s="38"/>
      <c r="VEF14" s="38"/>
      <c r="VEG14" s="38"/>
      <c r="VEH14" s="38"/>
      <c r="VEI14" s="38"/>
      <c r="VEJ14" s="38"/>
      <c r="VEK14" s="38"/>
      <c r="VEL14" s="38"/>
      <c r="VEM14" s="38"/>
      <c r="VEN14" s="38"/>
      <c r="VEO14" s="38"/>
      <c r="VEP14" s="38"/>
      <c r="VEQ14" s="38"/>
      <c r="VER14" s="38"/>
      <c r="VES14" s="38"/>
      <c r="VET14" s="38"/>
      <c r="VEU14" s="38"/>
      <c r="VEV14" s="38"/>
      <c r="VEW14" s="38"/>
      <c r="VEX14" s="38"/>
      <c r="VEY14" s="38"/>
      <c r="VEZ14" s="38"/>
      <c r="VFA14" s="38"/>
      <c r="VFB14" s="38"/>
      <c r="VFC14" s="38"/>
      <c r="VFD14" s="38"/>
      <c r="VFE14" s="38"/>
      <c r="VFF14" s="38"/>
      <c r="VFG14" s="38"/>
      <c r="VFH14" s="38"/>
      <c r="VFI14" s="38"/>
      <c r="VFJ14" s="38"/>
      <c r="VFK14" s="38"/>
      <c r="VFL14" s="38"/>
      <c r="VFM14" s="38"/>
      <c r="VFN14" s="38"/>
      <c r="VFO14" s="38"/>
      <c r="VFP14" s="38"/>
      <c r="VFQ14" s="38"/>
      <c r="VFR14" s="38"/>
      <c r="VFS14" s="38"/>
      <c r="VFT14" s="38"/>
      <c r="VFU14" s="38"/>
      <c r="VFV14" s="38"/>
      <c r="VFW14" s="38"/>
      <c r="VFX14" s="38"/>
      <c r="VFY14" s="38"/>
      <c r="VFZ14" s="38"/>
      <c r="VGA14" s="38"/>
      <c r="VGB14" s="38"/>
      <c r="VGC14" s="38"/>
      <c r="VGD14" s="38"/>
      <c r="VGE14" s="38"/>
      <c r="VGF14" s="38"/>
      <c r="VGG14" s="38"/>
      <c r="VGH14" s="38"/>
      <c r="VGI14" s="38"/>
      <c r="VGJ14" s="38"/>
      <c r="VGK14" s="38"/>
      <c r="VGL14" s="38"/>
      <c r="VGM14" s="38"/>
      <c r="VGN14" s="38"/>
      <c r="VGO14" s="38"/>
      <c r="VGP14" s="38"/>
      <c r="VGQ14" s="38"/>
      <c r="VGR14" s="38"/>
      <c r="VGS14" s="38"/>
      <c r="VGT14" s="38"/>
      <c r="VGU14" s="38"/>
      <c r="VGV14" s="38"/>
      <c r="VGW14" s="38"/>
      <c r="VGX14" s="38"/>
      <c r="VGY14" s="38"/>
      <c r="VGZ14" s="38"/>
      <c r="VHA14" s="38"/>
      <c r="VHB14" s="38"/>
      <c r="VHC14" s="38"/>
      <c r="VHD14" s="38"/>
      <c r="VHE14" s="38"/>
      <c r="VHF14" s="38"/>
      <c r="VHG14" s="38"/>
      <c r="VHH14" s="38"/>
      <c r="VHI14" s="38"/>
      <c r="VHJ14" s="38"/>
      <c r="VHK14" s="38"/>
      <c r="VHL14" s="38"/>
      <c r="VHM14" s="38"/>
      <c r="VHN14" s="38"/>
      <c r="VHO14" s="38"/>
      <c r="VHP14" s="38"/>
      <c r="VHQ14" s="38"/>
      <c r="VHR14" s="38"/>
      <c r="VHS14" s="38"/>
      <c r="VHT14" s="38"/>
      <c r="VHU14" s="38"/>
      <c r="VHV14" s="38"/>
      <c r="VHW14" s="38"/>
      <c r="VHX14" s="38"/>
      <c r="VHY14" s="38"/>
      <c r="VHZ14" s="38"/>
      <c r="VIA14" s="38"/>
      <c r="VIB14" s="38"/>
      <c r="VIC14" s="38"/>
      <c r="VID14" s="38"/>
      <c r="VIE14" s="38"/>
      <c r="VIF14" s="38"/>
      <c r="VIG14" s="38"/>
      <c r="VIH14" s="38"/>
      <c r="VII14" s="38"/>
      <c r="VIJ14" s="38"/>
      <c r="VIK14" s="38"/>
      <c r="VIL14" s="38"/>
      <c r="VIM14" s="38"/>
      <c r="VIN14" s="38"/>
      <c r="VIO14" s="38"/>
      <c r="VIP14" s="38"/>
      <c r="VIQ14" s="38"/>
      <c r="VIR14" s="38"/>
      <c r="VIS14" s="38"/>
      <c r="VIT14" s="38"/>
      <c r="VIU14" s="38"/>
      <c r="VIV14" s="38"/>
      <c r="VIW14" s="38"/>
      <c r="VIX14" s="38"/>
      <c r="VIY14" s="38"/>
      <c r="VIZ14" s="38"/>
      <c r="VJA14" s="38"/>
      <c r="VJB14" s="38"/>
      <c r="VJC14" s="38"/>
      <c r="VJD14" s="38"/>
      <c r="VJE14" s="38"/>
      <c r="VJF14" s="38"/>
      <c r="VJG14" s="38"/>
      <c r="VJH14" s="38"/>
      <c r="VJI14" s="38"/>
      <c r="VJJ14" s="38"/>
      <c r="VJK14" s="38"/>
      <c r="VJL14" s="38"/>
      <c r="VJM14" s="38"/>
      <c r="VJN14" s="38"/>
      <c r="VJO14" s="38"/>
      <c r="VJP14" s="38"/>
      <c r="VJQ14" s="38"/>
      <c r="VJR14" s="38"/>
      <c r="VJS14" s="38"/>
      <c r="VJT14" s="38"/>
      <c r="VJU14" s="38"/>
      <c r="VJV14" s="38"/>
      <c r="VJW14" s="38"/>
      <c r="VJX14" s="38"/>
      <c r="VJY14" s="38"/>
      <c r="VJZ14" s="38"/>
      <c r="VKA14" s="38"/>
      <c r="VKB14" s="38"/>
      <c r="VKC14" s="38"/>
      <c r="VKD14" s="38"/>
      <c r="VKE14" s="38"/>
      <c r="VKF14" s="38"/>
      <c r="VKG14" s="38"/>
      <c r="VKH14" s="38"/>
      <c r="VKI14" s="38"/>
      <c r="VKJ14" s="38"/>
      <c r="VKK14" s="38"/>
      <c r="VKL14" s="38"/>
      <c r="VKM14" s="38"/>
      <c r="VKN14" s="38"/>
      <c r="VKO14" s="38"/>
      <c r="VKP14" s="38"/>
      <c r="VKQ14" s="38"/>
      <c r="VKR14" s="38"/>
      <c r="VKS14" s="38"/>
      <c r="VKT14" s="38"/>
      <c r="VKU14" s="38"/>
      <c r="VKV14" s="38"/>
      <c r="VKW14" s="38"/>
      <c r="VKX14" s="38"/>
      <c r="VKY14" s="38"/>
      <c r="VKZ14" s="38"/>
      <c r="VLA14" s="38"/>
      <c r="VLB14" s="38"/>
      <c r="VLC14" s="38"/>
      <c r="VLD14" s="38"/>
      <c r="VLE14" s="38"/>
      <c r="VLF14" s="38"/>
      <c r="VLG14" s="38"/>
      <c r="VLH14" s="38"/>
      <c r="VLI14" s="38"/>
      <c r="VLJ14" s="38"/>
      <c r="VLK14" s="38"/>
      <c r="VLL14" s="38"/>
      <c r="VLM14" s="38"/>
      <c r="VLN14" s="38"/>
      <c r="VLO14" s="38"/>
      <c r="VLP14" s="38"/>
      <c r="VLQ14" s="38"/>
      <c r="VLR14" s="38"/>
      <c r="VLS14" s="38"/>
      <c r="VLT14" s="38"/>
      <c r="VLU14" s="38"/>
      <c r="VLV14" s="38"/>
      <c r="VLW14" s="38"/>
      <c r="VLX14" s="38"/>
      <c r="VLY14" s="38"/>
      <c r="VLZ14" s="38"/>
      <c r="VMA14" s="38"/>
      <c r="VMB14" s="38"/>
      <c r="VMC14" s="38"/>
      <c r="VMD14" s="38"/>
      <c r="VME14" s="38"/>
      <c r="VMF14" s="38"/>
      <c r="VMG14" s="38"/>
      <c r="VMH14" s="38"/>
      <c r="VMI14" s="38"/>
      <c r="VMJ14" s="38"/>
      <c r="VMK14" s="38"/>
      <c r="VML14" s="38"/>
      <c r="VMM14" s="38"/>
      <c r="VMN14" s="38"/>
      <c r="VMO14" s="38"/>
      <c r="VMP14" s="38"/>
      <c r="VMQ14" s="38"/>
      <c r="VMR14" s="38"/>
      <c r="VMS14" s="38"/>
      <c r="VMT14" s="38"/>
      <c r="VMU14" s="38"/>
      <c r="VMV14" s="38"/>
      <c r="VMW14" s="38"/>
      <c r="VMX14" s="38"/>
      <c r="VMY14" s="38"/>
      <c r="VMZ14" s="38"/>
      <c r="VNA14" s="38"/>
      <c r="VNB14" s="38"/>
      <c r="VNC14" s="38"/>
      <c r="VND14" s="38"/>
      <c r="VNE14" s="38"/>
      <c r="VNF14" s="38"/>
      <c r="VNG14" s="38"/>
      <c r="VNH14" s="38"/>
      <c r="VNI14" s="38"/>
      <c r="VNJ14" s="38"/>
      <c r="VNK14" s="38"/>
      <c r="VNL14" s="38"/>
      <c r="VNM14" s="38"/>
      <c r="VNN14" s="38"/>
      <c r="VNO14" s="38"/>
      <c r="VNP14" s="38"/>
      <c r="VNQ14" s="38"/>
      <c r="VNR14" s="38"/>
      <c r="VNS14" s="38"/>
      <c r="VNT14" s="38"/>
      <c r="VNU14" s="38"/>
      <c r="VNV14" s="38"/>
      <c r="VNW14" s="38"/>
      <c r="VNX14" s="38"/>
      <c r="VNY14" s="38"/>
      <c r="VNZ14" s="38"/>
      <c r="VOA14" s="38"/>
      <c r="VOB14" s="38"/>
      <c r="VOC14" s="38"/>
      <c r="VOD14" s="38"/>
      <c r="VOE14" s="38"/>
      <c r="VOF14" s="38"/>
      <c r="VOG14" s="38"/>
      <c r="VOH14" s="38"/>
      <c r="VOI14" s="38"/>
      <c r="VOJ14" s="38"/>
      <c r="VOK14" s="38"/>
      <c r="VOL14" s="38"/>
      <c r="VOM14" s="38"/>
      <c r="VON14" s="38"/>
      <c r="VOO14" s="38"/>
      <c r="VOP14" s="38"/>
      <c r="VOQ14" s="38"/>
      <c r="VOR14" s="38"/>
      <c r="VOS14" s="38"/>
      <c r="VOT14" s="38"/>
      <c r="VOU14" s="38"/>
      <c r="VOV14" s="38"/>
      <c r="VOW14" s="38"/>
      <c r="VOX14" s="38"/>
      <c r="VOY14" s="38"/>
      <c r="VOZ14" s="38"/>
      <c r="VPA14" s="38"/>
      <c r="VPB14" s="38"/>
      <c r="VPC14" s="38"/>
      <c r="VPD14" s="38"/>
      <c r="VPE14" s="38"/>
      <c r="VPF14" s="38"/>
      <c r="VPG14" s="38"/>
      <c r="VPH14" s="38"/>
      <c r="VPI14" s="38"/>
      <c r="VPJ14" s="38"/>
      <c r="VPK14" s="38"/>
      <c r="VPL14" s="38"/>
      <c r="VPM14" s="38"/>
      <c r="VPN14" s="38"/>
      <c r="VPO14" s="38"/>
      <c r="VPP14" s="38"/>
      <c r="VPQ14" s="38"/>
      <c r="VPR14" s="38"/>
      <c r="VPS14" s="38"/>
      <c r="VPT14" s="38"/>
      <c r="VPU14" s="38"/>
      <c r="VPV14" s="38"/>
      <c r="VPW14" s="38"/>
      <c r="VPX14" s="38"/>
      <c r="VPY14" s="38"/>
      <c r="VPZ14" s="38"/>
      <c r="VQA14" s="38"/>
      <c r="VQB14" s="38"/>
      <c r="VQC14" s="38"/>
      <c r="VQD14" s="38"/>
      <c r="VQE14" s="38"/>
      <c r="VQF14" s="38"/>
      <c r="VQG14" s="38"/>
      <c r="VQH14" s="38"/>
      <c r="VQI14" s="38"/>
      <c r="VQJ14" s="38"/>
      <c r="VQK14" s="38"/>
      <c r="VQL14" s="38"/>
      <c r="VQM14" s="38"/>
      <c r="VQN14" s="38"/>
      <c r="VQO14" s="38"/>
      <c r="VQP14" s="38"/>
      <c r="VQQ14" s="38"/>
      <c r="VQR14" s="38"/>
      <c r="VQS14" s="38"/>
      <c r="VQT14" s="38"/>
      <c r="VQU14" s="38"/>
      <c r="VQV14" s="38"/>
      <c r="VQW14" s="38"/>
      <c r="VQX14" s="38"/>
      <c r="VQY14" s="38"/>
      <c r="VQZ14" s="38"/>
      <c r="VRA14" s="38"/>
      <c r="VRB14" s="38"/>
      <c r="VRC14" s="38"/>
      <c r="VRD14" s="38"/>
      <c r="VRE14" s="38"/>
      <c r="VRF14" s="38"/>
      <c r="VRG14" s="38"/>
      <c r="VRH14" s="38"/>
      <c r="VRI14" s="38"/>
      <c r="VRJ14" s="38"/>
      <c r="VRK14" s="38"/>
      <c r="VRL14" s="38"/>
      <c r="VRM14" s="38"/>
      <c r="VRN14" s="38"/>
      <c r="VRO14" s="38"/>
      <c r="VRP14" s="38"/>
      <c r="VRQ14" s="38"/>
      <c r="VRR14" s="38"/>
      <c r="VRS14" s="38"/>
      <c r="VRT14" s="38"/>
      <c r="VRU14" s="38"/>
      <c r="VRV14" s="38"/>
      <c r="VRW14" s="38"/>
      <c r="VRX14" s="38"/>
      <c r="VRY14" s="38"/>
      <c r="VRZ14" s="38"/>
      <c r="VSA14" s="38"/>
      <c r="VSB14" s="38"/>
      <c r="VSC14" s="38"/>
      <c r="VSD14" s="38"/>
      <c r="VSE14" s="38"/>
      <c r="VSF14" s="38"/>
      <c r="VSG14" s="38"/>
      <c r="VSH14" s="38"/>
      <c r="VSI14" s="38"/>
      <c r="VSJ14" s="38"/>
      <c r="VSK14" s="38"/>
      <c r="VSL14" s="38"/>
      <c r="VSM14" s="38"/>
      <c r="VSN14" s="38"/>
      <c r="VSO14" s="38"/>
      <c r="VSP14" s="38"/>
      <c r="VSQ14" s="38"/>
      <c r="VSR14" s="38"/>
      <c r="VSS14" s="38"/>
      <c r="VST14" s="38"/>
      <c r="VSU14" s="38"/>
      <c r="VSV14" s="38"/>
      <c r="VSW14" s="38"/>
      <c r="VSX14" s="38"/>
      <c r="VSY14" s="38"/>
      <c r="VSZ14" s="38"/>
      <c r="VTA14" s="38"/>
      <c r="VTB14" s="38"/>
      <c r="VTC14" s="38"/>
      <c r="VTD14" s="38"/>
      <c r="VTE14" s="38"/>
      <c r="VTF14" s="38"/>
      <c r="VTG14" s="38"/>
      <c r="VTH14" s="38"/>
      <c r="VTI14" s="38"/>
      <c r="VTJ14" s="38"/>
      <c r="VTK14" s="38"/>
      <c r="VTL14" s="38"/>
      <c r="VTM14" s="38"/>
      <c r="VTN14" s="38"/>
      <c r="VTO14" s="38"/>
      <c r="VTP14" s="38"/>
      <c r="VTQ14" s="38"/>
      <c r="VTR14" s="38"/>
      <c r="VTS14" s="38"/>
      <c r="VTT14" s="38"/>
      <c r="VTU14" s="38"/>
      <c r="VTV14" s="38"/>
      <c r="VTW14" s="38"/>
      <c r="VTX14" s="38"/>
      <c r="VTY14" s="38"/>
      <c r="VTZ14" s="38"/>
      <c r="VUA14" s="38"/>
      <c r="VUB14" s="38"/>
      <c r="VUC14" s="38"/>
      <c r="VUD14" s="38"/>
      <c r="VUE14" s="38"/>
      <c r="VUF14" s="38"/>
      <c r="VUG14" s="38"/>
      <c r="VUH14" s="38"/>
      <c r="VUI14" s="38"/>
      <c r="VUJ14" s="38"/>
      <c r="VUK14" s="38"/>
      <c r="VUL14" s="38"/>
      <c r="VUM14" s="38"/>
      <c r="VUN14" s="38"/>
      <c r="VUO14" s="38"/>
      <c r="VUP14" s="38"/>
      <c r="VUQ14" s="38"/>
      <c r="VUR14" s="38"/>
      <c r="VUS14" s="38"/>
      <c r="VUT14" s="38"/>
      <c r="VUU14" s="38"/>
      <c r="VUV14" s="38"/>
      <c r="VUW14" s="38"/>
      <c r="VUX14" s="38"/>
      <c r="VUY14" s="38"/>
      <c r="VUZ14" s="38"/>
      <c r="VVA14" s="38"/>
      <c r="VVB14" s="38"/>
      <c r="VVC14" s="38"/>
      <c r="VVD14" s="38"/>
      <c r="VVE14" s="38"/>
      <c r="VVF14" s="38"/>
      <c r="VVG14" s="38"/>
      <c r="VVH14" s="38"/>
      <c r="VVI14" s="38"/>
      <c r="VVJ14" s="38"/>
      <c r="VVK14" s="38"/>
      <c r="VVL14" s="38"/>
      <c r="VVM14" s="38"/>
      <c r="VVN14" s="38"/>
      <c r="VVO14" s="38"/>
      <c r="VVP14" s="38"/>
      <c r="VVQ14" s="38"/>
      <c r="VVR14" s="38"/>
      <c r="VVS14" s="38"/>
      <c r="VVT14" s="38"/>
      <c r="VVU14" s="38"/>
      <c r="VVV14" s="38"/>
      <c r="VVW14" s="38"/>
      <c r="VVX14" s="38"/>
      <c r="VVY14" s="38"/>
      <c r="VVZ14" s="38"/>
      <c r="VWA14" s="38"/>
      <c r="VWB14" s="38"/>
      <c r="VWC14" s="38"/>
      <c r="VWD14" s="38"/>
      <c r="VWE14" s="38"/>
      <c r="VWF14" s="38"/>
      <c r="VWG14" s="38"/>
      <c r="VWH14" s="38"/>
      <c r="VWI14" s="38"/>
      <c r="VWJ14" s="38"/>
      <c r="VWK14" s="38"/>
      <c r="VWL14" s="38"/>
      <c r="VWM14" s="38"/>
      <c r="VWN14" s="38"/>
      <c r="VWO14" s="38"/>
      <c r="VWP14" s="38"/>
      <c r="VWQ14" s="38"/>
      <c r="VWR14" s="38"/>
      <c r="VWS14" s="38"/>
      <c r="VWT14" s="38"/>
      <c r="VWU14" s="38"/>
      <c r="VWV14" s="38"/>
      <c r="VWW14" s="38"/>
      <c r="VWX14" s="38"/>
      <c r="VWY14" s="38"/>
      <c r="VWZ14" s="38"/>
      <c r="VXA14" s="38"/>
      <c r="VXB14" s="38"/>
      <c r="VXC14" s="38"/>
      <c r="VXD14" s="38"/>
      <c r="VXE14" s="38"/>
      <c r="VXF14" s="38"/>
      <c r="VXG14" s="38"/>
      <c r="VXH14" s="38"/>
      <c r="VXI14" s="38"/>
      <c r="VXJ14" s="38"/>
      <c r="VXK14" s="38"/>
      <c r="VXL14" s="38"/>
      <c r="VXM14" s="38"/>
      <c r="VXN14" s="38"/>
      <c r="VXO14" s="38"/>
      <c r="VXP14" s="38"/>
      <c r="VXQ14" s="38"/>
      <c r="VXR14" s="38"/>
      <c r="VXS14" s="38"/>
      <c r="VXT14" s="38"/>
      <c r="VXU14" s="38"/>
      <c r="VXV14" s="38"/>
      <c r="VXW14" s="38"/>
      <c r="VXX14" s="38"/>
      <c r="VXY14" s="38"/>
      <c r="VXZ14" s="38"/>
      <c r="VYA14" s="38"/>
      <c r="VYB14" s="38"/>
      <c r="VYC14" s="38"/>
      <c r="VYD14" s="38"/>
      <c r="VYE14" s="38"/>
      <c r="VYF14" s="38"/>
      <c r="VYG14" s="38"/>
      <c r="VYH14" s="38"/>
      <c r="VYI14" s="38"/>
      <c r="VYJ14" s="38"/>
      <c r="VYK14" s="38"/>
      <c r="VYL14" s="38"/>
      <c r="VYM14" s="38"/>
      <c r="VYN14" s="38"/>
      <c r="VYO14" s="38"/>
      <c r="VYP14" s="38"/>
      <c r="VYQ14" s="38"/>
      <c r="VYR14" s="38"/>
      <c r="VYS14" s="38"/>
      <c r="VYT14" s="38"/>
      <c r="VYU14" s="38"/>
      <c r="VYV14" s="38"/>
      <c r="VYW14" s="38"/>
      <c r="VYX14" s="38"/>
      <c r="VYY14" s="38"/>
      <c r="VYZ14" s="38"/>
      <c r="VZA14" s="38"/>
      <c r="VZB14" s="38"/>
      <c r="VZC14" s="38"/>
      <c r="VZD14" s="38"/>
      <c r="VZE14" s="38"/>
      <c r="VZF14" s="38"/>
      <c r="VZG14" s="38"/>
      <c r="VZH14" s="38"/>
      <c r="VZI14" s="38"/>
      <c r="VZJ14" s="38"/>
      <c r="VZK14" s="38"/>
      <c r="VZL14" s="38"/>
      <c r="VZM14" s="38"/>
      <c r="VZN14" s="38"/>
      <c r="VZO14" s="38"/>
      <c r="VZP14" s="38"/>
      <c r="VZQ14" s="38"/>
      <c r="VZR14" s="38"/>
      <c r="VZS14" s="38"/>
      <c r="VZT14" s="38"/>
      <c r="VZU14" s="38"/>
      <c r="VZV14" s="38"/>
      <c r="VZW14" s="38"/>
      <c r="VZX14" s="38"/>
      <c r="VZY14" s="38"/>
      <c r="VZZ14" s="38"/>
      <c r="WAA14" s="38"/>
      <c r="WAB14" s="38"/>
      <c r="WAC14" s="38"/>
      <c r="WAD14" s="38"/>
      <c r="WAE14" s="38"/>
      <c r="WAF14" s="38"/>
      <c r="WAG14" s="38"/>
      <c r="WAH14" s="38"/>
      <c r="WAI14" s="38"/>
      <c r="WAJ14" s="38"/>
      <c r="WAK14" s="38"/>
      <c r="WAL14" s="38"/>
      <c r="WAM14" s="38"/>
      <c r="WAN14" s="38"/>
      <c r="WAO14" s="38"/>
      <c r="WAP14" s="38"/>
      <c r="WAQ14" s="38"/>
      <c r="WAR14" s="38"/>
      <c r="WAS14" s="38"/>
      <c r="WAT14" s="38"/>
      <c r="WAU14" s="38"/>
      <c r="WAV14" s="38"/>
      <c r="WAW14" s="38"/>
      <c r="WAX14" s="38"/>
      <c r="WAY14" s="38"/>
      <c r="WAZ14" s="38"/>
      <c r="WBA14" s="38"/>
      <c r="WBB14" s="38"/>
      <c r="WBC14" s="38"/>
      <c r="WBD14" s="38"/>
      <c r="WBE14" s="38"/>
      <c r="WBF14" s="38"/>
      <c r="WBG14" s="38"/>
      <c r="WBH14" s="38"/>
      <c r="WBI14" s="38"/>
      <c r="WBJ14" s="38"/>
      <c r="WBK14" s="38"/>
      <c r="WBL14" s="38"/>
      <c r="WBM14" s="38"/>
      <c r="WBN14" s="38"/>
      <c r="WBO14" s="38"/>
      <c r="WBP14" s="38"/>
      <c r="WBQ14" s="38"/>
      <c r="WBR14" s="38"/>
      <c r="WBS14" s="38"/>
      <c r="WBT14" s="38"/>
      <c r="WBU14" s="38"/>
      <c r="WBV14" s="38"/>
      <c r="WBW14" s="38"/>
      <c r="WBX14" s="38"/>
      <c r="WBY14" s="38"/>
      <c r="WBZ14" s="38"/>
      <c r="WCA14" s="38"/>
      <c r="WCB14" s="38"/>
      <c r="WCC14" s="38"/>
      <c r="WCD14" s="38"/>
      <c r="WCE14" s="38"/>
      <c r="WCF14" s="38"/>
      <c r="WCG14" s="38"/>
      <c r="WCH14" s="38"/>
      <c r="WCI14" s="38"/>
      <c r="WCJ14" s="38"/>
      <c r="WCK14" s="38"/>
      <c r="WCL14" s="38"/>
      <c r="WCM14" s="38"/>
      <c r="WCN14" s="38"/>
      <c r="WCO14" s="38"/>
      <c r="WCP14" s="38"/>
      <c r="WCQ14" s="38"/>
      <c r="WCR14" s="38"/>
      <c r="WCS14" s="38"/>
      <c r="WCT14" s="38"/>
      <c r="WCU14" s="38"/>
      <c r="WCV14" s="38"/>
      <c r="WCW14" s="38"/>
      <c r="WCX14" s="38"/>
      <c r="WCY14" s="38"/>
      <c r="WCZ14" s="38"/>
      <c r="WDA14" s="38"/>
      <c r="WDB14" s="38"/>
      <c r="WDC14" s="38"/>
      <c r="WDD14" s="38"/>
      <c r="WDE14" s="38"/>
      <c r="WDF14" s="38"/>
      <c r="WDG14" s="38"/>
      <c r="WDH14" s="38"/>
      <c r="WDI14" s="38"/>
      <c r="WDJ14" s="38"/>
      <c r="WDK14" s="38"/>
      <c r="WDL14" s="38"/>
      <c r="WDM14" s="38"/>
      <c r="WDN14" s="38"/>
      <c r="WDO14" s="38"/>
      <c r="WDP14" s="38"/>
      <c r="WDQ14" s="38"/>
      <c r="WDR14" s="38"/>
      <c r="WDS14" s="38"/>
      <c r="WDT14" s="38"/>
      <c r="WDU14" s="38"/>
      <c r="WDV14" s="38"/>
      <c r="WDW14" s="38"/>
      <c r="WDX14" s="38"/>
      <c r="WDY14" s="38"/>
      <c r="WDZ14" s="38"/>
      <c r="WEA14" s="38"/>
      <c r="WEB14" s="38"/>
      <c r="WEC14" s="38"/>
      <c r="WED14" s="38"/>
      <c r="WEE14" s="38"/>
      <c r="WEF14" s="38"/>
      <c r="WEG14" s="38"/>
      <c r="WEH14" s="38"/>
      <c r="WEI14" s="38"/>
      <c r="WEJ14" s="38"/>
      <c r="WEK14" s="38"/>
      <c r="WEL14" s="38"/>
      <c r="WEM14" s="38"/>
      <c r="WEN14" s="38"/>
      <c r="WEO14" s="38"/>
      <c r="WEP14" s="38"/>
      <c r="WEQ14" s="38"/>
      <c r="WER14" s="38"/>
      <c r="WES14" s="38"/>
      <c r="WET14" s="38"/>
      <c r="WEU14" s="38"/>
      <c r="WEV14" s="38"/>
      <c r="WEW14" s="38"/>
      <c r="WEX14" s="38"/>
      <c r="WEY14" s="38"/>
      <c r="WEZ14" s="38"/>
      <c r="WFA14" s="38"/>
      <c r="WFB14" s="38"/>
      <c r="WFC14" s="38"/>
      <c r="WFD14" s="38"/>
      <c r="WFE14" s="38"/>
      <c r="WFF14" s="38"/>
      <c r="WFG14" s="38"/>
      <c r="WFH14" s="38"/>
      <c r="WFI14" s="38"/>
      <c r="WFJ14" s="38"/>
      <c r="WFK14" s="38"/>
      <c r="WFL14" s="38"/>
      <c r="WFM14" s="38"/>
      <c r="WFN14" s="38"/>
      <c r="WFO14" s="38"/>
      <c r="WFP14" s="38"/>
      <c r="WFQ14" s="38"/>
      <c r="WFR14" s="38"/>
      <c r="WFS14" s="38"/>
      <c r="WFT14" s="38"/>
      <c r="WFU14" s="38"/>
      <c r="WFV14" s="38"/>
      <c r="WFW14" s="38"/>
      <c r="WFX14" s="38"/>
      <c r="WFY14" s="38"/>
      <c r="WFZ14" s="38"/>
      <c r="WGA14" s="38"/>
      <c r="WGB14" s="38"/>
      <c r="WGC14" s="38"/>
      <c r="WGD14" s="38"/>
      <c r="WGE14" s="38"/>
      <c r="WGF14" s="38"/>
      <c r="WGG14" s="38"/>
      <c r="WGH14" s="38"/>
      <c r="WGI14" s="38"/>
      <c r="WGJ14" s="38"/>
      <c r="WGK14" s="38"/>
      <c r="WGL14" s="38"/>
      <c r="WGM14" s="38"/>
      <c r="WGN14" s="38"/>
      <c r="WGO14" s="38"/>
      <c r="WGP14" s="38"/>
      <c r="WGQ14" s="38"/>
      <c r="WGR14" s="38"/>
      <c r="WGS14" s="38"/>
      <c r="WGT14" s="38"/>
      <c r="WGU14" s="38"/>
      <c r="WGV14" s="38"/>
      <c r="WGW14" s="38"/>
      <c r="WGX14" s="38"/>
      <c r="WGY14" s="38"/>
      <c r="WGZ14" s="38"/>
      <c r="WHA14" s="38"/>
      <c r="WHB14" s="38"/>
      <c r="WHC14" s="38"/>
      <c r="WHD14" s="38"/>
      <c r="WHE14" s="38"/>
      <c r="WHF14" s="38"/>
      <c r="WHG14" s="38"/>
      <c r="WHH14" s="38"/>
      <c r="WHI14" s="38"/>
      <c r="WHJ14" s="38"/>
      <c r="WHK14" s="38"/>
      <c r="WHL14" s="38"/>
      <c r="WHM14" s="38"/>
      <c r="WHN14" s="38"/>
      <c r="WHO14" s="38"/>
      <c r="WHP14" s="38"/>
      <c r="WHQ14" s="38"/>
      <c r="WHR14" s="38"/>
      <c r="WHS14" s="38"/>
      <c r="WHT14" s="38"/>
      <c r="WHU14" s="38"/>
      <c r="WHV14" s="38"/>
      <c r="WHW14" s="38"/>
      <c r="WHX14" s="38"/>
      <c r="WHY14" s="38"/>
      <c r="WHZ14" s="38"/>
      <c r="WIA14" s="38"/>
      <c r="WIB14" s="38"/>
      <c r="WIC14" s="38"/>
      <c r="WID14" s="38"/>
      <c r="WIE14" s="38"/>
      <c r="WIF14" s="38"/>
      <c r="WIG14" s="38"/>
      <c r="WIH14" s="38"/>
      <c r="WII14" s="38"/>
      <c r="WIJ14" s="38"/>
      <c r="WIK14" s="38"/>
      <c r="WIL14" s="38"/>
      <c r="WIM14" s="38"/>
      <c r="WIN14" s="38"/>
      <c r="WIO14" s="38"/>
      <c r="WIP14" s="38"/>
      <c r="WIQ14" s="38"/>
      <c r="WIR14" s="38"/>
      <c r="WIS14" s="38"/>
      <c r="WIT14" s="38"/>
      <c r="WIU14" s="38"/>
      <c r="WIV14" s="38"/>
      <c r="WIW14" s="38"/>
      <c r="WIX14" s="38"/>
      <c r="WIY14" s="38"/>
      <c r="WIZ14" s="38"/>
      <c r="WJA14" s="38"/>
      <c r="WJB14" s="38"/>
      <c r="WJC14" s="38"/>
      <c r="WJD14" s="38"/>
      <c r="WJE14" s="38"/>
      <c r="WJF14" s="38"/>
      <c r="WJG14" s="38"/>
      <c r="WJH14" s="38"/>
      <c r="WJI14" s="38"/>
      <c r="WJJ14" s="38"/>
      <c r="WJK14" s="38"/>
      <c r="WJL14" s="38"/>
      <c r="WJM14" s="38"/>
      <c r="WJN14" s="38"/>
      <c r="WJO14" s="38"/>
      <c r="WJP14" s="38"/>
      <c r="WJQ14" s="38"/>
      <c r="WJR14" s="38"/>
      <c r="WJS14" s="38"/>
      <c r="WJT14" s="38"/>
      <c r="WJU14" s="38"/>
      <c r="WJV14" s="38"/>
      <c r="WJW14" s="38"/>
      <c r="WJX14" s="38"/>
      <c r="WJY14" s="38"/>
      <c r="WJZ14" s="38"/>
      <c r="WKA14" s="38"/>
      <c r="WKB14" s="38"/>
      <c r="WKC14" s="38"/>
      <c r="WKD14" s="38"/>
      <c r="WKE14" s="38"/>
      <c r="WKF14" s="38"/>
      <c r="WKG14" s="38"/>
      <c r="WKH14" s="38"/>
      <c r="WKI14" s="38"/>
      <c r="WKJ14" s="38"/>
      <c r="WKK14" s="38"/>
      <c r="WKL14" s="38"/>
      <c r="WKM14" s="38"/>
      <c r="WKN14" s="38"/>
      <c r="WKO14" s="38"/>
      <c r="WKP14" s="38"/>
      <c r="WKQ14" s="38"/>
      <c r="WKR14" s="38"/>
      <c r="WKS14" s="38"/>
      <c r="WKT14" s="38"/>
      <c r="WKU14" s="38"/>
      <c r="WKV14" s="38"/>
      <c r="WKW14" s="38"/>
      <c r="WKX14" s="38"/>
      <c r="WKY14" s="38"/>
      <c r="WKZ14" s="38"/>
      <c r="WLA14" s="38"/>
      <c r="WLB14" s="38"/>
      <c r="WLC14" s="38"/>
      <c r="WLD14" s="38"/>
      <c r="WLE14" s="38"/>
      <c r="WLF14" s="38"/>
      <c r="WLG14" s="38"/>
      <c r="WLH14" s="38"/>
      <c r="WLI14" s="38"/>
      <c r="WLJ14" s="38"/>
      <c r="WLK14" s="38"/>
      <c r="WLL14" s="38"/>
      <c r="WLM14" s="38"/>
      <c r="WLN14" s="38"/>
      <c r="WLO14" s="38"/>
      <c r="WLP14" s="38"/>
      <c r="WLQ14" s="38"/>
      <c r="WLR14" s="38"/>
      <c r="WLS14" s="38"/>
      <c r="WLT14" s="38"/>
      <c r="WLU14" s="38"/>
      <c r="WLV14" s="38"/>
      <c r="WLW14" s="38"/>
      <c r="WLX14" s="38"/>
      <c r="WLY14" s="38"/>
      <c r="WLZ14" s="38"/>
      <c r="WMA14" s="38"/>
      <c r="WMB14" s="38"/>
      <c r="WMC14" s="38"/>
      <c r="WMD14" s="38"/>
      <c r="WME14" s="38"/>
      <c r="WMF14" s="38"/>
      <c r="WMG14" s="38"/>
      <c r="WMH14" s="38"/>
      <c r="WMI14" s="38"/>
      <c r="WMJ14" s="38"/>
      <c r="WMK14" s="38"/>
      <c r="WML14" s="38"/>
      <c r="WMM14" s="38"/>
      <c r="WMN14" s="38"/>
      <c r="WMO14" s="38"/>
      <c r="WMP14" s="38"/>
      <c r="WMQ14" s="38"/>
      <c r="WMR14" s="38"/>
      <c r="WMS14" s="38"/>
      <c r="WMT14" s="38"/>
      <c r="WMU14" s="38"/>
      <c r="WMV14" s="38"/>
      <c r="WMW14" s="38"/>
      <c r="WMX14" s="38"/>
      <c r="WMY14" s="38"/>
      <c r="WMZ14" s="38"/>
      <c r="WNA14" s="38"/>
      <c r="WNB14" s="38"/>
      <c r="WNC14" s="38"/>
      <c r="WND14" s="38"/>
      <c r="WNE14" s="38"/>
      <c r="WNF14" s="38"/>
      <c r="WNG14" s="38"/>
      <c r="WNH14" s="38"/>
      <c r="WNI14" s="38"/>
      <c r="WNJ14" s="38"/>
      <c r="WNK14" s="38"/>
      <c r="WNL14" s="38"/>
      <c r="WNM14" s="38"/>
      <c r="WNN14" s="38"/>
      <c r="WNO14" s="38"/>
      <c r="WNP14" s="38"/>
      <c r="WNQ14" s="38"/>
      <c r="WNR14" s="38"/>
      <c r="WNS14" s="38"/>
      <c r="WNT14" s="38"/>
      <c r="WNU14" s="38"/>
      <c r="WNV14" s="38"/>
      <c r="WNW14" s="38"/>
      <c r="WNX14" s="38"/>
      <c r="WNY14" s="38"/>
      <c r="WNZ14" s="38"/>
      <c r="WOA14" s="38"/>
      <c r="WOB14" s="38"/>
      <c r="WOC14" s="38"/>
      <c r="WOD14" s="38"/>
      <c r="WOE14" s="38"/>
      <c r="WOF14" s="38"/>
      <c r="WOG14" s="38"/>
      <c r="WOH14" s="38"/>
      <c r="WOI14" s="38"/>
      <c r="WOJ14" s="38"/>
      <c r="WOK14" s="38"/>
      <c r="WOL14" s="38"/>
      <c r="WOM14" s="38"/>
      <c r="WON14" s="38"/>
      <c r="WOO14" s="38"/>
      <c r="WOP14" s="38"/>
      <c r="WOQ14" s="38"/>
      <c r="WOR14" s="38"/>
      <c r="WOS14" s="38"/>
      <c r="WOT14" s="38"/>
      <c r="WOU14" s="38"/>
      <c r="WOV14" s="38"/>
      <c r="WOW14" s="38"/>
      <c r="WOX14" s="38"/>
      <c r="WOY14" s="38"/>
      <c r="WOZ14" s="38"/>
      <c r="WPA14" s="38"/>
      <c r="WPB14" s="38"/>
      <c r="WPC14" s="38"/>
      <c r="WPD14" s="38"/>
      <c r="WPE14" s="38"/>
      <c r="WPF14" s="38"/>
      <c r="WPG14" s="38"/>
      <c r="WPH14" s="38"/>
      <c r="WPI14" s="38"/>
      <c r="WPJ14" s="38"/>
      <c r="WPK14" s="38"/>
      <c r="WPL14" s="38"/>
      <c r="WPM14" s="38"/>
      <c r="WPN14" s="38"/>
      <c r="WPO14" s="38"/>
      <c r="WPP14" s="38"/>
      <c r="WPQ14" s="38"/>
      <c r="WPR14" s="38"/>
      <c r="WPS14" s="38"/>
      <c r="WPT14" s="38"/>
      <c r="WPU14" s="38"/>
      <c r="WPV14" s="38"/>
      <c r="WPW14" s="38"/>
      <c r="WPX14" s="38"/>
      <c r="WPY14" s="38"/>
      <c r="WPZ14" s="38"/>
      <c r="WQA14" s="38"/>
      <c r="WQB14" s="38"/>
      <c r="WQC14" s="38"/>
      <c r="WQD14" s="38"/>
      <c r="WQE14" s="38"/>
      <c r="WQF14" s="38"/>
      <c r="WQG14" s="38"/>
      <c r="WQH14" s="38"/>
      <c r="WQI14" s="38"/>
      <c r="WQJ14" s="38"/>
      <c r="WQK14" s="38"/>
      <c r="WQL14" s="38"/>
      <c r="WQM14" s="38"/>
      <c r="WQN14" s="38"/>
      <c r="WQO14" s="38"/>
      <c r="WQP14" s="38"/>
      <c r="WQQ14" s="38"/>
      <c r="WQR14" s="38"/>
      <c r="WQS14" s="38"/>
      <c r="WQT14" s="38"/>
      <c r="WQU14" s="38"/>
      <c r="WQV14" s="38"/>
      <c r="WQW14" s="38"/>
      <c r="WQX14" s="38"/>
      <c r="WQY14" s="38"/>
      <c r="WQZ14" s="38"/>
      <c r="WRA14" s="38"/>
      <c r="WRB14" s="38"/>
      <c r="WRC14" s="38"/>
      <c r="WRD14" s="38"/>
      <c r="WRE14" s="38"/>
      <c r="WRF14" s="38"/>
      <c r="WRG14" s="38"/>
      <c r="WRH14" s="38"/>
      <c r="WRI14" s="38"/>
      <c r="WRJ14" s="38"/>
      <c r="WRK14" s="38"/>
      <c r="WRL14" s="38"/>
      <c r="WRM14" s="38"/>
      <c r="WRN14" s="38"/>
      <c r="WRO14" s="38"/>
      <c r="WRP14" s="38"/>
      <c r="WRQ14" s="38"/>
      <c r="WRR14" s="38"/>
      <c r="WRS14" s="38"/>
      <c r="WRT14" s="38"/>
      <c r="WRU14" s="38"/>
      <c r="WRV14" s="38"/>
      <c r="WRW14" s="38"/>
      <c r="WRX14" s="38"/>
      <c r="WRY14" s="38"/>
      <c r="WRZ14" s="38"/>
      <c r="WSA14" s="38"/>
      <c r="WSB14" s="38"/>
      <c r="WSC14" s="38"/>
      <c r="WSD14" s="38"/>
      <c r="WSE14" s="38"/>
      <c r="WSF14" s="38"/>
      <c r="WSG14" s="38"/>
      <c r="WSH14" s="38"/>
      <c r="WSI14" s="38"/>
      <c r="WSJ14" s="38"/>
      <c r="WSK14" s="38"/>
      <c r="WSL14" s="38"/>
      <c r="WSM14" s="38"/>
      <c r="WSN14" s="38"/>
      <c r="WSO14" s="38"/>
      <c r="WSP14" s="38"/>
      <c r="WSQ14" s="38"/>
      <c r="WSR14" s="38"/>
      <c r="WSS14" s="38"/>
      <c r="WST14" s="38"/>
      <c r="WSU14" s="38"/>
      <c r="WSV14" s="38"/>
      <c r="WSW14" s="38"/>
      <c r="WSX14" s="38"/>
      <c r="WSY14" s="38"/>
      <c r="WSZ14" s="38"/>
      <c r="WTA14" s="38"/>
      <c r="WTB14" s="38"/>
      <c r="WTC14" s="38"/>
      <c r="WTD14" s="38"/>
      <c r="WTE14" s="38"/>
      <c r="WTF14" s="38"/>
      <c r="WTG14" s="38"/>
      <c r="WTH14" s="38"/>
      <c r="WTI14" s="38"/>
      <c r="WTJ14" s="38"/>
      <c r="WTK14" s="38"/>
      <c r="WTL14" s="38"/>
      <c r="WTM14" s="38"/>
      <c r="WTN14" s="38"/>
      <c r="WTO14" s="38"/>
      <c r="WTP14" s="38"/>
      <c r="WTQ14" s="38"/>
      <c r="WTR14" s="38"/>
      <c r="WTS14" s="38"/>
      <c r="WTT14" s="38"/>
      <c r="WTU14" s="38"/>
      <c r="WTV14" s="38"/>
      <c r="WTW14" s="38"/>
      <c r="WTX14" s="38"/>
      <c r="WTY14" s="38"/>
      <c r="WTZ14" s="38"/>
      <c r="WUA14" s="38"/>
      <c r="WUB14" s="38"/>
      <c r="WUC14" s="38"/>
      <c r="WUD14" s="38"/>
      <c r="WUE14" s="38"/>
      <c r="WUF14" s="38"/>
      <c r="WUG14" s="38"/>
      <c r="WUH14" s="38"/>
      <c r="WUI14" s="38"/>
      <c r="WUJ14" s="38"/>
      <c r="WUK14" s="38"/>
      <c r="WUL14" s="38"/>
      <c r="WUM14" s="38"/>
      <c r="WUN14" s="38"/>
      <c r="WUO14" s="38"/>
      <c r="WUP14" s="38"/>
      <c r="WUQ14" s="38"/>
      <c r="WUR14" s="38"/>
      <c r="WUS14" s="38"/>
      <c r="WUT14" s="38"/>
      <c r="WUU14" s="38"/>
      <c r="WUV14" s="38"/>
      <c r="WUW14" s="38"/>
      <c r="WUX14" s="38"/>
      <c r="WUY14" s="38"/>
      <c r="WUZ14" s="38"/>
      <c r="WVA14" s="38"/>
      <c r="WVB14" s="38"/>
      <c r="WVC14" s="38"/>
      <c r="WVD14" s="38"/>
      <c r="WVE14" s="38"/>
      <c r="WVF14" s="38"/>
      <c r="WVG14" s="38"/>
      <c r="WVH14" s="38"/>
      <c r="WVI14" s="38"/>
      <c r="WVJ14" s="38"/>
      <c r="WVK14" s="38"/>
      <c r="WVL14" s="38"/>
      <c r="WVM14" s="38"/>
      <c r="WVN14" s="38"/>
      <c r="WVO14" s="38"/>
      <c r="WVP14" s="38"/>
      <c r="WVQ14" s="38"/>
      <c r="WVR14" s="38"/>
      <c r="WVS14" s="38"/>
      <c r="WVT14" s="38"/>
      <c r="WVU14" s="38"/>
      <c r="WVV14" s="38"/>
      <c r="WVW14" s="38"/>
      <c r="WVX14" s="38"/>
      <c r="WVY14" s="38"/>
      <c r="WVZ14" s="38"/>
      <c r="WWA14" s="38"/>
      <c r="WWB14" s="38"/>
      <c r="WWC14" s="38"/>
      <c r="WWD14" s="38"/>
      <c r="WWE14" s="38"/>
      <c r="WWF14" s="38"/>
      <c r="WWG14" s="38"/>
      <c r="WWH14" s="38"/>
      <c r="WWI14" s="38"/>
      <c r="WWJ14" s="38"/>
      <c r="WWK14" s="38"/>
      <c r="WWL14" s="38"/>
      <c r="WWM14" s="38"/>
      <c r="WWN14" s="38"/>
      <c r="WWO14" s="38"/>
      <c r="WWP14" s="38"/>
      <c r="WWQ14" s="38"/>
      <c r="WWR14" s="38"/>
      <c r="WWS14" s="38"/>
      <c r="WWT14" s="38"/>
      <c r="WWU14" s="38"/>
      <c r="WWV14" s="38"/>
      <c r="WWW14" s="38"/>
      <c r="WWX14" s="38"/>
      <c r="WWY14" s="38"/>
      <c r="WWZ14" s="38"/>
      <c r="WXA14" s="38"/>
      <c r="WXB14" s="38"/>
      <c r="WXC14" s="38"/>
      <c r="WXD14" s="38"/>
      <c r="WXE14" s="38"/>
      <c r="WXF14" s="38"/>
      <c r="WXG14" s="38"/>
      <c r="WXH14" s="38"/>
      <c r="WXI14" s="38"/>
      <c r="WXJ14" s="38"/>
      <c r="WXK14" s="38"/>
      <c r="WXL14" s="38"/>
      <c r="WXM14" s="38"/>
      <c r="WXN14" s="38"/>
      <c r="WXO14" s="38"/>
      <c r="WXP14" s="38"/>
      <c r="WXQ14" s="38"/>
      <c r="WXR14" s="38"/>
      <c r="WXS14" s="38"/>
      <c r="WXT14" s="38"/>
      <c r="WXU14" s="38"/>
      <c r="WXV14" s="38"/>
      <c r="WXW14" s="38"/>
      <c r="WXX14" s="38"/>
      <c r="WXY14" s="38"/>
      <c r="WXZ14" s="38"/>
      <c r="WYA14" s="38"/>
      <c r="WYB14" s="38"/>
      <c r="WYC14" s="38"/>
      <c r="WYD14" s="38"/>
      <c r="WYE14" s="38"/>
      <c r="WYF14" s="38"/>
      <c r="WYG14" s="38"/>
      <c r="WYH14" s="38"/>
      <c r="WYI14" s="38"/>
      <c r="WYJ14" s="38"/>
      <c r="WYK14" s="38"/>
      <c r="WYL14" s="38"/>
      <c r="WYM14" s="38"/>
      <c r="WYN14" s="38"/>
      <c r="WYO14" s="38"/>
      <c r="WYP14" s="38"/>
      <c r="WYQ14" s="38"/>
      <c r="WYR14" s="38"/>
      <c r="WYS14" s="38"/>
      <c r="WYT14" s="38"/>
      <c r="WYU14" s="38"/>
      <c r="WYV14" s="38"/>
      <c r="WYW14" s="38"/>
      <c r="WYX14" s="38"/>
      <c r="WYY14" s="38"/>
      <c r="WYZ14" s="38"/>
      <c r="WZA14" s="38"/>
      <c r="WZB14" s="38"/>
      <c r="WZC14" s="38"/>
      <c r="WZD14" s="38"/>
      <c r="WZE14" s="38"/>
      <c r="WZF14" s="38"/>
      <c r="WZG14" s="38"/>
      <c r="WZH14" s="38"/>
      <c r="WZI14" s="38"/>
      <c r="WZJ14" s="38"/>
      <c r="WZK14" s="38"/>
      <c r="WZL14" s="38"/>
      <c r="WZM14" s="38"/>
      <c r="WZN14" s="38"/>
      <c r="WZO14" s="38"/>
      <c r="WZP14" s="38"/>
      <c r="WZQ14" s="38"/>
      <c r="WZR14" s="38"/>
      <c r="WZS14" s="38"/>
      <c r="WZT14" s="38"/>
      <c r="WZU14" s="38"/>
      <c r="WZV14" s="38"/>
      <c r="WZW14" s="38"/>
      <c r="WZX14" s="38"/>
      <c r="WZY14" s="38"/>
      <c r="WZZ14" s="38"/>
      <c r="XAA14" s="38"/>
      <c r="XAB14" s="38"/>
      <c r="XAC14" s="38"/>
      <c r="XAD14" s="38"/>
      <c r="XAE14" s="38"/>
      <c r="XAF14" s="38"/>
      <c r="XAG14" s="38"/>
      <c r="XAH14" s="38"/>
      <c r="XAI14" s="38"/>
      <c r="XAJ14" s="38"/>
      <c r="XAK14" s="38"/>
      <c r="XAL14" s="38"/>
      <c r="XAM14" s="38"/>
      <c r="XAN14" s="38"/>
      <c r="XAO14" s="38"/>
      <c r="XAP14" s="38"/>
      <c r="XAQ14" s="38"/>
      <c r="XAR14" s="38"/>
      <c r="XAS14" s="38"/>
      <c r="XAT14" s="38"/>
      <c r="XAU14" s="38"/>
      <c r="XAV14" s="38"/>
      <c r="XAW14" s="38"/>
      <c r="XAX14" s="38"/>
      <c r="XAY14" s="38"/>
      <c r="XAZ14" s="38"/>
      <c r="XBA14" s="38"/>
      <c r="XBB14" s="38"/>
      <c r="XBC14" s="38"/>
      <c r="XBD14" s="38"/>
      <c r="XBE14" s="38"/>
      <c r="XBF14" s="38"/>
      <c r="XBG14" s="38"/>
      <c r="XBH14" s="38"/>
      <c r="XBI14" s="38"/>
      <c r="XBJ14" s="38"/>
      <c r="XBK14" s="38"/>
      <c r="XBL14" s="38"/>
      <c r="XBM14" s="38"/>
      <c r="XBN14" s="38"/>
      <c r="XBO14" s="38"/>
      <c r="XBP14" s="38"/>
      <c r="XBQ14" s="38"/>
      <c r="XBR14" s="38"/>
      <c r="XBS14" s="38"/>
      <c r="XBT14" s="38"/>
      <c r="XBU14" s="38"/>
      <c r="XBV14" s="38"/>
      <c r="XBW14" s="38"/>
      <c r="XBX14" s="38"/>
      <c r="XBY14" s="38"/>
      <c r="XBZ14" s="38"/>
      <c r="XCA14" s="38"/>
      <c r="XCB14" s="38"/>
      <c r="XCC14" s="38"/>
      <c r="XCD14" s="38"/>
      <c r="XCE14" s="38"/>
      <c r="XCF14" s="38"/>
      <c r="XCG14" s="38"/>
      <c r="XCH14" s="38"/>
      <c r="XCI14" s="38"/>
      <c r="XCJ14" s="38"/>
      <c r="XCK14" s="38"/>
      <c r="XCL14" s="38"/>
      <c r="XCM14" s="38"/>
      <c r="XCN14" s="38"/>
      <c r="XCO14" s="38"/>
      <c r="XCP14" s="38"/>
      <c r="XCQ14" s="38"/>
      <c r="XCR14" s="38"/>
      <c r="XCS14" s="38"/>
      <c r="XCT14" s="38"/>
      <c r="XCU14" s="38"/>
      <c r="XCV14" s="38"/>
      <c r="XCW14" s="38"/>
      <c r="XCX14" s="38"/>
      <c r="XCY14" s="38"/>
      <c r="XCZ14" s="38"/>
      <c r="XDA14" s="38"/>
      <c r="XDB14" s="38"/>
      <c r="XDC14" s="38"/>
      <c r="XDD14" s="38"/>
      <c r="XDE14" s="38"/>
      <c r="XDF14" s="38"/>
      <c r="XDG14" s="38"/>
      <c r="XDH14" s="38"/>
      <c r="XDI14" s="38"/>
      <c r="XDJ14" s="38"/>
      <c r="XDK14" s="38"/>
      <c r="XDL14" s="38"/>
      <c r="XDM14" s="38"/>
      <c r="XDN14" s="38"/>
      <c r="XDO14" s="38"/>
      <c r="XDP14" s="38"/>
      <c r="XDQ14" s="38"/>
      <c r="XDR14" s="38"/>
      <c r="XDS14" s="38"/>
      <c r="XDT14" s="38"/>
      <c r="XDU14" s="38"/>
      <c r="XDV14" s="38"/>
      <c r="XDW14" s="38"/>
      <c r="XDX14" s="38"/>
      <c r="XDY14" s="38"/>
      <c r="XDZ14" s="38"/>
      <c r="XEA14" s="38"/>
      <c r="XEB14" s="38"/>
      <c r="XEC14" s="38"/>
      <c r="XED14" s="38"/>
      <c r="XEE14" s="38"/>
      <c r="XEF14" s="38"/>
      <c r="XEG14" s="38"/>
      <c r="XEH14" s="38"/>
      <c r="XEI14" s="38"/>
      <c r="XEJ14" s="38"/>
      <c r="XEK14" s="38"/>
      <c r="XEL14" s="38"/>
      <c r="XEM14" s="38"/>
      <c r="XEN14" s="38"/>
      <c r="XEO14" s="38"/>
      <c r="XEP14" s="38"/>
      <c r="XEQ14" s="38"/>
      <c r="XER14" s="38"/>
      <c r="XES14" s="38"/>
      <c r="XET14" s="38"/>
      <c r="XEU14" s="38"/>
      <c r="XEV14" s="38"/>
      <c r="XEW14" s="38"/>
      <c r="XEX14" s="38"/>
      <c r="XEY14" s="38"/>
      <c r="XEZ14" s="38"/>
      <c r="XFA14" s="38"/>
      <c r="XFB14" s="38"/>
      <c r="XFC14" s="38"/>
    </row>
    <row r="15" spans="1:16383" ht="15" customHeight="1">
      <c r="A15" s="235" t="s">
        <v>173</v>
      </c>
      <c r="B15" s="25"/>
      <c r="C15" s="26">
        <v>42726</v>
      </c>
      <c r="D15" s="38" t="s">
        <v>29</v>
      </c>
      <c r="E15" s="38" t="s">
        <v>29</v>
      </c>
      <c r="F15" s="38" t="s">
        <v>30</v>
      </c>
      <c r="G15" s="38">
        <v>1</v>
      </c>
      <c r="H15" s="161" t="s">
        <v>174</v>
      </c>
      <c r="I15" s="161" t="s">
        <v>175</v>
      </c>
      <c r="J15" s="161" t="s">
        <v>176</v>
      </c>
      <c r="K15" s="161" t="s">
        <v>177</v>
      </c>
      <c r="L15" s="39"/>
      <c r="M15" s="24"/>
      <c r="N15" s="40" t="s">
        <v>13</v>
      </c>
      <c r="O15" s="94">
        <v>42689.635416666664</v>
      </c>
      <c r="P15" s="41" t="s">
        <v>169</v>
      </c>
      <c r="Q15" s="41" t="s">
        <v>169</v>
      </c>
      <c r="R15" s="153"/>
      <c r="S15" s="154"/>
      <c r="T15" s="155" t="s">
        <v>78</v>
      </c>
      <c r="U15" s="52">
        <v>42710</v>
      </c>
      <c r="V15" s="209"/>
      <c r="W15" s="216" t="s">
        <v>178</v>
      </c>
      <c r="X15" s="239" t="s">
        <v>172</v>
      </c>
      <c r="Y15" s="156">
        <v>29</v>
      </c>
      <c r="Z15" s="25" t="s">
        <v>44</v>
      </c>
      <c r="AA15" s="25">
        <f t="shared" si="0"/>
        <v>0</v>
      </c>
      <c r="AB15" s="157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</row>
    <row r="16" spans="1:16383" ht="15" customHeight="1">
      <c r="A16" s="24" t="s">
        <v>179</v>
      </c>
      <c r="B16" s="25"/>
      <c r="C16" s="26">
        <v>42678</v>
      </c>
      <c r="D16" s="38" t="s">
        <v>29</v>
      </c>
      <c r="E16" s="38" t="s">
        <v>29</v>
      </c>
      <c r="F16" s="38" t="s">
        <v>69</v>
      </c>
      <c r="G16" s="38">
        <v>5</v>
      </c>
      <c r="H16" s="39" t="s">
        <v>152</v>
      </c>
      <c r="I16" s="39" t="s">
        <v>180</v>
      </c>
      <c r="J16" s="39" t="s">
        <v>181</v>
      </c>
      <c r="K16" s="39" t="s">
        <v>182</v>
      </c>
      <c r="L16" s="39" t="s">
        <v>183</v>
      </c>
      <c r="M16" s="24" t="s">
        <v>184</v>
      </c>
      <c r="N16" s="158" t="s">
        <v>13</v>
      </c>
      <c r="O16" s="95">
        <v>42598.395833333336</v>
      </c>
      <c r="P16" s="41" t="s">
        <v>185</v>
      </c>
      <c r="Q16" s="41" t="s">
        <v>185</v>
      </c>
      <c r="R16" s="42" t="s">
        <v>39</v>
      </c>
      <c r="S16" s="43">
        <v>42430</v>
      </c>
      <c r="T16" s="44" t="s">
        <v>40</v>
      </c>
      <c r="U16" s="224">
        <v>42661</v>
      </c>
      <c r="V16" s="48" t="s">
        <v>94</v>
      </c>
      <c r="W16" s="54" t="s">
        <v>186</v>
      </c>
      <c r="X16" s="50" t="s">
        <v>57</v>
      </c>
      <c r="Y16" s="38">
        <v>327</v>
      </c>
      <c r="Z16" s="25" t="s">
        <v>44</v>
      </c>
      <c r="AA16" s="25">
        <f t="shared" si="0"/>
        <v>0</v>
      </c>
      <c r="AB16" s="163"/>
    </row>
    <row r="17" spans="1:38" ht="15" customHeight="1">
      <c r="A17" s="24" t="s">
        <v>187</v>
      </c>
      <c r="B17" s="25"/>
      <c r="C17" s="26">
        <v>42725</v>
      </c>
      <c r="D17" s="38" t="s">
        <v>29</v>
      </c>
      <c r="E17" s="38" t="s">
        <v>94</v>
      </c>
      <c r="F17" s="38" t="s">
        <v>95</v>
      </c>
      <c r="G17" s="38">
        <v>6</v>
      </c>
      <c r="H17" s="39" t="s">
        <v>188</v>
      </c>
      <c r="I17" s="39" t="s">
        <v>189</v>
      </c>
      <c r="J17" s="39" t="s">
        <v>190</v>
      </c>
      <c r="K17" s="39" t="s">
        <v>191</v>
      </c>
      <c r="L17" s="39" t="s">
        <v>52</v>
      </c>
      <c r="M17" s="24" t="s">
        <v>192</v>
      </c>
      <c r="N17" s="158" t="s">
        <v>13</v>
      </c>
      <c r="O17" s="95">
        <v>42580.479166666664</v>
      </c>
      <c r="P17" s="41" t="s">
        <v>122</v>
      </c>
      <c r="Q17" s="41" t="s">
        <v>122</v>
      </c>
      <c r="R17" s="42" t="s">
        <v>77</v>
      </c>
      <c r="T17" s="44" t="s">
        <v>193</v>
      </c>
      <c r="U17" s="52">
        <v>42671</v>
      </c>
      <c r="W17" s="54" t="s">
        <v>194</v>
      </c>
      <c r="X17" s="50" t="s">
        <v>104</v>
      </c>
      <c r="Y17" s="38">
        <v>375</v>
      </c>
      <c r="Z17" s="25" t="s">
        <v>44</v>
      </c>
      <c r="AA17" s="25">
        <f t="shared" si="0"/>
        <v>0</v>
      </c>
    </row>
    <row r="18" spans="1:38" ht="15" customHeight="1">
      <c r="A18" s="24" t="s">
        <v>195</v>
      </c>
      <c r="B18" s="25" t="s">
        <v>196</v>
      </c>
      <c r="C18" s="26">
        <v>42725</v>
      </c>
      <c r="D18" s="38" t="s">
        <v>29</v>
      </c>
      <c r="E18" s="38" t="s">
        <v>29</v>
      </c>
      <c r="F18" s="38" t="s">
        <v>69</v>
      </c>
      <c r="G18" s="38">
        <v>1</v>
      </c>
      <c r="H18" s="39" t="s">
        <v>197</v>
      </c>
      <c r="I18" s="39" t="s">
        <v>198</v>
      </c>
      <c r="J18" s="25" t="s">
        <v>199</v>
      </c>
      <c r="K18" s="25" t="s">
        <v>200</v>
      </c>
      <c r="L18" s="39" t="s">
        <v>201</v>
      </c>
      <c r="M18" s="165"/>
      <c r="N18" s="40" t="s">
        <v>13</v>
      </c>
      <c r="O18" s="94">
        <v>42669.458333333336</v>
      </c>
      <c r="P18" s="41" t="s">
        <v>202</v>
      </c>
      <c r="Q18" s="41" t="s">
        <v>202</v>
      </c>
      <c r="T18" s="44" t="s">
        <v>78</v>
      </c>
      <c r="U18" s="52">
        <v>42725</v>
      </c>
      <c r="W18" s="216" t="s">
        <v>203</v>
      </c>
      <c r="X18" s="50" t="s">
        <v>204</v>
      </c>
      <c r="Y18" s="38">
        <v>37</v>
      </c>
      <c r="Z18" s="25" t="s">
        <v>44</v>
      </c>
      <c r="AA18" s="25">
        <f t="shared" si="0"/>
        <v>0</v>
      </c>
      <c r="AD18" s="159"/>
      <c r="AE18" s="159"/>
      <c r="AF18" s="159"/>
      <c r="AG18" s="159"/>
      <c r="AH18" s="159"/>
      <c r="AI18" s="159"/>
      <c r="AJ18" s="159"/>
      <c r="AK18" s="159"/>
      <c r="AL18" s="159"/>
    </row>
    <row r="19" spans="1:38" ht="15" customHeight="1">
      <c r="A19" s="24" t="s">
        <v>205</v>
      </c>
      <c r="B19" s="25"/>
      <c r="C19" s="26">
        <v>42772</v>
      </c>
      <c r="D19" s="38" t="s">
        <v>29</v>
      </c>
      <c r="E19" s="38" t="s">
        <v>29</v>
      </c>
      <c r="F19" s="38" t="s">
        <v>95</v>
      </c>
      <c r="G19" s="38">
        <v>8</v>
      </c>
      <c r="H19" s="39" t="s">
        <v>206</v>
      </c>
      <c r="I19" s="39" t="s">
        <v>207</v>
      </c>
      <c r="J19" s="39" t="s">
        <v>208</v>
      </c>
      <c r="K19" s="39" t="s">
        <v>209</v>
      </c>
      <c r="L19" s="39" t="s">
        <v>100</v>
      </c>
      <c r="M19" s="24" t="s">
        <v>210</v>
      </c>
      <c r="N19" s="158" t="s">
        <v>13</v>
      </c>
      <c r="O19" s="94">
        <v>42671.416666666664</v>
      </c>
      <c r="P19" s="41" t="s">
        <v>102</v>
      </c>
      <c r="Q19" s="41" t="s">
        <v>102</v>
      </c>
      <c r="R19" s="42" t="s">
        <v>77</v>
      </c>
      <c r="T19" s="44" t="s">
        <v>90</v>
      </c>
      <c r="U19" s="52">
        <v>42718</v>
      </c>
      <c r="W19" s="54" t="s">
        <v>211</v>
      </c>
      <c r="X19" s="50" t="s">
        <v>149</v>
      </c>
      <c r="Y19" s="38">
        <v>684</v>
      </c>
      <c r="Z19" s="25" t="s">
        <v>44</v>
      </c>
      <c r="AA19" s="25">
        <f t="shared" si="0"/>
        <v>0</v>
      </c>
    </row>
    <row r="20" spans="1:38" ht="15" customHeight="1">
      <c r="A20" s="24" t="s">
        <v>212</v>
      </c>
      <c r="B20" s="25"/>
      <c r="C20" s="26">
        <v>42655</v>
      </c>
      <c r="D20" s="38" t="s">
        <v>29</v>
      </c>
      <c r="E20" s="38" t="s">
        <v>29</v>
      </c>
      <c r="F20" s="38" t="s">
        <v>95</v>
      </c>
      <c r="G20" s="38">
        <v>9</v>
      </c>
      <c r="H20" s="39" t="s">
        <v>213</v>
      </c>
      <c r="I20" s="39" t="s">
        <v>214</v>
      </c>
      <c r="J20" s="39" t="s">
        <v>215</v>
      </c>
      <c r="K20" s="39" t="s">
        <v>216</v>
      </c>
      <c r="L20" s="39" t="s">
        <v>217</v>
      </c>
      <c r="M20" s="24" t="s">
        <v>218</v>
      </c>
      <c r="N20" s="40" t="s">
        <v>13</v>
      </c>
      <c r="O20" s="94">
        <v>42592.375</v>
      </c>
      <c r="P20" s="41" t="s">
        <v>122</v>
      </c>
      <c r="Q20" s="41" t="s">
        <v>122</v>
      </c>
      <c r="R20" s="42" t="s">
        <v>39</v>
      </c>
      <c r="S20" s="43">
        <v>42461</v>
      </c>
      <c r="T20" s="44" t="s">
        <v>219</v>
      </c>
      <c r="U20" s="52">
        <v>42637</v>
      </c>
      <c r="V20" s="48" t="s">
        <v>220</v>
      </c>
      <c r="W20" s="54" t="s">
        <v>221</v>
      </c>
      <c r="X20" s="50" t="s">
        <v>222</v>
      </c>
      <c r="Y20" s="38">
        <v>192</v>
      </c>
      <c r="Z20" s="25" t="s">
        <v>44</v>
      </c>
      <c r="AA20" s="25">
        <f t="shared" si="0"/>
        <v>0</v>
      </c>
    </row>
    <row r="21" spans="1:38" ht="15" customHeight="1">
      <c r="A21" s="45" t="s">
        <v>223</v>
      </c>
      <c r="B21" s="25" t="s">
        <v>224</v>
      </c>
      <c r="C21" s="26">
        <v>42790</v>
      </c>
      <c r="D21" s="38" t="s">
        <v>29</v>
      </c>
      <c r="E21" s="38" t="s">
        <v>29</v>
      </c>
      <c r="F21" s="38" t="s">
        <v>95</v>
      </c>
      <c r="G21" s="38">
        <v>1</v>
      </c>
      <c r="H21" s="39" t="s">
        <v>225</v>
      </c>
      <c r="I21" s="39" t="s">
        <v>226</v>
      </c>
      <c r="J21" s="39" t="s">
        <v>227</v>
      </c>
      <c r="K21" s="25" t="s">
        <v>228</v>
      </c>
      <c r="L21" s="39" t="s">
        <v>229</v>
      </c>
      <c r="M21" s="24" t="s">
        <v>218</v>
      </c>
      <c r="N21" s="40" t="s">
        <v>13</v>
      </c>
      <c r="O21" s="94">
        <v>42690.416666666664</v>
      </c>
      <c r="P21" s="41" t="s">
        <v>202</v>
      </c>
      <c r="Q21" s="41" t="s">
        <v>202</v>
      </c>
      <c r="T21" s="44" t="s">
        <v>78</v>
      </c>
      <c r="U21" s="52">
        <v>42761</v>
      </c>
      <c r="W21" s="216" t="s">
        <v>230</v>
      </c>
      <c r="X21" s="50" t="s">
        <v>57</v>
      </c>
      <c r="Y21" s="38">
        <v>13</v>
      </c>
      <c r="Z21" s="25" t="s">
        <v>44</v>
      </c>
      <c r="AA21" s="25">
        <f t="shared" si="0"/>
        <v>0</v>
      </c>
    </row>
    <row r="22" spans="1:38" ht="15" customHeight="1">
      <c r="A22" s="24" t="s">
        <v>231</v>
      </c>
      <c r="B22" s="25"/>
      <c r="C22" s="26">
        <v>42670</v>
      </c>
      <c r="D22" s="38" t="s">
        <v>29</v>
      </c>
      <c r="E22" s="38" t="s">
        <v>29</v>
      </c>
      <c r="F22" s="38" t="s">
        <v>47</v>
      </c>
      <c r="G22" s="38">
        <v>4</v>
      </c>
      <c r="H22" s="39" t="s">
        <v>232</v>
      </c>
      <c r="I22" s="39" t="s">
        <v>233</v>
      </c>
      <c r="J22" s="39" t="s">
        <v>234</v>
      </c>
      <c r="K22" s="39" t="s">
        <v>235</v>
      </c>
      <c r="L22" s="39" t="s">
        <v>74</v>
      </c>
      <c r="M22" s="45" t="s">
        <v>236</v>
      </c>
      <c r="N22" s="40" t="s">
        <v>13</v>
      </c>
      <c r="O22" s="94">
        <v>42604.416666666664</v>
      </c>
      <c r="P22" s="41" t="s">
        <v>122</v>
      </c>
      <c r="Q22" s="41" t="s">
        <v>122</v>
      </c>
      <c r="R22" s="42" t="s">
        <v>77</v>
      </c>
      <c r="T22" s="44" t="s">
        <v>237</v>
      </c>
      <c r="U22" s="52">
        <v>42642</v>
      </c>
      <c r="V22" s="48" t="s">
        <v>94</v>
      </c>
      <c r="W22" s="54" t="s">
        <v>238</v>
      </c>
      <c r="X22" s="50" t="s">
        <v>43</v>
      </c>
      <c r="Y22" s="38">
        <v>281</v>
      </c>
      <c r="Z22" s="25" t="s">
        <v>44</v>
      </c>
      <c r="AA22" s="25">
        <f t="shared" si="0"/>
        <v>0</v>
      </c>
    </row>
    <row r="23" spans="1:38" ht="15" customHeight="1">
      <c r="A23" s="235" t="s">
        <v>239</v>
      </c>
      <c r="B23" s="161"/>
      <c r="C23" s="167">
        <v>42744</v>
      </c>
      <c r="D23" s="38" t="s">
        <v>29</v>
      </c>
      <c r="E23" s="38" t="s">
        <v>94</v>
      </c>
      <c r="F23" s="38" t="s">
        <v>95</v>
      </c>
      <c r="G23" s="159">
        <v>2</v>
      </c>
      <c r="H23" s="39" t="s">
        <v>240</v>
      </c>
      <c r="I23" s="39" t="s">
        <v>241</v>
      </c>
      <c r="J23" s="168" t="s">
        <v>242</v>
      </c>
      <c r="K23" s="25" t="s">
        <v>243</v>
      </c>
      <c r="L23" s="39"/>
      <c r="M23" s="24" t="s">
        <v>244</v>
      </c>
      <c r="N23" s="40" t="s">
        <v>13</v>
      </c>
      <c r="O23" s="96">
        <v>42690</v>
      </c>
      <c r="P23" s="159" t="s">
        <v>245</v>
      </c>
      <c r="Q23" s="159" t="s">
        <v>245</v>
      </c>
      <c r="R23" s="39"/>
      <c r="S23" s="167"/>
      <c r="T23" s="169" t="s">
        <v>65</v>
      </c>
      <c r="U23" s="225">
        <v>42704</v>
      </c>
      <c r="V23" s="205"/>
      <c r="W23" s="208" t="s">
        <v>246</v>
      </c>
      <c r="X23" s="206" t="s">
        <v>104</v>
      </c>
      <c r="Y23" s="159">
        <v>54</v>
      </c>
      <c r="Z23" s="25" t="s">
        <v>44</v>
      </c>
      <c r="AA23" s="25">
        <f t="shared" si="0"/>
        <v>0</v>
      </c>
      <c r="AB23" s="39"/>
    </row>
    <row r="24" spans="1:38" ht="15" customHeight="1">
      <c r="A24" s="235" t="s">
        <v>247</v>
      </c>
      <c r="B24" s="161"/>
      <c r="C24" s="167">
        <v>42744</v>
      </c>
      <c r="D24" s="38" t="s">
        <v>29</v>
      </c>
      <c r="E24" s="38" t="s">
        <v>94</v>
      </c>
      <c r="F24" s="38" t="s">
        <v>95</v>
      </c>
      <c r="G24" s="159">
        <v>4</v>
      </c>
      <c r="H24" s="39" t="s">
        <v>248</v>
      </c>
      <c r="I24" s="39" t="s">
        <v>249</v>
      </c>
      <c r="J24" s="170" t="s">
        <v>250</v>
      </c>
      <c r="K24" s="25" t="s">
        <v>251</v>
      </c>
      <c r="L24" s="39"/>
      <c r="M24" s="24" t="s">
        <v>244</v>
      </c>
      <c r="N24" s="39" t="s">
        <v>13</v>
      </c>
      <c r="O24" s="96">
        <v>42692</v>
      </c>
      <c r="P24" s="159" t="s">
        <v>245</v>
      </c>
      <c r="Q24" s="159" t="s">
        <v>245</v>
      </c>
      <c r="R24" s="39"/>
      <c r="S24" s="167"/>
      <c r="T24" s="169" t="s">
        <v>219</v>
      </c>
      <c r="U24" s="225">
        <v>42707</v>
      </c>
      <c r="V24" s="205"/>
      <c r="W24" s="208" t="s">
        <v>252</v>
      </c>
      <c r="X24" s="206" t="s">
        <v>104</v>
      </c>
      <c r="Y24" s="159">
        <v>45</v>
      </c>
      <c r="Z24" s="25" t="s">
        <v>44</v>
      </c>
      <c r="AA24" s="25">
        <f t="shared" si="0"/>
        <v>0</v>
      </c>
      <c r="AB24" s="39"/>
    </row>
    <row r="25" spans="1:38" ht="15" customHeight="1">
      <c r="A25" s="235" t="s">
        <v>253</v>
      </c>
      <c r="B25" s="161"/>
      <c r="C25" s="167">
        <v>42755</v>
      </c>
      <c r="D25" s="38" t="s">
        <v>29</v>
      </c>
      <c r="E25" s="38" t="s">
        <v>94</v>
      </c>
      <c r="F25" s="38" t="s">
        <v>95</v>
      </c>
      <c r="G25" s="159">
        <v>1</v>
      </c>
      <c r="H25" s="39" t="s">
        <v>163</v>
      </c>
      <c r="I25" s="39" t="s">
        <v>254</v>
      </c>
      <c r="J25" s="168" t="s">
        <v>255</v>
      </c>
      <c r="K25" s="25" t="s">
        <v>256</v>
      </c>
      <c r="L25" s="39"/>
      <c r="M25" s="24" t="s">
        <v>244</v>
      </c>
      <c r="N25" s="158" t="s">
        <v>13</v>
      </c>
      <c r="O25" s="96">
        <v>42697</v>
      </c>
      <c r="P25" s="159" t="s">
        <v>257</v>
      </c>
      <c r="Q25" s="159" t="s">
        <v>257</v>
      </c>
      <c r="R25" s="39"/>
      <c r="S25" s="167"/>
      <c r="T25" s="169" t="s">
        <v>78</v>
      </c>
      <c r="U25" s="225">
        <v>42712</v>
      </c>
      <c r="V25" s="205"/>
      <c r="W25" s="208" t="s">
        <v>258</v>
      </c>
      <c r="X25" s="206" t="s">
        <v>104</v>
      </c>
      <c r="Y25" s="240">
        <v>24</v>
      </c>
      <c r="Z25" s="25" t="s">
        <v>44</v>
      </c>
      <c r="AA25" s="25">
        <f t="shared" si="0"/>
        <v>0</v>
      </c>
      <c r="AB25" s="39"/>
    </row>
    <row r="26" spans="1:38" ht="15" customHeight="1">
      <c r="A26" s="235" t="s">
        <v>259</v>
      </c>
      <c r="B26" s="161"/>
      <c r="C26" s="167">
        <v>42755</v>
      </c>
      <c r="D26" s="38" t="s">
        <v>29</v>
      </c>
      <c r="E26" s="38" t="s">
        <v>94</v>
      </c>
      <c r="F26" s="38" t="s">
        <v>95</v>
      </c>
      <c r="G26" s="159">
        <v>1</v>
      </c>
      <c r="H26" s="39" t="s">
        <v>260</v>
      </c>
      <c r="I26" s="39" t="s">
        <v>261</v>
      </c>
      <c r="J26" s="168" t="s">
        <v>262</v>
      </c>
      <c r="K26" s="25" t="s">
        <v>263</v>
      </c>
      <c r="L26" s="39"/>
      <c r="M26" s="24" t="s">
        <v>244</v>
      </c>
      <c r="N26" s="158" t="s">
        <v>13</v>
      </c>
      <c r="O26" s="96">
        <v>42692</v>
      </c>
      <c r="P26" s="159" t="s">
        <v>257</v>
      </c>
      <c r="Q26" s="159" t="s">
        <v>257</v>
      </c>
      <c r="R26" s="39"/>
      <c r="S26" s="167"/>
      <c r="T26" s="169" t="s">
        <v>78</v>
      </c>
      <c r="U26" s="225">
        <v>42713</v>
      </c>
      <c r="V26" s="205"/>
      <c r="W26" s="208" t="s">
        <v>264</v>
      </c>
      <c r="X26" s="206" t="s">
        <v>104</v>
      </c>
      <c r="Y26" s="159">
        <v>27</v>
      </c>
      <c r="Z26" s="25" t="s">
        <v>44</v>
      </c>
      <c r="AA26" s="25">
        <f t="shared" si="0"/>
        <v>0</v>
      </c>
      <c r="AB26" s="39"/>
    </row>
    <row r="27" spans="1:38" ht="15" customHeight="1">
      <c r="A27" s="24" t="s">
        <v>265</v>
      </c>
      <c r="B27" s="25"/>
      <c r="C27" s="26">
        <v>42794</v>
      </c>
      <c r="D27" s="38" t="s">
        <v>29</v>
      </c>
      <c r="E27" s="38" t="s">
        <v>29</v>
      </c>
      <c r="F27" s="38" t="s">
        <v>30</v>
      </c>
      <c r="G27" s="38">
        <v>4</v>
      </c>
      <c r="H27" s="39" t="s">
        <v>266</v>
      </c>
      <c r="I27" s="39" t="s">
        <v>267</v>
      </c>
      <c r="J27" s="39" t="s">
        <v>268</v>
      </c>
      <c r="K27" s="39" t="s">
        <v>269</v>
      </c>
      <c r="L27" s="39" t="s">
        <v>270</v>
      </c>
      <c r="M27" s="24" t="s">
        <v>271</v>
      </c>
      <c r="N27" s="158" t="s">
        <v>13</v>
      </c>
      <c r="O27" s="95">
        <v>42586.416666666664</v>
      </c>
      <c r="P27" s="41" t="s">
        <v>169</v>
      </c>
      <c r="Q27" s="41" t="s">
        <v>169</v>
      </c>
      <c r="R27" s="42" t="s">
        <v>39</v>
      </c>
      <c r="S27" s="43">
        <v>42491</v>
      </c>
      <c r="T27" s="44" t="s">
        <v>219</v>
      </c>
      <c r="U27" s="52">
        <v>42668</v>
      </c>
      <c r="W27" s="54" t="s">
        <v>272</v>
      </c>
      <c r="X27" s="50" t="s">
        <v>172</v>
      </c>
      <c r="Y27" s="38">
        <v>391</v>
      </c>
      <c r="Z27" s="25" t="s">
        <v>44</v>
      </c>
      <c r="AA27" s="25">
        <f t="shared" si="0"/>
        <v>0</v>
      </c>
      <c r="AC27" s="37"/>
    </row>
    <row r="28" spans="1:38" ht="15" customHeight="1">
      <c r="A28" s="24" t="s">
        <v>273</v>
      </c>
      <c r="B28" s="25"/>
      <c r="C28" s="26">
        <v>42776</v>
      </c>
      <c r="D28" s="38" t="s">
        <v>29</v>
      </c>
      <c r="E28" s="38" t="s">
        <v>29</v>
      </c>
      <c r="F28" s="38" t="s">
        <v>30</v>
      </c>
      <c r="G28" s="38">
        <v>20</v>
      </c>
      <c r="H28" s="39" t="s">
        <v>274</v>
      </c>
      <c r="I28" s="39" t="s">
        <v>275</v>
      </c>
      <c r="J28" s="39" t="s">
        <v>276</v>
      </c>
      <c r="K28" s="39" t="s">
        <v>277</v>
      </c>
      <c r="L28" s="39" t="s">
        <v>52</v>
      </c>
      <c r="M28" s="45" t="s">
        <v>278</v>
      </c>
      <c r="N28" s="158" t="s">
        <v>13</v>
      </c>
      <c r="O28" s="95">
        <v>42585.416666666664</v>
      </c>
      <c r="P28" s="41" t="s">
        <v>169</v>
      </c>
      <c r="Q28" s="41" t="s">
        <v>169</v>
      </c>
      <c r="R28" s="42" t="s">
        <v>77</v>
      </c>
      <c r="S28" s="43">
        <v>42772</v>
      </c>
      <c r="T28" s="44" t="s">
        <v>279</v>
      </c>
      <c r="U28" s="52">
        <v>42670</v>
      </c>
      <c r="W28" s="54" t="s">
        <v>280</v>
      </c>
      <c r="X28" s="50" t="s">
        <v>43</v>
      </c>
      <c r="Y28" s="38">
        <v>2378</v>
      </c>
      <c r="Z28" s="25" t="s">
        <v>44</v>
      </c>
      <c r="AA28" s="25">
        <f t="shared" si="0"/>
        <v>0</v>
      </c>
    </row>
    <row r="29" spans="1:38" ht="15" customHeight="1">
      <c r="A29" s="24" t="s">
        <v>281</v>
      </c>
      <c r="B29" s="25"/>
      <c r="C29" s="26">
        <v>42765</v>
      </c>
      <c r="D29" s="38" t="s">
        <v>29</v>
      </c>
      <c r="E29" s="38" t="s">
        <v>94</v>
      </c>
      <c r="F29" s="38" t="s">
        <v>95</v>
      </c>
      <c r="G29" s="38">
        <v>1</v>
      </c>
      <c r="H29" s="39" t="s">
        <v>282</v>
      </c>
      <c r="I29" s="39" t="s">
        <v>283</v>
      </c>
      <c r="J29" s="39" t="s">
        <v>284</v>
      </c>
      <c r="K29" s="25" t="s">
        <v>285</v>
      </c>
      <c r="L29" s="39" t="s">
        <v>286</v>
      </c>
      <c r="M29" s="45" t="s">
        <v>287</v>
      </c>
      <c r="N29" s="40" t="s">
        <v>13</v>
      </c>
      <c r="O29" s="94">
        <v>42606.375</v>
      </c>
      <c r="P29" s="41" t="s">
        <v>169</v>
      </c>
      <c r="Q29" s="41" t="s">
        <v>169</v>
      </c>
      <c r="R29" s="42" t="s">
        <v>77</v>
      </c>
      <c r="T29" s="44" t="s">
        <v>78</v>
      </c>
      <c r="U29" s="52">
        <v>42724</v>
      </c>
      <c r="V29" s="48" t="s">
        <v>288</v>
      </c>
      <c r="W29" s="54" t="s">
        <v>289</v>
      </c>
      <c r="X29" s="50" t="s">
        <v>57</v>
      </c>
      <c r="Y29" s="38">
        <v>28</v>
      </c>
      <c r="Z29" s="25" t="s">
        <v>44</v>
      </c>
      <c r="AA29" s="25">
        <f t="shared" si="0"/>
        <v>1</v>
      </c>
    </row>
    <row r="30" spans="1:38" ht="15" customHeight="1">
      <c r="A30" s="24" t="s">
        <v>290</v>
      </c>
      <c r="B30" s="25"/>
      <c r="C30" s="26">
        <v>42705</v>
      </c>
      <c r="D30" s="38" t="s">
        <v>29</v>
      </c>
      <c r="E30" s="38" t="s">
        <v>94</v>
      </c>
      <c r="F30" s="38" t="s">
        <v>30</v>
      </c>
      <c r="G30" s="38">
        <v>6</v>
      </c>
      <c r="H30" s="39" t="s">
        <v>291</v>
      </c>
      <c r="I30" s="39" t="s">
        <v>292</v>
      </c>
      <c r="J30" s="39" t="s">
        <v>293</v>
      </c>
      <c r="K30" s="39" t="s">
        <v>294</v>
      </c>
      <c r="L30" s="39" t="s">
        <v>167</v>
      </c>
      <c r="M30" s="45" t="s">
        <v>295</v>
      </c>
      <c r="N30" s="158" t="s">
        <v>13</v>
      </c>
      <c r="O30" s="95">
        <v>42600.375</v>
      </c>
      <c r="P30" s="41" t="s">
        <v>37</v>
      </c>
      <c r="Q30" s="171" t="s">
        <v>37</v>
      </c>
      <c r="R30" s="42" t="s">
        <v>39</v>
      </c>
      <c r="S30" s="43">
        <v>42430</v>
      </c>
      <c r="T30" s="44" t="s">
        <v>193</v>
      </c>
      <c r="U30" s="52">
        <v>42661</v>
      </c>
      <c r="V30" s="48" t="s">
        <v>296</v>
      </c>
      <c r="W30" s="54" t="s">
        <v>297</v>
      </c>
      <c r="X30" s="50" t="s">
        <v>104</v>
      </c>
      <c r="Y30" s="38">
        <v>154</v>
      </c>
      <c r="Z30" s="25" t="s">
        <v>44</v>
      </c>
      <c r="AA30" s="25">
        <f t="shared" si="0"/>
        <v>0</v>
      </c>
    </row>
    <row r="31" spans="1:38" ht="15" customHeight="1">
      <c r="A31" s="172" t="s">
        <v>298</v>
      </c>
      <c r="B31" s="25"/>
      <c r="C31" s="26">
        <v>42787</v>
      </c>
      <c r="D31" s="38" t="s">
        <v>29</v>
      </c>
      <c r="E31" s="38" t="s">
        <v>94</v>
      </c>
      <c r="F31" s="38" t="s">
        <v>30</v>
      </c>
      <c r="G31" s="38">
        <v>1</v>
      </c>
      <c r="H31" s="161" t="s">
        <v>299</v>
      </c>
      <c r="I31" s="161" t="s">
        <v>300</v>
      </c>
      <c r="J31" s="161" t="s">
        <v>301</v>
      </c>
      <c r="K31" s="161" t="s">
        <v>302</v>
      </c>
      <c r="L31" s="161" t="s">
        <v>303</v>
      </c>
      <c r="N31" s="158" t="s">
        <v>13</v>
      </c>
      <c r="O31" s="95">
        <v>42702.333333333336</v>
      </c>
      <c r="P31" s="41" t="s">
        <v>102</v>
      </c>
      <c r="Q31" s="171" t="s">
        <v>102</v>
      </c>
      <c r="T31" s="44" t="s">
        <v>78</v>
      </c>
      <c r="U31" s="52">
        <v>42742</v>
      </c>
      <c r="W31" s="54" t="s">
        <v>304</v>
      </c>
      <c r="X31" s="239" t="s">
        <v>57</v>
      </c>
      <c r="Y31" s="38">
        <v>98</v>
      </c>
      <c r="Z31" s="25" t="s">
        <v>44</v>
      </c>
      <c r="AA31" s="25">
        <f t="shared" si="0"/>
        <v>1</v>
      </c>
      <c r="AC31" s="38" t="s">
        <v>296</v>
      </c>
    </row>
    <row r="32" spans="1:38" ht="15" customHeight="1">
      <c r="A32" s="24" t="s">
        <v>305</v>
      </c>
      <c r="B32" s="25" t="s">
        <v>106</v>
      </c>
      <c r="C32" s="26">
        <v>42740</v>
      </c>
      <c r="D32" s="38" t="s">
        <v>94</v>
      </c>
      <c r="E32" s="38" t="s">
        <v>29</v>
      </c>
      <c r="F32" s="38" t="s">
        <v>69</v>
      </c>
      <c r="G32" s="38">
        <v>1</v>
      </c>
      <c r="H32" s="24" t="s">
        <v>107</v>
      </c>
      <c r="I32" s="24" t="s">
        <v>108</v>
      </c>
      <c r="J32" s="24" t="s">
        <v>109</v>
      </c>
      <c r="K32" s="25" t="s">
        <v>110</v>
      </c>
      <c r="L32" s="24" t="s">
        <v>111</v>
      </c>
      <c r="N32" s="40" t="s">
        <v>13</v>
      </c>
      <c r="O32" s="94">
        <v>42663.5</v>
      </c>
      <c r="P32" s="41" t="s">
        <v>112</v>
      </c>
      <c r="Q32" s="41" t="s">
        <v>112</v>
      </c>
      <c r="T32" s="44" t="s">
        <v>78</v>
      </c>
      <c r="U32" s="52">
        <v>42719</v>
      </c>
      <c r="W32" s="215" t="s">
        <v>113</v>
      </c>
      <c r="X32" s="50" t="s">
        <v>114</v>
      </c>
      <c r="Y32" s="38">
        <v>57</v>
      </c>
      <c r="Z32" s="25" t="s">
        <v>44</v>
      </c>
      <c r="AA32" s="25">
        <f t="shared" si="0"/>
        <v>0</v>
      </c>
    </row>
    <row r="33" spans="1:16383" ht="15" customHeight="1">
      <c r="A33" s="172" t="s">
        <v>306</v>
      </c>
      <c r="B33" s="25"/>
      <c r="C33" s="26">
        <v>42726</v>
      </c>
      <c r="D33" s="38" t="s">
        <v>94</v>
      </c>
      <c r="E33" s="38" t="s">
        <v>29</v>
      </c>
      <c r="F33" s="38" t="s">
        <v>47</v>
      </c>
      <c r="G33" s="38">
        <v>1</v>
      </c>
      <c r="H33" s="39" t="s">
        <v>307</v>
      </c>
      <c r="I33" s="39" t="s">
        <v>308</v>
      </c>
      <c r="J33" s="39" t="s">
        <v>309</v>
      </c>
      <c r="K33" s="39" t="s">
        <v>310</v>
      </c>
      <c r="L33" s="39" t="s">
        <v>74</v>
      </c>
      <c r="M33" s="45" t="s">
        <v>311</v>
      </c>
      <c r="N33" s="158" t="s">
        <v>13</v>
      </c>
      <c r="O33" s="94">
        <v>42671.416666666664</v>
      </c>
      <c r="P33" s="41" t="s">
        <v>54</v>
      </c>
      <c r="R33" s="42" t="s">
        <v>39</v>
      </c>
      <c r="S33" s="43">
        <v>42491</v>
      </c>
      <c r="T33" s="44" t="s">
        <v>78</v>
      </c>
      <c r="U33" s="52">
        <v>42707</v>
      </c>
      <c r="W33" s="216" t="s">
        <v>312</v>
      </c>
      <c r="X33" s="50" t="s">
        <v>114</v>
      </c>
      <c r="Y33" s="38">
        <v>110</v>
      </c>
      <c r="Z33" s="25" t="s">
        <v>44</v>
      </c>
      <c r="AA33" s="25">
        <f t="shared" si="0"/>
        <v>0</v>
      </c>
    </row>
    <row r="34" spans="1:16383" ht="15" customHeight="1">
      <c r="A34" s="24" t="s">
        <v>313</v>
      </c>
      <c r="B34" s="25"/>
      <c r="C34" s="26">
        <v>42712</v>
      </c>
      <c r="D34" s="38" t="s">
        <v>29</v>
      </c>
      <c r="E34" s="38" t="s">
        <v>29</v>
      </c>
      <c r="F34" s="38" t="s">
        <v>95</v>
      </c>
      <c r="G34" s="38">
        <v>8</v>
      </c>
      <c r="H34" s="39" t="s">
        <v>143</v>
      </c>
      <c r="I34" s="39" t="s">
        <v>314</v>
      </c>
      <c r="J34" s="39" t="s">
        <v>315</v>
      </c>
      <c r="K34" s="39" t="s">
        <v>316</v>
      </c>
      <c r="L34" s="39" t="s">
        <v>317</v>
      </c>
      <c r="M34" s="45" t="s">
        <v>318</v>
      </c>
      <c r="N34" s="40" t="s">
        <v>13</v>
      </c>
      <c r="O34" s="94">
        <v>42592.416666666664</v>
      </c>
      <c r="P34" s="41" t="s">
        <v>102</v>
      </c>
      <c r="Q34" s="41" t="s">
        <v>102</v>
      </c>
      <c r="R34" s="42" t="s">
        <v>39</v>
      </c>
      <c r="T34" s="44" t="s">
        <v>90</v>
      </c>
      <c r="U34" s="52">
        <v>42679</v>
      </c>
      <c r="W34" s="54" t="s">
        <v>319</v>
      </c>
      <c r="X34" s="50" t="s">
        <v>149</v>
      </c>
      <c r="Y34" s="38">
        <v>643</v>
      </c>
      <c r="Z34" s="25" t="s">
        <v>44</v>
      </c>
      <c r="AA34" s="25">
        <f t="shared" si="0"/>
        <v>0</v>
      </c>
    </row>
    <row r="35" spans="1:16383" ht="15" customHeight="1">
      <c r="A35" s="24" t="s">
        <v>320</v>
      </c>
      <c r="B35" s="25" t="s">
        <v>68</v>
      </c>
      <c r="C35" s="26">
        <v>42754</v>
      </c>
      <c r="D35" s="38" t="s">
        <v>29</v>
      </c>
      <c r="E35" s="38" t="s">
        <v>29</v>
      </c>
      <c r="F35" s="38" t="s">
        <v>69</v>
      </c>
      <c r="G35" s="38">
        <v>2</v>
      </c>
      <c r="H35" s="39" t="s">
        <v>70</v>
      </c>
      <c r="I35" s="39" t="s">
        <v>71</v>
      </c>
      <c r="J35" s="39" t="s">
        <v>72</v>
      </c>
      <c r="K35" s="39" t="s">
        <v>73</v>
      </c>
      <c r="L35" s="39" t="s">
        <v>74</v>
      </c>
      <c r="M35" s="45" t="s">
        <v>321</v>
      </c>
      <c r="N35" s="158" t="s">
        <v>13</v>
      </c>
      <c r="O35" s="95">
        <v>42717.458333333336</v>
      </c>
      <c r="P35" s="41" t="s">
        <v>76</v>
      </c>
      <c r="Q35" s="41" t="s">
        <v>76</v>
      </c>
      <c r="R35" s="42" t="s">
        <v>77</v>
      </c>
      <c r="T35" s="44" t="s">
        <v>65</v>
      </c>
      <c r="U35" s="52">
        <v>42726</v>
      </c>
      <c r="W35" s="229" t="s">
        <v>322</v>
      </c>
      <c r="X35" s="50" t="s">
        <v>80</v>
      </c>
      <c r="Y35" s="38">
        <v>182</v>
      </c>
      <c r="Z35" s="231" t="s">
        <v>44</v>
      </c>
      <c r="AA35" s="25">
        <f t="shared" si="0"/>
        <v>0</v>
      </c>
      <c r="AB35" s="241"/>
    </row>
    <row r="36" spans="1:16383" ht="15" customHeight="1">
      <c r="A36" s="24" t="s">
        <v>323</v>
      </c>
      <c r="B36" s="25" t="s">
        <v>324</v>
      </c>
      <c r="C36" s="26">
        <v>42747</v>
      </c>
      <c r="D36" s="38" t="s">
        <v>94</v>
      </c>
      <c r="E36" s="38" t="s">
        <v>29</v>
      </c>
      <c r="F36" s="38" t="s">
        <v>69</v>
      </c>
      <c r="G36" s="38">
        <v>1</v>
      </c>
      <c r="H36" s="39" t="s">
        <v>325</v>
      </c>
      <c r="I36" s="39" t="s">
        <v>326</v>
      </c>
      <c r="J36" s="39" t="s">
        <v>327</v>
      </c>
      <c r="K36" s="39" t="s">
        <v>328</v>
      </c>
      <c r="L36" s="39" t="s">
        <v>100</v>
      </c>
      <c r="N36" s="158" t="s">
        <v>13</v>
      </c>
      <c r="O36" s="94">
        <v>42681.604166666664</v>
      </c>
      <c r="P36" s="41" t="s">
        <v>76</v>
      </c>
      <c r="Q36" s="41" t="s">
        <v>76</v>
      </c>
      <c r="T36" s="44" t="s">
        <v>78</v>
      </c>
      <c r="U36" s="52">
        <v>42719</v>
      </c>
      <c r="W36" s="216" t="s">
        <v>329</v>
      </c>
      <c r="X36" s="50" t="s">
        <v>204</v>
      </c>
      <c r="Y36" s="38">
        <v>52</v>
      </c>
      <c r="Z36" s="25" t="s">
        <v>44</v>
      </c>
      <c r="AA36" s="25">
        <f t="shared" si="0"/>
        <v>0</v>
      </c>
      <c r="AB36" s="24" t="s">
        <v>330</v>
      </c>
    </row>
    <row r="37" spans="1:16383" ht="15" customHeight="1">
      <c r="A37" s="24" t="s">
        <v>331</v>
      </c>
      <c r="B37" s="25"/>
      <c r="C37" s="26">
        <v>42741</v>
      </c>
      <c r="D37" s="38" t="s">
        <v>29</v>
      </c>
      <c r="E37" s="38" t="s">
        <v>94</v>
      </c>
      <c r="F37" s="38" t="s">
        <v>69</v>
      </c>
      <c r="G37" s="38">
        <v>15</v>
      </c>
      <c r="H37" s="39" t="s">
        <v>332</v>
      </c>
      <c r="I37" s="24" t="s">
        <v>333</v>
      </c>
      <c r="J37" s="39" t="s">
        <v>334</v>
      </c>
      <c r="K37" s="24" t="s">
        <v>335</v>
      </c>
      <c r="L37" s="39" t="s">
        <v>336</v>
      </c>
      <c r="M37" s="45" t="s">
        <v>337</v>
      </c>
      <c r="N37" s="40" t="s">
        <v>13</v>
      </c>
      <c r="O37" s="94">
        <v>42585.416666666664</v>
      </c>
      <c r="P37" s="41" t="s">
        <v>122</v>
      </c>
      <c r="Q37" s="41" t="s">
        <v>185</v>
      </c>
      <c r="R37" s="42" t="s">
        <v>39</v>
      </c>
      <c r="S37" s="43">
        <v>42401</v>
      </c>
      <c r="T37" s="44" t="s">
        <v>338</v>
      </c>
      <c r="U37" s="52">
        <v>42647</v>
      </c>
      <c r="V37" s="48" t="s">
        <v>29</v>
      </c>
      <c r="W37" s="54" t="s">
        <v>339</v>
      </c>
      <c r="X37" s="50" t="s">
        <v>104</v>
      </c>
      <c r="Y37" s="38">
        <v>715</v>
      </c>
      <c r="Z37" s="25" t="s">
        <v>44</v>
      </c>
      <c r="AA37" s="25">
        <f t="shared" si="0"/>
        <v>0</v>
      </c>
      <c r="AB37" s="24" t="s">
        <v>340</v>
      </c>
    </row>
    <row r="38" spans="1:16383" ht="15" customHeight="1">
      <c r="A38" s="24" t="s">
        <v>341</v>
      </c>
      <c r="B38" s="25"/>
      <c r="C38" s="26">
        <v>42709</v>
      </c>
      <c r="D38" s="38" t="s">
        <v>94</v>
      </c>
      <c r="E38" s="38" t="s">
        <v>29</v>
      </c>
      <c r="F38" s="38" t="s">
        <v>69</v>
      </c>
      <c r="G38" s="38">
        <v>1</v>
      </c>
      <c r="H38" s="39" t="s">
        <v>342</v>
      </c>
      <c r="I38" s="39" t="s">
        <v>343</v>
      </c>
      <c r="J38" s="39" t="s">
        <v>344</v>
      </c>
      <c r="K38" s="39" t="s">
        <v>345</v>
      </c>
      <c r="L38" s="39" t="s">
        <v>346</v>
      </c>
      <c r="M38" s="45" t="s">
        <v>347</v>
      </c>
      <c r="N38" s="40" t="s">
        <v>13</v>
      </c>
      <c r="O38" s="94">
        <v>42678.5625</v>
      </c>
      <c r="P38" s="171" t="s">
        <v>348</v>
      </c>
      <c r="Q38" s="171" t="s">
        <v>348</v>
      </c>
      <c r="R38" s="42" t="s">
        <v>77</v>
      </c>
      <c r="T38" s="44" t="s">
        <v>78</v>
      </c>
      <c r="U38" s="52">
        <v>42689</v>
      </c>
      <c r="W38" s="54" t="s">
        <v>349</v>
      </c>
      <c r="X38" s="50" t="s">
        <v>80</v>
      </c>
      <c r="Y38" s="38">
        <v>36</v>
      </c>
      <c r="Z38" s="25" t="s">
        <v>44</v>
      </c>
      <c r="AA38" s="25">
        <f t="shared" si="0"/>
        <v>0</v>
      </c>
    </row>
    <row r="39" spans="1:16383" ht="15" customHeight="1">
      <c r="A39" s="24" t="s">
        <v>350</v>
      </c>
      <c r="B39" s="25" t="s">
        <v>106</v>
      </c>
      <c r="C39" s="26">
        <v>42745</v>
      </c>
      <c r="D39" s="38" t="s">
        <v>94</v>
      </c>
      <c r="E39" s="38" t="s">
        <v>29</v>
      </c>
      <c r="F39" s="38" t="s">
        <v>69</v>
      </c>
      <c r="G39" s="38">
        <v>1</v>
      </c>
      <c r="H39" s="24" t="s">
        <v>107</v>
      </c>
      <c r="I39" s="24" t="s">
        <v>108</v>
      </c>
      <c r="J39" s="24" t="s">
        <v>109</v>
      </c>
      <c r="K39" s="25" t="s">
        <v>110</v>
      </c>
      <c r="L39" s="24" t="s">
        <v>111</v>
      </c>
      <c r="M39" s="45" t="s">
        <v>351</v>
      </c>
      <c r="N39" s="40" t="s">
        <v>13</v>
      </c>
      <c r="O39" s="94">
        <v>42663.5</v>
      </c>
      <c r="R39" s="42" t="s">
        <v>39</v>
      </c>
      <c r="S39" s="43">
        <v>42677</v>
      </c>
      <c r="T39" s="44" t="s">
        <v>78</v>
      </c>
      <c r="U39" s="52">
        <v>42720</v>
      </c>
      <c r="V39" s="48" t="s">
        <v>220</v>
      </c>
      <c r="W39" s="217" t="s">
        <v>352</v>
      </c>
      <c r="X39" s="50" t="s">
        <v>204</v>
      </c>
      <c r="Y39" s="38">
        <v>58</v>
      </c>
      <c r="Z39" s="25" t="s">
        <v>44</v>
      </c>
      <c r="AA39" s="25">
        <f t="shared" si="0"/>
        <v>0</v>
      </c>
    </row>
    <row r="40" spans="1:16383" ht="15" customHeight="1">
      <c r="A40" s="24" t="s">
        <v>353</v>
      </c>
      <c r="B40" s="25" t="s">
        <v>354</v>
      </c>
      <c r="C40" s="26">
        <v>42706</v>
      </c>
      <c r="D40" s="38" t="s">
        <v>94</v>
      </c>
      <c r="E40" s="38" t="s">
        <v>29</v>
      </c>
      <c r="F40" s="38" t="s">
        <v>69</v>
      </c>
      <c r="G40" s="38">
        <v>1</v>
      </c>
      <c r="H40" s="39" t="s">
        <v>152</v>
      </c>
      <c r="I40" s="39" t="s">
        <v>355</v>
      </c>
      <c r="J40" s="39" t="s">
        <v>356</v>
      </c>
      <c r="K40" s="39" t="s">
        <v>357</v>
      </c>
      <c r="L40" s="39" t="s">
        <v>100</v>
      </c>
      <c r="M40" s="45" t="s">
        <v>358</v>
      </c>
      <c r="N40" s="158" t="s">
        <v>13</v>
      </c>
      <c r="O40" s="97">
        <v>42656.541666666664</v>
      </c>
      <c r="P40" s="41" t="s">
        <v>185</v>
      </c>
      <c r="Q40" s="41" t="s">
        <v>185</v>
      </c>
      <c r="R40" s="42" t="s">
        <v>77</v>
      </c>
      <c r="T40" s="44" t="s">
        <v>78</v>
      </c>
      <c r="U40" s="52">
        <v>42705</v>
      </c>
      <c r="W40" s="218" t="s">
        <v>352</v>
      </c>
      <c r="X40" s="50" t="s">
        <v>204</v>
      </c>
      <c r="Y40" s="38">
        <v>52</v>
      </c>
      <c r="Z40" s="25" t="s">
        <v>44</v>
      </c>
      <c r="AA40" s="25">
        <f t="shared" si="0"/>
        <v>0</v>
      </c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  <c r="IX40" s="37"/>
      <c r="IY40" s="37"/>
      <c r="IZ40" s="37"/>
      <c r="JA40" s="37"/>
      <c r="JB40" s="37"/>
      <c r="JC40" s="37"/>
      <c r="JD40" s="37"/>
      <c r="JE40" s="37"/>
      <c r="JF40" s="37"/>
      <c r="JG40" s="37"/>
      <c r="JH40" s="37"/>
      <c r="JI40" s="37"/>
      <c r="JJ40" s="37"/>
      <c r="JK40" s="37"/>
      <c r="JL40" s="37"/>
      <c r="JM40" s="37"/>
      <c r="JN40" s="37"/>
      <c r="JO40" s="37"/>
      <c r="JP40" s="37"/>
      <c r="JQ40" s="37"/>
      <c r="JR40" s="37"/>
      <c r="JS40" s="37"/>
      <c r="JT40" s="37"/>
      <c r="JU40" s="37"/>
      <c r="JV40" s="37"/>
      <c r="JW40" s="37"/>
      <c r="JX40" s="37"/>
      <c r="JY40" s="37"/>
      <c r="JZ40" s="37"/>
      <c r="KA40" s="37"/>
      <c r="KB40" s="37"/>
      <c r="KC40" s="37"/>
      <c r="KD40" s="37"/>
      <c r="KE40" s="37"/>
      <c r="KF40" s="37"/>
      <c r="KG40" s="37"/>
      <c r="KH40" s="37"/>
      <c r="KI40" s="37"/>
      <c r="KJ40" s="37"/>
      <c r="KK40" s="37"/>
      <c r="KL40" s="37"/>
      <c r="KM40" s="37"/>
      <c r="KN40" s="37"/>
      <c r="KO40" s="37"/>
      <c r="KP40" s="37"/>
      <c r="KQ40" s="37"/>
      <c r="KR40" s="37"/>
      <c r="KS40" s="37"/>
      <c r="KT40" s="37"/>
      <c r="KU40" s="37"/>
      <c r="KV40" s="37"/>
      <c r="KW40" s="37"/>
      <c r="KX40" s="37"/>
      <c r="KY40" s="37"/>
      <c r="KZ40" s="37"/>
      <c r="LA40" s="37"/>
      <c r="LB40" s="37"/>
      <c r="LC40" s="37"/>
      <c r="LD40" s="37"/>
      <c r="LE40" s="37"/>
      <c r="LF40" s="37"/>
      <c r="LG40" s="37"/>
      <c r="LH40" s="37"/>
      <c r="LI40" s="37"/>
      <c r="LJ40" s="37"/>
      <c r="LK40" s="37"/>
      <c r="LL40" s="37"/>
      <c r="LM40" s="37"/>
      <c r="LN40" s="37"/>
      <c r="LO40" s="37"/>
      <c r="LP40" s="37"/>
      <c r="LQ40" s="37"/>
      <c r="LR40" s="37"/>
      <c r="LS40" s="37"/>
      <c r="LT40" s="37"/>
      <c r="LU40" s="37"/>
      <c r="LV40" s="37"/>
      <c r="LW40" s="37"/>
      <c r="LX40" s="37"/>
      <c r="LY40" s="37"/>
      <c r="LZ40" s="37"/>
      <c r="MA40" s="37"/>
      <c r="MB40" s="37"/>
      <c r="MC40" s="37"/>
      <c r="MD40" s="37"/>
      <c r="ME40" s="37"/>
      <c r="MF40" s="37"/>
      <c r="MG40" s="37"/>
      <c r="MH40" s="37"/>
      <c r="MI40" s="37"/>
      <c r="MJ40" s="37"/>
      <c r="MK40" s="37"/>
      <c r="ML40" s="37"/>
      <c r="MM40" s="37"/>
      <c r="MN40" s="37"/>
      <c r="MO40" s="37"/>
      <c r="MP40" s="37"/>
      <c r="MQ40" s="37"/>
      <c r="MR40" s="37"/>
      <c r="MS40" s="37"/>
      <c r="MT40" s="37"/>
      <c r="MU40" s="37"/>
      <c r="MV40" s="37"/>
      <c r="MW40" s="37"/>
      <c r="MX40" s="37"/>
      <c r="MY40" s="37"/>
      <c r="MZ40" s="37"/>
      <c r="NA40" s="37"/>
      <c r="NB40" s="37"/>
      <c r="NC40" s="37"/>
      <c r="ND40" s="37"/>
      <c r="NE40" s="37"/>
      <c r="NF40" s="37"/>
      <c r="NG40" s="37"/>
      <c r="NH40" s="37"/>
      <c r="NI40" s="37"/>
      <c r="NJ40" s="37"/>
      <c r="NK40" s="37"/>
      <c r="NL40" s="37"/>
      <c r="NM40" s="37"/>
      <c r="NN40" s="37"/>
      <c r="NO40" s="37"/>
      <c r="NP40" s="37"/>
      <c r="NQ40" s="37"/>
      <c r="NR40" s="37"/>
      <c r="NS40" s="37"/>
      <c r="NT40" s="37"/>
      <c r="NU40" s="37"/>
      <c r="NV40" s="37"/>
      <c r="NW40" s="37"/>
      <c r="NX40" s="37"/>
      <c r="NY40" s="37"/>
      <c r="NZ40" s="37"/>
      <c r="OA40" s="37"/>
      <c r="OB40" s="37"/>
      <c r="OC40" s="37"/>
      <c r="OD40" s="37"/>
      <c r="OE40" s="37"/>
      <c r="OF40" s="37"/>
      <c r="OG40" s="37"/>
      <c r="OH40" s="37"/>
      <c r="OI40" s="37"/>
      <c r="OJ40" s="37"/>
      <c r="OK40" s="37"/>
      <c r="OL40" s="37"/>
      <c r="OM40" s="37"/>
      <c r="ON40" s="37"/>
      <c r="OO40" s="37"/>
      <c r="OP40" s="37"/>
      <c r="OQ40" s="37"/>
      <c r="OR40" s="37"/>
      <c r="OS40" s="37"/>
      <c r="OT40" s="37"/>
      <c r="OU40" s="37"/>
      <c r="OV40" s="37"/>
      <c r="OW40" s="37"/>
      <c r="OX40" s="37"/>
      <c r="OY40" s="37"/>
      <c r="OZ40" s="37"/>
      <c r="PA40" s="37"/>
      <c r="PB40" s="37"/>
      <c r="PC40" s="37"/>
      <c r="PD40" s="37"/>
      <c r="PE40" s="37"/>
      <c r="PF40" s="37"/>
      <c r="PG40" s="37"/>
      <c r="PH40" s="37"/>
      <c r="PI40" s="37"/>
      <c r="PJ40" s="37"/>
      <c r="PK40" s="37"/>
      <c r="PL40" s="37"/>
      <c r="PM40" s="37"/>
      <c r="PN40" s="37"/>
      <c r="PO40" s="37"/>
      <c r="PP40" s="37"/>
      <c r="PQ40" s="37"/>
      <c r="PR40" s="37"/>
      <c r="PS40" s="37"/>
      <c r="PT40" s="37"/>
      <c r="PU40" s="37"/>
      <c r="PV40" s="37"/>
      <c r="PW40" s="37"/>
      <c r="PX40" s="37"/>
      <c r="PY40" s="37"/>
      <c r="PZ40" s="37"/>
      <c r="QA40" s="37"/>
      <c r="QB40" s="37"/>
      <c r="QC40" s="37"/>
      <c r="QD40" s="37"/>
      <c r="QE40" s="37"/>
      <c r="QF40" s="37"/>
      <c r="QG40" s="37"/>
      <c r="QH40" s="37"/>
      <c r="QI40" s="37"/>
      <c r="QJ40" s="37"/>
      <c r="QK40" s="37"/>
      <c r="QL40" s="37"/>
      <c r="QM40" s="37"/>
      <c r="QN40" s="37"/>
      <c r="QO40" s="37"/>
      <c r="QP40" s="37"/>
      <c r="QQ40" s="37"/>
      <c r="QR40" s="37"/>
      <c r="QS40" s="37"/>
      <c r="QT40" s="37"/>
      <c r="QU40" s="37"/>
      <c r="QV40" s="37"/>
      <c r="QW40" s="37"/>
      <c r="QX40" s="37"/>
      <c r="QY40" s="37"/>
      <c r="QZ40" s="37"/>
      <c r="RA40" s="37"/>
      <c r="RB40" s="37"/>
      <c r="RC40" s="37"/>
      <c r="RD40" s="37"/>
      <c r="RE40" s="37"/>
      <c r="RF40" s="37"/>
      <c r="RG40" s="37"/>
      <c r="RH40" s="37"/>
      <c r="RI40" s="37"/>
      <c r="RJ40" s="37"/>
      <c r="RK40" s="37"/>
      <c r="RL40" s="37"/>
      <c r="RM40" s="37"/>
      <c r="RN40" s="37"/>
      <c r="RO40" s="37"/>
      <c r="RP40" s="37"/>
      <c r="RQ40" s="37"/>
      <c r="RR40" s="37"/>
      <c r="RS40" s="37"/>
      <c r="RT40" s="37"/>
      <c r="RU40" s="37"/>
      <c r="RV40" s="37"/>
      <c r="RW40" s="37"/>
      <c r="RX40" s="37"/>
      <c r="RY40" s="37"/>
      <c r="RZ40" s="37"/>
      <c r="SA40" s="37"/>
      <c r="SB40" s="37"/>
      <c r="SC40" s="37"/>
      <c r="SD40" s="37"/>
      <c r="SE40" s="37"/>
      <c r="SF40" s="37"/>
      <c r="SG40" s="37"/>
      <c r="SH40" s="37"/>
      <c r="SI40" s="37"/>
      <c r="SJ40" s="37"/>
      <c r="SK40" s="37"/>
      <c r="SL40" s="37"/>
      <c r="SM40" s="37"/>
      <c r="SN40" s="37"/>
      <c r="SO40" s="37"/>
      <c r="SP40" s="37"/>
      <c r="SQ40" s="37"/>
      <c r="SR40" s="37"/>
      <c r="SS40" s="37"/>
      <c r="ST40" s="37"/>
      <c r="SU40" s="37"/>
      <c r="SV40" s="37"/>
      <c r="SW40" s="37"/>
      <c r="SX40" s="37"/>
      <c r="SY40" s="37"/>
      <c r="SZ40" s="37"/>
      <c r="TA40" s="37"/>
      <c r="TB40" s="37"/>
      <c r="TC40" s="37"/>
      <c r="TD40" s="37"/>
      <c r="TE40" s="37"/>
      <c r="TF40" s="37"/>
      <c r="TG40" s="37"/>
      <c r="TH40" s="37"/>
      <c r="TI40" s="37"/>
      <c r="TJ40" s="37"/>
      <c r="TK40" s="37"/>
      <c r="TL40" s="37"/>
      <c r="TM40" s="37"/>
      <c r="TN40" s="37"/>
      <c r="TO40" s="37"/>
      <c r="TP40" s="37"/>
      <c r="TQ40" s="37"/>
      <c r="TR40" s="37"/>
      <c r="TS40" s="37"/>
      <c r="TT40" s="37"/>
      <c r="TU40" s="37"/>
      <c r="TV40" s="37"/>
      <c r="TW40" s="37"/>
      <c r="TX40" s="37"/>
      <c r="TY40" s="37"/>
      <c r="TZ40" s="37"/>
      <c r="UA40" s="37"/>
      <c r="UB40" s="37"/>
      <c r="UC40" s="37"/>
      <c r="UD40" s="37"/>
      <c r="UE40" s="37"/>
      <c r="UF40" s="37"/>
      <c r="UG40" s="37"/>
      <c r="UH40" s="37"/>
      <c r="UI40" s="37"/>
      <c r="UJ40" s="37"/>
      <c r="UK40" s="37"/>
      <c r="UL40" s="37"/>
      <c r="UM40" s="37"/>
      <c r="UN40" s="37"/>
      <c r="UO40" s="37"/>
      <c r="UP40" s="37"/>
      <c r="UQ40" s="37"/>
      <c r="UR40" s="37"/>
      <c r="US40" s="37"/>
      <c r="UT40" s="37"/>
      <c r="UU40" s="37"/>
      <c r="UV40" s="37"/>
      <c r="UW40" s="37"/>
      <c r="UX40" s="37"/>
      <c r="UY40" s="37"/>
      <c r="UZ40" s="37"/>
      <c r="VA40" s="37"/>
      <c r="VB40" s="37"/>
      <c r="VC40" s="37"/>
      <c r="VD40" s="37"/>
      <c r="VE40" s="37"/>
      <c r="VF40" s="37"/>
      <c r="VG40" s="37"/>
      <c r="VH40" s="37"/>
      <c r="VI40" s="37"/>
      <c r="VJ40" s="37"/>
      <c r="VK40" s="37"/>
      <c r="VL40" s="37"/>
      <c r="VM40" s="37"/>
      <c r="VN40" s="37"/>
      <c r="VO40" s="37"/>
      <c r="VP40" s="37"/>
      <c r="VQ40" s="37"/>
      <c r="VR40" s="37"/>
      <c r="VS40" s="37"/>
      <c r="VT40" s="37"/>
      <c r="VU40" s="37"/>
      <c r="VV40" s="37"/>
      <c r="VW40" s="37"/>
      <c r="VX40" s="37"/>
      <c r="VY40" s="37"/>
      <c r="VZ40" s="37"/>
      <c r="WA40" s="37"/>
      <c r="WB40" s="37"/>
      <c r="WC40" s="37"/>
      <c r="WD40" s="37"/>
      <c r="WE40" s="37"/>
      <c r="WF40" s="37"/>
      <c r="WG40" s="37"/>
      <c r="WH40" s="37"/>
      <c r="WI40" s="37"/>
      <c r="WJ40" s="37"/>
      <c r="WK40" s="37"/>
      <c r="WL40" s="37"/>
      <c r="WM40" s="37"/>
      <c r="WN40" s="37"/>
      <c r="WO40" s="37"/>
      <c r="WP40" s="37"/>
      <c r="WQ40" s="37"/>
      <c r="WR40" s="37"/>
      <c r="WS40" s="37"/>
      <c r="WT40" s="37"/>
      <c r="WU40" s="37"/>
      <c r="WV40" s="37"/>
      <c r="WW40" s="37"/>
      <c r="WX40" s="37"/>
      <c r="WY40" s="37"/>
      <c r="WZ40" s="37"/>
      <c r="XA40" s="37"/>
      <c r="XB40" s="37"/>
      <c r="XC40" s="37"/>
      <c r="XD40" s="37"/>
      <c r="XE40" s="37"/>
      <c r="XF40" s="37"/>
      <c r="XG40" s="37"/>
      <c r="XH40" s="37"/>
      <c r="XI40" s="37"/>
      <c r="XJ40" s="37"/>
      <c r="XK40" s="37"/>
      <c r="XL40" s="37"/>
      <c r="XM40" s="37"/>
      <c r="XN40" s="37"/>
      <c r="XO40" s="37"/>
      <c r="XP40" s="37"/>
      <c r="XQ40" s="37"/>
      <c r="XR40" s="37"/>
      <c r="XS40" s="37"/>
      <c r="XT40" s="37"/>
      <c r="XU40" s="37"/>
      <c r="XV40" s="37"/>
      <c r="XW40" s="37"/>
      <c r="XX40" s="37"/>
      <c r="XY40" s="37"/>
      <c r="XZ40" s="37"/>
      <c r="YA40" s="37"/>
      <c r="YB40" s="37"/>
      <c r="YC40" s="37"/>
      <c r="YD40" s="37"/>
      <c r="YE40" s="37"/>
      <c r="YF40" s="37"/>
      <c r="YG40" s="37"/>
      <c r="YH40" s="37"/>
      <c r="YI40" s="37"/>
      <c r="YJ40" s="37"/>
      <c r="YK40" s="37"/>
      <c r="YL40" s="37"/>
      <c r="YM40" s="37"/>
      <c r="YN40" s="37"/>
      <c r="YO40" s="37"/>
      <c r="YP40" s="37"/>
      <c r="YQ40" s="37"/>
      <c r="YR40" s="37"/>
      <c r="YS40" s="37"/>
      <c r="YT40" s="37"/>
      <c r="YU40" s="37"/>
      <c r="YV40" s="37"/>
      <c r="YW40" s="37"/>
      <c r="YX40" s="37"/>
      <c r="YY40" s="37"/>
      <c r="YZ40" s="37"/>
      <c r="ZA40" s="37"/>
      <c r="ZB40" s="37"/>
      <c r="ZC40" s="37"/>
      <c r="ZD40" s="37"/>
      <c r="ZE40" s="37"/>
      <c r="ZF40" s="37"/>
      <c r="ZG40" s="37"/>
      <c r="ZH40" s="37"/>
      <c r="ZI40" s="37"/>
      <c r="ZJ40" s="37"/>
      <c r="ZK40" s="37"/>
      <c r="ZL40" s="37"/>
      <c r="ZM40" s="37"/>
      <c r="ZN40" s="37"/>
      <c r="ZO40" s="37"/>
      <c r="ZP40" s="37"/>
      <c r="ZQ40" s="37"/>
      <c r="ZR40" s="37"/>
      <c r="ZS40" s="37"/>
      <c r="ZT40" s="37"/>
      <c r="ZU40" s="37"/>
      <c r="ZV40" s="37"/>
      <c r="ZW40" s="37"/>
      <c r="ZX40" s="37"/>
      <c r="ZY40" s="37"/>
      <c r="ZZ40" s="37"/>
      <c r="AAA40" s="37"/>
      <c r="AAB40" s="37"/>
      <c r="AAC40" s="37"/>
      <c r="AAD40" s="37"/>
      <c r="AAE40" s="37"/>
      <c r="AAF40" s="37"/>
      <c r="AAG40" s="37"/>
      <c r="AAH40" s="37"/>
      <c r="AAI40" s="37"/>
      <c r="AAJ40" s="37"/>
      <c r="AAK40" s="37"/>
      <c r="AAL40" s="37"/>
      <c r="AAM40" s="37"/>
      <c r="AAN40" s="37"/>
      <c r="AAO40" s="37"/>
      <c r="AAP40" s="37"/>
      <c r="AAQ40" s="37"/>
      <c r="AAR40" s="37"/>
      <c r="AAS40" s="37"/>
      <c r="AAT40" s="37"/>
      <c r="AAU40" s="37"/>
      <c r="AAV40" s="37"/>
      <c r="AAW40" s="37"/>
      <c r="AAX40" s="37"/>
      <c r="AAY40" s="37"/>
      <c r="AAZ40" s="37"/>
      <c r="ABA40" s="37"/>
      <c r="ABB40" s="37"/>
      <c r="ABC40" s="37"/>
      <c r="ABD40" s="37"/>
      <c r="ABE40" s="37"/>
      <c r="ABF40" s="37"/>
      <c r="ABG40" s="37"/>
      <c r="ABH40" s="37"/>
      <c r="ABI40" s="37"/>
      <c r="ABJ40" s="37"/>
      <c r="ABK40" s="37"/>
      <c r="ABL40" s="37"/>
      <c r="ABM40" s="37"/>
      <c r="ABN40" s="37"/>
      <c r="ABO40" s="37"/>
      <c r="ABP40" s="37"/>
      <c r="ABQ40" s="37"/>
      <c r="ABR40" s="37"/>
      <c r="ABS40" s="37"/>
      <c r="ABT40" s="37"/>
      <c r="ABU40" s="37"/>
      <c r="ABV40" s="37"/>
      <c r="ABW40" s="37"/>
      <c r="ABX40" s="37"/>
      <c r="ABY40" s="37"/>
      <c r="ABZ40" s="37"/>
      <c r="ACA40" s="37"/>
      <c r="ACB40" s="37"/>
      <c r="ACC40" s="37"/>
      <c r="ACD40" s="37"/>
      <c r="ACE40" s="37"/>
      <c r="ACF40" s="37"/>
      <c r="ACG40" s="37"/>
      <c r="ACH40" s="37"/>
      <c r="ACI40" s="37"/>
      <c r="ACJ40" s="37"/>
      <c r="ACK40" s="37"/>
      <c r="ACL40" s="37"/>
      <c r="ACM40" s="37"/>
      <c r="ACN40" s="37"/>
      <c r="ACO40" s="37"/>
      <c r="ACP40" s="37"/>
      <c r="ACQ40" s="37"/>
      <c r="ACR40" s="37"/>
      <c r="ACS40" s="37"/>
      <c r="ACT40" s="37"/>
      <c r="ACU40" s="37"/>
      <c r="ACV40" s="37"/>
      <c r="ACW40" s="37"/>
      <c r="ACX40" s="37"/>
      <c r="ACY40" s="37"/>
      <c r="ACZ40" s="37"/>
      <c r="ADA40" s="37"/>
      <c r="ADB40" s="37"/>
      <c r="ADC40" s="37"/>
      <c r="ADD40" s="37"/>
      <c r="ADE40" s="37"/>
      <c r="ADF40" s="37"/>
      <c r="ADG40" s="37"/>
      <c r="ADH40" s="37"/>
      <c r="ADI40" s="37"/>
      <c r="ADJ40" s="37"/>
      <c r="ADK40" s="37"/>
      <c r="ADL40" s="37"/>
      <c r="ADM40" s="37"/>
      <c r="ADN40" s="37"/>
      <c r="ADO40" s="37"/>
      <c r="ADP40" s="37"/>
      <c r="ADQ40" s="37"/>
      <c r="ADR40" s="37"/>
      <c r="ADS40" s="37"/>
      <c r="ADT40" s="37"/>
      <c r="ADU40" s="37"/>
      <c r="ADV40" s="37"/>
      <c r="ADW40" s="37"/>
      <c r="ADX40" s="37"/>
      <c r="ADY40" s="37"/>
      <c r="ADZ40" s="37"/>
      <c r="AEA40" s="37"/>
      <c r="AEB40" s="37"/>
      <c r="AEC40" s="37"/>
      <c r="AED40" s="37"/>
      <c r="AEE40" s="37"/>
      <c r="AEF40" s="37"/>
      <c r="AEG40" s="37"/>
      <c r="AEH40" s="37"/>
      <c r="AEI40" s="37"/>
      <c r="AEJ40" s="37"/>
      <c r="AEK40" s="37"/>
      <c r="AEL40" s="37"/>
      <c r="AEM40" s="37"/>
      <c r="AEN40" s="37"/>
      <c r="AEO40" s="37"/>
      <c r="AEP40" s="37"/>
      <c r="AEQ40" s="37"/>
      <c r="AER40" s="37"/>
      <c r="AES40" s="37"/>
      <c r="AET40" s="37"/>
      <c r="AEU40" s="37"/>
      <c r="AEV40" s="37"/>
      <c r="AEW40" s="37"/>
      <c r="AEX40" s="37"/>
      <c r="AEY40" s="37"/>
      <c r="AEZ40" s="37"/>
      <c r="AFA40" s="37"/>
      <c r="AFB40" s="37"/>
      <c r="AFC40" s="37"/>
      <c r="AFD40" s="37"/>
      <c r="AFE40" s="37"/>
      <c r="AFF40" s="37"/>
      <c r="AFG40" s="37"/>
      <c r="AFH40" s="37"/>
      <c r="AFI40" s="37"/>
      <c r="AFJ40" s="37"/>
      <c r="AFK40" s="37"/>
      <c r="AFL40" s="37"/>
      <c r="AFM40" s="37"/>
      <c r="AFN40" s="37"/>
      <c r="AFO40" s="37"/>
      <c r="AFP40" s="37"/>
      <c r="AFQ40" s="37"/>
      <c r="AFR40" s="37"/>
      <c r="AFS40" s="37"/>
      <c r="AFT40" s="37"/>
      <c r="AFU40" s="37"/>
      <c r="AFV40" s="37"/>
      <c r="AFW40" s="37"/>
      <c r="AFX40" s="37"/>
      <c r="AFY40" s="37"/>
      <c r="AFZ40" s="37"/>
      <c r="AGA40" s="37"/>
      <c r="AGB40" s="37"/>
      <c r="AGC40" s="37"/>
      <c r="AGD40" s="37"/>
      <c r="AGE40" s="37"/>
      <c r="AGF40" s="37"/>
      <c r="AGG40" s="37"/>
      <c r="AGH40" s="37"/>
      <c r="AGI40" s="37"/>
      <c r="AGJ40" s="37"/>
      <c r="AGK40" s="37"/>
      <c r="AGL40" s="37"/>
      <c r="AGM40" s="37"/>
      <c r="AGN40" s="37"/>
      <c r="AGO40" s="37"/>
      <c r="AGP40" s="37"/>
      <c r="AGQ40" s="37"/>
      <c r="AGR40" s="37"/>
      <c r="AGS40" s="37"/>
      <c r="AGT40" s="37"/>
      <c r="AGU40" s="37"/>
      <c r="AGV40" s="37"/>
      <c r="AGW40" s="37"/>
      <c r="AGX40" s="37"/>
      <c r="AGY40" s="37"/>
      <c r="AGZ40" s="37"/>
      <c r="AHA40" s="37"/>
      <c r="AHB40" s="37"/>
      <c r="AHC40" s="37"/>
      <c r="AHD40" s="37"/>
      <c r="AHE40" s="37"/>
      <c r="AHF40" s="37"/>
      <c r="AHG40" s="37"/>
      <c r="AHH40" s="37"/>
      <c r="AHI40" s="37"/>
      <c r="AHJ40" s="37"/>
      <c r="AHK40" s="37"/>
      <c r="AHL40" s="37"/>
      <c r="AHM40" s="37"/>
      <c r="AHN40" s="37"/>
      <c r="AHO40" s="37"/>
      <c r="AHP40" s="37"/>
      <c r="AHQ40" s="37"/>
      <c r="AHR40" s="37"/>
      <c r="AHS40" s="37"/>
      <c r="AHT40" s="37"/>
      <c r="AHU40" s="37"/>
      <c r="AHV40" s="37"/>
      <c r="AHW40" s="37"/>
      <c r="AHX40" s="37"/>
      <c r="AHY40" s="37"/>
      <c r="AHZ40" s="37"/>
      <c r="AIA40" s="37"/>
      <c r="AIB40" s="37"/>
      <c r="AIC40" s="37"/>
      <c r="AID40" s="37"/>
      <c r="AIE40" s="37"/>
      <c r="AIF40" s="37"/>
      <c r="AIG40" s="37"/>
      <c r="AIH40" s="37"/>
      <c r="AII40" s="37"/>
      <c r="AIJ40" s="37"/>
      <c r="AIK40" s="37"/>
      <c r="AIL40" s="37"/>
      <c r="AIM40" s="37"/>
      <c r="AIN40" s="37"/>
      <c r="AIO40" s="37"/>
      <c r="AIP40" s="37"/>
      <c r="AIQ40" s="37"/>
      <c r="AIR40" s="37"/>
      <c r="AIS40" s="37"/>
      <c r="AIT40" s="37"/>
      <c r="AIU40" s="37"/>
      <c r="AIV40" s="37"/>
      <c r="AIW40" s="37"/>
      <c r="AIX40" s="37"/>
      <c r="AIY40" s="37"/>
      <c r="AIZ40" s="37"/>
      <c r="AJA40" s="37"/>
      <c r="AJB40" s="37"/>
      <c r="AJC40" s="37"/>
      <c r="AJD40" s="37"/>
      <c r="AJE40" s="37"/>
      <c r="AJF40" s="37"/>
      <c r="AJG40" s="37"/>
      <c r="AJH40" s="37"/>
      <c r="AJI40" s="37"/>
      <c r="AJJ40" s="37"/>
      <c r="AJK40" s="37"/>
      <c r="AJL40" s="37"/>
      <c r="AJM40" s="37"/>
      <c r="AJN40" s="37"/>
      <c r="AJO40" s="37"/>
      <c r="AJP40" s="37"/>
      <c r="AJQ40" s="37"/>
      <c r="AJR40" s="37"/>
      <c r="AJS40" s="37"/>
      <c r="AJT40" s="37"/>
      <c r="AJU40" s="37"/>
      <c r="AJV40" s="37"/>
      <c r="AJW40" s="37"/>
      <c r="AJX40" s="37"/>
      <c r="AJY40" s="37"/>
      <c r="AJZ40" s="37"/>
      <c r="AKA40" s="37"/>
      <c r="AKB40" s="37"/>
      <c r="AKC40" s="37"/>
      <c r="AKD40" s="37"/>
      <c r="AKE40" s="37"/>
      <c r="AKF40" s="37"/>
      <c r="AKG40" s="37"/>
      <c r="AKH40" s="37"/>
      <c r="AKI40" s="37"/>
      <c r="AKJ40" s="37"/>
      <c r="AKK40" s="37"/>
      <c r="AKL40" s="37"/>
      <c r="AKM40" s="37"/>
      <c r="AKN40" s="37"/>
      <c r="AKO40" s="37"/>
      <c r="AKP40" s="37"/>
      <c r="AKQ40" s="37"/>
      <c r="AKR40" s="37"/>
      <c r="AKS40" s="37"/>
      <c r="AKT40" s="37"/>
      <c r="AKU40" s="37"/>
      <c r="AKV40" s="37"/>
      <c r="AKW40" s="37"/>
      <c r="AKX40" s="37"/>
      <c r="AKY40" s="37"/>
      <c r="AKZ40" s="37"/>
      <c r="ALA40" s="37"/>
      <c r="ALB40" s="37"/>
      <c r="ALC40" s="37"/>
      <c r="ALD40" s="37"/>
      <c r="ALE40" s="37"/>
      <c r="ALF40" s="37"/>
      <c r="ALG40" s="37"/>
      <c r="ALH40" s="37"/>
      <c r="ALI40" s="37"/>
      <c r="ALJ40" s="37"/>
      <c r="ALK40" s="37"/>
      <c r="ALL40" s="37"/>
      <c r="ALM40" s="37"/>
      <c r="ALN40" s="37"/>
      <c r="ALO40" s="37"/>
      <c r="ALP40" s="37"/>
      <c r="ALQ40" s="37"/>
      <c r="ALR40" s="37"/>
      <c r="ALS40" s="37"/>
      <c r="ALT40" s="37"/>
      <c r="ALU40" s="37"/>
      <c r="ALV40" s="37"/>
      <c r="ALW40" s="37"/>
      <c r="ALX40" s="37"/>
      <c r="ALY40" s="37"/>
      <c r="ALZ40" s="37"/>
      <c r="AMA40" s="37"/>
      <c r="AMB40" s="37"/>
      <c r="AMC40" s="37"/>
      <c r="AMD40" s="37"/>
      <c r="AME40" s="37"/>
      <c r="AMF40" s="37"/>
      <c r="AMG40" s="37"/>
      <c r="AMH40" s="37"/>
      <c r="AMI40" s="37"/>
      <c r="AMJ40" s="37"/>
      <c r="AMK40" s="37"/>
      <c r="AML40" s="37"/>
      <c r="AMM40" s="37"/>
      <c r="AMN40" s="37"/>
      <c r="AMO40" s="37"/>
      <c r="AMP40" s="37"/>
      <c r="AMQ40" s="37"/>
      <c r="AMR40" s="37"/>
      <c r="AMS40" s="37"/>
      <c r="AMT40" s="37"/>
      <c r="AMU40" s="37"/>
      <c r="AMV40" s="37"/>
      <c r="AMW40" s="37"/>
      <c r="AMX40" s="37"/>
      <c r="AMY40" s="37"/>
      <c r="AMZ40" s="37"/>
      <c r="ANA40" s="37"/>
      <c r="ANB40" s="37"/>
      <c r="ANC40" s="37"/>
      <c r="AND40" s="37"/>
      <c r="ANE40" s="37"/>
      <c r="ANF40" s="37"/>
      <c r="ANG40" s="37"/>
      <c r="ANH40" s="37"/>
      <c r="ANI40" s="37"/>
      <c r="ANJ40" s="37"/>
      <c r="ANK40" s="37"/>
      <c r="ANL40" s="37"/>
      <c r="ANM40" s="37"/>
      <c r="ANN40" s="37"/>
      <c r="ANO40" s="37"/>
      <c r="ANP40" s="37"/>
      <c r="ANQ40" s="37"/>
      <c r="ANR40" s="37"/>
      <c r="ANS40" s="37"/>
      <c r="ANT40" s="37"/>
      <c r="ANU40" s="37"/>
      <c r="ANV40" s="37"/>
      <c r="ANW40" s="37"/>
      <c r="ANX40" s="37"/>
      <c r="ANY40" s="37"/>
      <c r="ANZ40" s="37"/>
      <c r="AOA40" s="37"/>
      <c r="AOB40" s="37"/>
      <c r="AOC40" s="37"/>
      <c r="AOD40" s="37"/>
      <c r="AOE40" s="37"/>
      <c r="AOF40" s="37"/>
      <c r="AOG40" s="37"/>
      <c r="AOH40" s="37"/>
      <c r="AOI40" s="37"/>
      <c r="AOJ40" s="37"/>
      <c r="AOK40" s="37"/>
      <c r="AOL40" s="37"/>
      <c r="AOM40" s="37"/>
      <c r="AON40" s="37"/>
      <c r="AOO40" s="37"/>
      <c r="AOP40" s="37"/>
      <c r="AOQ40" s="37"/>
      <c r="AOR40" s="37"/>
      <c r="AOS40" s="37"/>
      <c r="AOT40" s="37"/>
      <c r="AOU40" s="37"/>
      <c r="AOV40" s="37"/>
      <c r="AOW40" s="37"/>
      <c r="AOX40" s="37"/>
      <c r="AOY40" s="37"/>
      <c r="AOZ40" s="37"/>
      <c r="APA40" s="37"/>
      <c r="APB40" s="37"/>
      <c r="APC40" s="37"/>
      <c r="APD40" s="37"/>
      <c r="APE40" s="37"/>
      <c r="APF40" s="37"/>
      <c r="APG40" s="37"/>
      <c r="APH40" s="37"/>
      <c r="API40" s="37"/>
      <c r="APJ40" s="37"/>
      <c r="APK40" s="37"/>
      <c r="APL40" s="37"/>
      <c r="APM40" s="37"/>
      <c r="APN40" s="37"/>
      <c r="APO40" s="37"/>
      <c r="APP40" s="37"/>
      <c r="APQ40" s="37"/>
      <c r="APR40" s="37"/>
      <c r="APS40" s="37"/>
      <c r="APT40" s="37"/>
      <c r="APU40" s="37"/>
      <c r="APV40" s="37"/>
      <c r="APW40" s="37"/>
      <c r="APX40" s="37"/>
      <c r="APY40" s="37"/>
      <c r="APZ40" s="37"/>
      <c r="AQA40" s="37"/>
      <c r="AQB40" s="37"/>
      <c r="AQC40" s="37"/>
      <c r="AQD40" s="37"/>
      <c r="AQE40" s="37"/>
      <c r="AQF40" s="37"/>
      <c r="AQG40" s="37"/>
      <c r="AQH40" s="37"/>
      <c r="AQI40" s="37"/>
      <c r="AQJ40" s="37"/>
      <c r="AQK40" s="37"/>
      <c r="AQL40" s="37"/>
      <c r="AQM40" s="37"/>
      <c r="AQN40" s="37"/>
      <c r="AQO40" s="37"/>
      <c r="AQP40" s="37"/>
      <c r="AQQ40" s="37"/>
      <c r="AQR40" s="37"/>
      <c r="AQS40" s="37"/>
      <c r="AQT40" s="37"/>
      <c r="AQU40" s="37"/>
      <c r="AQV40" s="37"/>
      <c r="AQW40" s="37"/>
      <c r="AQX40" s="37"/>
      <c r="AQY40" s="37"/>
      <c r="AQZ40" s="37"/>
      <c r="ARA40" s="37"/>
      <c r="ARB40" s="37"/>
      <c r="ARC40" s="37"/>
      <c r="ARD40" s="37"/>
      <c r="ARE40" s="37"/>
      <c r="ARF40" s="37"/>
      <c r="ARG40" s="37"/>
      <c r="ARH40" s="37"/>
      <c r="ARI40" s="37"/>
      <c r="ARJ40" s="37"/>
      <c r="ARK40" s="37"/>
      <c r="ARL40" s="37"/>
      <c r="ARM40" s="37"/>
      <c r="ARN40" s="37"/>
      <c r="ARO40" s="37"/>
      <c r="ARP40" s="37"/>
      <c r="ARQ40" s="37"/>
      <c r="ARR40" s="37"/>
      <c r="ARS40" s="37"/>
      <c r="ART40" s="37"/>
      <c r="ARU40" s="37"/>
      <c r="ARV40" s="37"/>
      <c r="ARW40" s="37"/>
      <c r="ARX40" s="37"/>
      <c r="ARY40" s="37"/>
      <c r="ARZ40" s="37"/>
      <c r="ASA40" s="37"/>
      <c r="ASB40" s="37"/>
      <c r="ASC40" s="37"/>
      <c r="ASD40" s="37"/>
      <c r="ASE40" s="37"/>
      <c r="ASF40" s="37"/>
      <c r="ASG40" s="37"/>
      <c r="ASH40" s="37"/>
      <c r="ASI40" s="37"/>
      <c r="ASJ40" s="37"/>
      <c r="ASK40" s="37"/>
      <c r="ASL40" s="37"/>
      <c r="ASM40" s="37"/>
      <c r="ASN40" s="37"/>
      <c r="ASO40" s="37"/>
      <c r="ASP40" s="37"/>
      <c r="ASQ40" s="37"/>
      <c r="ASR40" s="37"/>
      <c r="ASS40" s="37"/>
      <c r="AST40" s="37"/>
      <c r="ASU40" s="37"/>
      <c r="ASV40" s="37"/>
      <c r="ASW40" s="37"/>
      <c r="ASX40" s="37"/>
      <c r="ASY40" s="37"/>
      <c r="ASZ40" s="37"/>
      <c r="ATA40" s="37"/>
      <c r="ATB40" s="37"/>
      <c r="ATC40" s="37"/>
      <c r="ATD40" s="37"/>
      <c r="ATE40" s="37"/>
      <c r="ATF40" s="37"/>
      <c r="ATG40" s="37"/>
      <c r="ATH40" s="37"/>
      <c r="ATI40" s="37"/>
      <c r="ATJ40" s="37"/>
      <c r="ATK40" s="37"/>
      <c r="ATL40" s="37"/>
      <c r="ATM40" s="37"/>
      <c r="ATN40" s="37"/>
      <c r="ATO40" s="37"/>
      <c r="ATP40" s="37"/>
      <c r="ATQ40" s="37"/>
      <c r="ATR40" s="37"/>
      <c r="ATS40" s="37"/>
      <c r="ATT40" s="37"/>
      <c r="ATU40" s="37"/>
      <c r="ATV40" s="37"/>
      <c r="ATW40" s="37"/>
      <c r="ATX40" s="37"/>
      <c r="ATY40" s="37"/>
      <c r="ATZ40" s="37"/>
      <c r="AUA40" s="37"/>
      <c r="AUB40" s="37"/>
      <c r="AUC40" s="37"/>
      <c r="AUD40" s="37"/>
      <c r="AUE40" s="37"/>
      <c r="AUF40" s="37"/>
      <c r="AUG40" s="37"/>
      <c r="AUH40" s="37"/>
      <c r="AUI40" s="37"/>
      <c r="AUJ40" s="37"/>
      <c r="AUK40" s="37"/>
      <c r="AUL40" s="37"/>
      <c r="AUM40" s="37"/>
      <c r="AUN40" s="37"/>
      <c r="AUO40" s="37"/>
      <c r="AUP40" s="37"/>
      <c r="AUQ40" s="37"/>
      <c r="AUR40" s="37"/>
      <c r="AUS40" s="37"/>
      <c r="AUT40" s="37"/>
      <c r="AUU40" s="37"/>
      <c r="AUV40" s="37"/>
      <c r="AUW40" s="37"/>
      <c r="AUX40" s="37"/>
      <c r="AUY40" s="37"/>
      <c r="AUZ40" s="37"/>
      <c r="AVA40" s="37"/>
      <c r="AVB40" s="37"/>
      <c r="AVC40" s="37"/>
      <c r="AVD40" s="37"/>
      <c r="AVE40" s="37"/>
      <c r="AVF40" s="37"/>
      <c r="AVG40" s="37"/>
      <c r="AVH40" s="37"/>
      <c r="AVI40" s="37"/>
      <c r="AVJ40" s="37"/>
      <c r="AVK40" s="37"/>
      <c r="AVL40" s="37"/>
      <c r="AVM40" s="37"/>
      <c r="AVN40" s="37"/>
      <c r="AVO40" s="37"/>
      <c r="AVP40" s="37"/>
      <c r="AVQ40" s="37"/>
      <c r="AVR40" s="37"/>
      <c r="AVS40" s="37"/>
      <c r="AVT40" s="37"/>
      <c r="AVU40" s="37"/>
      <c r="AVV40" s="37"/>
      <c r="AVW40" s="37"/>
      <c r="AVX40" s="37"/>
      <c r="AVY40" s="37"/>
      <c r="AVZ40" s="37"/>
      <c r="AWA40" s="37"/>
      <c r="AWB40" s="37"/>
      <c r="AWC40" s="37"/>
      <c r="AWD40" s="37"/>
      <c r="AWE40" s="37"/>
      <c r="AWF40" s="37"/>
      <c r="AWG40" s="37"/>
      <c r="AWH40" s="37"/>
      <c r="AWI40" s="37"/>
      <c r="AWJ40" s="37"/>
      <c r="AWK40" s="37"/>
      <c r="AWL40" s="37"/>
      <c r="AWM40" s="37"/>
      <c r="AWN40" s="37"/>
      <c r="AWO40" s="37"/>
      <c r="AWP40" s="37"/>
      <c r="AWQ40" s="37"/>
      <c r="AWR40" s="37"/>
      <c r="AWS40" s="37"/>
      <c r="AWT40" s="37"/>
      <c r="AWU40" s="37"/>
      <c r="AWV40" s="37"/>
      <c r="AWW40" s="37"/>
      <c r="AWX40" s="37"/>
      <c r="AWY40" s="37"/>
      <c r="AWZ40" s="37"/>
      <c r="AXA40" s="37"/>
      <c r="AXB40" s="37"/>
      <c r="AXC40" s="37"/>
      <c r="AXD40" s="37"/>
      <c r="AXE40" s="37"/>
      <c r="AXF40" s="37"/>
      <c r="AXG40" s="37"/>
      <c r="AXH40" s="37"/>
      <c r="AXI40" s="37"/>
      <c r="AXJ40" s="37"/>
      <c r="AXK40" s="37"/>
      <c r="AXL40" s="37"/>
      <c r="AXM40" s="37"/>
      <c r="AXN40" s="37"/>
      <c r="AXO40" s="37"/>
      <c r="AXP40" s="37"/>
      <c r="AXQ40" s="37"/>
      <c r="AXR40" s="37"/>
      <c r="AXS40" s="37"/>
      <c r="AXT40" s="37"/>
      <c r="AXU40" s="37"/>
      <c r="AXV40" s="37"/>
      <c r="AXW40" s="37"/>
      <c r="AXX40" s="37"/>
      <c r="AXY40" s="37"/>
      <c r="AXZ40" s="37"/>
      <c r="AYA40" s="37"/>
      <c r="AYB40" s="37"/>
      <c r="AYC40" s="37"/>
      <c r="AYD40" s="37"/>
      <c r="AYE40" s="37"/>
      <c r="AYF40" s="37"/>
      <c r="AYG40" s="37"/>
      <c r="AYH40" s="37"/>
      <c r="AYI40" s="37"/>
      <c r="AYJ40" s="37"/>
      <c r="AYK40" s="37"/>
      <c r="AYL40" s="37"/>
      <c r="AYM40" s="37"/>
      <c r="AYN40" s="37"/>
      <c r="AYO40" s="37"/>
      <c r="AYP40" s="37"/>
      <c r="AYQ40" s="37"/>
      <c r="AYR40" s="37"/>
      <c r="AYS40" s="37"/>
      <c r="AYT40" s="37"/>
      <c r="AYU40" s="37"/>
      <c r="AYV40" s="37"/>
      <c r="AYW40" s="37"/>
      <c r="AYX40" s="37"/>
      <c r="AYY40" s="37"/>
      <c r="AYZ40" s="37"/>
      <c r="AZA40" s="37"/>
      <c r="AZB40" s="37"/>
      <c r="AZC40" s="37"/>
      <c r="AZD40" s="37"/>
      <c r="AZE40" s="37"/>
      <c r="AZF40" s="37"/>
      <c r="AZG40" s="37"/>
      <c r="AZH40" s="37"/>
      <c r="AZI40" s="37"/>
      <c r="AZJ40" s="37"/>
      <c r="AZK40" s="37"/>
      <c r="AZL40" s="37"/>
      <c r="AZM40" s="37"/>
      <c r="AZN40" s="37"/>
      <c r="AZO40" s="37"/>
      <c r="AZP40" s="37"/>
      <c r="AZQ40" s="37"/>
      <c r="AZR40" s="37"/>
      <c r="AZS40" s="37"/>
      <c r="AZT40" s="37"/>
      <c r="AZU40" s="37"/>
      <c r="AZV40" s="37"/>
      <c r="AZW40" s="37"/>
      <c r="AZX40" s="37"/>
      <c r="AZY40" s="37"/>
      <c r="AZZ40" s="37"/>
      <c r="BAA40" s="37"/>
      <c r="BAB40" s="37"/>
      <c r="BAC40" s="37"/>
      <c r="BAD40" s="37"/>
      <c r="BAE40" s="37"/>
      <c r="BAF40" s="37"/>
      <c r="BAG40" s="37"/>
      <c r="BAH40" s="37"/>
      <c r="BAI40" s="37"/>
      <c r="BAJ40" s="37"/>
      <c r="BAK40" s="37"/>
      <c r="BAL40" s="37"/>
      <c r="BAM40" s="37"/>
      <c r="BAN40" s="37"/>
      <c r="BAO40" s="37"/>
      <c r="BAP40" s="37"/>
      <c r="BAQ40" s="37"/>
      <c r="BAR40" s="37"/>
      <c r="BAS40" s="37"/>
      <c r="BAT40" s="37"/>
      <c r="BAU40" s="37"/>
      <c r="BAV40" s="37"/>
      <c r="BAW40" s="37"/>
      <c r="BAX40" s="37"/>
      <c r="BAY40" s="37"/>
      <c r="BAZ40" s="37"/>
      <c r="BBA40" s="37"/>
      <c r="BBB40" s="37"/>
      <c r="BBC40" s="37"/>
      <c r="BBD40" s="37"/>
      <c r="BBE40" s="37"/>
      <c r="BBF40" s="37"/>
      <c r="BBG40" s="37"/>
      <c r="BBH40" s="37"/>
      <c r="BBI40" s="37"/>
      <c r="BBJ40" s="37"/>
      <c r="BBK40" s="37"/>
      <c r="BBL40" s="37"/>
      <c r="BBM40" s="37"/>
      <c r="BBN40" s="37"/>
      <c r="BBO40" s="37"/>
      <c r="BBP40" s="37"/>
      <c r="BBQ40" s="37"/>
      <c r="BBR40" s="37"/>
      <c r="BBS40" s="37"/>
      <c r="BBT40" s="37"/>
      <c r="BBU40" s="37"/>
      <c r="BBV40" s="37"/>
      <c r="BBW40" s="37"/>
      <c r="BBX40" s="37"/>
      <c r="BBY40" s="37"/>
      <c r="BBZ40" s="37"/>
      <c r="BCA40" s="37"/>
      <c r="BCB40" s="37"/>
      <c r="BCC40" s="37"/>
      <c r="BCD40" s="37"/>
      <c r="BCE40" s="37"/>
      <c r="BCF40" s="37"/>
      <c r="BCG40" s="37"/>
      <c r="BCH40" s="37"/>
      <c r="BCI40" s="37"/>
      <c r="BCJ40" s="37"/>
      <c r="BCK40" s="37"/>
      <c r="BCL40" s="37"/>
      <c r="BCM40" s="37"/>
      <c r="BCN40" s="37"/>
      <c r="BCO40" s="37"/>
      <c r="BCP40" s="37"/>
      <c r="BCQ40" s="37"/>
      <c r="BCR40" s="37"/>
      <c r="BCS40" s="37"/>
      <c r="BCT40" s="37"/>
      <c r="BCU40" s="37"/>
      <c r="BCV40" s="37"/>
      <c r="BCW40" s="37"/>
      <c r="BCX40" s="37"/>
      <c r="BCY40" s="37"/>
      <c r="BCZ40" s="37"/>
      <c r="BDA40" s="37"/>
      <c r="BDB40" s="37"/>
      <c r="BDC40" s="37"/>
      <c r="BDD40" s="37"/>
      <c r="BDE40" s="37"/>
      <c r="BDF40" s="37"/>
      <c r="BDG40" s="37"/>
      <c r="BDH40" s="37"/>
      <c r="BDI40" s="37"/>
      <c r="BDJ40" s="37"/>
      <c r="BDK40" s="37"/>
      <c r="BDL40" s="37"/>
      <c r="BDM40" s="37"/>
      <c r="BDN40" s="37"/>
      <c r="BDO40" s="37"/>
      <c r="BDP40" s="37"/>
      <c r="BDQ40" s="37"/>
      <c r="BDR40" s="37"/>
      <c r="BDS40" s="37"/>
      <c r="BDT40" s="37"/>
      <c r="BDU40" s="37"/>
      <c r="BDV40" s="37"/>
      <c r="BDW40" s="37"/>
      <c r="BDX40" s="37"/>
      <c r="BDY40" s="37"/>
      <c r="BDZ40" s="37"/>
      <c r="BEA40" s="37"/>
      <c r="BEB40" s="37"/>
      <c r="BEC40" s="37"/>
      <c r="BED40" s="37"/>
      <c r="BEE40" s="37"/>
      <c r="BEF40" s="37"/>
      <c r="BEG40" s="37"/>
      <c r="BEH40" s="37"/>
      <c r="BEI40" s="37"/>
      <c r="BEJ40" s="37"/>
      <c r="BEK40" s="37"/>
      <c r="BEL40" s="37"/>
      <c r="BEM40" s="37"/>
      <c r="BEN40" s="37"/>
      <c r="BEO40" s="37"/>
      <c r="BEP40" s="37"/>
      <c r="BEQ40" s="37"/>
      <c r="BER40" s="37"/>
      <c r="BES40" s="37"/>
      <c r="BET40" s="37"/>
      <c r="BEU40" s="37"/>
      <c r="BEV40" s="37"/>
      <c r="BEW40" s="37"/>
      <c r="BEX40" s="37"/>
      <c r="BEY40" s="37"/>
      <c r="BEZ40" s="37"/>
      <c r="BFA40" s="37"/>
      <c r="BFB40" s="37"/>
      <c r="BFC40" s="37"/>
      <c r="BFD40" s="37"/>
      <c r="BFE40" s="37"/>
      <c r="BFF40" s="37"/>
      <c r="BFG40" s="37"/>
      <c r="BFH40" s="37"/>
      <c r="BFI40" s="37"/>
      <c r="BFJ40" s="37"/>
      <c r="BFK40" s="37"/>
      <c r="BFL40" s="37"/>
      <c r="BFM40" s="37"/>
      <c r="BFN40" s="37"/>
      <c r="BFO40" s="37"/>
      <c r="BFP40" s="37"/>
      <c r="BFQ40" s="37"/>
      <c r="BFR40" s="37"/>
      <c r="BFS40" s="37"/>
      <c r="BFT40" s="37"/>
      <c r="BFU40" s="37"/>
      <c r="BFV40" s="37"/>
      <c r="BFW40" s="37"/>
      <c r="BFX40" s="37"/>
      <c r="BFY40" s="37"/>
      <c r="BFZ40" s="37"/>
      <c r="BGA40" s="37"/>
      <c r="BGB40" s="37"/>
      <c r="BGC40" s="37"/>
      <c r="BGD40" s="37"/>
      <c r="BGE40" s="37"/>
      <c r="BGF40" s="37"/>
      <c r="BGG40" s="37"/>
      <c r="BGH40" s="37"/>
      <c r="BGI40" s="37"/>
      <c r="BGJ40" s="37"/>
      <c r="BGK40" s="37"/>
      <c r="BGL40" s="37"/>
      <c r="BGM40" s="37"/>
      <c r="BGN40" s="37"/>
      <c r="BGO40" s="37"/>
      <c r="BGP40" s="37"/>
      <c r="BGQ40" s="37"/>
      <c r="BGR40" s="37"/>
      <c r="BGS40" s="37"/>
      <c r="BGT40" s="37"/>
      <c r="BGU40" s="37"/>
      <c r="BGV40" s="37"/>
      <c r="BGW40" s="37"/>
      <c r="BGX40" s="37"/>
      <c r="BGY40" s="37"/>
      <c r="BGZ40" s="37"/>
      <c r="BHA40" s="37"/>
      <c r="BHB40" s="37"/>
      <c r="BHC40" s="37"/>
      <c r="BHD40" s="37"/>
      <c r="BHE40" s="37"/>
      <c r="BHF40" s="37"/>
      <c r="BHG40" s="37"/>
      <c r="BHH40" s="37"/>
      <c r="BHI40" s="37"/>
      <c r="BHJ40" s="37"/>
      <c r="BHK40" s="37"/>
      <c r="BHL40" s="37"/>
      <c r="BHM40" s="37"/>
      <c r="BHN40" s="37"/>
      <c r="BHO40" s="37"/>
      <c r="BHP40" s="37"/>
      <c r="BHQ40" s="37"/>
      <c r="BHR40" s="37"/>
      <c r="BHS40" s="37"/>
      <c r="BHT40" s="37"/>
      <c r="BHU40" s="37"/>
      <c r="BHV40" s="37"/>
      <c r="BHW40" s="37"/>
      <c r="BHX40" s="37"/>
      <c r="BHY40" s="37"/>
      <c r="BHZ40" s="37"/>
      <c r="BIA40" s="37"/>
      <c r="BIB40" s="37"/>
      <c r="BIC40" s="37"/>
      <c r="BID40" s="37"/>
      <c r="BIE40" s="37"/>
      <c r="BIF40" s="37"/>
      <c r="BIG40" s="37"/>
      <c r="BIH40" s="37"/>
      <c r="BII40" s="37"/>
      <c r="BIJ40" s="37"/>
      <c r="BIK40" s="37"/>
      <c r="BIL40" s="37"/>
      <c r="BIM40" s="37"/>
      <c r="BIN40" s="37"/>
      <c r="BIO40" s="37"/>
      <c r="BIP40" s="37"/>
      <c r="BIQ40" s="37"/>
      <c r="BIR40" s="37"/>
      <c r="BIS40" s="37"/>
      <c r="BIT40" s="37"/>
      <c r="BIU40" s="37"/>
      <c r="BIV40" s="37"/>
      <c r="BIW40" s="37"/>
      <c r="BIX40" s="37"/>
      <c r="BIY40" s="37"/>
      <c r="BIZ40" s="37"/>
      <c r="BJA40" s="37"/>
      <c r="BJB40" s="37"/>
      <c r="BJC40" s="37"/>
      <c r="BJD40" s="37"/>
      <c r="BJE40" s="37"/>
      <c r="BJF40" s="37"/>
      <c r="BJG40" s="37"/>
      <c r="BJH40" s="37"/>
      <c r="BJI40" s="37"/>
      <c r="BJJ40" s="37"/>
      <c r="BJK40" s="37"/>
      <c r="BJL40" s="37"/>
      <c r="BJM40" s="37"/>
      <c r="BJN40" s="37"/>
      <c r="BJO40" s="37"/>
      <c r="BJP40" s="37"/>
      <c r="BJQ40" s="37"/>
      <c r="BJR40" s="37"/>
      <c r="BJS40" s="37"/>
      <c r="BJT40" s="37"/>
      <c r="BJU40" s="37"/>
      <c r="BJV40" s="37"/>
      <c r="BJW40" s="37"/>
      <c r="BJX40" s="37"/>
      <c r="BJY40" s="37"/>
      <c r="BJZ40" s="37"/>
      <c r="BKA40" s="37"/>
      <c r="BKB40" s="37"/>
      <c r="BKC40" s="37"/>
      <c r="BKD40" s="37"/>
      <c r="BKE40" s="37"/>
      <c r="BKF40" s="37"/>
      <c r="BKG40" s="37"/>
      <c r="BKH40" s="37"/>
      <c r="BKI40" s="37"/>
      <c r="BKJ40" s="37"/>
      <c r="BKK40" s="37"/>
      <c r="BKL40" s="37"/>
      <c r="BKM40" s="37"/>
      <c r="BKN40" s="37"/>
      <c r="BKO40" s="37"/>
      <c r="BKP40" s="37"/>
      <c r="BKQ40" s="37"/>
      <c r="BKR40" s="37"/>
      <c r="BKS40" s="37"/>
      <c r="BKT40" s="37"/>
      <c r="BKU40" s="37"/>
      <c r="BKV40" s="37"/>
      <c r="BKW40" s="37"/>
      <c r="BKX40" s="37"/>
      <c r="BKY40" s="37"/>
      <c r="BKZ40" s="37"/>
      <c r="BLA40" s="37"/>
      <c r="BLB40" s="37"/>
      <c r="BLC40" s="37"/>
      <c r="BLD40" s="37"/>
      <c r="BLE40" s="37"/>
      <c r="BLF40" s="37"/>
      <c r="BLG40" s="37"/>
      <c r="BLH40" s="37"/>
      <c r="BLI40" s="37"/>
      <c r="BLJ40" s="37"/>
      <c r="BLK40" s="37"/>
      <c r="BLL40" s="37"/>
      <c r="BLM40" s="37"/>
      <c r="BLN40" s="37"/>
      <c r="BLO40" s="37"/>
      <c r="BLP40" s="37"/>
      <c r="BLQ40" s="37"/>
      <c r="BLR40" s="37"/>
      <c r="BLS40" s="37"/>
      <c r="BLT40" s="37"/>
      <c r="BLU40" s="37"/>
      <c r="BLV40" s="37"/>
      <c r="BLW40" s="37"/>
      <c r="BLX40" s="37"/>
      <c r="BLY40" s="37"/>
      <c r="BLZ40" s="37"/>
      <c r="BMA40" s="37"/>
      <c r="BMB40" s="37"/>
      <c r="BMC40" s="37"/>
      <c r="BMD40" s="37"/>
      <c r="BME40" s="37"/>
      <c r="BMF40" s="37"/>
      <c r="BMG40" s="37"/>
      <c r="BMH40" s="37"/>
      <c r="BMI40" s="37"/>
      <c r="BMJ40" s="37"/>
      <c r="BMK40" s="37"/>
      <c r="BML40" s="37"/>
      <c r="BMM40" s="37"/>
      <c r="BMN40" s="37"/>
      <c r="BMO40" s="37"/>
      <c r="BMP40" s="37"/>
      <c r="BMQ40" s="37"/>
      <c r="BMR40" s="37"/>
      <c r="BMS40" s="37"/>
      <c r="BMT40" s="37"/>
      <c r="BMU40" s="37"/>
      <c r="BMV40" s="37"/>
      <c r="BMW40" s="37"/>
      <c r="BMX40" s="37"/>
      <c r="BMY40" s="37"/>
      <c r="BMZ40" s="37"/>
      <c r="BNA40" s="37"/>
      <c r="BNB40" s="37"/>
      <c r="BNC40" s="37"/>
      <c r="BND40" s="37"/>
      <c r="BNE40" s="37"/>
      <c r="BNF40" s="37"/>
      <c r="BNG40" s="37"/>
      <c r="BNH40" s="37"/>
      <c r="BNI40" s="37"/>
      <c r="BNJ40" s="37"/>
      <c r="BNK40" s="37"/>
      <c r="BNL40" s="37"/>
      <c r="BNM40" s="37"/>
      <c r="BNN40" s="37"/>
      <c r="BNO40" s="37"/>
      <c r="BNP40" s="37"/>
      <c r="BNQ40" s="37"/>
      <c r="BNR40" s="37"/>
      <c r="BNS40" s="37"/>
      <c r="BNT40" s="37"/>
      <c r="BNU40" s="37"/>
      <c r="BNV40" s="37"/>
      <c r="BNW40" s="37"/>
      <c r="BNX40" s="37"/>
      <c r="BNY40" s="37"/>
      <c r="BNZ40" s="37"/>
      <c r="BOA40" s="37"/>
      <c r="BOB40" s="37"/>
      <c r="BOC40" s="37"/>
      <c r="BOD40" s="37"/>
      <c r="BOE40" s="37"/>
      <c r="BOF40" s="37"/>
      <c r="BOG40" s="37"/>
      <c r="BOH40" s="37"/>
      <c r="BOI40" s="37"/>
      <c r="BOJ40" s="37"/>
      <c r="BOK40" s="37"/>
      <c r="BOL40" s="37"/>
      <c r="BOM40" s="37"/>
      <c r="BON40" s="37"/>
      <c r="BOO40" s="37"/>
      <c r="BOP40" s="37"/>
      <c r="BOQ40" s="37"/>
      <c r="BOR40" s="37"/>
      <c r="BOS40" s="37"/>
      <c r="BOT40" s="37"/>
      <c r="BOU40" s="37"/>
      <c r="BOV40" s="37"/>
      <c r="BOW40" s="37"/>
      <c r="BOX40" s="37"/>
      <c r="BOY40" s="37"/>
      <c r="BOZ40" s="37"/>
      <c r="BPA40" s="37"/>
      <c r="BPB40" s="37"/>
      <c r="BPC40" s="37"/>
      <c r="BPD40" s="37"/>
      <c r="BPE40" s="37"/>
      <c r="BPF40" s="37"/>
      <c r="BPG40" s="37"/>
      <c r="BPH40" s="37"/>
      <c r="BPI40" s="37"/>
      <c r="BPJ40" s="37"/>
      <c r="BPK40" s="37"/>
      <c r="BPL40" s="37"/>
      <c r="BPM40" s="37"/>
      <c r="BPN40" s="37"/>
      <c r="BPO40" s="37"/>
      <c r="BPP40" s="37"/>
      <c r="BPQ40" s="37"/>
      <c r="BPR40" s="37"/>
      <c r="BPS40" s="37"/>
      <c r="BPT40" s="37"/>
      <c r="BPU40" s="37"/>
      <c r="BPV40" s="37"/>
      <c r="BPW40" s="37"/>
      <c r="BPX40" s="37"/>
      <c r="BPY40" s="37"/>
      <c r="BPZ40" s="37"/>
      <c r="BQA40" s="37"/>
      <c r="BQB40" s="37"/>
      <c r="BQC40" s="37"/>
      <c r="BQD40" s="37"/>
      <c r="BQE40" s="37"/>
      <c r="BQF40" s="37"/>
      <c r="BQG40" s="37"/>
      <c r="BQH40" s="37"/>
      <c r="BQI40" s="37"/>
      <c r="BQJ40" s="37"/>
      <c r="BQK40" s="37"/>
      <c r="BQL40" s="37"/>
      <c r="BQM40" s="37"/>
      <c r="BQN40" s="37"/>
      <c r="BQO40" s="37"/>
      <c r="BQP40" s="37"/>
      <c r="BQQ40" s="37"/>
      <c r="BQR40" s="37"/>
      <c r="BQS40" s="37"/>
      <c r="BQT40" s="37"/>
      <c r="BQU40" s="37"/>
      <c r="BQV40" s="37"/>
      <c r="BQW40" s="37"/>
      <c r="BQX40" s="37"/>
      <c r="BQY40" s="37"/>
      <c r="BQZ40" s="37"/>
      <c r="BRA40" s="37"/>
      <c r="BRB40" s="37"/>
      <c r="BRC40" s="37"/>
      <c r="BRD40" s="37"/>
      <c r="BRE40" s="37"/>
      <c r="BRF40" s="37"/>
      <c r="BRG40" s="37"/>
      <c r="BRH40" s="37"/>
      <c r="BRI40" s="37"/>
      <c r="BRJ40" s="37"/>
      <c r="BRK40" s="37"/>
      <c r="BRL40" s="37"/>
      <c r="BRM40" s="37"/>
      <c r="BRN40" s="37"/>
      <c r="BRO40" s="37"/>
      <c r="BRP40" s="37"/>
      <c r="BRQ40" s="37"/>
      <c r="BRR40" s="37"/>
      <c r="BRS40" s="37"/>
      <c r="BRT40" s="37"/>
      <c r="BRU40" s="37"/>
      <c r="BRV40" s="37"/>
      <c r="BRW40" s="37"/>
      <c r="BRX40" s="37"/>
      <c r="BRY40" s="37"/>
      <c r="BRZ40" s="37"/>
      <c r="BSA40" s="37"/>
      <c r="BSB40" s="37"/>
      <c r="BSC40" s="37"/>
      <c r="BSD40" s="37"/>
      <c r="BSE40" s="37"/>
      <c r="BSF40" s="37"/>
      <c r="BSG40" s="37"/>
      <c r="BSH40" s="37"/>
      <c r="BSI40" s="37"/>
      <c r="BSJ40" s="37"/>
      <c r="BSK40" s="37"/>
      <c r="BSL40" s="37"/>
      <c r="BSM40" s="37"/>
      <c r="BSN40" s="37"/>
      <c r="BSO40" s="37"/>
      <c r="BSP40" s="37"/>
      <c r="BSQ40" s="37"/>
      <c r="BSR40" s="37"/>
      <c r="BSS40" s="37"/>
      <c r="BST40" s="37"/>
      <c r="BSU40" s="37"/>
      <c r="BSV40" s="37"/>
      <c r="BSW40" s="37"/>
      <c r="BSX40" s="37"/>
      <c r="BSY40" s="37"/>
      <c r="BSZ40" s="37"/>
      <c r="BTA40" s="37"/>
      <c r="BTB40" s="37"/>
      <c r="BTC40" s="37"/>
      <c r="BTD40" s="37"/>
      <c r="BTE40" s="37"/>
      <c r="BTF40" s="37"/>
      <c r="BTG40" s="37"/>
      <c r="BTH40" s="37"/>
      <c r="BTI40" s="37"/>
      <c r="BTJ40" s="37"/>
      <c r="BTK40" s="37"/>
      <c r="BTL40" s="37"/>
      <c r="BTM40" s="37"/>
      <c r="BTN40" s="37"/>
      <c r="BTO40" s="37"/>
      <c r="BTP40" s="37"/>
      <c r="BTQ40" s="37"/>
      <c r="BTR40" s="37"/>
      <c r="BTS40" s="37"/>
      <c r="BTT40" s="37"/>
      <c r="BTU40" s="37"/>
      <c r="BTV40" s="37"/>
      <c r="BTW40" s="37"/>
      <c r="BTX40" s="37"/>
      <c r="BTY40" s="37"/>
      <c r="BTZ40" s="37"/>
      <c r="BUA40" s="37"/>
      <c r="BUB40" s="37"/>
      <c r="BUC40" s="37"/>
      <c r="BUD40" s="37"/>
      <c r="BUE40" s="37"/>
      <c r="BUF40" s="37"/>
      <c r="BUG40" s="37"/>
      <c r="BUH40" s="37"/>
      <c r="BUI40" s="37"/>
      <c r="BUJ40" s="37"/>
      <c r="BUK40" s="37"/>
      <c r="BUL40" s="37"/>
      <c r="BUM40" s="37"/>
      <c r="BUN40" s="37"/>
      <c r="BUO40" s="37"/>
      <c r="BUP40" s="37"/>
      <c r="BUQ40" s="37"/>
      <c r="BUR40" s="37"/>
      <c r="BUS40" s="37"/>
      <c r="BUT40" s="37"/>
      <c r="BUU40" s="37"/>
      <c r="BUV40" s="37"/>
      <c r="BUW40" s="37"/>
      <c r="BUX40" s="37"/>
      <c r="BUY40" s="37"/>
      <c r="BUZ40" s="37"/>
      <c r="BVA40" s="37"/>
      <c r="BVB40" s="37"/>
      <c r="BVC40" s="37"/>
      <c r="BVD40" s="37"/>
      <c r="BVE40" s="37"/>
      <c r="BVF40" s="37"/>
      <c r="BVG40" s="37"/>
      <c r="BVH40" s="37"/>
      <c r="BVI40" s="37"/>
      <c r="BVJ40" s="37"/>
      <c r="BVK40" s="37"/>
      <c r="BVL40" s="37"/>
      <c r="BVM40" s="37"/>
      <c r="BVN40" s="37"/>
      <c r="BVO40" s="37"/>
      <c r="BVP40" s="37"/>
      <c r="BVQ40" s="37"/>
      <c r="BVR40" s="37"/>
      <c r="BVS40" s="37"/>
      <c r="BVT40" s="37"/>
      <c r="BVU40" s="37"/>
      <c r="BVV40" s="37"/>
      <c r="BVW40" s="37"/>
      <c r="BVX40" s="37"/>
      <c r="BVY40" s="37"/>
      <c r="BVZ40" s="37"/>
      <c r="BWA40" s="37"/>
      <c r="BWB40" s="37"/>
      <c r="BWC40" s="37"/>
      <c r="BWD40" s="37"/>
      <c r="BWE40" s="37"/>
      <c r="BWF40" s="37"/>
      <c r="BWG40" s="37"/>
      <c r="BWH40" s="37"/>
      <c r="BWI40" s="37"/>
      <c r="BWJ40" s="37"/>
      <c r="BWK40" s="37"/>
      <c r="BWL40" s="37"/>
      <c r="BWM40" s="37"/>
      <c r="BWN40" s="37"/>
      <c r="BWO40" s="37"/>
      <c r="BWP40" s="37"/>
      <c r="BWQ40" s="37"/>
      <c r="BWR40" s="37"/>
      <c r="BWS40" s="37"/>
      <c r="BWT40" s="37"/>
      <c r="BWU40" s="37"/>
      <c r="BWV40" s="37"/>
      <c r="BWW40" s="37"/>
      <c r="BWX40" s="37"/>
      <c r="BWY40" s="37"/>
      <c r="BWZ40" s="37"/>
      <c r="BXA40" s="37"/>
      <c r="BXB40" s="37"/>
      <c r="BXC40" s="37"/>
      <c r="BXD40" s="37"/>
      <c r="BXE40" s="37"/>
      <c r="BXF40" s="37"/>
      <c r="BXG40" s="37"/>
      <c r="BXH40" s="37"/>
      <c r="BXI40" s="37"/>
      <c r="BXJ40" s="37"/>
      <c r="BXK40" s="37"/>
      <c r="BXL40" s="37"/>
      <c r="BXM40" s="37"/>
      <c r="BXN40" s="37"/>
      <c r="BXO40" s="37"/>
      <c r="BXP40" s="37"/>
      <c r="BXQ40" s="37"/>
      <c r="BXR40" s="37"/>
      <c r="BXS40" s="37"/>
      <c r="BXT40" s="37"/>
      <c r="BXU40" s="37"/>
      <c r="BXV40" s="37"/>
      <c r="BXW40" s="37"/>
      <c r="BXX40" s="37"/>
      <c r="BXY40" s="37"/>
      <c r="BXZ40" s="37"/>
      <c r="BYA40" s="37"/>
      <c r="BYB40" s="37"/>
      <c r="BYC40" s="37"/>
      <c r="BYD40" s="37"/>
      <c r="BYE40" s="37"/>
      <c r="BYF40" s="37"/>
      <c r="BYG40" s="37"/>
      <c r="BYH40" s="37"/>
      <c r="BYI40" s="37"/>
      <c r="BYJ40" s="37"/>
      <c r="BYK40" s="37"/>
      <c r="BYL40" s="37"/>
      <c r="BYM40" s="37"/>
      <c r="BYN40" s="37"/>
      <c r="BYO40" s="37"/>
      <c r="BYP40" s="37"/>
      <c r="BYQ40" s="37"/>
      <c r="BYR40" s="37"/>
      <c r="BYS40" s="37"/>
      <c r="BYT40" s="37"/>
      <c r="BYU40" s="37"/>
      <c r="BYV40" s="37"/>
      <c r="BYW40" s="37"/>
      <c r="BYX40" s="37"/>
      <c r="BYY40" s="37"/>
      <c r="BYZ40" s="37"/>
      <c r="BZA40" s="37"/>
      <c r="BZB40" s="37"/>
      <c r="BZC40" s="37"/>
      <c r="BZD40" s="37"/>
      <c r="BZE40" s="37"/>
      <c r="BZF40" s="37"/>
      <c r="BZG40" s="37"/>
      <c r="BZH40" s="37"/>
      <c r="BZI40" s="37"/>
      <c r="BZJ40" s="37"/>
      <c r="BZK40" s="37"/>
      <c r="BZL40" s="37"/>
      <c r="BZM40" s="37"/>
      <c r="BZN40" s="37"/>
      <c r="BZO40" s="37"/>
      <c r="BZP40" s="37"/>
      <c r="BZQ40" s="37"/>
      <c r="BZR40" s="37"/>
      <c r="BZS40" s="37"/>
      <c r="BZT40" s="37"/>
      <c r="BZU40" s="37"/>
      <c r="BZV40" s="37"/>
      <c r="BZW40" s="37"/>
      <c r="BZX40" s="37"/>
      <c r="BZY40" s="37"/>
      <c r="BZZ40" s="37"/>
      <c r="CAA40" s="37"/>
      <c r="CAB40" s="37"/>
      <c r="CAC40" s="37"/>
      <c r="CAD40" s="37"/>
      <c r="CAE40" s="37"/>
      <c r="CAF40" s="37"/>
      <c r="CAG40" s="37"/>
      <c r="CAH40" s="37"/>
      <c r="CAI40" s="37"/>
      <c r="CAJ40" s="37"/>
      <c r="CAK40" s="37"/>
      <c r="CAL40" s="37"/>
      <c r="CAM40" s="37"/>
      <c r="CAN40" s="37"/>
      <c r="CAO40" s="37"/>
      <c r="CAP40" s="37"/>
      <c r="CAQ40" s="37"/>
      <c r="CAR40" s="37"/>
      <c r="CAS40" s="37"/>
      <c r="CAT40" s="37"/>
      <c r="CAU40" s="37"/>
      <c r="CAV40" s="37"/>
      <c r="CAW40" s="37"/>
      <c r="CAX40" s="37"/>
      <c r="CAY40" s="37"/>
      <c r="CAZ40" s="37"/>
      <c r="CBA40" s="37"/>
      <c r="CBB40" s="37"/>
      <c r="CBC40" s="37"/>
      <c r="CBD40" s="37"/>
      <c r="CBE40" s="37"/>
      <c r="CBF40" s="37"/>
      <c r="CBG40" s="37"/>
      <c r="CBH40" s="37"/>
      <c r="CBI40" s="37"/>
      <c r="CBJ40" s="37"/>
      <c r="CBK40" s="37"/>
      <c r="CBL40" s="37"/>
      <c r="CBM40" s="37"/>
      <c r="CBN40" s="37"/>
      <c r="CBO40" s="37"/>
      <c r="CBP40" s="37"/>
      <c r="CBQ40" s="37"/>
      <c r="CBR40" s="37"/>
      <c r="CBS40" s="37"/>
      <c r="CBT40" s="37"/>
      <c r="CBU40" s="37"/>
      <c r="CBV40" s="37"/>
      <c r="CBW40" s="37"/>
      <c r="CBX40" s="37"/>
      <c r="CBY40" s="37"/>
      <c r="CBZ40" s="37"/>
      <c r="CCA40" s="37"/>
      <c r="CCB40" s="37"/>
      <c r="CCC40" s="37"/>
      <c r="CCD40" s="37"/>
      <c r="CCE40" s="37"/>
      <c r="CCF40" s="37"/>
      <c r="CCG40" s="37"/>
      <c r="CCH40" s="37"/>
      <c r="CCI40" s="37"/>
      <c r="CCJ40" s="37"/>
      <c r="CCK40" s="37"/>
      <c r="CCL40" s="37"/>
      <c r="CCM40" s="37"/>
      <c r="CCN40" s="37"/>
      <c r="CCO40" s="37"/>
      <c r="CCP40" s="37"/>
      <c r="CCQ40" s="37"/>
      <c r="CCR40" s="37"/>
      <c r="CCS40" s="37"/>
      <c r="CCT40" s="37"/>
      <c r="CCU40" s="37"/>
      <c r="CCV40" s="37"/>
      <c r="CCW40" s="37"/>
      <c r="CCX40" s="37"/>
      <c r="CCY40" s="37"/>
      <c r="CCZ40" s="37"/>
      <c r="CDA40" s="37"/>
      <c r="CDB40" s="37"/>
      <c r="CDC40" s="37"/>
      <c r="CDD40" s="37"/>
      <c r="CDE40" s="37"/>
      <c r="CDF40" s="37"/>
      <c r="CDG40" s="37"/>
      <c r="CDH40" s="37"/>
      <c r="CDI40" s="37"/>
      <c r="CDJ40" s="37"/>
      <c r="CDK40" s="37"/>
      <c r="CDL40" s="37"/>
      <c r="CDM40" s="37"/>
      <c r="CDN40" s="37"/>
      <c r="CDO40" s="37"/>
      <c r="CDP40" s="37"/>
      <c r="CDQ40" s="37"/>
      <c r="CDR40" s="37"/>
      <c r="CDS40" s="37"/>
      <c r="CDT40" s="37"/>
      <c r="CDU40" s="37"/>
      <c r="CDV40" s="37"/>
      <c r="CDW40" s="37"/>
      <c r="CDX40" s="37"/>
      <c r="CDY40" s="37"/>
      <c r="CDZ40" s="37"/>
      <c r="CEA40" s="37"/>
      <c r="CEB40" s="37"/>
      <c r="CEC40" s="37"/>
      <c r="CED40" s="37"/>
      <c r="CEE40" s="37"/>
      <c r="CEF40" s="37"/>
      <c r="CEG40" s="37"/>
      <c r="CEH40" s="37"/>
      <c r="CEI40" s="37"/>
      <c r="CEJ40" s="37"/>
      <c r="CEK40" s="37"/>
      <c r="CEL40" s="37"/>
      <c r="CEM40" s="37"/>
      <c r="CEN40" s="37"/>
      <c r="CEO40" s="37"/>
      <c r="CEP40" s="37"/>
      <c r="CEQ40" s="37"/>
      <c r="CER40" s="37"/>
      <c r="CES40" s="37"/>
      <c r="CET40" s="37"/>
      <c r="CEU40" s="37"/>
      <c r="CEV40" s="37"/>
      <c r="CEW40" s="37"/>
      <c r="CEX40" s="37"/>
      <c r="CEY40" s="37"/>
      <c r="CEZ40" s="37"/>
      <c r="CFA40" s="37"/>
      <c r="CFB40" s="37"/>
      <c r="CFC40" s="37"/>
      <c r="CFD40" s="37"/>
      <c r="CFE40" s="37"/>
      <c r="CFF40" s="37"/>
      <c r="CFG40" s="37"/>
      <c r="CFH40" s="37"/>
      <c r="CFI40" s="37"/>
      <c r="CFJ40" s="37"/>
      <c r="CFK40" s="37"/>
      <c r="CFL40" s="37"/>
      <c r="CFM40" s="37"/>
      <c r="CFN40" s="37"/>
      <c r="CFO40" s="37"/>
      <c r="CFP40" s="37"/>
      <c r="CFQ40" s="37"/>
      <c r="CFR40" s="37"/>
      <c r="CFS40" s="37"/>
      <c r="CFT40" s="37"/>
      <c r="CFU40" s="37"/>
      <c r="CFV40" s="37"/>
      <c r="CFW40" s="37"/>
      <c r="CFX40" s="37"/>
      <c r="CFY40" s="37"/>
      <c r="CFZ40" s="37"/>
      <c r="CGA40" s="37"/>
      <c r="CGB40" s="37"/>
      <c r="CGC40" s="37"/>
      <c r="CGD40" s="37"/>
      <c r="CGE40" s="37"/>
      <c r="CGF40" s="37"/>
      <c r="CGG40" s="37"/>
      <c r="CGH40" s="37"/>
      <c r="CGI40" s="37"/>
      <c r="CGJ40" s="37"/>
      <c r="CGK40" s="37"/>
      <c r="CGL40" s="37"/>
      <c r="CGM40" s="37"/>
      <c r="CGN40" s="37"/>
      <c r="CGO40" s="37"/>
      <c r="CGP40" s="37"/>
      <c r="CGQ40" s="37"/>
      <c r="CGR40" s="37"/>
      <c r="CGS40" s="37"/>
      <c r="CGT40" s="37"/>
      <c r="CGU40" s="37"/>
      <c r="CGV40" s="37"/>
      <c r="CGW40" s="37"/>
      <c r="CGX40" s="37"/>
      <c r="CGY40" s="37"/>
      <c r="CGZ40" s="37"/>
      <c r="CHA40" s="37"/>
      <c r="CHB40" s="37"/>
      <c r="CHC40" s="37"/>
      <c r="CHD40" s="37"/>
      <c r="CHE40" s="37"/>
      <c r="CHF40" s="37"/>
      <c r="CHG40" s="37"/>
      <c r="CHH40" s="37"/>
      <c r="CHI40" s="37"/>
      <c r="CHJ40" s="37"/>
      <c r="CHK40" s="37"/>
      <c r="CHL40" s="37"/>
      <c r="CHM40" s="37"/>
      <c r="CHN40" s="37"/>
      <c r="CHO40" s="37"/>
      <c r="CHP40" s="37"/>
      <c r="CHQ40" s="37"/>
      <c r="CHR40" s="37"/>
      <c r="CHS40" s="37"/>
      <c r="CHT40" s="37"/>
      <c r="CHU40" s="37"/>
      <c r="CHV40" s="37"/>
      <c r="CHW40" s="37"/>
      <c r="CHX40" s="37"/>
      <c r="CHY40" s="37"/>
      <c r="CHZ40" s="37"/>
      <c r="CIA40" s="37"/>
      <c r="CIB40" s="37"/>
      <c r="CIC40" s="37"/>
      <c r="CID40" s="37"/>
      <c r="CIE40" s="37"/>
      <c r="CIF40" s="37"/>
      <c r="CIG40" s="37"/>
      <c r="CIH40" s="37"/>
      <c r="CII40" s="37"/>
      <c r="CIJ40" s="37"/>
      <c r="CIK40" s="37"/>
      <c r="CIL40" s="37"/>
      <c r="CIM40" s="37"/>
      <c r="CIN40" s="37"/>
      <c r="CIO40" s="37"/>
      <c r="CIP40" s="37"/>
      <c r="CIQ40" s="37"/>
      <c r="CIR40" s="37"/>
      <c r="CIS40" s="37"/>
      <c r="CIT40" s="37"/>
      <c r="CIU40" s="37"/>
      <c r="CIV40" s="37"/>
      <c r="CIW40" s="37"/>
      <c r="CIX40" s="37"/>
      <c r="CIY40" s="37"/>
      <c r="CIZ40" s="37"/>
      <c r="CJA40" s="37"/>
      <c r="CJB40" s="37"/>
      <c r="CJC40" s="37"/>
      <c r="CJD40" s="37"/>
      <c r="CJE40" s="37"/>
      <c r="CJF40" s="37"/>
      <c r="CJG40" s="37"/>
      <c r="CJH40" s="37"/>
      <c r="CJI40" s="37"/>
      <c r="CJJ40" s="37"/>
      <c r="CJK40" s="37"/>
      <c r="CJL40" s="37"/>
      <c r="CJM40" s="37"/>
      <c r="CJN40" s="37"/>
      <c r="CJO40" s="37"/>
      <c r="CJP40" s="37"/>
      <c r="CJQ40" s="37"/>
      <c r="CJR40" s="37"/>
      <c r="CJS40" s="37"/>
      <c r="CJT40" s="37"/>
      <c r="CJU40" s="37"/>
      <c r="CJV40" s="37"/>
      <c r="CJW40" s="37"/>
      <c r="CJX40" s="37"/>
      <c r="CJY40" s="37"/>
      <c r="CJZ40" s="37"/>
      <c r="CKA40" s="37"/>
      <c r="CKB40" s="37"/>
      <c r="CKC40" s="37"/>
      <c r="CKD40" s="37"/>
      <c r="CKE40" s="37"/>
      <c r="CKF40" s="37"/>
      <c r="CKG40" s="37"/>
      <c r="CKH40" s="37"/>
      <c r="CKI40" s="37"/>
      <c r="CKJ40" s="37"/>
      <c r="CKK40" s="37"/>
      <c r="CKL40" s="37"/>
      <c r="CKM40" s="37"/>
      <c r="CKN40" s="37"/>
      <c r="CKO40" s="37"/>
      <c r="CKP40" s="37"/>
      <c r="CKQ40" s="37"/>
      <c r="CKR40" s="37"/>
      <c r="CKS40" s="37"/>
      <c r="CKT40" s="37"/>
      <c r="CKU40" s="37"/>
      <c r="CKV40" s="37"/>
      <c r="CKW40" s="37"/>
      <c r="CKX40" s="37"/>
      <c r="CKY40" s="37"/>
      <c r="CKZ40" s="37"/>
      <c r="CLA40" s="37"/>
      <c r="CLB40" s="37"/>
      <c r="CLC40" s="37"/>
      <c r="CLD40" s="37"/>
      <c r="CLE40" s="37"/>
      <c r="CLF40" s="37"/>
      <c r="CLG40" s="37"/>
      <c r="CLH40" s="37"/>
      <c r="CLI40" s="37"/>
      <c r="CLJ40" s="37"/>
      <c r="CLK40" s="37"/>
      <c r="CLL40" s="37"/>
      <c r="CLM40" s="37"/>
      <c r="CLN40" s="37"/>
      <c r="CLO40" s="37"/>
      <c r="CLP40" s="37"/>
      <c r="CLQ40" s="37"/>
      <c r="CLR40" s="37"/>
      <c r="CLS40" s="37"/>
      <c r="CLT40" s="37"/>
      <c r="CLU40" s="37"/>
      <c r="CLV40" s="37"/>
      <c r="CLW40" s="37"/>
      <c r="CLX40" s="37"/>
      <c r="CLY40" s="37"/>
      <c r="CLZ40" s="37"/>
      <c r="CMA40" s="37"/>
      <c r="CMB40" s="37"/>
      <c r="CMC40" s="37"/>
      <c r="CMD40" s="37"/>
      <c r="CME40" s="37"/>
      <c r="CMF40" s="37"/>
      <c r="CMG40" s="37"/>
      <c r="CMH40" s="37"/>
      <c r="CMI40" s="37"/>
      <c r="CMJ40" s="37"/>
      <c r="CMK40" s="37"/>
      <c r="CML40" s="37"/>
      <c r="CMM40" s="37"/>
      <c r="CMN40" s="37"/>
      <c r="CMO40" s="37"/>
      <c r="CMP40" s="37"/>
      <c r="CMQ40" s="37"/>
      <c r="CMR40" s="37"/>
      <c r="CMS40" s="37"/>
      <c r="CMT40" s="37"/>
      <c r="CMU40" s="37"/>
      <c r="CMV40" s="37"/>
      <c r="CMW40" s="37"/>
      <c r="CMX40" s="37"/>
      <c r="CMY40" s="37"/>
      <c r="CMZ40" s="37"/>
      <c r="CNA40" s="37"/>
      <c r="CNB40" s="37"/>
      <c r="CNC40" s="37"/>
      <c r="CND40" s="37"/>
      <c r="CNE40" s="37"/>
      <c r="CNF40" s="37"/>
      <c r="CNG40" s="37"/>
      <c r="CNH40" s="37"/>
      <c r="CNI40" s="37"/>
      <c r="CNJ40" s="37"/>
      <c r="CNK40" s="37"/>
      <c r="CNL40" s="37"/>
      <c r="CNM40" s="37"/>
      <c r="CNN40" s="37"/>
      <c r="CNO40" s="37"/>
      <c r="CNP40" s="37"/>
      <c r="CNQ40" s="37"/>
      <c r="CNR40" s="37"/>
      <c r="CNS40" s="37"/>
      <c r="CNT40" s="37"/>
      <c r="CNU40" s="37"/>
      <c r="CNV40" s="37"/>
      <c r="CNW40" s="37"/>
      <c r="CNX40" s="37"/>
      <c r="CNY40" s="37"/>
      <c r="CNZ40" s="37"/>
      <c r="COA40" s="37"/>
      <c r="COB40" s="37"/>
      <c r="COC40" s="37"/>
      <c r="COD40" s="37"/>
      <c r="COE40" s="37"/>
      <c r="COF40" s="37"/>
      <c r="COG40" s="37"/>
      <c r="COH40" s="37"/>
      <c r="COI40" s="37"/>
      <c r="COJ40" s="37"/>
      <c r="COK40" s="37"/>
      <c r="COL40" s="37"/>
      <c r="COM40" s="37"/>
      <c r="CON40" s="37"/>
      <c r="COO40" s="37"/>
      <c r="COP40" s="37"/>
      <c r="COQ40" s="37"/>
      <c r="COR40" s="37"/>
      <c r="COS40" s="37"/>
      <c r="COT40" s="37"/>
      <c r="COU40" s="37"/>
      <c r="COV40" s="37"/>
      <c r="COW40" s="37"/>
      <c r="COX40" s="37"/>
      <c r="COY40" s="37"/>
      <c r="COZ40" s="37"/>
      <c r="CPA40" s="37"/>
      <c r="CPB40" s="37"/>
      <c r="CPC40" s="37"/>
      <c r="CPD40" s="37"/>
      <c r="CPE40" s="37"/>
      <c r="CPF40" s="37"/>
      <c r="CPG40" s="37"/>
      <c r="CPH40" s="37"/>
      <c r="CPI40" s="37"/>
      <c r="CPJ40" s="37"/>
      <c r="CPK40" s="37"/>
      <c r="CPL40" s="37"/>
      <c r="CPM40" s="37"/>
      <c r="CPN40" s="37"/>
      <c r="CPO40" s="37"/>
      <c r="CPP40" s="37"/>
      <c r="CPQ40" s="37"/>
      <c r="CPR40" s="37"/>
      <c r="CPS40" s="37"/>
      <c r="CPT40" s="37"/>
      <c r="CPU40" s="37"/>
      <c r="CPV40" s="37"/>
      <c r="CPW40" s="37"/>
      <c r="CPX40" s="37"/>
      <c r="CPY40" s="37"/>
      <c r="CPZ40" s="37"/>
      <c r="CQA40" s="37"/>
      <c r="CQB40" s="37"/>
      <c r="CQC40" s="37"/>
      <c r="CQD40" s="37"/>
      <c r="CQE40" s="37"/>
      <c r="CQF40" s="37"/>
      <c r="CQG40" s="37"/>
      <c r="CQH40" s="37"/>
      <c r="CQI40" s="37"/>
      <c r="CQJ40" s="37"/>
      <c r="CQK40" s="37"/>
      <c r="CQL40" s="37"/>
      <c r="CQM40" s="37"/>
      <c r="CQN40" s="37"/>
      <c r="CQO40" s="37"/>
      <c r="CQP40" s="37"/>
      <c r="CQQ40" s="37"/>
      <c r="CQR40" s="37"/>
      <c r="CQS40" s="37"/>
      <c r="CQT40" s="37"/>
      <c r="CQU40" s="37"/>
      <c r="CQV40" s="37"/>
      <c r="CQW40" s="37"/>
      <c r="CQX40" s="37"/>
      <c r="CQY40" s="37"/>
      <c r="CQZ40" s="37"/>
      <c r="CRA40" s="37"/>
      <c r="CRB40" s="37"/>
      <c r="CRC40" s="37"/>
      <c r="CRD40" s="37"/>
      <c r="CRE40" s="37"/>
      <c r="CRF40" s="37"/>
      <c r="CRG40" s="37"/>
      <c r="CRH40" s="37"/>
      <c r="CRI40" s="37"/>
      <c r="CRJ40" s="37"/>
      <c r="CRK40" s="37"/>
      <c r="CRL40" s="37"/>
      <c r="CRM40" s="37"/>
      <c r="CRN40" s="37"/>
      <c r="CRO40" s="37"/>
      <c r="CRP40" s="37"/>
      <c r="CRQ40" s="37"/>
      <c r="CRR40" s="37"/>
      <c r="CRS40" s="37"/>
      <c r="CRT40" s="37"/>
      <c r="CRU40" s="37"/>
      <c r="CRV40" s="37"/>
      <c r="CRW40" s="37"/>
      <c r="CRX40" s="37"/>
      <c r="CRY40" s="37"/>
      <c r="CRZ40" s="37"/>
      <c r="CSA40" s="37"/>
      <c r="CSB40" s="37"/>
      <c r="CSC40" s="37"/>
      <c r="CSD40" s="37"/>
      <c r="CSE40" s="37"/>
      <c r="CSF40" s="37"/>
      <c r="CSG40" s="37"/>
      <c r="CSH40" s="37"/>
      <c r="CSI40" s="37"/>
      <c r="CSJ40" s="37"/>
      <c r="CSK40" s="37"/>
      <c r="CSL40" s="37"/>
      <c r="CSM40" s="37"/>
      <c r="CSN40" s="37"/>
      <c r="CSO40" s="37"/>
      <c r="CSP40" s="37"/>
      <c r="CSQ40" s="37"/>
      <c r="CSR40" s="37"/>
      <c r="CSS40" s="37"/>
      <c r="CST40" s="37"/>
      <c r="CSU40" s="37"/>
      <c r="CSV40" s="37"/>
      <c r="CSW40" s="37"/>
      <c r="CSX40" s="37"/>
      <c r="CSY40" s="37"/>
      <c r="CSZ40" s="37"/>
      <c r="CTA40" s="37"/>
      <c r="CTB40" s="37"/>
      <c r="CTC40" s="37"/>
      <c r="CTD40" s="37"/>
      <c r="CTE40" s="37"/>
      <c r="CTF40" s="37"/>
      <c r="CTG40" s="37"/>
      <c r="CTH40" s="37"/>
      <c r="CTI40" s="37"/>
      <c r="CTJ40" s="37"/>
      <c r="CTK40" s="37"/>
      <c r="CTL40" s="37"/>
      <c r="CTM40" s="37"/>
      <c r="CTN40" s="37"/>
      <c r="CTO40" s="37"/>
      <c r="CTP40" s="37"/>
      <c r="CTQ40" s="37"/>
      <c r="CTR40" s="37"/>
      <c r="CTS40" s="37"/>
      <c r="CTT40" s="37"/>
      <c r="CTU40" s="37"/>
      <c r="CTV40" s="37"/>
      <c r="CTW40" s="37"/>
      <c r="CTX40" s="37"/>
      <c r="CTY40" s="37"/>
      <c r="CTZ40" s="37"/>
      <c r="CUA40" s="37"/>
      <c r="CUB40" s="37"/>
      <c r="CUC40" s="37"/>
      <c r="CUD40" s="37"/>
      <c r="CUE40" s="37"/>
      <c r="CUF40" s="37"/>
      <c r="CUG40" s="37"/>
      <c r="CUH40" s="37"/>
      <c r="CUI40" s="37"/>
      <c r="CUJ40" s="37"/>
      <c r="CUK40" s="37"/>
      <c r="CUL40" s="37"/>
      <c r="CUM40" s="37"/>
      <c r="CUN40" s="37"/>
      <c r="CUO40" s="37"/>
      <c r="CUP40" s="37"/>
      <c r="CUQ40" s="37"/>
      <c r="CUR40" s="37"/>
      <c r="CUS40" s="37"/>
      <c r="CUT40" s="37"/>
      <c r="CUU40" s="37"/>
      <c r="CUV40" s="37"/>
      <c r="CUW40" s="37"/>
      <c r="CUX40" s="37"/>
      <c r="CUY40" s="37"/>
      <c r="CUZ40" s="37"/>
      <c r="CVA40" s="37"/>
      <c r="CVB40" s="37"/>
      <c r="CVC40" s="37"/>
      <c r="CVD40" s="37"/>
      <c r="CVE40" s="37"/>
      <c r="CVF40" s="37"/>
      <c r="CVG40" s="37"/>
      <c r="CVH40" s="37"/>
      <c r="CVI40" s="37"/>
      <c r="CVJ40" s="37"/>
      <c r="CVK40" s="37"/>
      <c r="CVL40" s="37"/>
      <c r="CVM40" s="37"/>
      <c r="CVN40" s="37"/>
      <c r="CVO40" s="37"/>
      <c r="CVP40" s="37"/>
      <c r="CVQ40" s="37"/>
      <c r="CVR40" s="37"/>
      <c r="CVS40" s="37"/>
      <c r="CVT40" s="37"/>
      <c r="CVU40" s="37"/>
      <c r="CVV40" s="37"/>
      <c r="CVW40" s="37"/>
      <c r="CVX40" s="37"/>
      <c r="CVY40" s="37"/>
      <c r="CVZ40" s="37"/>
      <c r="CWA40" s="37"/>
      <c r="CWB40" s="37"/>
      <c r="CWC40" s="37"/>
      <c r="CWD40" s="37"/>
      <c r="CWE40" s="37"/>
      <c r="CWF40" s="37"/>
      <c r="CWG40" s="37"/>
      <c r="CWH40" s="37"/>
      <c r="CWI40" s="37"/>
      <c r="CWJ40" s="37"/>
      <c r="CWK40" s="37"/>
      <c r="CWL40" s="37"/>
      <c r="CWM40" s="37"/>
      <c r="CWN40" s="37"/>
      <c r="CWO40" s="37"/>
      <c r="CWP40" s="37"/>
      <c r="CWQ40" s="37"/>
      <c r="CWR40" s="37"/>
      <c r="CWS40" s="37"/>
      <c r="CWT40" s="37"/>
      <c r="CWU40" s="37"/>
      <c r="CWV40" s="37"/>
      <c r="CWW40" s="37"/>
      <c r="CWX40" s="37"/>
      <c r="CWY40" s="37"/>
      <c r="CWZ40" s="37"/>
      <c r="CXA40" s="37"/>
      <c r="CXB40" s="37"/>
      <c r="CXC40" s="37"/>
      <c r="CXD40" s="37"/>
      <c r="CXE40" s="37"/>
      <c r="CXF40" s="37"/>
      <c r="CXG40" s="37"/>
      <c r="CXH40" s="37"/>
      <c r="CXI40" s="37"/>
      <c r="CXJ40" s="37"/>
      <c r="CXK40" s="37"/>
      <c r="CXL40" s="37"/>
      <c r="CXM40" s="37"/>
      <c r="CXN40" s="37"/>
      <c r="CXO40" s="37"/>
      <c r="CXP40" s="37"/>
      <c r="CXQ40" s="37"/>
      <c r="CXR40" s="37"/>
      <c r="CXS40" s="37"/>
      <c r="CXT40" s="37"/>
      <c r="CXU40" s="37"/>
      <c r="CXV40" s="37"/>
      <c r="CXW40" s="37"/>
      <c r="CXX40" s="37"/>
      <c r="CXY40" s="37"/>
      <c r="CXZ40" s="37"/>
      <c r="CYA40" s="37"/>
      <c r="CYB40" s="37"/>
      <c r="CYC40" s="37"/>
      <c r="CYD40" s="37"/>
      <c r="CYE40" s="37"/>
      <c r="CYF40" s="37"/>
      <c r="CYG40" s="37"/>
      <c r="CYH40" s="37"/>
      <c r="CYI40" s="37"/>
      <c r="CYJ40" s="37"/>
      <c r="CYK40" s="37"/>
      <c r="CYL40" s="37"/>
      <c r="CYM40" s="37"/>
      <c r="CYN40" s="37"/>
      <c r="CYO40" s="37"/>
      <c r="CYP40" s="37"/>
      <c r="CYQ40" s="37"/>
      <c r="CYR40" s="37"/>
      <c r="CYS40" s="37"/>
      <c r="CYT40" s="37"/>
      <c r="CYU40" s="37"/>
      <c r="CYV40" s="37"/>
      <c r="CYW40" s="37"/>
      <c r="CYX40" s="37"/>
      <c r="CYY40" s="37"/>
      <c r="CYZ40" s="37"/>
      <c r="CZA40" s="37"/>
      <c r="CZB40" s="37"/>
      <c r="CZC40" s="37"/>
      <c r="CZD40" s="37"/>
      <c r="CZE40" s="37"/>
      <c r="CZF40" s="37"/>
      <c r="CZG40" s="37"/>
      <c r="CZH40" s="37"/>
      <c r="CZI40" s="37"/>
      <c r="CZJ40" s="37"/>
      <c r="CZK40" s="37"/>
      <c r="CZL40" s="37"/>
      <c r="CZM40" s="37"/>
      <c r="CZN40" s="37"/>
      <c r="CZO40" s="37"/>
      <c r="CZP40" s="37"/>
      <c r="CZQ40" s="37"/>
      <c r="CZR40" s="37"/>
      <c r="CZS40" s="37"/>
      <c r="CZT40" s="37"/>
      <c r="CZU40" s="37"/>
      <c r="CZV40" s="37"/>
      <c r="CZW40" s="37"/>
      <c r="CZX40" s="37"/>
      <c r="CZY40" s="37"/>
      <c r="CZZ40" s="37"/>
      <c r="DAA40" s="37"/>
      <c r="DAB40" s="37"/>
      <c r="DAC40" s="37"/>
      <c r="DAD40" s="37"/>
      <c r="DAE40" s="37"/>
      <c r="DAF40" s="37"/>
      <c r="DAG40" s="37"/>
      <c r="DAH40" s="37"/>
      <c r="DAI40" s="37"/>
      <c r="DAJ40" s="37"/>
      <c r="DAK40" s="37"/>
      <c r="DAL40" s="37"/>
      <c r="DAM40" s="37"/>
      <c r="DAN40" s="37"/>
      <c r="DAO40" s="37"/>
      <c r="DAP40" s="37"/>
      <c r="DAQ40" s="37"/>
      <c r="DAR40" s="37"/>
      <c r="DAS40" s="37"/>
      <c r="DAT40" s="37"/>
      <c r="DAU40" s="37"/>
      <c r="DAV40" s="37"/>
      <c r="DAW40" s="37"/>
      <c r="DAX40" s="37"/>
      <c r="DAY40" s="37"/>
      <c r="DAZ40" s="37"/>
      <c r="DBA40" s="37"/>
      <c r="DBB40" s="37"/>
      <c r="DBC40" s="37"/>
      <c r="DBD40" s="37"/>
      <c r="DBE40" s="37"/>
      <c r="DBF40" s="37"/>
      <c r="DBG40" s="37"/>
      <c r="DBH40" s="37"/>
      <c r="DBI40" s="37"/>
      <c r="DBJ40" s="37"/>
      <c r="DBK40" s="37"/>
      <c r="DBL40" s="37"/>
      <c r="DBM40" s="37"/>
      <c r="DBN40" s="37"/>
      <c r="DBO40" s="37"/>
      <c r="DBP40" s="37"/>
      <c r="DBQ40" s="37"/>
      <c r="DBR40" s="37"/>
      <c r="DBS40" s="37"/>
      <c r="DBT40" s="37"/>
      <c r="DBU40" s="37"/>
      <c r="DBV40" s="37"/>
      <c r="DBW40" s="37"/>
      <c r="DBX40" s="37"/>
      <c r="DBY40" s="37"/>
      <c r="DBZ40" s="37"/>
      <c r="DCA40" s="37"/>
      <c r="DCB40" s="37"/>
      <c r="DCC40" s="37"/>
      <c r="DCD40" s="37"/>
      <c r="DCE40" s="37"/>
      <c r="DCF40" s="37"/>
      <c r="DCG40" s="37"/>
      <c r="DCH40" s="37"/>
      <c r="DCI40" s="37"/>
      <c r="DCJ40" s="37"/>
      <c r="DCK40" s="37"/>
      <c r="DCL40" s="37"/>
      <c r="DCM40" s="37"/>
      <c r="DCN40" s="37"/>
      <c r="DCO40" s="37"/>
      <c r="DCP40" s="37"/>
      <c r="DCQ40" s="37"/>
      <c r="DCR40" s="37"/>
      <c r="DCS40" s="37"/>
      <c r="DCT40" s="37"/>
      <c r="DCU40" s="37"/>
      <c r="DCV40" s="37"/>
      <c r="DCW40" s="37"/>
      <c r="DCX40" s="37"/>
      <c r="DCY40" s="37"/>
      <c r="DCZ40" s="37"/>
      <c r="DDA40" s="37"/>
      <c r="DDB40" s="37"/>
      <c r="DDC40" s="37"/>
      <c r="DDD40" s="37"/>
      <c r="DDE40" s="37"/>
      <c r="DDF40" s="37"/>
      <c r="DDG40" s="37"/>
      <c r="DDH40" s="37"/>
      <c r="DDI40" s="37"/>
      <c r="DDJ40" s="37"/>
      <c r="DDK40" s="37"/>
      <c r="DDL40" s="37"/>
      <c r="DDM40" s="37"/>
      <c r="DDN40" s="37"/>
      <c r="DDO40" s="37"/>
      <c r="DDP40" s="37"/>
      <c r="DDQ40" s="37"/>
      <c r="DDR40" s="37"/>
      <c r="DDS40" s="37"/>
      <c r="DDT40" s="37"/>
      <c r="DDU40" s="37"/>
      <c r="DDV40" s="37"/>
      <c r="DDW40" s="37"/>
      <c r="DDX40" s="37"/>
      <c r="DDY40" s="37"/>
      <c r="DDZ40" s="37"/>
      <c r="DEA40" s="37"/>
      <c r="DEB40" s="37"/>
      <c r="DEC40" s="37"/>
      <c r="DED40" s="37"/>
      <c r="DEE40" s="37"/>
      <c r="DEF40" s="37"/>
      <c r="DEG40" s="37"/>
      <c r="DEH40" s="37"/>
      <c r="DEI40" s="37"/>
      <c r="DEJ40" s="37"/>
      <c r="DEK40" s="37"/>
      <c r="DEL40" s="37"/>
      <c r="DEM40" s="37"/>
      <c r="DEN40" s="37"/>
      <c r="DEO40" s="37"/>
      <c r="DEP40" s="37"/>
      <c r="DEQ40" s="37"/>
      <c r="DER40" s="37"/>
      <c r="DES40" s="37"/>
      <c r="DET40" s="37"/>
      <c r="DEU40" s="37"/>
      <c r="DEV40" s="37"/>
      <c r="DEW40" s="37"/>
      <c r="DEX40" s="37"/>
      <c r="DEY40" s="37"/>
      <c r="DEZ40" s="37"/>
      <c r="DFA40" s="37"/>
      <c r="DFB40" s="37"/>
      <c r="DFC40" s="37"/>
      <c r="DFD40" s="37"/>
      <c r="DFE40" s="37"/>
      <c r="DFF40" s="37"/>
      <c r="DFG40" s="37"/>
      <c r="DFH40" s="37"/>
      <c r="DFI40" s="37"/>
      <c r="DFJ40" s="37"/>
      <c r="DFK40" s="37"/>
      <c r="DFL40" s="37"/>
      <c r="DFM40" s="37"/>
      <c r="DFN40" s="37"/>
      <c r="DFO40" s="37"/>
      <c r="DFP40" s="37"/>
      <c r="DFQ40" s="37"/>
      <c r="DFR40" s="37"/>
      <c r="DFS40" s="37"/>
      <c r="DFT40" s="37"/>
      <c r="DFU40" s="37"/>
      <c r="DFV40" s="37"/>
      <c r="DFW40" s="37"/>
      <c r="DFX40" s="37"/>
      <c r="DFY40" s="37"/>
      <c r="DFZ40" s="37"/>
      <c r="DGA40" s="37"/>
      <c r="DGB40" s="37"/>
      <c r="DGC40" s="37"/>
      <c r="DGD40" s="37"/>
      <c r="DGE40" s="37"/>
      <c r="DGF40" s="37"/>
      <c r="DGG40" s="37"/>
      <c r="DGH40" s="37"/>
      <c r="DGI40" s="37"/>
      <c r="DGJ40" s="37"/>
      <c r="DGK40" s="37"/>
      <c r="DGL40" s="37"/>
      <c r="DGM40" s="37"/>
      <c r="DGN40" s="37"/>
      <c r="DGO40" s="37"/>
      <c r="DGP40" s="37"/>
      <c r="DGQ40" s="37"/>
      <c r="DGR40" s="37"/>
      <c r="DGS40" s="37"/>
      <c r="DGT40" s="37"/>
      <c r="DGU40" s="37"/>
      <c r="DGV40" s="37"/>
      <c r="DGW40" s="37"/>
      <c r="DGX40" s="37"/>
      <c r="DGY40" s="37"/>
      <c r="DGZ40" s="37"/>
      <c r="DHA40" s="37"/>
      <c r="DHB40" s="37"/>
      <c r="DHC40" s="37"/>
      <c r="DHD40" s="37"/>
      <c r="DHE40" s="37"/>
      <c r="DHF40" s="37"/>
      <c r="DHG40" s="37"/>
      <c r="DHH40" s="37"/>
      <c r="DHI40" s="37"/>
      <c r="DHJ40" s="37"/>
      <c r="DHK40" s="37"/>
      <c r="DHL40" s="37"/>
      <c r="DHM40" s="37"/>
      <c r="DHN40" s="37"/>
      <c r="DHO40" s="37"/>
      <c r="DHP40" s="37"/>
      <c r="DHQ40" s="37"/>
      <c r="DHR40" s="37"/>
      <c r="DHS40" s="37"/>
      <c r="DHT40" s="37"/>
      <c r="DHU40" s="37"/>
      <c r="DHV40" s="37"/>
      <c r="DHW40" s="37"/>
      <c r="DHX40" s="37"/>
      <c r="DHY40" s="37"/>
      <c r="DHZ40" s="37"/>
      <c r="DIA40" s="37"/>
      <c r="DIB40" s="37"/>
      <c r="DIC40" s="37"/>
      <c r="DID40" s="37"/>
      <c r="DIE40" s="37"/>
      <c r="DIF40" s="37"/>
      <c r="DIG40" s="37"/>
      <c r="DIH40" s="37"/>
      <c r="DII40" s="37"/>
      <c r="DIJ40" s="37"/>
      <c r="DIK40" s="37"/>
      <c r="DIL40" s="37"/>
      <c r="DIM40" s="37"/>
      <c r="DIN40" s="37"/>
      <c r="DIO40" s="37"/>
      <c r="DIP40" s="37"/>
      <c r="DIQ40" s="37"/>
      <c r="DIR40" s="37"/>
      <c r="DIS40" s="37"/>
      <c r="DIT40" s="37"/>
      <c r="DIU40" s="37"/>
      <c r="DIV40" s="37"/>
      <c r="DIW40" s="37"/>
      <c r="DIX40" s="37"/>
      <c r="DIY40" s="37"/>
      <c r="DIZ40" s="37"/>
      <c r="DJA40" s="37"/>
      <c r="DJB40" s="37"/>
      <c r="DJC40" s="37"/>
      <c r="DJD40" s="37"/>
      <c r="DJE40" s="37"/>
      <c r="DJF40" s="37"/>
      <c r="DJG40" s="37"/>
      <c r="DJH40" s="37"/>
      <c r="DJI40" s="37"/>
      <c r="DJJ40" s="37"/>
      <c r="DJK40" s="37"/>
      <c r="DJL40" s="37"/>
      <c r="DJM40" s="37"/>
      <c r="DJN40" s="37"/>
      <c r="DJO40" s="37"/>
      <c r="DJP40" s="37"/>
      <c r="DJQ40" s="37"/>
      <c r="DJR40" s="37"/>
      <c r="DJS40" s="37"/>
      <c r="DJT40" s="37"/>
      <c r="DJU40" s="37"/>
      <c r="DJV40" s="37"/>
      <c r="DJW40" s="37"/>
      <c r="DJX40" s="37"/>
      <c r="DJY40" s="37"/>
      <c r="DJZ40" s="37"/>
      <c r="DKA40" s="37"/>
      <c r="DKB40" s="37"/>
      <c r="DKC40" s="37"/>
      <c r="DKD40" s="37"/>
      <c r="DKE40" s="37"/>
      <c r="DKF40" s="37"/>
      <c r="DKG40" s="37"/>
      <c r="DKH40" s="37"/>
      <c r="DKI40" s="37"/>
      <c r="DKJ40" s="37"/>
      <c r="DKK40" s="37"/>
      <c r="DKL40" s="37"/>
      <c r="DKM40" s="37"/>
      <c r="DKN40" s="37"/>
      <c r="DKO40" s="37"/>
      <c r="DKP40" s="37"/>
      <c r="DKQ40" s="37"/>
      <c r="DKR40" s="37"/>
      <c r="DKS40" s="37"/>
      <c r="DKT40" s="37"/>
      <c r="DKU40" s="37"/>
      <c r="DKV40" s="37"/>
      <c r="DKW40" s="37"/>
      <c r="DKX40" s="37"/>
      <c r="DKY40" s="37"/>
      <c r="DKZ40" s="37"/>
      <c r="DLA40" s="37"/>
      <c r="DLB40" s="37"/>
      <c r="DLC40" s="37"/>
      <c r="DLD40" s="37"/>
      <c r="DLE40" s="37"/>
      <c r="DLF40" s="37"/>
      <c r="DLG40" s="37"/>
      <c r="DLH40" s="37"/>
      <c r="DLI40" s="37"/>
      <c r="DLJ40" s="37"/>
      <c r="DLK40" s="37"/>
      <c r="DLL40" s="37"/>
      <c r="DLM40" s="37"/>
      <c r="DLN40" s="37"/>
      <c r="DLO40" s="37"/>
      <c r="DLP40" s="37"/>
      <c r="DLQ40" s="37"/>
      <c r="DLR40" s="37"/>
      <c r="DLS40" s="37"/>
      <c r="DLT40" s="37"/>
      <c r="DLU40" s="37"/>
      <c r="DLV40" s="37"/>
      <c r="DLW40" s="37"/>
      <c r="DLX40" s="37"/>
      <c r="DLY40" s="37"/>
      <c r="DLZ40" s="37"/>
      <c r="DMA40" s="37"/>
      <c r="DMB40" s="37"/>
      <c r="DMC40" s="37"/>
      <c r="DMD40" s="37"/>
      <c r="DME40" s="37"/>
      <c r="DMF40" s="37"/>
      <c r="DMG40" s="37"/>
      <c r="DMH40" s="37"/>
      <c r="DMI40" s="37"/>
      <c r="DMJ40" s="37"/>
      <c r="DMK40" s="37"/>
      <c r="DML40" s="37"/>
      <c r="DMM40" s="37"/>
      <c r="DMN40" s="37"/>
      <c r="DMO40" s="37"/>
      <c r="DMP40" s="37"/>
      <c r="DMQ40" s="37"/>
      <c r="DMR40" s="37"/>
      <c r="DMS40" s="37"/>
      <c r="DMT40" s="37"/>
      <c r="DMU40" s="37"/>
      <c r="DMV40" s="37"/>
      <c r="DMW40" s="37"/>
      <c r="DMX40" s="37"/>
      <c r="DMY40" s="37"/>
      <c r="DMZ40" s="37"/>
      <c r="DNA40" s="37"/>
      <c r="DNB40" s="37"/>
      <c r="DNC40" s="37"/>
      <c r="DND40" s="37"/>
      <c r="DNE40" s="37"/>
      <c r="DNF40" s="37"/>
      <c r="DNG40" s="37"/>
      <c r="DNH40" s="37"/>
      <c r="DNI40" s="37"/>
      <c r="DNJ40" s="37"/>
      <c r="DNK40" s="37"/>
      <c r="DNL40" s="37"/>
      <c r="DNM40" s="37"/>
      <c r="DNN40" s="37"/>
      <c r="DNO40" s="37"/>
      <c r="DNP40" s="37"/>
      <c r="DNQ40" s="37"/>
      <c r="DNR40" s="37"/>
      <c r="DNS40" s="37"/>
      <c r="DNT40" s="37"/>
      <c r="DNU40" s="37"/>
      <c r="DNV40" s="37"/>
      <c r="DNW40" s="37"/>
      <c r="DNX40" s="37"/>
      <c r="DNY40" s="37"/>
      <c r="DNZ40" s="37"/>
      <c r="DOA40" s="37"/>
      <c r="DOB40" s="37"/>
      <c r="DOC40" s="37"/>
      <c r="DOD40" s="37"/>
      <c r="DOE40" s="37"/>
      <c r="DOF40" s="37"/>
      <c r="DOG40" s="37"/>
      <c r="DOH40" s="37"/>
      <c r="DOI40" s="37"/>
      <c r="DOJ40" s="37"/>
      <c r="DOK40" s="37"/>
      <c r="DOL40" s="37"/>
      <c r="DOM40" s="37"/>
      <c r="DON40" s="37"/>
      <c r="DOO40" s="37"/>
      <c r="DOP40" s="37"/>
      <c r="DOQ40" s="37"/>
      <c r="DOR40" s="37"/>
      <c r="DOS40" s="37"/>
      <c r="DOT40" s="37"/>
      <c r="DOU40" s="37"/>
      <c r="DOV40" s="37"/>
      <c r="DOW40" s="37"/>
      <c r="DOX40" s="37"/>
      <c r="DOY40" s="37"/>
      <c r="DOZ40" s="37"/>
      <c r="DPA40" s="37"/>
      <c r="DPB40" s="37"/>
      <c r="DPC40" s="37"/>
      <c r="DPD40" s="37"/>
      <c r="DPE40" s="37"/>
      <c r="DPF40" s="37"/>
      <c r="DPG40" s="37"/>
      <c r="DPH40" s="37"/>
      <c r="DPI40" s="37"/>
      <c r="DPJ40" s="37"/>
      <c r="DPK40" s="37"/>
      <c r="DPL40" s="37"/>
      <c r="DPM40" s="37"/>
      <c r="DPN40" s="37"/>
      <c r="DPO40" s="37"/>
      <c r="DPP40" s="37"/>
      <c r="DPQ40" s="37"/>
      <c r="DPR40" s="37"/>
      <c r="DPS40" s="37"/>
      <c r="DPT40" s="37"/>
      <c r="DPU40" s="37"/>
      <c r="DPV40" s="37"/>
      <c r="DPW40" s="37"/>
      <c r="DPX40" s="37"/>
      <c r="DPY40" s="37"/>
      <c r="DPZ40" s="37"/>
      <c r="DQA40" s="37"/>
      <c r="DQB40" s="37"/>
      <c r="DQC40" s="37"/>
      <c r="DQD40" s="37"/>
      <c r="DQE40" s="37"/>
      <c r="DQF40" s="37"/>
      <c r="DQG40" s="37"/>
      <c r="DQH40" s="37"/>
      <c r="DQI40" s="37"/>
      <c r="DQJ40" s="37"/>
      <c r="DQK40" s="37"/>
      <c r="DQL40" s="37"/>
      <c r="DQM40" s="37"/>
      <c r="DQN40" s="37"/>
      <c r="DQO40" s="37"/>
      <c r="DQP40" s="37"/>
      <c r="DQQ40" s="37"/>
      <c r="DQR40" s="37"/>
      <c r="DQS40" s="37"/>
      <c r="DQT40" s="37"/>
      <c r="DQU40" s="37"/>
      <c r="DQV40" s="37"/>
      <c r="DQW40" s="37"/>
      <c r="DQX40" s="37"/>
      <c r="DQY40" s="37"/>
      <c r="DQZ40" s="37"/>
      <c r="DRA40" s="37"/>
      <c r="DRB40" s="37"/>
      <c r="DRC40" s="37"/>
      <c r="DRD40" s="37"/>
      <c r="DRE40" s="37"/>
      <c r="DRF40" s="37"/>
      <c r="DRG40" s="37"/>
      <c r="DRH40" s="37"/>
      <c r="DRI40" s="37"/>
      <c r="DRJ40" s="37"/>
      <c r="DRK40" s="37"/>
      <c r="DRL40" s="37"/>
      <c r="DRM40" s="37"/>
      <c r="DRN40" s="37"/>
      <c r="DRO40" s="37"/>
      <c r="DRP40" s="37"/>
      <c r="DRQ40" s="37"/>
      <c r="DRR40" s="37"/>
      <c r="DRS40" s="37"/>
      <c r="DRT40" s="37"/>
      <c r="DRU40" s="37"/>
      <c r="DRV40" s="37"/>
      <c r="DRW40" s="37"/>
      <c r="DRX40" s="37"/>
      <c r="DRY40" s="37"/>
      <c r="DRZ40" s="37"/>
      <c r="DSA40" s="37"/>
      <c r="DSB40" s="37"/>
      <c r="DSC40" s="37"/>
      <c r="DSD40" s="37"/>
      <c r="DSE40" s="37"/>
      <c r="DSF40" s="37"/>
      <c r="DSG40" s="37"/>
      <c r="DSH40" s="37"/>
      <c r="DSI40" s="37"/>
      <c r="DSJ40" s="37"/>
      <c r="DSK40" s="37"/>
      <c r="DSL40" s="37"/>
      <c r="DSM40" s="37"/>
      <c r="DSN40" s="37"/>
      <c r="DSO40" s="37"/>
      <c r="DSP40" s="37"/>
      <c r="DSQ40" s="37"/>
      <c r="DSR40" s="37"/>
      <c r="DSS40" s="37"/>
      <c r="DST40" s="37"/>
      <c r="DSU40" s="37"/>
      <c r="DSV40" s="37"/>
      <c r="DSW40" s="37"/>
      <c r="DSX40" s="37"/>
      <c r="DSY40" s="37"/>
      <c r="DSZ40" s="37"/>
      <c r="DTA40" s="37"/>
      <c r="DTB40" s="37"/>
      <c r="DTC40" s="37"/>
      <c r="DTD40" s="37"/>
      <c r="DTE40" s="37"/>
      <c r="DTF40" s="37"/>
      <c r="DTG40" s="37"/>
      <c r="DTH40" s="37"/>
      <c r="DTI40" s="37"/>
      <c r="DTJ40" s="37"/>
      <c r="DTK40" s="37"/>
      <c r="DTL40" s="37"/>
      <c r="DTM40" s="37"/>
      <c r="DTN40" s="37"/>
      <c r="DTO40" s="37"/>
      <c r="DTP40" s="37"/>
      <c r="DTQ40" s="37"/>
      <c r="DTR40" s="37"/>
      <c r="DTS40" s="37"/>
      <c r="DTT40" s="37"/>
      <c r="DTU40" s="37"/>
      <c r="DTV40" s="37"/>
      <c r="DTW40" s="37"/>
      <c r="DTX40" s="37"/>
      <c r="DTY40" s="37"/>
      <c r="DTZ40" s="37"/>
      <c r="DUA40" s="37"/>
      <c r="DUB40" s="37"/>
      <c r="DUC40" s="37"/>
      <c r="DUD40" s="37"/>
      <c r="DUE40" s="37"/>
      <c r="DUF40" s="37"/>
      <c r="DUG40" s="37"/>
      <c r="DUH40" s="37"/>
      <c r="DUI40" s="37"/>
      <c r="DUJ40" s="37"/>
      <c r="DUK40" s="37"/>
      <c r="DUL40" s="37"/>
      <c r="DUM40" s="37"/>
      <c r="DUN40" s="37"/>
      <c r="DUO40" s="37"/>
      <c r="DUP40" s="37"/>
      <c r="DUQ40" s="37"/>
      <c r="DUR40" s="37"/>
      <c r="DUS40" s="37"/>
      <c r="DUT40" s="37"/>
      <c r="DUU40" s="37"/>
      <c r="DUV40" s="37"/>
      <c r="DUW40" s="37"/>
      <c r="DUX40" s="37"/>
      <c r="DUY40" s="37"/>
      <c r="DUZ40" s="37"/>
      <c r="DVA40" s="37"/>
      <c r="DVB40" s="37"/>
      <c r="DVC40" s="37"/>
      <c r="DVD40" s="37"/>
      <c r="DVE40" s="37"/>
      <c r="DVF40" s="37"/>
      <c r="DVG40" s="37"/>
      <c r="DVH40" s="37"/>
      <c r="DVI40" s="37"/>
      <c r="DVJ40" s="37"/>
      <c r="DVK40" s="37"/>
      <c r="DVL40" s="37"/>
      <c r="DVM40" s="37"/>
      <c r="DVN40" s="37"/>
      <c r="DVO40" s="37"/>
      <c r="DVP40" s="37"/>
      <c r="DVQ40" s="37"/>
      <c r="DVR40" s="37"/>
      <c r="DVS40" s="37"/>
      <c r="DVT40" s="37"/>
      <c r="DVU40" s="37"/>
      <c r="DVV40" s="37"/>
      <c r="DVW40" s="37"/>
      <c r="DVX40" s="37"/>
      <c r="DVY40" s="37"/>
      <c r="DVZ40" s="37"/>
      <c r="DWA40" s="37"/>
      <c r="DWB40" s="37"/>
      <c r="DWC40" s="37"/>
      <c r="DWD40" s="37"/>
      <c r="DWE40" s="37"/>
      <c r="DWF40" s="37"/>
      <c r="DWG40" s="37"/>
      <c r="DWH40" s="37"/>
      <c r="DWI40" s="37"/>
      <c r="DWJ40" s="37"/>
      <c r="DWK40" s="37"/>
      <c r="DWL40" s="37"/>
      <c r="DWM40" s="37"/>
      <c r="DWN40" s="37"/>
      <c r="DWO40" s="37"/>
      <c r="DWP40" s="37"/>
      <c r="DWQ40" s="37"/>
      <c r="DWR40" s="37"/>
      <c r="DWS40" s="37"/>
      <c r="DWT40" s="37"/>
      <c r="DWU40" s="37"/>
      <c r="DWV40" s="37"/>
      <c r="DWW40" s="37"/>
      <c r="DWX40" s="37"/>
      <c r="DWY40" s="37"/>
      <c r="DWZ40" s="37"/>
      <c r="DXA40" s="37"/>
      <c r="DXB40" s="37"/>
      <c r="DXC40" s="37"/>
      <c r="DXD40" s="37"/>
      <c r="DXE40" s="37"/>
      <c r="DXF40" s="37"/>
      <c r="DXG40" s="37"/>
      <c r="DXH40" s="37"/>
      <c r="DXI40" s="37"/>
      <c r="DXJ40" s="37"/>
      <c r="DXK40" s="37"/>
      <c r="DXL40" s="37"/>
      <c r="DXM40" s="37"/>
      <c r="DXN40" s="37"/>
      <c r="DXO40" s="37"/>
      <c r="DXP40" s="37"/>
      <c r="DXQ40" s="37"/>
      <c r="DXR40" s="37"/>
      <c r="DXS40" s="37"/>
      <c r="DXT40" s="37"/>
      <c r="DXU40" s="37"/>
      <c r="DXV40" s="37"/>
      <c r="DXW40" s="37"/>
      <c r="DXX40" s="37"/>
      <c r="DXY40" s="37"/>
      <c r="DXZ40" s="37"/>
      <c r="DYA40" s="37"/>
      <c r="DYB40" s="37"/>
      <c r="DYC40" s="37"/>
      <c r="DYD40" s="37"/>
      <c r="DYE40" s="37"/>
      <c r="DYF40" s="37"/>
      <c r="DYG40" s="37"/>
      <c r="DYH40" s="37"/>
      <c r="DYI40" s="37"/>
      <c r="DYJ40" s="37"/>
      <c r="DYK40" s="37"/>
      <c r="DYL40" s="37"/>
      <c r="DYM40" s="37"/>
      <c r="DYN40" s="37"/>
      <c r="DYO40" s="37"/>
      <c r="DYP40" s="37"/>
      <c r="DYQ40" s="37"/>
      <c r="DYR40" s="37"/>
      <c r="DYS40" s="37"/>
      <c r="DYT40" s="37"/>
      <c r="DYU40" s="37"/>
      <c r="DYV40" s="37"/>
      <c r="DYW40" s="37"/>
      <c r="DYX40" s="37"/>
      <c r="DYY40" s="37"/>
      <c r="DYZ40" s="37"/>
      <c r="DZA40" s="37"/>
      <c r="DZB40" s="37"/>
      <c r="DZC40" s="37"/>
      <c r="DZD40" s="37"/>
      <c r="DZE40" s="37"/>
      <c r="DZF40" s="37"/>
      <c r="DZG40" s="37"/>
      <c r="DZH40" s="37"/>
      <c r="DZI40" s="37"/>
      <c r="DZJ40" s="37"/>
      <c r="DZK40" s="37"/>
      <c r="DZL40" s="37"/>
      <c r="DZM40" s="37"/>
      <c r="DZN40" s="37"/>
      <c r="DZO40" s="37"/>
      <c r="DZP40" s="37"/>
      <c r="DZQ40" s="37"/>
      <c r="DZR40" s="37"/>
      <c r="DZS40" s="37"/>
      <c r="DZT40" s="37"/>
      <c r="DZU40" s="37"/>
      <c r="DZV40" s="37"/>
      <c r="DZW40" s="37"/>
      <c r="DZX40" s="37"/>
      <c r="DZY40" s="37"/>
      <c r="DZZ40" s="37"/>
      <c r="EAA40" s="37"/>
      <c r="EAB40" s="37"/>
      <c r="EAC40" s="37"/>
      <c r="EAD40" s="37"/>
      <c r="EAE40" s="37"/>
      <c r="EAF40" s="37"/>
      <c r="EAG40" s="37"/>
      <c r="EAH40" s="37"/>
      <c r="EAI40" s="37"/>
      <c r="EAJ40" s="37"/>
      <c r="EAK40" s="37"/>
      <c r="EAL40" s="37"/>
      <c r="EAM40" s="37"/>
      <c r="EAN40" s="37"/>
      <c r="EAO40" s="37"/>
      <c r="EAP40" s="37"/>
      <c r="EAQ40" s="37"/>
      <c r="EAR40" s="37"/>
      <c r="EAS40" s="37"/>
      <c r="EAT40" s="37"/>
      <c r="EAU40" s="37"/>
      <c r="EAV40" s="37"/>
      <c r="EAW40" s="37"/>
      <c r="EAX40" s="37"/>
      <c r="EAY40" s="37"/>
      <c r="EAZ40" s="37"/>
      <c r="EBA40" s="37"/>
      <c r="EBB40" s="37"/>
      <c r="EBC40" s="37"/>
      <c r="EBD40" s="37"/>
      <c r="EBE40" s="37"/>
      <c r="EBF40" s="37"/>
      <c r="EBG40" s="37"/>
      <c r="EBH40" s="37"/>
      <c r="EBI40" s="37"/>
      <c r="EBJ40" s="37"/>
      <c r="EBK40" s="37"/>
      <c r="EBL40" s="37"/>
      <c r="EBM40" s="37"/>
      <c r="EBN40" s="37"/>
      <c r="EBO40" s="37"/>
      <c r="EBP40" s="37"/>
      <c r="EBQ40" s="37"/>
      <c r="EBR40" s="37"/>
      <c r="EBS40" s="37"/>
      <c r="EBT40" s="37"/>
      <c r="EBU40" s="37"/>
      <c r="EBV40" s="37"/>
      <c r="EBW40" s="37"/>
      <c r="EBX40" s="37"/>
      <c r="EBY40" s="37"/>
      <c r="EBZ40" s="37"/>
      <c r="ECA40" s="37"/>
      <c r="ECB40" s="37"/>
      <c r="ECC40" s="37"/>
      <c r="ECD40" s="37"/>
      <c r="ECE40" s="37"/>
      <c r="ECF40" s="37"/>
      <c r="ECG40" s="37"/>
      <c r="ECH40" s="37"/>
      <c r="ECI40" s="37"/>
      <c r="ECJ40" s="37"/>
      <c r="ECK40" s="37"/>
      <c r="ECL40" s="37"/>
      <c r="ECM40" s="37"/>
      <c r="ECN40" s="37"/>
      <c r="ECO40" s="37"/>
      <c r="ECP40" s="37"/>
      <c r="ECQ40" s="37"/>
      <c r="ECR40" s="37"/>
      <c r="ECS40" s="37"/>
      <c r="ECT40" s="37"/>
      <c r="ECU40" s="37"/>
      <c r="ECV40" s="37"/>
      <c r="ECW40" s="37"/>
      <c r="ECX40" s="37"/>
      <c r="ECY40" s="37"/>
      <c r="ECZ40" s="37"/>
      <c r="EDA40" s="37"/>
      <c r="EDB40" s="37"/>
      <c r="EDC40" s="37"/>
      <c r="EDD40" s="37"/>
      <c r="EDE40" s="37"/>
      <c r="EDF40" s="37"/>
      <c r="EDG40" s="37"/>
      <c r="EDH40" s="37"/>
      <c r="EDI40" s="37"/>
      <c r="EDJ40" s="37"/>
      <c r="EDK40" s="37"/>
      <c r="EDL40" s="37"/>
      <c r="EDM40" s="37"/>
      <c r="EDN40" s="37"/>
      <c r="EDO40" s="37"/>
      <c r="EDP40" s="37"/>
      <c r="EDQ40" s="37"/>
      <c r="EDR40" s="37"/>
      <c r="EDS40" s="37"/>
      <c r="EDT40" s="37"/>
      <c r="EDU40" s="37"/>
      <c r="EDV40" s="37"/>
      <c r="EDW40" s="37"/>
      <c r="EDX40" s="37"/>
      <c r="EDY40" s="37"/>
      <c r="EDZ40" s="37"/>
      <c r="EEA40" s="37"/>
      <c r="EEB40" s="37"/>
      <c r="EEC40" s="37"/>
      <c r="EED40" s="37"/>
      <c r="EEE40" s="37"/>
      <c r="EEF40" s="37"/>
      <c r="EEG40" s="37"/>
      <c r="EEH40" s="37"/>
      <c r="EEI40" s="37"/>
      <c r="EEJ40" s="37"/>
      <c r="EEK40" s="37"/>
      <c r="EEL40" s="37"/>
      <c r="EEM40" s="37"/>
      <c r="EEN40" s="37"/>
      <c r="EEO40" s="37"/>
      <c r="EEP40" s="37"/>
      <c r="EEQ40" s="37"/>
      <c r="EER40" s="37"/>
      <c r="EES40" s="37"/>
      <c r="EET40" s="37"/>
      <c r="EEU40" s="37"/>
      <c r="EEV40" s="37"/>
      <c r="EEW40" s="37"/>
      <c r="EEX40" s="37"/>
      <c r="EEY40" s="37"/>
      <c r="EEZ40" s="37"/>
      <c r="EFA40" s="37"/>
      <c r="EFB40" s="37"/>
      <c r="EFC40" s="37"/>
      <c r="EFD40" s="37"/>
      <c r="EFE40" s="37"/>
      <c r="EFF40" s="37"/>
      <c r="EFG40" s="37"/>
      <c r="EFH40" s="37"/>
      <c r="EFI40" s="37"/>
      <c r="EFJ40" s="37"/>
      <c r="EFK40" s="37"/>
      <c r="EFL40" s="37"/>
      <c r="EFM40" s="37"/>
      <c r="EFN40" s="37"/>
      <c r="EFO40" s="37"/>
      <c r="EFP40" s="37"/>
      <c r="EFQ40" s="37"/>
      <c r="EFR40" s="37"/>
      <c r="EFS40" s="37"/>
      <c r="EFT40" s="37"/>
      <c r="EFU40" s="37"/>
      <c r="EFV40" s="37"/>
      <c r="EFW40" s="37"/>
      <c r="EFX40" s="37"/>
      <c r="EFY40" s="37"/>
      <c r="EFZ40" s="37"/>
      <c r="EGA40" s="37"/>
      <c r="EGB40" s="37"/>
      <c r="EGC40" s="37"/>
      <c r="EGD40" s="37"/>
      <c r="EGE40" s="37"/>
      <c r="EGF40" s="37"/>
      <c r="EGG40" s="37"/>
      <c r="EGH40" s="37"/>
      <c r="EGI40" s="37"/>
      <c r="EGJ40" s="37"/>
      <c r="EGK40" s="37"/>
      <c r="EGL40" s="37"/>
      <c r="EGM40" s="37"/>
      <c r="EGN40" s="37"/>
      <c r="EGO40" s="37"/>
      <c r="EGP40" s="37"/>
      <c r="EGQ40" s="37"/>
      <c r="EGR40" s="37"/>
      <c r="EGS40" s="37"/>
      <c r="EGT40" s="37"/>
      <c r="EGU40" s="37"/>
      <c r="EGV40" s="37"/>
      <c r="EGW40" s="37"/>
      <c r="EGX40" s="37"/>
      <c r="EGY40" s="37"/>
      <c r="EGZ40" s="37"/>
      <c r="EHA40" s="37"/>
      <c r="EHB40" s="37"/>
      <c r="EHC40" s="37"/>
      <c r="EHD40" s="37"/>
      <c r="EHE40" s="37"/>
      <c r="EHF40" s="37"/>
      <c r="EHG40" s="37"/>
      <c r="EHH40" s="37"/>
      <c r="EHI40" s="37"/>
      <c r="EHJ40" s="37"/>
      <c r="EHK40" s="37"/>
      <c r="EHL40" s="37"/>
      <c r="EHM40" s="37"/>
      <c r="EHN40" s="37"/>
      <c r="EHO40" s="37"/>
      <c r="EHP40" s="37"/>
      <c r="EHQ40" s="37"/>
      <c r="EHR40" s="37"/>
      <c r="EHS40" s="37"/>
      <c r="EHT40" s="37"/>
      <c r="EHU40" s="37"/>
      <c r="EHV40" s="37"/>
      <c r="EHW40" s="37"/>
      <c r="EHX40" s="37"/>
      <c r="EHY40" s="37"/>
      <c r="EHZ40" s="37"/>
      <c r="EIA40" s="37"/>
      <c r="EIB40" s="37"/>
      <c r="EIC40" s="37"/>
      <c r="EID40" s="37"/>
      <c r="EIE40" s="37"/>
      <c r="EIF40" s="37"/>
      <c r="EIG40" s="37"/>
      <c r="EIH40" s="37"/>
      <c r="EII40" s="37"/>
      <c r="EIJ40" s="37"/>
      <c r="EIK40" s="37"/>
      <c r="EIL40" s="37"/>
      <c r="EIM40" s="37"/>
      <c r="EIN40" s="37"/>
      <c r="EIO40" s="37"/>
      <c r="EIP40" s="37"/>
      <c r="EIQ40" s="37"/>
      <c r="EIR40" s="37"/>
      <c r="EIS40" s="37"/>
      <c r="EIT40" s="37"/>
      <c r="EIU40" s="37"/>
      <c r="EIV40" s="37"/>
      <c r="EIW40" s="37"/>
      <c r="EIX40" s="37"/>
      <c r="EIY40" s="37"/>
      <c r="EIZ40" s="37"/>
      <c r="EJA40" s="37"/>
      <c r="EJB40" s="37"/>
      <c r="EJC40" s="37"/>
      <c r="EJD40" s="37"/>
      <c r="EJE40" s="37"/>
      <c r="EJF40" s="37"/>
      <c r="EJG40" s="37"/>
      <c r="EJH40" s="37"/>
      <c r="EJI40" s="37"/>
      <c r="EJJ40" s="37"/>
      <c r="EJK40" s="37"/>
      <c r="EJL40" s="37"/>
      <c r="EJM40" s="37"/>
      <c r="EJN40" s="37"/>
      <c r="EJO40" s="37"/>
      <c r="EJP40" s="37"/>
      <c r="EJQ40" s="37"/>
      <c r="EJR40" s="37"/>
      <c r="EJS40" s="37"/>
      <c r="EJT40" s="37"/>
      <c r="EJU40" s="37"/>
      <c r="EJV40" s="37"/>
      <c r="EJW40" s="37"/>
      <c r="EJX40" s="37"/>
      <c r="EJY40" s="37"/>
      <c r="EJZ40" s="37"/>
      <c r="EKA40" s="37"/>
      <c r="EKB40" s="37"/>
      <c r="EKC40" s="37"/>
      <c r="EKD40" s="37"/>
      <c r="EKE40" s="37"/>
      <c r="EKF40" s="37"/>
      <c r="EKG40" s="37"/>
      <c r="EKH40" s="37"/>
      <c r="EKI40" s="37"/>
      <c r="EKJ40" s="37"/>
      <c r="EKK40" s="37"/>
      <c r="EKL40" s="37"/>
      <c r="EKM40" s="37"/>
      <c r="EKN40" s="37"/>
      <c r="EKO40" s="37"/>
      <c r="EKP40" s="37"/>
      <c r="EKQ40" s="37"/>
      <c r="EKR40" s="37"/>
      <c r="EKS40" s="37"/>
      <c r="EKT40" s="37"/>
      <c r="EKU40" s="37"/>
      <c r="EKV40" s="37"/>
      <c r="EKW40" s="37"/>
      <c r="EKX40" s="37"/>
      <c r="EKY40" s="37"/>
      <c r="EKZ40" s="37"/>
      <c r="ELA40" s="37"/>
      <c r="ELB40" s="37"/>
      <c r="ELC40" s="37"/>
      <c r="ELD40" s="37"/>
      <c r="ELE40" s="37"/>
      <c r="ELF40" s="37"/>
      <c r="ELG40" s="37"/>
      <c r="ELH40" s="37"/>
      <c r="ELI40" s="37"/>
      <c r="ELJ40" s="37"/>
      <c r="ELK40" s="37"/>
      <c r="ELL40" s="37"/>
      <c r="ELM40" s="37"/>
      <c r="ELN40" s="37"/>
      <c r="ELO40" s="37"/>
      <c r="ELP40" s="37"/>
      <c r="ELQ40" s="37"/>
      <c r="ELR40" s="37"/>
      <c r="ELS40" s="37"/>
      <c r="ELT40" s="37"/>
      <c r="ELU40" s="37"/>
      <c r="ELV40" s="37"/>
      <c r="ELW40" s="37"/>
      <c r="ELX40" s="37"/>
      <c r="ELY40" s="37"/>
      <c r="ELZ40" s="37"/>
      <c r="EMA40" s="37"/>
      <c r="EMB40" s="37"/>
      <c r="EMC40" s="37"/>
      <c r="EMD40" s="37"/>
      <c r="EME40" s="37"/>
      <c r="EMF40" s="37"/>
      <c r="EMG40" s="37"/>
      <c r="EMH40" s="37"/>
      <c r="EMI40" s="37"/>
      <c r="EMJ40" s="37"/>
      <c r="EMK40" s="37"/>
      <c r="EML40" s="37"/>
      <c r="EMM40" s="37"/>
      <c r="EMN40" s="37"/>
      <c r="EMO40" s="37"/>
      <c r="EMP40" s="37"/>
      <c r="EMQ40" s="37"/>
      <c r="EMR40" s="37"/>
      <c r="EMS40" s="37"/>
      <c r="EMT40" s="37"/>
      <c r="EMU40" s="37"/>
      <c r="EMV40" s="37"/>
      <c r="EMW40" s="37"/>
      <c r="EMX40" s="37"/>
      <c r="EMY40" s="37"/>
      <c r="EMZ40" s="37"/>
      <c r="ENA40" s="37"/>
      <c r="ENB40" s="37"/>
      <c r="ENC40" s="37"/>
      <c r="END40" s="37"/>
      <c r="ENE40" s="37"/>
      <c r="ENF40" s="37"/>
      <c r="ENG40" s="37"/>
      <c r="ENH40" s="37"/>
      <c r="ENI40" s="37"/>
      <c r="ENJ40" s="37"/>
      <c r="ENK40" s="37"/>
      <c r="ENL40" s="37"/>
      <c r="ENM40" s="37"/>
      <c r="ENN40" s="37"/>
      <c r="ENO40" s="37"/>
      <c r="ENP40" s="37"/>
      <c r="ENQ40" s="37"/>
      <c r="ENR40" s="37"/>
      <c r="ENS40" s="37"/>
      <c r="ENT40" s="37"/>
      <c r="ENU40" s="37"/>
      <c r="ENV40" s="37"/>
      <c r="ENW40" s="37"/>
      <c r="ENX40" s="37"/>
      <c r="ENY40" s="37"/>
      <c r="ENZ40" s="37"/>
      <c r="EOA40" s="37"/>
      <c r="EOB40" s="37"/>
      <c r="EOC40" s="37"/>
      <c r="EOD40" s="37"/>
      <c r="EOE40" s="37"/>
      <c r="EOF40" s="37"/>
      <c r="EOG40" s="37"/>
      <c r="EOH40" s="37"/>
      <c r="EOI40" s="37"/>
      <c r="EOJ40" s="37"/>
      <c r="EOK40" s="37"/>
      <c r="EOL40" s="37"/>
      <c r="EOM40" s="37"/>
      <c r="EON40" s="37"/>
      <c r="EOO40" s="37"/>
      <c r="EOP40" s="37"/>
      <c r="EOQ40" s="37"/>
      <c r="EOR40" s="37"/>
      <c r="EOS40" s="37"/>
      <c r="EOT40" s="37"/>
      <c r="EOU40" s="37"/>
      <c r="EOV40" s="37"/>
      <c r="EOW40" s="37"/>
      <c r="EOX40" s="37"/>
      <c r="EOY40" s="37"/>
      <c r="EOZ40" s="37"/>
      <c r="EPA40" s="37"/>
      <c r="EPB40" s="37"/>
      <c r="EPC40" s="37"/>
      <c r="EPD40" s="37"/>
      <c r="EPE40" s="37"/>
      <c r="EPF40" s="37"/>
      <c r="EPG40" s="37"/>
      <c r="EPH40" s="37"/>
      <c r="EPI40" s="37"/>
      <c r="EPJ40" s="37"/>
      <c r="EPK40" s="37"/>
      <c r="EPL40" s="37"/>
      <c r="EPM40" s="37"/>
      <c r="EPN40" s="37"/>
      <c r="EPO40" s="37"/>
      <c r="EPP40" s="37"/>
      <c r="EPQ40" s="37"/>
      <c r="EPR40" s="37"/>
      <c r="EPS40" s="37"/>
      <c r="EPT40" s="37"/>
      <c r="EPU40" s="37"/>
      <c r="EPV40" s="37"/>
      <c r="EPW40" s="37"/>
      <c r="EPX40" s="37"/>
      <c r="EPY40" s="37"/>
      <c r="EPZ40" s="37"/>
      <c r="EQA40" s="37"/>
      <c r="EQB40" s="37"/>
      <c r="EQC40" s="37"/>
      <c r="EQD40" s="37"/>
      <c r="EQE40" s="37"/>
      <c r="EQF40" s="37"/>
      <c r="EQG40" s="37"/>
      <c r="EQH40" s="37"/>
      <c r="EQI40" s="37"/>
      <c r="EQJ40" s="37"/>
      <c r="EQK40" s="37"/>
      <c r="EQL40" s="37"/>
      <c r="EQM40" s="37"/>
      <c r="EQN40" s="37"/>
      <c r="EQO40" s="37"/>
      <c r="EQP40" s="37"/>
      <c r="EQQ40" s="37"/>
      <c r="EQR40" s="37"/>
      <c r="EQS40" s="37"/>
      <c r="EQT40" s="37"/>
      <c r="EQU40" s="37"/>
      <c r="EQV40" s="37"/>
      <c r="EQW40" s="37"/>
      <c r="EQX40" s="37"/>
      <c r="EQY40" s="37"/>
      <c r="EQZ40" s="37"/>
      <c r="ERA40" s="37"/>
      <c r="ERB40" s="37"/>
      <c r="ERC40" s="37"/>
      <c r="ERD40" s="37"/>
      <c r="ERE40" s="37"/>
      <c r="ERF40" s="37"/>
      <c r="ERG40" s="37"/>
      <c r="ERH40" s="37"/>
      <c r="ERI40" s="37"/>
      <c r="ERJ40" s="37"/>
      <c r="ERK40" s="37"/>
      <c r="ERL40" s="37"/>
      <c r="ERM40" s="37"/>
      <c r="ERN40" s="37"/>
      <c r="ERO40" s="37"/>
      <c r="ERP40" s="37"/>
      <c r="ERQ40" s="37"/>
      <c r="ERR40" s="37"/>
      <c r="ERS40" s="37"/>
      <c r="ERT40" s="37"/>
      <c r="ERU40" s="37"/>
      <c r="ERV40" s="37"/>
      <c r="ERW40" s="37"/>
      <c r="ERX40" s="37"/>
      <c r="ERY40" s="37"/>
      <c r="ERZ40" s="37"/>
      <c r="ESA40" s="37"/>
      <c r="ESB40" s="37"/>
      <c r="ESC40" s="37"/>
      <c r="ESD40" s="37"/>
      <c r="ESE40" s="37"/>
      <c r="ESF40" s="37"/>
      <c r="ESG40" s="37"/>
      <c r="ESH40" s="37"/>
      <c r="ESI40" s="37"/>
      <c r="ESJ40" s="37"/>
      <c r="ESK40" s="37"/>
      <c r="ESL40" s="37"/>
      <c r="ESM40" s="37"/>
      <c r="ESN40" s="37"/>
      <c r="ESO40" s="37"/>
      <c r="ESP40" s="37"/>
      <c r="ESQ40" s="37"/>
      <c r="ESR40" s="37"/>
      <c r="ESS40" s="37"/>
      <c r="EST40" s="37"/>
      <c r="ESU40" s="37"/>
      <c r="ESV40" s="37"/>
      <c r="ESW40" s="37"/>
      <c r="ESX40" s="37"/>
      <c r="ESY40" s="37"/>
      <c r="ESZ40" s="37"/>
      <c r="ETA40" s="37"/>
      <c r="ETB40" s="37"/>
      <c r="ETC40" s="37"/>
      <c r="ETD40" s="37"/>
      <c r="ETE40" s="37"/>
      <c r="ETF40" s="37"/>
      <c r="ETG40" s="37"/>
      <c r="ETH40" s="37"/>
      <c r="ETI40" s="37"/>
      <c r="ETJ40" s="37"/>
      <c r="ETK40" s="37"/>
      <c r="ETL40" s="37"/>
      <c r="ETM40" s="37"/>
      <c r="ETN40" s="37"/>
      <c r="ETO40" s="37"/>
      <c r="ETP40" s="37"/>
      <c r="ETQ40" s="37"/>
      <c r="ETR40" s="37"/>
      <c r="ETS40" s="37"/>
      <c r="ETT40" s="37"/>
      <c r="ETU40" s="37"/>
      <c r="ETV40" s="37"/>
      <c r="ETW40" s="37"/>
      <c r="ETX40" s="37"/>
      <c r="ETY40" s="37"/>
      <c r="ETZ40" s="37"/>
      <c r="EUA40" s="37"/>
      <c r="EUB40" s="37"/>
      <c r="EUC40" s="37"/>
      <c r="EUD40" s="37"/>
      <c r="EUE40" s="37"/>
      <c r="EUF40" s="37"/>
      <c r="EUG40" s="37"/>
      <c r="EUH40" s="37"/>
      <c r="EUI40" s="37"/>
      <c r="EUJ40" s="37"/>
      <c r="EUK40" s="37"/>
      <c r="EUL40" s="37"/>
      <c r="EUM40" s="37"/>
      <c r="EUN40" s="37"/>
      <c r="EUO40" s="37"/>
      <c r="EUP40" s="37"/>
      <c r="EUQ40" s="37"/>
      <c r="EUR40" s="37"/>
      <c r="EUS40" s="37"/>
      <c r="EUT40" s="37"/>
      <c r="EUU40" s="37"/>
      <c r="EUV40" s="37"/>
      <c r="EUW40" s="37"/>
      <c r="EUX40" s="37"/>
      <c r="EUY40" s="37"/>
      <c r="EUZ40" s="37"/>
      <c r="EVA40" s="37"/>
      <c r="EVB40" s="37"/>
      <c r="EVC40" s="37"/>
      <c r="EVD40" s="37"/>
      <c r="EVE40" s="37"/>
      <c r="EVF40" s="37"/>
      <c r="EVG40" s="37"/>
      <c r="EVH40" s="37"/>
      <c r="EVI40" s="37"/>
      <c r="EVJ40" s="37"/>
      <c r="EVK40" s="37"/>
      <c r="EVL40" s="37"/>
      <c r="EVM40" s="37"/>
      <c r="EVN40" s="37"/>
      <c r="EVO40" s="37"/>
      <c r="EVP40" s="37"/>
      <c r="EVQ40" s="37"/>
      <c r="EVR40" s="37"/>
      <c r="EVS40" s="37"/>
      <c r="EVT40" s="37"/>
      <c r="EVU40" s="37"/>
      <c r="EVV40" s="37"/>
      <c r="EVW40" s="37"/>
      <c r="EVX40" s="37"/>
      <c r="EVY40" s="37"/>
      <c r="EVZ40" s="37"/>
      <c r="EWA40" s="37"/>
      <c r="EWB40" s="37"/>
      <c r="EWC40" s="37"/>
      <c r="EWD40" s="37"/>
      <c r="EWE40" s="37"/>
      <c r="EWF40" s="37"/>
      <c r="EWG40" s="37"/>
      <c r="EWH40" s="37"/>
      <c r="EWI40" s="37"/>
      <c r="EWJ40" s="37"/>
      <c r="EWK40" s="37"/>
      <c r="EWL40" s="37"/>
      <c r="EWM40" s="37"/>
      <c r="EWN40" s="37"/>
      <c r="EWO40" s="37"/>
      <c r="EWP40" s="37"/>
      <c r="EWQ40" s="37"/>
      <c r="EWR40" s="37"/>
      <c r="EWS40" s="37"/>
      <c r="EWT40" s="37"/>
      <c r="EWU40" s="37"/>
      <c r="EWV40" s="37"/>
      <c r="EWW40" s="37"/>
      <c r="EWX40" s="37"/>
      <c r="EWY40" s="37"/>
      <c r="EWZ40" s="37"/>
      <c r="EXA40" s="37"/>
      <c r="EXB40" s="37"/>
      <c r="EXC40" s="37"/>
      <c r="EXD40" s="37"/>
      <c r="EXE40" s="37"/>
      <c r="EXF40" s="37"/>
      <c r="EXG40" s="37"/>
      <c r="EXH40" s="37"/>
      <c r="EXI40" s="37"/>
      <c r="EXJ40" s="37"/>
      <c r="EXK40" s="37"/>
      <c r="EXL40" s="37"/>
      <c r="EXM40" s="37"/>
      <c r="EXN40" s="37"/>
      <c r="EXO40" s="37"/>
      <c r="EXP40" s="37"/>
      <c r="EXQ40" s="37"/>
      <c r="EXR40" s="37"/>
      <c r="EXS40" s="37"/>
      <c r="EXT40" s="37"/>
      <c r="EXU40" s="37"/>
      <c r="EXV40" s="37"/>
      <c r="EXW40" s="37"/>
      <c r="EXX40" s="37"/>
      <c r="EXY40" s="37"/>
      <c r="EXZ40" s="37"/>
      <c r="EYA40" s="37"/>
      <c r="EYB40" s="37"/>
      <c r="EYC40" s="37"/>
      <c r="EYD40" s="37"/>
      <c r="EYE40" s="37"/>
      <c r="EYF40" s="37"/>
      <c r="EYG40" s="37"/>
      <c r="EYH40" s="37"/>
      <c r="EYI40" s="37"/>
      <c r="EYJ40" s="37"/>
      <c r="EYK40" s="37"/>
      <c r="EYL40" s="37"/>
      <c r="EYM40" s="37"/>
      <c r="EYN40" s="37"/>
      <c r="EYO40" s="37"/>
      <c r="EYP40" s="37"/>
      <c r="EYQ40" s="37"/>
      <c r="EYR40" s="37"/>
      <c r="EYS40" s="37"/>
      <c r="EYT40" s="37"/>
      <c r="EYU40" s="37"/>
      <c r="EYV40" s="37"/>
      <c r="EYW40" s="37"/>
      <c r="EYX40" s="37"/>
      <c r="EYY40" s="37"/>
      <c r="EYZ40" s="37"/>
      <c r="EZA40" s="37"/>
      <c r="EZB40" s="37"/>
      <c r="EZC40" s="37"/>
      <c r="EZD40" s="37"/>
      <c r="EZE40" s="37"/>
      <c r="EZF40" s="37"/>
      <c r="EZG40" s="37"/>
      <c r="EZH40" s="37"/>
      <c r="EZI40" s="37"/>
      <c r="EZJ40" s="37"/>
      <c r="EZK40" s="37"/>
      <c r="EZL40" s="37"/>
      <c r="EZM40" s="37"/>
      <c r="EZN40" s="37"/>
      <c r="EZO40" s="37"/>
      <c r="EZP40" s="37"/>
      <c r="EZQ40" s="37"/>
      <c r="EZR40" s="37"/>
      <c r="EZS40" s="37"/>
      <c r="EZT40" s="37"/>
      <c r="EZU40" s="37"/>
      <c r="EZV40" s="37"/>
      <c r="EZW40" s="37"/>
      <c r="EZX40" s="37"/>
      <c r="EZY40" s="37"/>
      <c r="EZZ40" s="37"/>
      <c r="FAA40" s="37"/>
      <c r="FAB40" s="37"/>
      <c r="FAC40" s="37"/>
      <c r="FAD40" s="37"/>
      <c r="FAE40" s="37"/>
      <c r="FAF40" s="37"/>
      <c r="FAG40" s="37"/>
      <c r="FAH40" s="37"/>
      <c r="FAI40" s="37"/>
      <c r="FAJ40" s="37"/>
      <c r="FAK40" s="37"/>
      <c r="FAL40" s="37"/>
      <c r="FAM40" s="37"/>
      <c r="FAN40" s="37"/>
      <c r="FAO40" s="37"/>
      <c r="FAP40" s="37"/>
      <c r="FAQ40" s="37"/>
      <c r="FAR40" s="37"/>
      <c r="FAS40" s="37"/>
      <c r="FAT40" s="37"/>
      <c r="FAU40" s="37"/>
      <c r="FAV40" s="37"/>
      <c r="FAW40" s="37"/>
      <c r="FAX40" s="37"/>
      <c r="FAY40" s="37"/>
      <c r="FAZ40" s="37"/>
      <c r="FBA40" s="37"/>
      <c r="FBB40" s="37"/>
      <c r="FBC40" s="37"/>
      <c r="FBD40" s="37"/>
      <c r="FBE40" s="37"/>
      <c r="FBF40" s="37"/>
      <c r="FBG40" s="37"/>
      <c r="FBH40" s="37"/>
      <c r="FBI40" s="37"/>
      <c r="FBJ40" s="37"/>
      <c r="FBK40" s="37"/>
      <c r="FBL40" s="37"/>
      <c r="FBM40" s="37"/>
      <c r="FBN40" s="37"/>
      <c r="FBO40" s="37"/>
      <c r="FBP40" s="37"/>
      <c r="FBQ40" s="37"/>
      <c r="FBR40" s="37"/>
      <c r="FBS40" s="37"/>
      <c r="FBT40" s="37"/>
      <c r="FBU40" s="37"/>
      <c r="FBV40" s="37"/>
      <c r="FBW40" s="37"/>
      <c r="FBX40" s="37"/>
      <c r="FBY40" s="37"/>
      <c r="FBZ40" s="37"/>
      <c r="FCA40" s="37"/>
      <c r="FCB40" s="37"/>
      <c r="FCC40" s="37"/>
      <c r="FCD40" s="37"/>
      <c r="FCE40" s="37"/>
      <c r="FCF40" s="37"/>
      <c r="FCG40" s="37"/>
      <c r="FCH40" s="37"/>
      <c r="FCI40" s="37"/>
      <c r="FCJ40" s="37"/>
      <c r="FCK40" s="37"/>
      <c r="FCL40" s="37"/>
      <c r="FCM40" s="37"/>
      <c r="FCN40" s="37"/>
      <c r="FCO40" s="37"/>
      <c r="FCP40" s="37"/>
      <c r="FCQ40" s="37"/>
      <c r="FCR40" s="37"/>
      <c r="FCS40" s="37"/>
      <c r="FCT40" s="37"/>
      <c r="FCU40" s="37"/>
      <c r="FCV40" s="37"/>
      <c r="FCW40" s="37"/>
      <c r="FCX40" s="37"/>
      <c r="FCY40" s="37"/>
      <c r="FCZ40" s="37"/>
      <c r="FDA40" s="37"/>
      <c r="FDB40" s="37"/>
      <c r="FDC40" s="37"/>
      <c r="FDD40" s="37"/>
      <c r="FDE40" s="37"/>
      <c r="FDF40" s="37"/>
      <c r="FDG40" s="37"/>
      <c r="FDH40" s="37"/>
      <c r="FDI40" s="37"/>
      <c r="FDJ40" s="37"/>
      <c r="FDK40" s="37"/>
      <c r="FDL40" s="37"/>
      <c r="FDM40" s="37"/>
      <c r="FDN40" s="37"/>
      <c r="FDO40" s="37"/>
      <c r="FDP40" s="37"/>
      <c r="FDQ40" s="37"/>
      <c r="FDR40" s="37"/>
      <c r="FDS40" s="37"/>
      <c r="FDT40" s="37"/>
      <c r="FDU40" s="37"/>
      <c r="FDV40" s="37"/>
      <c r="FDW40" s="37"/>
      <c r="FDX40" s="37"/>
      <c r="FDY40" s="37"/>
      <c r="FDZ40" s="37"/>
      <c r="FEA40" s="37"/>
      <c r="FEB40" s="37"/>
      <c r="FEC40" s="37"/>
      <c r="FED40" s="37"/>
      <c r="FEE40" s="37"/>
      <c r="FEF40" s="37"/>
      <c r="FEG40" s="37"/>
      <c r="FEH40" s="37"/>
      <c r="FEI40" s="37"/>
      <c r="FEJ40" s="37"/>
      <c r="FEK40" s="37"/>
      <c r="FEL40" s="37"/>
      <c r="FEM40" s="37"/>
      <c r="FEN40" s="37"/>
      <c r="FEO40" s="37"/>
      <c r="FEP40" s="37"/>
      <c r="FEQ40" s="37"/>
      <c r="FER40" s="37"/>
      <c r="FES40" s="37"/>
      <c r="FET40" s="37"/>
      <c r="FEU40" s="37"/>
      <c r="FEV40" s="37"/>
      <c r="FEW40" s="37"/>
      <c r="FEX40" s="37"/>
      <c r="FEY40" s="37"/>
      <c r="FEZ40" s="37"/>
      <c r="FFA40" s="37"/>
      <c r="FFB40" s="37"/>
      <c r="FFC40" s="37"/>
      <c r="FFD40" s="37"/>
      <c r="FFE40" s="37"/>
      <c r="FFF40" s="37"/>
      <c r="FFG40" s="37"/>
      <c r="FFH40" s="37"/>
      <c r="FFI40" s="37"/>
      <c r="FFJ40" s="37"/>
      <c r="FFK40" s="37"/>
      <c r="FFL40" s="37"/>
      <c r="FFM40" s="37"/>
      <c r="FFN40" s="37"/>
      <c r="FFO40" s="37"/>
      <c r="FFP40" s="37"/>
      <c r="FFQ40" s="37"/>
      <c r="FFR40" s="37"/>
      <c r="FFS40" s="37"/>
      <c r="FFT40" s="37"/>
      <c r="FFU40" s="37"/>
      <c r="FFV40" s="37"/>
      <c r="FFW40" s="37"/>
      <c r="FFX40" s="37"/>
      <c r="FFY40" s="37"/>
      <c r="FFZ40" s="37"/>
      <c r="FGA40" s="37"/>
      <c r="FGB40" s="37"/>
      <c r="FGC40" s="37"/>
      <c r="FGD40" s="37"/>
      <c r="FGE40" s="37"/>
      <c r="FGF40" s="37"/>
      <c r="FGG40" s="37"/>
      <c r="FGH40" s="37"/>
      <c r="FGI40" s="37"/>
      <c r="FGJ40" s="37"/>
      <c r="FGK40" s="37"/>
      <c r="FGL40" s="37"/>
      <c r="FGM40" s="37"/>
      <c r="FGN40" s="37"/>
      <c r="FGO40" s="37"/>
      <c r="FGP40" s="37"/>
      <c r="FGQ40" s="37"/>
      <c r="FGR40" s="37"/>
      <c r="FGS40" s="37"/>
      <c r="FGT40" s="37"/>
      <c r="FGU40" s="37"/>
      <c r="FGV40" s="37"/>
      <c r="FGW40" s="37"/>
      <c r="FGX40" s="37"/>
      <c r="FGY40" s="37"/>
      <c r="FGZ40" s="37"/>
      <c r="FHA40" s="37"/>
      <c r="FHB40" s="37"/>
      <c r="FHC40" s="37"/>
      <c r="FHD40" s="37"/>
      <c r="FHE40" s="37"/>
      <c r="FHF40" s="37"/>
      <c r="FHG40" s="37"/>
      <c r="FHH40" s="37"/>
      <c r="FHI40" s="37"/>
      <c r="FHJ40" s="37"/>
      <c r="FHK40" s="37"/>
      <c r="FHL40" s="37"/>
      <c r="FHM40" s="37"/>
      <c r="FHN40" s="37"/>
      <c r="FHO40" s="37"/>
      <c r="FHP40" s="37"/>
      <c r="FHQ40" s="37"/>
      <c r="FHR40" s="37"/>
      <c r="FHS40" s="37"/>
      <c r="FHT40" s="37"/>
      <c r="FHU40" s="37"/>
      <c r="FHV40" s="37"/>
      <c r="FHW40" s="37"/>
      <c r="FHX40" s="37"/>
      <c r="FHY40" s="37"/>
      <c r="FHZ40" s="37"/>
      <c r="FIA40" s="37"/>
      <c r="FIB40" s="37"/>
      <c r="FIC40" s="37"/>
      <c r="FID40" s="37"/>
      <c r="FIE40" s="37"/>
      <c r="FIF40" s="37"/>
      <c r="FIG40" s="37"/>
      <c r="FIH40" s="37"/>
      <c r="FII40" s="37"/>
      <c r="FIJ40" s="37"/>
      <c r="FIK40" s="37"/>
      <c r="FIL40" s="37"/>
      <c r="FIM40" s="37"/>
      <c r="FIN40" s="37"/>
      <c r="FIO40" s="37"/>
      <c r="FIP40" s="37"/>
      <c r="FIQ40" s="37"/>
      <c r="FIR40" s="37"/>
      <c r="FIS40" s="37"/>
      <c r="FIT40" s="37"/>
      <c r="FIU40" s="37"/>
      <c r="FIV40" s="37"/>
      <c r="FIW40" s="37"/>
      <c r="FIX40" s="37"/>
      <c r="FIY40" s="37"/>
      <c r="FIZ40" s="37"/>
      <c r="FJA40" s="37"/>
      <c r="FJB40" s="37"/>
      <c r="FJC40" s="37"/>
      <c r="FJD40" s="37"/>
      <c r="FJE40" s="37"/>
      <c r="FJF40" s="37"/>
      <c r="FJG40" s="37"/>
      <c r="FJH40" s="37"/>
      <c r="FJI40" s="37"/>
      <c r="FJJ40" s="37"/>
      <c r="FJK40" s="37"/>
      <c r="FJL40" s="37"/>
      <c r="FJM40" s="37"/>
      <c r="FJN40" s="37"/>
      <c r="FJO40" s="37"/>
      <c r="FJP40" s="37"/>
      <c r="FJQ40" s="37"/>
      <c r="FJR40" s="37"/>
      <c r="FJS40" s="37"/>
      <c r="FJT40" s="37"/>
      <c r="FJU40" s="37"/>
      <c r="FJV40" s="37"/>
      <c r="FJW40" s="37"/>
      <c r="FJX40" s="37"/>
      <c r="FJY40" s="37"/>
      <c r="FJZ40" s="37"/>
      <c r="FKA40" s="37"/>
      <c r="FKB40" s="37"/>
      <c r="FKC40" s="37"/>
      <c r="FKD40" s="37"/>
      <c r="FKE40" s="37"/>
      <c r="FKF40" s="37"/>
      <c r="FKG40" s="37"/>
      <c r="FKH40" s="37"/>
      <c r="FKI40" s="37"/>
      <c r="FKJ40" s="37"/>
      <c r="FKK40" s="37"/>
      <c r="FKL40" s="37"/>
      <c r="FKM40" s="37"/>
      <c r="FKN40" s="37"/>
      <c r="FKO40" s="37"/>
      <c r="FKP40" s="37"/>
      <c r="FKQ40" s="37"/>
      <c r="FKR40" s="37"/>
      <c r="FKS40" s="37"/>
      <c r="FKT40" s="37"/>
      <c r="FKU40" s="37"/>
      <c r="FKV40" s="37"/>
      <c r="FKW40" s="37"/>
      <c r="FKX40" s="37"/>
      <c r="FKY40" s="37"/>
      <c r="FKZ40" s="37"/>
      <c r="FLA40" s="37"/>
      <c r="FLB40" s="37"/>
      <c r="FLC40" s="37"/>
      <c r="FLD40" s="37"/>
      <c r="FLE40" s="37"/>
      <c r="FLF40" s="37"/>
      <c r="FLG40" s="37"/>
      <c r="FLH40" s="37"/>
      <c r="FLI40" s="37"/>
      <c r="FLJ40" s="37"/>
      <c r="FLK40" s="37"/>
      <c r="FLL40" s="37"/>
      <c r="FLM40" s="37"/>
      <c r="FLN40" s="37"/>
      <c r="FLO40" s="37"/>
      <c r="FLP40" s="37"/>
      <c r="FLQ40" s="37"/>
      <c r="FLR40" s="37"/>
      <c r="FLS40" s="37"/>
      <c r="FLT40" s="37"/>
      <c r="FLU40" s="37"/>
      <c r="FLV40" s="37"/>
      <c r="FLW40" s="37"/>
      <c r="FLX40" s="37"/>
      <c r="FLY40" s="37"/>
      <c r="FLZ40" s="37"/>
      <c r="FMA40" s="37"/>
      <c r="FMB40" s="37"/>
      <c r="FMC40" s="37"/>
      <c r="FMD40" s="37"/>
      <c r="FME40" s="37"/>
      <c r="FMF40" s="37"/>
      <c r="FMG40" s="37"/>
      <c r="FMH40" s="37"/>
      <c r="FMI40" s="37"/>
      <c r="FMJ40" s="37"/>
      <c r="FMK40" s="37"/>
      <c r="FML40" s="37"/>
      <c r="FMM40" s="37"/>
      <c r="FMN40" s="37"/>
      <c r="FMO40" s="37"/>
      <c r="FMP40" s="37"/>
      <c r="FMQ40" s="37"/>
      <c r="FMR40" s="37"/>
      <c r="FMS40" s="37"/>
      <c r="FMT40" s="37"/>
      <c r="FMU40" s="37"/>
      <c r="FMV40" s="37"/>
      <c r="FMW40" s="37"/>
      <c r="FMX40" s="37"/>
      <c r="FMY40" s="37"/>
      <c r="FMZ40" s="37"/>
      <c r="FNA40" s="37"/>
      <c r="FNB40" s="37"/>
      <c r="FNC40" s="37"/>
      <c r="FND40" s="37"/>
      <c r="FNE40" s="37"/>
      <c r="FNF40" s="37"/>
      <c r="FNG40" s="37"/>
      <c r="FNH40" s="37"/>
      <c r="FNI40" s="37"/>
      <c r="FNJ40" s="37"/>
      <c r="FNK40" s="37"/>
      <c r="FNL40" s="37"/>
      <c r="FNM40" s="37"/>
      <c r="FNN40" s="37"/>
      <c r="FNO40" s="37"/>
      <c r="FNP40" s="37"/>
      <c r="FNQ40" s="37"/>
      <c r="FNR40" s="37"/>
      <c r="FNS40" s="37"/>
      <c r="FNT40" s="37"/>
      <c r="FNU40" s="37"/>
      <c r="FNV40" s="37"/>
      <c r="FNW40" s="37"/>
      <c r="FNX40" s="37"/>
      <c r="FNY40" s="37"/>
      <c r="FNZ40" s="37"/>
      <c r="FOA40" s="37"/>
      <c r="FOB40" s="37"/>
      <c r="FOC40" s="37"/>
      <c r="FOD40" s="37"/>
      <c r="FOE40" s="37"/>
      <c r="FOF40" s="37"/>
      <c r="FOG40" s="37"/>
      <c r="FOH40" s="37"/>
      <c r="FOI40" s="37"/>
      <c r="FOJ40" s="37"/>
      <c r="FOK40" s="37"/>
      <c r="FOL40" s="37"/>
      <c r="FOM40" s="37"/>
      <c r="FON40" s="37"/>
      <c r="FOO40" s="37"/>
      <c r="FOP40" s="37"/>
      <c r="FOQ40" s="37"/>
      <c r="FOR40" s="37"/>
      <c r="FOS40" s="37"/>
      <c r="FOT40" s="37"/>
      <c r="FOU40" s="37"/>
      <c r="FOV40" s="37"/>
      <c r="FOW40" s="37"/>
      <c r="FOX40" s="37"/>
      <c r="FOY40" s="37"/>
      <c r="FOZ40" s="37"/>
      <c r="FPA40" s="37"/>
      <c r="FPB40" s="37"/>
      <c r="FPC40" s="37"/>
      <c r="FPD40" s="37"/>
      <c r="FPE40" s="37"/>
      <c r="FPF40" s="37"/>
      <c r="FPG40" s="37"/>
      <c r="FPH40" s="37"/>
      <c r="FPI40" s="37"/>
      <c r="FPJ40" s="37"/>
      <c r="FPK40" s="37"/>
      <c r="FPL40" s="37"/>
      <c r="FPM40" s="37"/>
      <c r="FPN40" s="37"/>
      <c r="FPO40" s="37"/>
      <c r="FPP40" s="37"/>
      <c r="FPQ40" s="37"/>
      <c r="FPR40" s="37"/>
      <c r="FPS40" s="37"/>
      <c r="FPT40" s="37"/>
      <c r="FPU40" s="37"/>
      <c r="FPV40" s="37"/>
      <c r="FPW40" s="37"/>
      <c r="FPX40" s="37"/>
      <c r="FPY40" s="37"/>
      <c r="FPZ40" s="37"/>
      <c r="FQA40" s="37"/>
      <c r="FQB40" s="37"/>
      <c r="FQC40" s="37"/>
      <c r="FQD40" s="37"/>
      <c r="FQE40" s="37"/>
      <c r="FQF40" s="37"/>
      <c r="FQG40" s="37"/>
      <c r="FQH40" s="37"/>
      <c r="FQI40" s="37"/>
      <c r="FQJ40" s="37"/>
      <c r="FQK40" s="37"/>
      <c r="FQL40" s="37"/>
      <c r="FQM40" s="37"/>
      <c r="FQN40" s="37"/>
      <c r="FQO40" s="37"/>
      <c r="FQP40" s="37"/>
      <c r="FQQ40" s="37"/>
      <c r="FQR40" s="37"/>
      <c r="FQS40" s="37"/>
      <c r="FQT40" s="37"/>
      <c r="FQU40" s="37"/>
      <c r="FQV40" s="37"/>
      <c r="FQW40" s="37"/>
      <c r="FQX40" s="37"/>
      <c r="FQY40" s="37"/>
      <c r="FQZ40" s="37"/>
      <c r="FRA40" s="37"/>
      <c r="FRB40" s="37"/>
      <c r="FRC40" s="37"/>
      <c r="FRD40" s="37"/>
      <c r="FRE40" s="37"/>
      <c r="FRF40" s="37"/>
      <c r="FRG40" s="37"/>
      <c r="FRH40" s="37"/>
      <c r="FRI40" s="37"/>
      <c r="FRJ40" s="37"/>
      <c r="FRK40" s="37"/>
      <c r="FRL40" s="37"/>
      <c r="FRM40" s="37"/>
      <c r="FRN40" s="37"/>
      <c r="FRO40" s="37"/>
      <c r="FRP40" s="37"/>
      <c r="FRQ40" s="37"/>
      <c r="FRR40" s="37"/>
      <c r="FRS40" s="37"/>
      <c r="FRT40" s="37"/>
      <c r="FRU40" s="37"/>
      <c r="FRV40" s="37"/>
      <c r="FRW40" s="37"/>
      <c r="FRX40" s="37"/>
      <c r="FRY40" s="37"/>
      <c r="FRZ40" s="37"/>
      <c r="FSA40" s="37"/>
      <c r="FSB40" s="37"/>
      <c r="FSC40" s="37"/>
      <c r="FSD40" s="37"/>
      <c r="FSE40" s="37"/>
      <c r="FSF40" s="37"/>
      <c r="FSG40" s="37"/>
      <c r="FSH40" s="37"/>
      <c r="FSI40" s="37"/>
      <c r="FSJ40" s="37"/>
      <c r="FSK40" s="37"/>
      <c r="FSL40" s="37"/>
      <c r="FSM40" s="37"/>
      <c r="FSN40" s="37"/>
      <c r="FSO40" s="37"/>
      <c r="FSP40" s="37"/>
      <c r="FSQ40" s="37"/>
      <c r="FSR40" s="37"/>
      <c r="FSS40" s="37"/>
      <c r="FST40" s="37"/>
      <c r="FSU40" s="37"/>
      <c r="FSV40" s="37"/>
      <c r="FSW40" s="37"/>
      <c r="FSX40" s="37"/>
      <c r="FSY40" s="37"/>
      <c r="FSZ40" s="37"/>
      <c r="FTA40" s="37"/>
      <c r="FTB40" s="37"/>
      <c r="FTC40" s="37"/>
      <c r="FTD40" s="37"/>
      <c r="FTE40" s="37"/>
      <c r="FTF40" s="37"/>
      <c r="FTG40" s="37"/>
      <c r="FTH40" s="37"/>
      <c r="FTI40" s="37"/>
      <c r="FTJ40" s="37"/>
      <c r="FTK40" s="37"/>
      <c r="FTL40" s="37"/>
      <c r="FTM40" s="37"/>
      <c r="FTN40" s="37"/>
      <c r="FTO40" s="37"/>
      <c r="FTP40" s="37"/>
      <c r="FTQ40" s="37"/>
      <c r="FTR40" s="37"/>
      <c r="FTS40" s="37"/>
      <c r="FTT40" s="37"/>
      <c r="FTU40" s="37"/>
      <c r="FTV40" s="37"/>
      <c r="FTW40" s="37"/>
      <c r="FTX40" s="37"/>
      <c r="FTY40" s="37"/>
      <c r="FTZ40" s="37"/>
      <c r="FUA40" s="37"/>
      <c r="FUB40" s="37"/>
      <c r="FUC40" s="37"/>
      <c r="FUD40" s="37"/>
      <c r="FUE40" s="37"/>
      <c r="FUF40" s="37"/>
      <c r="FUG40" s="37"/>
      <c r="FUH40" s="37"/>
      <c r="FUI40" s="37"/>
      <c r="FUJ40" s="37"/>
      <c r="FUK40" s="37"/>
      <c r="FUL40" s="37"/>
      <c r="FUM40" s="37"/>
      <c r="FUN40" s="37"/>
      <c r="FUO40" s="37"/>
      <c r="FUP40" s="37"/>
      <c r="FUQ40" s="37"/>
      <c r="FUR40" s="37"/>
      <c r="FUS40" s="37"/>
      <c r="FUT40" s="37"/>
      <c r="FUU40" s="37"/>
      <c r="FUV40" s="37"/>
      <c r="FUW40" s="37"/>
      <c r="FUX40" s="37"/>
      <c r="FUY40" s="37"/>
      <c r="FUZ40" s="37"/>
      <c r="FVA40" s="37"/>
      <c r="FVB40" s="37"/>
      <c r="FVC40" s="37"/>
      <c r="FVD40" s="37"/>
      <c r="FVE40" s="37"/>
      <c r="FVF40" s="37"/>
      <c r="FVG40" s="37"/>
      <c r="FVH40" s="37"/>
      <c r="FVI40" s="37"/>
      <c r="FVJ40" s="37"/>
      <c r="FVK40" s="37"/>
      <c r="FVL40" s="37"/>
      <c r="FVM40" s="37"/>
      <c r="FVN40" s="37"/>
      <c r="FVO40" s="37"/>
      <c r="FVP40" s="37"/>
      <c r="FVQ40" s="37"/>
      <c r="FVR40" s="37"/>
      <c r="FVS40" s="37"/>
      <c r="FVT40" s="37"/>
      <c r="FVU40" s="37"/>
      <c r="FVV40" s="37"/>
      <c r="FVW40" s="37"/>
      <c r="FVX40" s="37"/>
      <c r="FVY40" s="37"/>
      <c r="FVZ40" s="37"/>
      <c r="FWA40" s="37"/>
      <c r="FWB40" s="37"/>
      <c r="FWC40" s="37"/>
      <c r="FWD40" s="37"/>
      <c r="FWE40" s="37"/>
      <c r="FWF40" s="37"/>
      <c r="FWG40" s="37"/>
      <c r="FWH40" s="37"/>
      <c r="FWI40" s="37"/>
      <c r="FWJ40" s="37"/>
      <c r="FWK40" s="37"/>
      <c r="FWL40" s="37"/>
      <c r="FWM40" s="37"/>
      <c r="FWN40" s="37"/>
      <c r="FWO40" s="37"/>
      <c r="FWP40" s="37"/>
      <c r="FWQ40" s="37"/>
      <c r="FWR40" s="37"/>
      <c r="FWS40" s="37"/>
      <c r="FWT40" s="37"/>
      <c r="FWU40" s="37"/>
      <c r="FWV40" s="37"/>
      <c r="FWW40" s="37"/>
      <c r="FWX40" s="37"/>
      <c r="FWY40" s="37"/>
      <c r="FWZ40" s="37"/>
      <c r="FXA40" s="37"/>
      <c r="FXB40" s="37"/>
      <c r="FXC40" s="37"/>
      <c r="FXD40" s="37"/>
      <c r="FXE40" s="37"/>
      <c r="FXF40" s="37"/>
      <c r="FXG40" s="37"/>
      <c r="FXH40" s="37"/>
      <c r="FXI40" s="37"/>
      <c r="FXJ40" s="37"/>
      <c r="FXK40" s="37"/>
      <c r="FXL40" s="37"/>
      <c r="FXM40" s="37"/>
      <c r="FXN40" s="37"/>
      <c r="FXO40" s="37"/>
      <c r="FXP40" s="37"/>
      <c r="FXQ40" s="37"/>
      <c r="FXR40" s="37"/>
      <c r="FXS40" s="37"/>
      <c r="FXT40" s="37"/>
      <c r="FXU40" s="37"/>
      <c r="FXV40" s="37"/>
      <c r="FXW40" s="37"/>
      <c r="FXX40" s="37"/>
      <c r="FXY40" s="37"/>
      <c r="FXZ40" s="37"/>
      <c r="FYA40" s="37"/>
      <c r="FYB40" s="37"/>
      <c r="FYC40" s="37"/>
      <c r="FYD40" s="37"/>
      <c r="FYE40" s="37"/>
      <c r="FYF40" s="37"/>
      <c r="FYG40" s="37"/>
      <c r="FYH40" s="37"/>
      <c r="FYI40" s="37"/>
      <c r="FYJ40" s="37"/>
      <c r="FYK40" s="37"/>
      <c r="FYL40" s="37"/>
      <c r="FYM40" s="37"/>
      <c r="FYN40" s="37"/>
      <c r="FYO40" s="37"/>
      <c r="FYP40" s="37"/>
      <c r="FYQ40" s="37"/>
      <c r="FYR40" s="37"/>
      <c r="FYS40" s="37"/>
      <c r="FYT40" s="37"/>
      <c r="FYU40" s="37"/>
      <c r="FYV40" s="37"/>
      <c r="FYW40" s="37"/>
      <c r="FYX40" s="37"/>
      <c r="FYY40" s="37"/>
      <c r="FYZ40" s="37"/>
      <c r="FZA40" s="37"/>
      <c r="FZB40" s="37"/>
      <c r="FZC40" s="37"/>
      <c r="FZD40" s="37"/>
      <c r="FZE40" s="37"/>
      <c r="FZF40" s="37"/>
      <c r="FZG40" s="37"/>
      <c r="FZH40" s="37"/>
      <c r="FZI40" s="37"/>
      <c r="FZJ40" s="37"/>
      <c r="FZK40" s="37"/>
      <c r="FZL40" s="37"/>
      <c r="FZM40" s="37"/>
      <c r="FZN40" s="37"/>
      <c r="FZO40" s="37"/>
      <c r="FZP40" s="37"/>
      <c r="FZQ40" s="37"/>
      <c r="FZR40" s="37"/>
      <c r="FZS40" s="37"/>
      <c r="FZT40" s="37"/>
      <c r="FZU40" s="37"/>
      <c r="FZV40" s="37"/>
      <c r="FZW40" s="37"/>
      <c r="FZX40" s="37"/>
      <c r="FZY40" s="37"/>
      <c r="FZZ40" s="37"/>
      <c r="GAA40" s="37"/>
      <c r="GAB40" s="37"/>
      <c r="GAC40" s="37"/>
      <c r="GAD40" s="37"/>
      <c r="GAE40" s="37"/>
      <c r="GAF40" s="37"/>
      <c r="GAG40" s="37"/>
      <c r="GAH40" s="37"/>
      <c r="GAI40" s="37"/>
      <c r="GAJ40" s="37"/>
      <c r="GAK40" s="37"/>
      <c r="GAL40" s="37"/>
      <c r="GAM40" s="37"/>
      <c r="GAN40" s="37"/>
      <c r="GAO40" s="37"/>
      <c r="GAP40" s="37"/>
      <c r="GAQ40" s="37"/>
      <c r="GAR40" s="37"/>
      <c r="GAS40" s="37"/>
      <c r="GAT40" s="37"/>
      <c r="GAU40" s="37"/>
      <c r="GAV40" s="37"/>
      <c r="GAW40" s="37"/>
      <c r="GAX40" s="37"/>
      <c r="GAY40" s="37"/>
      <c r="GAZ40" s="37"/>
      <c r="GBA40" s="37"/>
      <c r="GBB40" s="37"/>
      <c r="GBC40" s="37"/>
      <c r="GBD40" s="37"/>
      <c r="GBE40" s="37"/>
      <c r="GBF40" s="37"/>
      <c r="GBG40" s="37"/>
      <c r="GBH40" s="37"/>
      <c r="GBI40" s="37"/>
      <c r="GBJ40" s="37"/>
      <c r="GBK40" s="37"/>
      <c r="GBL40" s="37"/>
      <c r="GBM40" s="37"/>
      <c r="GBN40" s="37"/>
      <c r="GBO40" s="37"/>
      <c r="GBP40" s="37"/>
      <c r="GBQ40" s="37"/>
      <c r="GBR40" s="37"/>
      <c r="GBS40" s="37"/>
      <c r="GBT40" s="37"/>
      <c r="GBU40" s="37"/>
      <c r="GBV40" s="37"/>
      <c r="GBW40" s="37"/>
      <c r="GBX40" s="37"/>
      <c r="GBY40" s="37"/>
      <c r="GBZ40" s="37"/>
      <c r="GCA40" s="37"/>
      <c r="GCB40" s="37"/>
      <c r="GCC40" s="37"/>
      <c r="GCD40" s="37"/>
      <c r="GCE40" s="37"/>
      <c r="GCF40" s="37"/>
      <c r="GCG40" s="37"/>
      <c r="GCH40" s="37"/>
      <c r="GCI40" s="37"/>
      <c r="GCJ40" s="37"/>
      <c r="GCK40" s="37"/>
      <c r="GCL40" s="37"/>
      <c r="GCM40" s="37"/>
      <c r="GCN40" s="37"/>
      <c r="GCO40" s="37"/>
      <c r="GCP40" s="37"/>
      <c r="GCQ40" s="37"/>
      <c r="GCR40" s="37"/>
      <c r="GCS40" s="37"/>
      <c r="GCT40" s="37"/>
      <c r="GCU40" s="37"/>
      <c r="GCV40" s="37"/>
      <c r="GCW40" s="37"/>
      <c r="GCX40" s="37"/>
      <c r="GCY40" s="37"/>
      <c r="GCZ40" s="37"/>
      <c r="GDA40" s="37"/>
      <c r="GDB40" s="37"/>
      <c r="GDC40" s="37"/>
      <c r="GDD40" s="37"/>
      <c r="GDE40" s="37"/>
      <c r="GDF40" s="37"/>
      <c r="GDG40" s="37"/>
      <c r="GDH40" s="37"/>
      <c r="GDI40" s="37"/>
      <c r="GDJ40" s="37"/>
      <c r="GDK40" s="37"/>
      <c r="GDL40" s="37"/>
      <c r="GDM40" s="37"/>
      <c r="GDN40" s="37"/>
      <c r="GDO40" s="37"/>
      <c r="GDP40" s="37"/>
      <c r="GDQ40" s="37"/>
      <c r="GDR40" s="37"/>
      <c r="GDS40" s="37"/>
      <c r="GDT40" s="37"/>
      <c r="GDU40" s="37"/>
      <c r="GDV40" s="37"/>
      <c r="GDW40" s="37"/>
      <c r="GDX40" s="37"/>
      <c r="GDY40" s="37"/>
      <c r="GDZ40" s="37"/>
      <c r="GEA40" s="37"/>
      <c r="GEB40" s="37"/>
      <c r="GEC40" s="37"/>
      <c r="GED40" s="37"/>
      <c r="GEE40" s="37"/>
      <c r="GEF40" s="37"/>
      <c r="GEG40" s="37"/>
      <c r="GEH40" s="37"/>
      <c r="GEI40" s="37"/>
      <c r="GEJ40" s="37"/>
      <c r="GEK40" s="37"/>
      <c r="GEL40" s="37"/>
      <c r="GEM40" s="37"/>
      <c r="GEN40" s="37"/>
      <c r="GEO40" s="37"/>
      <c r="GEP40" s="37"/>
      <c r="GEQ40" s="37"/>
      <c r="GER40" s="37"/>
      <c r="GES40" s="37"/>
      <c r="GET40" s="37"/>
      <c r="GEU40" s="37"/>
      <c r="GEV40" s="37"/>
      <c r="GEW40" s="37"/>
      <c r="GEX40" s="37"/>
      <c r="GEY40" s="37"/>
      <c r="GEZ40" s="37"/>
      <c r="GFA40" s="37"/>
      <c r="GFB40" s="37"/>
      <c r="GFC40" s="37"/>
      <c r="GFD40" s="37"/>
      <c r="GFE40" s="37"/>
      <c r="GFF40" s="37"/>
      <c r="GFG40" s="37"/>
      <c r="GFH40" s="37"/>
      <c r="GFI40" s="37"/>
      <c r="GFJ40" s="37"/>
      <c r="GFK40" s="37"/>
      <c r="GFL40" s="37"/>
      <c r="GFM40" s="37"/>
      <c r="GFN40" s="37"/>
      <c r="GFO40" s="37"/>
      <c r="GFP40" s="37"/>
      <c r="GFQ40" s="37"/>
      <c r="GFR40" s="37"/>
      <c r="GFS40" s="37"/>
      <c r="GFT40" s="37"/>
      <c r="GFU40" s="37"/>
      <c r="GFV40" s="37"/>
      <c r="GFW40" s="37"/>
      <c r="GFX40" s="37"/>
      <c r="GFY40" s="37"/>
      <c r="GFZ40" s="37"/>
      <c r="GGA40" s="37"/>
      <c r="GGB40" s="37"/>
      <c r="GGC40" s="37"/>
      <c r="GGD40" s="37"/>
      <c r="GGE40" s="37"/>
      <c r="GGF40" s="37"/>
      <c r="GGG40" s="37"/>
      <c r="GGH40" s="37"/>
      <c r="GGI40" s="37"/>
      <c r="GGJ40" s="37"/>
      <c r="GGK40" s="37"/>
      <c r="GGL40" s="37"/>
      <c r="GGM40" s="37"/>
      <c r="GGN40" s="37"/>
      <c r="GGO40" s="37"/>
      <c r="GGP40" s="37"/>
      <c r="GGQ40" s="37"/>
      <c r="GGR40" s="37"/>
      <c r="GGS40" s="37"/>
      <c r="GGT40" s="37"/>
      <c r="GGU40" s="37"/>
      <c r="GGV40" s="37"/>
      <c r="GGW40" s="37"/>
      <c r="GGX40" s="37"/>
      <c r="GGY40" s="37"/>
      <c r="GGZ40" s="37"/>
      <c r="GHA40" s="37"/>
      <c r="GHB40" s="37"/>
      <c r="GHC40" s="37"/>
      <c r="GHD40" s="37"/>
      <c r="GHE40" s="37"/>
      <c r="GHF40" s="37"/>
      <c r="GHG40" s="37"/>
      <c r="GHH40" s="37"/>
      <c r="GHI40" s="37"/>
      <c r="GHJ40" s="37"/>
      <c r="GHK40" s="37"/>
      <c r="GHL40" s="37"/>
      <c r="GHM40" s="37"/>
      <c r="GHN40" s="37"/>
      <c r="GHO40" s="37"/>
      <c r="GHP40" s="37"/>
      <c r="GHQ40" s="37"/>
      <c r="GHR40" s="37"/>
      <c r="GHS40" s="37"/>
      <c r="GHT40" s="37"/>
      <c r="GHU40" s="37"/>
      <c r="GHV40" s="37"/>
      <c r="GHW40" s="37"/>
      <c r="GHX40" s="37"/>
      <c r="GHY40" s="37"/>
      <c r="GHZ40" s="37"/>
      <c r="GIA40" s="37"/>
      <c r="GIB40" s="37"/>
      <c r="GIC40" s="37"/>
      <c r="GID40" s="37"/>
      <c r="GIE40" s="37"/>
      <c r="GIF40" s="37"/>
      <c r="GIG40" s="37"/>
      <c r="GIH40" s="37"/>
      <c r="GII40" s="37"/>
      <c r="GIJ40" s="37"/>
      <c r="GIK40" s="37"/>
      <c r="GIL40" s="37"/>
      <c r="GIM40" s="37"/>
      <c r="GIN40" s="37"/>
      <c r="GIO40" s="37"/>
      <c r="GIP40" s="37"/>
      <c r="GIQ40" s="37"/>
      <c r="GIR40" s="37"/>
      <c r="GIS40" s="37"/>
      <c r="GIT40" s="37"/>
      <c r="GIU40" s="37"/>
      <c r="GIV40" s="37"/>
      <c r="GIW40" s="37"/>
      <c r="GIX40" s="37"/>
      <c r="GIY40" s="37"/>
      <c r="GIZ40" s="37"/>
      <c r="GJA40" s="37"/>
      <c r="GJB40" s="37"/>
      <c r="GJC40" s="37"/>
      <c r="GJD40" s="37"/>
      <c r="GJE40" s="37"/>
      <c r="GJF40" s="37"/>
      <c r="GJG40" s="37"/>
      <c r="GJH40" s="37"/>
      <c r="GJI40" s="37"/>
      <c r="GJJ40" s="37"/>
      <c r="GJK40" s="37"/>
      <c r="GJL40" s="37"/>
      <c r="GJM40" s="37"/>
      <c r="GJN40" s="37"/>
      <c r="GJO40" s="37"/>
      <c r="GJP40" s="37"/>
      <c r="GJQ40" s="37"/>
      <c r="GJR40" s="37"/>
      <c r="GJS40" s="37"/>
      <c r="GJT40" s="37"/>
      <c r="GJU40" s="37"/>
      <c r="GJV40" s="37"/>
      <c r="GJW40" s="37"/>
      <c r="GJX40" s="37"/>
      <c r="GJY40" s="37"/>
      <c r="GJZ40" s="37"/>
      <c r="GKA40" s="37"/>
      <c r="GKB40" s="37"/>
      <c r="GKC40" s="37"/>
      <c r="GKD40" s="37"/>
      <c r="GKE40" s="37"/>
      <c r="GKF40" s="37"/>
      <c r="GKG40" s="37"/>
      <c r="GKH40" s="37"/>
      <c r="GKI40" s="37"/>
      <c r="GKJ40" s="37"/>
      <c r="GKK40" s="37"/>
      <c r="GKL40" s="37"/>
      <c r="GKM40" s="37"/>
      <c r="GKN40" s="37"/>
      <c r="GKO40" s="37"/>
      <c r="GKP40" s="37"/>
      <c r="GKQ40" s="37"/>
      <c r="GKR40" s="37"/>
      <c r="GKS40" s="37"/>
      <c r="GKT40" s="37"/>
      <c r="GKU40" s="37"/>
      <c r="GKV40" s="37"/>
      <c r="GKW40" s="37"/>
      <c r="GKX40" s="37"/>
      <c r="GKY40" s="37"/>
      <c r="GKZ40" s="37"/>
      <c r="GLA40" s="37"/>
      <c r="GLB40" s="37"/>
      <c r="GLC40" s="37"/>
      <c r="GLD40" s="37"/>
      <c r="GLE40" s="37"/>
      <c r="GLF40" s="37"/>
      <c r="GLG40" s="37"/>
      <c r="GLH40" s="37"/>
      <c r="GLI40" s="37"/>
      <c r="GLJ40" s="37"/>
      <c r="GLK40" s="37"/>
      <c r="GLL40" s="37"/>
      <c r="GLM40" s="37"/>
      <c r="GLN40" s="37"/>
      <c r="GLO40" s="37"/>
      <c r="GLP40" s="37"/>
      <c r="GLQ40" s="37"/>
      <c r="GLR40" s="37"/>
      <c r="GLS40" s="37"/>
      <c r="GLT40" s="37"/>
      <c r="GLU40" s="37"/>
      <c r="GLV40" s="37"/>
      <c r="GLW40" s="37"/>
      <c r="GLX40" s="37"/>
      <c r="GLY40" s="37"/>
      <c r="GLZ40" s="37"/>
      <c r="GMA40" s="37"/>
      <c r="GMB40" s="37"/>
      <c r="GMC40" s="37"/>
      <c r="GMD40" s="37"/>
      <c r="GME40" s="37"/>
      <c r="GMF40" s="37"/>
      <c r="GMG40" s="37"/>
      <c r="GMH40" s="37"/>
      <c r="GMI40" s="37"/>
      <c r="GMJ40" s="37"/>
      <c r="GMK40" s="37"/>
      <c r="GML40" s="37"/>
      <c r="GMM40" s="37"/>
      <c r="GMN40" s="37"/>
      <c r="GMO40" s="37"/>
      <c r="GMP40" s="37"/>
      <c r="GMQ40" s="37"/>
      <c r="GMR40" s="37"/>
      <c r="GMS40" s="37"/>
      <c r="GMT40" s="37"/>
      <c r="GMU40" s="37"/>
      <c r="GMV40" s="37"/>
      <c r="GMW40" s="37"/>
      <c r="GMX40" s="37"/>
      <c r="GMY40" s="37"/>
      <c r="GMZ40" s="37"/>
      <c r="GNA40" s="37"/>
      <c r="GNB40" s="37"/>
      <c r="GNC40" s="37"/>
      <c r="GND40" s="37"/>
      <c r="GNE40" s="37"/>
      <c r="GNF40" s="37"/>
      <c r="GNG40" s="37"/>
      <c r="GNH40" s="37"/>
      <c r="GNI40" s="37"/>
      <c r="GNJ40" s="37"/>
      <c r="GNK40" s="37"/>
      <c r="GNL40" s="37"/>
      <c r="GNM40" s="37"/>
      <c r="GNN40" s="37"/>
      <c r="GNO40" s="37"/>
      <c r="GNP40" s="37"/>
      <c r="GNQ40" s="37"/>
      <c r="GNR40" s="37"/>
      <c r="GNS40" s="37"/>
      <c r="GNT40" s="37"/>
      <c r="GNU40" s="37"/>
      <c r="GNV40" s="37"/>
      <c r="GNW40" s="37"/>
      <c r="GNX40" s="37"/>
      <c r="GNY40" s="37"/>
      <c r="GNZ40" s="37"/>
      <c r="GOA40" s="37"/>
      <c r="GOB40" s="37"/>
      <c r="GOC40" s="37"/>
      <c r="GOD40" s="37"/>
      <c r="GOE40" s="37"/>
      <c r="GOF40" s="37"/>
      <c r="GOG40" s="37"/>
      <c r="GOH40" s="37"/>
      <c r="GOI40" s="37"/>
      <c r="GOJ40" s="37"/>
      <c r="GOK40" s="37"/>
      <c r="GOL40" s="37"/>
      <c r="GOM40" s="37"/>
      <c r="GON40" s="37"/>
      <c r="GOO40" s="37"/>
      <c r="GOP40" s="37"/>
      <c r="GOQ40" s="37"/>
      <c r="GOR40" s="37"/>
      <c r="GOS40" s="37"/>
      <c r="GOT40" s="37"/>
      <c r="GOU40" s="37"/>
      <c r="GOV40" s="37"/>
      <c r="GOW40" s="37"/>
      <c r="GOX40" s="37"/>
      <c r="GOY40" s="37"/>
      <c r="GOZ40" s="37"/>
      <c r="GPA40" s="37"/>
      <c r="GPB40" s="37"/>
      <c r="GPC40" s="37"/>
      <c r="GPD40" s="37"/>
      <c r="GPE40" s="37"/>
      <c r="GPF40" s="37"/>
      <c r="GPG40" s="37"/>
      <c r="GPH40" s="37"/>
      <c r="GPI40" s="37"/>
      <c r="GPJ40" s="37"/>
      <c r="GPK40" s="37"/>
      <c r="GPL40" s="37"/>
      <c r="GPM40" s="37"/>
      <c r="GPN40" s="37"/>
      <c r="GPO40" s="37"/>
      <c r="GPP40" s="37"/>
      <c r="GPQ40" s="37"/>
      <c r="GPR40" s="37"/>
      <c r="GPS40" s="37"/>
      <c r="GPT40" s="37"/>
      <c r="GPU40" s="37"/>
      <c r="GPV40" s="37"/>
      <c r="GPW40" s="37"/>
      <c r="GPX40" s="37"/>
      <c r="GPY40" s="37"/>
      <c r="GPZ40" s="37"/>
      <c r="GQA40" s="37"/>
      <c r="GQB40" s="37"/>
      <c r="GQC40" s="37"/>
      <c r="GQD40" s="37"/>
      <c r="GQE40" s="37"/>
      <c r="GQF40" s="37"/>
      <c r="GQG40" s="37"/>
      <c r="GQH40" s="37"/>
      <c r="GQI40" s="37"/>
      <c r="GQJ40" s="37"/>
      <c r="GQK40" s="37"/>
      <c r="GQL40" s="37"/>
      <c r="GQM40" s="37"/>
      <c r="GQN40" s="37"/>
      <c r="GQO40" s="37"/>
      <c r="GQP40" s="37"/>
      <c r="GQQ40" s="37"/>
      <c r="GQR40" s="37"/>
      <c r="GQS40" s="37"/>
      <c r="GQT40" s="37"/>
      <c r="GQU40" s="37"/>
      <c r="GQV40" s="37"/>
      <c r="GQW40" s="37"/>
      <c r="GQX40" s="37"/>
      <c r="GQY40" s="37"/>
      <c r="GQZ40" s="37"/>
      <c r="GRA40" s="37"/>
      <c r="GRB40" s="37"/>
      <c r="GRC40" s="37"/>
      <c r="GRD40" s="37"/>
      <c r="GRE40" s="37"/>
      <c r="GRF40" s="37"/>
      <c r="GRG40" s="37"/>
      <c r="GRH40" s="37"/>
      <c r="GRI40" s="37"/>
      <c r="GRJ40" s="37"/>
      <c r="GRK40" s="37"/>
      <c r="GRL40" s="37"/>
      <c r="GRM40" s="37"/>
      <c r="GRN40" s="37"/>
      <c r="GRO40" s="37"/>
      <c r="GRP40" s="37"/>
      <c r="GRQ40" s="37"/>
      <c r="GRR40" s="37"/>
      <c r="GRS40" s="37"/>
      <c r="GRT40" s="37"/>
      <c r="GRU40" s="37"/>
      <c r="GRV40" s="37"/>
      <c r="GRW40" s="37"/>
      <c r="GRX40" s="37"/>
      <c r="GRY40" s="37"/>
      <c r="GRZ40" s="37"/>
      <c r="GSA40" s="37"/>
      <c r="GSB40" s="37"/>
      <c r="GSC40" s="37"/>
      <c r="GSD40" s="37"/>
      <c r="GSE40" s="37"/>
      <c r="GSF40" s="37"/>
      <c r="GSG40" s="37"/>
      <c r="GSH40" s="37"/>
      <c r="GSI40" s="37"/>
      <c r="GSJ40" s="37"/>
      <c r="GSK40" s="37"/>
      <c r="GSL40" s="37"/>
      <c r="GSM40" s="37"/>
      <c r="GSN40" s="37"/>
      <c r="GSO40" s="37"/>
      <c r="GSP40" s="37"/>
      <c r="GSQ40" s="37"/>
      <c r="GSR40" s="37"/>
      <c r="GSS40" s="37"/>
      <c r="GST40" s="37"/>
      <c r="GSU40" s="37"/>
      <c r="GSV40" s="37"/>
      <c r="GSW40" s="37"/>
      <c r="GSX40" s="37"/>
      <c r="GSY40" s="37"/>
      <c r="GSZ40" s="37"/>
      <c r="GTA40" s="37"/>
      <c r="GTB40" s="37"/>
      <c r="GTC40" s="37"/>
      <c r="GTD40" s="37"/>
      <c r="GTE40" s="37"/>
      <c r="GTF40" s="37"/>
      <c r="GTG40" s="37"/>
      <c r="GTH40" s="37"/>
      <c r="GTI40" s="37"/>
      <c r="GTJ40" s="37"/>
      <c r="GTK40" s="37"/>
      <c r="GTL40" s="37"/>
      <c r="GTM40" s="37"/>
      <c r="GTN40" s="37"/>
      <c r="GTO40" s="37"/>
      <c r="GTP40" s="37"/>
      <c r="GTQ40" s="37"/>
      <c r="GTR40" s="37"/>
      <c r="GTS40" s="37"/>
      <c r="GTT40" s="37"/>
      <c r="GTU40" s="37"/>
      <c r="GTV40" s="37"/>
      <c r="GTW40" s="37"/>
      <c r="GTX40" s="37"/>
      <c r="GTY40" s="37"/>
      <c r="GTZ40" s="37"/>
      <c r="GUA40" s="37"/>
      <c r="GUB40" s="37"/>
      <c r="GUC40" s="37"/>
      <c r="GUD40" s="37"/>
      <c r="GUE40" s="37"/>
      <c r="GUF40" s="37"/>
      <c r="GUG40" s="37"/>
      <c r="GUH40" s="37"/>
      <c r="GUI40" s="37"/>
      <c r="GUJ40" s="37"/>
      <c r="GUK40" s="37"/>
      <c r="GUL40" s="37"/>
      <c r="GUM40" s="37"/>
      <c r="GUN40" s="37"/>
      <c r="GUO40" s="37"/>
      <c r="GUP40" s="37"/>
      <c r="GUQ40" s="37"/>
      <c r="GUR40" s="37"/>
      <c r="GUS40" s="37"/>
      <c r="GUT40" s="37"/>
      <c r="GUU40" s="37"/>
      <c r="GUV40" s="37"/>
      <c r="GUW40" s="37"/>
      <c r="GUX40" s="37"/>
      <c r="GUY40" s="37"/>
      <c r="GUZ40" s="37"/>
      <c r="GVA40" s="37"/>
      <c r="GVB40" s="37"/>
      <c r="GVC40" s="37"/>
      <c r="GVD40" s="37"/>
      <c r="GVE40" s="37"/>
      <c r="GVF40" s="37"/>
      <c r="GVG40" s="37"/>
      <c r="GVH40" s="37"/>
      <c r="GVI40" s="37"/>
      <c r="GVJ40" s="37"/>
      <c r="GVK40" s="37"/>
      <c r="GVL40" s="37"/>
      <c r="GVM40" s="37"/>
      <c r="GVN40" s="37"/>
      <c r="GVO40" s="37"/>
      <c r="GVP40" s="37"/>
      <c r="GVQ40" s="37"/>
      <c r="GVR40" s="37"/>
      <c r="GVS40" s="37"/>
      <c r="GVT40" s="37"/>
      <c r="GVU40" s="37"/>
      <c r="GVV40" s="37"/>
      <c r="GVW40" s="37"/>
      <c r="GVX40" s="37"/>
      <c r="GVY40" s="37"/>
      <c r="GVZ40" s="37"/>
      <c r="GWA40" s="37"/>
      <c r="GWB40" s="37"/>
      <c r="GWC40" s="37"/>
      <c r="GWD40" s="37"/>
      <c r="GWE40" s="37"/>
      <c r="GWF40" s="37"/>
      <c r="GWG40" s="37"/>
      <c r="GWH40" s="37"/>
      <c r="GWI40" s="37"/>
      <c r="GWJ40" s="37"/>
      <c r="GWK40" s="37"/>
      <c r="GWL40" s="37"/>
      <c r="GWM40" s="37"/>
      <c r="GWN40" s="37"/>
      <c r="GWO40" s="37"/>
      <c r="GWP40" s="37"/>
      <c r="GWQ40" s="37"/>
      <c r="GWR40" s="37"/>
      <c r="GWS40" s="37"/>
      <c r="GWT40" s="37"/>
      <c r="GWU40" s="37"/>
      <c r="GWV40" s="37"/>
      <c r="GWW40" s="37"/>
      <c r="GWX40" s="37"/>
      <c r="GWY40" s="37"/>
      <c r="GWZ40" s="37"/>
      <c r="GXA40" s="37"/>
      <c r="GXB40" s="37"/>
      <c r="GXC40" s="37"/>
      <c r="GXD40" s="37"/>
      <c r="GXE40" s="37"/>
      <c r="GXF40" s="37"/>
      <c r="GXG40" s="37"/>
      <c r="GXH40" s="37"/>
      <c r="GXI40" s="37"/>
      <c r="GXJ40" s="37"/>
      <c r="GXK40" s="37"/>
      <c r="GXL40" s="37"/>
      <c r="GXM40" s="37"/>
      <c r="GXN40" s="37"/>
      <c r="GXO40" s="37"/>
      <c r="GXP40" s="37"/>
      <c r="GXQ40" s="37"/>
      <c r="GXR40" s="37"/>
      <c r="GXS40" s="37"/>
      <c r="GXT40" s="37"/>
      <c r="GXU40" s="37"/>
      <c r="GXV40" s="37"/>
      <c r="GXW40" s="37"/>
      <c r="GXX40" s="37"/>
      <c r="GXY40" s="37"/>
      <c r="GXZ40" s="37"/>
      <c r="GYA40" s="37"/>
      <c r="GYB40" s="37"/>
      <c r="GYC40" s="37"/>
      <c r="GYD40" s="37"/>
      <c r="GYE40" s="37"/>
      <c r="GYF40" s="37"/>
      <c r="GYG40" s="37"/>
      <c r="GYH40" s="37"/>
      <c r="GYI40" s="37"/>
      <c r="GYJ40" s="37"/>
      <c r="GYK40" s="37"/>
      <c r="GYL40" s="37"/>
      <c r="GYM40" s="37"/>
      <c r="GYN40" s="37"/>
      <c r="GYO40" s="37"/>
      <c r="GYP40" s="37"/>
      <c r="GYQ40" s="37"/>
      <c r="GYR40" s="37"/>
      <c r="GYS40" s="37"/>
      <c r="GYT40" s="37"/>
      <c r="GYU40" s="37"/>
      <c r="GYV40" s="37"/>
      <c r="GYW40" s="37"/>
      <c r="GYX40" s="37"/>
      <c r="GYY40" s="37"/>
      <c r="GYZ40" s="37"/>
      <c r="GZA40" s="37"/>
      <c r="GZB40" s="37"/>
      <c r="GZC40" s="37"/>
      <c r="GZD40" s="37"/>
      <c r="GZE40" s="37"/>
      <c r="GZF40" s="37"/>
      <c r="GZG40" s="37"/>
      <c r="GZH40" s="37"/>
      <c r="GZI40" s="37"/>
      <c r="GZJ40" s="37"/>
      <c r="GZK40" s="37"/>
      <c r="GZL40" s="37"/>
      <c r="GZM40" s="37"/>
      <c r="GZN40" s="37"/>
      <c r="GZO40" s="37"/>
      <c r="GZP40" s="37"/>
      <c r="GZQ40" s="37"/>
      <c r="GZR40" s="37"/>
      <c r="GZS40" s="37"/>
      <c r="GZT40" s="37"/>
      <c r="GZU40" s="37"/>
      <c r="GZV40" s="37"/>
      <c r="GZW40" s="37"/>
      <c r="GZX40" s="37"/>
      <c r="GZY40" s="37"/>
      <c r="GZZ40" s="37"/>
      <c r="HAA40" s="37"/>
      <c r="HAB40" s="37"/>
      <c r="HAC40" s="37"/>
      <c r="HAD40" s="37"/>
      <c r="HAE40" s="37"/>
      <c r="HAF40" s="37"/>
      <c r="HAG40" s="37"/>
      <c r="HAH40" s="37"/>
      <c r="HAI40" s="37"/>
      <c r="HAJ40" s="37"/>
      <c r="HAK40" s="37"/>
      <c r="HAL40" s="37"/>
      <c r="HAM40" s="37"/>
      <c r="HAN40" s="37"/>
      <c r="HAO40" s="37"/>
      <c r="HAP40" s="37"/>
      <c r="HAQ40" s="37"/>
      <c r="HAR40" s="37"/>
      <c r="HAS40" s="37"/>
      <c r="HAT40" s="37"/>
      <c r="HAU40" s="37"/>
      <c r="HAV40" s="37"/>
      <c r="HAW40" s="37"/>
      <c r="HAX40" s="37"/>
      <c r="HAY40" s="37"/>
      <c r="HAZ40" s="37"/>
      <c r="HBA40" s="37"/>
      <c r="HBB40" s="37"/>
      <c r="HBC40" s="37"/>
      <c r="HBD40" s="37"/>
      <c r="HBE40" s="37"/>
      <c r="HBF40" s="37"/>
      <c r="HBG40" s="37"/>
      <c r="HBH40" s="37"/>
      <c r="HBI40" s="37"/>
      <c r="HBJ40" s="37"/>
      <c r="HBK40" s="37"/>
      <c r="HBL40" s="37"/>
      <c r="HBM40" s="37"/>
      <c r="HBN40" s="37"/>
      <c r="HBO40" s="37"/>
      <c r="HBP40" s="37"/>
      <c r="HBQ40" s="37"/>
      <c r="HBR40" s="37"/>
      <c r="HBS40" s="37"/>
      <c r="HBT40" s="37"/>
      <c r="HBU40" s="37"/>
      <c r="HBV40" s="37"/>
      <c r="HBW40" s="37"/>
      <c r="HBX40" s="37"/>
      <c r="HBY40" s="37"/>
      <c r="HBZ40" s="37"/>
      <c r="HCA40" s="37"/>
      <c r="HCB40" s="37"/>
      <c r="HCC40" s="37"/>
      <c r="HCD40" s="37"/>
      <c r="HCE40" s="37"/>
      <c r="HCF40" s="37"/>
      <c r="HCG40" s="37"/>
      <c r="HCH40" s="37"/>
      <c r="HCI40" s="37"/>
      <c r="HCJ40" s="37"/>
      <c r="HCK40" s="37"/>
      <c r="HCL40" s="37"/>
      <c r="HCM40" s="37"/>
      <c r="HCN40" s="37"/>
      <c r="HCO40" s="37"/>
      <c r="HCP40" s="37"/>
      <c r="HCQ40" s="37"/>
      <c r="HCR40" s="37"/>
      <c r="HCS40" s="37"/>
      <c r="HCT40" s="37"/>
      <c r="HCU40" s="37"/>
      <c r="HCV40" s="37"/>
      <c r="HCW40" s="37"/>
      <c r="HCX40" s="37"/>
      <c r="HCY40" s="37"/>
      <c r="HCZ40" s="37"/>
      <c r="HDA40" s="37"/>
      <c r="HDB40" s="37"/>
      <c r="HDC40" s="37"/>
      <c r="HDD40" s="37"/>
      <c r="HDE40" s="37"/>
      <c r="HDF40" s="37"/>
      <c r="HDG40" s="37"/>
      <c r="HDH40" s="37"/>
      <c r="HDI40" s="37"/>
      <c r="HDJ40" s="37"/>
      <c r="HDK40" s="37"/>
      <c r="HDL40" s="37"/>
      <c r="HDM40" s="37"/>
      <c r="HDN40" s="37"/>
      <c r="HDO40" s="37"/>
      <c r="HDP40" s="37"/>
      <c r="HDQ40" s="37"/>
      <c r="HDR40" s="37"/>
      <c r="HDS40" s="37"/>
      <c r="HDT40" s="37"/>
      <c r="HDU40" s="37"/>
      <c r="HDV40" s="37"/>
      <c r="HDW40" s="37"/>
      <c r="HDX40" s="37"/>
      <c r="HDY40" s="37"/>
      <c r="HDZ40" s="37"/>
      <c r="HEA40" s="37"/>
      <c r="HEB40" s="37"/>
      <c r="HEC40" s="37"/>
      <c r="HED40" s="37"/>
      <c r="HEE40" s="37"/>
      <c r="HEF40" s="37"/>
      <c r="HEG40" s="37"/>
      <c r="HEH40" s="37"/>
      <c r="HEI40" s="37"/>
      <c r="HEJ40" s="37"/>
      <c r="HEK40" s="37"/>
      <c r="HEL40" s="37"/>
      <c r="HEM40" s="37"/>
      <c r="HEN40" s="37"/>
      <c r="HEO40" s="37"/>
      <c r="HEP40" s="37"/>
      <c r="HEQ40" s="37"/>
      <c r="HER40" s="37"/>
      <c r="HES40" s="37"/>
      <c r="HET40" s="37"/>
      <c r="HEU40" s="37"/>
      <c r="HEV40" s="37"/>
      <c r="HEW40" s="37"/>
      <c r="HEX40" s="37"/>
      <c r="HEY40" s="37"/>
      <c r="HEZ40" s="37"/>
      <c r="HFA40" s="37"/>
      <c r="HFB40" s="37"/>
      <c r="HFC40" s="37"/>
      <c r="HFD40" s="37"/>
      <c r="HFE40" s="37"/>
      <c r="HFF40" s="37"/>
      <c r="HFG40" s="37"/>
      <c r="HFH40" s="37"/>
      <c r="HFI40" s="37"/>
      <c r="HFJ40" s="37"/>
      <c r="HFK40" s="37"/>
      <c r="HFL40" s="37"/>
      <c r="HFM40" s="37"/>
      <c r="HFN40" s="37"/>
      <c r="HFO40" s="37"/>
      <c r="HFP40" s="37"/>
      <c r="HFQ40" s="37"/>
      <c r="HFR40" s="37"/>
      <c r="HFS40" s="37"/>
      <c r="HFT40" s="37"/>
      <c r="HFU40" s="37"/>
      <c r="HFV40" s="37"/>
      <c r="HFW40" s="37"/>
      <c r="HFX40" s="37"/>
      <c r="HFY40" s="37"/>
      <c r="HFZ40" s="37"/>
      <c r="HGA40" s="37"/>
      <c r="HGB40" s="37"/>
      <c r="HGC40" s="37"/>
      <c r="HGD40" s="37"/>
      <c r="HGE40" s="37"/>
      <c r="HGF40" s="37"/>
      <c r="HGG40" s="37"/>
      <c r="HGH40" s="37"/>
      <c r="HGI40" s="37"/>
      <c r="HGJ40" s="37"/>
      <c r="HGK40" s="37"/>
      <c r="HGL40" s="37"/>
      <c r="HGM40" s="37"/>
      <c r="HGN40" s="37"/>
      <c r="HGO40" s="37"/>
      <c r="HGP40" s="37"/>
      <c r="HGQ40" s="37"/>
      <c r="HGR40" s="37"/>
      <c r="HGS40" s="37"/>
      <c r="HGT40" s="37"/>
      <c r="HGU40" s="37"/>
      <c r="HGV40" s="37"/>
      <c r="HGW40" s="37"/>
      <c r="HGX40" s="37"/>
      <c r="HGY40" s="37"/>
      <c r="HGZ40" s="37"/>
      <c r="HHA40" s="37"/>
      <c r="HHB40" s="37"/>
      <c r="HHC40" s="37"/>
      <c r="HHD40" s="37"/>
      <c r="HHE40" s="37"/>
      <c r="HHF40" s="37"/>
      <c r="HHG40" s="37"/>
      <c r="HHH40" s="37"/>
      <c r="HHI40" s="37"/>
      <c r="HHJ40" s="37"/>
      <c r="HHK40" s="37"/>
      <c r="HHL40" s="37"/>
      <c r="HHM40" s="37"/>
      <c r="HHN40" s="37"/>
      <c r="HHO40" s="37"/>
      <c r="HHP40" s="37"/>
      <c r="HHQ40" s="37"/>
      <c r="HHR40" s="37"/>
      <c r="HHS40" s="37"/>
      <c r="HHT40" s="37"/>
      <c r="HHU40" s="37"/>
      <c r="HHV40" s="37"/>
      <c r="HHW40" s="37"/>
      <c r="HHX40" s="37"/>
      <c r="HHY40" s="37"/>
      <c r="HHZ40" s="37"/>
      <c r="HIA40" s="37"/>
      <c r="HIB40" s="37"/>
      <c r="HIC40" s="37"/>
      <c r="HID40" s="37"/>
      <c r="HIE40" s="37"/>
      <c r="HIF40" s="37"/>
      <c r="HIG40" s="37"/>
      <c r="HIH40" s="37"/>
      <c r="HII40" s="37"/>
      <c r="HIJ40" s="37"/>
      <c r="HIK40" s="37"/>
      <c r="HIL40" s="37"/>
      <c r="HIM40" s="37"/>
      <c r="HIN40" s="37"/>
      <c r="HIO40" s="37"/>
      <c r="HIP40" s="37"/>
      <c r="HIQ40" s="37"/>
      <c r="HIR40" s="37"/>
      <c r="HIS40" s="37"/>
      <c r="HIT40" s="37"/>
      <c r="HIU40" s="37"/>
      <c r="HIV40" s="37"/>
      <c r="HIW40" s="37"/>
      <c r="HIX40" s="37"/>
      <c r="HIY40" s="37"/>
      <c r="HIZ40" s="37"/>
      <c r="HJA40" s="37"/>
      <c r="HJB40" s="37"/>
      <c r="HJC40" s="37"/>
      <c r="HJD40" s="37"/>
      <c r="HJE40" s="37"/>
      <c r="HJF40" s="37"/>
      <c r="HJG40" s="37"/>
      <c r="HJH40" s="37"/>
      <c r="HJI40" s="37"/>
      <c r="HJJ40" s="37"/>
      <c r="HJK40" s="37"/>
      <c r="HJL40" s="37"/>
      <c r="HJM40" s="37"/>
      <c r="HJN40" s="37"/>
      <c r="HJO40" s="37"/>
      <c r="HJP40" s="37"/>
      <c r="HJQ40" s="37"/>
      <c r="HJR40" s="37"/>
      <c r="HJS40" s="37"/>
      <c r="HJT40" s="37"/>
      <c r="HJU40" s="37"/>
      <c r="HJV40" s="37"/>
      <c r="HJW40" s="37"/>
      <c r="HJX40" s="37"/>
      <c r="HJY40" s="37"/>
      <c r="HJZ40" s="37"/>
      <c r="HKA40" s="37"/>
      <c r="HKB40" s="37"/>
      <c r="HKC40" s="37"/>
      <c r="HKD40" s="37"/>
      <c r="HKE40" s="37"/>
      <c r="HKF40" s="37"/>
      <c r="HKG40" s="37"/>
      <c r="HKH40" s="37"/>
      <c r="HKI40" s="37"/>
      <c r="HKJ40" s="37"/>
      <c r="HKK40" s="37"/>
      <c r="HKL40" s="37"/>
      <c r="HKM40" s="37"/>
      <c r="HKN40" s="37"/>
      <c r="HKO40" s="37"/>
      <c r="HKP40" s="37"/>
      <c r="HKQ40" s="37"/>
      <c r="HKR40" s="37"/>
      <c r="HKS40" s="37"/>
      <c r="HKT40" s="37"/>
      <c r="HKU40" s="37"/>
      <c r="HKV40" s="37"/>
      <c r="HKW40" s="37"/>
      <c r="HKX40" s="37"/>
      <c r="HKY40" s="37"/>
      <c r="HKZ40" s="37"/>
      <c r="HLA40" s="37"/>
      <c r="HLB40" s="37"/>
      <c r="HLC40" s="37"/>
      <c r="HLD40" s="37"/>
      <c r="HLE40" s="37"/>
      <c r="HLF40" s="37"/>
      <c r="HLG40" s="37"/>
      <c r="HLH40" s="37"/>
      <c r="HLI40" s="37"/>
      <c r="HLJ40" s="37"/>
      <c r="HLK40" s="37"/>
      <c r="HLL40" s="37"/>
      <c r="HLM40" s="37"/>
      <c r="HLN40" s="37"/>
      <c r="HLO40" s="37"/>
      <c r="HLP40" s="37"/>
      <c r="HLQ40" s="37"/>
      <c r="HLR40" s="37"/>
      <c r="HLS40" s="37"/>
      <c r="HLT40" s="37"/>
      <c r="HLU40" s="37"/>
      <c r="HLV40" s="37"/>
      <c r="HLW40" s="37"/>
      <c r="HLX40" s="37"/>
      <c r="HLY40" s="37"/>
      <c r="HLZ40" s="37"/>
      <c r="HMA40" s="37"/>
      <c r="HMB40" s="37"/>
      <c r="HMC40" s="37"/>
      <c r="HMD40" s="37"/>
      <c r="HME40" s="37"/>
      <c r="HMF40" s="37"/>
      <c r="HMG40" s="37"/>
      <c r="HMH40" s="37"/>
      <c r="HMI40" s="37"/>
      <c r="HMJ40" s="37"/>
      <c r="HMK40" s="37"/>
      <c r="HML40" s="37"/>
      <c r="HMM40" s="37"/>
      <c r="HMN40" s="37"/>
      <c r="HMO40" s="37"/>
      <c r="HMP40" s="37"/>
      <c r="HMQ40" s="37"/>
      <c r="HMR40" s="37"/>
      <c r="HMS40" s="37"/>
      <c r="HMT40" s="37"/>
      <c r="HMU40" s="37"/>
      <c r="HMV40" s="37"/>
      <c r="HMW40" s="37"/>
      <c r="HMX40" s="37"/>
      <c r="HMY40" s="37"/>
      <c r="HMZ40" s="37"/>
      <c r="HNA40" s="37"/>
      <c r="HNB40" s="37"/>
      <c r="HNC40" s="37"/>
      <c r="HND40" s="37"/>
      <c r="HNE40" s="37"/>
      <c r="HNF40" s="37"/>
      <c r="HNG40" s="37"/>
      <c r="HNH40" s="37"/>
      <c r="HNI40" s="37"/>
      <c r="HNJ40" s="37"/>
      <c r="HNK40" s="37"/>
      <c r="HNL40" s="37"/>
      <c r="HNM40" s="37"/>
      <c r="HNN40" s="37"/>
      <c r="HNO40" s="37"/>
      <c r="HNP40" s="37"/>
      <c r="HNQ40" s="37"/>
      <c r="HNR40" s="37"/>
      <c r="HNS40" s="37"/>
      <c r="HNT40" s="37"/>
      <c r="HNU40" s="37"/>
      <c r="HNV40" s="37"/>
      <c r="HNW40" s="37"/>
      <c r="HNX40" s="37"/>
      <c r="HNY40" s="37"/>
      <c r="HNZ40" s="37"/>
      <c r="HOA40" s="37"/>
      <c r="HOB40" s="37"/>
      <c r="HOC40" s="37"/>
      <c r="HOD40" s="37"/>
      <c r="HOE40" s="37"/>
      <c r="HOF40" s="37"/>
      <c r="HOG40" s="37"/>
      <c r="HOH40" s="37"/>
      <c r="HOI40" s="37"/>
      <c r="HOJ40" s="37"/>
      <c r="HOK40" s="37"/>
      <c r="HOL40" s="37"/>
      <c r="HOM40" s="37"/>
      <c r="HON40" s="37"/>
      <c r="HOO40" s="37"/>
      <c r="HOP40" s="37"/>
      <c r="HOQ40" s="37"/>
      <c r="HOR40" s="37"/>
      <c r="HOS40" s="37"/>
      <c r="HOT40" s="37"/>
      <c r="HOU40" s="37"/>
      <c r="HOV40" s="37"/>
      <c r="HOW40" s="37"/>
      <c r="HOX40" s="37"/>
      <c r="HOY40" s="37"/>
      <c r="HOZ40" s="37"/>
      <c r="HPA40" s="37"/>
      <c r="HPB40" s="37"/>
      <c r="HPC40" s="37"/>
      <c r="HPD40" s="37"/>
      <c r="HPE40" s="37"/>
      <c r="HPF40" s="37"/>
      <c r="HPG40" s="37"/>
      <c r="HPH40" s="37"/>
      <c r="HPI40" s="37"/>
      <c r="HPJ40" s="37"/>
      <c r="HPK40" s="37"/>
      <c r="HPL40" s="37"/>
      <c r="HPM40" s="37"/>
      <c r="HPN40" s="37"/>
      <c r="HPO40" s="37"/>
      <c r="HPP40" s="37"/>
      <c r="HPQ40" s="37"/>
      <c r="HPR40" s="37"/>
      <c r="HPS40" s="37"/>
      <c r="HPT40" s="37"/>
      <c r="HPU40" s="37"/>
      <c r="HPV40" s="37"/>
      <c r="HPW40" s="37"/>
      <c r="HPX40" s="37"/>
      <c r="HPY40" s="37"/>
      <c r="HPZ40" s="37"/>
      <c r="HQA40" s="37"/>
      <c r="HQB40" s="37"/>
      <c r="HQC40" s="37"/>
      <c r="HQD40" s="37"/>
      <c r="HQE40" s="37"/>
      <c r="HQF40" s="37"/>
      <c r="HQG40" s="37"/>
      <c r="HQH40" s="37"/>
      <c r="HQI40" s="37"/>
      <c r="HQJ40" s="37"/>
      <c r="HQK40" s="37"/>
      <c r="HQL40" s="37"/>
      <c r="HQM40" s="37"/>
      <c r="HQN40" s="37"/>
      <c r="HQO40" s="37"/>
      <c r="HQP40" s="37"/>
      <c r="HQQ40" s="37"/>
      <c r="HQR40" s="37"/>
      <c r="HQS40" s="37"/>
      <c r="HQT40" s="37"/>
      <c r="HQU40" s="37"/>
      <c r="HQV40" s="37"/>
      <c r="HQW40" s="37"/>
      <c r="HQX40" s="37"/>
      <c r="HQY40" s="37"/>
      <c r="HQZ40" s="37"/>
      <c r="HRA40" s="37"/>
      <c r="HRB40" s="37"/>
      <c r="HRC40" s="37"/>
      <c r="HRD40" s="37"/>
      <c r="HRE40" s="37"/>
      <c r="HRF40" s="37"/>
      <c r="HRG40" s="37"/>
      <c r="HRH40" s="37"/>
      <c r="HRI40" s="37"/>
      <c r="HRJ40" s="37"/>
      <c r="HRK40" s="37"/>
      <c r="HRL40" s="37"/>
      <c r="HRM40" s="37"/>
      <c r="HRN40" s="37"/>
      <c r="HRO40" s="37"/>
      <c r="HRP40" s="37"/>
      <c r="HRQ40" s="37"/>
      <c r="HRR40" s="37"/>
      <c r="HRS40" s="37"/>
      <c r="HRT40" s="37"/>
      <c r="HRU40" s="37"/>
      <c r="HRV40" s="37"/>
      <c r="HRW40" s="37"/>
      <c r="HRX40" s="37"/>
      <c r="HRY40" s="37"/>
      <c r="HRZ40" s="37"/>
      <c r="HSA40" s="37"/>
      <c r="HSB40" s="37"/>
      <c r="HSC40" s="37"/>
      <c r="HSD40" s="37"/>
      <c r="HSE40" s="37"/>
      <c r="HSF40" s="37"/>
      <c r="HSG40" s="37"/>
      <c r="HSH40" s="37"/>
      <c r="HSI40" s="37"/>
      <c r="HSJ40" s="37"/>
      <c r="HSK40" s="37"/>
      <c r="HSL40" s="37"/>
      <c r="HSM40" s="37"/>
      <c r="HSN40" s="37"/>
      <c r="HSO40" s="37"/>
      <c r="HSP40" s="37"/>
      <c r="HSQ40" s="37"/>
      <c r="HSR40" s="37"/>
      <c r="HSS40" s="37"/>
      <c r="HST40" s="37"/>
      <c r="HSU40" s="37"/>
      <c r="HSV40" s="37"/>
      <c r="HSW40" s="37"/>
      <c r="HSX40" s="37"/>
      <c r="HSY40" s="37"/>
      <c r="HSZ40" s="37"/>
      <c r="HTA40" s="37"/>
      <c r="HTB40" s="37"/>
      <c r="HTC40" s="37"/>
      <c r="HTD40" s="37"/>
      <c r="HTE40" s="37"/>
      <c r="HTF40" s="37"/>
      <c r="HTG40" s="37"/>
      <c r="HTH40" s="37"/>
      <c r="HTI40" s="37"/>
      <c r="HTJ40" s="37"/>
      <c r="HTK40" s="37"/>
      <c r="HTL40" s="37"/>
      <c r="HTM40" s="37"/>
      <c r="HTN40" s="37"/>
      <c r="HTO40" s="37"/>
      <c r="HTP40" s="37"/>
      <c r="HTQ40" s="37"/>
      <c r="HTR40" s="37"/>
      <c r="HTS40" s="37"/>
      <c r="HTT40" s="37"/>
      <c r="HTU40" s="37"/>
      <c r="HTV40" s="37"/>
      <c r="HTW40" s="37"/>
      <c r="HTX40" s="37"/>
      <c r="HTY40" s="37"/>
      <c r="HTZ40" s="37"/>
      <c r="HUA40" s="37"/>
      <c r="HUB40" s="37"/>
      <c r="HUC40" s="37"/>
      <c r="HUD40" s="37"/>
      <c r="HUE40" s="37"/>
      <c r="HUF40" s="37"/>
      <c r="HUG40" s="37"/>
      <c r="HUH40" s="37"/>
      <c r="HUI40" s="37"/>
      <c r="HUJ40" s="37"/>
      <c r="HUK40" s="37"/>
      <c r="HUL40" s="37"/>
      <c r="HUM40" s="37"/>
      <c r="HUN40" s="37"/>
      <c r="HUO40" s="37"/>
      <c r="HUP40" s="37"/>
      <c r="HUQ40" s="37"/>
      <c r="HUR40" s="37"/>
      <c r="HUS40" s="37"/>
      <c r="HUT40" s="37"/>
      <c r="HUU40" s="37"/>
      <c r="HUV40" s="37"/>
      <c r="HUW40" s="37"/>
      <c r="HUX40" s="37"/>
      <c r="HUY40" s="37"/>
      <c r="HUZ40" s="37"/>
      <c r="HVA40" s="37"/>
      <c r="HVB40" s="37"/>
      <c r="HVC40" s="37"/>
      <c r="HVD40" s="37"/>
      <c r="HVE40" s="37"/>
      <c r="HVF40" s="37"/>
      <c r="HVG40" s="37"/>
      <c r="HVH40" s="37"/>
      <c r="HVI40" s="37"/>
      <c r="HVJ40" s="37"/>
      <c r="HVK40" s="37"/>
      <c r="HVL40" s="37"/>
      <c r="HVM40" s="37"/>
      <c r="HVN40" s="37"/>
      <c r="HVO40" s="37"/>
      <c r="HVP40" s="37"/>
      <c r="HVQ40" s="37"/>
      <c r="HVR40" s="37"/>
      <c r="HVS40" s="37"/>
      <c r="HVT40" s="37"/>
      <c r="HVU40" s="37"/>
      <c r="HVV40" s="37"/>
      <c r="HVW40" s="37"/>
      <c r="HVX40" s="37"/>
      <c r="HVY40" s="37"/>
      <c r="HVZ40" s="37"/>
      <c r="HWA40" s="37"/>
      <c r="HWB40" s="37"/>
      <c r="HWC40" s="37"/>
      <c r="HWD40" s="37"/>
      <c r="HWE40" s="37"/>
      <c r="HWF40" s="37"/>
      <c r="HWG40" s="37"/>
      <c r="HWH40" s="37"/>
      <c r="HWI40" s="37"/>
      <c r="HWJ40" s="37"/>
      <c r="HWK40" s="37"/>
      <c r="HWL40" s="37"/>
      <c r="HWM40" s="37"/>
      <c r="HWN40" s="37"/>
      <c r="HWO40" s="37"/>
      <c r="HWP40" s="37"/>
      <c r="HWQ40" s="37"/>
      <c r="HWR40" s="37"/>
      <c r="HWS40" s="37"/>
      <c r="HWT40" s="37"/>
      <c r="HWU40" s="37"/>
      <c r="HWV40" s="37"/>
      <c r="HWW40" s="37"/>
      <c r="HWX40" s="37"/>
      <c r="HWY40" s="37"/>
      <c r="HWZ40" s="37"/>
      <c r="HXA40" s="37"/>
      <c r="HXB40" s="37"/>
      <c r="HXC40" s="37"/>
      <c r="HXD40" s="37"/>
      <c r="HXE40" s="37"/>
      <c r="HXF40" s="37"/>
      <c r="HXG40" s="37"/>
      <c r="HXH40" s="37"/>
      <c r="HXI40" s="37"/>
      <c r="HXJ40" s="37"/>
      <c r="HXK40" s="37"/>
      <c r="HXL40" s="37"/>
      <c r="HXM40" s="37"/>
      <c r="HXN40" s="37"/>
      <c r="HXO40" s="37"/>
      <c r="HXP40" s="37"/>
      <c r="HXQ40" s="37"/>
      <c r="HXR40" s="37"/>
      <c r="HXS40" s="37"/>
      <c r="HXT40" s="37"/>
      <c r="HXU40" s="37"/>
      <c r="HXV40" s="37"/>
      <c r="HXW40" s="37"/>
      <c r="HXX40" s="37"/>
      <c r="HXY40" s="37"/>
      <c r="HXZ40" s="37"/>
      <c r="HYA40" s="37"/>
      <c r="HYB40" s="37"/>
      <c r="HYC40" s="37"/>
      <c r="HYD40" s="37"/>
      <c r="HYE40" s="37"/>
      <c r="HYF40" s="37"/>
      <c r="HYG40" s="37"/>
      <c r="HYH40" s="37"/>
      <c r="HYI40" s="37"/>
      <c r="HYJ40" s="37"/>
      <c r="HYK40" s="37"/>
      <c r="HYL40" s="37"/>
      <c r="HYM40" s="37"/>
      <c r="HYN40" s="37"/>
      <c r="HYO40" s="37"/>
      <c r="HYP40" s="37"/>
      <c r="HYQ40" s="37"/>
      <c r="HYR40" s="37"/>
      <c r="HYS40" s="37"/>
      <c r="HYT40" s="37"/>
      <c r="HYU40" s="37"/>
      <c r="HYV40" s="37"/>
      <c r="HYW40" s="37"/>
      <c r="HYX40" s="37"/>
      <c r="HYY40" s="37"/>
      <c r="HYZ40" s="37"/>
      <c r="HZA40" s="37"/>
      <c r="HZB40" s="37"/>
      <c r="HZC40" s="37"/>
      <c r="HZD40" s="37"/>
      <c r="HZE40" s="37"/>
      <c r="HZF40" s="37"/>
      <c r="HZG40" s="37"/>
      <c r="HZH40" s="37"/>
      <c r="HZI40" s="37"/>
      <c r="HZJ40" s="37"/>
      <c r="HZK40" s="37"/>
      <c r="HZL40" s="37"/>
      <c r="HZM40" s="37"/>
      <c r="HZN40" s="37"/>
      <c r="HZO40" s="37"/>
      <c r="HZP40" s="37"/>
      <c r="HZQ40" s="37"/>
      <c r="HZR40" s="37"/>
      <c r="HZS40" s="37"/>
      <c r="HZT40" s="37"/>
      <c r="HZU40" s="37"/>
      <c r="HZV40" s="37"/>
      <c r="HZW40" s="37"/>
      <c r="HZX40" s="37"/>
      <c r="HZY40" s="37"/>
      <c r="HZZ40" s="37"/>
      <c r="IAA40" s="37"/>
      <c r="IAB40" s="37"/>
      <c r="IAC40" s="37"/>
      <c r="IAD40" s="37"/>
      <c r="IAE40" s="37"/>
      <c r="IAF40" s="37"/>
      <c r="IAG40" s="37"/>
      <c r="IAH40" s="37"/>
      <c r="IAI40" s="37"/>
      <c r="IAJ40" s="37"/>
      <c r="IAK40" s="37"/>
      <c r="IAL40" s="37"/>
      <c r="IAM40" s="37"/>
      <c r="IAN40" s="37"/>
      <c r="IAO40" s="37"/>
      <c r="IAP40" s="37"/>
      <c r="IAQ40" s="37"/>
      <c r="IAR40" s="37"/>
      <c r="IAS40" s="37"/>
      <c r="IAT40" s="37"/>
      <c r="IAU40" s="37"/>
      <c r="IAV40" s="37"/>
      <c r="IAW40" s="37"/>
      <c r="IAX40" s="37"/>
      <c r="IAY40" s="37"/>
      <c r="IAZ40" s="37"/>
      <c r="IBA40" s="37"/>
      <c r="IBB40" s="37"/>
      <c r="IBC40" s="37"/>
      <c r="IBD40" s="37"/>
      <c r="IBE40" s="37"/>
      <c r="IBF40" s="37"/>
      <c r="IBG40" s="37"/>
      <c r="IBH40" s="37"/>
      <c r="IBI40" s="37"/>
      <c r="IBJ40" s="37"/>
      <c r="IBK40" s="37"/>
      <c r="IBL40" s="37"/>
      <c r="IBM40" s="37"/>
      <c r="IBN40" s="37"/>
      <c r="IBO40" s="37"/>
      <c r="IBP40" s="37"/>
      <c r="IBQ40" s="37"/>
      <c r="IBR40" s="37"/>
      <c r="IBS40" s="37"/>
      <c r="IBT40" s="37"/>
      <c r="IBU40" s="37"/>
      <c r="IBV40" s="37"/>
      <c r="IBW40" s="37"/>
      <c r="IBX40" s="37"/>
      <c r="IBY40" s="37"/>
      <c r="IBZ40" s="37"/>
      <c r="ICA40" s="37"/>
      <c r="ICB40" s="37"/>
      <c r="ICC40" s="37"/>
      <c r="ICD40" s="37"/>
      <c r="ICE40" s="37"/>
      <c r="ICF40" s="37"/>
      <c r="ICG40" s="37"/>
      <c r="ICH40" s="37"/>
      <c r="ICI40" s="37"/>
      <c r="ICJ40" s="37"/>
      <c r="ICK40" s="37"/>
      <c r="ICL40" s="37"/>
      <c r="ICM40" s="37"/>
      <c r="ICN40" s="37"/>
      <c r="ICO40" s="37"/>
      <c r="ICP40" s="37"/>
      <c r="ICQ40" s="37"/>
      <c r="ICR40" s="37"/>
      <c r="ICS40" s="37"/>
      <c r="ICT40" s="37"/>
      <c r="ICU40" s="37"/>
      <c r="ICV40" s="37"/>
      <c r="ICW40" s="37"/>
      <c r="ICX40" s="37"/>
      <c r="ICY40" s="37"/>
      <c r="ICZ40" s="37"/>
      <c r="IDA40" s="37"/>
      <c r="IDB40" s="37"/>
      <c r="IDC40" s="37"/>
      <c r="IDD40" s="37"/>
      <c r="IDE40" s="37"/>
      <c r="IDF40" s="37"/>
      <c r="IDG40" s="37"/>
      <c r="IDH40" s="37"/>
      <c r="IDI40" s="37"/>
      <c r="IDJ40" s="37"/>
      <c r="IDK40" s="37"/>
      <c r="IDL40" s="37"/>
      <c r="IDM40" s="37"/>
      <c r="IDN40" s="37"/>
      <c r="IDO40" s="37"/>
      <c r="IDP40" s="37"/>
      <c r="IDQ40" s="37"/>
      <c r="IDR40" s="37"/>
      <c r="IDS40" s="37"/>
      <c r="IDT40" s="37"/>
      <c r="IDU40" s="37"/>
      <c r="IDV40" s="37"/>
      <c r="IDW40" s="37"/>
      <c r="IDX40" s="37"/>
      <c r="IDY40" s="37"/>
      <c r="IDZ40" s="37"/>
      <c r="IEA40" s="37"/>
      <c r="IEB40" s="37"/>
      <c r="IEC40" s="37"/>
      <c r="IED40" s="37"/>
      <c r="IEE40" s="37"/>
      <c r="IEF40" s="37"/>
      <c r="IEG40" s="37"/>
      <c r="IEH40" s="37"/>
      <c r="IEI40" s="37"/>
      <c r="IEJ40" s="37"/>
      <c r="IEK40" s="37"/>
      <c r="IEL40" s="37"/>
      <c r="IEM40" s="37"/>
      <c r="IEN40" s="37"/>
      <c r="IEO40" s="37"/>
      <c r="IEP40" s="37"/>
      <c r="IEQ40" s="37"/>
      <c r="IER40" s="37"/>
      <c r="IES40" s="37"/>
      <c r="IET40" s="37"/>
      <c r="IEU40" s="37"/>
      <c r="IEV40" s="37"/>
      <c r="IEW40" s="37"/>
      <c r="IEX40" s="37"/>
      <c r="IEY40" s="37"/>
      <c r="IEZ40" s="37"/>
      <c r="IFA40" s="37"/>
      <c r="IFB40" s="37"/>
      <c r="IFC40" s="37"/>
      <c r="IFD40" s="37"/>
      <c r="IFE40" s="37"/>
      <c r="IFF40" s="37"/>
      <c r="IFG40" s="37"/>
      <c r="IFH40" s="37"/>
      <c r="IFI40" s="37"/>
      <c r="IFJ40" s="37"/>
      <c r="IFK40" s="37"/>
      <c r="IFL40" s="37"/>
      <c r="IFM40" s="37"/>
      <c r="IFN40" s="37"/>
      <c r="IFO40" s="37"/>
      <c r="IFP40" s="37"/>
      <c r="IFQ40" s="37"/>
      <c r="IFR40" s="37"/>
      <c r="IFS40" s="37"/>
      <c r="IFT40" s="37"/>
      <c r="IFU40" s="37"/>
      <c r="IFV40" s="37"/>
      <c r="IFW40" s="37"/>
      <c r="IFX40" s="37"/>
      <c r="IFY40" s="37"/>
      <c r="IFZ40" s="37"/>
      <c r="IGA40" s="37"/>
      <c r="IGB40" s="37"/>
      <c r="IGC40" s="37"/>
      <c r="IGD40" s="37"/>
      <c r="IGE40" s="37"/>
      <c r="IGF40" s="37"/>
      <c r="IGG40" s="37"/>
      <c r="IGH40" s="37"/>
      <c r="IGI40" s="37"/>
      <c r="IGJ40" s="37"/>
      <c r="IGK40" s="37"/>
      <c r="IGL40" s="37"/>
      <c r="IGM40" s="37"/>
      <c r="IGN40" s="37"/>
      <c r="IGO40" s="37"/>
      <c r="IGP40" s="37"/>
      <c r="IGQ40" s="37"/>
      <c r="IGR40" s="37"/>
      <c r="IGS40" s="37"/>
      <c r="IGT40" s="37"/>
      <c r="IGU40" s="37"/>
      <c r="IGV40" s="37"/>
      <c r="IGW40" s="37"/>
      <c r="IGX40" s="37"/>
      <c r="IGY40" s="37"/>
      <c r="IGZ40" s="37"/>
      <c r="IHA40" s="37"/>
      <c r="IHB40" s="37"/>
      <c r="IHC40" s="37"/>
      <c r="IHD40" s="37"/>
      <c r="IHE40" s="37"/>
      <c r="IHF40" s="37"/>
      <c r="IHG40" s="37"/>
      <c r="IHH40" s="37"/>
      <c r="IHI40" s="37"/>
      <c r="IHJ40" s="37"/>
      <c r="IHK40" s="37"/>
      <c r="IHL40" s="37"/>
      <c r="IHM40" s="37"/>
      <c r="IHN40" s="37"/>
      <c r="IHO40" s="37"/>
      <c r="IHP40" s="37"/>
      <c r="IHQ40" s="37"/>
      <c r="IHR40" s="37"/>
      <c r="IHS40" s="37"/>
      <c r="IHT40" s="37"/>
      <c r="IHU40" s="37"/>
      <c r="IHV40" s="37"/>
      <c r="IHW40" s="37"/>
      <c r="IHX40" s="37"/>
      <c r="IHY40" s="37"/>
      <c r="IHZ40" s="37"/>
      <c r="IIA40" s="37"/>
      <c r="IIB40" s="37"/>
      <c r="IIC40" s="37"/>
      <c r="IID40" s="37"/>
      <c r="IIE40" s="37"/>
      <c r="IIF40" s="37"/>
      <c r="IIG40" s="37"/>
      <c r="IIH40" s="37"/>
      <c r="III40" s="37"/>
      <c r="IIJ40" s="37"/>
      <c r="IIK40" s="37"/>
      <c r="IIL40" s="37"/>
      <c r="IIM40" s="37"/>
      <c r="IIN40" s="37"/>
      <c r="IIO40" s="37"/>
      <c r="IIP40" s="37"/>
      <c r="IIQ40" s="37"/>
      <c r="IIR40" s="37"/>
      <c r="IIS40" s="37"/>
      <c r="IIT40" s="37"/>
      <c r="IIU40" s="37"/>
      <c r="IIV40" s="37"/>
      <c r="IIW40" s="37"/>
      <c r="IIX40" s="37"/>
      <c r="IIY40" s="37"/>
      <c r="IIZ40" s="37"/>
      <c r="IJA40" s="37"/>
      <c r="IJB40" s="37"/>
      <c r="IJC40" s="37"/>
      <c r="IJD40" s="37"/>
      <c r="IJE40" s="37"/>
      <c r="IJF40" s="37"/>
      <c r="IJG40" s="37"/>
      <c r="IJH40" s="37"/>
      <c r="IJI40" s="37"/>
      <c r="IJJ40" s="37"/>
      <c r="IJK40" s="37"/>
      <c r="IJL40" s="37"/>
      <c r="IJM40" s="37"/>
      <c r="IJN40" s="37"/>
      <c r="IJO40" s="37"/>
      <c r="IJP40" s="37"/>
      <c r="IJQ40" s="37"/>
      <c r="IJR40" s="37"/>
      <c r="IJS40" s="37"/>
      <c r="IJT40" s="37"/>
      <c r="IJU40" s="37"/>
      <c r="IJV40" s="37"/>
      <c r="IJW40" s="37"/>
      <c r="IJX40" s="37"/>
      <c r="IJY40" s="37"/>
      <c r="IJZ40" s="37"/>
      <c r="IKA40" s="37"/>
      <c r="IKB40" s="37"/>
      <c r="IKC40" s="37"/>
      <c r="IKD40" s="37"/>
      <c r="IKE40" s="37"/>
      <c r="IKF40" s="37"/>
      <c r="IKG40" s="37"/>
      <c r="IKH40" s="37"/>
      <c r="IKI40" s="37"/>
      <c r="IKJ40" s="37"/>
      <c r="IKK40" s="37"/>
      <c r="IKL40" s="37"/>
      <c r="IKM40" s="37"/>
      <c r="IKN40" s="37"/>
      <c r="IKO40" s="37"/>
      <c r="IKP40" s="37"/>
      <c r="IKQ40" s="37"/>
      <c r="IKR40" s="37"/>
      <c r="IKS40" s="37"/>
      <c r="IKT40" s="37"/>
      <c r="IKU40" s="37"/>
      <c r="IKV40" s="37"/>
      <c r="IKW40" s="37"/>
      <c r="IKX40" s="37"/>
      <c r="IKY40" s="37"/>
      <c r="IKZ40" s="37"/>
      <c r="ILA40" s="37"/>
      <c r="ILB40" s="37"/>
      <c r="ILC40" s="37"/>
      <c r="ILD40" s="37"/>
      <c r="ILE40" s="37"/>
      <c r="ILF40" s="37"/>
      <c r="ILG40" s="37"/>
      <c r="ILH40" s="37"/>
      <c r="ILI40" s="37"/>
      <c r="ILJ40" s="37"/>
      <c r="ILK40" s="37"/>
      <c r="ILL40" s="37"/>
      <c r="ILM40" s="37"/>
      <c r="ILN40" s="37"/>
      <c r="ILO40" s="37"/>
      <c r="ILP40" s="37"/>
      <c r="ILQ40" s="37"/>
      <c r="ILR40" s="37"/>
      <c r="ILS40" s="37"/>
      <c r="ILT40" s="37"/>
      <c r="ILU40" s="37"/>
      <c r="ILV40" s="37"/>
      <c r="ILW40" s="37"/>
      <c r="ILX40" s="37"/>
      <c r="ILY40" s="37"/>
      <c r="ILZ40" s="37"/>
      <c r="IMA40" s="37"/>
      <c r="IMB40" s="37"/>
      <c r="IMC40" s="37"/>
      <c r="IMD40" s="37"/>
      <c r="IME40" s="37"/>
      <c r="IMF40" s="37"/>
      <c r="IMG40" s="37"/>
      <c r="IMH40" s="37"/>
      <c r="IMI40" s="37"/>
      <c r="IMJ40" s="37"/>
      <c r="IMK40" s="37"/>
      <c r="IML40" s="37"/>
      <c r="IMM40" s="37"/>
      <c r="IMN40" s="37"/>
      <c r="IMO40" s="37"/>
      <c r="IMP40" s="37"/>
      <c r="IMQ40" s="37"/>
      <c r="IMR40" s="37"/>
      <c r="IMS40" s="37"/>
      <c r="IMT40" s="37"/>
      <c r="IMU40" s="37"/>
      <c r="IMV40" s="37"/>
      <c r="IMW40" s="37"/>
      <c r="IMX40" s="37"/>
      <c r="IMY40" s="37"/>
      <c r="IMZ40" s="37"/>
      <c r="INA40" s="37"/>
      <c r="INB40" s="37"/>
      <c r="INC40" s="37"/>
      <c r="IND40" s="37"/>
      <c r="INE40" s="37"/>
      <c r="INF40" s="37"/>
      <c r="ING40" s="37"/>
      <c r="INH40" s="37"/>
      <c r="INI40" s="37"/>
      <c r="INJ40" s="37"/>
      <c r="INK40" s="37"/>
      <c r="INL40" s="37"/>
      <c r="INM40" s="37"/>
      <c r="INN40" s="37"/>
      <c r="INO40" s="37"/>
      <c r="INP40" s="37"/>
      <c r="INQ40" s="37"/>
      <c r="INR40" s="37"/>
      <c r="INS40" s="37"/>
      <c r="INT40" s="37"/>
      <c r="INU40" s="37"/>
      <c r="INV40" s="37"/>
      <c r="INW40" s="37"/>
      <c r="INX40" s="37"/>
      <c r="INY40" s="37"/>
      <c r="INZ40" s="37"/>
      <c r="IOA40" s="37"/>
      <c r="IOB40" s="37"/>
      <c r="IOC40" s="37"/>
      <c r="IOD40" s="37"/>
      <c r="IOE40" s="37"/>
      <c r="IOF40" s="37"/>
      <c r="IOG40" s="37"/>
      <c r="IOH40" s="37"/>
      <c r="IOI40" s="37"/>
      <c r="IOJ40" s="37"/>
      <c r="IOK40" s="37"/>
      <c r="IOL40" s="37"/>
      <c r="IOM40" s="37"/>
      <c r="ION40" s="37"/>
      <c r="IOO40" s="37"/>
      <c r="IOP40" s="37"/>
      <c r="IOQ40" s="37"/>
      <c r="IOR40" s="37"/>
      <c r="IOS40" s="37"/>
      <c r="IOT40" s="37"/>
      <c r="IOU40" s="37"/>
      <c r="IOV40" s="37"/>
      <c r="IOW40" s="37"/>
      <c r="IOX40" s="37"/>
      <c r="IOY40" s="37"/>
      <c r="IOZ40" s="37"/>
      <c r="IPA40" s="37"/>
      <c r="IPB40" s="37"/>
      <c r="IPC40" s="37"/>
      <c r="IPD40" s="37"/>
      <c r="IPE40" s="37"/>
      <c r="IPF40" s="37"/>
      <c r="IPG40" s="37"/>
      <c r="IPH40" s="37"/>
      <c r="IPI40" s="37"/>
      <c r="IPJ40" s="37"/>
      <c r="IPK40" s="37"/>
      <c r="IPL40" s="37"/>
      <c r="IPM40" s="37"/>
      <c r="IPN40" s="37"/>
      <c r="IPO40" s="37"/>
      <c r="IPP40" s="37"/>
      <c r="IPQ40" s="37"/>
      <c r="IPR40" s="37"/>
      <c r="IPS40" s="37"/>
      <c r="IPT40" s="37"/>
      <c r="IPU40" s="37"/>
      <c r="IPV40" s="37"/>
      <c r="IPW40" s="37"/>
      <c r="IPX40" s="37"/>
      <c r="IPY40" s="37"/>
      <c r="IPZ40" s="37"/>
      <c r="IQA40" s="37"/>
      <c r="IQB40" s="37"/>
      <c r="IQC40" s="37"/>
      <c r="IQD40" s="37"/>
      <c r="IQE40" s="37"/>
      <c r="IQF40" s="37"/>
      <c r="IQG40" s="37"/>
      <c r="IQH40" s="37"/>
      <c r="IQI40" s="37"/>
      <c r="IQJ40" s="37"/>
      <c r="IQK40" s="37"/>
      <c r="IQL40" s="37"/>
      <c r="IQM40" s="37"/>
      <c r="IQN40" s="37"/>
      <c r="IQO40" s="37"/>
      <c r="IQP40" s="37"/>
      <c r="IQQ40" s="37"/>
      <c r="IQR40" s="37"/>
      <c r="IQS40" s="37"/>
      <c r="IQT40" s="37"/>
      <c r="IQU40" s="37"/>
      <c r="IQV40" s="37"/>
      <c r="IQW40" s="37"/>
      <c r="IQX40" s="37"/>
      <c r="IQY40" s="37"/>
      <c r="IQZ40" s="37"/>
      <c r="IRA40" s="37"/>
      <c r="IRB40" s="37"/>
      <c r="IRC40" s="37"/>
      <c r="IRD40" s="37"/>
      <c r="IRE40" s="37"/>
      <c r="IRF40" s="37"/>
      <c r="IRG40" s="37"/>
      <c r="IRH40" s="37"/>
      <c r="IRI40" s="37"/>
      <c r="IRJ40" s="37"/>
      <c r="IRK40" s="37"/>
      <c r="IRL40" s="37"/>
      <c r="IRM40" s="37"/>
      <c r="IRN40" s="37"/>
      <c r="IRO40" s="37"/>
      <c r="IRP40" s="37"/>
      <c r="IRQ40" s="37"/>
      <c r="IRR40" s="37"/>
      <c r="IRS40" s="37"/>
      <c r="IRT40" s="37"/>
      <c r="IRU40" s="37"/>
      <c r="IRV40" s="37"/>
      <c r="IRW40" s="37"/>
      <c r="IRX40" s="37"/>
      <c r="IRY40" s="37"/>
      <c r="IRZ40" s="37"/>
      <c r="ISA40" s="37"/>
      <c r="ISB40" s="37"/>
      <c r="ISC40" s="37"/>
      <c r="ISD40" s="37"/>
      <c r="ISE40" s="37"/>
      <c r="ISF40" s="37"/>
      <c r="ISG40" s="37"/>
      <c r="ISH40" s="37"/>
      <c r="ISI40" s="37"/>
      <c r="ISJ40" s="37"/>
      <c r="ISK40" s="37"/>
      <c r="ISL40" s="37"/>
      <c r="ISM40" s="37"/>
      <c r="ISN40" s="37"/>
      <c r="ISO40" s="37"/>
      <c r="ISP40" s="37"/>
      <c r="ISQ40" s="37"/>
      <c r="ISR40" s="37"/>
      <c r="ISS40" s="37"/>
      <c r="IST40" s="37"/>
      <c r="ISU40" s="37"/>
      <c r="ISV40" s="37"/>
      <c r="ISW40" s="37"/>
      <c r="ISX40" s="37"/>
      <c r="ISY40" s="37"/>
      <c r="ISZ40" s="37"/>
      <c r="ITA40" s="37"/>
      <c r="ITB40" s="37"/>
      <c r="ITC40" s="37"/>
      <c r="ITD40" s="37"/>
      <c r="ITE40" s="37"/>
      <c r="ITF40" s="37"/>
      <c r="ITG40" s="37"/>
      <c r="ITH40" s="37"/>
      <c r="ITI40" s="37"/>
      <c r="ITJ40" s="37"/>
      <c r="ITK40" s="37"/>
      <c r="ITL40" s="37"/>
      <c r="ITM40" s="37"/>
      <c r="ITN40" s="37"/>
      <c r="ITO40" s="37"/>
      <c r="ITP40" s="37"/>
      <c r="ITQ40" s="37"/>
      <c r="ITR40" s="37"/>
      <c r="ITS40" s="37"/>
      <c r="ITT40" s="37"/>
      <c r="ITU40" s="37"/>
      <c r="ITV40" s="37"/>
      <c r="ITW40" s="37"/>
      <c r="ITX40" s="37"/>
      <c r="ITY40" s="37"/>
      <c r="ITZ40" s="37"/>
      <c r="IUA40" s="37"/>
      <c r="IUB40" s="37"/>
      <c r="IUC40" s="37"/>
      <c r="IUD40" s="37"/>
      <c r="IUE40" s="37"/>
      <c r="IUF40" s="37"/>
      <c r="IUG40" s="37"/>
      <c r="IUH40" s="37"/>
      <c r="IUI40" s="37"/>
      <c r="IUJ40" s="37"/>
      <c r="IUK40" s="37"/>
      <c r="IUL40" s="37"/>
      <c r="IUM40" s="37"/>
      <c r="IUN40" s="37"/>
      <c r="IUO40" s="37"/>
      <c r="IUP40" s="37"/>
      <c r="IUQ40" s="37"/>
      <c r="IUR40" s="37"/>
      <c r="IUS40" s="37"/>
      <c r="IUT40" s="37"/>
      <c r="IUU40" s="37"/>
      <c r="IUV40" s="37"/>
      <c r="IUW40" s="37"/>
      <c r="IUX40" s="37"/>
      <c r="IUY40" s="37"/>
      <c r="IUZ40" s="37"/>
      <c r="IVA40" s="37"/>
      <c r="IVB40" s="37"/>
      <c r="IVC40" s="37"/>
      <c r="IVD40" s="37"/>
      <c r="IVE40" s="37"/>
      <c r="IVF40" s="37"/>
      <c r="IVG40" s="37"/>
      <c r="IVH40" s="37"/>
      <c r="IVI40" s="37"/>
      <c r="IVJ40" s="37"/>
      <c r="IVK40" s="37"/>
      <c r="IVL40" s="37"/>
      <c r="IVM40" s="37"/>
      <c r="IVN40" s="37"/>
      <c r="IVO40" s="37"/>
      <c r="IVP40" s="37"/>
      <c r="IVQ40" s="37"/>
      <c r="IVR40" s="37"/>
      <c r="IVS40" s="37"/>
      <c r="IVT40" s="37"/>
      <c r="IVU40" s="37"/>
      <c r="IVV40" s="37"/>
      <c r="IVW40" s="37"/>
      <c r="IVX40" s="37"/>
      <c r="IVY40" s="37"/>
      <c r="IVZ40" s="37"/>
      <c r="IWA40" s="37"/>
      <c r="IWB40" s="37"/>
      <c r="IWC40" s="37"/>
      <c r="IWD40" s="37"/>
      <c r="IWE40" s="37"/>
      <c r="IWF40" s="37"/>
      <c r="IWG40" s="37"/>
      <c r="IWH40" s="37"/>
      <c r="IWI40" s="37"/>
      <c r="IWJ40" s="37"/>
      <c r="IWK40" s="37"/>
      <c r="IWL40" s="37"/>
      <c r="IWM40" s="37"/>
      <c r="IWN40" s="37"/>
      <c r="IWO40" s="37"/>
      <c r="IWP40" s="37"/>
      <c r="IWQ40" s="37"/>
      <c r="IWR40" s="37"/>
      <c r="IWS40" s="37"/>
      <c r="IWT40" s="37"/>
      <c r="IWU40" s="37"/>
      <c r="IWV40" s="37"/>
      <c r="IWW40" s="37"/>
      <c r="IWX40" s="37"/>
      <c r="IWY40" s="37"/>
      <c r="IWZ40" s="37"/>
      <c r="IXA40" s="37"/>
      <c r="IXB40" s="37"/>
      <c r="IXC40" s="37"/>
      <c r="IXD40" s="37"/>
      <c r="IXE40" s="37"/>
      <c r="IXF40" s="37"/>
      <c r="IXG40" s="37"/>
      <c r="IXH40" s="37"/>
      <c r="IXI40" s="37"/>
      <c r="IXJ40" s="37"/>
      <c r="IXK40" s="37"/>
      <c r="IXL40" s="37"/>
      <c r="IXM40" s="37"/>
      <c r="IXN40" s="37"/>
      <c r="IXO40" s="37"/>
      <c r="IXP40" s="37"/>
      <c r="IXQ40" s="37"/>
      <c r="IXR40" s="37"/>
      <c r="IXS40" s="37"/>
      <c r="IXT40" s="37"/>
      <c r="IXU40" s="37"/>
      <c r="IXV40" s="37"/>
      <c r="IXW40" s="37"/>
      <c r="IXX40" s="37"/>
      <c r="IXY40" s="37"/>
      <c r="IXZ40" s="37"/>
      <c r="IYA40" s="37"/>
      <c r="IYB40" s="37"/>
      <c r="IYC40" s="37"/>
      <c r="IYD40" s="37"/>
      <c r="IYE40" s="37"/>
      <c r="IYF40" s="37"/>
      <c r="IYG40" s="37"/>
      <c r="IYH40" s="37"/>
      <c r="IYI40" s="37"/>
      <c r="IYJ40" s="37"/>
      <c r="IYK40" s="37"/>
      <c r="IYL40" s="37"/>
      <c r="IYM40" s="37"/>
      <c r="IYN40" s="37"/>
      <c r="IYO40" s="37"/>
      <c r="IYP40" s="37"/>
      <c r="IYQ40" s="37"/>
      <c r="IYR40" s="37"/>
      <c r="IYS40" s="37"/>
      <c r="IYT40" s="37"/>
      <c r="IYU40" s="37"/>
      <c r="IYV40" s="37"/>
      <c r="IYW40" s="37"/>
      <c r="IYX40" s="37"/>
      <c r="IYY40" s="37"/>
      <c r="IYZ40" s="37"/>
      <c r="IZA40" s="37"/>
      <c r="IZB40" s="37"/>
      <c r="IZC40" s="37"/>
      <c r="IZD40" s="37"/>
      <c r="IZE40" s="37"/>
      <c r="IZF40" s="37"/>
      <c r="IZG40" s="37"/>
      <c r="IZH40" s="37"/>
      <c r="IZI40" s="37"/>
      <c r="IZJ40" s="37"/>
      <c r="IZK40" s="37"/>
      <c r="IZL40" s="37"/>
      <c r="IZM40" s="37"/>
      <c r="IZN40" s="37"/>
      <c r="IZO40" s="37"/>
      <c r="IZP40" s="37"/>
      <c r="IZQ40" s="37"/>
      <c r="IZR40" s="37"/>
      <c r="IZS40" s="37"/>
      <c r="IZT40" s="37"/>
      <c r="IZU40" s="37"/>
      <c r="IZV40" s="37"/>
      <c r="IZW40" s="37"/>
      <c r="IZX40" s="37"/>
      <c r="IZY40" s="37"/>
      <c r="IZZ40" s="37"/>
      <c r="JAA40" s="37"/>
      <c r="JAB40" s="37"/>
      <c r="JAC40" s="37"/>
      <c r="JAD40" s="37"/>
      <c r="JAE40" s="37"/>
      <c r="JAF40" s="37"/>
      <c r="JAG40" s="37"/>
      <c r="JAH40" s="37"/>
      <c r="JAI40" s="37"/>
      <c r="JAJ40" s="37"/>
      <c r="JAK40" s="37"/>
      <c r="JAL40" s="37"/>
      <c r="JAM40" s="37"/>
      <c r="JAN40" s="37"/>
      <c r="JAO40" s="37"/>
      <c r="JAP40" s="37"/>
      <c r="JAQ40" s="37"/>
      <c r="JAR40" s="37"/>
      <c r="JAS40" s="37"/>
      <c r="JAT40" s="37"/>
      <c r="JAU40" s="37"/>
      <c r="JAV40" s="37"/>
      <c r="JAW40" s="37"/>
      <c r="JAX40" s="37"/>
      <c r="JAY40" s="37"/>
      <c r="JAZ40" s="37"/>
      <c r="JBA40" s="37"/>
      <c r="JBB40" s="37"/>
      <c r="JBC40" s="37"/>
      <c r="JBD40" s="37"/>
      <c r="JBE40" s="37"/>
      <c r="JBF40" s="37"/>
      <c r="JBG40" s="37"/>
      <c r="JBH40" s="37"/>
      <c r="JBI40" s="37"/>
      <c r="JBJ40" s="37"/>
      <c r="JBK40" s="37"/>
      <c r="JBL40" s="37"/>
      <c r="JBM40" s="37"/>
      <c r="JBN40" s="37"/>
      <c r="JBO40" s="37"/>
      <c r="JBP40" s="37"/>
      <c r="JBQ40" s="37"/>
      <c r="JBR40" s="37"/>
      <c r="JBS40" s="37"/>
      <c r="JBT40" s="37"/>
      <c r="JBU40" s="37"/>
      <c r="JBV40" s="37"/>
      <c r="JBW40" s="37"/>
      <c r="JBX40" s="37"/>
      <c r="JBY40" s="37"/>
      <c r="JBZ40" s="37"/>
      <c r="JCA40" s="37"/>
      <c r="JCB40" s="37"/>
      <c r="JCC40" s="37"/>
      <c r="JCD40" s="37"/>
      <c r="JCE40" s="37"/>
      <c r="JCF40" s="37"/>
      <c r="JCG40" s="37"/>
      <c r="JCH40" s="37"/>
      <c r="JCI40" s="37"/>
      <c r="JCJ40" s="37"/>
      <c r="JCK40" s="37"/>
      <c r="JCL40" s="37"/>
      <c r="JCM40" s="37"/>
      <c r="JCN40" s="37"/>
      <c r="JCO40" s="37"/>
      <c r="JCP40" s="37"/>
      <c r="JCQ40" s="37"/>
      <c r="JCR40" s="37"/>
      <c r="JCS40" s="37"/>
      <c r="JCT40" s="37"/>
      <c r="JCU40" s="37"/>
      <c r="JCV40" s="37"/>
      <c r="JCW40" s="37"/>
      <c r="JCX40" s="37"/>
      <c r="JCY40" s="37"/>
      <c r="JCZ40" s="37"/>
      <c r="JDA40" s="37"/>
      <c r="JDB40" s="37"/>
      <c r="JDC40" s="37"/>
      <c r="JDD40" s="37"/>
      <c r="JDE40" s="37"/>
      <c r="JDF40" s="37"/>
      <c r="JDG40" s="37"/>
      <c r="JDH40" s="37"/>
      <c r="JDI40" s="37"/>
      <c r="JDJ40" s="37"/>
      <c r="JDK40" s="37"/>
      <c r="JDL40" s="37"/>
      <c r="JDM40" s="37"/>
      <c r="JDN40" s="37"/>
      <c r="JDO40" s="37"/>
      <c r="JDP40" s="37"/>
      <c r="JDQ40" s="37"/>
      <c r="JDR40" s="37"/>
      <c r="JDS40" s="37"/>
      <c r="JDT40" s="37"/>
      <c r="JDU40" s="37"/>
      <c r="JDV40" s="37"/>
      <c r="JDW40" s="37"/>
      <c r="JDX40" s="37"/>
      <c r="JDY40" s="37"/>
      <c r="JDZ40" s="37"/>
      <c r="JEA40" s="37"/>
      <c r="JEB40" s="37"/>
      <c r="JEC40" s="37"/>
      <c r="JED40" s="37"/>
      <c r="JEE40" s="37"/>
      <c r="JEF40" s="37"/>
      <c r="JEG40" s="37"/>
      <c r="JEH40" s="37"/>
      <c r="JEI40" s="37"/>
      <c r="JEJ40" s="37"/>
      <c r="JEK40" s="37"/>
      <c r="JEL40" s="37"/>
      <c r="JEM40" s="37"/>
      <c r="JEN40" s="37"/>
      <c r="JEO40" s="37"/>
      <c r="JEP40" s="37"/>
      <c r="JEQ40" s="37"/>
      <c r="JER40" s="37"/>
      <c r="JES40" s="37"/>
      <c r="JET40" s="37"/>
      <c r="JEU40" s="37"/>
      <c r="JEV40" s="37"/>
      <c r="JEW40" s="37"/>
      <c r="JEX40" s="37"/>
      <c r="JEY40" s="37"/>
      <c r="JEZ40" s="37"/>
      <c r="JFA40" s="37"/>
      <c r="JFB40" s="37"/>
      <c r="JFC40" s="37"/>
      <c r="JFD40" s="37"/>
      <c r="JFE40" s="37"/>
      <c r="JFF40" s="37"/>
      <c r="JFG40" s="37"/>
      <c r="JFH40" s="37"/>
      <c r="JFI40" s="37"/>
      <c r="JFJ40" s="37"/>
      <c r="JFK40" s="37"/>
      <c r="JFL40" s="37"/>
      <c r="JFM40" s="37"/>
      <c r="JFN40" s="37"/>
      <c r="JFO40" s="37"/>
      <c r="JFP40" s="37"/>
      <c r="JFQ40" s="37"/>
      <c r="JFR40" s="37"/>
      <c r="JFS40" s="37"/>
      <c r="JFT40" s="37"/>
      <c r="JFU40" s="37"/>
      <c r="JFV40" s="37"/>
      <c r="JFW40" s="37"/>
      <c r="JFX40" s="37"/>
      <c r="JFY40" s="37"/>
      <c r="JFZ40" s="37"/>
      <c r="JGA40" s="37"/>
      <c r="JGB40" s="37"/>
      <c r="JGC40" s="37"/>
      <c r="JGD40" s="37"/>
      <c r="JGE40" s="37"/>
      <c r="JGF40" s="37"/>
      <c r="JGG40" s="37"/>
      <c r="JGH40" s="37"/>
      <c r="JGI40" s="37"/>
      <c r="JGJ40" s="37"/>
      <c r="JGK40" s="37"/>
      <c r="JGL40" s="37"/>
      <c r="JGM40" s="37"/>
      <c r="JGN40" s="37"/>
      <c r="JGO40" s="37"/>
      <c r="JGP40" s="37"/>
      <c r="JGQ40" s="37"/>
      <c r="JGR40" s="37"/>
      <c r="JGS40" s="37"/>
      <c r="JGT40" s="37"/>
      <c r="JGU40" s="37"/>
      <c r="JGV40" s="37"/>
      <c r="JGW40" s="37"/>
      <c r="JGX40" s="37"/>
      <c r="JGY40" s="37"/>
      <c r="JGZ40" s="37"/>
      <c r="JHA40" s="37"/>
      <c r="JHB40" s="37"/>
      <c r="JHC40" s="37"/>
      <c r="JHD40" s="37"/>
      <c r="JHE40" s="37"/>
      <c r="JHF40" s="37"/>
      <c r="JHG40" s="37"/>
      <c r="JHH40" s="37"/>
      <c r="JHI40" s="37"/>
      <c r="JHJ40" s="37"/>
      <c r="JHK40" s="37"/>
      <c r="JHL40" s="37"/>
      <c r="JHM40" s="37"/>
      <c r="JHN40" s="37"/>
      <c r="JHO40" s="37"/>
      <c r="JHP40" s="37"/>
      <c r="JHQ40" s="37"/>
      <c r="JHR40" s="37"/>
      <c r="JHS40" s="37"/>
      <c r="JHT40" s="37"/>
      <c r="JHU40" s="37"/>
      <c r="JHV40" s="37"/>
      <c r="JHW40" s="37"/>
      <c r="JHX40" s="37"/>
      <c r="JHY40" s="37"/>
      <c r="JHZ40" s="37"/>
      <c r="JIA40" s="37"/>
      <c r="JIB40" s="37"/>
      <c r="JIC40" s="37"/>
      <c r="JID40" s="37"/>
      <c r="JIE40" s="37"/>
      <c r="JIF40" s="37"/>
      <c r="JIG40" s="37"/>
      <c r="JIH40" s="37"/>
      <c r="JII40" s="37"/>
      <c r="JIJ40" s="37"/>
      <c r="JIK40" s="37"/>
      <c r="JIL40" s="37"/>
      <c r="JIM40" s="37"/>
      <c r="JIN40" s="37"/>
      <c r="JIO40" s="37"/>
      <c r="JIP40" s="37"/>
      <c r="JIQ40" s="37"/>
      <c r="JIR40" s="37"/>
      <c r="JIS40" s="37"/>
      <c r="JIT40" s="37"/>
      <c r="JIU40" s="37"/>
      <c r="JIV40" s="37"/>
      <c r="JIW40" s="37"/>
      <c r="JIX40" s="37"/>
      <c r="JIY40" s="37"/>
      <c r="JIZ40" s="37"/>
      <c r="JJA40" s="37"/>
      <c r="JJB40" s="37"/>
      <c r="JJC40" s="37"/>
      <c r="JJD40" s="37"/>
      <c r="JJE40" s="37"/>
      <c r="JJF40" s="37"/>
      <c r="JJG40" s="37"/>
      <c r="JJH40" s="37"/>
      <c r="JJI40" s="37"/>
      <c r="JJJ40" s="37"/>
      <c r="JJK40" s="37"/>
      <c r="JJL40" s="37"/>
      <c r="JJM40" s="37"/>
      <c r="JJN40" s="37"/>
      <c r="JJO40" s="37"/>
      <c r="JJP40" s="37"/>
      <c r="JJQ40" s="37"/>
      <c r="JJR40" s="37"/>
      <c r="JJS40" s="37"/>
      <c r="JJT40" s="37"/>
      <c r="JJU40" s="37"/>
      <c r="JJV40" s="37"/>
      <c r="JJW40" s="37"/>
      <c r="JJX40" s="37"/>
      <c r="JJY40" s="37"/>
      <c r="JJZ40" s="37"/>
      <c r="JKA40" s="37"/>
      <c r="JKB40" s="37"/>
      <c r="JKC40" s="37"/>
      <c r="JKD40" s="37"/>
      <c r="JKE40" s="37"/>
      <c r="JKF40" s="37"/>
      <c r="JKG40" s="37"/>
      <c r="JKH40" s="37"/>
      <c r="JKI40" s="37"/>
      <c r="JKJ40" s="37"/>
      <c r="JKK40" s="37"/>
      <c r="JKL40" s="37"/>
      <c r="JKM40" s="37"/>
      <c r="JKN40" s="37"/>
      <c r="JKO40" s="37"/>
      <c r="JKP40" s="37"/>
      <c r="JKQ40" s="37"/>
      <c r="JKR40" s="37"/>
      <c r="JKS40" s="37"/>
      <c r="JKT40" s="37"/>
      <c r="JKU40" s="37"/>
      <c r="JKV40" s="37"/>
      <c r="JKW40" s="37"/>
      <c r="JKX40" s="37"/>
      <c r="JKY40" s="37"/>
      <c r="JKZ40" s="37"/>
      <c r="JLA40" s="37"/>
      <c r="JLB40" s="37"/>
      <c r="JLC40" s="37"/>
      <c r="JLD40" s="37"/>
      <c r="JLE40" s="37"/>
      <c r="JLF40" s="37"/>
      <c r="JLG40" s="37"/>
      <c r="JLH40" s="37"/>
      <c r="JLI40" s="37"/>
      <c r="JLJ40" s="37"/>
      <c r="JLK40" s="37"/>
      <c r="JLL40" s="37"/>
      <c r="JLM40" s="37"/>
      <c r="JLN40" s="37"/>
      <c r="JLO40" s="37"/>
      <c r="JLP40" s="37"/>
      <c r="JLQ40" s="37"/>
      <c r="JLR40" s="37"/>
      <c r="JLS40" s="37"/>
      <c r="JLT40" s="37"/>
      <c r="JLU40" s="37"/>
      <c r="JLV40" s="37"/>
      <c r="JLW40" s="37"/>
      <c r="JLX40" s="37"/>
      <c r="JLY40" s="37"/>
      <c r="JLZ40" s="37"/>
      <c r="JMA40" s="37"/>
      <c r="JMB40" s="37"/>
      <c r="JMC40" s="37"/>
      <c r="JMD40" s="37"/>
      <c r="JME40" s="37"/>
      <c r="JMF40" s="37"/>
      <c r="JMG40" s="37"/>
      <c r="JMH40" s="37"/>
      <c r="JMI40" s="37"/>
      <c r="JMJ40" s="37"/>
      <c r="JMK40" s="37"/>
      <c r="JML40" s="37"/>
      <c r="JMM40" s="37"/>
      <c r="JMN40" s="37"/>
      <c r="JMO40" s="37"/>
      <c r="JMP40" s="37"/>
      <c r="JMQ40" s="37"/>
      <c r="JMR40" s="37"/>
      <c r="JMS40" s="37"/>
      <c r="JMT40" s="37"/>
      <c r="JMU40" s="37"/>
      <c r="JMV40" s="37"/>
      <c r="JMW40" s="37"/>
      <c r="JMX40" s="37"/>
      <c r="JMY40" s="37"/>
      <c r="JMZ40" s="37"/>
      <c r="JNA40" s="37"/>
      <c r="JNB40" s="37"/>
      <c r="JNC40" s="37"/>
      <c r="JND40" s="37"/>
      <c r="JNE40" s="37"/>
      <c r="JNF40" s="37"/>
      <c r="JNG40" s="37"/>
      <c r="JNH40" s="37"/>
      <c r="JNI40" s="37"/>
      <c r="JNJ40" s="37"/>
      <c r="JNK40" s="37"/>
      <c r="JNL40" s="37"/>
      <c r="JNM40" s="37"/>
      <c r="JNN40" s="37"/>
      <c r="JNO40" s="37"/>
      <c r="JNP40" s="37"/>
      <c r="JNQ40" s="37"/>
      <c r="JNR40" s="37"/>
      <c r="JNS40" s="37"/>
      <c r="JNT40" s="37"/>
      <c r="JNU40" s="37"/>
      <c r="JNV40" s="37"/>
      <c r="JNW40" s="37"/>
      <c r="JNX40" s="37"/>
      <c r="JNY40" s="37"/>
      <c r="JNZ40" s="37"/>
      <c r="JOA40" s="37"/>
      <c r="JOB40" s="37"/>
      <c r="JOC40" s="37"/>
      <c r="JOD40" s="37"/>
      <c r="JOE40" s="37"/>
      <c r="JOF40" s="37"/>
      <c r="JOG40" s="37"/>
      <c r="JOH40" s="37"/>
      <c r="JOI40" s="37"/>
      <c r="JOJ40" s="37"/>
      <c r="JOK40" s="37"/>
      <c r="JOL40" s="37"/>
      <c r="JOM40" s="37"/>
      <c r="JON40" s="37"/>
      <c r="JOO40" s="37"/>
      <c r="JOP40" s="37"/>
      <c r="JOQ40" s="37"/>
      <c r="JOR40" s="37"/>
      <c r="JOS40" s="37"/>
      <c r="JOT40" s="37"/>
      <c r="JOU40" s="37"/>
      <c r="JOV40" s="37"/>
      <c r="JOW40" s="37"/>
      <c r="JOX40" s="37"/>
      <c r="JOY40" s="37"/>
      <c r="JOZ40" s="37"/>
      <c r="JPA40" s="37"/>
      <c r="JPB40" s="37"/>
      <c r="JPC40" s="37"/>
      <c r="JPD40" s="37"/>
      <c r="JPE40" s="37"/>
      <c r="JPF40" s="37"/>
      <c r="JPG40" s="37"/>
      <c r="JPH40" s="37"/>
      <c r="JPI40" s="37"/>
      <c r="JPJ40" s="37"/>
      <c r="JPK40" s="37"/>
      <c r="JPL40" s="37"/>
      <c r="JPM40" s="37"/>
      <c r="JPN40" s="37"/>
      <c r="JPO40" s="37"/>
      <c r="JPP40" s="37"/>
      <c r="JPQ40" s="37"/>
      <c r="JPR40" s="37"/>
      <c r="JPS40" s="37"/>
      <c r="JPT40" s="37"/>
      <c r="JPU40" s="37"/>
      <c r="JPV40" s="37"/>
      <c r="JPW40" s="37"/>
      <c r="JPX40" s="37"/>
      <c r="JPY40" s="37"/>
      <c r="JPZ40" s="37"/>
      <c r="JQA40" s="37"/>
      <c r="JQB40" s="37"/>
      <c r="JQC40" s="37"/>
      <c r="JQD40" s="37"/>
      <c r="JQE40" s="37"/>
      <c r="JQF40" s="37"/>
      <c r="JQG40" s="37"/>
      <c r="JQH40" s="37"/>
      <c r="JQI40" s="37"/>
      <c r="JQJ40" s="37"/>
      <c r="JQK40" s="37"/>
      <c r="JQL40" s="37"/>
      <c r="JQM40" s="37"/>
      <c r="JQN40" s="37"/>
      <c r="JQO40" s="37"/>
      <c r="JQP40" s="37"/>
      <c r="JQQ40" s="37"/>
      <c r="JQR40" s="37"/>
      <c r="JQS40" s="37"/>
      <c r="JQT40" s="37"/>
      <c r="JQU40" s="37"/>
      <c r="JQV40" s="37"/>
      <c r="JQW40" s="37"/>
      <c r="JQX40" s="37"/>
      <c r="JQY40" s="37"/>
      <c r="JQZ40" s="37"/>
      <c r="JRA40" s="37"/>
      <c r="JRB40" s="37"/>
      <c r="JRC40" s="37"/>
      <c r="JRD40" s="37"/>
      <c r="JRE40" s="37"/>
      <c r="JRF40" s="37"/>
      <c r="JRG40" s="37"/>
      <c r="JRH40" s="37"/>
      <c r="JRI40" s="37"/>
      <c r="JRJ40" s="37"/>
      <c r="JRK40" s="37"/>
      <c r="JRL40" s="37"/>
      <c r="JRM40" s="37"/>
      <c r="JRN40" s="37"/>
      <c r="JRO40" s="37"/>
      <c r="JRP40" s="37"/>
      <c r="JRQ40" s="37"/>
      <c r="JRR40" s="37"/>
      <c r="JRS40" s="37"/>
      <c r="JRT40" s="37"/>
      <c r="JRU40" s="37"/>
      <c r="JRV40" s="37"/>
      <c r="JRW40" s="37"/>
      <c r="JRX40" s="37"/>
      <c r="JRY40" s="37"/>
      <c r="JRZ40" s="37"/>
      <c r="JSA40" s="37"/>
      <c r="JSB40" s="37"/>
      <c r="JSC40" s="37"/>
      <c r="JSD40" s="37"/>
      <c r="JSE40" s="37"/>
      <c r="JSF40" s="37"/>
      <c r="JSG40" s="37"/>
      <c r="JSH40" s="37"/>
      <c r="JSI40" s="37"/>
      <c r="JSJ40" s="37"/>
      <c r="JSK40" s="37"/>
      <c r="JSL40" s="37"/>
      <c r="JSM40" s="37"/>
      <c r="JSN40" s="37"/>
      <c r="JSO40" s="37"/>
      <c r="JSP40" s="37"/>
      <c r="JSQ40" s="37"/>
      <c r="JSR40" s="37"/>
      <c r="JSS40" s="37"/>
      <c r="JST40" s="37"/>
      <c r="JSU40" s="37"/>
      <c r="JSV40" s="37"/>
      <c r="JSW40" s="37"/>
      <c r="JSX40" s="37"/>
      <c r="JSY40" s="37"/>
      <c r="JSZ40" s="37"/>
      <c r="JTA40" s="37"/>
      <c r="JTB40" s="37"/>
      <c r="JTC40" s="37"/>
      <c r="JTD40" s="37"/>
      <c r="JTE40" s="37"/>
      <c r="JTF40" s="37"/>
      <c r="JTG40" s="37"/>
      <c r="JTH40" s="37"/>
      <c r="JTI40" s="37"/>
      <c r="JTJ40" s="37"/>
      <c r="JTK40" s="37"/>
      <c r="JTL40" s="37"/>
      <c r="JTM40" s="37"/>
      <c r="JTN40" s="37"/>
      <c r="JTO40" s="37"/>
      <c r="JTP40" s="37"/>
      <c r="JTQ40" s="37"/>
      <c r="JTR40" s="37"/>
      <c r="JTS40" s="37"/>
      <c r="JTT40" s="37"/>
      <c r="JTU40" s="37"/>
      <c r="JTV40" s="37"/>
      <c r="JTW40" s="37"/>
      <c r="JTX40" s="37"/>
      <c r="JTY40" s="37"/>
      <c r="JTZ40" s="37"/>
      <c r="JUA40" s="37"/>
      <c r="JUB40" s="37"/>
      <c r="JUC40" s="37"/>
      <c r="JUD40" s="37"/>
      <c r="JUE40" s="37"/>
      <c r="JUF40" s="37"/>
      <c r="JUG40" s="37"/>
      <c r="JUH40" s="37"/>
      <c r="JUI40" s="37"/>
      <c r="JUJ40" s="37"/>
      <c r="JUK40" s="37"/>
      <c r="JUL40" s="37"/>
      <c r="JUM40" s="37"/>
      <c r="JUN40" s="37"/>
      <c r="JUO40" s="37"/>
      <c r="JUP40" s="37"/>
      <c r="JUQ40" s="37"/>
      <c r="JUR40" s="37"/>
      <c r="JUS40" s="37"/>
      <c r="JUT40" s="37"/>
      <c r="JUU40" s="37"/>
      <c r="JUV40" s="37"/>
      <c r="JUW40" s="37"/>
      <c r="JUX40" s="37"/>
      <c r="JUY40" s="37"/>
      <c r="JUZ40" s="37"/>
      <c r="JVA40" s="37"/>
      <c r="JVB40" s="37"/>
      <c r="JVC40" s="37"/>
      <c r="JVD40" s="37"/>
      <c r="JVE40" s="37"/>
      <c r="JVF40" s="37"/>
      <c r="JVG40" s="37"/>
      <c r="JVH40" s="37"/>
      <c r="JVI40" s="37"/>
      <c r="JVJ40" s="37"/>
      <c r="JVK40" s="37"/>
      <c r="JVL40" s="37"/>
      <c r="JVM40" s="37"/>
      <c r="JVN40" s="37"/>
      <c r="JVO40" s="37"/>
      <c r="JVP40" s="37"/>
      <c r="JVQ40" s="37"/>
      <c r="JVR40" s="37"/>
      <c r="JVS40" s="37"/>
      <c r="JVT40" s="37"/>
      <c r="JVU40" s="37"/>
      <c r="JVV40" s="37"/>
      <c r="JVW40" s="37"/>
      <c r="JVX40" s="37"/>
      <c r="JVY40" s="37"/>
      <c r="JVZ40" s="37"/>
      <c r="JWA40" s="37"/>
      <c r="JWB40" s="37"/>
      <c r="JWC40" s="37"/>
      <c r="JWD40" s="37"/>
      <c r="JWE40" s="37"/>
      <c r="JWF40" s="37"/>
      <c r="JWG40" s="37"/>
      <c r="JWH40" s="37"/>
      <c r="JWI40" s="37"/>
      <c r="JWJ40" s="37"/>
      <c r="JWK40" s="37"/>
      <c r="JWL40" s="37"/>
      <c r="JWM40" s="37"/>
      <c r="JWN40" s="37"/>
      <c r="JWO40" s="37"/>
      <c r="JWP40" s="37"/>
      <c r="JWQ40" s="37"/>
      <c r="JWR40" s="37"/>
      <c r="JWS40" s="37"/>
      <c r="JWT40" s="37"/>
      <c r="JWU40" s="37"/>
      <c r="JWV40" s="37"/>
      <c r="JWW40" s="37"/>
      <c r="JWX40" s="37"/>
      <c r="JWY40" s="37"/>
      <c r="JWZ40" s="37"/>
      <c r="JXA40" s="37"/>
      <c r="JXB40" s="37"/>
      <c r="JXC40" s="37"/>
      <c r="JXD40" s="37"/>
      <c r="JXE40" s="37"/>
      <c r="JXF40" s="37"/>
      <c r="JXG40" s="37"/>
      <c r="JXH40" s="37"/>
      <c r="JXI40" s="37"/>
      <c r="JXJ40" s="37"/>
      <c r="JXK40" s="37"/>
      <c r="JXL40" s="37"/>
      <c r="JXM40" s="37"/>
      <c r="JXN40" s="37"/>
      <c r="JXO40" s="37"/>
      <c r="JXP40" s="37"/>
      <c r="JXQ40" s="37"/>
      <c r="JXR40" s="37"/>
      <c r="JXS40" s="37"/>
      <c r="JXT40" s="37"/>
      <c r="JXU40" s="37"/>
      <c r="JXV40" s="37"/>
      <c r="JXW40" s="37"/>
      <c r="JXX40" s="37"/>
      <c r="JXY40" s="37"/>
      <c r="JXZ40" s="37"/>
      <c r="JYA40" s="37"/>
      <c r="JYB40" s="37"/>
      <c r="JYC40" s="37"/>
      <c r="JYD40" s="37"/>
      <c r="JYE40" s="37"/>
      <c r="JYF40" s="37"/>
      <c r="JYG40" s="37"/>
      <c r="JYH40" s="37"/>
      <c r="JYI40" s="37"/>
      <c r="JYJ40" s="37"/>
      <c r="JYK40" s="37"/>
      <c r="JYL40" s="37"/>
      <c r="JYM40" s="37"/>
      <c r="JYN40" s="37"/>
      <c r="JYO40" s="37"/>
      <c r="JYP40" s="37"/>
      <c r="JYQ40" s="37"/>
      <c r="JYR40" s="37"/>
      <c r="JYS40" s="37"/>
      <c r="JYT40" s="37"/>
      <c r="JYU40" s="37"/>
      <c r="JYV40" s="37"/>
      <c r="JYW40" s="37"/>
      <c r="JYX40" s="37"/>
      <c r="JYY40" s="37"/>
      <c r="JYZ40" s="37"/>
      <c r="JZA40" s="37"/>
      <c r="JZB40" s="37"/>
      <c r="JZC40" s="37"/>
      <c r="JZD40" s="37"/>
      <c r="JZE40" s="37"/>
      <c r="JZF40" s="37"/>
      <c r="JZG40" s="37"/>
      <c r="JZH40" s="37"/>
      <c r="JZI40" s="37"/>
      <c r="JZJ40" s="37"/>
      <c r="JZK40" s="37"/>
      <c r="JZL40" s="37"/>
      <c r="JZM40" s="37"/>
      <c r="JZN40" s="37"/>
      <c r="JZO40" s="37"/>
      <c r="JZP40" s="37"/>
      <c r="JZQ40" s="37"/>
      <c r="JZR40" s="37"/>
      <c r="JZS40" s="37"/>
      <c r="JZT40" s="37"/>
      <c r="JZU40" s="37"/>
      <c r="JZV40" s="37"/>
      <c r="JZW40" s="37"/>
      <c r="JZX40" s="37"/>
      <c r="JZY40" s="37"/>
      <c r="JZZ40" s="37"/>
      <c r="KAA40" s="37"/>
      <c r="KAB40" s="37"/>
      <c r="KAC40" s="37"/>
      <c r="KAD40" s="37"/>
      <c r="KAE40" s="37"/>
      <c r="KAF40" s="37"/>
      <c r="KAG40" s="37"/>
      <c r="KAH40" s="37"/>
      <c r="KAI40" s="37"/>
      <c r="KAJ40" s="37"/>
      <c r="KAK40" s="37"/>
      <c r="KAL40" s="37"/>
      <c r="KAM40" s="37"/>
      <c r="KAN40" s="37"/>
      <c r="KAO40" s="37"/>
      <c r="KAP40" s="37"/>
      <c r="KAQ40" s="37"/>
      <c r="KAR40" s="37"/>
      <c r="KAS40" s="37"/>
      <c r="KAT40" s="37"/>
      <c r="KAU40" s="37"/>
      <c r="KAV40" s="37"/>
      <c r="KAW40" s="37"/>
      <c r="KAX40" s="37"/>
      <c r="KAY40" s="37"/>
      <c r="KAZ40" s="37"/>
      <c r="KBA40" s="37"/>
      <c r="KBB40" s="37"/>
      <c r="KBC40" s="37"/>
      <c r="KBD40" s="37"/>
      <c r="KBE40" s="37"/>
      <c r="KBF40" s="37"/>
      <c r="KBG40" s="37"/>
      <c r="KBH40" s="37"/>
      <c r="KBI40" s="37"/>
      <c r="KBJ40" s="37"/>
      <c r="KBK40" s="37"/>
      <c r="KBL40" s="37"/>
      <c r="KBM40" s="37"/>
      <c r="KBN40" s="37"/>
      <c r="KBO40" s="37"/>
      <c r="KBP40" s="37"/>
      <c r="KBQ40" s="37"/>
      <c r="KBR40" s="37"/>
      <c r="KBS40" s="37"/>
      <c r="KBT40" s="37"/>
      <c r="KBU40" s="37"/>
      <c r="KBV40" s="37"/>
      <c r="KBW40" s="37"/>
      <c r="KBX40" s="37"/>
      <c r="KBY40" s="37"/>
      <c r="KBZ40" s="37"/>
      <c r="KCA40" s="37"/>
      <c r="KCB40" s="37"/>
      <c r="KCC40" s="37"/>
      <c r="KCD40" s="37"/>
      <c r="KCE40" s="37"/>
      <c r="KCF40" s="37"/>
      <c r="KCG40" s="37"/>
      <c r="KCH40" s="37"/>
      <c r="KCI40" s="37"/>
      <c r="KCJ40" s="37"/>
      <c r="KCK40" s="37"/>
      <c r="KCL40" s="37"/>
      <c r="KCM40" s="37"/>
      <c r="KCN40" s="37"/>
      <c r="KCO40" s="37"/>
      <c r="KCP40" s="37"/>
      <c r="KCQ40" s="37"/>
      <c r="KCR40" s="37"/>
      <c r="KCS40" s="37"/>
      <c r="KCT40" s="37"/>
      <c r="KCU40" s="37"/>
      <c r="KCV40" s="37"/>
      <c r="KCW40" s="37"/>
      <c r="KCX40" s="37"/>
      <c r="KCY40" s="37"/>
      <c r="KCZ40" s="37"/>
      <c r="KDA40" s="37"/>
      <c r="KDB40" s="37"/>
      <c r="KDC40" s="37"/>
      <c r="KDD40" s="37"/>
      <c r="KDE40" s="37"/>
      <c r="KDF40" s="37"/>
      <c r="KDG40" s="37"/>
      <c r="KDH40" s="37"/>
      <c r="KDI40" s="37"/>
      <c r="KDJ40" s="37"/>
      <c r="KDK40" s="37"/>
      <c r="KDL40" s="37"/>
      <c r="KDM40" s="37"/>
      <c r="KDN40" s="37"/>
      <c r="KDO40" s="37"/>
      <c r="KDP40" s="37"/>
      <c r="KDQ40" s="37"/>
      <c r="KDR40" s="37"/>
      <c r="KDS40" s="37"/>
      <c r="KDT40" s="37"/>
      <c r="KDU40" s="37"/>
      <c r="KDV40" s="37"/>
      <c r="KDW40" s="37"/>
      <c r="KDX40" s="37"/>
      <c r="KDY40" s="37"/>
      <c r="KDZ40" s="37"/>
      <c r="KEA40" s="37"/>
      <c r="KEB40" s="37"/>
      <c r="KEC40" s="37"/>
      <c r="KED40" s="37"/>
      <c r="KEE40" s="37"/>
      <c r="KEF40" s="37"/>
      <c r="KEG40" s="37"/>
      <c r="KEH40" s="37"/>
      <c r="KEI40" s="37"/>
      <c r="KEJ40" s="37"/>
      <c r="KEK40" s="37"/>
      <c r="KEL40" s="37"/>
      <c r="KEM40" s="37"/>
      <c r="KEN40" s="37"/>
      <c r="KEO40" s="37"/>
      <c r="KEP40" s="37"/>
      <c r="KEQ40" s="37"/>
      <c r="KER40" s="37"/>
      <c r="KES40" s="37"/>
      <c r="KET40" s="37"/>
      <c r="KEU40" s="37"/>
      <c r="KEV40" s="37"/>
      <c r="KEW40" s="37"/>
      <c r="KEX40" s="37"/>
      <c r="KEY40" s="37"/>
      <c r="KEZ40" s="37"/>
      <c r="KFA40" s="37"/>
      <c r="KFB40" s="37"/>
      <c r="KFC40" s="37"/>
      <c r="KFD40" s="37"/>
      <c r="KFE40" s="37"/>
      <c r="KFF40" s="37"/>
      <c r="KFG40" s="37"/>
      <c r="KFH40" s="37"/>
      <c r="KFI40" s="37"/>
      <c r="KFJ40" s="37"/>
      <c r="KFK40" s="37"/>
      <c r="KFL40" s="37"/>
      <c r="KFM40" s="37"/>
      <c r="KFN40" s="37"/>
      <c r="KFO40" s="37"/>
      <c r="KFP40" s="37"/>
      <c r="KFQ40" s="37"/>
      <c r="KFR40" s="37"/>
      <c r="KFS40" s="37"/>
      <c r="KFT40" s="37"/>
      <c r="KFU40" s="37"/>
      <c r="KFV40" s="37"/>
      <c r="KFW40" s="37"/>
      <c r="KFX40" s="37"/>
      <c r="KFY40" s="37"/>
      <c r="KFZ40" s="37"/>
      <c r="KGA40" s="37"/>
      <c r="KGB40" s="37"/>
      <c r="KGC40" s="37"/>
      <c r="KGD40" s="37"/>
      <c r="KGE40" s="37"/>
      <c r="KGF40" s="37"/>
      <c r="KGG40" s="37"/>
      <c r="KGH40" s="37"/>
      <c r="KGI40" s="37"/>
      <c r="KGJ40" s="37"/>
      <c r="KGK40" s="37"/>
      <c r="KGL40" s="37"/>
      <c r="KGM40" s="37"/>
      <c r="KGN40" s="37"/>
      <c r="KGO40" s="37"/>
      <c r="KGP40" s="37"/>
      <c r="KGQ40" s="37"/>
      <c r="KGR40" s="37"/>
      <c r="KGS40" s="37"/>
      <c r="KGT40" s="37"/>
      <c r="KGU40" s="37"/>
      <c r="KGV40" s="37"/>
      <c r="KGW40" s="37"/>
      <c r="KGX40" s="37"/>
      <c r="KGY40" s="37"/>
      <c r="KGZ40" s="37"/>
      <c r="KHA40" s="37"/>
      <c r="KHB40" s="37"/>
      <c r="KHC40" s="37"/>
      <c r="KHD40" s="37"/>
      <c r="KHE40" s="37"/>
      <c r="KHF40" s="37"/>
      <c r="KHG40" s="37"/>
      <c r="KHH40" s="37"/>
      <c r="KHI40" s="37"/>
      <c r="KHJ40" s="37"/>
      <c r="KHK40" s="37"/>
      <c r="KHL40" s="37"/>
      <c r="KHM40" s="37"/>
      <c r="KHN40" s="37"/>
      <c r="KHO40" s="37"/>
      <c r="KHP40" s="37"/>
      <c r="KHQ40" s="37"/>
      <c r="KHR40" s="37"/>
      <c r="KHS40" s="37"/>
      <c r="KHT40" s="37"/>
      <c r="KHU40" s="37"/>
      <c r="KHV40" s="37"/>
      <c r="KHW40" s="37"/>
      <c r="KHX40" s="37"/>
      <c r="KHY40" s="37"/>
      <c r="KHZ40" s="37"/>
      <c r="KIA40" s="37"/>
      <c r="KIB40" s="37"/>
      <c r="KIC40" s="37"/>
      <c r="KID40" s="37"/>
      <c r="KIE40" s="37"/>
      <c r="KIF40" s="37"/>
      <c r="KIG40" s="37"/>
      <c r="KIH40" s="37"/>
      <c r="KII40" s="37"/>
      <c r="KIJ40" s="37"/>
      <c r="KIK40" s="37"/>
      <c r="KIL40" s="37"/>
      <c r="KIM40" s="37"/>
      <c r="KIN40" s="37"/>
      <c r="KIO40" s="37"/>
      <c r="KIP40" s="37"/>
      <c r="KIQ40" s="37"/>
      <c r="KIR40" s="37"/>
      <c r="KIS40" s="37"/>
      <c r="KIT40" s="37"/>
      <c r="KIU40" s="37"/>
      <c r="KIV40" s="37"/>
      <c r="KIW40" s="37"/>
      <c r="KIX40" s="37"/>
      <c r="KIY40" s="37"/>
      <c r="KIZ40" s="37"/>
      <c r="KJA40" s="37"/>
      <c r="KJB40" s="37"/>
      <c r="KJC40" s="37"/>
      <c r="KJD40" s="37"/>
      <c r="KJE40" s="37"/>
      <c r="KJF40" s="37"/>
      <c r="KJG40" s="37"/>
      <c r="KJH40" s="37"/>
      <c r="KJI40" s="37"/>
      <c r="KJJ40" s="37"/>
      <c r="KJK40" s="37"/>
      <c r="KJL40" s="37"/>
      <c r="KJM40" s="37"/>
      <c r="KJN40" s="37"/>
      <c r="KJO40" s="37"/>
      <c r="KJP40" s="37"/>
      <c r="KJQ40" s="37"/>
      <c r="KJR40" s="37"/>
      <c r="KJS40" s="37"/>
      <c r="KJT40" s="37"/>
      <c r="KJU40" s="37"/>
      <c r="KJV40" s="37"/>
      <c r="KJW40" s="37"/>
      <c r="KJX40" s="37"/>
      <c r="KJY40" s="37"/>
      <c r="KJZ40" s="37"/>
      <c r="KKA40" s="37"/>
      <c r="KKB40" s="37"/>
      <c r="KKC40" s="37"/>
      <c r="KKD40" s="37"/>
      <c r="KKE40" s="37"/>
      <c r="KKF40" s="37"/>
      <c r="KKG40" s="37"/>
      <c r="KKH40" s="37"/>
      <c r="KKI40" s="37"/>
      <c r="KKJ40" s="37"/>
      <c r="KKK40" s="37"/>
      <c r="KKL40" s="37"/>
      <c r="KKM40" s="37"/>
      <c r="KKN40" s="37"/>
      <c r="KKO40" s="37"/>
      <c r="KKP40" s="37"/>
      <c r="KKQ40" s="37"/>
      <c r="KKR40" s="37"/>
      <c r="KKS40" s="37"/>
      <c r="KKT40" s="37"/>
      <c r="KKU40" s="37"/>
      <c r="KKV40" s="37"/>
      <c r="KKW40" s="37"/>
      <c r="KKX40" s="37"/>
      <c r="KKY40" s="37"/>
      <c r="KKZ40" s="37"/>
      <c r="KLA40" s="37"/>
      <c r="KLB40" s="37"/>
      <c r="KLC40" s="37"/>
      <c r="KLD40" s="37"/>
      <c r="KLE40" s="37"/>
      <c r="KLF40" s="37"/>
      <c r="KLG40" s="37"/>
      <c r="KLH40" s="37"/>
      <c r="KLI40" s="37"/>
      <c r="KLJ40" s="37"/>
      <c r="KLK40" s="37"/>
      <c r="KLL40" s="37"/>
      <c r="KLM40" s="37"/>
      <c r="KLN40" s="37"/>
      <c r="KLO40" s="37"/>
      <c r="KLP40" s="37"/>
      <c r="KLQ40" s="37"/>
      <c r="KLR40" s="37"/>
      <c r="KLS40" s="37"/>
      <c r="KLT40" s="37"/>
      <c r="KLU40" s="37"/>
      <c r="KLV40" s="37"/>
      <c r="KLW40" s="37"/>
      <c r="KLX40" s="37"/>
      <c r="KLY40" s="37"/>
      <c r="KLZ40" s="37"/>
      <c r="KMA40" s="37"/>
      <c r="KMB40" s="37"/>
      <c r="KMC40" s="37"/>
      <c r="KMD40" s="37"/>
      <c r="KME40" s="37"/>
      <c r="KMF40" s="37"/>
      <c r="KMG40" s="37"/>
      <c r="KMH40" s="37"/>
      <c r="KMI40" s="37"/>
      <c r="KMJ40" s="37"/>
      <c r="KMK40" s="37"/>
      <c r="KML40" s="37"/>
      <c r="KMM40" s="37"/>
      <c r="KMN40" s="37"/>
      <c r="KMO40" s="37"/>
      <c r="KMP40" s="37"/>
      <c r="KMQ40" s="37"/>
      <c r="KMR40" s="37"/>
      <c r="KMS40" s="37"/>
      <c r="KMT40" s="37"/>
      <c r="KMU40" s="37"/>
      <c r="KMV40" s="37"/>
      <c r="KMW40" s="37"/>
      <c r="KMX40" s="37"/>
      <c r="KMY40" s="37"/>
      <c r="KMZ40" s="37"/>
      <c r="KNA40" s="37"/>
      <c r="KNB40" s="37"/>
      <c r="KNC40" s="37"/>
      <c r="KND40" s="37"/>
      <c r="KNE40" s="37"/>
      <c r="KNF40" s="37"/>
      <c r="KNG40" s="37"/>
      <c r="KNH40" s="37"/>
      <c r="KNI40" s="37"/>
      <c r="KNJ40" s="37"/>
      <c r="KNK40" s="37"/>
      <c r="KNL40" s="37"/>
      <c r="KNM40" s="37"/>
      <c r="KNN40" s="37"/>
      <c r="KNO40" s="37"/>
      <c r="KNP40" s="37"/>
      <c r="KNQ40" s="37"/>
      <c r="KNR40" s="37"/>
      <c r="KNS40" s="37"/>
      <c r="KNT40" s="37"/>
      <c r="KNU40" s="37"/>
      <c r="KNV40" s="37"/>
      <c r="KNW40" s="37"/>
      <c r="KNX40" s="37"/>
      <c r="KNY40" s="37"/>
      <c r="KNZ40" s="37"/>
      <c r="KOA40" s="37"/>
      <c r="KOB40" s="37"/>
      <c r="KOC40" s="37"/>
      <c r="KOD40" s="37"/>
      <c r="KOE40" s="37"/>
      <c r="KOF40" s="37"/>
      <c r="KOG40" s="37"/>
      <c r="KOH40" s="37"/>
      <c r="KOI40" s="37"/>
      <c r="KOJ40" s="37"/>
      <c r="KOK40" s="37"/>
      <c r="KOL40" s="37"/>
      <c r="KOM40" s="37"/>
      <c r="KON40" s="37"/>
      <c r="KOO40" s="37"/>
      <c r="KOP40" s="37"/>
      <c r="KOQ40" s="37"/>
      <c r="KOR40" s="37"/>
      <c r="KOS40" s="37"/>
      <c r="KOT40" s="37"/>
      <c r="KOU40" s="37"/>
      <c r="KOV40" s="37"/>
      <c r="KOW40" s="37"/>
      <c r="KOX40" s="37"/>
      <c r="KOY40" s="37"/>
      <c r="KOZ40" s="37"/>
      <c r="KPA40" s="37"/>
      <c r="KPB40" s="37"/>
      <c r="KPC40" s="37"/>
      <c r="KPD40" s="37"/>
      <c r="KPE40" s="37"/>
      <c r="KPF40" s="37"/>
      <c r="KPG40" s="37"/>
      <c r="KPH40" s="37"/>
      <c r="KPI40" s="37"/>
      <c r="KPJ40" s="37"/>
      <c r="KPK40" s="37"/>
      <c r="KPL40" s="37"/>
      <c r="KPM40" s="37"/>
      <c r="KPN40" s="37"/>
      <c r="KPO40" s="37"/>
      <c r="KPP40" s="37"/>
      <c r="KPQ40" s="37"/>
      <c r="KPR40" s="37"/>
      <c r="KPS40" s="37"/>
      <c r="KPT40" s="37"/>
      <c r="KPU40" s="37"/>
      <c r="KPV40" s="37"/>
      <c r="KPW40" s="37"/>
      <c r="KPX40" s="37"/>
      <c r="KPY40" s="37"/>
      <c r="KPZ40" s="37"/>
      <c r="KQA40" s="37"/>
      <c r="KQB40" s="37"/>
      <c r="KQC40" s="37"/>
      <c r="KQD40" s="37"/>
      <c r="KQE40" s="37"/>
      <c r="KQF40" s="37"/>
      <c r="KQG40" s="37"/>
      <c r="KQH40" s="37"/>
      <c r="KQI40" s="37"/>
      <c r="KQJ40" s="37"/>
      <c r="KQK40" s="37"/>
      <c r="KQL40" s="37"/>
      <c r="KQM40" s="37"/>
      <c r="KQN40" s="37"/>
      <c r="KQO40" s="37"/>
      <c r="KQP40" s="37"/>
      <c r="KQQ40" s="37"/>
      <c r="KQR40" s="37"/>
      <c r="KQS40" s="37"/>
      <c r="KQT40" s="37"/>
      <c r="KQU40" s="37"/>
      <c r="KQV40" s="37"/>
      <c r="KQW40" s="37"/>
      <c r="KQX40" s="37"/>
      <c r="KQY40" s="37"/>
      <c r="KQZ40" s="37"/>
      <c r="KRA40" s="37"/>
      <c r="KRB40" s="37"/>
      <c r="KRC40" s="37"/>
      <c r="KRD40" s="37"/>
      <c r="KRE40" s="37"/>
      <c r="KRF40" s="37"/>
      <c r="KRG40" s="37"/>
      <c r="KRH40" s="37"/>
      <c r="KRI40" s="37"/>
      <c r="KRJ40" s="37"/>
      <c r="KRK40" s="37"/>
      <c r="KRL40" s="37"/>
      <c r="KRM40" s="37"/>
      <c r="KRN40" s="37"/>
      <c r="KRO40" s="37"/>
      <c r="KRP40" s="37"/>
      <c r="KRQ40" s="37"/>
      <c r="KRR40" s="37"/>
      <c r="KRS40" s="37"/>
      <c r="KRT40" s="37"/>
      <c r="KRU40" s="37"/>
      <c r="KRV40" s="37"/>
      <c r="KRW40" s="37"/>
      <c r="KRX40" s="37"/>
      <c r="KRY40" s="37"/>
      <c r="KRZ40" s="37"/>
      <c r="KSA40" s="37"/>
      <c r="KSB40" s="37"/>
      <c r="KSC40" s="37"/>
      <c r="KSD40" s="37"/>
      <c r="KSE40" s="37"/>
      <c r="KSF40" s="37"/>
      <c r="KSG40" s="37"/>
      <c r="KSH40" s="37"/>
      <c r="KSI40" s="37"/>
      <c r="KSJ40" s="37"/>
      <c r="KSK40" s="37"/>
      <c r="KSL40" s="37"/>
      <c r="KSM40" s="37"/>
      <c r="KSN40" s="37"/>
      <c r="KSO40" s="37"/>
      <c r="KSP40" s="37"/>
      <c r="KSQ40" s="37"/>
      <c r="KSR40" s="37"/>
      <c r="KSS40" s="37"/>
      <c r="KST40" s="37"/>
      <c r="KSU40" s="37"/>
      <c r="KSV40" s="37"/>
      <c r="KSW40" s="37"/>
      <c r="KSX40" s="37"/>
      <c r="KSY40" s="37"/>
      <c r="KSZ40" s="37"/>
      <c r="KTA40" s="37"/>
      <c r="KTB40" s="37"/>
      <c r="KTC40" s="37"/>
      <c r="KTD40" s="37"/>
      <c r="KTE40" s="37"/>
      <c r="KTF40" s="37"/>
      <c r="KTG40" s="37"/>
      <c r="KTH40" s="37"/>
      <c r="KTI40" s="37"/>
      <c r="KTJ40" s="37"/>
      <c r="KTK40" s="37"/>
      <c r="KTL40" s="37"/>
      <c r="KTM40" s="37"/>
      <c r="KTN40" s="37"/>
      <c r="KTO40" s="37"/>
      <c r="KTP40" s="37"/>
      <c r="KTQ40" s="37"/>
      <c r="KTR40" s="37"/>
      <c r="KTS40" s="37"/>
      <c r="KTT40" s="37"/>
      <c r="KTU40" s="37"/>
      <c r="KTV40" s="37"/>
      <c r="KTW40" s="37"/>
      <c r="KTX40" s="37"/>
      <c r="KTY40" s="37"/>
      <c r="KTZ40" s="37"/>
      <c r="KUA40" s="37"/>
      <c r="KUB40" s="37"/>
      <c r="KUC40" s="37"/>
      <c r="KUD40" s="37"/>
      <c r="KUE40" s="37"/>
      <c r="KUF40" s="37"/>
      <c r="KUG40" s="37"/>
      <c r="KUH40" s="37"/>
      <c r="KUI40" s="37"/>
      <c r="KUJ40" s="37"/>
      <c r="KUK40" s="37"/>
      <c r="KUL40" s="37"/>
      <c r="KUM40" s="37"/>
      <c r="KUN40" s="37"/>
      <c r="KUO40" s="37"/>
      <c r="KUP40" s="37"/>
      <c r="KUQ40" s="37"/>
      <c r="KUR40" s="37"/>
      <c r="KUS40" s="37"/>
      <c r="KUT40" s="37"/>
      <c r="KUU40" s="37"/>
      <c r="KUV40" s="37"/>
      <c r="KUW40" s="37"/>
      <c r="KUX40" s="37"/>
      <c r="KUY40" s="37"/>
      <c r="KUZ40" s="37"/>
      <c r="KVA40" s="37"/>
      <c r="KVB40" s="37"/>
      <c r="KVC40" s="37"/>
      <c r="KVD40" s="37"/>
      <c r="KVE40" s="37"/>
      <c r="KVF40" s="37"/>
      <c r="KVG40" s="37"/>
      <c r="KVH40" s="37"/>
      <c r="KVI40" s="37"/>
      <c r="KVJ40" s="37"/>
      <c r="KVK40" s="37"/>
      <c r="KVL40" s="37"/>
      <c r="KVM40" s="37"/>
      <c r="KVN40" s="37"/>
      <c r="KVO40" s="37"/>
      <c r="KVP40" s="37"/>
      <c r="KVQ40" s="37"/>
      <c r="KVR40" s="37"/>
      <c r="KVS40" s="37"/>
      <c r="KVT40" s="37"/>
      <c r="KVU40" s="37"/>
      <c r="KVV40" s="37"/>
      <c r="KVW40" s="37"/>
      <c r="KVX40" s="37"/>
      <c r="KVY40" s="37"/>
      <c r="KVZ40" s="37"/>
      <c r="KWA40" s="37"/>
      <c r="KWB40" s="37"/>
      <c r="KWC40" s="37"/>
      <c r="KWD40" s="37"/>
      <c r="KWE40" s="37"/>
      <c r="KWF40" s="37"/>
      <c r="KWG40" s="37"/>
      <c r="KWH40" s="37"/>
      <c r="KWI40" s="37"/>
      <c r="KWJ40" s="37"/>
      <c r="KWK40" s="37"/>
      <c r="KWL40" s="37"/>
      <c r="KWM40" s="37"/>
      <c r="KWN40" s="37"/>
      <c r="KWO40" s="37"/>
      <c r="KWP40" s="37"/>
      <c r="KWQ40" s="37"/>
      <c r="KWR40" s="37"/>
      <c r="KWS40" s="37"/>
      <c r="KWT40" s="37"/>
      <c r="KWU40" s="37"/>
      <c r="KWV40" s="37"/>
      <c r="KWW40" s="37"/>
      <c r="KWX40" s="37"/>
      <c r="KWY40" s="37"/>
      <c r="KWZ40" s="37"/>
      <c r="KXA40" s="37"/>
      <c r="KXB40" s="37"/>
      <c r="KXC40" s="37"/>
      <c r="KXD40" s="37"/>
      <c r="KXE40" s="37"/>
      <c r="KXF40" s="37"/>
      <c r="KXG40" s="37"/>
      <c r="KXH40" s="37"/>
      <c r="KXI40" s="37"/>
      <c r="KXJ40" s="37"/>
      <c r="KXK40" s="37"/>
      <c r="KXL40" s="37"/>
      <c r="KXM40" s="37"/>
      <c r="KXN40" s="37"/>
      <c r="KXO40" s="37"/>
      <c r="KXP40" s="37"/>
      <c r="KXQ40" s="37"/>
      <c r="KXR40" s="37"/>
      <c r="KXS40" s="37"/>
      <c r="KXT40" s="37"/>
      <c r="KXU40" s="37"/>
      <c r="KXV40" s="37"/>
      <c r="KXW40" s="37"/>
      <c r="KXX40" s="37"/>
      <c r="KXY40" s="37"/>
      <c r="KXZ40" s="37"/>
      <c r="KYA40" s="37"/>
      <c r="KYB40" s="37"/>
      <c r="KYC40" s="37"/>
      <c r="KYD40" s="37"/>
      <c r="KYE40" s="37"/>
      <c r="KYF40" s="37"/>
      <c r="KYG40" s="37"/>
      <c r="KYH40" s="37"/>
      <c r="KYI40" s="37"/>
      <c r="KYJ40" s="37"/>
      <c r="KYK40" s="37"/>
      <c r="KYL40" s="37"/>
      <c r="KYM40" s="37"/>
      <c r="KYN40" s="37"/>
      <c r="KYO40" s="37"/>
      <c r="KYP40" s="37"/>
      <c r="KYQ40" s="37"/>
      <c r="KYR40" s="37"/>
      <c r="KYS40" s="37"/>
      <c r="KYT40" s="37"/>
      <c r="KYU40" s="37"/>
      <c r="KYV40" s="37"/>
      <c r="KYW40" s="37"/>
      <c r="KYX40" s="37"/>
      <c r="KYY40" s="37"/>
      <c r="KYZ40" s="37"/>
      <c r="KZA40" s="37"/>
      <c r="KZB40" s="37"/>
      <c r="KZC40" s="37"/>
      <c r="KZD40" s="37"/>
      <c r="KZE40" s="37"/>
      <c r="KZF40" s="37"/>
      <c r="KZG40" s="37"/>
      <c r="KZH40" s="37"/>
      <c r="KZI40" s="37"/>
      <c r="KZJ40" s="37"/>
      <c r="KZK40" s="37"/>
      <c r="KZL40" s="37"/>
      <c r="KZM40" s="37"/>
      <c r="KZN40" s="37"/>
      <c r="KZO40" s="37"/>
      <c r="KZP40" s="37"/>
      <c r="KZQ40" s="37"/>
      <c r="KZR40" s="37"/>
      <c r="KZS40" s="37"/>
      <c r="KZT40" s="37"/>
      <c r="KZU40" s="37"/>
      <c r="KZV40" s="37"/>
      <c r="KZW40" s="37"/>
      <c r="KZX40" s="37"/>
      <c r="KZY40" s="37"/>
      <c r="KZZ40" s="37"/>
      <c r="LAA40" s="37"/>
      <c r="LAB40" s="37"/>
      <c r="LAC40" s="37"/>
      <c r="LAD40" s="37"/>
      <c r="LAE40" s="37"/>
      <c r="LAF40" s="37"/>
      <c r="LAG40" s="37"/>
      <c r="LAH40" s="37"/>
      <c r="LAI40" s="37"/>
      <c r="LAJ40" s="37"/>
      <c r="LAK40" s="37"/>
      <c r="LAL40" s="37"/>
      <c r="LAM40" s="37"/>
      <c r="LAN40" s="37"/>
      <c r="LAO40" s="37"/>
      <c r="LAP40" s="37"/>
      <c r="LAQ40" s="37"/>
      <c r="LAR40" s="37"/>
      <c r="LAS40" s="37"/>
      <c r="LAT40" s="37"/>
      <c r="LAU40" s="37"/>
      <c r="LAV40" s="37"/>
      <c r="LAW40" s="37"/>
      <c r="LAX40" s="37"/>
      <c r="LAY40" s="37"/>
      <c r="LAZ40" s="37"/>
      <c r="LBA40" s="37"/>
      <c r="LBB40" s="37"/>
      <c r="LBC40" s="37"/>
      <c r="LBD40" s="37"/>
      <c r="LBE40" s="37"/>
      <c r="LBF40" s="37"/>
      <c r="LBG40" s="37"/>
      <c r="LBH40" s="37"/>
      <c r="LBI40" s="37"/>
      <c r="LBJ40" s="37"/>
      <c r="LBK40" s="37"/>
      <c r="LBL40" s="37"/>
      <c r="LBM40" s="37"/>
      <c r="LBN40" s="37"/>
      <c r="LBO40" s="37"/>
      <c r="LBP40" s="37"/>
      <c r="LBQ40" s="37"/>
      <c r="LBR40" s="37"/>
      <c r="LBS40" s="37"/>
      <c r="LBT40" s="37"/>
      <c r="LBU40" s="37"/>
      <c r="LBV40" s="37"/>
      <c r="LBW40" s="37"/>
      <c r="LBX40" s="37"/>
      <c r="LBY40" s="37"/>
      <c r="LBZ40" s="37"/>
      <c r="LCA40" s="37"/>
      <c r="LCB40" s="37"/>
      <c r="LCC40" s="37"/>
      <c r="LCD40" s="37"/>
      <c r="LCE40" s="37"/>
      <c r="LCF40" s="37"/>
      <c r="LCG40" s="37"/>
      <c r="LCH40" s="37"/>
      <c r="LCI40" s="37"/>
      <c r="LCJ40" s="37"/>
      <c r="LCK40" s="37"/>
      <c r="LCL40" s="37"/>
      <c r="LCM40" s="37"/>
      <c r="LCN40" s="37"/>
      <c r="LCO40" s="37"/>
      <c r="LCP40" s="37"/>
      <c r="LCQ40" s="37"/>
      <c r="LCR40" s="37"/>
      <c r="LCS40" s="37"/>
      <c r="LCT40" s="37"/>
      <c r="LCU40" s="37"/>
      <c r="LCV40" s="37"/>
      <c r="LCW40" s="37"/>
      <c r="LCX40" s="37"/>
      <c r="LCY40" s="37"/>
      <c r="LCZ40" s="37"/>
      <c r="LDA40" s="37"/>
      <c r="LDB40" s="37"/>
      <c r="LDC40" s="37"/>
      <c r="LDD40" s="37"/>
      <c r="LDE40" s="37"/>
      <c r="LDF40" s="37"/>
      <c r="LDG40" s="37"/>
      <c r="LDH40" s="37"/>
      <c r="LDI40" s="37"/>
      <c r="LDJ40" s="37"/>
      <c r="LDK40" s="37"/>
      <c r="LDL40" s="37"/>
      <c r="LDM40" s="37"/>
      <c r="LDN40" s="37"/>
      <c r="LDO40" s="37"/>
      <c r="LDP40" s="37"/>
      <c r="LDQ40" s="37"/>
      <c r="LDR40" s="37"/>
      <c r="LDS40" s="37"/>
      <c r="LDT40" s="37"/>
      <c r="LDU40" s="37"/>
      <c r="LDV40" s="37"/>
      <c r="LDW40" s="37"/>
      <c r="LDX40" s="37"/>
      <c r="LDY40" s="37"/>
      <c r="LDZ40" s="37"/>
      <c r="LEA40" s="37"/>
      <c r="LEB40" s="37"/>
      <c r="LEC40" s="37"/>
      <c r="LED40" s="37"/>
      <c r="LEE40" s="37"/>
      <c r="LEF40" s="37"/>
      <c r="LEG40" s="37"/>
      <c r="LEH40" s="37"/>
      <c r="LEI40" s="37"/>
      <c r="LEJ40" s="37"/>
      <c r="LEK40" s="37"/>
      <c r="LEL40" s="37"/>
      <c r="LEM40" s="37"/>
      <c r="LEN40" s="37"/>
      <c r="LEO40" s="37"/>
      <c r="LEP40" s="37"/>
      <c r="LEQ40" s="37"/>
      <c r="LER40" s="37"/>
      <c r="LES40" s="37"/>
      <c r="LET40" s="37"/>
      <c r="LEU40" s="37"/>
      <c r="LEV40" s="37"/>
      <c r="LEW40" s="37"/>
      <c r="LEX40" s="37"/>
      <c r="LEY40" s="37"/>
      <c r="LEZ40" s="37"/>
      <c r="LFA40" s="37"/>
      <c r="LFB40" s="37"/>
      <c r="LFC40" s="37"/>
      <c r="LFD40" s="37"/>
      <c r="LFE40" s="37"/>
      <c r="LFF40" s="37"/>
      <c r="LFG40" s="37"/>
      <c r="LFH40" s="37"/>
      <c r="LFI40" s="37"/>
      <c r="LFJ40" s="37"/>
      <c r="LFK40" s="37"/>
      <c r="LFL40" s="37"/>
      <c r="LFM40" s="37"/>
      <c r="LFN40" s="37"/>
      <c r="LFO40" s="37"/>
      <c r="LFP40" s="37"/>
      <c r="LFQ40" s="37"/>
      <c r="LFR40" s="37"/>
      <c r="LFS40" s="37"/>
      <c r="LFT40" s="37"/>
      <c r="LFU40" s="37"/>
      <c r="LFV40" s="37"/>
      <c r="LFW40" s="37"/>
      <c r="LFX40" s="37"/>
      <c r="LFY40" s="37"/>
      <c r="LFZ40" s="37"/>
      <c r="LGA40" s="37"/>
      <c r="LGB40" s="37"/>
      <c r="LGC40" s="37"/>
      <c r="LGD40" s="37"/>
      <c r="LGE40" s="37"/>
      <c r="LGF40" s="37"/>
      <c r="LGG40" s="37"/>
      <c r="LGH40" s="37"/>
      <c r="LGI40" s="37"/>
      <c r="LGJ40" s="37"/>
      <c r="LGK40" s="37"/>
      <c r="LGL40" s="37"/>
      <c r="LGM40" s="37"/>
      <c r="LGN40" s="37"/>
      <c r="LGO40" s="37"/>
      <c r="LGP40" s="37"/>
      <c r="LGQ40" s="37"/>
      <c r="LGR40" s="37"/>
      <c r="LGS40" s="37"/>
      <c r="LGT40" s="37"/>
      <c r="LGU40" s="37"/>
      <c r="LGV40" s="37"/>
      <c r="LGW40" s="37"/>
      <c r="LGX40" s="37"/>
      <c r="LGY40" s="37"/>
      <c r="LGZ40" s="37"/>
      <c r="LHA40" s="37"/>
      <c r="LHB40" s="37"/>
      <c r="LHC40" s="37"/>
      <c r="LHD40" s="37"/>
      <c r="LHE40" s="37"/>
      <c r="LHF40" s="37"/>
      <c r="LHG40" s="37"/>
      <c r="LHH40" s="37"/>
      <c r="LHI40" s="37"/>
      <c r="LHJ40" s="37"/>
      <c r="LHK40" s="37"/>
      <c r="LHL40" s="37"/>
      <c r="LHM40" s="37"/>
      <c r="LHN40" s="37"/>
      <c r="LHO40" s="37"/>
      <c r="LHP40" s="37"/>
      <c r="LHQ40" s="37"/>
      <c r="LHR40" s="37"/>
      <c r="LHS40" s="37"/>
      <c r="LHT40" s="37"/>
      <c r="LHU40" s="37"/>
      <c r="LHV40" s="37"/>
      <c r="LHW40" s="37"/>
      <c r="LHX40" s="37"/>
      <c r="LHY40" s="37"/>
      <c r="LHZ40" s="37"/>
      <c r="LIA40" s="37"/>
      <c r="LIB40" s="37"/>
      <c r="LIC40" s="37"/>
      <c r="LID40" s="37"/>
      <c r="LIE40" s="37"/>
      <c r="LIF40" s="37"/>
      <c r="LIG40" s="37"/>
      <c r="LIH40" s="37"/>
      <c r="LII40" s="37"/>
      <c r="LIJ40" s="37"/>
      <c r="LIK40" s="37"/>
      <c r="LIL40" s="37"/>
      <c r="LIM40" s="37"/>
      <c r="LIN40" s="37"/>
      <c r="LIO40" s="37"/>
      <c r="LIP40" s="37"/>
      <c r="LIQ40" s="37"/>
      <c r="LIR40" s="37"/>
      <c r="LIS40" s="37"/>
      <c r="LIT40" s="37"/>
      <c r="LIU40" s="37"/>
      <c r="LIV40" s="37"/>
      <c r="LIW40" s="37"/>
      <c r="LIX40" s="37"/>
      <c r="LIY40" s="37"/>
      <c r="LIZ40" s="37"/>
      <c r="LJA40" s="37"/>
      <c r="LJB40" s="37"/>
      <c r="LJC40" s="37"/>
      <c r="LJD40" s="37"/>
      <c r="LJE40" s="37"/>
      <c r="LJF40" s="37"/>
      <c r="LJG40" s="37"/>
      <c r="LJH40" s="37"/>
      <c r="LJI40" s="37"/>
      <c r="LJJ40" s="37"/>
      <c r="LJK40" s="37"/>
      <c r="LJL40" s="37"/>
      <c r="LJM40" s="37"/>
      <c r="LJN40" s="37"/>
      <c r="LJO40" s="37"/>
      <c r="LJP40" s="37"/>
      <c r="LJQ40" s="37"/>
      <c r="LJR40" s="37"/>
      <c r="LJS40" s="37"/>
      <c r="LJT40" s="37"/>
      <c r="LJU40" s="37"/>
      <c r="LJV40" s="37"/>
      <c r="LJW40" s="37"/>
      <c r="LJX40" s="37"/>
      <c r="LJY40" s="37"/>
      <c r="LJZ40" s="37"/>
      <c r="LKA40" s="37"/>
      <c r="LKB40" s="37"/>
      <c r="LKC40" s="37"/>
      <c r="LKD40" s="37"/>
      <c r="LKE40" s="37"/>
      <c r="LKF40" s="37"/>
      <c r="LKG40" s="37"/>
      <c r="LKH40" s="37"/>
      <c r="LKI40" s="37"/>
      <c r="LKJ40" s="37"/>
      <c r="LKK40" s="37"/>
      <c r="LKL40" s="37"/>
      <c r="LKM40" s="37"/>
      <c r="LKN40" s="37"/>
      <c r="LKO40" s="37"/>
      <c r="LKP40" s="37"/>
      <c r="LKQ40" s="37"/>
      <c r="LKR40" s="37"/>
      <c r="LKS40" s="37"/>
      <c r="LKT40" s="37"/>
      <c r="LKU40" s="37"/>
      <c r="LKV40" s="37"/>
      <c r="LKW40" s="37"/>
      <c r="LKX40" s="37"/>
      <c r="LKY40" s="37"/>
      <c r="LKZ40" s="37"/>
      <c r="LLA40" s="37"/>
      <c r="LLB40" s="37"/>
      <c r="LLC40" s="37"/>
      <c r="LLD40" s="37"/>
      <c r="LLE40" s="37"/>
      <c r="LLF40" s="37"/>
      <c r="LLG40" s="37"/>
      <c r="LLH40" s="37"/>
      <c r="LLI40" s="37"/>
      <c r="LLJ40" s="37"/>
      <c r="LLK40" s="37"/>
      <c r="LLL40" s="37"/>
      <c r="LLM40" s="37"/>
      <c r="LLN40" s="37"/>
      <c r="LLO40" s="37"/>
      <c r="LLP40" s="37"/>
      <c r="LLQ40" s="37"/>
      <c r="LLR40" s="37"/>
      <c r="LLS40" s="37"/>
      <c r="LLT40" s="37"/>
      <c r="LLU40" s="37"/>
      <c r="LLV40" s="37"/>
      <c r="LLW40" s="37"/>
      <c r="LLX40" s="37"/>
      <c r="LLY40" s="37"/>
      <c r="LLZ40" s="37"/>
      <c r="LMA40" s="37"/>
      <c r="LMB40" s="37"/>
      <c r="LMC40" s="37"/>
      <c r="LMD40" s="37"/>
      <c r="LME40" s="37"/>
      <c r="LMF40" s="37"/>
      <c r="LMG40" s="37"/>
      <c r="LMH40" s="37"/>
      <c r="LMI40" s="37"/>
      <c r="LMJ40" s="37"/>
      <c r="LMK40" s="37"/>
      <c r="LML40" s="37"/>
      <c r="LMM40" s="37"/>
      <c r="LMN40" s="37"/>
      <c r="LMO40" s="37"/>
      <c r="LMP40" s="37"/>
      <c r="LMQ40" s="37"/>
      <c r="LMR40" s="37"/>
      <c r="LMS40" s="37"/>
      <c r="LMT40" s="37"/>
      <c r="LMU40" s="37"/>
      <c r="LMV40" s="37"/>
      <c r="LMW40" s="37"/>
      <c r="LMX40" s="37"/>
      <c r="LMY40" s="37"/>
      <c r="LMZ40" s="37"/>
      <c r="LNA40" s="37"/>
      <c r="LNB40" s="37"/>
      <c r="LNC40" s="37"/>
      <c r="LND40" s="37"/>
      <c r="LNE40" s="37"/>
      <c r="LNF40" s="37"/>
      <c r="LNG40" s="37"/>
      <c r="LNH40" s="37"/>
      <c r="LNI40" s="37"/>
      <c r="LNJ40" s="37"/>
      <c r="LNK40" s="37"/>
      <c r="LNL40" s="37"/>
      <c r="LNM40" s="37"/>
      <c r="LNN40" s="37"/>
      <c r="LNO40" s="37"/>
      <c r="LNP40" s="37"/>
      <c r="LNQ40" s="37"/>
      <c r="LNR40" s="37"/>
      <c r="LNS40" s="37"/>
      <c r="LNT40" s="37"/>
      <c r="LNU40" s="37"/>
      <c r="LNV40" s="37"/>
      <c r="LNW40" s="37"/>
      <c r="LNX40" s="37"/>
      <c r="LNY40" s="37"/>
      <c r="LNZ40" s="37"/>
      <c r="LOA40" s="37"/>
      <c r="LOB40" s="37"/>
      <c r="LOC40" s="37"/>
      <c r="LOD40" s="37"/>
      <c r="LOE40" s="37"/>
      <c r="LOF40" s="37"/>
      <c r="LOG40" s="37"/>
      <c r="LOH40" s="37"/>
      <c r="LOI40" s="37"/>
      <c r="LOJ40" s="37"/>
      <c r="LOK40" s="37"/>
      <c r="LOL40" s="37"/>
      <c r="LOM40" s="37"/>
      <c r="LON40" s="37"/>
      <c r="LOO40" s="37"/>
      <c r="LOP40" s="37"/>
      <c r="LOQ40" s="37"/>
      <c r="LOR40" s="37"/>
      <c r="LOS40" s="37"/>
      <c r="LOT40" s="37"/>
      <c r="LOU40" s="37"/>
      <c r="LOV40" s="37"/>
      <c r="LOW40" s="37"/>
      <c r="LOX40" s="37"/>
      <c r="LOY40" s="37"/>
      <c r="LOZ40" s="37"/>
      <c r="LPA40" s="37"/>
      <c r="LPB40" s="37"/>
      <c r="LPC40" s="37"/>
      <c r="LPD40" s="37"/>
      <c r="LPE40" s="37"/>
      <c r="LPF40" s="37"/>
      <c r="LPG40" s="37"/>
      <c r="LPH40" s="37"/>
      <c r="LPI40" s="37"/>
      <c r="LPJ40" s="37"/>
      <c r="LPK40" s="37"/>
      <c r="LPL40" s="37"/>
      <c r="LPM40" s="37"/>
      <c r="LPN40" s="37"/>
      <c r="LPO40" s="37"/>
      <c r="LPP40" s="37"/>
      <c r="LPQ40" s="37"/>
      <c r="LPR40" s="37"/>
      <c r="LPS40" s="37"/>
      <c r="LPT40" s="37"/>
      <c r="LPU40" s="37"/>
      <c r="LPV40" s="37"/>
      <c r="LPW40" s="37"/>
      <c r="LPX40" s="37"/>
      <c r="LPY40" s="37"/>
      <c r="LPZ40" s="37"/>
      <c r="LQA40" s="37"/>
      <c r="LQB40" s="37"/>
      <c r="LQC40" s="37"/>
      <c r="LQD40" s="37"/>
      <c r="LQE40" s="37"/>
      <c r="LQF40" s="37"/>
      <c r="LQG40" s="37"/>
      <c r="LQH40" s="37"/>
      <c r="LQI40" s="37"/>
      <c r="LQJ40" s="37"/>
      <c r="LQK40" s="37"/>
      <c r="LQL40" s="37"/>
      <c r="LQM40" s="37"/>
      <c r="LQN40" s="37"/>
      <c r="LQO40" s="37"/>
      <c r="LQP40" s="37"/>
      <c r="LQQ40" s="37"/>
      <c r="LQR40" s="37"/>
      <c r="LQS40" s="37"/>
      <c r="LQT40" s="37"/>
      <c r="LQU40" s="37"/>
      <c r="LQV40" s="37"/>
      <c r="LQW40" s="37"/>
      <c r="LQX40" s="37"/>
      <c r="LQY40" s="37"/>
      <c r="LQZ40" s="37"/>
      <c r="LRA40" s="37"/>
      <c r="LRB40" s="37"/>
      <c r="LRC40" s="37"/>
      <c r="LRD40" s="37"/>
      <c r="LRE40" s="37"/>
      <c r="LRF40" s="37"/>
      <c r="LRG40" s="37"/>
      <c r="LRH40" s="37"/>
      <c r="LRI40" s="37"/>
      <c r="LRJ40" s="37"/>
      <c r="LRK40" s="37"/>
      <c r="LRL40" s="37"/>
      <c r="LRM40" s="37"/>
      <c r="LRN40" s="37"/>
      <c r="LRO40" s="37"/>
      <c r="LRP40" s="37"/>
      <c r="LRQ40" s="37"/>
      <c r="LRR40" s="37"/>
      <c r="LRS40" s="37"/>
      <c r="LRT40" s="37"/>
      <c r="LRU40" s="37"/>
      <c r="LRV40" s="37"/>
      <c r="LRW40" s="37"/>
      <c r="LRX40" s="37"/>
      <c r="LRY40" s="37"/>
      <c r="LRZ40" s="37"/>
      <c r="LSA40" s="37"/>
      <c r="LSB40" s="37"/>
      <c r="LSC40" s="37"/>
      <c r="LSD40" s="37"/>
      <c r="LSE40" s="37"/>
      <c r="LSF40" s="37"/>
      <c r="LSG40" s="37"/>
      <c r="LSH40" s="37"/>
      <c r="LSI40" s="37"/>
      <c r="LSJ40" s="37"/>
      <c r="LSK40" s="37"/>
      <c r="LSL40" s="37"/>
      <c r="LSM40" s="37"/>
      <c r="LSN40" s="37"/>
      <c r="LSO40" s="37"/>
      <c r="LSP40" s="37"/>
      <c r="LSQ40" s="37"/>
      <c r="LSR40" s="37"/>
      <c r="LSS40" s="37"/>
      <c r="LST40" s="37"/>
      <c r="LSU40" s="37"/>
      <c r="LSV40" s="37"/>
      <c r="LSW40" s="37"/>
      <c r="LSX40" s="37"/>
      <c r="LSY40" s="37"/>
      <c r="LSZ40" s="37"/>
      <c r="LTA40" s="37"/>
      <c r="LTB40" s="37"/>
      <c r="LTC40" s="37"/>
      <c r="LTD40" s="37"/>
      <c r="LTE40" s="37"/>
      <c r="LTF40" s="37"/>
      <c r="LTG40" s="37"/>
      <c r="LTH40" s="37"/>
      <c r="LTI40" s="37"/>
      <c r="LTJ40" s="37"/>
      <c r="LTK40" s="37"/>
      <c r="LTL40" s="37"/>
      <c r="LTM40" s="37"/>
      <c r="LTN40" s="37"/>
      <c r="LTO40" s="37"/>
      <c r="LTP40" s="37"/>
      <c r="LTQ40" s="37"/>
      <c r="LTR40" s="37"/>
      <c r="LTS40" s="37"/>
      <c r="LTT40" s="37"/>
      <c r="LTU40" s="37"/>
      <c r="LTV40" s="37"/>
      <c r="LTW40" s="37"/>
      <c r="LTX40" s="37"/>
      <c r="LTY40" s="37"/>
      <c r="LTZ40" s="37"/>
      <c r="LUA40" s="37"/>
      <c r="LUB40" s="37"/>
      <c r="LUC40" s="37"/>
      <c r="LUD40" s="37"/>
      <c r="LUE40" s="37"/>
      <c r="LUF40" s="37"/>
      <c r="LUG40" s="37"/>
      <c r="LUH40" s="37"/>
      <c r="LUI40" s="37"/>
      <c r="LUJ40" s="37"/>
      <c r="LUK40" s="37"/>
      <c r="LUL40" s="37"/>
      <c r="LUM40" s="37"/>
      <c r="LUN40" s="37"/>
      <c r="LUO40" s="37"/>
      <c r="LUP40" s="37"/>
      <c r="LUQ40" s="37"/>
      <c r="LUR40" s="37"/>
      <c r="LUS40" s="37"/>
      <c r="LUT40" s="37"/>
      <c r="LUU40" s="37"/>
      <c r="LUV40" s="37"/>
      <c r="LUW40" s="37"/>
      <c r="LUX40" s="37"/>
      <c r="LUY40" s="37"/>
      <c r="LUZ40" s="37"/>
      <c r="LVA40" s="37"/>
      <c r="LVB40" s="37"/>
      <c r="LVC40" s="37"/>
      <c r="LVD40" s="37"/>
      <c r="LVE40" s="37"/>
      <c r="LVF40" s="37"/>
      <c r="LVG40" s="37"/>
      <c r="LVH40" s="37"/>
      <c r="LVI40" s="37"/>
      <c r="LVJ40" s="37"/>
      <c r="LVK40" s="37"/>
      <c r="LVL40" s="37"/>
      <c r="LVM40" s="37"/>
      <c r="LVN40" s="37"/>
      <c r="LVO40" s="37"/>
      <c r="LVP40" s="37"/>
      <c r="LVQ40" s="37"/>
      <c r="LVR40" s="37"/>
      <c r="LVS40" s="37"/>
      <c r="LVT40" s="37"/>
      <c r="LVU40" s="37"/>
      <c r="LVV40" s="37"/>
      <c r="LVW40" s="37"/>
      <c r="LVX40" s="37"/>
      <c r="LVY40" s="37"/>
      <c r="LVZ40" s="37"/>
      <c r="LWA40" s="37"/>
      <c r="LWB40" s="37"/>
      <c r="LWC40" s="37"/>
      <c r="LWD40" s="37"/>
      <c r="LWE40" s="37"/>
      <c r="LWF40" s="37"/>
      <c r="LWG40" s="37"/>
      <c r="LWH40" s="37"/>
      <c r="LWI40" s="37"/>
      <c r="LWJ40" s="37"/>
      <c r="LWK40" s="37"/>
      <c r="LWL40" s="37"/>
      <c r="LWM40" s="37"/>
      <c r="LWN40" s="37"/>
      <c r="LWO40" s="37"/>
      <c r="LWP40" s="37"/>
      <c r="LWQ40" s="37"/>
      <c r="LWR40" s="37"/>
      <c r="LWS40" s="37"/>
      <c r="LWT40" s="37"/>
      <c r="LWU40" s="37"/>
      <c r="LWV40" s="37"/>
      <c r="LWW40" s="37"/>
      <c r="LWX40" s="37"/>
      <c r="LWY40" s="37"/>
      <c r="LWZ40" s="37"/>
      <c r="LXA40" s="37"/>
      <c r="LXB40" s="37"/>
      <c r="LXC40" s="37"/>
      <c r="LXD40" s="37"/>
      <c r="LXE40" s="37"/>
      <c r="LXF40" s="37"/>
      <c r="LXG40" s="37"/>
      <c r="LXH40" s="37"/>
      <c r="LXI40" s="37"/>
      <c r="LXJ40" s="37"/>
      <c r="LXK40" s="37"/>
      <c r="LXL40" s="37"/>
      <c r="LXM40" s="37"/>
      <c r="LXN40" s="37"/>
      <c r="LXO40" s="37"/>
      <c r="LXP40" s="37"/>
      <c r="LXQ40" s="37"/>
      <c r="LXR40" s="37"/>
      <c r="LXS40" s="37"/>
      <c r="LXT40" s="37"/>
      <c r="LXU40" s="37"/>
      <c r="LXV40" s="37"/>
      <c r="LXW40" s="37"/>
      <c r="LXX40" s="37"/>
      <c r="LXY40" s="37"/>
      <c r="LXZ40" s="37"/>
      <c r="LYA40" s="37"/>
      <c r="LYB40" s="37"/>
      <c r="LYC40" s="37"/>
      <c r="LYD40" s="37"/>
      <c r="LYE40" s="37"/>
      <c r="LYF40" s="37"/>
      <c r="LYG40" s="37"/>
      <c r="LYH40" s="37"/>
      <c r="LYI40" s="37"/>
      <c r="LYJ40" s="37"/>
      <c r="LYK40" s="37"/>
      <c r="LYL40" s="37"/>
      <c r="LYM40" s="37"/>
      <c r="LYN40" s="37"/>
      <c r="LYO40" s="37"/>
      <c r="LYP40" s="37"/>
      <c r="LYQ40" s="37"/>
      <c r="LYR40" s="37"/>
      <c r="LYS40" s="37"/>
      <c r="LYT40" s="37"/>
      <c r="LYU40" s="37"/>
      <c r="LYV40" s="37"/>
      <c r="LYW40" s="37"/>
      <c r="LYX40" s="37"/>
      <c r="LYY40" s="37"/>
      <c r="LYZ40" s="37"/>
      <c r="LZA40" s="37"/>
      <c r="LZB40" s="37"/>
      <c r="LZC40" s="37"/>
      <c r="LZD40" s="37"/>
      <c r="LZE40" s="37"/>
      <c r="LZF40" s="37"/>
      <c r="LZG40" s="37"/>
      <c r="LZH40" s="37"/>
      <c r="LZI40" s="37"/>
      <c r="LZJ40" s="37"/>
      <c r="LZK40" s="37"/>
      <c r="LZL40" s="37"/>
      <c r="LZM40" s="37"/>
      <c r="LZN40" s="37"/>
      <c r="LZO40" s="37"/>
      <c r="LZP40" s="37"/>
      <c r="LZQ40" s="37"/>
      <c r="LZR40" s="37"/>
      <c r="LZS40" s="37"/>
      <c r="LZT40" s="37"/>
      <c r="LZU40" s="37"/>
      <c r="LZV40" s="37"/>
      <c r="LZW40" s="37"/>
      <c r="LZX40" s="37"/>
      <c r="LZY40" s="37"/>
      <c r="LZZ40" s="37"/>
      <c r="MAA40" s="37"/>
      <c r="MAB40" s="37"/>
      <c r="MAC40" s="37"/>
      <c r="MAD40" s="37"/>
      <c r="MAE40" s="37"/>
      <c r="MAF40" s="37"/>
      <c r="MAG40" s="37"/>
      <c r="MAH40" s="37"/>
      <c r="MAI40" s="37"/>
      <c r="MAJ40" s="37"/>
      <c r="MAK40" s="37"/>
      <c r="MAL40" s="37"/>
      <c r="MAM40" s="37"/>
      <c r="MAN40" s="37"/>
      <c r="MAO40" s="37"/>
      <c r="MAP40" s="37"/>
      <c r="MAQ40" s="37"/>
      <c r="MAR40" s="37"/>
      <c r="MAS40" s="37"/>
      <c r="MAT40" s="37"/>
      <c r="MAU40" s="37"/>
      <c r="MAV40" s="37"/>
      <c r="MAW40" s="37"/>
      <c r="MAX40" s="37"/>
      <c r="MAY40" s="37"/>
      <c r="MAZ40" s="37"/>
      <c r="MBA40" s="37"/>
      <c r="MBB40" s="37"/>
      <c r="MBC40" s="37"/>
      <c r="MBD40" s="37"/>
      <c r="MBE40" s="37"/>
      <c r="MBF40" s="37"/>
      <c r="MBG40" s="37"/>
      <c r="MBH40" s="37"/>
      <c r="MBI40" s="37"/>
      <c r="MBJ40" s="37"/>
      <c r="MBK40" s="37"/>
      <c r="MBL40" s="37"/>
      <c r="MBM40" s="37"/>
      <c r="MBN40" s="37"/>
      <c r="MBO40" s="37"/>
      <c r="MBP40" s="37"/>
      <c r="MBQ40" s="37"/>
      <c r="MBR40" s="37"/>
      <c r="MBS40" s="37"/>
      <c r="MBT40" s="37"/>
      <c r="MBU40" s="37"/>
      <c r="MBV40" s="37"/>
      <c r="MBW40" s="37"/>
      <c r="MBX40" s="37"/>
      <c r="MBY40" s="37"/>
      <c r="MBZ40" s="37"/>
      <c r="MCA40" s="37"/>
      <c r="MCB40" s="37"/>
      <c r="MCC40" s="37"/>
      <c r="MCD40" s="37"/>
      <c r="MCE40" s="37"/>
      <c r="MCF40" s="37"/>
      <c r="MCG40" s="37"/>
      <c r="MCH40" s="37"/>
      <c r="MCI40" s="37"/>
      <c r="MCJ40" s="37"/>
      <c r="MCK40" s="37"/>
      <c r="MCL40" s="37"/>
      <c r="MCM40" s="37"/>
      <c r="MCN40" s="37"/>
      <c r="MCO40" s="37"/>
      <c r="MCP40" s="37"/>
      <c r="MCQ40" s="37"/>
      <c r="MCR40" s="37"/>
      <c r="MCS40" s="37"/>
      <c r="MCT40" s="37"/>
      <c r="MCU40" s="37"/>
      <c r="MCV40" s="37"/>
      <c r="MCW40" s="37"/>
      <c r="MCX40" s="37"/>
      <c r="MCY40" s="37"/>
      <c r="MCZ40" s="37"/>
      <c r="MDA40" s="37"/>
      <c r="MDB40" s="37"/>
      <c r="MDC40" s="37"/>
      <c r="MDD40" s="37"/>
      <c r="MDE40" s="37"/>
      <c r="MDF40" s="37"/>
      <c r="MDG40" s="37"/>
      <c r="MDH40" s="37"/>
      <c r="MDI40" s="37"/>
      <c r="MDJ40" s="37"/>
      <c r="MDK40" s="37"/>
      <c r="MDL40" s="37"/>
      <c r="MDM40" s="37"/>
      <c r="MDN40" s="37"/>
      <c r="MDO40" s="37"/>
      <c r="MDP40" s="37"/>
      <c r="MDQ40" s="37"/>
      <c r="MDR40" s="37"/>
      <c r="MDS40" s="37"/>
      <c r="MDT40" s="37"/>
      <c r="MDU40" s="37"/>
      <c r="MDV40" s="37"/>
      <c r="MDW40" s="37"/>
      <c r="MDX40" s="37"/>
      <c r="MDY40" s="37"/>
      <c r="MDZ40" s="37"/>
      <c r="MEA40" s="37"/>
      <c r="MEB40" s="37"/>
      <c r="MEC40" s="37"/>
      <c r="MED40" s="37"/>
      <c r="MEE40" s="37"/>
      <c r="MEF40" s="37"/>
      <c r="MEG40" s="37"/>
      <c r="MEH40" s="37"/>
      <c r="MEI40" s="37"/>
      <c r="MEJ40" s="37"/>
      <c r="MEK40" s="37"/>
      <c r="MEL40" s="37"/>
      <c r="MEM40" s="37"/>
      <c r="MEN40" s="37"/>
      <c r="MEO40" s="37"/>
      <c r="MEP40" s="37"/>
      <c r="MEQ40" s="37"/>
      <c r="MER40" s="37"/>
      <c r="MES40" s="37"/>
      <c r="MET40" s="37"/>
      <c r="MEU40" s="37"/>
      <c r="MEV40" s="37"/>
      <c r="MEW40" s="37"/>
      <c r="MEX40" s="37"/>
      <c r="MEY40" s="37"/>
      <c r="MEZ40" s="37"/>
      <c r="MFA40" s="37"/>
      <c r="MFB40" s="37"/>
      <c r="MFC40" s="37"/>
      <c r="MFD40" s="37"/>
      <c r="MFE40" s="37"/>
      <c r="MFF40" s="37"/>
      <c r="MFG40" s="37"/>
      <c r="MFH40" s="37"/>
      <c r="MFI40" s="37"/>
      <c r="MFJ40" s="37"/>
      <c r="MFK40" s="37"/>
      <c r="MFL40" s="37"/>
      <c r="MFM40" s="37"/>
      <c r="MFN40" s="37"/>
      <c r="MFO40" s="37"/>
      <c r="MFP40" s="37"/>
      <c r="MFQ40" s="37"/>
      <c r="MFR40" s="37"/>
      <c r="MFS40" s="37"/>
      <c r="MFT40" s="37"/>
      <c r="MFU40" s="37"/>
      <c r="MFV40" s="37"/>
      <c r="MFW40" s="37"/>
      <c r="MFX40" s="37"/>
      <c r="MFY40" s="37"/>
      <c r="MFZ40" s="37"/>
      <c r="MGA40" s="37"/>
      <c r="MGB40" s="37"/>
      <c r="MGC40" s="37"/>
      <c r="MGD40" s="37"/>
      <c r="MGE40" s="37"/>
      <c r="MGF40" s="37"/>
      <c r="MGG40" s="37"/>
      <c r="MGH40" s="37"/>
      <c r="MGI40" s="37"/>
      <c r="MGJ40" s="37"/>
      <c r="MGK40" s="37"/>
      <c r="MGL40" s="37"/>
      <c r="MGM40" s="37"/>
      <c r="MGN40" s="37"/>
      <c r="MGO40" s="37"/>
      <c r="MGP40" s="37"/>
      <c r="MGQ40" s="37"/>
      <c r="MGR40" s="37"/>
      <c r="MGS40" s="37"/>
      <c r="MGT40" s="37"/>
      <c r="MGU40" s="37"/>
      <c r="MGV40" s="37"/>
      <c r="MGW40" s="37"/>
      <c r="MGX40" s="37"/>
      <c r="MGY40" s="37"/>
      <c r="MGZ40" s="37"/>
      <c r="MHA40" s="37"/>
      <c r="MHB40" s="37"/>
      <c r="MHC40" s="37"/>
      <c r="MHD40" s="37"/>
      <c r="MHE40" s="37"/>
      <c r="MHF40" s="37"/>
      <c r="MHG40" s="37"/>
      <c r="MHH40" s="37"/>
      <c r="MHI40" s="37"/>
      <c r="MHJ40" s="37"/>
      <c r="MHK40" s="37"/>
      <c r="MHL40" s="37"/>
      <c r="MHM40" s="37"/>
      <c r="MHN40" s="37"/>
      <c r="MHO40" s="37"/>
      <c r="MHP40" s="37"/>
      <c r="MHQ40" s="37"/>
      <c r="MHR40" s="37"/>
      <c r="MHS40" s="37"/>
      <c r="MHT40" s="37"/>
      <c r="MHU40" s="37"/>
      <c r="MHV40" s="37"/>
      <c r="MHW40" s="37"/>
      <c r="MHX40" s="37"/>
      <c r="MHY40" s="37"/>
      <c r="MHZ40" s="37"/>
      <c r="MIA40" s="37"/>
      <c r="MIB40" s="37"/>
      <c r="MIC40" s="37"/>
      <c r="MID40" s="37"/>
      <c r="MIE40" s="37"/>
      <c r="MIF40" s="37"/>
      <c r="MIG40" s="37"/>
      <c r="MIH40" s="37"/>
      <c r="MII40" s="37"/>
      <c r="MIJ40" s="37"/>
      <c r="MIK40" s="37"/>
      <c r="MIL40" s="37"/>
      <c r="MIM40" s="37"/>
      <c r="MIN40" s="37"/>
      <c r="MIO40" s="37"/>
      <c r="MIP40" s="37"/>
      <c r="MIQ40" s="37"/>
      <c r="MIR40" s="37"/>
      <c r="MIS40" s="37"/>
      <c r="MIT40" s="37"/>
      <c r="MIU40" s="37"/>
      <c r="MIV40" s="37"/>
      <c r="MIW40" s="37"/>
      <c r="MIX40" s="37"/>
      <c r="MIY40" s="37"/>
      <c r="MIZ40" s="37"/>
      <c r="MJA40" s="37"/>
      <c r="MJB40" s="37"/>
      <c r="MJC40" s="37"/>
      <c r="MJD40" s="37"/>
      <c r="MJE40" s="37"/>
      <c r="MJF40" s="37"/>
      <c r="MJG40" s="37"/>
      <c r="MJH40" s="37"/>
      <c r="MJI40" s="37"/>
      <c r="MJJ40" s="37"/>
      <c r="MJK40" s="37"/>
      <c r="MJL40" s="37"/>
      <c r="MJM40" s="37"/>
      <c r="MJN40" s="37"/>
      <c r="MJO40" s="37"/>
      <c r="MJP40" s="37"/>
      <c r="MJQ40" s="37"/>
      <c r="MJR40" s="37"/>
      <c r="MJS40" s="37"/>
      <c r="MJT40" s="37"/>
      <c r="MJU40" s="37"/>
      <c r="MJV40" s="37"/>
      <c r="MJW40" s="37"/>
      <c r="MJX40" s="37"/>
      <c r="MJY40" s="37"/>
      <c r="MJZ40" s="37"/>
      <c r="MKA40" s="37"/>
      <c r="MKB40" s="37"/>
      <c r="MKC40" s="37"/>
      <c r="MKD40" s="37"/>
      <c r="MKE40" s="37"/>
      <c r="MKF40" s="37"/>
      <c r="MKG40" s="37"/>
      <c r="MKH40" s="37"/>
      <c r="MKI40" s="37"/>
      <c r="MKJ40" s="37"/>
      <c r="MKK40" s="37"/>
      <c r="MKL40" s="37"/>
      <c r="MKM40" s="37"/>
      <c r="MKN40" s="37"/>
      <c r="MKO40" s="37"/>
      <c r="MKP40" s="37"/>
      <c r="MKQ40" s="37"/>
      <c r="MKR40" s="37"/>
      <c r="MKS40" s="37"/>
      <c r="MKT40" s="37"/>
      <c r="MKU40" s="37"/>
      <c r="MKV40" s="37"/>
      <c r="MKW40" s="37"/>
      <c r="MKX40" s="37"/>
      <c r="MKY40" s="37"/>
      <c r="MKZ40" s="37"/>
      <c r="MLA40" s="37"/>
      <c r="MLB40" s="37"/>
      <c r="MLC40" s="37"/>
      <c r="MLD40" s="37"/>
      <c r="MLE40" s="37"/>
      <c r="MLF40" s="37"/>
      <c r="MLG40" s="37"/>
      <c r="MLH40" s="37"/>
      <c r="MLI40" s="37"/>
      <c r="MLJ40" s="37"/>
      <c r="MLK40" s="37"/>
      <c r="MLL40" s="37"/>
      <c r="MLM40" s="37"/>
      <c r="MLN40" s="37"/>
      <c r="MLO40" s="37"/>
      <c r="MLP40" s="37"/>
      <c r="MLQ40" s="37"/>
      <c r="MLR40" s="37"/>
      <c r="MLS40" s="37"/>
      <c r="MLT40" s="37"/>
      <c r="MLU40" s="37"/>
      <c r="MLV40" s="37"/>
      <c r="MLW40" s="37"/>
      <c r="MLX40" s="37"/>
      <c r="MLY40" s="37"/>
      <c r="MLZ40" s="37"/>
      <c r="MMA40" s="37"/>
      <c r="MMB40" s="37"/>
      <c r="MMC40" s="37"/>
      <c r="MMD40" s="37"/>
      <c r="MME40" s="37"/>
      <c r="MMF40" s="37"/>
      <c r="MMG40" s="37"/>
      <c r="MMH40" s="37"/>
      <c r="MMI40" s="37"/>
      <c r="MMJ40" s="37"/>
      <c r="MMK40" s="37"/>
      <c r="MML40" s="37"/>
      <c r="MMM40" s="37"/>
      <c r="MMN40" s="37"/>
      <c r="MMO40" s="37"/>
      <c r="MMP40" s="37"/>
      <c r="MMQ40" s="37"/>
      <c r="MMR40" s="37"/>
      <c r="MMS40" s="37"/>
      <c r="MMT40" s="37"/>
      <c r="MMU40" s="37"/>
      <c r="MMV40" s="37"/>
      <c r="MMW40" s="37"/>
      <c r="MMX40" s="37"/>
      <c r="MMY40" s="37"/>
      <c r="MMZ40" s="37"/>
      <c r="MNA40" s="37"/>
      <c r="MNB40" s="37"/>
      <c r="MNC40" s="37"/>
      <c r="MND40" s="37"/>
      <c r="MNE40" s="37"/>
      <c r="MNF40" s="37"/>
      <c r="MNG40" s="37"/>
      <c r="MNH40" s="37"/>
      <c r="MNI40" s="37"/>
      <c r="MNJ40" s="37"/>
      <c r="MNK40" s="37"/>
      <c r="MNL40" s="37"/>
      <c r="MNM40" s="37"/>
      <c r="MNN40" s="37"/>
      <c r="MNO40" s="37"/>
      <c r="MNP40" s="37"/>
      <c r="MNQ40" s="37"/>
      <c r="MNR40" s="37"/>
      <c r="MNS40" s="37"/>
      <c r="MNT40" s="37"/>
      <c r="MNU40" s="37"/>
      <c r="MNV40" s="37"/>
      <c r="MNW40" s="37"/>
      <c r="MNX40" s="37"/>
      <c r="MNY40" s="37"/>
      <c r="MNZ40" s="37"/>
      <c r="MOA40" s="37"/>
      <c r="MOB40" s="37"/>
      <c r="MOC40" s="37"/>
      <c r="MOD40" s="37"/>
      <c r="MOE40" s="37"/>
      <c r="MOF40" s="37"/>
      <c r="MOG40" s="37"/>
      <c r="MOH40" s="37"/>
      <c r="MOI40" s="37"/>
      <c r="MOJ40" s="37"/>
      <c r="MOK40" s="37"/>
      <c r="MOL40" s="37"/>
      <c r="MOM40" s="37"/>
      <c r="MON40" s="37"/>
      <c r="MOO40" s="37"/>
      <c r="MOP40" s="37"/>
      <c r="MOQ40" s="37"/>
      <c r="MOR40" s="37"/>
      <c r="MOS40" s="37"/>
      <c r="MOT40" s="37"/>
      <c r="MOU40" s="37"/>
      <c r="MOV40" s="37"/>
      <c r="MOW40" s="37"/>
      <c r="MOX40" s="37"/>
      <c r="MOY40" s="37"/>
      <c r="MOZ40" s="37"/>
      <c r="MPA40" s="37"/>
      <c r="MPB40" s="37"/>
      <c r="MPC40" s="37"/>
      <c r="MPD40" s="37"/>
      <c r="MPE40" s="37"/>
      <c r="MPF40" s="37"/>
      <c r="MPG40" s="37"/>
      <c r="MPH40" s="37"/>
      <c r="MPI40" s="37"/>
      <c r="MPJ40" s="37"/>
      <c r="MPK40" s="37"/>
      <c r="MPL40" s="37"/>
      <c r="MPM40" s="37"/>
      <c r="MPN40" s="37"/>
      <c r="MPO40" s="37"/>
      <c r="MPP40" s="37"/>
      <c r="MPQ40" s="37"/>
      <c r="MPR40" s="37"/>
      <c r="MPS40" s="37"/>
      <c r="MPT40" s="37"/>
      <c r="MPU40" s="37"/>
      <c r="MPV40" s="37"/>
      <c r="MPW40" s="37"/>
      <c r="MPX40" s="37"/>
      <c r="MPY40" s="37"/>
      <c r="MPZ40" s="37"/>
      <c r="MQA40" s="37"/>
      <c r="MQB40" s="37"/>
      <c r="MQC40" s="37"/>
      <c r="MQD40" s="37"/>
      <c r="MQE40" s="37"/>
      <c r="MQF40" s="37"/>
      <c r="MQG40" s="37"/>
      <c r="MQH40" s="37"/>
      <c r="MQI40" s="37"/>
      <c r="MQJ40" s="37"/>
      <c r="MQK40" s="37"/>
      <c r="MQL40" s="37"/>
      <c r="MQM40" s="37"/>
      <c r="MQN40" s="37"/>
      <c r="MQO40" s="37"/>
      <c r="MQP40" s="37"/>
      <c r="MQQ40" s="37"/>
      <c r="MQR40" s="37"/>
      <c r="MQS40" s="37"/>
      <c r="MQT40" s="37"/>
      <c r="MQU40" s="37"/>
      <c r="MQV40" s="37"/>
      <c r="MQW40" s="37"/>
      <c r="MQX40" s="37"/>
      <c r="MQY40" s="37"/>
      <c r="MQZ40" s="37"/>
      <c r="MRA40" s="37"/>
      <c r="MRB40" s="37"/>
      <c r="MRC40" s="37"/>
      <c r="MRD40" s="37"/>
      <c r="MRE40" s="37"/>
      <c r="MRF40" s="37"/>
      <c r="MRG40" s="37"/>
      <c r="MRH40" s="37"/>
      <c r="MRI40" s="37"/>
      <c r="MRJ40" s="37"/>
      <c r="MRK40" s="37"/>
      <c r="MRL40" s="37"/>
      <c r="MRM40" s="37"/>
      <c r="MRN40" s="37"/>
      <c r="MRO40" s="37"/>
      <c r="MRP40" s="37"/>
      <c r="MRQ40" s="37"/>
      <c r="MRR40" s="37"/>
      <c r="MRS40" s="37"/>
      <c r="MRT40" s="37"/>
      <c r="MRU40" s="37"/>
      <c r="MRV40" s="37"/>
      <c r="MRW40" s="37"/>
      <c r="MRX40" s="37"/>
      <c r="MRY40" s="37"/>
      <c r="MRZ40" s="37"/>
      <c r="MSA40" s="37"/>
      <c r="MSB40" s="37"/>
      <c r="MSC40" s="37"/>
      <c r="MSD40" s="37"/>
      <c r="MSE40" s="37"/>
      <c r="MSF40" s="37"/>
      <c r="MSG40" s="37"/>
      <c r="MSH40" s="37"/>
      <c r="MSI40" s="37"/>
      <c r="MSJ40" s="37"/>
      <c r="MSK40" s="37"/>
      <c r="MSL40" s="37"/>
      <c r="MSM40" s="37"/>
      <c r="MSN40" s="37"/>
      <c r="MSO40" s="37"/>
      <c r="MSP40" s="37"/>
      <c r="MSQ40" s="37"/>
      <c r="MSR40" s="37"/>
      <c r="MSS40" s="37"/>
      <c r="MST40" s="37"/>
      <c r="MSU40" s="37"/>
      <c r="MSV40" s="37"/>
      <c r="MSW40" s="37"/>
      <c r="MSX40" s="37"/>
      <c r="MSY40" s="37"/>
      <c r="MSZ40" s="37"/>
      <c r="MTA40" s="37"/>
      <c r="MTB40" s="37"/>
      <c r="MTC40" s="37"/>
      <c r="MTD40" s="37"/>
      <c r="MTE40" s="37"/>
      <c r="MTF40" s="37"/>
      <c r="MTG40" s="37"/>
      <c r="MTH40" s="37"/>
      <c r="MTI40" s="37"/>
      <c r="MTJ40" s="37"/>
      <c r="MTK40" s="37"/>
      <c r="MTL40" s="37"/>
      <c r="MTM40" s="37"/>
      <c r="MTN40" s="37"/>
      <c r="MTO40" s="37"/>
      <c r="MTP40" s="37"/>
      <c r="MTQ40" s="37"/>
      <c r="MTR40" s="37"/>
      <c r="MTS40" s="37"/>
      <c r="MTT40" s="37"/>
      <c r="MTU40" s="37"/>
      <c r="MTV40" s="37"/>
      <c r="MTW40" s="37"/>
      <c r="MTX40" s="37"/>
      <c r="MTY40" s="37"/>
      <c r="MTZ40" s="37"/>
      <c r="MUA40" s="37"/>
      <c r="MUB40" s="37"/>
      <c r="MUC40" s="37"/>
      <c r="MUD40" s="37"/>
      <c r="MUE40" s="37"/>
      <c r="MUF40" s="37"/>
      <c r="MUG40" s="37"/>
      <c r="MUH40" s="37"/>
      <c r="MUI40" s="37"/>
      <c r="MUJ40" s="37"/>
      <c r="MUK40" s="37"/>
      <c r="MUL40" s="37"/>
      <c r="MUM40" s="37"/>
      <c r="MUN40" s="37"/>
      <c r="MUO40" s="37"/>
      <c r="MUP40" s="37"/>
      <c r="MUQ40" s="37"/>
      <c r="MUR40" s="37"/>
      <c r="MUS40" s="37"/>
      <c r="MUT40" s="37"/>
      <c r="MUU40" s="37"/>
      <c r="MUV40" s="37"/>
      <c r="MUW40" s="37"/>
      <c r="MUX40" s="37"/>
      <c r="MUY40" s="37"/>
      <c r="MUZ40" s="37"/>
      <c r="MVA40" s="37"/>
      <c r="MVB40" s="37"/>
      <c r="MVC40" s="37"/>
      <c r="MVD40" s="37"/>
      <c r="MVE40" s="37"/>
      <c r="MVF40" s="37"/>
      <c r="MVG40" s="37"/>
      <c r="MVH40" s="37"/>
      <c r="MVI40" s="37"/>
      <c r="MVJ40" s="37"/>
      <c r="MVK40" s="37"/>
      <c r="MVL40" s="37"/>
      <c r="MVM40" s="37"/>
      <c r="MVN40" s="37"/>
      <c r="MVO40" s="37"/>
      <c r="MVP40" s="37"/>
      <c r="MVQ40" s="37"/>
      <c r="MVR40" s="37"/>
      <c r="MVS40" s="37"/>
      <c r="MVT40" s="37"/>
      <c r="MVU40" s="37"/>
      <c r="MVV40" s="37"/>
      <c r="MVW40" s="37"/>
      <c r="MVX40" s="37"/>
      <c r="MVY40" s="37"/>
      <c r="MVZ40" s="37"/>
      <c r="MWA40" s="37"/>
      <c r="MWB40" s="37"/>
      <c r="MWC40" s="37"/>
      <c r="MWD40" s="37"/>
      <c r="MWE40" s="37"/>
      <c r="MWF40" s="37"/>
      <c r="MWG40" s="37"/>
      <c r="MWH40" s="37"/>
      <c r="MWI40" s="37"/>
      <c r="MWJ40" s="37"/>
      <c r="MWK40" s="37"/>
      <c r="MWL40" s="37"/>
      <c r="MWM40" s="37"/>
      <c r="MWN40" s="37"/>
      <c r="MWO40" s="37"/>
      <c r="MWP40" s="37"/>
      <c r="MWQ40" s="37"/>
      <c r="MWR40" s="37"/>
      <c r="MWS40" s="37"/>
      <c r="MWT40" s="37"/>
      <c r="MWU40" s="37"/>
      <c r="MWV40" s="37"/>
      <c r="MWW40" s="37"/>
      <c r="MWX40" s="37"/>
      <c r="MWY40" s="37"/>
      <c r="MWZ40" s="37"/>
      <c r="MXA40" s="37"/>
      <c r="MXB40" s="37"/>
      <c r="MXC40" s="37"/>
      <c r="MXD40" s="37"/>
      <c r="MXE40" s="37"/>
      <c r="MXF40" s="37"/>
      <c r="MXG40" s="37"/>
      <c r="MXH40" s="37"/>
      <c r="MXI40" s="37"/>
      <c r="MXJ40" s="37"/>
      <c r="MXK40" s="37"/>
      <c r="MXL40" s="37"/>
      <c r="MXM40" s="37"/>
      <c r="MXN40" s="37"/>
      <c r="MXO40" s="37"/>
      <c r="MXP40" s="37"/>
      <c r="MXQ40" s="37"/>
      <c r="MXR40" s="37"/>
      <c r="MXS40" s="37"/>
      <c r="MXT40" s="37"/>
      <c r="MXU40" s="37"/>
      <c r="MXV40" s="37"/>
      <c r="MXW40" s="37"/>
      <c r="MXX40" s="37"/>
      <c r="MXY40" s="37"/>
      <c r="MXZ40" s="37"/>
      <c r="MYA40" s="37"/>
      <c r="MYB40" s="37"/>
      <c r="MYC40" s="37"/>
      <c r="MYD40" s="37"/>
      <c r="MYE40" s="37"/>
      <c r="MYF40" s="37"/>
      <c r="MYG40" s="37"/>
      <c r="MYH40" s="37"/>
      <c r="MYI40" s="37"/>
      <c r="MYJ40" s="37"/>
      <c r="MYK40" s="37"/>
      <c r="MYL40" s="37"/>
      <c r="MYM40" s="37"/>
      <c r="MYN40" s="37"/>
      <c r="MYO40" s="37"/>
      <c r="MYP40" s="37"/>
      <c r="MYQ40" s="37"/>
      <c r="MYR40" s="37"/>
      <c r="MYS40" s="37"/>
      <c r="MYT40" s="37"/>
      <c r="MYU40" s="37"/>
      <c r="MYV40" s="37"/>
      <c r="MYW40" s="37"/>
      <c r="MYX40" s="37"/>
      <c r="MYY40" s="37"/>
      <c r="MYZ40" s="37"/>
      <c r="MZA40" s="37"/>
      <c r="MZB40" s="37"/>
      <c r="MZC40" s="37"/>
      <c r="MZD40" s="37"/>
      <c r="MZE40" s="37"/>
      <c r="MZF40" s="37"/>
      <c r="MZG40" s="37"/>
      <c r="MZH40" s="37"/>
      <c r="MZI40" s="37"/>
      <c r="MZJ40" s="37"/>
      <c r="MZK40" s="37"/>
      <c r="MZL40" s="37"/>
      <c r="MZM40" s="37"/>
      <c r="MZN40" s="37"/>
      <c r="MZO40" s="37"/>
      <c r="MZP40" s="37"/>
      <c r="MZQ40" s="37"/>
      <c r="MZR40" s="37"/>
      <c r="MZS40" s="37"/>
      <c r="MZT40" s="37"/>
      <c r="MZU40" s="37"/>
      <c r="MZV40" s="37"/>
      <c r="MZW40" s="37"/>
      <c r="MZX40" s="37"/>
      <c r="MZY40" s="37"/>
      <c r="MZZ40" s="37"/>
      <c r="NAA40" s="37"/>
      <c r="NAB40" s="37"/>
      <c r="NAC40" s="37"/>
      <c r="NAD40" s="37"/>
      <c r="NAE40" s="37"/>
      <c r="NAF40" s="37"/>
      <c r="NAG40" s="37"/>
      <c r="NAH40" s="37"/>
      <c r="NAI40" s="37"/>
      <c r="NAJ40" s="37"/>
      <c r="NAK40" s="37"/>
      <c r="NAL40" s="37"/>
      <c r="NAM40" s="37"/>
      <c r="NAN40" s="37"/>
      <c r="NAO40" s="37"/>
      <c r="NAP40" s="37"/>
      <c r="NAQ40" s="37"/>
      <c r="NAR40" s="37"/>
      <c r="NAS40" s="37"/>
      <c r="NAT40" s="37"/>
      <c r="NAU40" s="37"/>
      <c r="NAV40" s="37"/>
      <c r="NAW40" s="37"/>
      <c r="NAX40" s="37"/>
      <c r="NAY40" s="37"/>
      <c r="NAZ40" s="37"/>
      <c r="NBA40" s="37"/>
      <c r="NBB40" s="37"/>
      <c r="NBC40" s="37"/>
      <c r="NBD40" s="37"/>
      <c r="NBE40" s="37"/>
      <c r="NBF40" s="37"/>
      <c r="NBG40" s="37"/>
      <c r="NBH40" s="37"/>
      <c r="NBI40" s="37"/>
      <c r="NBJ40" s="37"/>
      <c r="NBK40" s="37"/>
      <c r="NBL40" s="37"/>
      <c r="NBM40" s="37"/>
      <c r="NBN40" s="37"/>
      <c r="NBO40" s="37"/>
      <c r="NBP40" s="37"/>
      <c r="NBQ40" s="37"/>
      <c r="NBR40" s="37"/>
      <c r="NBS40" s="37"/>
      <c r="NBT40" s="37"/>
      <c r="NBU40" s="37"/>
      <c r="NBV40" s="37"/>
      <c r="NBW40" s="37"/>
      <c r="NBX40" s="37"/>
      <c r="NBY40" s="37"/>
      <c r="NBZ40" s="37"/>
      <c r="NCA40" s="37"/>
      <c r="NCB40" s="37"/>
      <c r="NCC40" s="37"/>
      <c r="NCD40" s="37"/>
      <c r="NCE40" s="37"/>
      <c r="NCF40" s="37"/>
      <c r="NCG40" s="37"/>
      <c r="NCH40" s="37"/>
      <c r="NCI40" s="37"/>
      <c r="NCJ40" s="37"/>
      <c r="NCK40" s="37"/>
      <c r="NCL40" s="37"/>
      <c r="NCM40" s="37"/>
      <c r="NCN40" s="37"/>
      <c r="NCO40" s="37"/>
      <c r="NCP40" s="37"/>
      <c r="NCQ40" s="37"/>
      <c r="NCR40" s="37"/>
      <c r="NCS40" s="37"/>
      <c r="NCT40" s="37"/>
      <c r="NCU40" s="37"/>
      <c r="NCV40" s="37"/>
      <c r="NCW40" s="37"/>
      <c r="NCX40" s="37"/>
      <c r="NCY40" s="37"/>
      <c r="NCZ40" s="37"/>
      <c r="NDA40" s="37"/>
      <c r="NDB40" s="37"/>
      <c r="NDC40" s="37"/>
      <c r="NDD40" s="37"/>
      <c r="NDE40" s="37"/>
      <c r="NDF40" s="37"/>
      <c r="NDG40" s="37"/>
      <c r="NDH40" s="37"/>
      <c r="NDI40" s="37"/>
      <c r="NDJ40" s="37"/>
      <c r="NDK40" s="37"/>
      <c r="NDL40" s="37"/>
      <c r="NDM40" s="37"/>
      <c r="NDN40" s="37"/>
      <c r="NDO40" s="37"/>
      <c r="NDP40" s="37"/>
      <c r="NDQ40" s="37"/>
      <c r="NDR40" s="37"/>
      <c r="NDS40" s="37"/>
      <c r="NDT40" s="37"/>
      <c r="NDU40" s="37"/>
      <c r="NDV40" s="37"/>
      <c r="NDW40" s="37"/>
      <c r="NDX40" s="37"/>
      <c r="NDY40" s="37"/>
      <c r="NDZ40" s="37"/>
      <c r="NEA40" s="37"/>
      <c r="NEB40" s="37"/>
      <c r="NEC40" s="37"/>
      <c r="NED40" s="37"/>
      <c r="NEE40" s="37"/>
      <c r="NEF40" s="37"/>
      <c r="NEG40" s="37"/>
      <c r="NEH40" s="37"/>
      <c r="NEI40" s="37"/>
      <c r="NEJ40" s="37"/>
      <c r="NEK40" s="37"/>
      <c r="NEL40" s="37"/>
      <c r="NEM40" s="37"/>
      <c r="NEN40" s="37"/>
      <c r="NEO40" s="37"/>
      <c r="NEP40" s="37"/>
      <c r="NEQ40" s="37"/>
      <c r="NER40" s="37"/>
      <c r="NES40" s="37"/>
      <c r="NET40" s="37"/>
      <c r="NEU40" s="37"/>
      <c r="NEV40" s="37"/>
      <c r="NEW40" s="37"/>
      <c r="NEX40" s="37"/>
      <c r="NEY40" s="37"/>
      <c r="NEZ40" s="37"/>
      <c r="NFA40" s="37"/>
      <c r="NFB40" s="37"/>
      <c r="NFC40" s="37"/>
      <c r="NFD40" s="37"/>
      <c r="NFE40" s="37"/>
      <c r="NFF40" s="37"/>
      <c r="NFG40" s="37"/>
      <c r="NFH40" s="37"/>
      <c r="NFI40" s="37"/>
      <c r="NFJ40" s="37"/>
      <c r="NFK40" s="37"/>
      <c r="NFL40" s="37"/>
      <c r="NFM40" s="37"/>
      <c r="NFN40" s="37"/>
      <c r="NFO40" s="37"/>
      <c r="NFP40" s="37"/>
      <c r="NFQ40" s="37"/>
      <c r="NFR40" s="37"/>
      <c r="NFS40" s="37"/>
      <c r="NFT40" s="37"/>
      <c r="NFU40" s="37"/>
      <c r="NFV40" s="37"/>
      <c r="NFW40" s="37"/>
      <c r="NFX40" s="37"/>
      <c r="NFY40" s="37"/>
      <c r="NFZ40" s="37"/>
      <c r="NGA40" s="37"/>
      <c r="NGB40" s="37"/>
      <c r="NGC40" s="37"/>
      <c r="NGD40" s="37"/>
      <c r="NGE40" s="37"/>
      <c r="NGF40" s="37"/>
      <c r="NGG40" s="37"/>
      <c r="NGH40" s="37"/>
      <c r="NGI40" s="37"/>
      <c r="NGJ40" s="37"/>
      <c r="NGK40" s="37"/>
      <c r="NGL40" s="37"/>
      <c r="NGM40" s="37"/>
      <c r="NGN40" s="37"/>
      <c r="NGO40" s="37"/>
      <c r="NGP40" s="37"/>
      <c r="NGQ40" s="37"/>
      <c r="NGR40" s="37"/>
      <c r="NGS40" s="37"/>
      <c r="NGT40" s="37"/>
      <c r="NGU40" s="37"/>
      <c r="NGV40" s="37"/>
      <c r="NGW40" s="37"/>
      <c r="NGX40" s="37"/>
      <c r="NGY40" s="37"/>
      <c r="NGZ40" s="37"/>
      <c r="NHA40" s="37"/>
      <c r="NHB40" s="37"/>
      <c r="NHC40" s="37"/>
      <c r="NHD40" s="37"/>
      <c r="NHE40" s="37"/>
      <c r="NHF40" s="37"/>
      <c r="NHG40" s="37"/>
      <c r="NHH40" s="37"/>
      <c r="NHI40" s="37"/>
      <c r="NHJ40" s="37"/>
      <c r="NHK40" s="37"/>
      <c r="NHL40" s="37"/>
      <c r="NHM40" s="37"/>
      <c r="NHN40" s="37"/>
      <c r="NHO40" s="37"/>
      <c r="NHP40" s="37"/>
      <c r="NHQ40" s="37"/>
      <c r="NHR40" s="37"/>
      <c r="NHS40" s="37"/>
      <c r="NHT40" s="37"/>
      <c r="NHU40" s="37"/>
      <c r="NHV40" s="37"/>
      <c r="NHW40" s="37"/>
      <c r="NHX40" s="37"/>
      <c r="NHY40" s="37"/>
      <c r="NHZ40" s="37"/>
      <c r="NIA40" s="37"/>
      <c r="NIB40" s="37"/>
      <c r="NIC40" s="37"/>
      <c r="NID40" s="37"/>
      <c r="NIE40" s="37"/>
      <c r="NIF40" s="37"/>
      <c r="NIG40" s="37"/>
      <c r="NIH40" s="37"/>
      <c r="NII40" s="37"/>
      <c r="NIJ40" s="37"/>
      <c r="NIK40" s="37"/>
      <c r="NIL40" s="37"/>
      <c r="NIM40" s="37"/>
      <c r="NIN40" s="37"/>
      <c r="NIO40" s="37"/>
      <c r="NIP40" s="37"/>
      <c r="NIQ40" s="37"/>
      <c r="NIR40" s="37"/>
      <c r="NIS40" s="37"/>
      <c r="NIT40" s="37"/>
      <c r="NIU40" s="37"/>
      <c r="NIV40" s="37"/>
      <c r="NIW40" s="37"/>
      <c r="NIX40" s="37"/>
      <c r="NIY40" s="37"/>
      <c r="NIZ40" s="37"/>
      <c r="NJA40" s="37"/>
      <c r="NJB40" s="37"/>
      <c r="NJC40" s="37"/>
      <c r="NJD40" s="37"/>
      <c r="NJE40" s="37"/>
      <c r="NJF40" s="37"/>
      <c r="NJG40" s="37"/>
      <c r="NJH40" s="37"/>
      <c r="NJI40" s="37"/>
      <c r="NJJ40" s="37"/>
      <c r="NJK40" s="37"/>
      <c r="NJL40" s="37"/>
      <c r="NJM40" s="37"/>
      <c r="NJN40" s="37"/>
      <c r="NJO40" s="37"/>
      <c r="NJP40" s="37"/>
      <c r="NJQ40" s="37"/>
      <c r="NJR40" s="37"/>
      <c r="NJS40" s="37"/>
      <c r="NJT40" s="37"/>
      <c r="NJU40" s="37"/>
      <c r="NJV40" s="37"/>
      <c r="NJW40" s="37"/>
      <c r="NJX40" s="37"/>
      <c r="NJY40" s="37"/>
      <c r="NJZ40" s="37"/>
      <c r="NKA40" s="37"/>
      <c r="NKB40" s="37"/>
      <c r="NKC40" s="37"/>
      <c r="NKD40" s="37"/>
      <c r="NKE40" s="37"/>
      <c r="NKF40" s="37"/>
      <c r="NKG40" s="37"/>
      <c r="NKH40" s="37"/>
      <c r="NKI40" s="37"/>
      <c r="NKJ40" s="37"/>
      <c r="NKK40" s="37"/>
      <c r="NKL40" s="37"/>
      <c r="NKM40" s="37"/>
      <c r="NKN40" s="37"/>
      <c r="NKO40" s="37"/>
      <c r="NKP40" s="37"/>
      <c r="NKQ40" s="37"/>
      <c r="NKR40" s="37"/>
      <c r="NKS40" s="37"/>
      <c r="NKT40" s="37"/>
      <c r="NKU40" s="37"/>
      <c r="NKV40" s="37"/>
      <c r="NKW40" s="37"/>
      <c r="NKX40" s="37"/>
      <c r="NKY40" s="37"/>
      <c r="NKZ40" s="37"/>
      <c r="NLA40" s="37"/>
      <c r="NLB40" s="37"/>
      <c r="NLC40" s="37"/>
      <c r="NLD40" s="37"/>
      <c r="NLE40" s="37"/>
      <c r="NLF40" s="37"/>
      <c r="NLG40" s="37"/>
      <c r="NLH40" s="37"/>
      <c r="NLI40" s="37"/>
      <c r="NLJ40" s="37"/>
      <c r="NLK40" s="37"/>
      <c r="NLL40" s="37"/>
      <c r="NLM40" s="37"/>
      <c r="NLN40" s="37"/>
      <c r="NLO40" s="37"/>
      <c r="NLP40" s="37"/>
      <c r="NLQ40" s="37"/>
      <c r="NLR40" s="37"/>
      <c r="NLS40" s="37"/>
      <c r="NLT40" s="37"/>
      <c r="NLU40" s="37"/>
      <c r="NLV40" s="37"/>
      <c r="NLW40" s="37"/>
      <c r="NLX40" s="37"/>
      <c r="NLY40" s="37"/>
      <c r="NLZ40" s="37"/>
      <c r="NMA40" s="37"/>
      <c r="NMB40" s="37"/>
      <c r="NMC40" s="37"/>
      <c r="NMD40" s="37"/>
      <c r="NME40" s="37"/>
      <c r="NMF40" s="37"/>
      <c r="NMG40" s="37"/>
      <c r="NMH40" s="37"/>
      <c r="NMI40" s="37"/>
      <c r="NMJ40" s="37"/>
      <c r="NMK40" s="37"/>
      <c r="NML40" s="37"/>
      <c r="NMM40" s="37"/>
      <c r="NMN40" s="37"/>
      <c r="NMO40" s="37"/>
      <c r="NMP40" s="37"/>
      <c r="NMQ40" s="37"/>
      <c r="NMR40" s="37"/>
      <c r="NMS40" s="37"/>
      <c r="NMT40" s="37"/>
      <c r="NMU40" s="37"/>
      <c r="NMV40" s="37"/>
      <c r="NMW40" s="37"/>
      <c r="NMX40" s="37"/>
      <c r="NMY40" s="37"/>
      <c r="NMZ40" s="37"/>
      <c r="NNA40" s="37"/>
      <c r="NNB40" s="37"/>
      <c r="NNC40" s="37"/>
      <c r="NND40" s="37"/>
      <c r="NNE40" s="37"/>
      <c r="NNF40" s="37"/>
      <c r="NNG40" s="37"/>
      <c r="NNH40" s="37"/>
      <c r="NNI40" s="37"/>
      <c r="NNJ40" s="37"/>
      <c r="NNK40" s="37"/>
      <c r="NNL40" s="37"/>
      <c r="NNM40" s="37"/>
      <c r="NNN40" s="37"/>
      <c r="NNO40" s="37"/>
      <c r="NNP40" s="37"/>
      <c r="NNQ40" s="37"/>
      <c r="NNR40" s="37"/>
      <c r="NNS40" s="37"/>
      <c r="NNT40" s="37"/>
      <c r="NNU40" s="37"/>
      <c r="NNV40" s="37"/>
      <c r="NNW40" s="37"/>
      <c r="NNX40" s="37"/>
      <c r="NNY40" s="37"/>
      <c r="NNZ40" s="37"/>
      <c r="NOA40" s="37"/>
      <c r="NOB40" s="37"/>
      <c r="NOC40" s="37"/>
      <c r="NOD40" s="37"/>
      <c r="NOE40" s="37"/>
      <c r="NOF40" s="37"/>
      <c r="NOG40" s="37"/>
      <c r="NOH40" s="37"/>
      <c r="NOI40" s="37"/>
      <c r="NOJ40" s="37"/>
      <c r="NOK40" s="37"/>
      <c r="NOL40" s="37"/>
      <c r="NOM40" s="37"/>
      <c r="NON40" s="37"/>
      <c r="NOO40" s="37"/>
      <c r="NOP40" s="37"/>
      <c r="NOQ40" s="37"/>
      <c r="NOR40" s="37"/>
      <c r="NOS40" s="37"/>
      <c r="NOT40" s="37"/>
      <c r="NOU40" s="37"/>
      <c r="NOV40" s="37"/>
      <c r="NOW40" s="37"/>
      <c r="NOX40" s="37"/>
      <c r="NOY40" s="37"/>
      <c r="NOZ40" s="37"/>
      <c r="NPA40" s="37"/>
      <c r="NPB40" s="37"/>
      <c r="NPC40" s="37"/>
      <c r="NPD40" s="37"/>
      <c r="NPE40" s="37"/>
      <c r="NPF40" s="37"/>
      <c r="NPG40" s="37"/>
      <c r="NPH40" s="37"/>
      <c r="NPI40" s="37"/>
      <c r="NPJ40" s="37"/>
      <c r="NPK40" s="37"/>
      <c r="NPL40" s="37"/>
      <c r="NPM40" s="37"/>
      <c r="NPN40" s="37"/>
      <c r="NPO40" s="37"/>
      <c r="NPP40" s="37"/>
      <c r="NPQ40" s="37"/>
      <c r="NPR40" s="37"/>
      <c r="NPS40" s="37"/>
      <c r="NPT40" s="37"/>
      <c r="NPU40" s="37"/>
      <c r="NPV40" s="37"/>
      <c r="NPW40" s="37"/>
      <c r="NPX40" s="37"/>
      <c r="NPY40" s="37"/>
      <c r="NPZ40" s="37"/>
      <c r="NQA40" s="37"/>
      <c r="NQB40" s="37"/>
      <c r="NQC40" s="37"/>
      <c r="NQD40" s="37"/>
      <c r="NQE40" s="37"/>
      <c r="NQF40" s="37"/>
      <c r="NQG40" s="37"/>
      <c r="NQH40" s="37"/>
      <c r="NQI40" s="37"/>
      <c r="NQJ40" s="37"/>
      <c r="NQK40" s="37"/>
      <c r="NQL40" s="37"/>
      <c r="NQM40" s="37"/>
      <c r="NQN40" s="37"/>
      <c r="NQO40" s="37"/>
      <c r="NQP40" s="37"/>
      <c r="NQQ40" s="37"/>
      <c r="NQR40" s="37"/>
      <c r="NQS40" s="37"/>
      <c r="NQT40" s="37"/>
      <c r="NQU40" s="37"/>
      <c r="NQV40" s="37"/>
      <c r="NQW40" s="37"/>
      <c r="NQX40" s="37"/>
      <c r="NQY40" s="37"/>
      <c r="NQZ40" s="37"/>
      <c r="NRA40" s="37"/>
      <c r="NRB40" s="37"/>
      <c r="NRC40" s="37"/>
      <c r="NRD40" s="37"/>
      <c r="NRE40" s="37"/>
      <c r="NRF40" s="37"/>
      <c r="NRG40" s="37"/>
      <c r="NRH40" s="37"/>
      <c r="NRI40" s="37"/>
      <c r="NRJ40" s="37"/>
      <c r="NRK40" s="37"/>
      <c r="NRL40" s="37"/>
      <c r="NRM40" s="37"/>
      <c r="NRN40" s="37"/>
      <c r="NRO40" s="37"/>
      <c r="NRP40" s="37"/>
      <c r="NRQ40" s="37"/>
      <c r="NRR40" s="37"/>
      <c r="NRS40" s="37"/>
      <c r="NRT40" s="37"/>
      <c r="NRU40" s="37"/>
      <c r="NRV40" s="37"/>
      <c r="NRW40" s="37"/>
      <c r="NRX40" s="37"/>
      <c r="NRY40" s="37"/>
      <c r="NRZ40" s="37"/>
      <c r="NSA40" s="37"/>
      <c r="NSB40" s="37"/>
      <c r="NSC40" s="37"/>
      <c r="NSD40" s="37"/>
      <c r="NSE40" s="37"/>
      <c r="NSF40" s="37"/>
      <c r="NSG40" s="37"/>
      <c r="NSH40" s="37"/>
      <c r="NSI40" s="37"/>
      <c r="NSJ40" s="37"/>
      <c r="NSK40" s="37"/>
      <c r="NSL40" s="37"/>
      <c r="NSM40" s="37"/>
      <c r="NSN40" s="37"/>
      <c r="NSO40" s="37"/>
      <c r="NSP40" s="37"/>
      <c r="NSQ40" s="37"/>
      <c r="NSR40" s="37"/>
      <c r="NSS40" s="37"/>
      <c r="NST40" s="37"/>
      <c r="NSU40" s="37"/>
      <c r="NSV40" s="37"/>
      <c r="NSW40" s="37"/>
      <c r="NSX40" s="37"/>
      <c r="NSY40" s="37"/>
      <c r="NSZ40" s="37"/>
      <c r="NTA40" s="37"/>
      <c r="NTB40" s="37"/>
      <c r="NTC40" s="37"/>
      <c r="NTD40" s="37"/>
      <c r="NTE40" s="37"/>
      <c r="NTF40" s="37"/>
      <c r="NTG40" s="37"/>
      <c r="NTH40" s="37"/>
      <c r="NTI40" s="37"/>
      <c r="NTJ40" s="37"/>
      <c r="NTK40" s="37"/>
      <c r="NTL40" s="37"/>
      <c r="NTM40" s="37"/>
      <c r="NTN40" s="37"/>
      <c r="NTO40" s="37"/>
      <c r="NTP40" s="37"/>
      <c r="NTQ40" s="37"/>
      <c r="NTR40" s="37"/>
      <c r="NTS40" s="37"/>
      <c r="NTT40" s="37"/>
      <c r="NTU40" s="37"/>
      <c r="NTV40" s="37"/>
      <c r="NTW40" s="37"/>
      <c r="NTX40" s="37"/>
      <c r="NTY40" s="37"/>
      <c r="NTZ40" s="37"/>
      <c r="NUA40" s="37"/>
      <c r="NUB40" s="37"/>
      <c r="NUC40" s="37"/>
      <c r="NUD40" s="37"/>
      <c r="NUE40" s="37"/>
      <c r="NUF40" s="37"/>
      <c r="NUG40" s="37"/>
      <c r="NUH40" s="37"/>
      <c r="NUI40" s="37"/>
      <c r="NUJ40" s="37"/>
      <c r="NUK40" s="37"/>
      <c r="NUL40" s="37"/>
      <c r="NUM40" s="37"/>
      <c r="NUN40" s="37"/>
      <c r="NUO40" s="37"/>
      <c r="NUP40" s="37"/>
      <c r="NUQ40" s="37"/>
      <c r="NUR40" s="37"/>
      <c r="NUS40" s="37"/>
      <c r="NUT40" s="37"/>
      <c r="NUU40" s="37"/>
      <c r="NUV40" s="37"/>
      <c r="NUW40" s="37"/>
      <c r="NUX40" s="37"/>
      <c r="NUY40" s="37"/>
      <c r="NUZ40" s="37"/>
      <c r="NVA40" s="37"/>
      <c r="NVB40" s="37"/>
      <c r="NVC40" s="37"/>
      <c r="NVD40" s="37"/>
      <c r="NVE40" s="37"/>
      <c r="NVF40" s="37"/>
      <c r="NVG40" s="37"/>
      <c r="NVH40" s="37"/>
      <c r="NVI40" s="37"/>
      <c r="NVJ40" s="37"/>
      <c r="NVK40" s="37"/>
      <c r="NVL40" s="37"/>
      <c r="NVM40" s="37"/>
      <c r="NVN40" s="37"/>
      <c r="NVO40" s="37"/>
      <c r="NVP40" s="37"/>
      <c r="NVQ40" s="37"/>
      <c r="NVR40" s="37"/>
      <c r="NVS40" s="37"/>
      <c r="NVT40" s="37"/>
      <c r="NVU40" s="37"/>
      <c r="NVV40" s="37"/>
      <c r="NVW40" s="37"/>
      <c r="NVX40" s="37"/>
      <c r="NVY40" s="37"/>
      <c r="NVZ40" s="37"/>
      <c r="NWA40" s="37"/>
      <c r="NWB40" s="37"/>
      <c r="NWC40" s="37"/>
      <c r="NWD40" s="37"/>
      <c r="NWE40" s="37"/>
      <c r="NWF40" s="37"/>
      <c r="NWG40" s="37"/>
      <c r="NWH40" s="37"/>
      <c r="NWI40" s="37"/>
      <c r="NWJ40" s="37"/>
      <c r="NWK40" s="37"/>
      <c r="NWL40" s="37"/>
      <c r="NWM40" s="37"/>
      <c r="NWN40" s="37"/>
      <c r="NWO40" s="37"/>
      <c r="NWP40" s="37"/>
      <c r="NWQ40" s="37"/>
      <c r="NWR40" s="37"/>
      <c r="NWS40" s="37"/>
      <c r="NWT40" s="37"/>
      <c r="NWU40" s="37"/>
      <c r="NWV40" s="37"/>
      <c r="NWW40" s="37"/>
      <c r="NWX40" s="37"/>
      <c r="NWY40" s="37"/>
      <c r="NWZ40" s="37"/>
      <c r="NXA40" s="37"/>
      <c r="NXB40" s="37"/>
      <c r="NXC40" s="37"/>
      <c r="NXD40" s="37"/>
      <c r="NXE40" s="37"/>
      <c r="NXF40" s="37"/>
      <c r="NXG40" s="37"/>
      <c r="NXH40" s="37"/>
      <c r="NXI40" s="37"/>
      <c r="NXJ40" s="37"/>
      <c r="NXK40" s="37"/>
      <c r="NXL40" s="37"/>
      <c r="NXM40" s="37"/>
      <c r="NXN40" s="37"/>
      <c r="NXO40" s="37"/>
      <c r="NXP40" s="37"/>
      <c r="NXQ40" s="37"/>
      <c r="NXR40" s="37"/>
      <c r="NXS40" s="37"/>
      <c r="NXT40" s="37"/>
      <c r="NXU40" s="37"/>
      <c r="NXV40" s="37"/>
      <c r="NXW40" s="37"/>
      <c r="NXX40" s="37"/>
      <c r="NXY40" s="37"/>
      <c r="NXZ40" s="37"/>
      <c r="NYA40" s="37"/>
      <c r="NYB40" s="37"/>
      <c r="NYC40" s="37"/>
      <c r="NYD40" s="37"/>
      <c r="NYE40" s="37"/>
      <c r="NYF40" s="37"/>
      <c r="NYG40" s="37"/>
      <c r="NYH40" s="37"/>
      <c r="NYI40" s="37"/>
      <c r="NYJ40" s="37"/>
      <c r="NYK40" s="37"/>
      <c r="NYL40" s="37"/>
      <c r="NYM40" s="37"/>
      <c r="NYN40" s="37"/>
      <c r="NYO40" s="37"/>
      <c r="NYP40" s="37"/>
      <c r="NYQ40" s="37"/>
      <c r="NYR40" s="37"/>
      <c r="NYS40" s="37"/>
      <c r="NYT40" s="37"/>
      <c r="NYU40" s="37"/>
      <c r="NYV40" s="37"/>
      <c r="NYW40" s="37"/>
      <c r="NYX40" s="37"/>
      <c r="NYY40" s="37"/>
      <c r="NYZ40" s="37"/>
      <c r="NZA40" s="37"/>
      <c r="NZB40" s="37"/>
      <c r="NZC40" s="37"/>
      <c r="NZD40" s="37"/>
      <c r="NZE40" s="37"/>
      <c r="NZF40" s="37"/>
      <c r="NZG40" s="37"/>
      <c r="NZH40" s="37"/>
      <c r="NZI40" s="37"/>
      <c r="NZJ40" s="37"/>
      <c r="NZK40" s="37"/>
      <c r="NZL40" s="37"/>
      <c r="NZM40" s="37"/>
      <c r="NZN40" s="37"/>
      <c r="NZO40" s="37"/>
      <c r="NZP40" s="37"/>
      <c r="NZQ40" s="37"/>
      <c r="NZR40" s="37"/>
      <c r="NZS40" s="37"/>
      <c r="NZT40" s="37"/>
      <c r="NZU40" s="37"/>
      <c r="NZV40" s="37"/>
      <c r="NZW40" s="37"/>
      <c r="NZX40" s="37"/>
      <c r="NZY40" s="37"/>
      <c r="NZZ40" s="37"/>
      <c r="OAA40" s="37"/>
      <c r="OAB40" s="37"/>
      <c r="OAC40" s="37"/>
      <c r="OAD40" s="37"/>
      <c r="OAE40" s="37"/>
      <c r="OAF40" s="37"/>
      <c r="OAG40" s="37"/>
      <c r="OAH40" s="37"/>
      <c r="OAI40" s="37"/>
      <c r="OAJ40" s="37"/>
      <c r="OAK40" s="37"/>
      <c r="OAL40" s="37"/>
      <c r="OAM40" s="37"/>
      <c r="OAN40" s="37"/>
      <c r="OAO40" s="37"/>
      <c r="OAP40" s="37"/>
      <c r="OAQ40" s="37"/>
      <c r="OAR40" s="37"/>
      <c r="OAS40" s="37"/>
      <c r="OAT40" s="37"/>
      <c r="OAU40" s="37"/>
      <c r="OAV40" s="37"/>
      <c r="OAW40" s="37"/>
      <c r="OAX40" s="37"/>
      <c r="OAY40" s="37"/>
      <c r="OAZ40" s="37"/>
      <c r="OBA40" s="37"/>
      <c r="OBB40" s="37"/>
      <c r="OBC40" s="37"/>
      <c r="OBD40" s="37"/>
      <c r="OBE40" s="37"/>
      <c r="OBF40" s="37"/>
      <c r="OBG40" s="37"/>
      <c r="OBH40" s="37"/>
      <c r="OBI40" s="37"/>
      <c r="OBJ40" s="37"/>
      <c r="OBK40" s="37"/>
      <c r="OBL40" s="37"/>
      <c r="OBM40" s="37"/>
      <c r="OBN40" s="37"/>
      <c r="OBO40" s="37"/>
      <c r="OBP40" s="37"/>
      <c r="OBQ40" s="37"/>
      <c r="OBR40" s="37"/>
      <c r="OBS40" s="37"/>
      <c r="OBT40" s="37"/>
      <c r="OBU40" s="37"/>
      <c r="OBV40" s="37"/>
      <c r="OBW40" s="37"/>
      <c r="OBX40" s="37"/>
      <c r="OBY40" s="37"/>
      <c r="OBZ40" s="37"/>
      <c r="OCA40" s="37"/>
      <c r="OCB40" s="37"/>
      <c r="OCC40" s="37"/>
      <c r="OCD40" s="37"/>
      <c r="OCE40" s="37"/>
      <c r="OCF40" s="37"/>
      <c r="OCG40" s="37"/>
      <c r="OCH40" s="37"/>
      <c r="OCI40" s="37"/>
      <c r="OCJ40" s="37"/>
      <c r="OCK40" s="37"/>
      <c r="OCL40" s="37"/>
      <c r="OCM40" s="37"/>
      <c r="OCN40" s="37"/>
      <c r="OCO40" s="37"/>
      <c r="OCP40" s="37"/>
      <c r="OCQ40" s="37"/>
      <c r="OCR40" s="37"/>
      <c r="OCS40" s="37"/>
      <c r="OCT40" s="37"/>
      <c r="OCU40" s="37"/>
      <c r="OCV40" s="37"/>
      <c r="OCW40" s="37"/>
      <c r="OCX40" s="37"/>
      <c r="OCY40" s="37"/>
      <c r="OCZ40" s="37"/>
      <c r="ODA40" s="37"/>
      <c r="ODB40" s="37"/>
      <c r="ODC40" s="37"/>
      <c r="ODD40" s="37"/>
      <c r="ODE40" s="37"/>
      <c r="ODF40" s="37"/>
      <c r="ODG40" s="37"/>
      <c r="ODH40" s="37"/>
      <c r="ODI40" s="37"/>
      <c r="ODJ40" s="37"/>
      <c r="ODK40" s="37"/>
      <c r="ODL40" s="37"/>
      <c r="ODM40" s="37"/>
      <c r="ODN40" s="37"/>
      <c r="ODO40" s="37"/>
      <c r="ODP40" s="37"/>
      <c r="ODQ40" s="37"/>
      <c r="ODR40" s="37"/>
      <c r="ODS40" s="37"/>
      <c r="ODT40" s="37"/>
      <c r="ODU40" s="37"/>
      <c r="ODV40" s="37"/>
      <c r="ODW40" s="37"/>
      <c r="ODX40" s="37"/>
      <c r="ODY40" s="37"/>
      <c r="ODZ40" s="37"/>
      <c r="OEA40" s="37"/>
      <c r="OEB40" s="37"/>
      <c r="OEC40" s="37"/>
      <c r="OED40" s="37"/>
      <c r="OEE40" s="37"/>
      <c r="OEF40" s="37"/>
      <c r="OEG40" s="37"/>
      <c r="OEH40" s="37"/>
      <c r="OEI40" s="37"/>
      <c r="OEJ40" s="37"/>
      <c r="OEK40" s="37"/>
      <c r="OEL40" s="37"/>
      <c r="OEM40" s="37"/>
      <c r="OEN40" s="37"/>
      <c r="OEO40" s="37"/>
      <c r="OEP40" s="37"/>
      <c r="OEQ40" s="37"/>
      <c r="OER40" s="37"/>
      <c r="OES40" s="37"/>
      <c r="OET40" s="37"/>
      <c r="OEU40" s="37"/>
      <c r="OEV40" s="37"/>
      <c r="OEW40" s="37"/>
      <c r="OEX40" s="37"/>
      <c r="OEY40" s="37"/>
      <c r="OEZ40" s="37"/>
      <c r="OFA40" s="37"/>
      <c r="OFB40" s="37"/>
      <c r="OFC40" s="37"/>
      <c r="OFD40" s="37"/>
      <c r="OFE40" s="37"/>
      <c r="OFF40" s="37"/>
      <c r="OFG40" s="37"/>
      <c r="OFH40" s="37"/>
      <c r="OFI40" s="37"/>
      <c r="OFJ40" s="37"/>
      <c r="OFK40" s="37"/>
      <c r="OFL40" s="37"/>
      <c r="OFM40" s="37"/>
      <c r="OFN40" s="37"/>
      <c r="OFO40" s="37"/>
      <c r="OFP40" s="37"/>
      <c r="OFQ40" s="37"/>
      <c r="OFR40" s="37"/>
      <c r="OFS40" s="37"/>
      <c r="OFT40" s="37"/>
      <c r="OFU40" s="37"/>
      <c r="OFV40" s="37"/>
      <c r="OFW40" s="37"/>
      <c r="OFX40" s="37"/>
      <c r="OFY40" s="37"/>
      <c r="OFZ40" s="37"/>
      <c r="OGA40" s="37"/>
      <c r="OGB40" s="37"/>
      <c r="OGC40" s="37"/>
      <c r="OGD40" s="37"/>
      <c r="OGE40" s="37"/>
      <c r="OGF40" s="37"/>
      <c r="OGG40" s="37"/>
      <c r="OGH40" s="37"/>
      <c r="OGI40" s="37"/>
      <c r="OGJ40" s="37"/>
      <c r="OGK40" s="37"/>
      <c r="OGL40" s="37"/>
      <c r="OGM40" s="37"/>
      <c r="OGN40" s="37"/>
      <c r="OGO40" s="37"/>
      <c r="OGP40" s="37"/>
      <c r="OGQ40" s="37"/>
      <c r="OGR40" s="37"/>
      <c r="OGS40" s="37"/>
      <c r="OGT40" s="37"/>
      <c r="OGU40" s="37"/>
      <c r="OGV40" s="37"/>
      <c r="OGW40" s="37"/>
      <c r="OGX40" s="37"/>
      <c r="OGY40" s="37"/>
      <c r="OGZ40" s="37"/>
      <c r="OHA40" s="37"/>
      <c r="OHB40" s="37"/>
      <c r="OHC40" s="37"/>
      <c r="OHD40" s="37"/>
      <c r="OHE40" s="37"/>
      <c r="OHF40" s="37"/>
      <c r="OHG40" s="37"/>
      <c r="OHH40" s="37"/>
      <c r="OHI40" s="37"/>
      <c r="OHJ40" s="37"/>
      <c r="OHK40" s="37"/>
      <c r="OHL40" s="37"/>
      <c r="OHM40" s="37"/>
      <c r="OHN40" s="37"/>
      <c r="OHO40" s="37"/>
      <c r="OHP40" s="37"/>
      <c r="OHQ40" s="37"/>
      <c r="OHR40" s="37"/>
      <c r="OHS40" s="37"/>
      <c r="OHT40" s="37"/>
      <c r="OHU40" s="37"/>
      <c r="OHV40" s="37"/>
      <c r="OHW40" s="37"/>
      <c r="OHX40" s="37"/>
      <c r="OHY40" s="37"/>
      <c r="OHZ40" s="37"/>
      <c r="OIA40" s="37"/>
      <c r="OIB40" s="37"/>
      <c r="OIC40" s="37"/>
      <c r="OID40" s="37"/>
      <c r="OIE40" s="37"/>
      <c r="OIF40" s="37"/>
      <c r="OIG40" s="37"/>
      <c r="OIH40" s="37"/>
      <c r="OII40" s="37"/>
      <c r="OIJ40" s="37"/>
      <c r="OIK40" s="37"/>
      <c r="OIL40" s="37"/>
      <c r="OIM40" s="37"/>
      <c r="OIN40" s="37"/>
      <c r="OIO40" s="37"/>
      <c r="OIP40" s="37"/>
      <c r="OIQ40" s="37"/>
      <c r="OIR40" s="37"/>
      <c r="OIS40" s="37"/>
      <c r="OIT40" s="37"/>
      <c r="OIU40" s="37"/>
      <c r="OIV40" s="37"/>
      <c r="OIW40" s="37"/>
      <c r="OIX40" s="37"/>
      <c r="OIY40" s="37"/>
      <c r="OIZ40" s="37"/>
      <c r="OJA40" s="37"/>
      <c r="OJB40" s="37"/>
      <c r="OJC40" s="37"/>
      <c r="OJD40" s="37"/>
      <c r="OJE40" s="37"/>
      <c r="OJF40" s="37"/>
      <c r="OJG40" s="37"/>
      <c r="OJH40" s="37"/>
      <c r="OJI40" s="37"/>
      <c r="OJJ40" s="37"/>
      <c r="OJK40" s="37"/>
      <c r="OJL40" s="37"/>
      <c r="OJM40" s="37"/>
      <c r="OJN40" s="37"/>
      <c r="OJO40" s="37"/>
      <c r="OJP40" s="37"/>
      <c r="OJQ40" s="37"/>
      <c r="OJR40" s="37"/>
      <c r="OJS40" s="37"/>
      <c r="OJT40" s="37"/>
      <c r="OJU40" s="37"/>
      <c r="OJV40" s="37"/>
      <c r="OJW40" s="37"/>
      <c r="OJX40" s="37"/>
      <c r="OJY40" s="37"/>
      <c r="OJZ40" s="37"/>
      <c r="OKA40" s="37"/>
      <c r="OKB40" s="37"/>
      <c r="OKC40" s="37"/>
      <c r="OKD40" s="37"/>
      <c r="OKE40" s="37"/>
      <c r="OKF40" s="37"/>
      <c r="OKG40" s="37"/>
      <c r="OKH40" s="37"/>
      <c r="OKI40" s="37"/>
      <c r="OKJ40" s="37"/>
      <c r="OKK40" s="37"/>
      <c r="OKL40" s="37"/>
      <c r="OKM40" s="37"/>
      <c r="OKN40" s="37"/>
      <c r="OKO40" s="37"/>
      <c r="OKP40" s="37"/>
      <c r="OKQ40" s="37"/>
      <c r="OKR40" s="37"/>
      <c r="OKS40" s="37"/>
      <c r="OKT40" s="37"/>
      <c r="OKU40" s="37"/>
      <c r="OKV40" s="37"/>
      <c r="OKW40" s="37"/>
      <c r="OKX40" s="37"/>
      <c r="OKY40" s="37"/>
      <c r="OKZ40" s="37"/>
      <c r="OLA40" s="37"/>
      <c r="OLB40" s="37"/>
      <c r="OLC40" s="37"/>
      <c r="OLD40" s="37"/>
      <c r="OLE40" s="37"/>
      <c r="OLF40" s="37"/>
      <c r="OLG40" s="37"/>
      <c r="OLH40" s="37"/>
      <c r="OLI40" s="37"/>
      <c r="OLJ40" s="37"/>
      <c r="OLK40" s="37"/>
      <c r="OLL40" s="37"/>
      <c r="OLM40" s="37"/>
      <c r="OLN40" s="37"/>
      <c r="OLO40" s="37"/>
      <c r="OLP40" s="37"/>
      <c r="OLQ40" s="37"/>
      <c r="OLR40" s="37"/>
      <c r="OLS40" s="37"/>
      <c r="OLT40" s="37"/>
      <c r="OLU40" s="37"/>
      <c r="OLV40" s="37"/>
      <c r="OLW40" s="37"/>
      <c r="OLX40" s="37"/>
      <c r="OLY40" s="37"/>
      <c r="OLZ40" s="37"/>
      <c r="OMA40" s="37"/>
      <c r="OMB40" s="37"/>
      <c r="OMC40" s="37"/>
      <c r="OMD40" s="37"/>
      <c r="OME40" s="37"/>
      <c r="OMF40" s="37"/>
      <c r="OMG40" s="37"/>
      <c r="OMH40" s="37"/>
      <c r="OMI40" s="37"/>
      <c r="OMJ40" s="37"/>
      <c r="OMK40" s="37"/>
      <c r="OML40" s="37"/>
      <c r="OMM40" s="37"/>
      <c r="OMN40" s="37"/>
      <c r="OMO40" s="37"/>
      <c r="OMP40" s="37"/>
      <c r="OMQ40" s="37"/>
      <c r="OMR40" s="37"/>
      <c r="OMS40" s="37"/>
      <c r="OMT40" s="37"/>
      <c r="OMU40" s="37"/>
      <c r="OMV40" s="37"/>
      <c r="OMW40" s="37"/>
      <c r="OMX40" s="37"/>
      <c r="OMY40" s="37"/>
      <c r="OMZ40" s="37"/>
      <c r="ONA40" s="37"/>
      <c r="ONB40" s="37"/>
      <c r="ONC40" s="37"/>
      <c r="OND40" s="37"/>
      <c r="ONE40" s="37"/>
      <c r="ONF40" s="37"/>
      <c r="ONG40" s="37"/>
      <c r="ONH40" s="37"/>
      <c r="ONI40" s="37"/>
      <c r="ONJ40" s="37"/>
      <c r="ONK40" s="37"/>
      <c r="ONL40" s="37"/>
      <c r="ONM40" s="37"/>
      <c r="ONN40" s="37"/>
      <c r="ONO40" s="37"/>
      <c r="ONP40" s="37"/>
      <c r="ONQ40" s="37"/>
      <c r="ONR40" s="37"/>
      <c r="ONS40" s="37"/>
      <c r="ONT40" s="37"/>
      <c r="ONU40" s="37"/>
      <c r="ONV40" s="37"/>
      <c r="ONW40" s="37"/>
      <c r="ONX40" s="37"/>
      <c r="ONY40" s="37"/>
      <c r="ONZ40" s="37"/>
      <c r="OOA40" s="37"/>
      <c r="OOB40" s="37"/>
      <c r="OOC40" s="37"/>
      <c r="OOD40" s="37"/>
      <c r="OOE40" s="37"/>
      <c r="OOF40" s="37"/>
      <c r="OOG40" s="37"/>
      <c r="OOH40" s="37"/>
      <c r="OOI40" s="37"/>
      <c r="OOJ40" s="37"/>
      <c r="OOK40" s="37"/>
      <c r="OOL40" s="37"/>
      <c r="OOM40" s="37"/>
      <c r="OON40" s="37"/>
      <c r="OOO40" s="37"/>
      <c r="OOP40" s="37"/>
      <c r="OOQ40" s="37"/>
      <c r="OOR40" s="37"/>
      <c r="OOS40" s="37"/>
      <c r="OOT40" s="37"/>
      <c r="OOU40" s="37"/>
      <c r="OOV40" s="37"/>
      <c r="OOW40" s="37"/>
      <c r="OOX40" s="37"/>
      <c r="OOY40" s="37"/>
      <c r="OOZ40" s="37"/>
      <c r="OPA40" s="37"/>
      <c r="OPB40" s="37"/>
      <c r="OPC40" s="37"/>
      <c r="OPD40" s="37"/>
      <c r="OPE40" s="37"/>
      <c r="OPF40" s="37"/>
      <c r="OPG40" s="37"/>
      <c r="OPH40" s="37"/>
      <c r="OPI40" s="37"/>
      <c r="OPJ40" s="37"/>
      <c r="OPK40" s="37"/>
      <c r="OPL40" s="37"/>
      <c r="OPM40" s="37"/>
      <c r="OPN40" s="37"/>
      <c r="OPO40" s="37"/>
      <c r="OPP40" s="37"/>
      <c r="OPQ40" s="37"/>
      <c r="OPR40" s="37"/>
      <c r="OPS40" s="37"/>
      <c r="OPT40" s="37"/>
      <c r="OPU40" s="37"/>
      <c r="OPV40" s="37"/>
      <c r="OPW40" s="37"/>
      <c r="OPX40" s="37"/>
      <c r="OPY40" s="37"/>
      <c r="OPZ40" s="37"/>
      <c r="OQA40" s="37"/>
      <c r="OQB40" s="37"/>
      <c r="OQC40" s="37"/>
      <c r="OQD40" s="37"/>
      <c r="OQE40" s="37"/>
      <c r="OQF40" s="37"/>
      <c r="OQG40" s="37"/>
      <c r="OQH40" s="37"/>
      <c r="OQI40" s="37"/>
      <c r="OQJ40" s="37"/>
      <c r="OQK40" s="37"/>
      <c r="OQL40" s="37"/>
      <c r="OQM40" s="37"/>
      <c r="OQN40" s="37"/>
      <c r="OQO40" s="37"/>
      <c r="OQP40" s="37"/>
      <c r="OQQ40" s="37"/>
      <c r="OQR40" s="37"/>
      <c r="OQS40" s="37"/>
      <c r="OQT40" s="37"/>
      <c r="OQU40" s="37"/>
      <c r="OQV40" s="37"/>
      <c r="OQW40" s="37"/>
      <c r="OQX40" s="37"/>
      <c r="OQY40" s="37"/>
      <c r="OQZ40" s="37"/>
      <c r="ORA40" s="37"/>
      <c r="ORB40" s="37"/>
      <c r="ORC40" s="37"/>
      <c r="ORD40" s="37"/>
      <c r="ORE40" s="37"/>
      <c r="ORF40" s="37"/>
      <c r="ORG40" s="37"/>
      <c r="ORH40" s="37"/>
      <c r="ORI40" s="37"/>
      <c r="ORJ40" s="37"/>
      <c r="ORK40" s="37"/>
      <c r="ORL40" s="37"/>
      <c r="ORM40" s="37"/>
      <c r="ORN40" s="37"/>
      <c r="ORO40" s="37"/>
      <c r="ORP40" s="37"/>
      <c r="ORQ40" s="37"/>
      <c r="ORR40" s="37"/>
      <c r="ORS40" s="37"/>
      <c r="ORT40" s="37"/>
      <c r="ORU40" s="37"/>
      <c r="ORV40" s="37"/>
      <c r="ORW40" s="37"/>
      <c r="ORX40" s="37"/>
      <c r="ORY40" s="37"/>
      <c r="ORZ40" s="37"/>
      <c r="OSA40" s="37"/>
      <c r="OSB40" s="37"/>
      <c r="OSC40" s="37"/>
      <c r="OSD40" s="37"/>
      <c r="OSE40" s="37"/>
      <c r="OSF40" s="37"/>
      <c r="OSG40" s="37"/>
      <c r="OSH40" s="37"/>
      <c r="OSI40" s="37"/>
      <c r="OSJ40" s="37"/>
      <c r="OSK40" s="37"/>
      <c r="OSL40" s="37"/>
      <c r="OSM40" s="37"/>
      <c r="OSN40" s="37"/>
      <c r="OSO40" s="37"/>
      <c r="OSP40" s="37"/>
      <c r="OSQ40" s="37"/>
      <c r="OSR40" s="37"/>
      <c r="OSS40" s="37"/>
      <c r="OST40" s="37"/>
      <c r="OSU40" s="37"/>
      <c r="OSV40" s="37"/>
      <c r="OSW40" s="37"/>
      <c r="OSX40" s="37"/>
      <c r="OSY40" s="37"/>
      <c r="OSZ40" s="37"/>
      <c r="OTA40" s="37"/>
      <c r="OTB40" s="37"/>
      <c r="OTC40" s="37"/>
      <c r="OTD40" s="37"/>
      <c r="OTE40" s="37"/>
      <c r="OTF40" s="37"/>
      <c r="OTG40" s="37"/>
      <c r="OTH40" s="37"/>
      <c r="OTI40" s="37"/>
      <c r="OTJ40" s="37"/>
      <c r="OTK40" s="37"/>
      <c r="OTL40" s="37"/>
      <c r="OTM40" s="37"/>
      <c r="OTN40" s="37"/>
      <c r="OTO40" s="37"/>
      <c r="OTP40" s="37"/>
      <c r="OTQ40" s="37"/>
      <c r="OTR40" s="37"/>
      <c r="OTS40" s="37"/>
      <c r="OTT40" s="37"/>
      <c r="OTU40" s="37"/>
      <c r="OTV40" s="37"/>
      <c r="OTW40" s="37"/>
      <c r="OTX40" s="37"/>
      <c r="OTY40" s="37"/>
      <c r="OTZ40" s="37"/>
      <c r="OUA40" s="37"/>
      <c r="OUB40" s="37"/>
      <c r="OUC40" s="37"/>
      <c r="OUD40" s="37"/>
      <c r="OUE40" s="37"/>
      <c r="OUF40" s="37"/>
      <c r="OUG40" s="37"/>
      <c r="OUH40" s="37"/>
      <c r="OUI40" s="37"/>
      <c r="OUJ40" s="37"/>
      <c r="OUK40" s="37"/>
      <c r="OUL40" s="37"/>
      <c r="OUM40" s="37"/>
      <c r="OUN40" s="37"/>
      <c r="OUO40" s="37"/>
      <c r="OUP40" s="37"/>
      <c r="OUQ40" s="37"/>
      <c r="OUR40" s="37"/>
      <c r="OUS40" s="37"/>
      <c r="OUT40" s="37"/>
      <c r="OUU40" s="37"/>
      <c r="OUV40" s="37"/>
      <c r="OUW40" s="37"/>
      <c r="OUX40" s="37"/>
      <c r="OUY40" s="37"/>
      <c r="OUZ40" s="37"/>
      <c r="OVA40" s="37"/>
      <c r="OVB40" s="37"/>
      <c r="OVC40" s="37"/>
      <c r="OVD40" s="37"/>
      <c r="OVE40" s="37"/>
      <c r="OVF40" s="37"/>
      <c r="OVG40" s="37"/>
      <c r="OVH40" s="37"/>
      <c r="OVI40" s="37"/>
      <c r="OVJ40" s="37"/>
      <c r="OVK40" s="37"/>
      <c r="OVL40" s="37"/>
      <c r="OVM40" s="37"/>
      <c r="OVN40" s="37"/>
      <c r="OVO40" s="37"/>
      <c r="OVP40" s="37"/>
      <c r="OVQ40" s="37"/>
      <c r="OVR40" s="37"/>
      <c r="OVS40" s="37"/>
      <c r="OVT40" s="37"/>
      <c r="OVU40" s="37"/>
      <c r="OVV40" s="37"/>
      <c r="OVW40" s="37"/>
      <c r="OVX40" s="37"/>
      <c r="OVY40" s="37"/>
      <c r="OVZ40" s="37"/>
      <c r="OWA40" s="37"/>
      <c r="OWB40" s="37"/>
      <c r="OWC40" s="37"/>
      <c r="OWD40" s="37"/>
      <c r="OWE40" s="37"/>
      <c r="OWF40" s="37"/>
      <c r="OWG40" s="37"/>
      <c r="OWH40" s="37"/>
      <c r="OWI40" s="37"/>
      <c r="OWJ40" s="37"/>
      <c r="OWK40" s="37"/>
      <c r="OWL40" s="37"/>
      <c r="OWM40" s="37"/>
      <c r="OWN40" s="37"/>
      <c r="OWO40" s="37"/>
      <c r="OWP40" s="37"/>
      <c r="OWQ40" s="37"/>
      <c r="OWR40" s="37"/>
      <c r="OWS40" s="37"/>
      <c r="OWT40" s="37"/>
      <c r="OWU40" s="37"/>
      <c r="OWV40" s="37"/>
      <c r="OWW40" s="37"/>
      <c r="OWX40" s="37"/>
      <c r="OWY40" s="37"/>
      <c r="OWZ40" s="37"/>
      <c r="OXA40" s="37"/>
      <c r="OXB40" s="37"/>
      <c r="OXC40" s="37"/>
      <c r="OXD40" s="37"/>
      <c r="OXE40" s="37"/>
      <c r="OXF40" s="37"/>
      <c r="OXG40" s="37"/>
      <c r="OXH40" s="37"/>
      <c r="OXI40" s="37"/>
      <c r="OXJ40" s="37"/>
      <c r="OXK40" s="37"/>
      <c r="OXL40" s="37"/>
      <c r="OXM40" s="37"/>
      <c r="OXN40" s="37"/>
      <c r="OXO40" s="37"/>
      <c r="OXP40" s="37"/>
      <c r="OXQ40" s="37"/>
      <c r="OXR40" s="37"/>
      <c r="OXS40" s="37"/>
      <c r="OXT40" s="37"/>
      <c r="OXU40" s="37"/>
      <c r="OXV40" s="37"/>
      <c r="OXW40" s="37"/>
      <c r="OXX40" s="37"/>
      <c r="OXY40" s="37"/>
      <c r="OXZ40" s="37"/>
      <c r="OYA40" s="37"/>
      <c r="OYB40" s="37"/>
      <c r="OYC40" s="37"/>
      <c r="OYD40" s="37"/>
      <c r="OYE40" s="37"/>
      <c r="OYF40" s="37"/>
      <c r="OYG40" s="37"/>
      <c r="OYH40" s="37"/>
      <c r="OYI40" s="37"/>
      <c r="OYJ40" s="37"/>
      <c r="OYK40" s="37"/>
      <c r="OYL40" s="37"/>
      <c r="OYM40" s="37"/>
      <c r="OYN40" s="37"/>
      <c r="OYO40" s="37"/>
      <c r="OYP40" s="37"/>
      <c r="OYQ40" s="37"/>
      <c r="OYR40" s="37"/>
      <c r="OYS40" s="37"/>
      <c r="OYT40" s="37"/>
      <c r="OYU40" s="37"/>
      <c r="OYV40" s="37"/>
      <c r="OYW40" s="37"/>
      <c r="OYX40" s="37"/>
      <c r="OYY40" s="37"/>
      <c r="OYZ40" s="37"/>
      <c r="OZA40" s="37"/>
      <c r="OZB40" s="37"/>
      <c r="OZC40" s="37"/>
      <c r="OZD40" s="37"/>
      <c r="OZE40" s="37"/>
      <c r="OZF40" s="37"/>
      <c r="OZG40" s="37"/>
      <c r="OZH40" s="37"/>
      <c r="OZI40" s="37"/>
      <c r="OZJ40" s="37"/>
      <c r="OZK40" s="37"/>
      <c r="OZL40" s="37"/>
      <c r="OZM40" s="37"/>
      <c r="OZN40" s="37"/>
      <c r="OZO40" s="37"/>
      <c r="OZP40" s="37"/>
      <c r="OZQ40" s="37"/>
      <c r="OZR40" s="37"/>
      <c r="OZS40" s="37"/>
      <c r="OZT40" s="37"/>
      <c r="OZU40" s="37"/>
      <c r="OZV40" s="37"/>
      <c r="OZW40" s="37"/>
      <c r="OZX40" s="37"/>
      <c r="OZY40" s="37"/>
      <c r="OZZ40" s="37"/>
      <c r="PAA40" s="37"/>
      <c r="PAB40" s="37"/>
      <c r="PAC40" s="37"/>
      <c r="PAD40" s="37"/>
      <c r="PAE40" s="37"/>
      <c r="PAF40" s="37"/>
      <c r="PAG40" s="37"/>
      <c r="PAH40" s="37"/>
      <c r="PAI40" s="37"/>
      <c r="PAJ40" s="37"/>
      <c r="PAK40" s="37"/>
      <c r="PAL40" s="37"/>
      <c r="PAM40" s="37"/>
      <c r="PAN40" s="37"/>
      <c r="PAO40" s="37"/>
      <c r="PAP40" s="37"/>
      <c r="PAQ40" s="37"/>
      <c r="PAR40" s="37"/>
      <c r="PAS40" s="37"/>
      <c r="PAT40" s="37"/>
      <c r="PAU40" s="37"/>
      <c r="PAV40" s="37"/>
      <c r="PAW40" s="37"/>
      <c r="PAX40" s="37"/>
      <c r="PAY40" s="37"/>
      <c r="PAZ40" s="37"/>
      <c r="PBA40" s="37"/>
      <c r="PBB40" s="37"/>
      <c r="PBC40" s="37"/>
      <c r="PBD40" s="37"/>
      <c r="PBE40" s="37"/>
      <c r="PBF40" s="37"/>
      <c r="PBG40" s="37"/>
      <c r="PBH40" s="37"/>
      <c r="PBI40" s="37"/>
      <c r="PBJ40" s="37"/>
      <c r="PBK40" s="37"/>
      <c r="PBL40" s="37"/>
      <c r="PBM40" s="37"/>
      <c r="PBN40" s="37"/>
      <c r="PBO40" s="37"/>
      <c r="PBP40" s="37"/>
      <c r="PBQ40" s="37"/>
      <c r="PBR40" s="37"/>
      <c r="PBS40" s="37"/>
      <c r="PBT40" s="37"/>
      <c r="PBU40" s="37"/>
      <c r="PBV40" s="37"/>
      <c r="PBW40" s="37"/>
      <c r="PBX40" s="37"/>
      <c r="PBY40" s="37"/>
      <c r="PBZ40" s="37"/>
      <c r="PCA40" s="37"/>
      <c r="PCB40" s="37"/>
      <c r="PCC40" s="37"/>
      <c r="PCD40" s="37"/>
      <c r="PCE40" s="37"/>
      <c r="PCF40" s="37"/>
      <c r="PCG40" s="37"/>
      <c r="PCH40" s="37"/>
      <c r="PCI40" s="37"/>
      <c r="PCJ40" s="37"/>
      <c r="PCK40" s="37"/>
      <c r="PCL40" s="37"/>
      <c r="PCM40" s="37"/>
      <c r="PCN40" s="37"/>
      <c r="PCO40" s="37"/>
      <c r="PCP40" s="37"/>
      <c r="PCQ40" s="37"/>
      <c r="PCR40" s="37"/>
      <c r="PCS40" s="37"/>
      <c r="PCT40" s="37"/>
      <c r="PCU40" s="37"/>
      <c r="PCV40" s="37"/>
      <c r="PCW40" s="37"/>
      <c r="PCX40" s="37"/>
      <c r="PCY40" s="37"/>
      <c r="PCZ40" s="37"/>
      <c r="PDA40" s="37"/>
      <c r="PDB40" s="37"/>
      <c r="PDC40" s="37"/>
      <c r="PDD40" s="37"/>
      <c r="PDE40" s="37"/>
      <c r="PDF40" s="37"/>
      <c r="PDG40" s="37"/>
      <c r="PDH40" s="37"/>
      <c r="PDI40" s="37"/>
      <c r="PDJ40" s="37"/>
      <c r="PDK40" s="37"/>
      <c r="PDL40" s="37"/>
      <c r="PDM40" s="37"/>
      <c r="PDN40" s="37"/>
      <c r="PDO40" s="37"/>
      <c r="PDP40" s="37"/>
      <c r="PDQ40" s="37"/>
      <c r="PDR40" s="37"/>
      <c r="PDS40" s="37"/>
      <c r="PDT40" s="37"/>
      <c r="PDU40" s="37"/>
      <c r="PDV40" s="37"/>
      <c r="PDW40" s="37"/>
      <c r="PDX40" s="37"/>
      <c r="PDY40" s="37"/>
      <c r="PDZ40" s="37"/>
      <c r="PEA40" s="37"/>
      <c r="PEB40" s="37"/>
      <c r="PEC40" s="37"/>
      <c r="PED40" s="37"/>
      <c r="PEE40" s="37"/>
      <c r="PEF40" s="37"/>
      <c r="PEG40" s="37"/>
      <c r="PEH40" s="37"/>
      <c r="PEI40" s="37"/>
      <c r="PEJ40" s="37"/>
      <c r="PEK40" s="37"/>
      <c r="PEL40" s="37"/>
      <c r="PEM40" s="37"/>
      <c r="PEN40" s="37"/>
      <c r="PEO40" s="37"/>
      <c r="PEP40" s="37"/>
      <c r="PEQ40" s="37"/>
      <c r="PER40" s="37"/>
      <c r="PES40" s="37"/>
      <c r="PET40" s="37"/>
      <c r="PEU40" s="37"/>
      <c r="PEV40" s="37"/>
      <c r="PEW40" s="37"/>
      <c r="PEX40" s="37"/>
      <c r="PEY40" s="37"/>
      <c r="PEZ40" s="37"/>
      <c r="PFA40" s="37"/>
      <c r="PFB40" s="37"/>
      <c r="PFC40" s="37"/>
      <c r="PFD40" s="37"/>
      <c r="PFE40" s="37"/>
      <c r="PFF40" s="37"/>
      <c r="PFG40" s="37"/>
      <c r="PFH40" s="37"/>
      <c r="PFI40" s="37"/>
      <c r="PFJ40" s="37"/>
      <c r="PFK40" s="37"/>
      <c r="PFL40" s="37"/>
      <c r="PFM40" s="37"/>
      <c r="PFN40" s="37"/>
      <c r="PFO40" s="37"/>
      <c r="PFP40" s="37"/>
      <c r="PFQ40" s="37"/>
      <c r="PFR40" s="37"/>
      <c r="PFS40" s="37"/>
      <c r="PFT40" s="37"/>
      <c r="PFU40" s="37"/>
      <c r="PFV40" s="37"/>
      <c r="PFW40" s="37"/>
      <c r="PFX40" s="37"/>
      <c r="PFY40" s="37"/>
      <c r="PFZ40" s="37"/>
      <c r="PGA40" s="37"/>
      <c r="PGB40" s="37"/>
      <c r="PGC40" s="37"/>
      <c r="PGD40" s="37"/>
      <c r="PGE40" s="37"/>
      <c r="PGF40" s="37"/>
      <c r="PGG40" s="37"/>
      <c r="PGH40" s="37"/>
      <c r="PGI40" s="37"/>
      <c r="PGJ40" s="37"/>
      <c r="PGK40" s="37"/>
      <c r="PGL40" s="37"/>
      <c r="PGM40" s="37"/>
      <c r="PGN40" s="37"/>
      <c r="PGO40" s="37"/>
      <c r="PGP40" s="37"/>
      <c r="PGQ40" s="37"/>
      <c r="PGR40" s="37"/>
      <c r="PGS40" s="37"/>
      <c r="PGT40" s="37"/>
      <c r="PGU40" s="37"/>
      <c r="PGV40" s="37"/>
      <c r="PGW40" s="37"/>
      <c r="PGX40" s="37"/>
      <c r="PGY40" s="37"/>
      <c r="PGZ40" s="37"/>
      <c r="PHA40" s="37"/>
      <c r="PHB40" s="37"/>
      <c r="PHC40" s="37"/>
      <c r="PHD40" s="37"/>
      <c r="PHE40" s="37"/>
      <c r="PHF40" s="37"/>
      <c r="PHG40" s="37"/>
      <c r="PHH40" s="37"/>
      <c r="PHI40" s="37"/>
      <c r="PHJ40" s="37"/>
      <c r="PHK40" s="37"/>
      <c r="PHL40" s="37"/>
      <c r="PHM40" s="37"/>
      <c r="PHN40" s="37"/>
      <c r="PHO40" s="37"/>
      <c r="PHP40" s="37"/>
      <c r="PHQ40" s="37"/>
      <c r="PHR40" s="37"/>
      <c r="PHS40" s="37"/>
      <c r="PHT40" s="37"/>
      <c r="PHU40" s="37"/>
      <c r="PHV40" s="37"/>
      <c r="PHW40" s="37"/>
      <c r="PHX40" s="37"/>
      <c r="PHY40" s="37"/>
      <c r="PHZ40" s="37"/>
      <c r="PIA40" s="37"/>
      <c r="PIB40" s="37"/>
      <c r="PIC40" s="37"/>
      <c r="PID40" s="37"/>
      <c r="PIE40" s="37"/>
      <c r="PIF40" s="37"/>
      <c r="PIG40" s="37"/>
      <c r="PIH40" s="37"/>
      <c r="PII40" s="37"/>
      <c r="PIJ40" s="37"/>
      <c r="PIK40" s="37"/>
      <c r="PIL40" s="37"/>
      <c r="PIM40" s="37"/>
      <c r="PIN40" s="37"/>
      <c r="PIO40" s="37"/>
      <c r="PIP40" s="37"/>
      <c r="PIQ40" s="37"/>
      <c r="PIR40" s="37"/>
      <c r="PIS40" s="37"/>
      <c r="PIT40" s="37"/>
      <c r="PIU40" s="37"/>
      <c r="PIV40" s="37"/>
      <c r="PIW40" s="37"/>
      <c r="PIX40" s="37"/>
      <c r="PIY40" s="37"/>
      <c r="PIZ40" s="37"/>
      <c r="PJA40" s="37"/>
      <c r="PJB40" s="37"/>
      <c r="PJC40" s="37"/>
      <c r="PJD40" s="37"/>
      <c r="PJE40" s="37"/>
      <c r="PJF40" s="37"/>
      <c r="PJG40" s="37"/>
      <c r="PJH40" s="37"/>
      <c r="PJI40" s="37"/>
      <c r="PJJ40" s="37"/>
      <c r="PJK40" s="37"/>
      <c r="PJL40" s="37"/>
      <c r="PJM40" s="37"/>
      <c r="PJN40" s="37"/>
      <c r="PJO40" s="37"/>
      <c r="PJP40" s="37"/>
      <c r="PJQ40" s="37"/>
      <c r="PJR40" s="37"/>
      <c r="PJS40" s="37"/>
      <c r="PJT40" s="37"/>
      <c r="PJU40" s="37"/>
      <c r="PJV40" s="37"/>
      <c r="PJW40" s="37"/>
      <c r="PJX40" s="37"/>
      <c r="PJY40" s="37"/>
      <c r="PJZ40" s="37"/>
      <c r="PKA40" s="37"/>
      <c r="PKB40" s="37"/>
      <c r="PKC40" s="37"/>
      <c r="PKD40" s="37"/>
      <c r="PKE40" s="37"/>
      <c r="PKF40" s="37"/>
      <c r="PKG40" s="37"/>
      <c r="PKH40" s="37"/>
      <c r="PKI40" s="37"/>
      <c r="PKJ40" s="37"/>
      <c r="PKK40" s="37"/>
      <c r="PKL40" s="37"/>
      <c r="PKM40" s="37"/>
      <c r="PKN40" s="37"/>
      <c r="PKO40" s="37"/>
      <c r="PKP40" s="37"/>
      <c r="PKQ40" s="37"/>
      <c r="PKR40" s="37"/>
      <c r="PKS40" s="37"/>
      <c r="PKT40" s="37"/>
      <c r="PKU40" s="37"/>
      <c r="PKV40" s="37"/>
      <c r="PKW40" s="37"/>
      <c r="PKX40" s="37"/>
      <c r="PKY40" s="37"/>
      <c r="PKZ40" s="37"/>
      <c r="PLA40" s="37"/>
      <c r="PLB40" s="37"/>
      <c r="PLC40" s="37"/>
      <c r="PLD40" s="37"/>
      <c r="PLE40" s="37"/>
      <c r="PLF40" s="37"/>
      <c r="PLG40" s="37"/>
      <c r="PLH40" s="37"/>
      <c r="PLI40" s="37"/>
      <c r="PLJ40" s="37"/>
      <c r="PLK40" s="37"/>
      <c r="PLL40" s="37"/>
      <c r="PLM40" s="37"/>
      <c r="PLN40" s="37"/>
      <c r="PLO40" s="37"/>
      <c r="PLP40" s="37"/>
      <c r="PLQ40" s="37"/>
      <c r="PLR40" s="37"/>
      <c r="PLS40" s="37"/>
      <c r="PLT40" s="37"/>
      <c r="PLU40" s="37"/>
      <c r="PLV40" s="37"/>
      <c r="PLW40" s="37"/>
      <c r="PLX40" s="37"/>
      <c r="PLY40" s="37"/>
      <c r="PLZ40" s="37"/>
      <c r="PMA40" s="37"/>
      <c r="PMB40" s="37"/>
      <c r="PMC40" s="37"/>
      <c r="PMD40" s="37"/>
      <c r="PME40" s="37"/>
      <c r="PMF40" s="37"/>
      <c r="PMG40" s="37"/>
      <c r="PMH40" s="37"/>
      <c r="PMI40" s="37"/>
      <c r="PMJ40" s="37"/>
      <c r="PMK40" s="37"/>
      <c r="PML40" s="37"/>
      <c r="PMM40" s="37"/>
      <c r="PMN40" s="37"/>
      <c r="PMO40" s="37"/>
      <c r="PMP40" s="37"/>
      <c r="PMQ40" s="37"/>
      <c r="PMR40" s="37"/>
      <c r="PMS40" s="37"/>
      <c r="PMT40" s="37"/>
      <c r="PMU40" s="37"/>
      <c r="PMV40" s="37"/>
      <c r="PMW40" s="37"/>
      <c r="PMX40" s="37"/>
      <c r="PMY40" s="37"/>
      <c r="PMZ40" s="37"/>
      <c r="PNA40" s="37"/>
      <c r="PNB40" s="37"/>
      <c r="PNC40" s="37"/>
      <c r="PND40" s="37"/>
      <c r="PNE40" s="37"/>
      <c r="PNF40" s="37"/>
      <c r="PNG40" s="37"/>
      <c r="PNH40" s="37"/>
      <c r="PNI40" s="37"/>
      <c r="PNJ40" s="37"/>
      <c r="PNK40" s="37"/>
      <c r="PNL40" s="37"/>
      <c r="PNM40" s="37"/>
      <c r="PNN40" s="37"/>
      <c r="PNO40" s="37"/>
      <c r="PNP40" s="37"/>
      <c r="PNQ40" s="37"/>
      <c r="PNR40" s="37"/>
      <c r="PNS40" s="37"/>
      <c r="PNT40" s="37"/>
      <c r="PNU40" s="37"/>
      <c r="PNV40" s="37"/>
      <c r="PNW40" s="37"/>
      <c r="PNX40" s="37"/>
      <c r="PNY40" s="37"/>
      <c r="PNZ40" s="37"/>
      <c r="POA40" s="37"/>
      <c r="POB40" s="37"/>
      <c r="POC40" s="37"/>
      <c r="POD40" s="37"/>
      <c r="POE40" s="37"/>
      <c r="POF40" s="37"/>
      <c r="POG40" s="37"/>
      <c r="POH40" s="37"/>
      <c r="POI40" s="37"/>
      <c r="POJ40" s="37"/>
      <c r="POK40" s="37"/>
      <c r="POL40" s="37"/>
      <c r="POM40" s="37"/>
      <c r="PON40" s="37"/>
      <c r="POO40" s="37"/>
      <c r="POP40" s="37"/>
      <c r="POQ40" s="37"/>
      <c r="POR40" s="37"/>
      <c r="POS40" s="37"/>
      <c r="POT40" s="37"/>
      <c r="POU40" s="37"/>
      <c r="POV40" s="37"/>
      <c r="POW40" s="37"/>
      <c r="POX40" s="37"/>
      <c r="POY40" s="37"/>
      <c r="POZ40" s="37"/>
      <c r="PPA40" s="37"/>
      <c r="PPB40" s="37"/>
      <c r="PPC40" s="37"/>
      <c r="PPD40" s="37"/>
      <c r="PPE40" s="37"/>
      <c r="PPF40" s="37"/>
      <c r="PPG40" s="37"/>
      <c r="PPH40" s="37"/>
      <c r="PPI40" s="37"/>
      <c r="PPJ40" s="37"/>
      <c r="PPK40" s="37"/>
      <c r="PPL40" s="37"/>
      <c r="PPM40" s="37"/>
      <c r="PPN40" s="37"/>
      <c r="PPO40" s="37"/>
      <c r="PPP40" s="37"/>
      <c r="PPQ40" s="37"/>
      <c r="PPR40" s="37"/>
      <c r="PPS40" s="37"/>
      <c r="PPT40" s="37"/>
      <c r="PPU40" s="37"/>
      <c r="PPV40" s="37"/>
      <c r="PPW40" s="37"/>
      <c r="PPX40" s="37"/>
      <c r="PPY40" s="37"/>
      <c r="PPZ40" s="37"/>
      <c r="PQA40" s="37"/>
      <c r="PQB40" s="37"/>
      <c r="PQC40" s="37"/>
      <c r="PQD40" s="37"/>
      <c r="PQE40" s="37"/>
      <c r="PQF40" s="37"/>
      <c r="PQG40" s="37"/>
      <c r="PQH40" s="37"/>
      <c r="PQI40" s="37"/>
      <c r="PQJ40" s="37"/>
      <c r="PQK40" s="37"/>
      <c r="PQL40" s="37"/>
      <c r="PQM40" s="37"/>
      <c r="PQN40" s="37"/>
      <c r="PQO40" s="37"/>
      <c r="PQP40" s="37"/>
      <c r="PQQ40" s="37"/>
      <c r="PQR40" s="37"/>
      <c r="PQS40" s="37"/>
      <c r="PQT40" s="37"/>
      <c r="PQU40" s="37"/>
      <c r="PQV40" s="37"/>
      <c r="PQW40" s="37"/>
      <c r="PQX40" s="37"/>
      <c r="PQY40" s="37"/>
      <c r="PQZ40" s="37"/>
      <c r="PRA40" s="37"/>
      <c r="PRB40" s="37"/>
      <c r="PRC40" s="37"/>
      <c r="PRD40" s="37"/>
      <c r="PRE40" s="37"/>
      <c r="PRF40" s="37"/>
      <c r="PRG40" s="37"/>
      <c r="PRH40" s="37"/>
      <c r="PRI40" s="37"/>
      <c r="PRJ40" s="37"/>
      <c r="PRK40" s="37"/>
      <c r="PRL40" s="37"/>
      <c r="PRM40" s="37"/>
      <c r="PRN40" s="37"/>
      <c r="PRO40" s="37"/>
      <c r="PRP40" s="37"/>
      <c r="PRQ40" s="37"/>
      <c r="PRR40" s="37"/>
      <c r="PRS40" s="37"/>
      <c r="PRT40" s="37"/>
      <c r="PRU40" s="37"/>
      <c r="PRV40" s="37"/>
      <c r="PRW40" s="37"/>
      <c r="PRX40" s="37"/>
      <c r="PRY40" s="37"/>
      <c r="PRZ40" s="37"/>
      <c r="PSA40" s="37"/>
      <c r="PSB40" s="37"/>
      <c r="PSC40" s="37"/>
      <c r="PSD40" s="37"/>
      <c r="PSE40" s="37"/>
      <c r="PSF40" s="37"/>
      <c r="PSG40" s="37"/>
      <c r="PSH40" s="37"/>
      <c r="PSI40" s="37"/>
      <c r="PSJ40" s="37"/>
      <c r="PSK40" s="37"/>
      <c r="PSL40" s="37"/>
      <c r="PSM40" s="37"/>
      <c r="PSN40" s="37"/>
      <c r="PSO40" s="37"/>
      <c r="PSP40" s="37"/>
      <c r="PSQ40" s="37"/>
      <c r="PSR40" s="37"/>
      <c r="PSS40" s="37"/>
      <c r="PST40" s="37"/>
      <c r="PSU40" s="37"/>
      <c r="PSV40" s="37"/>
      <c r="PSW40" s="37"/>
      <c r="PSX40" s="37"/>
      <c r="PSY40" s="37"/>
      <c r="PSZ40" s="37"/>
      <c r="PTA40" s="37"/>
      <c r="PTB40" s="37"/>
      <c r="PTC40" s="37"/>
      <c r="PTD40" s="37"/>
      <c r="PTE40" s="37"/>
      <c r="PTF40" s="37"/>
      <c r="PTG40" s="37"/>
      <c r="PTH40" s="37"/>
      <c r="PTI40" s="37"/>
      <c r="PTJ40" s="37"/>
      <c r="PTK40" s="37"/>
      <c r="PTL40" s="37"/>
      <c r="PTM40" s="37"/>
      <c r="PTN40" s="37"/>
      <c r="PTO40" s="37"/>
      <c r="PTP40" s="37"/>
      <c r="PTQ40" s="37"/>
      <c r="PTR40" s="37"/>
      <c r="PTS40" s="37"/>
      <c r="PTT40" s="37"/>
      <c r="PTU40" s="37"/>
      <c r="PTV40" s="37"/>
      <c r="PTW40" s="37"/>
      <c r="PTX40" s="37"/>
      <c r="PTY40" s="37"/>
      <c r="PTZ40" s="37"/>
      <c r="PUA40" s="37"/>
      <c r="PUB40" s="37"/>
      <c r="PUC40" s="37"/>
      <c r="PUD40" s="37"/>
      <c r="PUE40" s="37"/>
      <c r="PUF40" s="37"/>
      <c r="PUG40" s="37"/>
      <c r="PUH40" s="37"/>
      <c r="PUI40" s="37"/>
      <c r="PUJ40" s="37"/>
      <c r="PUK40" s="37"/>
      <c r="PUL40" s="37"/>
      <c r="PUM40" s="37"/>
      <c r="PUN40" s="37"/>
      <c r="PUO40" s="37"/>
      <c r="PUP40" s="37"/>
      <c r="PUQ40" s="37"/>
      <c r="PUR40" s="37"/>
      <c r="PUS40" s="37"/>
      <c r="PUT40" s="37"/>
      <c r="PUU40" s="37"/>
      <c r="PUV40" s="37"/>
      <c r="PUW40" s="37"/>
      <c r="PUX40" s="37"/>
      <c r="PUY40" s="37"/>
      <c r="PUZ40" s="37"/>
      <c r="PVA40" s="37"/>
      <c r="PVB40" s="37"/>
      <c r="PVC40" s="37"/>
      <c r="PVD40" s="37"/>
      <c r="PVE40" s="37"/>
      <c r="PVF40" s="37"/>
      <c r="PVG40" s="37"/>
      <c r="PVH40" s="37"/>
      <c r="PVI40" s="37"/>
      <c r="PVJ40" s="37"/>
      <c r="PVK40" s="37"/>
      <c r="PVL40" s="37"/>
      <c r="PVM40" s="37"/>
      <c r="PVN40" s="37"/>
      <c r="PVO40" s="37"/>
      <c r="PVP40" s="37"/>
      <c r="PVQ40" s="37"/>
      <c r="PVR40" s="37"/>
      <c r="PVS40" s="37"/>
      <c r="PVT40" s="37"/>
      <c r="PVU40" s="37"/>
      <c r="PVV40" s="37"/>
      <c r="PVW40" s="37"/>
      <c r="PVX40" s="37"/>
      <c r="PVY40" s="37"/>
      <c r="PVZ40" s="37"/>
      <c r="PWA40" s="37"/>
      <c r="PWB40" s="37"/>
      <c r="PWC40" s="37"/>
      <c r="PWD40" s="37"/>
      <c r="PWE40" s="37"/>
      <c r="PWF40" s="37"/>
      <c r="PWG40" s="37"/>
      <c r="PWH40" s="37"/>
      <c r="PWI40" s="37"/>
      <c r="PWJ40" s="37"/>
      <c r="PWK40" s="37"/>
      <c r="PWL40" s="37"/>
      <c r="PWM40" s="37"/>
      <c r="PWN40" s="37"/>
      <c r="PWO40" s="37"/>
      <c r="PWP40" s="37"/>
      <c r="PWQ40" s="37"/>
      <c r="PWR40" s="37"/>
      <c r="PWS40" s="37"/>
      <c r="PWT40" s="37"/>
      <c r="PWU40" s="37"/>
      <c r="PWV40" s="37"/>
      <c r="PWW40" s="37"/>
      <c r="PWX40" s="37"/>
      <c r="PWY40" s="37"/>
      <c r="PWZ40" s="37"/>
      <c r="PXA40" s="37"/>
      <c r="PXB40" s="37"/>
      <c r="PXC40" s="37"/>
      <c r="PXD40" s="37"/>
      <c r="PXE40" s="37"/>
      <c r="PXF40" s="37"/>
      <c r="PXG40" s="37"/>
      <c r="PXH40" s="37"/>
      <c r="PXI40" s="37"/>
      <c r="PXJ40" s="37"/>
      <c r="PXK40" s="37"/>
      <c r="PXL40" s="37"/>
      <c r="PXM40" s="37"/>
      <c r="PXN40" s="37"/>
      <c r="PXO40" s="37"/>
      <c r="PXP40" s="37"/>
      <c r="PXQ40" s="37"/>
      <c r="PXR40" s="37"/>
      <c r="PXS40" s="37"/>
      <c r="PXT40" s="37"/>
      <c r="PXU40" s="37"/>
      <c r="PXV40" s="37"/>
      <c r="PXW40" s="37"/>
      <c r="PXX40" s="37"/>
      <c r="PXY40" s="37"/>
      <c r="PXZ40" s="37"/>
      <c r="PYA40" s="37"/>
      <c r="PYB40" s="37"/>
      <c r="PYC40" s="37"/>
      <c r="PYD40" s="37"/>
      <c r="PYE40" s="37"/>
      <c r="PYF40" s="37"/>
      <c r="PYG40" s="37"/>
      <c r="PYH40" s="37"/>
      <c r="PYI40" s="37"/>
      <c r="PYJ40" s="37"/>
      <c r="PYK40" s="37"/>
      <c r="PYL40" s="37"/>
      <c r="PYM40" s="37"/>
      <c r="PYN40" s="37"/>
      <c r="PYO40" s="37"/>
      <c r="PYP40" s="37"/>
      <c r="PYQ40" s="37"/>
      <c r="PYR40" s="37"/>
      <c r="PYS40" s="37"/>
      <c r="PYT40" s="37"/>
      <c r="PYU40" s="37"/>
      <c r="PYV40" s="37"/>
      <c r="PYW40" s="37"/>
      <c r="PYX40" s="37"/>
      <c r="PYY40" s="37"/>
      <c r="PYZ40" s="37"/>
      <c r="PZA40" s="37"/>
      <c r="PZB40" s="37"/>
      <c r="PZC40" s="37"/>
      <c r="PZD40" s="37"/>
      <c r="PZE40" s="37"/>
      <c r="PZF40" s="37"/>
      <c r="PZG40" s="37"/>
      <c r="PZH40" s="37"/>
      <c r="PZI40" s="37"/>
      <c r="PZJ40" s="37"/>
      <c r="PZK40" s="37"/>
      <c r="PZL40" s="37"/>
      <c r="PZM40" s="37"/>
      <c r="PZN40" s="37"/>
      <c r="PZO40" s="37"/>
      <c r="PZP40" s="37"/>
      <c r="PZQ40" s="37"/>
      <c r="PZR40" s="37"/>
      <c r="PZS40" s="37"/>
      <c r="PZT40" s="37"/>
      <c r="PZU40" s="37"/>
      <c r="PZV40" s="37"/>
      <c r="PZW40" s="37"/>
      <c r="PZX40" s="37"/>
      <c r="PZY40" s="37"/>
      <c r="PZZ40" s="37"/>
      <c r="QAA40" s="37"/>
      <c r="QAB40" s="37"/>
      <c r="QAC40" s="37"/>
      <c r="QAD40" s="37"/>
      <c r="QAE40" s="37"/>
      <c r="QAF40" s="37"/>
      <c r="QAG40" s="37"/>
      <c r="QAH40" s="37"/>
      <c r="QAI40" s="37"/>
      <c r="QAJ40" s="37"/>
      <c r="QAK40" s="37"/>
      <c r="QAL40" s="37"/>
      <c r="QAM40" s="37"/>
      <c r="QAN40" s="37"/>
      <c r="QAO40" s="37"/>
      <c r="QAP40" s="37"/>
      <c r="QAQ40" s="37"/>
      <c r="QAR40" s="37"/>
      <c r="QAS40" s="37"/>
      <c r="QAT40" s="37"/>
      <c r="QAU40" s="37"/>
      <c r="QAV40" s="37"/>
      <c r="QAW40" s="37"/>
      <c r="QAX40" s="37"/>
      <c r="QAY40" s="37"/>
      <c r="QAZ40" s="37"/>
      <c r="QBA40" s="37"/>
      <c r="QBB40" s="37"/>
      <c r="QBC40" s="37"/>
      <c r="QBD40" s="37"/>
      <c r="QBE40" s="37"/>
      <c r="QBF40" s="37"/>
      <c r="QBG40" s="37"/>
      <c r="QBH40" s="37"/>
      <c r="QBI40" s="37"/>
      <c r="QBJ40" s="37"/>
      <c r="QBK40" s="37"/>
      <c r="QBL40" s="37"/>
      <c r="QBM40" s="37"/>
      <c r="QBN40" s="37"/>
      <c r="QBO40" s="37"/>
      <c r="QBP40" s="37"/>
      <c r="QBQ40" s="37"/>
      <c r="QBR40" s="37"/>
      <c r="QBS40" s="37"/>
      <c r="QBT40" s="37"/>
      <c r="QBU40" s="37"/>
      <c r="QBV40" s="37"/>
      <c r="QBW40" s="37"/>
      <c r="QBX40" s="37"/>
      <c r="QBY40" s="37"/>
      <c r="QBZ40" s="37"/>
      <c r="QCA40" s="37"/>
      <c r="QCB40" s="37"/>
      <c r="QCC40" s="37"/>
      <c r="QCD40" s="37"/>
      <c r="QCE40" s="37"/>
      <c r="QCF40" s="37"/>
      <c r="QCG40" s="37"/>
      <c r="QCH40" s="37"/>
      <c r="QCI40" s="37"/>
      <c r="QCJ40" s="37"/>
      <c r="QCK40" s="37"/>
      <c r="QCL40" s="37"/>
      <c r="QCM40" s="37"/>
      <c r="QCN40" s="37"/>
      <c r="QCO40" s="37"/>
      <c r="QCP40" s="37"/>
      <c r="QCQ40" s="37"/>
      <c r="QCR40" s="37"/>
      <c r="QCS40" s="37"/>
      <c r="QCT40" s="37"/>
      <c r="QCU40" s="37"/>
      <c r="QCV40" s="37"/>
      <c r="QCW40" s="37"/>
      <c r="QCX40" s="37"/>
      <c r="QCY40" s="37"/>
      <c r="QCZ40" s="37"/>
      <c r="QDA40" s="37"/>
      <c r="QDB40" s="37"/>
      <c r="QDC40" s="37"/>
      <c r="QDD40" s="37"/>
      <c r="QDE40" s="37"/>
      <c r="QDF40" s="37"/>
      <c r="QDG40" s="37"/>
      <c r="QDH40" s="37"/>
      <c r="QDI40" s="37"/>
      <c r="QDJ40" s="37"/>
      <c r="QDK40" s="37"/>
      <c r="QDL40" s="37"/>
      <c r="QDM40" s="37"/>
      <c r="QDN40" s="37"/>
      <c r="QDO40" s="37"/>
      <c r="QDP40" s="37"/>
      <c r="QDQ40" s="37"/>
      <c r="QDR40" s="37"/>
      <c r="QDS40" s="37"/>
      <c r="QDT40" s="37"/>
      <c r="QDU40" s="37"/>
      <c r="QDV40" s="37"/>
      <c r="QDW40" s="37"/>
      <c r="QDX40" s="37"/>
      <c r="QDY40" s="37"/>
      <c r="QDZ40" s="37"/>
      <c r="QEA40" s="37"/>
      <c r="QEB40" s="37"/>
      <c r="QEC40" s="37"/>
      <c r="QED40" s="37"/>
      <c r="QEE40" s="37"/>
      <c r="QEF40" s="37"/>
      <c r="QEG40" s="37"/>
      <c r="QEH40" s="37"/>
      <c r="QEI40" s="37"/>
      <c r="QEJ40" s="37"/>
      <c r="QEK40" s="37"/>
      <c r="QEL40" s="37"/>
      <c r="QEM40" s="37"/>
      <c r="QEN40" s="37"/>
      <c r="QEO40" s="37"/>
      <c r="QEP40" s="37"/>
      <c r="QEQ40" s="37"/>
      <c r="QER40" s="37"/>
      <c r="QES40" s="37"/>
      <c r="QET40" s="37"/>
      <c r="QEU40" s="37"/>
      <c r="QEV40" s="37"/>
      <c r="QEW40" s="37"/>
      <c r="QEX40" s="37"/>
      <c r="QEY40" s="37"/>
      <c r="QEZ40" s="37"/>
      <c r="QFA40" s="37"/>
      <c r="QFB40" s="37"/>
      <c r="QFC40" s="37"/>
      <c r="QFD40" s="37"/>
      <c r="QFE40" s="37"/>
      <c r="QFF40" s="37"/>
      <c r="QFG40" s="37"/>
      <c r="QFH40" s="37"/>
      <c r="QFI40" s="37"/>
      <c r="QFJ40" s="37"/>
      <c r="QFK40" s="37"/>
      <c r="QFL40" s="37"/>
      <c r="QFM40" s="37"/>
      <c r="QFN40" s="37"/>
      <c r="QFO40" s="37"/>
      <c r="QFP40" s="37"/>
      <c r="QFQ40" s="37"/>
      <c r="QFR40" s="37"/>
      <c r="QFS40" s="37"/>
      <c r="QFT40" s="37"/>
      <c r="QFU40" s="37"/>
      <c r="QFV40" s="37"/>
      <c r="QFW40" s="37"/>
      <c r="QFX40" s="37"/>
      <c r="QFY40" s="37"/>
      <c r="QFZ40" s="37"/>
      <c r="QGA40" s="37"/>
      <c r="QGB40" s="37"/>
      <c r="QGC40" s="37"/>
      <c r="QGD40" s="37"/>
      <c r="QGE40" s="37"/>
      <c r="QGF40" s="37"/>
      <c r="QGG40" s="37"/>
      <c r="QGH40" s="37"/>
      <c r="QGI40" s="37"/>
      <c r="QGJ40" s="37"/>
      <c r="QGK40" s="37"/>
      <c r="QGL40" s="37"/>
      <c r="QGM40" s="37"/>
      <c r="QGN40" s="37"/>
      <c r="QGO40" s="37"/>
      <c r="QGP40" s="37"/>
      <c r="QGQ40" s="37"/>
      <c r="QGR40" s="37"/>
      <c r="QGS40" s="37"/>
      <c r="QGT40" s="37"/>
      <c r="QGU40" s="37"/>
      <c r="QGV40" s="37"/>
      <c r="QGW40" s="37"/>
      <c r="QGX40" s="37"/>
      <c r="QGY40" s="37"/>
      <c r="QGZ40" s="37"/>
      <c r="QHA40" s="37"/>
      <c r="QHB40" s="37"/>
      <c r="QHC40" s="37"/>
      <c r="QHD40" s="37"/>
      <c r="QHE40" s="37"/>
      <c r="QHF40" s="37"/>
      <c r="QHG40" s="37"/>
      <c r="QHH40" s="37"/>
      <c r="QHI40" s="37"/>
      <c r="QHJ40" s="37"/>
      <c r="QHK40" s="37"/>
      <c r="QHL40" s="37"/>
      <c r="QHM40" s="37"/>
      <c r="QHN40" s="37"/>
      <c r="QHO40" s="37"/>
      <c r="QHP40" s="37"/>
      <c r="QHQ40" s="37"/>
      <c r="QHR40" s="37"/>
      <c r="QHS40" s="37"/>
      <c r="QHT40" s="37"/>
      <c r="QHU40" s="37"/>
      <c r="QHV40" s="37"/>
      <c r="QHW40" s="37"/>
      <c r="QHX40" s="37"/>
      <c r="QHY40" s="37"/>
      <c r="QHZ40" s="37"/>
      <c r="QIA40" s="37"/>
      <c r="QIB40" s="37"/>
      <c r="QIC40" s="37"/>
      <c r="QID40" s="37"/>
      <c r="QIE40" s="37"/>
      <c r="QIF40" s="37"/>
      <c r="QIG40" s="37"/>
      <c r="QIH40" s="37"/>
      <c r="QII40" s="37"/>
      <c r="QIJ40" s="37"/>
      <c r="QIK40" s="37"/>
      <c r="QIL40" s="37"/>
      <c r="QIM40" s="37"/>
      <c r="QIN40" s="37"/>
      <c r="QIO40" s="37"/>
      <c r="QIP40" s="37"/>
      <c r="QIQ40" s="37"/>
      <c r="QIR40" s="37"/>
      <c r="QIS40" s="37"/>
      <c r="QIT40" s="37"/>
      <c r="QIU40" s="37"/>
      <c r="QIV40" s="37"/>
      <c r="QIW40" s="37"/>
      <c r="QIX40" s="37"/>
      <c r="QIY40" s="37"/>
      <c r="QIZ40" s="37"/>
      <c r="QJA40" s="37"/>
      <c r="QJB40" s="37"/>
      <c r="QJC40" s="37"/>
      <c r="QJD40" s="37"/>
      <c r="QJE40" s="37"/>
      <c r="QJF40" s="37"/>
      <c r="QJG40" s="37"/>
      <c r="QJH40" s="37"/>
      <c r="QJI40" s="37"/>
      <c r="QJJ40" s="37"/>
      <c r="QJK40" s="37"/>
      <c r="QJL40" s="37"/>
      <c r="QJM40" s="37"/>
      <c r="QJN40" s="37"/>
      <c r="QJO40" s="37"/>
      <c r="QJP40" s="37"/>
      <c r="QJQ40" s="37"/>
      <c r="QJR40" s="37"/>
      <c r="QJS40" s="37"/>
      <c r="QJT40" s="37"/>
      <c r="QJU40" s="37"/>
      <c r="QJV40" s="37"/>
      <c r="QJW40" s="37"/>
      <c r="QJX40" s="37"/>
      <c r="QJY40" s="37"/>
      <c r="QJZ40" s="37"/>
      <c r="QKA40" s="37"/>
      <c r="QKB40" s="37"/>
      <c r="QKC40" s="37"/>
      <c r="QKD40" s="37"/>
      <c r="QKE40" s="37"/>
      <c r="QKF40" s="37"/>
      <c r="QKG40" s="37"/>
      <c r="QKH40" s="37"/>
      <c r="QKI40" s="37"/>
      <c r="QKJ40" s="37"/>
      <c r="QKK40" s="37"/>
      <c r="QKL40" s="37"/>
      <c r="QKM40" s="37"/>
      <c r="QKN40" s="37"/>
      <c r="QKO40" s="37"/>
      <c r="QKP40" s="37"/>
      <c r="QKQ40" s="37"/>
      <c r="QKR40" s="37"/>
      <c r="QKS40" s="37"/>
      <c r="QKT40" s="37"/>
      <c r="QKU40" s="37"/>
      <c r="QKV40" s="37"/>
      <c r="QKW40" s="37"/>
      <c r="QKX40" s="37"/>
      <c r="QKY40" s="37"/>
      <c r="QKZ40" s="37"/>
      <c r="QLA40" s="37"/>
      <c r="QLB40" s="37"/>
      <c r="QLC40" s="37"/>
      <c r="QLD40" s="37"/>
      <c r="QLE40" s="37"/>
      <c r="QLF40" s="37"/>
      <c r="QLG40" s="37"/>
      <c r="QLH40" s="37"/>
      <c r="QLI40" s="37"/>
      <c r="QLJ40" s="37"/>
      <c r="QLK40" s="37"/>
      <c r="QLL40" s="37"/>
      <c r="QLM40" s="37"/>
      <c r="QLN40" s="37"/>
      <c r="QLO40" s="37"/>
      <c r="QLP40" s="37"/>
      <c r="QLQ40" s="37"/>
      <c r="QLR40" s="37"/>
      <c r="QLS40" s="37"/>
      <c r="QLT40" s="37"/>
      <c r="QLU40" s="37"/>
      <c r="QLV40" s="37"/>
      <c r="QLW40" s="37"/>
      <c r="QLX40" s="37"/>
      <c r="QLY40" s="37"/>
      <c r="QLZ40" s="37"/>
      <c r="QMA40" s="37"/>
      <c r="QMB40" s="37"/>
      <c r="QMC40" s="37"/>
      <c r="QMD40" s="37"/>
      <c r="QME40" s="37"/>
      <c r="QMF40" s="37"/>
      <c r="QMG40" s="37"/>
      <c r="QMH40" s="37"/>
      <c r="QMI40" s="37"/>
      <c r="QMJ40" s="37"/>
      <c r="QMK40" s="37"/>
      <c r="QML40" s="37"/>
      <c r="QMM40" s="37"/>
      <c r="QMN40" s="37"/>
      <c r="QMO40" s="37"/>
      <c r="QMP40" s="37"/>
      <c r="QMQ40" s="37"/>
      <c r="QMR40" s="37"/>
      <c r="QMS40" s="37"/>
      <c r="QMT40" s="37"/>
      <c r="QMU40" s="37"/>
      <c r="QMV40" s="37"/>
      <c r="QMW40" s="37"/>
      <c r="QMX40" s="37"/>
      <c r="QMY40" s="37"/>
      <c r="QMZ40" s="37"/>
      <c r="QNA40" s="37"/>
      <c r="QNB40" s="37"/>
      <c r="QNC40" s="37"/>
      <c r="QND40" s="37"/>
      <c r="QNE40" s="37"/>
      <c r="QNF40" s="37"/>
      <c r="QNG40" s="37"/>
      <c r="QNH40" s="37"/>
      <c r="QNI40" s="37"/>
      <c r="QNJ40" s="37"/>
      <c r="QNK40" s="37"/>
      <c r="QNL40" s="37"/>
      <c r="QNM40" s="37"/>
      <c r="QNN40" s="37"/>
      <c r="QNO40" s="37"/>
      <c r="QNP40" s="37"/>
      <c r="QNQ40" s="37"/>
      <c r="QNR40" s="37"/>
      <c r="QNS40" s="37"/>
      <c r="QNT40" s="37"/>
      <c r="QNU40" s="37"/>
      <c r="QNV40" s="37"/>
      <c r="QNW40" s="37"/>
      <c r="QNX40" s="37"/>
      <c r="QNY40" s="37"/>
      <c r="QNZ40" s="37"/>
      <c r="QOA40" s="37"/>
      <c r="QOB40" s="37"/>
      <c r="QOC40" s="37"/>
      <c r="QOD40" s="37"/>
      <c r="QOE40" s="37"/>
      <c r="QOF40" s="37"/>
      <c r="QOG40" s="37"/>
      <c r="QOH40" s="37"/>
      <c r="QOI40" s="37"/>
      <c r="QOJ40" s="37"/>
      <c r="QOK40" s="37"/>
      <c r="QOL40" s="37"/>
      <c r="QOM40" s="37"/>
      <c r="QON40" s="37"/>
      <c r="QOO40" s="37"/>
      <c r="QOP40" s="37"/>
      <c r="QOQ40" s="37"/>
      <c r="QOR40" s="37"/>
      <c r="QOS40" s="37"/>
      <c r="QOT40" s="37"/>
      <c r="QOU40" s="37"/>
      <c r="QOV40" s="37"/>
      <c r="QOW40" s="37"/>
      <c r="QOX40" s="37"/>
      <c r="QOY40" s="37"/>
      <c r="QOZ40" s="37"/>
      <c r="QPA40" s="37"/>
      <c r="QPB40" s="37"/>
      <c r="QPC40" s="37"/>
      <c r="QPD40" s="37"/>
      <c r="QPE40" s="37"/>
      <c r="QPF40" s="37"/>
      <c r="QPG40" s="37"/>
      <c r="QPH40" s="37"/>
      <c r="QPI40" s="37"/>
      <c r="QPJ40" s="37"/>
      <c r="QPK40" s="37"/>
      <c r="QPL40" s="37"/>
      <c r="QPM40" s="37"/>
      <c r="QPN40" s="37"/>
      <c r="QPO40" s="37"/>
      <c r="QPP40" s="37"/>
      <c r="QPQ40" s="37"/>
      <c r="QPR40" s="37"/>
      <c r="QPS40" s="37"/>
      <c r="QPT40" s="37"/>
      <c r="QPU40" s="37"/>
      <c r="QPV40" s="37"/>
      <c r="QPW40" s="37"/>
      <c r="QPX40" s="37"/>
      <c r="QPY40" s="37"/>
      <c r="QPZ40" s="37"/>
      <c r="QQA40" s="37"/>
      <c r="QQB40" s="37"/>
      <c r="QQC40" s="37"/>
      <c r="QQD40" s="37"/>
      <c r="QQE40" s="37"/>
      <c r="QQF40" s="37"/>
      <c r="QQG40" s="37"/>
      <c r="QQH40" s="37"/>
      <c r="QQI40" s="37"/>
      <c r="QQJ40" s="37"/>
      <c r="QQK40" s="37"/>
      <c r="QQL40" s="37"/>
      <c r="QQM40" s="37"/>
      <c r="QQN40" s="37"/>
      <c r="QQO40" s="37"/>
      <c r="QQP40" s="37"/>
      <c r="QQQ40" s="37"/>
      <c r="QQR40" s="37"/>
      <c r="QQS40" s="37"/>
      <c r="QQT40" s="37"/>
      <c r="QQU40" s="37"/>
      <c r="QQV40" s="37"/>
      <c r="QQW40" s="37"/>
      <c r="QQX40" s="37"/>
      <c r="QQY40" s="37"/>
      <c r="QQZ40" s="37"/>
      <c r="QRA40" s="37"/>
      <c r="QRB40" s="37"/>
      <c r="QRC40" s="37"/>
      <c r="QRD40" s="37"/>
      <c r="QRE40" s="37"/>
      <c r="QRF40" s="37"/>
      <c r="QRG40" s="37"/>
      <c r="QRH40" s="37"/>
      <c r="QRI40" s="37"/>
      <c r="QRJ40" s="37"/>
      <c r="QRK40" s="37"/>
      <c r="QRL40" s="37"/>
      <c r="QRM40" s="37"/>
      <c r="QRN40" s="37"/>
      <c r="QRO40" s="37"/>
      <c r="QRP40" s="37"/>
      <c r="QRQ40" s="37"/>
      <c r="QRR40" s="37"/>
      <c r="QRS40" s="37"/>
      <c r="QRT40" s="37"/>
      <c r="QRU40" s="37"/>
      <c r="QRV40" s="37"/>
      <c r="QRW40" s="37"/>
      <c r="QRX40" s="37"/>
      <c r="QRY40" s="37"/>
      <c r="QRZ40" s="37"/>
      <c r="QSA40" s="37"/>
      <c r="QSB40" s="37"/>
      <c r="QSC40" s="37"/>
      <c r="QSD40" s="37"/>
      <c r="QSE40" s="37"/>
      <c r="QSF40" s="37"/>
      <c r="QSG40" s="37"/>
      <c r="QSH40" s="37"/>
      <c r="QSI40" s="37"/>
      <c r="QSJ40" s="37"/>
      <c r="QSK40" s="37"/>
      <c r="QSL40" s="37"/>
      <c r="QSM40" s="37"/>
      <c r="QSN40" s="37"/>
      <c r="QSO40" s="37"/>
      <c r="QSP40" s="37"/>
      <c r="QSQ40" s="37"/>
      <c r="QSR40" s="37"/>
      <c r="QSS40" s="37"/>
      <c r="QST40" s="37"/>
      <c r="QSU40" s="37"/>
      <c r="QSV40" s="37"/>
      <c r="QSW40" s="37"/>
      <c r="QSX40" s="37"/>
      <c r="QSY40" s="37"/>
      <c r="QSZ40" s="37"/>
      <c r="QTA40" s="37"/>
      <c r="QTB40" s="37"/>
      <c r="QTC40" s="37"/>
      <c r="QTD40" s="37"/>
      <c r="QTE40" s="37"/>
      <c r="QTF40" s="37"/>
      <c r="QTG40" s="37"/>
      <c r="QTH40" s="37"/>
      <c r="QTI40" s="37"/>
      <c r="QTJ40" s="37"/>
      <c r="QTK40" s="37"/>
      <c r="QTL40" s="37"/>
      <c r="QTM40" s="37"/>
      <c r="QTN40" s="37"/>
      <c r="QTO40" s="37"/>
      <c r="QTP40" s="37"/>
      <c r="QTQ40" s="37"/>
      <c r="QTR40" s="37"/>
      <c r="QTS40" s="37"/>
      <c r="QTT40" s="37"/>
      <c r="QTU40" s="37"/>
      <c r="QTV40" s="37"/>
      <c r="QTW40" s="37"/>
      <c r="QTX40" s="37"/>
      <c r="QTY40" s="37"/>
      <c r="QTZ40" s="37"/>
      <c r="QUA40" s="37"/>
      <c r="QUB40" s="37"/>
      <c r="QUC40" s="37"/>
      <c r="QUD40" s="37"/>
      <c r="QUE40" s="37"/>
      <c r="QUF40" s="37"/>
      <c r="QUG40" s="37"/>
      <c r="QUH40" s="37"/>
      <c r="QUI40" s="37"/>
      <c r="QUJ40" s="37"/>
      <c r="QUK40" s="37"/>
      <c r="QUL40" s="37"/>
      <c r="QUM40" s="37"/>
      <c r="QUN40" s="37"/>
      <c r="QUO40" s="37"/>
      <c r="QUP40" s="37"/>
      <c r="QUQ40" s="37"/>
      <c r="QUR40" s="37"/>
      <c r="QUS40" s="37"/>
      <c r="QUT40" s="37"/>
      <c r="QUU40" s="37"/>
      <c r="QUV40" s="37"/>
      <c r="QUW40" s="37"/>
      <c r="QUX40" s="37"/>
      <c r="QUY40" s="37"/>
      <c r="QUZ40" s="37"/>
      <c r="QVA40" s="37"/>
      <c r="QVB40" s="37"/>
      <c r="QVC40" s="37"/>
      <c r="QVD40" s="37"/>
      <c r="QVE40" s="37"/>
      <c r="QVF40" s="37"/>
      <c r="QVG40" s="37"/>
      <c r="QVH40" s="37"/>
      <c r="QVI40" s="37"/>
      <c r="QVJ40" s="37"/>
      <c r="QVK40" s="37"/>
      <c r="QVL40" s="37"/>
      <c r="QVM40" s="37"/>
      <c r="QVN40" s="37"/>
      <c r="QVO40" s="37"/>
      <c r="QVP40" s="37"/>
      <c r="QVQ40" s="37"/>
      <c r="QVR40" s="37"/>
      <c r="QVS40" s="37"/>
      <c r="QVT40" s="37"/>
      <c r="QVU40" s="37"/>
      <c r="QVV40" s="37"/>
      <c r="QVW40" s="37"/>
      <c r="QVX40" s="37"/>
      <c r="QVY40" s="37"/>
      <c r="QVZ40" s="37"/>
      <c r="QWA40" s="37"/>
      <c r="QWB40" s="37"/>
      <c r="QWC40" s="37"/>
      <c r="QWD40" s="37"/>
      <c r="QWE40" s="37"/>
      <c r="QWF40" s="37"/>
      <c r="QWG40" s="37"/>
      <c r="QWH40" s="37"/>
      <c r="QWI40" s="37"/>
      <c r="QWJ40" s="37"/>
      <c r="QWK40" s="37"/>
      <c r="QWL40" s="37"/>
      <c r="QWM40" s="37"/>
      <c r="QWN40" s="37"/>
      <c r="QWO40" s="37"/>
      <c r="QWP40" s="37"/>
      <c r="QWQ40" s="37"/>
      <c r="QWR40" s="37"/>
      <c r="QWS40" s="37"/>
      <c r="QWT40" s="37"/>
      <c r="QWU40" s="37"/>
      <c r="QWV40" s="37"/>
      <c r="QWW40" s="37"/>
      <c r="QWX40" s="37"/>
      <c r="QWY40" s="37"/>
      <c r="QWZ40" s="37"/>
      <c r="QXA40" s="37"/>
      <c r="QXB40" s="37"/>
      <c r="QXC40" s="37"/>
      <c r="QXD40" s="37"/>
      <c r="QXE40" s="37"/>
      <c r="QXF40" s="37"/>
      <c r="QXG40" s="37"/>
      <c r="QXH40" s="37"/>
      <c r="QXI40" s="37"/>
      <c r="QXJ40" s="37"/>
      <c r="QXK40" s="37"/>
      <c r="QXL40" s="37"/>
      <c r="QXM40" s="37"/>
      <c r="QXN40" s="37"/>
      <c r="QXO40" s="37"/>
      <c r="QXP40" s="37"/>
      <c r="QXQ40" s="37"/>
      <c r="QXR40" s="37"/>
      <c r="QXS40" s="37"/>
      <c r="QXT40" s="37"/>
      <c r="QXU40" s="37"/>
      <c r="QXV40" s="37"/>
      <c r="QXW40" s="37"/>
      <c r="QXX40" s="37"/>
      <c r="QXY40" s="37"/>
      <c r="QXZ40" s="37"/>
      <c r="QYA40" s="37"/>
      <c r="QYB40" s="37"/>
      <c r="QYC40" s="37"/>
      <c r="QYD40" s="37"/>
      <c r="QYE40" s="37"/>
      <c r="QYF40" s="37"/>
      <c r="QYG40" s="37"/>
      <c r="QYH40" s="37"/>
      <c r="QYI40" s="37"/>
      <c r="QYJ40" s="37"/>
      <c r="QYK40" s="37"/>
      <c r="QYL40" s="37"/>
      <c r="QYM40" s="37"/>
      <c r="QYN40" s="37"/>
      <c r="QYO40" s="37"/>
      <c r="QYP40" s="37"/>
      <c r="QYQ40" s="37"/>
      <c r="QYR40" s="37"/>
      <c r="QYS40" s="37"/>
      <c r="QYT40" s="37"/>
      <c r="QYU40" s="37"/>
      <c r="QYV40" s="37"/>
      <c r="QYW40" s="37"/>
      <c r="QYX40" s="37"/>
      <c r="QYY40" s="37"/>
      <c r="QYZ40" s="37"/>
      <c r="QZA40" s="37"/>
      <c r="QZB40" s="37"/>
      <c r="QZC40" s="37"/>
      <c r="QZD40" s="37"/>
      <c r="QZE40" s="37"/>
      <c r="QZF40" s="37"/>
      <c r="QZG40" s="37"/>
      <c r="QZH40" s="37"/>
      <c r="QZI40" s="37"/>
      <c r="QZJ40" s="37"/>
      <c r="QZK40" s="37"/>
      <c r="QZL40" s="37"/>
      <c r="QZM40" s="37"/>
      <c r="QZN40" s="37"/>
      <c r="QZO40" s="37"/>
      <c r="QZP40" s="37"/>
      <c r="QZQ40" s="37"/>
      <c r="QZR40" s="37"/>
      <c r="QZS40" s="37"/>
      <c r="QZT40" s="37"/>
      <c r="QZU40" s="37"/>
      <c r="QZV40" s="37"/>
      <c r="QZW40" s="37"/>
      <c r="QZX40" s="37"/>
      <c r="QZY40" s="37"/>
      <c r="QZZ40" s="37"/>
      <c r="RAA40" s="37"/>
      <c r="RAB40" s="37"/>
      <c r="RAC40" s="37"/>
      <c r="RAD40" s="37"/>
      <c r="RAE40" s="37"/>
      <c r="RAF40" s="37"/>
      <c r="RAG40" s="37"/>
      <c r="RAH40" s="37"/>
      <c r="RAI40" s="37"/>
      <c r="RAJ40" s="37"/>
      <c r="RAK40" s="37"/>
      <c r="RAL40" s="37"/>
      <c r="RAM40" s="37"/>
      <c r="RAN40" s="37"/>
      <c r="RAO40" s="37"/>
      <c r="RAP40" s="37"/>
      <c r="RAQ40" s="37"/>
      <c r="RAR40" s="37"/>
      <c r="RAS40" s="37"/>
      <c r="RAT40" s="37"/>
      <c r="RAU40" s="37"/>
      <c r="RAV40" s="37"/>
      <c r="RAW40" s="37"/>
      <c r="RAX40" s="37"/>
      <c r="RAY40" s="37"/>
      <c r="RAZ40" s="37"/>
      <c r="RBA40" s="37"/>
      <c r="RBB40" s="37"/>
      <c r="RBC40" s="37"/>
      <c r="RBD40" s="37"/>
      <c r="RBE40" s="37"/>
      <c r="RBF40" s="37"/>
      <c r="RBG40" s="37"/>
      <c r="RBH40" s="37"/>
      <c r="RBI40" s="37"/>
      <c r="RBJ40" s="37"/>
      <c r="RBK40" s="37"/>
      <c r="RBL40" s="37"/>
      <c r="RBM40" s="37"/>
      <c r="RBN40" s="37"/>
      <c r="RBO40" s="37"/>
      <c r="RBP40" s="37"/>
      <c r="RBQ40" s="37"/>
      <c r="RBR40" s="37"/>
      <c r="RBS40" s="37"/>
      <c r="RBT40" s="37"/>
      <c r="RBU40" s="37"/>
      <c r="RBV40" s="37"/>
      <c r="RBW40" s="37"/>
      <c r="RBX40" s="37"/>
      <c r="RBY40" s="37"/>
      <c r="RBZ40" s="37"/>
      <c r="RCA40" s="37"/>
      <c r="RCB40" s="37"/>
      <c r="RCC40" s="37"/>
      <c r="RCD40" s="37"/>
      <c r="RCE40" s="37"/>
      <c r="RCF40" s="37"/>
      <c r="RCG40" s="37"/>
      <c r="RCH40" s="37"/>
      <c r="RCI40" s="37"/>
      <c r="RCJ40" s="37"/>
      <c r="RCK40" s="37"/>
      <c r="RCL40" s="37"/>
      <c r="RCM40" s="37"/>
      <c r="RCN40" s="37"/>
      <c r="RCO40" s="37"/>
      <c r="RCP40" s="37"/>
      <c r="RCQ40" s="37"/>
      <c r="RCR40" s="37"/>
      <c r="RCS40" s="37"/>
      <c r="RCT40" s="37"/>
      <c r="RCU40" s="37"/>
      <c r="RCV40" s="37"/>
      <c r="RCW40" s="37"/>
      <c r="RCX40" s="37"/>
      <c r="RCY40" s="37"/>
      <c r="RCZ40" s="37"/>
      <c r="RDA40" s="37"/>
      <c r="RDB40" s="37"/>
      <c r="RDC40" s="37"/>
      <c r="RDD40" s="37"/>
      <c r="RDE40" s="37"/>
      <c r="RDF40" s="37"/>
      <c r="RDG40" s="37"/>
      <c r="RDH40" s="37"/>
      <c r="RDI40" s="37"/>
      <c r="RDJ40" s="37"/>
      <c r="RDK40" s="37"/>
      <c r="RDL40" s="37"/>
      <c r="RDM40" s="37"/>
      <c r="RDN40" s="37"/>
      <c r="RDO40" s="37"/>
      <c r="RDP40" s="37"/>
      <c r="RDQ40" s="37"/>
      <c r="RDR40" s="37"/>
      <c r="RDS40" s="37"/>
      <c r="RDT40" s="37"/>
      <c r="RDU40" s="37"/>
      <c r="RDV40" s="37"/>
      <c r="RDW40" s="37"/>
      <c r="RDX40" s="37"/>
      <c r="RDY40" s="37"/>
      <c r="RDZ40" s="37"/>
      <c r="REA40" s="37"/>
      <c r="REB40" s="37"/>
      <c r="REC40" s="37"/>
      <c r="RED40" s="37"/>
      <c r="REE40" s="37"/>
      <c r="REF40" s="37"/>
      <c r="REG40" s="37"/>
      <c r="REH40" s="37"/>
      <c r="REI40" s="37"/>
      <c r="REJ40" s="37"/>
      <c r="REK40" s="37"/>
      <c r="REL40" s="37"/>
      <c r="REM40" s="37"/>
      <c r="REN40" s="37"/>
      <c r="REO40" s="37"/>
      <c r="REP40" s="37"/>
      <c r="REQ40" s="37"/>
      <c r="RER40" s="37"/>
      <c r="RES40" s="37"/>
      <c r="RET40" s="37"/>
      <c r="REU40" s="37"/>
      <c r="REV40" s="37"/>
      <c r="REW40" s="37"/>
      <c r="REX40" s="37"/>
      <c r="REY40" s="37"/>
      <c r="REZ40" s="37"/>
      <c r="RFA40" s="37"/>
      <c r="RFB40" s="37"/>
      <c r="RFC40" s="37"/>
      <c r="RFD40" s="37"/>
      <c r="RFE40" s="37"/>
      <c r="RFF40" s="37"/>
      <c r="RFG40" s="37"/>
      <c r="RFH40" s="37"/>
      <c r="RFI40" s="37"/>
      <c r="RFJ40" s="37"/>
      <c r="RFK40" s="37"/>
      <c r="RFL40" s="37"/>
      <c r="RFM40" s="37"/>
      <c r="RFN40" s="37"/>
      <c r="RFO40" s="37"/>
      <c r="RFP40" s="37"/>
      <c r="RFQ40" s="37"/>
      <c r="RFR40" s="37"/>
      <c r="RFS40" s="37"/>
      <c r="RFT40" s="37"/>
      <c r="RFU40" s="37"/>
      <c r="RFV40" s="37"/>
      <c r="RFW40" s="37"/>
      <c r="RFX40" s="37"/>
      <c r="RFY40" s="37"/>
      <c r="RFZ40" s="37"/>
      <c r="RGA40" s="37"/>
      <c r="RGB40" s="37"/>
      <c r="RGC40" s="37"/>
      <c r="RGD40" s="37"/>
      <c r="RGE40" s="37"/>
      <c r="RGF40" s="37"/>
      <c r="RGG40" s="37"/>
      <c r="RGH40" s="37"/>
      <c r="RGI40" s="37"/>
      <c r="RGJ40" s="37"/>
      <c r="RGK40" s="37"/>
      <c r="RGL40" s="37"/>
      <c r="RGM40" s="37"/>
      <c r="RGN40" s="37"/>
      <c r="RGO40" s="37"/>
      <c r="RGP40" s="37"/>
      <c r="RGQ40" s="37"/>
      <c r="RGR40" s="37"/>
      <c r="RGS40" s="37"/>
      <c r="RGT40" s="37"/>
      <c r="RGU40" s="37"/>
      <c r="RGV40" s="37"/>
      <c r="RGW40" s="37"/>
      <c r="RGX40" s="37"/>
      <c r="RGY40" s="37"/>
      <c r="RGZ40" s="37"/>
      <c r="RHA40" s="37"/>
      <c r="RHB40" s="37"/>
      <c r="RHC40" s="37"/>
      <c r="RHD40" s="37"/>
      <c r="RHE40" s="37"/>
      <c r="RHF40" s="37"/>
      <c r="RHG40" s="37"/>
      <c r="RHH40" s="37"/>
      <c r="RHI40" s="37"/>
      <c r="RHJ40" s="37"/>
      <c r="RHK40" s="37"/>
      <c r="RHL40" s="37"/>
      <c r="RHM40" s="37"/>
      <c r="RHN40" s="37"/>
      <c r="RHO40" s="37"/>
      <c r="RHP40" s="37"/>
      <c r="RHQ40" s="37"/>
      <c r="RHR40" s="37"/>
      <c r="RHS40" s="37"/>
      <c r="RHT40" s="37"/>
      <c r="RHU40" s="37"/>
      <c r="RHV40" s="37"/>
      <c r="RHW40" s="37"/>
      <c r="RHX40" s="37"/>
      <c r="RHY40" s="37"/>
      <c r="RHZ40" s="37"/>
      <c r="RIA40" s="37"/>
      <c r="RIB40" s="37"/>
      <c r="RIC40" s="37"/>
      <c r="RID40" s="37"/>
      <c r="RIE40" s="37"/>
      <c r="RIF40" s="37"/>
      <c r="RIG40" s="37"/>
      <c r="RIH40" s="37"/>
      <c r="RII40" s="37"/>
      <c r="RIJ40" s="37"/>
      <c r="RIK40" s="37"/>
      <c r="RIL40" s="37"/>
      <c r="RIM40" s="37"/>
      <c r="RIN40" s="37"/>
      <c r="RIO40" s="37"/>
      <c r="RIP40" s="37"/>
      <c r="RIQ40" s="37"/>
      <c r="RIR40" s="37"/>
      <c r="RIS40" s="37"/>
      <c r="RIT40" s="37"/>
      <c r="RIU40" s="37"/>
      <c r="RIV40" s="37"/>
      <c r="RIW40" s="37"/>
      <c r="RIX40" s="37"/>
      <c r="RIY40" s="37"/>
      <c r="RIZ40" s="37"/>
      <c r="RJA40" s="37"/>
      <c r="RJB40" s="37"/>
      <c r="RJC40" s="37"/>
      <c r="RJD40" s="37"/>
      <c r="RJE40" s="37"/>
      <c r="RJF40" s="37"/>
      <c r="RJG40" s="37"/>
      <c r="RJH40" s="37"/>
      <c r="RJI40" s="37"/>
      <c r="RJJ40" s="37"/>
      <c r="RJK40" s="37"/>
      <c r="RJL40" s="37"/>
      <c r="RJM40" s="37"/>
      <c r="RJN40" s="37"/>
      <c r="RJO40" s="37"/>
      <c r="RJP40" s="37"/>
      <c r="RJQ40" s="37"/>
      <c r="RJR40" s="37"/>
      <c r="RJS40" s="37"/>
      <c r="RJT40" s="37"/>
      <c r="RJU40" s="37"/>
      <c r="RJV40" s="37"/>
      <c r="RJW40" s="37"/>
      <c r="RJX40" s="37"/>
      <c r="RJY40" s="37"/>
      <c r="RJZ40" s="37"/>
      <c r="RKA40" s="37"/>
      <c r="RKB40" s="37"/>
      <c r="RKC40" s="37"/>
      <c r="RKD40" s="37"/>
      <c r="RKE40" s="37"/>
      <c r="RKF40" s="37"/>
      <c r="RKG40" s="37"/>
      <c r="RKH40" s="37"/>
      <c r="RKI40" s="37"/>
      <c r="RKJ40" s="37"/>
      <c r="RKK40" s="37"/>
      <c r="RKL40" s="37"/>
      <c r="RKM40" s="37"/>
      <c r="RKN40" s="37"/>
      <c r="RKO40" s="37"/>
      <c r="RKP40" s="37"/>
      <c r="RKQ40" s="37"/>
      <c r="RKR40" s="37"/>
      <c r="RKS40" s="37"/>
      <c r="RKT40" s="37"/>
      <c r="RKU40" s="37"/>
      <c r="RKV40" s="37"/>
      <c r="RKW40" s="37"/>
      <c r="RKX40" s="37"/>
      <c r="RKY40" s="37"/>
      <c r="RKZ40" s="37"/>
      <c r="RLA40" s="37"/>
      <c r="RLB40" s="37"/>
      <c r="RLC40" s="37"/>
      <c r="RLD40" s="37"/>
      <c r="RLE40" s="37"/>
      <c r="RLF40" s="37"/>
      <c r="RLG40" s="37"/>
      <c r="RLH40" s="37"/>
      <c r="RLI40" s="37"/>
      <c r="RLJ40" s="37"/>
      <c r="RLK40" s="37"/>
      <c r="RLL40" s="37"/>
      <c r="RLM40" s="37"/>
      <c r="RLN40" s="37"/>
      <c r="RLO40" s="37"/>
      <c r="RLP40" s="37"/>
      <c r="RLQ40" s="37"/>
      <c r="RLR40" s="37"/>
      <c r="RLS40" s="37"/>
      <c r="RLT40" s="37"/>
      <c r="RLU40" s="37"/>
      <c r="RLV40" s="37"/>
      <c r="RLW40" s="37"/>
      <c r="RLX40" s="37"/>
      <c r="RLY40" s="37"/>
      <c r="RLZ40" s="37"/>
      <c r="RMA40" s="37"/>
      <c r="RMB40" s="37"/>
      <c r="RMC40" s="37"/>
      <c r="RMD40" s="37"/>
      <c r="RME40" s="37"/>
      <c r="RMF40" s="37"/>
      <c r="RMG40" s="37"/>
      <c r="RMH40" s="37"/>
      <c r="RMI40" s="37"/>
      <c r="RMJ40" s="37"/>
      <c r="RMK40" s="37"/>
      <c r="RML40" s="37"/>
      <c r="RMM40" s="37"/>
      <c r="RMN40" s="37"/>
      <c r="RMO40" s="37"/>
      <c r="RMP40" s="37"/>
      <c r="RMQ40" s="37"/>
      <c r="RMR40" s="37"/>
      <c r="RMS40" s="37"/>
      <c r="RMT40" s="37"/>
      <c r="RMU40" s="37"/>
      <c r="RMV40" s="37"/>
      <c r="RMW40" s="37"/>
      <c r="RMX40" s="37"/>
      <c r="RMY40" s="37"/>
      <c r="RMZ40" s="37"/>
      <c r="RNA40" s="37"/>
      <c r="RNB40" s="37"/>
      <c r="RNC40" s="37"/>
      <c r="RND40" s="37"/>
      <c r="RNE40" s="37"/>
      <c r="RNF40" s="37"/>
      <c r="RNG40" s="37"/>
      <c r="RNH40" s="37"/>
      <c r="RNI40" s="37"/>
      <c r="RNJ40" s="37"/>
      <c r="RNK40" s="37"/>
      <c r="RNL40" s="37"/>
      <c r="RNM40" s="37"/>
      <c r="RNN40" s="37"/>
      <c r="RNO40" s="37"/>
      <c r="RNP40" s="37"/>
      <c r="RNQ40" s="37"/>
      <c r="RNR40" s="37"/>
      <c r="RNS40" s="37"/>
      <c r="RNT40" s="37"/>
      <c r="RNU40" s="37"/>
      <c r="RNV40" s="37"/>
      <c r="RNW40" s="37"/>
      <c r="RNX40" s="37"/>
      <c r="RNY40" s="37"/>
      <c r="RNZ40" s="37"/>
      <c r="ROA40" s="37"/>
      <c r="ROB40" s="37"/>
      <c r="ROC40" s="37"/>
      <c r="ROD40" s="37"/>
      <c r="ROE40" s="37"/>
      <c r="ROF40" s="37"/>
      <c r="ROG40" s="37"/>
      <c r="ROH40" s="37"/>
      <c r="ROI40" s="37"/>
      <c r="ROJ40" s="37"/>
      <c r="ROK40" s="37"/>
      <c r="ROL40" s="37"/>
      <c r="ROM40" s="37"/>
      <c r="RON40" s="37"/>
      <c r="ROO40" s="37"/>
      <c r="ROP40" s="37"/>
      <c r="ROQ40" s="37"/>
      <c r="ROR40" s="37"/>
      <c r="ROS40" s="37"/>
      <c r="ROT40" s="37"/>
      <c r="ROU40" s="37"/>
      <c r="ROV40" s="37"/>
      <c r="ROW40" s="37"/>
      <c r="ROX40" s="37"/>
      <c r="ROY40" s="37"/>
      <c r="ROZ40" s="37"/>
      <c r="RPA40" s="37"/>
      <c r="RPB40" s="37"/>
      <c r="RPC40" s="37"/>
      <c r="RPD40" s="37"/>
      <c r="RPE40" s="37"/>
      <c r="RPF40" s="37"/>
      <c r="RPG40" s="37"/>
      <c r="RPH40" s="37"/>
      <c r="RPI40" s="37"/>
      <c r="RPJ40" s="37"/>
      <c r="RPK40" s="37"/>
      <c r="RPL40" s="37"/>
      <c r="RPM40" s="37"/>
      <c r="RPN40" s="37"/>
      <c r="RPO40" s="37"/>
      <c r="RPP40" s="37"/>
      <c r="RPQ40" s="37"/>
      <c r="RPR40" s="37"/>
      <c r="RPS40" s="37"/>
      <c r="RPT40" s="37"/>
      <c r="RPU40" s="37"/>
      <c r="RPV40" s="37"/>
      <c r="RPW40" s="37"/>
      <c r="RPX40" s="37"/>
      <c r="RPY40" s="37"/>
      <c r="RPZ40" s="37"/>
      <c r="RQA40" s="37"/>
      <c r="RQB40" s="37"/>
      <c r="RQC40" s="37"/>
      <c r="RQD40" s="37"/>
      <c r="RQE40" s="37"/>
      <c r="RQF40" s="37"/>
      <c r="RQG40" s="37"/>
      <c r="RQH40" s="37"/>
      <c r="RQI40" s="37"/>
      <c r="RQJ40" s="37"/>
      <c r="RQK40" s="37"/>
      <c r="RQL40" s="37"/>
      <c r="RQM40" s="37"/>
      <c r="RQN40" s="37"/>
      <c r="RQO40" s="37"/>
      <c r="RQP40" s="37"/>
      <c r="RQQ40" s="37"/>
      <c r="RQR40" s="37"/>
      <c r="RQS40" s="37"/>
      <c r="RQT40" s="37"/>
      <c r="RQU40" s="37"/>
      <c r="RQV40" s="37"/>
      <c r="RQW40" s="37"/>
      <c r="RQX40" s="37"/>
      <c r="RQY40" s="37"/>
      <c r="RQZ40" s="37"/>
      <c r="RRA40" s="37"/>
      <c r="RRB40" s="37"/>
      <c r="RRC40" s="37"/>
      <c r="RRD40" s="37"/>
      <c r="RRE40" s="37"/>
      <c r="RRF40" s="37"/>
      <c r="RRG40" s="37"/>
      <c r="RRH40" s="37"/>
      <c r="RRI40" s="37"/>
      <c r="RRJ40" s="37"/>
      <c r="RRK40" s="37"/>
      <c r="RRL40" s="37"/>
      <c r="RRM40" s="37"/>
      <c r="RRN40" s="37"/>
      <c r="RRO40" s="37"/>
      <c r="RRP40" s="37"/>
      <c r="RRQ40" s="37"/>
      <c r="RRR40" s="37"/>
      <c r="RRS40" s="37"/>
      <c r="RRT40" s="37"/>
      <c r="RRU40" s="37"/>
      <c r="RRV40" s="37"/>
      <c r="RRW40" s="37"/>
      <c r="RRX40" s="37"/>
      <c r="RRY40" s="37"/>
      <c r="RRZ40" s="37"/>
      <c r="RSA40" s="37"/>
      <c r="RSB40" s="37"/>
      <c r="RSC40" s="37"/>
      <c r="RSD40" s="37"/>
      <c r="RSE40" s="37"/>
      <c r="RSF40" s="37"/>
      <c r="RSG40" s="37"/>
      <c r="RSH40" s="37"/>
      <c r="RSI40" s="37"/>
      <c r="RSJ40" s="37"/>
      <c r="RSK40" s="37"/>
      <c r="RSL40" s="37"/>
      <c r="RSM40" s="37"/>
      <c r="RSN40" s="37"/>
      <c r="RSO40" s="37"/>
      <c r="RSP40" s="37"/>
      <c r="RSQ40" s="37"/>
      <c r="RSR40" s="37"/>
      <c r="RSS40" s="37"/>
      <c r="RST40" s="37"/>
      <c r="RSU40" s="37"/>
      <c r="RSV40" s="37"/>
      <c r="RSW40" s="37"/>
      <c r="RSX40" s="37"/>
      <c r="RSY40" s="37"/>
      <c r="RSZ40" s="37"/>
      <c r="RTA40" s="37"/>
      <c r="RTB40" s="37"/>
      <c r="RTC40" s="37"/>
      <c r="RTD40" s="37"/>
      <c r="RTE40" s="37"/>
      <c r="RTF40" s="37"/>
      <c r="RTG40" s="37"/>
      <c r="RTH40" s="37"/>
      <c r="RTI40" s="37"/>
      <c r="RTJ40" s="37"/>
      <c r="RTK40" s="37"/>
      <c r="RTL40" s="37"/>
      <c r="RTM40" s="37"/>
      <c r="RTN40" s="37"/>
      <c r="RTO40" s="37"/>
      <c r="RTP40" s="37"/>
      <c r="RTQ40" s="37"/>
      <c r="RTR40" s="37"/>
      <c r="RTS40" s="37"/>
      <c r="RTT40" s="37"/>
      <c r="RTU40" s="37"/>
      <c r="RTV40" s="37"/>
      <c r="RTW40" s="37"/>
      <c r="RTX40" s="37"/>
      <c r="RTY40" s="37"/>
      <c r="RTZ40" s="37"/>
      <c r="RUA40" s="37"/>
      <c r="RUB40" s="37"/>
      <c r="RUC40" s="37"/>
      <c r="RUD40" s="37"/>
      <c r="RUE40" s="37"/>
      <c r="RUF40" s="37"/>
      <c r="RUG40" s="37"/>
      <c r="RUH40" s="37"/>
      <c r="RUI40" s="37"/>
      <c r="RUJ40" s="37"/>
      <c r="RUK40" s="37"/>
      <c r="RUL40" s="37"/>
      <c r="RUM40" s="37"/>
      <c r="RUN40" s="37"/>
      <c r="RUO40" s="37"/>
      <c r="RUP40" s="37"/>
      <c r="RUQ40" s="37"/>
      <c r="RUR40" s="37"/>
      <c r="RUS40" s="37"/>
      <c r="RUT40" s="37"/>
      <c r="RUU40" s="37"/>
      <c r="RUV40" s="37"/>
      <c r="RUW40" s="37"/>
      <c r="RUX40" s="37"/>
      <c r="RUY40" s="37"/>
      <c r="RUZ40" s="37"/>
      <c r="RVA40" s="37"/>
      <c r="RVB40" s="37"/>
      <c r="RVC40" s="37"/>
      <c r="RVD40" s="37"/>
      <c r="RVE40" s="37"/>
      <c r="RVF40" s="37"/>
      <c r="RVG40" s="37"/>
      <c r="RVH40" s="37"/>
      <c r="RVI40" s="37"/>
      <c r="RVJ40" s="37"/>
      <c r="RVK40" s="37"/>
      <c r="RVL40" s="37"/>
      <c r="RVM40" s="37"/>
      <c r="RVN40" s="37"/>
      <c r="RVO40" s="37"/>
      <c r="RVP40" s="37"/>
      <c r="RVQ40" s="37"/>
      <c r="RVR40" s="37"/>
      <c r="RVS40" s="37"/>
      <c r="RVT40" s="37"/>
      <c r="RVU40" s="37"/>
      <c r="RVV40" s="37"/>
      <c r="RVW40" s="37"/>
      <c r="RVX40" s="37"/>
      <c r="RVY40" s="37"/>
      <c r="RVZ40" s="37"/>
      <c r="RWA40" s="37"/>
      <c r="RWB40" s="37"/>
      <c r="RWC40" s="37"/>
      <c r="RWD40" s="37"/>
      <c r="RWE40" s="37"/>
      <c r="RWF40" s="37"/>
      <c r="RWG40" s="37"/>
      <c r="RWH40" s="37"/>
      <c r="RWI40" s="37"/>
      <c r="RWJ40" s="37"/>
      <c r="RWK40" s="37"/>
      <c r="RWL40" s="37"/>
      <c r="RWM40" s="37"/>
      <c r="RWN40" s="37"/>
      <c r="RWO40" s="37"/>
      <c r="RWP40" s="37"/>
      <c r="RWQ40" s="37"/>
      <c r="RWR40" s="37"/>
      <c r="RWS40" s="37"/>
      <c r="RWT40" s="37"/>
      <c r="RWU40" s="37"/>
      <c r="RWV40" s="37"/>
      <c r="RWW40" s="37"/>
      <c r="RWX40" s="37"/>
      <c r="RWY40" s="37"/>
      <c r="RWZ40" s="37"/>
      <c r="RXA40" s="37"/>
      <c r="RXB40" s="37"/>
      <c r="RXC40" s="37"/>
      <c r="RXD40" s="37"/>
      <c r="RXE40" s="37"/>
      <c r="RXF40" s="37"/>
      <c r="RXG40" s="37"/>
      <c r="RXH40" s="37"/>
      <c r="RXI40" s="37"/>
      <c r="RXJ40" s="37"/>
      <c r="RXK40" s="37"/>
      <c r="RXL40" s="37"/>
      <c r="RXM40" s="37"/>
      <c r="RXN40" s="37"/>
      <c r="RXO40" s="37"/>
      <c r="RXP40" s="37"/>
      <c r="RXQ40" s="37"/>
      <c r="RXR40" s="37"/>
      <c r="RXS40" s="37"/>
      <c r="RXT40" s="37"/>
      <c r="RXU40" s="37"/>
      <c r="RXV40" s="37"/>
      <c r="RXW40" s="37"/>
      <c r="RXX40" s="37"/>
      <c r="RXY40" s="37"/>
      <c r="RXZ40" s="37"/>
      <c r="RYA40" s="37"/>
      <c r="RYB40" s="37"/>
      <c r="RYC40" s="37"/>
      <c r="RYD40" s="37"/>
      <c r="RYE40" s="37"/>
      <c r="RYF40" s="37"/>
      <c r="RYG40" s="37"/>
      <c r="RYH40" s="37"/>
      <c r="RYI40" s="37"/>
      <c r="RYJ40" s="37"/>
      <c r="RYK40" s="37"/>
      <c r="RYL40" s="37"/>
      <c r="RYM40" s="37"/>
      <c r="RYN40" s="37"/>
      <c r="RYO40" s="37"/>
      <c r="RYP40" s="37"/>
      <c r="RYQ40" s="37"/>
      <c r="RYR40" s="37"/>
      <c r="RYS40" s="37"/>
      <c r="RYT40" s="37"/>
      <c r="RYU40" s="37"/>
      <c r="RYV40" s="37"/>
      <c r="RYW40" s="37"/>
      <c r="RYX40" s="37"/>
      <c r="RYY40" s="37"/>
      <c r="RYZ40" s="37"/>
      <c r="RZA40" s="37"/>
      <c r="RZB40" s="37"/>
      <c r="RZC40" s="37"/>
      <c r="RZD40" s="37"/>
      <c r="RZE40" s="37"/>
      <c r="RZF40" s="37"/>
      <c r="RZG40" s="37"/>
      <c r="RZH40" s="37"/>
      <c r="RZI40" s="37"/>
      <c r="RZJ40" s="37"/>
      <c r="RZK40" s="37"/>
      <c r="RZL40" s="37"/>
      <c r="RZM40" s="37"/>
      <c r="RZN40" s="37"/>
      <c r="RZO40" s="37"/>
      <c r="RZP40" s="37"/>
      <c r="RZQ40" s="37"/>
      <c r="RZR40" s="37"/>
      <c r="RZS40" s="37"/>
      <c r="RZT40" s="37"/>
      <c r="RZU40" s="37"/>
      <c r="RZV40" s="37"/>
      <c r="RZW40" s="37"/>
      <c r="RZX40" s="37"/>
      <c r="RZY40" s="37"/>
      <c r="RZZ40" s="37"/>
      <c r="SAA40" s="37"/>
      <c r="SAB40" s="37"/>
      <c r="SAC40" s="37"/>
      <c r="SAD40" s="37"/>
      <c r="SAE40" s="37"/>
      <c r="SAF40" s="37"/>
      <c r="SAG40" s="37"/>
      <c r="SAH40" s="37"/>
      <c r="SAI40" s="37"/>
      <c r="SAJ40" s="37"/>
      <c r="SAK40" s="37"/>
      <c r="SAL40" s="37"/>
      <c r="SAM40" s="37"/>
      <c r="SAN40" s="37"/>
      <c r="SAO40" s="37"/>
      <c r="SAP40" s="37"/>
      <c r="SAQ40" s="37"/>
      <c r="SAR40" s="37"/>
      <c r="SAS40" s="37"/>
      <c r="SAT40" s="37"/>
      <c r="SAU40" s="37"/>
      <c r="SAV40" s="37"/>
      <c r="SAW40" s="37"/>
      <c r="SAX40" s="37"/>
      <c r="SAY40" s="37"/>
      <c r="SAZ40" s="37"/>
      <c r="SBA40" s="37"/>
      <c r="SBB40" s="37"/>
      <c r="SBC40" s="37"/>
      <c r="SBD40" s="37"/>
      <c r="SBE40" s="37"/>
      <c r="SBF40" s="37"/>
      <c r="SBG40" s="37"/>
      <c r="SBH40" s="37"/>
      <c r="SBI40" s="37"/>
      <c r="SBJ40" s="37"/>
      <c r="SBK40" s="37"/>
      <c r="SBL40" s="37"/>
      <c r="SBM40" s="37"/>
      <c r="SBN40" s="37"/>
      <c r="SBO40" s="37"/>
      <c r="SBP40" s="37"/>
      <c r="SBQ40" s="37"/>
      <c r="SBR40" s="37"/>
      <c r="SBS40" s="37"/>
      <c r="SBT40" s="37"/>
      <c r="SBU40" s="37"/>
      <c r="SBV40" s="37"/>
      <c r="SBW40" s="37"/>
      <c r="SBX40" s="37"/>
      <c r="SBY40" s="37"/>
      <c r="SBZ40" s="37"/>
      <c r="SCA40" s="37"/>
      <c r="SCB40" s="37"/>
      <c r="SCC40" s="37"/>
      <c r="SCD40" s="37"/>
      <c r="SCE40" s="37"/>
      <c r="SCF40" s="37"/>
      <c r="SCG40" s="37"/>
      <c r="SCH40" s="37"/>
      <c r="SCI40" s="37"/>
      <c r="SCJ40" s="37"/>
      <c r="SCK40" s="37"/>
      <c r="SCL40" s="37"/>
      <c r="SCM40" s="37"/>
      <c r="SCN40" s="37"/>
      <c r="SCO40" s="37"/>
      <c r="SCP40" s="37"/>
      <c r="SCQ40" s="37"/>
      <c r="SCR40" s="37"/>
      <c r="SCS40" s="37"/>
      <c r="SCT40" s="37"/>
      <c r="SCU40" s="37"/>
      <c r="SCV40" s="37"/>
      <c r="SCW40" s="37"/>
      <c r="SCX40" s="37"/>
      <c r="SCY40" s="37"/>
      <c r="SCZ40" s="37"/>
      <c r="SDA40" s="37"/>
      <c r="SDB40" s="37"/>
      <c r="SDC40" s="37"/>
      <c r="SDD40" s="37"/>
      <c r="SDE40" s="37"/>
      <c r="SDF40" s="37"/>
      <c r="SDG40" s="37"/>
      <c r="SDH40" s="37"/>
      <c r="SDI40" s="37"/>
      <c r="SDJ40" s="37"/>
      <c r="SDK40" s="37"/>
      <c r="SDL40" s="37"/>
      <c r="SDM40" s="37"/>
      <c r="SDN40" s="37"/>
      <c r="SDO40" s="37"/>
      <c r="SDP40" s="37"/>
      <c r="SDQ40" s="37"/>
      <c r="SDR40" s="37"/>
      <c r="SDS40" s="37"/>
      <c r="SDT40" s="37"/>
      <c r="SDU40" s="37"/>
      <c r="SDV40" s="37"/>
      <c r="SDW40" s="37"/>
      <c r="SDX40" s="37"/>
      <c r="SDY40" s="37"/>
      <c r="SDZ40" s="37"/>
      <c r="SEA40" s="37"/>
      <c r="SEB40" s="37"/>
      <c r="SEC40" s="37"/>
      <c r="SED40" s="37"/>
      <c r="SEE40" s="37"/>
      <c r="SEF40" s="37"/>
      <c r="SEG40" s="37"/>
      <c r="SEH40" s="37"/>
      <c r="SEI40" s="37"/>
      <c r="SEJ40" s="37"/>
      <c r="SEK40" s="37"/>
      <c r="SEL40" s="37"/>
      <c r="SEM40" s="37"/>
      <c r="SEN40" s="37"/>
      <c r="SEO40" s="37"/>
      <c r="SEP40" s="37"/>
      <c r="SEQ40" s="37"/>
      <c r="SER40" s="37"/>
      <c r="SES40" s="37"/>
      <c r="SET40" s="37"/>
      <c r="SEU40" s="37"/>
      <c r="SEV40" s="37"/>
      <c r="SEW40" s="37"/>
      <c r="SEX40" s="37"/>
      <c r="SEY40" s="37"/>
      <c r="SEZ40" s="37"/>
      <c r="SFA40" s="37"/>
      <c r="SFB40" s="37"/>
      <c r="SFC40" s="37"/>
      <c r="SFD40" s="37"/>
      <c r="SFE40" s="37"/>
      <c r="SFF40" s="37"/>
      <c r="SFG40" s="37"/>
      <c r="SFH40" s="37"/>
      <c r="SFI40" s="37"/>
      <c r="SFJ40" s="37"/>
      <c r="SFK40" s="37"/>
      <c r="SFL40" s="37"/>
      <c r="SFM40" s="37"/>
      <c r="SFN40" s="37"/>
      <c r="SFO40" s="37"/>
      <c r="SFP40" s="37"/>
      <c r="SFQ40" s="37"/>
      <c r="SFR40" s="37"/>
      <c r="SFS40" s="37"/>
      <c r="SFT40" s="37"/>
      <c r="SFU40" s="37"/>
      <c r="SFV40" s="37"/>
      <c r="SFW40" s="37"/>
      <c r="SFX40" s="37"/>
      <c r="SFY40" s="37"/>
      <c r="SFZ40" s="37"/>
      <c r="SGA40" s="37"/>
      <c r="SGB40" s="37"/>
      <c r="SGC40" s="37"/>
      <c r="SGD40" s="37"/>
      <c r="SGE40" s="37"/>
      <c r="SGF40" s="37"/>
      <c r="SGG40" s="37"/>
      <c r="SGH40" s="37"/>
      <c r="SGI40" s="37"/>
      <c r="SGJ40" s="37"/>
      <c r="SGK40" s="37"/>
      <c r="SGL40" s="37"/>
      <c r="SGM40" s="37"/>
      <c r="SGN40" s="37"/>
      <c r="SGO40" s="37"/>
      <c r="SGP40" s="37"/>
      <c r="SGQ40" s="37"/>
      <c r="SGR40" s="37"/>
      <c r="SGS40" s="37"/>
      <c r="SGT40" s="37"/>
      <c r="SGU40" s="37"/>
      <c r="SGV40" s="37"/>
      <c r="SGW40" s="37"/>
      <c r="SGX40" s="37"/>
      <c r="SGY40" s="37"/>
      <c r="SGZ40" s="37"/>
      <c r="SHA40" s="37"/>
      <c r="SHB40" s="37"/>
      <c r="SHC40" s="37"/>
      <c r="SHD40" s="37"/>
      <c r="SHE40" s="37"/>
      <c r="SHF40" s="37"/>
      <c r="SHG40" s="37"/>
      <c r="SHH40" s="37"/>
      <c r="SHI40" s="37"/>
      <c r="SHJ40" s="37"/>
      <c r="SHK40" s="37"/>
      <c r="SHL40" s="37"/>
      <c r="SHM40" s="37"/>
      <c r="SHN40" s="37"/>
      <c r="SHO40" s="37"/>
      <c r="SHP40" s="37"/>
      <c r="SHQ40" s="37"/>
      <c r="SHR40" s="37"/>
      <c r="SHS40" s="37"/>
      <c r="SHT40" s="37"/>
      <c r="SHU40" s="37"/>
      <c r="SHV40" s="37"/>
      <c r="SHW40" s="37"/>
      <c r="SHX40" s="37"/>
      <c r="SHY40" s="37"/>
      <c r="SHZ40" s="37"/>
      <c r="SIA40" s="37"/>
      <c r="SIB40" s="37"/>
      <c r="SIC40" s="37"/>
      <c r="SID40" s="37"/>
      <c r="SIE40" s="37"/>
      <c r="SIF40" s="37"/>
      <c r="SIG40" s="37"/>
      <c r="SIH40" s="37"/>
      <c r="SII40" s="37"/>
      <c r="SIJ40" s="37"/>
      <c r="SIK40" s="37"/>
      <c r="SIL40" s="37"/>
      <c r="SIM40" s="37"/>
      <c r="SIN40" s="37"/>
      <c r="SIO40" s="37"/>
      <c r="SIP40" s="37"/>
      <c r="SIQ40" s="37"/>
      <c r="SIR40" s="37"/>
      <c r="SIS40" s="37"/>
      <c r="SIT40" s="37"/>
      <c r="SIU40" s="37"/>
      <c r="SIV40" s="37"/>
      <c r="SIW40" s="37"/>
      <c r="SIX40" s="37"/>
      <c r="SIY40" s="37"/>
      <c r="SIZ40" s="37"/>
      <c r="SJA40" s="37"/>
      <c r="SJB40" s="37"/>
      <c r="SJC40" s="37"/>
      <c r="SJD40" s="37"/>
      <c r="SJE40" s="37"/>
      <c r="SJF40" s="37"/>
      <c r="SJG40" s="37"/>
      <c r="SJH40" s="37"/>
      <c r="SJI40" s="37"/>
      <c r="SJJ40" s="37"/>
      <c r="SJK40" s="37"/>
      <c r="SJL40" s="37"/>
      <c r="SJM40" s="37"/>
      <c r="SJN40" s="37"/>
      <c r="SJO40" s="37"/>
      <c r="SJP40" s="37"/>
      <c r="SJQ40" s="37"/>
      <c r="SJR40" s="37"/>
      <c r="SJS40" s="37"/>
      <c r="SJT40" s="37"/>
      <c r="SJU40" s="37"/>
      <c r="SJV40" s="37"/>
      <c r="SJW40" s="37"/>
      <c r="SJX40" s="37"/>
      <c r="SJY40" s="37"/>
      <c r="SJZ40" s="37"/>
      <c r="SKA40" s="37"/>
      <c r="SKB40" s="37"/>
      <c r="SKC40" s="37"/>
      <c r="SKD40" s="37"/>
      <c r="SKE40" s="37"/>
      <c r="SKF40" s="37"/>
      <c r="SKG40" s="37"/>
      <c r="SKH40" s="37"/>
      <c r="SKI40" s="37"/>
      <c r="SKJ40" s="37"/>
      <c r="SKK40" s="37"/>
      <c r="SKL40" s="37"/>
      <c r="SKM40" s="37"/>
      <c r="SKN40" s="37"/>
      <c r="SKO40" s="37"/>
      <c r="SKP40" s="37"/>
      <c r="SKQ40" s="37"/>
      <c r="SKR40" s="37"/>
      <c r="SKS40" s="37"/>
      <c r="SKT40" s="37"/>
      <c r="SKU40" s="37"/>
      <c r="SKV40" s="37"/>
      <c r="SKW40" s="37"/>
      <c r="SKX40" s="37"/>
      <c r="SKY40" s="37"/>
      <c r="SKZ40" s="37"/>
      <c r="SLA40" s="37"/>
      <c r="SLB40" s="37"/>
      <c r="SLC40" s="37"/>
      <c r="SLD40" s="37"/>
      <c r="SLE40" s="37"/>
      <c r="SLF40" s="37"/>
      <c r="SLG40" s="37"/>
      <c r="SLH40" s="37"/>
      <c r="SLI40" s="37"/>
      <c r="SLJ40" s="37"/>
      <c r="SLK40" s="37"/>
      <c r="SLL40" s="37"/>
      <c r="SLM40" s="37"/>
      <c r="SLN40" s="37"/>
      <c r="SLO40" s="37"/>
      <c r="SLP40" s="37"/>
      <c r="SLQ40" s="37"/>
      <c r="SLR40" s="37"/>
      <c r="SLS40" s="37"/>
      <c r="SLT40" s="37"/>
      <c r="SLU40" s="37"/>
      <c r="SLV40" s="37"/>
      <c r="SLW40" s="37"/>
      <c r="SLX40" s="37"/>
      <c r="SLY40" s="37"/>
      <c r="SLZ40" s="37"/>
      <c r="SMA40" s="37"/>
      <c r="SMB40" s="37"/>
      <c r="SMC40" s="37"/>
      <c r="SMD40" s="37"/>
      <c r="SME40" s="37"/>
      <c r="SMF40" s="37"/>
      <c r="SMG40" s="37"/>
      <c r="SMH40" s="37"/>
      <c r="SMI40" s="37"/>
      <c r="SMJ40" s="37"/>
      <c r="SMK40" s="37"/>
      <c r="SML40" s="37"/>
      <c r="SMM40" s="37"/>
      <c r="SMN40" s="37"/>
      <c r="SMO40" s="37"/>
      <c r="SMP40" s="37"/>
      <c r="SMQ40" s="37"/>
      <c r="SMR40" s="37"/>
      <c r="SMS40" s="37"/>
      <c r="SMT40" s="37"/>
      <c r="SMU40" s="37"/>
      <c r="SMV40" s="37"/>
      <c r="SMW40" s="37"/>
      <c r="SMX40" s="37"/>
      <c r="SMY40" s="37"/>
      <c r="SMZ40" s="37"/>
      <c r="SNA40" s="37"/>
      <c r="SNB40" s="37"/>
      <c r="SNC40" s="37"/>
      <c r="SND40" s="37"/>
      <c r="SNE40" s="37"/>
      <c r="SNF40" s="37"/>
      <c r="SNG40" s="37"/>
      <c r="SNH40" s="37"/>
      <c r="SNI40" s="37"/>
      <c r="SNJ40" s="37"/>
      <c r="SNK40" s="37"/>
      <c r="SNL40" s="37"/>
      <c r="SNM40" s="37"/>
      <c r="SNN40" s="37"/>
      <c r="SNO40" s="37"/>
      <c r="SNP40" s="37"/>
      <c r="SNQ40" s="37"/>
      <c r="SNR40" s="37"/>
      <c r="SNS40" s="37"/>
      <c r="SNT40" s="37"/>
      <c r="SNU40" s="37"/>
      <c r="SNV40" s="37"/>
      <c r="SNW40" s="37"/>
      <c r="SNX40" s="37"/>
      <c r="SNY40" s="37"/>
      <c r="SNZ40" s="37"/>
      <c r="SOA40" s="37"/>
      <c r="SOB40" s="37"/>
      <c r="SOC40" s="37"/>
      <c r="SOD40" s="37"/>
      <c r="SOE40" s="37"/>
      <c r="SOF40" s="37"/>
      <c r="SOG40" s="37"/>
      <c r="SOH40" s="37"/>
      <c r="SOI40" s="37"/>
      <c r="SOJ40" s="37"/>
      <c r="SOK40" s="37"/>
      <c r="SOL40" s="37"/>
      <c r="SOM40" s="37"/>
      <c r="SON40" s="37"/>
      <c r="SOO40" s="37"/>
      <c r="SOP40" s="37"/>
      <c r="SOQ40" s="37"/>
      <c r="SOR40" s="37"/>
      <c r="SOS40" s="37"/>
      <c r="SOT40" s="37"/>
      <c r="SOU40" s="37"/>
      <c r="SOV40" s="37"/>
      <c r="SOW40" s="37"/>
      <c r="SOX40" s="37"/>
      <c r="SOY40" s="37"/>
      <c r="SOZ40" s="37"/>
      <c r="SPA40" s="37"/>
      <c r="SPB40" s="37"/>
      <c r="SPC40" s="37"/>
      <c r="SPD40" s="37"/>
      <c r="SPE40" s="37"/>
      <c r="SPF40" s="37"/>
      <c r="SPG40" s="37"/>
      <c r="SPH40" s="37"/>
      <c r="SPI40" s="37"/>
      <c r="SPJ40" s="37"/>
      <c r="SPK40" s="37"/>
      <c r="SPL40" s="37"/>
      <c r="SPM40" s="37"/>
      <c r="SPN40" s="37"/>
      <c r="SPO40" s="37"/>
      <c r="SPP40" s="37"/>
      <c r="SPQ40" s="37"/>
      <c r="SPR40" s="37"/>
      <c r="SPS40" s="37"/>
      <c r="SPT40" s="37"/>
      <c r="SPU40" s="37"/>
      <c r="SPV40" s="37"/>
      <c r="SPW40" s="37"/>
      <c r="SPX40" s="37"/>
      <c r="SPY40" s="37"/>
      <c r="SPZ40" s="37"/>
      <c r="SQA40" s="37"/>
      <c r="SQB40" s="37"/>
      <c r="SQC40" s="37"/>
      <c r="SQD40" s="37"/>
      <c r="SQE40" s="37"/>
      <c r="SQF40" s="37"/>
      <c r="SQG40" s="37"/>
      <c r="SQH40" s="37"/>
      <c r="SQI40" s="37"/>
      <c r="SQJ40" s="37"/>
      <c r="SQK40" s="37"/>
      <c r="SQL40" s="37"/>
      <c r="SQM40" s="37"/>
      <c r="SQN40" s="37"/>
      <c r="SQO40" s="37"/>
      <c r="SQP40" s="37"/>
      <c r="SQQ40" s="37"/>
      <c r="SQR40" s="37"/>
      <c r="SQS40" s="37"/>
      <c r="SQT40" s="37"/>
      <c r="SQU40" s="37"/>
      <c r="SQV40" s="37"/>
      <c r="SQW40" s="37"/>
      <c r="SQX40" s="37"/>
      <c r="SQY40" s="37"/>
      <c r="SQZ40" s="37"/>
      <c r="SRA40" s="37"/>
      <c r="SRB40" s="37"/>
      <c r="SRC40" s="37"/>
      <c r="SRD40" s="37"/>
      <c r="SRE40" s="37"/>
      <c r="SRF40" s="37"/>
      <c r="SRG40" s="37"/>
      <c r="SRH40" s="37"/>
      <c r="SRI40" s="37"/>
      <c r="SRJ40" s="37"/>
      <c r="SRK40" s="37"/>
      <c r="SRL40" s="37"/>
      <c r="SRM40" s="37"/>
      <c r="SRN40" s="37"/>
      <c r="SRO40" s="37"/>
      <c r="SRP40" s="37"/>
      <c r="SRQ40" s="37"/>
      <c r="SRR40" s="37"/>
      <c r="SRS40" s="37"/>
      <c r="SRT40" s="37"/>
      <c r="SRU40" s="37"/>
      <c r="SRV40" s="37"/>
      <c r="SRW40" s="37"/>
      <c r="SRX40" s="37"/>
      <c r="SRY40" s="37"/>
      <c r="SRZ40" s="37"/>
      <c r="SSA40" s="37"/>
      <c r="SSB40" s="37"/>
      <c r="SSC40" s="37"/>
      <c r="SSD40" s="37"/>
      <c r="SSE40" s="37"/>
      <c r="SSF40" s="37"/>
      <c r="SSG40" s="37"/>
      <c r="SSH40" s="37"/>
      <c r="SSI40" s="37"/>
      <c r="SSJ40" s="37"/>
      <c r="SSK40" s="37"/>
      <c r="SSL40" s="37"/>
      <c r="SSM40" s="37"/>
      <c r="SSN40" s="37"/>
      <c r="SSO40" s="37"/>
      <c r="SSP40" s="37"/>
      <c r="SSQ40" s="37"/>
      <c r="SSR40" s="37"/>
      <c r="SSS40" s="37"/>
      <c r="SST40" s="37"/>
      <c r="SSU40" s="37"/>
      <c r="SSV40" s="37"/>
      <c r="SSW40" s="37"/>
      <c r="SSX40" s="37"/>
      <c r="SSY40" s="37"/>
      <c r="SSZ40" s="37"/>
      <c r="STA40" s="37"/>
      <c r="STB40" s="37"/>
      <c r="STC40" s="37"/>
      <c r="STD40" s="37"/>
      <c r="STE40" s="37"/>
      <c r="STF40" s="37"/>
      <c r="STG40" s="37"/>
      <c r="STH40" s="37"/>
      <c r="STI40" s="37"/>
      <c r="STJ40" s="37"/>
      <c r="STK40" s="37"/>
      <c r="STL40" s="37"/>
      <c r="STM40" s="37"/>
      <c r="STN40" s="37"/>
      <c r="STO40" s="37"/>
      <c r="STP40" s="37"/>
      <c r="STQ40" s="37"/>
      <c r="STR40" s="37"/>
      <c r="STS40" s="37"/>
      <c r="STT40" s="37"/>
      <c r="STU40" s="37"/>
      <c r="STV40" s="37"/>
      <c r="STW40" s="37"/>
      <c r="STX40" s="37"/>
      <c r="STY40" s="37"/>
      <c r="STZ40" s="37"/>
      <c r="SUA40" s="37"/>
      <c r="SUB40" s="37"/>
      <c r="SUC40" s="37"/>
      <c r="SUD40" s="37"/>
      <c r="SUE40" s="37"/>
      <c r="SUF40" s="37"/>
      <c r="SUG40" s="37"/>
      <c r="SUH40" s="37"/>
      <c r="SUI40" s="37"/>
      <c r="SUJ40" s="37"/>
      <c r="SUK40" s="37"/>
      <c r="SUL40" s="37"/>
      <c r="SUM40" s="37"/>
      <c r="SUN40" s="37"/>
      <c r="SUO40" s="37"/>
      <c r="SUP40" s="37"/>
      <c r="SUQ40" s="37"/>
      <c r="SUR40" s="37"/>
      <c r="SUS40" s="37"/>
      <c r="SUT40" s="37"/>
      <c r="SUU40" s="37"/>
      <c r="SUV40" s="37"/>
      <c r="SUW40" s="37"/>
      <c r="SUX40" s="37"/>
      <c r="SUY40" s="37"/>
      <c r="SUZ40" s="37"/>
      <c r="SVA40" s="37"/>
      <c r="SVB40" s="37"/>
      <c r="SVC40" s="37"/>
      <c r="SVD40" s="37"/>
      <c r="SVE40" s="37"/>
      <c r="SVF40" s="37"/>
      <c r="SVG40" s="37"/>
      <c r="SVH40" s="37"/>
      <c r="SVI40" s="37"/>
      <c r="SVJ40" s="37"/>
      <c r="SVK40" s="37"/>
      <c r="SVL40" s="37"/>
      <c r="SVM40" s="37"/>
      <c r="SVN40" s="37"/>
      <c r="SVO40" s="37"/>
      <c r="SVP40" s="37"/>
      <c r="SVQ40" s="37"/>
      <c r="SVR40" s="37"/>
      <c r="SVS40" s="37"/>
      <c r="SVT40" s="37"/>
      <c r="SVU40" s="37"/>
      <c r="SVV40" s="37"/>
      <c r="SVW40" s="37"/>
      <c r="SVX40" s="37"/>
      <c r="SVY40" s="37"/>
      <c r="SVZ40" s="37"/>
      <c r="SWA40" s="37"/>
      <c r="SWB40" s="37"/>
      <c r="SWC40" s="37"/>
      <c r="SWD40" s="37"/>
      <c r="SWE40" s="37"/>
      <c r="SWF40" s="37"/>
      <c r="SWG40" s="37"/>
      <c r="SWH40" s="37"/>
      <c r="SWI40" s="37"/>
      <c r="SWJ40" s="37"/>
      <c r="SWK40" s="37"/>
      <c r="SWL40" s="37"/>
      <c r="SWM40" s="37"/>
      <c r="SWN40" s="37"/>
      <c r="SWO40" s="37"/>
      <c r="SWP40" s="37"/>
      <c r="SWQ40" s="37"/>
      <c r="SWR40" s="37"/>
      <c r="SWS40" s="37"/>
      <c r="SWT40" s="37"/>
      <c r="SWU40" s="37"/>
      <c r="SWV40" s="37"/>
      <c r="SWW40" s="37"/>
      <c r="SWX40" s="37"/>
      <c r="SWY40" s="37"/>
      <c r="SWZ40" s="37"/>
      <c r="SXA40" s="37"/>
      <c r="SXB40" s="37"/>
      <c r="SXC40" s="37"/>
      <c r="SXD40" s="37"/>
      <c r="SXE40" s="37"/>
      <c r="SXF40" s="37"/>
      <c r="SXG40" s="37"/>
      <c r="SXH40" s="37"/>
      <c r="SXI40" s="37"/>
      <c r="SXJ40" s="37"/>
      <c r="SXK40" s="37"/>
      <c r="SXL40" s="37"/>
      <c r="SXM40" s="37"/>
      <c r="SXN40" s="37"/>
      <c r="SXO40" s="37"/>
      <c r="SXP40" s="37"/>
      <c r="SXQ40" s="37"/>
      <c r="SXR40" s="37"/>
      <c r="SXS40" s="37"/>
      <c r="SXT40" s="37"/>
      <c r="SXU40" s="37"/>
      <c r="SXV40" s="37"/>
      <c r="SXW40" s="37"/>
      <c r="SXX40" s="37"/>
      <c r="SXY40" s="37"/>
      <c r="SXZ40" s="37"/>
      <c r="SYA40" s="37"/>
      <c r="SYB40" s="37"/>
      <c r="SYC40" s="37"/>
      <c r="SYD40" s="37"/>
      <c r="SYE40" s="37"/>
      <c r="SYF40" s="37"/>
      <c r="SYG40" s="37"/>
      <c r="SYH40" s="37"/>
      <c r="SYI40" s="37"/>
      <c r="SYJ40" s="37"/>
      <c r="SYK40" s="37"/>
      <c r="SYL40" s="37"/>
      <c r="SYM40" s="37"/>
      <c r="SYN40" s="37"/>
      <c r="SYO40" s="37"/>
      <c r="SYP40" s="37"/>
      <c r="SYQ40" s="37"/>
      <c r="SYR40" s="37"/>
      <c r="SYS40" s="37"/>
      <c r="SYT40" s="37"/>
      <c r="SYU40" s="37"/>
      <c r="SYV40" s="37"/>
      <c r="SYW40" s="37"/>
      <c r="SYX40" s="37"/>
      <c r="SYY40" s="37"/>
      <c r="SYZ40" s="37"/>
      <c r="SZA40" s="37"/>
      <c r="SZB40" s="37"/>
      <c r="SZC40" s="37"/>
      <c r="SZD40" s="37"/>
      <c r="SZE40" s="37"/>
      <c r="SZF40" s="37"/>
      <c r="SZG40" s="37"/>
      <c r="SZH40" s="37"/>
      <c r="SZI40" s="37"/>
      <c r="SZJ40" s="37"/>
      <c r="SZK40" s="37"/>
      <c r="SZL40" s="37"/>
      <c r="SZM40" s="37"/>
      <c r="SZN40" s="37"/>
      <c r="SZO40" s="37"/>
      <c r="SZP40" s="37"/>
      <c r="SZQ40" s="37"/>
      <c r="SZR40" s="37"/>
      <c r="SZS40" s="37"/>
      <c r="SZT40" s="37"/>
      <c r="SZU40" s="37"/>
      <c r="SZV40" s="37"/>
      <c r="SZW40" s="37"/>
      <c r="SZX40" s="37"/>
      <c r="SZY40" s="37"/>
      <c r="SZZ40" s="37"/>
      <c r="TAA40" s="37"/>
      <c r="TAB40" s="37"/>
      <c r="TAC40" s="37"/>
      <c r="TAD40" s="37"/>
      <c r="TAE40" s="37"/>
      <c r="TAF40" s="37"/>
      <c r="TAG40" s="37"/>
      <c r="TAH40" s="37"/>
      <c r="TAI40" s="37"/>
      <c r="TAJ40" s="37"/>
      <c r="TAK40" s="37"/>
      <c r="TAL40" s="37"/>
      <c r="TAM40" s="37"/>
      <c r="TAN40" s="37"/>
      <c r="TAO40" s="37"/>
      <c r="TAP40" s="37"/>
      <c r="TAQ40" s="37"/>
      <c r="TAR40" s="37"/>
      <c r="TAS40" s="37"/>
      <c r="TAT40" s="37"/>
      <c r="TAU40" s="37"/>
      <c r="TAV40" s="37"/>
      <c r="TAW40" s="37"/>
      <c r="TAX40" s="37"/>
      <c r="TAY40" s="37"/>
      <c r="TAZ40" s="37"/>
      <c r="TBA40" s="37"/>
      <c r="TBB40" s="37"/>
      <c r="TBC40" s="37"/>
      <c r="TBD40" s="37"/>
      <c r="TBE40" s="37"/>
      <c r="TBF40" s="37"/>
      <c r="TBG40" s="37"/>
      <c r="TBH40" s="37"/>
      <c r="TBI40" s="37"/>
      <c r="TBJ40" s="37"/>
      <c r="TBK40" s="37"/>
      <c r="TBL40" s="37"/>
      <c r="TBM40" s="37"/>
      <c r="TBN40" s="37"/>
      <c r="TBO40" s="37"/>
      <c r="TBP40" s="37"/>
      <c r="TBQ40" s="37"/>
      <c r="TBR40" s="37"/>
      <c r="TBS40" s="37"/>
      <c r="TBT40" s="37"/>
      <c r="TBU40" s="37"/>
      <c r="TBV40" s="37"/>
      <c r="TBW40" s="37"/>
      <c r="TBX40" s="37"/>
      <c r="TBY40" s="37"/>
      <c r="TBZ40" s="37"/>
      <c r="TCA40" s="37"/>
      <c r="TCB40" s="37"/>
      <c r="TCC40" s="37"/>
      <c r="TCD40" s="37"/>
      <c r="TCE40" s="37"/>
      <c r="TCF40" s="37"/>
      <c r="TCG40" s="37"/>
      <c r="TCH40" s="37"/>
      <c r="TCI40" s="37"/>
      <c r="TCJ40" s="37"/>
      <c r="TCK40" s="37"/>
      <c r="TCL40" s="37"/>
      <c r="TCM40" s="37"/>
      <c r="TCN40" s="37"/>
      <c r="TCO40" s="37"/>
      <c r="TCP40" s="37"/>
      <c r="TCQ40" s="37"/>
      <c r="TCR40" s="37"/>
      <c r="TCS40" s="37"/>
      <c r="TCT40" s="37"/>
      <c r="TCU40" s="37"/>
      <c r="TCV40" s="37"/>
      <c r="TCW40" s="37"/>
      <c r="TCX40" s="37"/>
      <c r="TCY40" s="37"/>
      <c r="TCZ40" s="37"/>
      <c r="TDA40" s="37"/>
      <c r="TDB40" s="37"/>
      <c r="TDC40" s="37"/>
      <c r="TDD40" s="37"/>
      <c r="TDE40" s="37"/>
      <c r="TDF40" s="37"/>
      <c r="TDG40" s="37"/>
      <c r="TDH40" s="37"/>
      <c r="TDI40" s="37"/>
      <c r="TDJ40" s="37"/>
      <c r="TDK40" s="37"/>
      <c r="TDL40" s="37"/>
      <c r="TDM40" s="37"/>
      <c r="TDN40" s="37"/>
      <c r="TDO40" s="37"/>
      <c r="TDP40" s="37"/>
      <c r="TDQ40" s="37"/>
      <c r="TDR40" s="37"/>
      <c r="TDS40" s="37"/>
      <c r="TDT40" s="37"/>
      <c r="TDU40" s="37"/>
      <c r="TDV40" s="37"/>
      <c r="TDW40" s="37"/>
      <c r="TDX40" s="37"/>
      <c r="TDY40" s="37"/>
      <c r="TDZ40" s="37"/>
      <c r="TEA40" s="37"/>
      <c r="TEB40" s="37"/>
      <c r="TEC40" s="37"/>
      <c r="TED40" s="37"/>
      <c r="TEE40" s="37"/>
      <c r="TEF40" s="37"/>
      <c r="TEG40" s="37"/>
      <c r="TEH40" s="37"/>
      <c r="TEI40" s="37"/>
      <c r="TEJ40" s="37"/>
      <c r="TEK40" s="37"/>
      <c r="TEL40" s="37"/>
      <c r="TEM40" s="37"/>
      <c r="TEN40" s="37"/>
      <c r="TEO40" s="37"/>
      <c r="TEP40" s="37"/>
      <c r="TEQ40" s="37"/>
      <c r="TER40" s="37"/>
      <c r="TES40" s="37"/>
      <c r="TET40" s="37"/>
      <c r="TEU40" s="37"/>
      <c r="TEV40" s="37"/>
      <c r="TEW40" s="37"/>
      <c r="TEX40" s="37"/>
      <c r="TEY40" s="37"/>
      <c r="TEZ40" s="37"/>
      <c r="TFA40" s="37"/>
      <c r="TFB40" s="37"/>
      <c r="TFC40" s="37"/>
      <c r="TFD40" s="37"/>
      <c r="TFE40" s="37"/>
      <c r="TFF40" s="37"/>
      <c r="TFG40" s="37"/>
      <c r="TFH40" s="37"/>
      <c r="TFI40" s="37"/>
      <c r="TFJ40" s="37"/>
      <c r="TFK40" s="37"/>
      <c r="TFL40" s="37"/>
      <c r="TFM40" s="37"/>
      <c r="TFN40" s="37"/>
      <c r="TFO40" s="37"/>
      <c r="TFP40" s="37"/>
      <c r="TFQ40" s="37"/>
      <c r="TFR40" s="37"/>
      <c r="TFS40" s="37"/>
      <c r="TFT40" s="37"/>
      <c r="TFU40" s="37"/>
      <c r="TFV40" s="37"/>
      <c r="TFW40" s="37"/>
      <c r="TFX40" s="37"/>
      <c r="TFY40" s="37"/>
      <c r="TFZ40" s="37"/>
      <c r="TGA40" s="37"/>
      <c r="TGB40" s="37"/>
      <c r="TGC40" s="37"/>
      <c r="TGD40" s="37"/>
      <c r="TGE40" s="37"/>
      <c r="TGF40" s="37"/>
      <c r="TGG40" s="37"/>
      <c r="TGH40" s="37"/>
      <c r="TGI40" s="37"/>
      <c r="TGJ40" s="37"/>
      <c r="TGK40" s="37"/>
      <c r="TGL40" s="37"/>
      <c r="TGM40" s="37"/>
      <c r="TGN40" s="37"/>
      <c r="TGO40" s="37"/>
      <c r="TGP40" s="37"/>
      <c r="TGQ40" s="37"/>
      <c r="TGR40" s="37"/>
      <c r="TGS40" s="37"/>
      <c r="TGT40" s="37"/>
      <c r="TGU40" s="37"/>
      <c r="TGV40" s="37"/>
      <c r="TGW40" s="37"/>
      <c r="TGX40" s="37"/>
      <c r="TGY40" s="37"/>
      <c r="TGZ40" s="37"/>
      <c r="THA40" s="37"/>
      <c r="THB40" s="37"/>
      <c r="THC40" s="37"/>
      <c r="THD40" s="37"/>
      <c r="THE40" s="37"/>
      <c r="THF40" s="37"/>
      <c r="THG40" s="37"/>
      <c r="THH40" s="37"/>
      <c r="THI40" s="37"/>
      <c r="THJ40" s="37"/>
      <c r="THK40" s="37"/>
      <c r="THL40" s="37"/>
      <c r="THM40" s="37"/>
      <c r="THN40" s="37"/>
      <c r="THO40" s="37"/>
      <c r="THP40" s="37"/>
      <c r="THQ40" s="37"/>
      <c r="THR40" s="37"/>
      <c r="THS40" s="37"/>
      <c r="THT40" s="37"/>
      <c r="THU40" s="37"/>
      <c r="THV40" s="37"/>
      <c r="THW40" s="37"/>
      <c r="THX40" s="37"/>
      <c r="THY40" s="37"/>
      <c r="THZ40" s="37"/>
      <c r="TIA40" s="37"/>
      <c r="TIB40" s="37"/>
      <c r="TIC40" s="37"/>
      <c r="TID40" s="37"/>
      <c r="TIE40" s="37"/>
      <c r="TIF40" s="37"/>
      <c r="TIG40" s="37"/>
      <c r="TIH40" s="37"/>
      <c r="TII40" s="37"/>
      <c r="TIJ40" s="37"/>
      <c r="TIK40" s="37"/>
      <c r="TIL40" s="37"/>
      <c r="TIM40" s="37"/>
      <c r="TIN40" s="37"/>
      <c r="TIO40" s="37"/>
      <c r="TIP40" s="37"/>
      <c r="TIQ40" s="37"/>
      <c r="TIR40" s="37"/>
      <c r="TIS40" s="37"/>
      <c r="TIT40" s="37"/>
      <c r="TIU40" s="37"/>
      <c r="TIV40" s="37"/>
      <c r="TIW40" s="37"/>
      <c r="TIX40" s="37"/>
      <c r="TIY40" s="37"/>
      <c r="TIZ40" s="37"/>
      <c r="TJA40" s="37"/>
      <c r="TJB40" s="37"/>
      <c r="TJC40" s="37"/>
      <c r="TJD40" s="37"/>
      <c r="TJE40" s="37"/>
      <c r="TJF40" s="37"/>
      <c r="TJG40" s="37"/>
      <c r="TJH40" s="37"/>
      <c r="TJI40" s="37"/>
      <c r="TJJ40" s="37"/>
      <c r="TJK40" s="37"/>
      <c r="TJL40" s="37"/>
      <c r="TJM40" s="37"/>
      <c r="TJN40" s="37"/>
      <c r="TJO40" s="37"/>
      <c r="TJP40" s="37"/>
      <c r="TJQ40" s="37"/>
      <c r="TJR40" s="37"/>
      <c r="TJS40" s="37"/>
      <c r="TJT40" s="37"/>
      <c r="TJU40" s="37"/>
      <c r="TJV40" s="37"/>
      <c r="TJW40" s="37"/>
      <c r="TJX40" s="37"/>
      <c r="TJY40" s="37"/>
      <c r="TJZ40" s="37"/>
      <c r="TKA40" s="37"/>
      <c r="TKB40" s="37"/>
      <c r="TKC40" s="37"/>
      <c r="TKD40" s="37"/>
      <c r="TKE40" s="37"/>
      <c r="TKF40" s="37"/>
      <c r="TKG40" s="37"/>
      <c r="TKH40" s="37"/>
      <c r="TKI40" s="37"/>
      <c r="TKJ40" s="37"/>
      <c r="TKK40" s="37"/>
      <c r="TKL40" s="37"/>
      <c r="TKM40" s="37"/>
      <c r="TKN40" s="37"/>
      <c r="TKO40" s="37"/>
      <c r="TKP40" s="37"/>
      <c r="TKQ40" s="37"/>
      <c r="TKR40" s="37"/>
      <c r="TKS40" s="37"/>
      <c r="TKT40" s="37"/>
      <c r="TKU40" s="37"/>
      <c r="TKV40" s="37"/>
      <c r="TKW40" s="37"/>
      <c r="TKX40" s="37"/>
      <c r="TKY40" s="37"/>
      <c r="TKZ40" s="37"/>
      <c r="TLA40" s="37"/>
      <c r="TLB40" s="37"/>
      <c r="TLC40" s="37"/>
      <c r="TLD40" s="37"/>
      <c r="TLE40" s="37"/>
      <c r="TLF40" s="37"/>
      <c r="TLG40" s="37"/>
      <c r="TLH40" s="37"/>
      <c r="TLI40" s="37"/>
      <c r="TLJ40" s="37"/>
      <c r="TLK40" s="37"/>
      <c r="TLL40" s="37"/>
      <c r="TLM40" s="37"/>
      <c r="TLN40" s="37"/>
      <c r="TLO40" s="37"/>
      <c r="TLP40" s="37"/>
      <c r="TLQ40" s="37"/>
      <c r="TLR40" s="37"/>
      <c r="TLS40" s="37"/>
      <c r="TLT40" s="37"/>
      <c r="TLU40" s="37"/>
      <c r="TLV40" s="37"/>
      <c r="TLW40" s="37"/>
      <c r="TLX40" s="37"/>
      <c r="TLY40" s="37"/>
      <c r="TLZ40" s="37"/>
      <c r="TMA40" s="37"/>
      <c r="TMB40" s="37"/>
      <c r="TMC40" s="37"/>
      <c r="TMD40" s="37"/>
      <c r="TME40" s="37"/>
      <c r="TMF40" s="37"/>
      <c r="TMG40" s="37"/>
      <c r="TMH40" s="37"/>
      <c r="TMI40" s="37"/>
      <c r="TMJ40" s="37"/>
      <c r="TMK40" s="37"/>
      <c r="TML40" s="37"/>
      <c r="TMM40" s="37"/>
      <c r="TMN40" s="37"/>
      <c r="TMO40" s="37"/>
      <c r="TMP40" s="37"/>
      <c r="TMQ40" s="37"/>
      <c r="TMR40" s="37"/>
      <c r="TMS40" s="37"/>
      <c r="TMT40" s="37"/>
      <c r="TMU40" s="37"/>
      <c r="TMV40" s="37"/>
      <c r="TMW40" s="37"/>
      <c r="TMX40" s="37"/>
      <c r="TMY40" s="37"/>
      <c r="TMZ40" s="37"/>
      <c r="TNA40" s="37"/>
      <c r="TNB40" s="37"/>
      <c r="TNC40" s="37"/>
      <c r="TND40" s="37"/>
      <c r="TNE40" s="37"/>
      <c r="TNF40" s="37"/>
      <c r="TNG40" s="37"/>
      <c r="TNH40" s="37"/>
      <c r="TNI40" s="37"/>
      <c r="TNJ40" s="37"/>
      <c r="TNK40" s="37"/>
      <c r="TNL40" s="37"/>
      <c r="TNM40" s="37"/>
      <c r="TNN40" s="37"/>
      <c r="TNO40" s="37"/>
      <c r="TNP40" s="37"/>
      <c r="TNQ40" s="37"/>
      <c r="TNR40" s="37"/>
      <c r="TNS40" s="37"/>
      <c r="TNT40" s="37"/>
      <c r="TNU40" s="37"/>
      <c r="TNV40" s="37"/>
      <c r="TNW40" s="37"/>
      <c r="TNX40" s="37"/>
      <c r="TNY40" s="37"/>
      <c r="TNZ40" s="37"/>
      <c r="TOA40" s="37"/>
      <c r="TOB40" s="37"/>
      <c r="TOC40" s="37"/>
      <c r="TOD40" s="37"/>
      <c r="TOE40" s="37"/>
      <c r="TOF40" s="37"/>
      <c r="TOG40" s="37"/>
      <c r="TOH40" s="37"/>
      <c r="TOI40" s="37"/>
      <c r="TOJ40" s="37"/>
      <c r="TOK40" s="37"/>
      <c r="TOL40" s="37"/>
      <c r="TOM40" s="37"/>
      <c r="TON40" s="37"/>
      <c r="TOO40" s="37"/>
      <c r="TOP40" s="37"/>
      <c r="TOQ40" s="37"/>
      <c r="TOR40" s="37"/>
      <c r="TOS40" s="37"/>
      <c r="TOT40" s="37"/>
      <c r="TOU40" s="37"/>
      <c r="TOV40" s="37"/>
      <c r="TOW40" s="37"/>
      <c r="TOX40" s="37"/>
      <c r="TOY40" s="37"/>
      <c r="TOZ40" s="37"/>
      <c r="TPA40" s="37"/>
      <c r="TPB40" s="37"/>
      <c r="TPC40" s="37"/>
      <c r="TPD40" s="37"/>
      <c r="TPE40" s="37"/>
      <c r="TPF40" s="37"/>
      <c r="TPG40" s="37"/>
      <c r="TPH40" s="37"/>
      <c r="TPI40" s="37"/>
      <c r="TPJ40" s="37"/>
      <c r="TPK40" s="37"/>
      <c r="TPL40" s="37"/>
      <c r="TPM40" s="37"/>
      <c r="TPN40" s="37"/>
      <c r="TPO40" s="37"/>
      <c r="TPP40" s="37"/>
      <c r="TPQ40" s="37"/>
      <c r="TPR40" s="37"/>
      <c r="TPS40" s="37"/>
      <c r="TPT40" s="37"/>
      <c r="TPU40" s="37"/>
      <c r="TPV40" s="37"/>
      <c r="TPW40" s="37"/>
      <c r="TPX40" s="37"/>
      <c r="TPY40" s="37"/>
      <c r="TPZ40" s="37"/>
      <c r="TQA40" s="37"/>
      <c r="TQB40" s="37"/>
      <c r="TQC40" s="37"/>
      <c r="TQD40" s="37"/>
      <c r="TQE40" s="37"/>
      <c r="TQF40" s="37"/>
      <c r="TQG40" s="37"/>
      <c r="TQH40" s="37"/>
      <c r="TQI40" s="37"/>
      <c r="TQJ40" s="37"/>
      <c r="TQK40" s="37"/>
      <c r="TQL40" s="37"/>
      <c r="TQM40" s="37"/>
      <c r="TQN40" s="37"/>
      <c r="TQO40" s="37"/>
      <c r="TQP40" s="37"/>
      <c r="TQQ40" s="37"/>
      <c r="TQR40" s="37"/>
      <c r="TQS40" s="37"/>
      <c r="TQT40" s="37"/>
      <c r="TQU40" s="37"/>
      <c r="TQV40" s="37"/>
      <c r="TQW40" s="37"/>
      <c r="TQX40" s="37"/>
      <c r="TQY40" s="37"/>
      <c r="TQZ40" s="37"/>
      <c r="TRA40" s="37"/>
      <c r="TRB40" s="37"/>
      <c r="TRC40" s="37"/>
      <c r="TRD40" s="37"/>
      <c r="TRE40" s="37"/>
      <c r="TRF40" s="37"/>
      <c r="TRG40" s="37"/>
      <c r="TRH40" s="37"/>
      <c r="TRI40" s="37"/>
      <c r="TRJ40" s="37"/>
      <c r="TRK40" s="37"/>
      <c r="TRL40" s="37"/>
      <c r="TRM40" s="37"/>
      <c r="TRN40" s="37"/>
      <c r="TRO40" s="37"/>
      <c r="TRP40" s="37"/>
      <c r="TRQ40" s="37"/>
      <c r="TRR40" s="37"/>
      <c r="TRS40" s="37"/>
      <c r="TRT40" s="37"/>
      <c r="TRU40" s="37"/>
      <c r="TRV40" s="37"/>
      <c r="TRW40" s="37"/>
      <c r="TRX40" s="37"/>
      <c r="TRY40" s="37"/>
      <c r="TRZ40" s="37"/>
      <c r="TSA40" s="37"/>
      <c r="TSB40" s="37"/>
      <c r="TSC40" s="37"/>
      <c r="TSD40" s="37"/>
      <c r="TSE40" s="37"/>
      <c r="TSF40" s="37"/>
      <c r="TSG40" s="37"/>
      <c r="TSH40" s="37"/>
      <c r="TSI40" s="37"/>
      <c r="TSJ40" s="37"/>
      <c r="TSK40" s="37"/>
      <c r="TSL40" s="37"/>
      <c r="TSM40" s="37"/>
      <c r="TSN40" s="37"/>
      <c r="TSO40" s="37"/>
      <c r="TSP40" s="37"/>
      <c r="TSQ40" s="37"/>
      <c r="TSR40" s="37"/>
      <c r="TSS40" s="37"/>
      <c r="TST40" s="37"/>
      <c r="TSU40" s="37"/>
      <c r="TSV40" s="37"/>
      <c r="TSW40" s="37"/>
      <c r="TSX40" s="37"/>
      <c r="TSY40" s="37"/>
      <c r="TSZ40" s="37"/>
      <c r="TTA40" s="37"/>
      <c r="TTB40" s="37"/>
      <c r="TTC40" s="37"/>
      <c r="TTD40" s="37"/>
      <c r="TTE40" s="37"/>
      <c r="TTF40" s="37"/>
      <c r="TTG40" s="37"/>
      <c r="TTH40" s="37"/>
      <c r="TTI40" s="37"/>
      <c r="TTJ40" s="37"/>
      <c r="TTK40" s="37"/>
      <c r="TTL40" s="37"/>
      <c r="TTM40" s="37"/>
      <c r="TTN40" s="37"/>
      <c r="TTO40" s="37"/>
      <c r="TTP40" s="37"/>
      <c r="TTQ40" s="37"/>
      <c r="TTR40" s="37"/>
      <c r="TTS40" s="37"/>
      <c r="TTT40" s="37"/>
      <c r="TTU40" s="37"/>
      <c r="TTV40" s="37"/>
      <c r="TTW40" s="37"/>
      <c r="TTX40" s="37"/>
      <c r="TTY40" s="37"/>
      <c r="TTZ40" s="37"/>
      <c r="TUA40" s="37"/>
      <c r="TUB40" s="37"/>
      <c r="TUC40" s="37"/>
      <c r="TUD40" s="37"/>
      <c r="TUE40" s="37"/>
      <c r="TUF40" s="37"/>
      <c r="TUG40" s="37"/>
      <c r="TUH40" s="37"/>
      <c r="TUI40" s="37"/>
      <c r="TUJ40" s="37"/>
      <c r="TUK40" s="37"/>
      <c r="TUL40" s="37"/>
      <c r="TUM40" s="37"/>
      <c r="TUN40" s="37"/>
      <c r="TUO40" s="37"/>
      <c r="TUP40" s="37"/>
      <c r="TUQ40" s="37"/>
      <c r="TUR40" s="37"/>
      <c r="TUS40" s="37"/>
      <c r="TUT40" s="37"/>
      <c r="TUU40" s="37"/>
      <c r="TUV40" s="37"/>
      <c r="TUW40" s="37"/>
      <c r="TUX40" s="37"/>
      <c r="TUY40" s="37"/>
      <c r="TUZ40" s="37"/>
      <c r="TVA40" s="37"/>
      <c r="TVB40" s="37"/>
      <c r="TVC40" s="37"/>
      <c r="TVD40" s="37"/>
      <c r="TVE40" s="37"/>
      <c r="TVF40" s="37"/>
      <c r="TVG40" s="37"/>
      <c r="TVH40" s="37"/>
      <c r="TVI40" s="37"/>
      <c r="TVJ40" s="37"/>
      <c r="TVK40" s="37"/>
      <c r="TVL40" s="37"/>
      <c r="TVM40" s="37"/>
      <c r="TVN40" s="37"/>
      <c r="TVO40" s="37"/>
      <c r="TVP40" s="37"/>
      <c r="TVQ40" s="37"/>
      <c r="TVR40" s="37"/>
      <c r="TVS40" s="37"/>
      <c r="TVT40" s="37"/>
      <c r="TVU40" s="37"/>
      <c r="TVV40" s="37"/>
      <c r="TVW40" s="37"/>
      <c r="TVX40" s="37"/>
      <c r="TVY40" s="37"/>
      <c r="TVZ40" s="37"/>
      <c r="TWA40" s="37"/>
      <c r="TWB40" s="37"/>
      <c r="TWC40" s="37"/>
      <c r="TWD40" s="37"/>
      <c r="TWE40" s="37"/>
      <c r="TWF40" s="37"/>
      <c r="TWG40" s="37"/>
      <c r="TWH40" s="37"/>
      <c r="TWI40" s="37"/>
      <c r="TWJ40" s="37"/>
      <c r="TWK40" s="37"/>
      <c r="TWL40" s="37"/>
      <c r="TWM40" s="37"/>
      <c r="TWN40" s="37"/>
      <c r="TWO40" s="37"/>
      <c r="TWP40" s="37"/>
      <c r="TWQ40" s="37"/>
      <c r="TWR40" s="37"/>
      <c r="TWS40" s="37"/>
      <c r="TWT40" s="37"/>
      <c r="TWU40" s="37"/>
      <c r="TWV40" s="37"/>
      <c r="TWW40" s="37"/>
      <c r="TWX40" s="37"/>
      <c r="TWY40" s="37"/>
      <c r="TWZ40" s="37"/>
      <c r="TXA40" s="37"/>
      <c r="TXB40" s="37"/>
      <c r="TXC40" s="37"/>
      <c r="TXD40" s="37"/>
      <c r="TXE40" s="37"/>
      <c r="TXF40" s="37"/>
      <c r="TXG40" s="37"/>
      <c r="TXH40" s="37"/>
      <c r="TXI40" s="37"/>
      <c r="TXJ40" s="37"/>
      <c r="TXK40" s="37"/>
      <c r="TXL40" s="37"/>
      <c r="TXM40" s="37"/>
      <c r="TXN40" s="37"/>
      <c r="TXO40" s="37"/>
      <c r="TXP40" s="37"/>
      <c r="TXQ40" s="37"/>
      <c r="TXR40" s="37"/>
      <c r="TXS40" s="37"/>
      <c r="TXT40" s="37"/>
      <c r="TXU40" s="37"/>
      <c r="TXV40" s="37"/>
      <c r="TXW40" s="37"/>
      <c r="TXX40" s="37"/>
      <c r="TXY40" s="37"/>
      <c r="TXZ40" s="37"/>
      <c r="TYA40" s="37"/>
      <c r="TYB40" s="37"/>
      <c r="TYC40" s="37"/>
      <c r="TYD40" s="37"/>
      <c r="TYE40" s="37"/>
      <c r="TYF40" s="37"/>
      <c r="TYG40" s="37"/>
      <c r="TYH40" s="37"/>
      <c r="TYI40" s="37"/>
      <c r="TYJ40" s="37"/>
      <c r="TYK40" s="37"/>
      <c r="TYL40" s="37"/>
      <c r="TYM40" s="37"/>
      <c r="TYN40" s="37"/>
      <c r="TYO40" s="37"/>
      <c r="TYP40" s="37"/>
      <c r="TYQ40" s="37"/>
      <c r="TYR40" s="37"/>
      <c r="TYS40" s="37"/>
      <c r="TYT40" s="37"/>
      <c r="TYU40" s="37"/>
      <c r="TYV40" s="37"/>
      <c r="TYW40" s="37"/>
      <c r="TYX40" s="37"/>
      <c r="TYY40" s="37"/>
      <c r="TYZ40" s="37"/>
      <c r="TZA40" s="37"/>
      <c r="TZB40" s="37"/>
      <c r="TZC40" s="37"/>
      <c r="TZD40" s="37"/>
      <c r="TZE40" s="37"/>
      <c r="TZF40" s="37"/>
      <c r="TZG40" s="37"/>
      <c r="TZH40" s="37"/>
      <c r="TZI40" s="37"/>
      <c r="TZJ40" s="37"/>
      <c r="TZK40" s="37"/>
      <c r="TZL40" s="37"/>
      <c r="TZM40" s="37"/>
      <c r="TZN40" s="37"/>
      <c r="TZO40" s="37"/>
      <c r="TZP40" s="37"/>
      <c r="TZQ40" s="37"/>
      <c r="TZR40" s="37"/>
      <c r="TZS40" s="37"/>
      <c r="TZT40" s="37"/>
      <c r="TZU40" s="37"/>
      <c r="TZV40" s="37"/>
      <c r="TZW40" s="37"/>
      <c r="TZX40" s="37"/>
      <c r="TZY40" s="37"/>
      <c r="TZZ40" s="37"/>
      <c r="UAA40" s="37"/>
      <c r="UAB40" s="37"/>
      <c r="UAC40" s="37"/>
      <c r="UAD40" s="37"/>
      <c r="UAE40" s="37"/>
      <c r="UAF40" s="37"/>
      <c r="UAG40" s="37"/>
      <c r="UAH40" s="37"/>
      <c r="UAI40" s="37"/>
      <c r="UAJ40" s="37"/>
      <c r="UAK40" s="37"/>
      <c r="UAL40" s="37"/>
      <c r="UAM40" s="37"/>
      <c r="UAN40" s="37"/>
      <c r="UAO40" s="37"/>
      <c r="UAP40" s="37"/>
      <c r="UAQ40" s="37"/>
      <c r="UAR40" s="37"/>
      <c r="UAS40" s="37"/>
      <c r="UAT40" s="37"/>
      <c r="UAU40" s="37"/>
      <c r="UAV40" s="37"/>
      <c r="UAW40" s="37"/>
      <c r="UAX40" s="37"/>
      <c r="UAY40" s="37"/>
      <c r="UAZ40" s="37"/>
      <c r="UBA40" s="37"/>
      <c r="UBB40" s="37"/>
      <c r="UBC40" s="37"/>
      <c r="UBD40" s="37"/>
      <c r="UBE40" s="37"/>
      <c r="UBF40" s="37"/>
      <c r="UBG40" s="37"/>
      <c r="UBH40" s="37"/>
      <c r="UBI40" s="37"/>
      <c r="UBJ40" s="37"/>
      <c r="UBK40" s="37"/>
      <c r="UBL40" s="37"/>
      <c r="UBM40" s="37"/>
      <c r="UBN40" s="37"/>
      <c r="UBO40" s="37"/>
      <c r="UBP40" s="37"/>
      <c r="UBQ40" s="37"/>
      <c r="UBR40" s="37"/>
      <c r="UBS40" s="37"/>
      <c r="UBT40" s="37"/>
      <c r="UBU40" s="37"/>
      <c r="UBV40" s="37"/>
      <c r="UBW40" s="37"/>
      <c r="UBX40" s="37"/>
      <c r="UBY40" s="37"/>
      <c r="UBZ40" s="37"/>
      <c r="UCA40" s="37"/>
      <c r="UCB40" s="37"/>
      <c r="UCC40" s="37"/>
      <c r="UCD40" s="37"/>
      <c r="UCE40" s="37"/>
      <c r="UCF40" s="37"/>
      <c r="UCG40" s="37"/>
      <c r="UCH40" s="37"/>
      <c r="UCI40" s="37"/>
      <c r="UCJ40" s="37"/>
      <c r="UCK40" s="37"/>
      <c r="UCL40" s="37"/>
      <c r="UCM40" s="37"/>
      <c r="UCN40" s="37"/>
      <c r="UCO40" s="37"/>
      <c r="UCP40" s="37"/>
      <c r="UCQ40" s="37"/>
      <c r="UCR40" s="37"/>
      <c r="UCS40" s="37"/>
      <c r="UCT40" s="37"/>
      <c r="UCU40" s="37"/>
      <c r="UCV40" s="37"/>
      <c r="UCW40" s="37"/>
      <c r="UCX40" s="37"/>
      <c r="UCY40" s="37"/>
      <c r="UCZ40" s="37"/>
      <c r="UDA40" s="37"/>
      <c r="UDB40" s="37"/>
      <c r="UDC40" s="37"/>
      <c r="UDD40" s="37"/>
      <c r="UDE40" s="37"/>
      <c r="UDF40" s="37"/>
      <c r="UDG40" s="37"/>
      <c r="UDH40" s="37"/>
      <c r="UDI40" s="37"/>
      <c r="UDJ40" s="37"/>
      <c r="UDK40" s="37"/>
      <c r="UDL40" s="37"/>
      <c r="UDM40" s="37"/>
      <c r="UDN40" s="37"/>
      <c r="UDO40" s="37"/>
      <c r="UDP40" s="37"/>
      <c r="UDQ40" s="37"/>
      <c r="UDR40" s="37"/>
      <c r="UDS40" s="37"/>
      <c r="UDT40" s="37"/>
      <c r="UDU40" s="37"/>
      <c r="UDV40" s="37"/>
      <c r="UDW40" s="37"/>
      <c r="UDX40" s="37"/>
      <c r="UDY40" s="37"/>
      <c r="UDZ40" s="37"/>
      <c r="UEA40" s="37"/>
      <c r="UEB40" s="37"/>
      <c r="UEC40" s="37"/>
      <c r="UED40" s="37"/>
      <c r="UEE40" s="37"/>
      <c r="UEF40" s="37"/>
      <c r="UEG40" s="37"/>
      <c r="UEH40" s="37"/>
      <c r="UEI40" s="37"/>
      <c r="UEJ40" s="37"/>
      <c r="UEK40" s="37"/>
      <c r="UEL40" s="37"/>
      <c r="UEM40" s="37"/>
      <c r="UEN40" s="37"/>
      <c r="UEO40" s="37"/>
      <c r="UEP40" s="37"/>
      <c r="UEQ40" s="37"/>
      <c r="UER40" s="37"/>
      <c r="UES40" s="37"/>
      <c r="UET40" s="37"/>
      <c r="UEU40" s="37"/>
      <c r="UEV40" s="37"/>
      <c r="UEW40" s="37"/>
      <c r="UEX40" s="37"/>
      <c r="UEY40" s="37"/>
      <c r="UEZ40" s="37"/>
      <c r="UFA40" s="37"/>
      <c r="UFB40" s="37"/>
      <c r="UFC40" s="37"/>
      <c r="UFD40" s="37"/>
      <c r="UFE40" s="37"/>
      <c r="UFF40" s="37"/>
      <c r="UFG40" s="37"/>
      <c r="UFH40" s="37"/>
      <c r="UFI40" s="37"/>
      <c r="UFJ40" s="37"/>
      <c r="UFK40" s="37"/>
      <c r="UFL40" s="37"/>
      <c r="UFM40" s="37"/>
      <c r="UFN40" s="37"/>
      <c r="UFO40" s="37"/>
      <c r="UFP40" s="37"/>
      <c r="UFQ40" s="37"/>
      <c r="UFR40" s="37"/>
      <c r="UFS40" s="37"/>
      <c r="UFT40" s="37"/>
      <c r="UFU40" s="37"/>
      <c r="UFV40" s="37"/>
      <c r="UFW40" s="37"/>
      <c r="UFX40" s="37"/>
      <c r="UFY40" s="37"/>
      <c r="UFZ40" s="37"/>
      <c r="UGA40" s="37"/>
      <c r="UGB40" s="37"/>
      <c r="UGC40" s="37"/>
      <c r="UGD40" s="37"/>
      <c r="UGE40" s="37"/>
      <c r="UGF40" s="37"/>
      <c r="UGG40" s="37"/>
      <c r="UGH40" s="37"/>
      <c r="UGI40" s="37"/>
      <c r="UGJ40" s="37"/>
      <c r="UGK40" s="37"/>
      <c r="UGL40" s="37"/>
      <c r="UGM40" s="37"/>
      <c r="UGN40" s="37"/>
      <c r="UGO40" s="37"/>
      <c r="UGP40" s="37"/>
      <c r="UGQ40" s="37"/>
      <c r="UGR40" s="37"/>
      <c r="UGS40" s="37"/>
      <c r="UGT40" s="37"/>
      <c r="UGU40" s="37"/>
      <c r="UGV40" s="37"/>
      <c r="UGW40" s="37"/>
      <c r="UGX40" s="37"/>
      <c r="UGY40" s="37"/>
      <c r="UGZ40" s="37"/>
      <c r="UHA40" s="37"/>
      <c r="UHB40" s="37"/>
      <c r="UHC40" s="37"/>
      <c r="UHD40" s="37"/>
      <c r="UHE40" s="37"/>
      <c r="UHF40" s="37"/>
      <c r="UHG40" s="37"/>
      <c r="UHH40" s="37"/>
      <c r="UHI40" s="37"/>
      <c r="UHJ40" s="37"/>
      <c r="UHK40" s="37"/>
      <c r="UHL40" s="37"/>
      <c r="UHM40" s="37"/>
      <c r="UHN40" s="37"/>
      <c r="UHO40" s="37"/>
      <c r="UHP40" s="37"/>
      <c r="UHQ40" s="37"/>
      <c r="UHR40" s="37"/>
      <c r="UHS40" s="37"/>
      <c r="UHT40" s="37"/>
      <c r="UHU40" s="37"/>
      <c r="UHV40" s="37"/>
      <c r="UHW40" s="37"/>
      <c r="UHX40" s="37"/>
      <c r="UHY40" s="37"/>
      <c r="UHZ40" s="37"/>
      <c r="UIA40" s="37"/>
      <c r="UIB40" s="37"/>
      <c r="UIC40" s="37"/>
      <c r="UID40" s="37"/>
      <c r="UIE40" s="37"/>
      <c r="UIF40" s="37"/>
      <c r="UIG40" s="37"/>
      <c r="UIH40" s="37"/>
      <c r="UII40" s="37"/>
      <c r="UIJ40" s="37"/>
      <c r="UIK40" s="37"/>
      <c r="UIL40" s="37"/>
      <c r="UIM40" s="37"/>
      <c r="UIN40" s="37"/>
      <c r="UIO40" s="37"/>
      <c r="UIP40" s="37"/>
      <c r="UIQ40" s="37"/>
      <c r="UIR40" s="37"/>
      <c r="UIS40" s="37"/>
      <c r="UIT40" s="37"/>
      <c r="UIU40" s="37"/>
      <c r="UIV40" s="37"/>
      <c r="UIW40" s="37"/>
      <c r="UIX40" s="37"/>
      <c r="UIY40" s="37"/>
      <c r="UIZ40" s="37"/>
      <c r="UJA40" s="37"/>
      <c r="UJB40" s="37"/>
      <c r="UJC40" s="37"/>
      <c r="UJD40" s="37"/>
      <c r="UJE40" s="37"/>
      <c r="UJF40" s="37"/>
      <c r="UJG40" s="37"/>
      <c r="UJH40" s="37"/>
      <c r="UJI40" s="37"/>
      <c r="UJJ40" s="37"/>
      <c r="UJK40" s="37"/>
      <c r="UJL40" s="37"/>
      <c r="UJM40" s="37"/>
      <c r="UJN40" s="37"/>
      <c r="UJO40" s="37"/>
      <c r="UJP40" s="37"/>
      <c r="UJQ40" s="37"/>
      <c r="UJR40" s="37"/>
      <c r="UJS40" s="37"/>
      <c r="UJT40" s="37"/>
      <c r="UJU40" s="37"/>
      <c r="UJV40" s="37"/>
      <c r="UJW40" s="37"/>
      <c r="UJX40" s="37"/>
      <c r="UJY40" s="37"/>
      <c r="UJZ40" s="37"/>
      <c r="UKA40" s="37"/>
      <c r="UKB40" s="37"/>
      <c r="UKC40" s="37"/>
      <c r="UKD40" s="37"/>
      <c r="UKE40" s="37"/>
      <c r="UKF40" s="37"/>
      <c r="UKG40" s="37"/>
      <c r="UKH40" s="37"/>
      <c r="UKI40" s="37"/>
      <c r="UKJ40" s="37"/>
      <c r="UKK40" s="37"/>
      <c r="UKL40" s="37"/>
      <c r="UKM40" s="37"/>
      <c r="UKN40" s="37"/>
      <c r="UKO40" s="37"/>
      <c r="UKP40" s="37"/>
      <c r="UKQ40" s="37"/>
      <c r="UKR40" s="37"/>
      <c r="UKS40" s="37"/>
      <c r="UKT40" s="37"/>
      <c r="UKU40" s="37"/>
      <c r="UKV40" s="37"/>
      <c r="UKW40" s="37"/>
      <c r="UKX40" s="37"/>
      <c r="UKY40" s="37"/>
      <c r="UKZ40" s="37"/>
      <c r="ULA40" s="37"/>
      <c r="ULB40" s="37"/>
      <c r="ULC40" s="37"/>
      <c r="ULD40" s="37"/>
      <c r="ULE40" s="37"/>
      <c r="ULF40" s="37"/>
      <c r="ULG40" s="37"/>
      <c r="ULH40" s="37"/>
      <c r="ULI40" s="37"/>
      <c r="ULJ40" s="37"/>
      <c r="ULK40" s="37"/>
      <c r="ULL40" s="37"/>
      <c r="ULM40" s="37"/>
      <c r="ULN40" s="37"/>
      <c r="ULO40" s="37"/>
      <c r="ULP40" s="37"/>
      <c r="ULQ40" s="37"/>
      <c r="ULR40" s="37"/>
      <c r="ULS40" s="37"/>
      <c r="ULT40" s="37"/>
      <c r="ULU40" s="37"/>
      <c r="ULV40" s="37"/>
      <c r="ULW40" s="37"/>
      <c r="ULX40" s="37"/>
      <c r="ULY40" s="37"/>
      <c r="ULZ40" s="37"/>
      <c r="UMA40" s="37"/>
      <c r="UMB40" s="37"/>
      <c r="UMC40" s="37"/>
      <c r="UMD40" s="37"/>
      <c r="UME40" s="37"/>
      <c r="UMF40" s="37"/>
      <c r="UMG40" s="37"/>
      <c r="UMH40" s="37"/>
      <c r="UMI40" s="37"/>
      <c r="UMJ40" s="37"/>
      <c r="UMK40" s="37"/>
      <c r="UML40" s="37"/>
      <c r="UMM40" s="37"/>
      <c r="UMN40" s="37"/>
      <c r="UMO40" s="37"/>
      <c r="UMP40" s="37"/>
      <c r="UMQ40" s="37"/>
      <c r="UMR40" s="37"/>
      <c r="UMS40" s="37"/>
      <c r="UMT40" s="37"/>
      <c r="UMU40" s="37"/>
      <c r="UMV40" s="37"/>
      <c r="UMW40" s="37"/>
      <c r="UMX40" s="37"/>
      <c r="UMY40" s="37"/>
      <c r="UMZ40" s="37"/>
      <c r="UNA40" s="37"/>
      <c r="UNB40" s="37"/>
      <c r="UNC40" s="37"/>
      <c r="UND40" s="37"/>
      <c r="UNE40" s="37"/>
      <c r="UNF40" s="37"/>
      <c r="UNG40" s="37"/>
      <c r="UNH40" s="37"/>
      <c r="UNI40" s="37"/>
      <c r="UNJ40" s="37"/>
      <c r="UNK40" s="37"/>
      <c r="UNL40" s="37"/>
      <c r="UNM40" s="37"/>
      <c r="UNN40" s="37"/>
      <c r="UNO40" s="37"/>
      <c r="UNP40" s="37"/>
      <c r="UNQ40" s="37"/>
      <c r="UNR40" s="37"/>
      <c r="UNS40" s="37"/>
      <c r="UNT40" s="37"/>
      <c r="UNU40" s="37"/>
      <c r="UNV40" s="37"/>
      <c r="UNW40" s="37"/>
      <c r="UNX40" s="37"/>
      <c r="UNY40" s="37"/>
      <c r="UNZ40" s="37"/>
      <c r="UOA40" s="37"/>
      <c r="UOB40" s="37"/>
      <c r="UOC40" s="37"/>
      <c r="UOD40" s="37"/>
      <c r="UOE40" s="37"/>
      <c r="UOF40" s="37"/>
      <c r="UOG40" s="37"/>
      <c r="UOH40" s="37"/>
      <c r="UOI40" s="37"/>
      <c r="UOJ40" s="37"/>
      <c r="UOK40" s="37"/>
      <c r="UOL40" s="37"/>
      <c r="UOM40" s="37"/>
      <c r="UON40" s="37"/>
      <c r="UOO40" s="37"/>
      <c r="UOP40" s="37"/>
      <c r="UOQ40" s="37"/>
      <c r="UOR40" s="37"/>
      <c r="UOS40" s="37"/>
      <c r="UOT40" s="37"/>
      <c r="UOU40" s="37"/>
      <c r="UOV40" s="37"/>
      <c r="UOW40" s="37"/>
      <c r="UOX40" s="37"/>
      <c r="UOY40" s="37"/>
      <c r="UOZ40" s="37"/>
      <c r="UPA40" s="37"/>
      <c r="UPB40" s="37"/>
      <c r="UPC40" s="37"/>
      <c r="UPD40" s="37"/>
      <c r="UPE40" s="37"/>
      <c r="UPF40" s="37"/>
      <c r="UPG40" s="37"/>
      <c r="UPH40" s="37"/>
      <c r="UPI40" s="37"/>
      <c r="UPJ40" s="37"/>
      <c r="UPK40" s="37"/>
      <c r="UPL40" s="37"/>
      <c r="UPM40" s="37"/>
      <c r="UPN40" s="37"/>
      <c r="UPO40" s="37"/>
      <c r="UPP40" s="37"/>
      <c r="UPQ40" s="37"/>
      <c r="UPR40" s="37"/>
      <c r="UPS40" s="37"/>
      <c r="UPT40" s="37"/>
      <c r="UPU40" s="37"/>
      <c r="UPV40" s="37"/>
      <c r="UPW40" s="37"/>
      <c r="UPX40" s="37"/>
      <c r="UPY40" s="37"/>
      <c r="UPZ40" s="37"/>
      <c r="UQA40" s="37"/>
      <c r="UQB40" s="37"/>
      <c r="UQC40" s="37"/>
      <c r="UQD40" s="37"/>
      <c r="UQE40" s="37"/>
      <c r="UQF40" s="37"/>
      <c r="UQG40" s="37"/>
      <c r="UQH40" s="37"/>
      <c r="UQI40" s="37"/>
      <c r="UQJ40" s="37"/>
      <c r="UQK40" s="37"/>
      <c r="UQL40" s="37"/>
      <c r="UQM40" s="37"/>
      <c r="UQN40" s="37"/>
      <c r="UQO40" s="37"/>
      <c r="UQP40" s="37"/>
      <c r="UQQ40" s="37"/>
      <c r="UQR40" s="37"/>
      <c r="UQS40" s="37"/>
      <c r="UQT40" s="37"/>
      <c r="UQU40" s="37"/>
      <c r="UQV40" s="37"/>
      <c r="UQW40" s="37"/>
      <c r="UQX40" s="37"/>
      <c r="UQY40" s="37"/>
      <c r="UQZ40" s="37"/>
      <c r="URA40" s="37"/>
      <c r="URB40" s="37"/>
      <c r="URC40" s="37"/>
      <c r="URD40" s="37"/>
      <c r="URE40" s="37"/>
      <c r="URF40" s="37"/>
      <c r="URG40" s="37"/>
      <c r="URH40" s="37"/>
      <c r="URI40" s="37"/>
      <c r="URJ40" s="37"/>
      <c r="URK40" s="37"/>
      <c r="URL40" s="37"/>
      <c r="URM40" s="37"/>
      <c r="URN40" s="37"/>
      <c r="URO40" s="37"/>
      <c r="URP40" s="37"/>
      <c r="URQ40" s="37"/>
      <c r="URR40" s="37"/>
      <c r="URS40" s="37"/>
      <c r="URT40" s="37"/>
      <c r="URU40" s="37"/>
      <c r="URV40" s="37"/>
      <c r="URW40" s="37"/>
      <c r="URX40" s="37"/>
      <c r="URY40" s="37"/>
      <c r="URZ40" s="37"/>
      <c r="USA40" s="37"/>
      <c r="USB40" s="37"/>
      <c r="USC40" s="37"/>
      <c r="USD40" s="37"/>
      <c r="USE40" s="37"/>
      <c r="USF40" s="37"/>
      <c r="USG40" s="37"/>
      <c r="USH40" s="37"/>
      <c r="USI40" s="37"/>
      <c r="USJ40" s="37"/>
      <c r="USK40" s="37"/>
      <c r="USL40" s="37"/>
      <c r="USM40" s="37"/>
      <c r="USN40" s="37"/>
      <c r="USO40" s="37"/>
      <c r="USP40" s="37"/>
      <c r="USQ40" s="37"/>
      <c r="USR40" s="37"/>
      <c r="USS40" s="37"/>
      <c r="UST40" s="37"/>
      <c r="USU40" s="37"/>
      <c r="USV40" s="37"/>
      <c r="USW40" s="37"/>
      <c r="USX40" s="37"/>
      <c r="USY40" s="37"/>
      <c r="USZ40" s="37"/>
      <c r="UTA40" s="37"/>
      <c r="UTB40" s="37"/>
      <c r="UTC40" s="37"/>
      <c r="UTD40" s="37"/>
      <c r="UTE40" s="37"/>
      <c r="UTF40" s="37"/>
      <c r="UTG40" s="37"/>
      <c r="UTH40" s="37"/>
      <c r="UTI40" s="37"/>
      <c r="UTJ40" s="37"/>
      <c r="UTK40" s="37"/>
      <c r="UTL40" s="37"/>
      <c r="UTM40" s="37"/>
      <c r="UTN40" s="37"/>
      <c r="UTO40" s="37"/>
      <c r="UTP40" s="37"/>
      <c r="UTQ40" s="37"/>
      <c r="UTR40" s="37"/>
      <c r="UTS40" s="37"/>
      <c r="UTT40" s="37"/>
      <c r="UTU40" s="37"/>
      <c r="UTV40" s="37"/>
      <c r="UTW40" s="37"/>
      <c r="UTX40" s="37"/>
      <c r="UTY40" s="37"/>
      <c r="UTZ40" s="37"/>
      <c r="UUA40" s="37"/>
      <c r="UUB40" s="37"/>
      <c r="UUC40" s="37"/>
      <c r="UUD40" s="37"/>
      <c r="UUE40" s="37"/>
      <c r="UUF40" s="37"/>
      <c r="UUG40" s="37"/>
      <c r="UUH40" s="37"/>
      <c r="UUI40" s="37"/>
      <c r="UUJ40" s="37"/>
      <c r="UUK40" s="37"/>
      <c r="UUL40" s="37"/>
      <c r="UUM40" s="37"/>
      <c r="UUN40" s="37"/>
      <c r="UUO40" s="37"/>
      <c r="UUP40" s="37"/>
      <c r="UUQ40" s="37"/>
      <c r="UUR40" s="37"/>
      <c r="UUS40" s="37"/>
      <c r="UUT40" s="37"/>
      <c r="UUU40" s="37"/>
      <c r="UUV40" s="37"/>
      <c r="UUW40" s="37"/>
      <c r="UUX40" s="37"/>
      <c r="UUY40" s="37"/>
      <c r="UUZ40" s="37"/>
      <c r="UVA40" s="37"/>
      <c r="UVB40" s="37"/>
      <c r="UVC40" s="37"/>
      <c r="UVD40" s="37"/>
      <c r="UVE40" s="37"/>
      <c r="UVF40" s="37"/>
      <c r="UVG40" s="37"/>
      <c r="UVH40" s="37"/>
      <c r="UVI40" s="37"/>
      <c r="UVJ40" s="37"/>
      <c r="UVK40" s="37"/>
      <c r="UVL40" s="37"/>
      <c r="UVM40" s="37"/>
      <c r="UVN40" s="37"/>
      <c r="UVO40" s="37"/>
      <c r="UVP40" s="37"/>
      <c r="UVQ40" s="37"/>
      <c r="UVR40" s="37"/>
      <c r="UVS40" s="37"/>
      <c r="UVT40" s="37"/>
      <c r="UVU40" s="37"/>
      <c r="UVV40" s="37"/>
      <c r="UVW40" s="37"/>
      <c r="UVX40" s="37"/>
      <c r="UVY40" s="37"/>
      <c r="UVZ40" s="37"/>
      <c r="UWA40" s="37"/>
      <c r="UWB40" s="37"/>
      <c r="UWC40" s="37"/>
      <c r="UWD40" s="37"/>
      <c r="UWE40" s="37"/>
      <c r="UWF40" s="37"/>
      <c r="UWG40" s="37"/>
      <c r="UWH40" s="37"/>
      <c r="UWI40" s="37"/>
      <c r="UWJ40" s="37"/>
      <c r="UWK40" s="37"/>
      <c r="UWL40" s="37"/>
      <c r="UWM40" s="37"/>
      <c r="UWN40" s="37"/>
      <c r="UWO40" s="37"/>
      <c r="UWP40" s="37"/>
      <c r="UWQ40" s="37"/>
      <c r="UWR40" s="37"/>
      <c r="UWS40" s="37"/>
      <c r="UWT40" s="37"/>
      <c r="UWU40" s="37"/>
      <c r="UWV40" s="37"/>
      <c r="UWW40" s="37"/>
      <c r="UWX40" s="37"/>
      <c r="UWY40" s="37"/>
      <c r="UWZ40" s="37"/>
      <c r="UXA40" s="37"/>
      <c r="UXB40" s="37"/>
      <c r="UXC40" s="37"/>
      <c r="UXD40" s="37"/>
      <c r="UXE40" s="37"/>
      <c r="UXF40" s="37"/>
      <c r="UXG40" s="37"/>
      <c r="UXH40" s="37"/>
      <c r="UXI40" s="37"/>
      <c r="UXJ40" s="37"/>
      <c r="UXK40" s="37"/>
      <c r="UXL40" s="37"/>
      <c r="UXM40" s="37"/>
      <c r="UXN40" s="37"/>
      <c r="UXO40" s="37"/>
      <c r="UXP40" s="37"/>
      <c r="UXQ40" s="37"/>
      <c r="UXR40" s="37"/>
      <c r="UXS40" s="37"/>
      <c r="UXT40" s="37"/>
      <c r="UXU40" s="37"/>
      <c r="UXV40" s="37"/>
      <c r="UXW40" s="37"/>
      <c r="UXX40" s="37"/>
      <c r="UXY40" s="37"/>
      <c r="UXZ40" s="37"/>
      <c r="UYA40" s="37"/>
      <c r="UYB40" s="37"/>
      <c r="UYC40" s="37"/>
      <c r="UYD40" s="37"/>
      <c r="UYE40" s="37"/>
      <c r="UYF40" s="37"/>
      <c r="UYG40" s="37"/>
      <c r="UYH40" s="37"/>
      <c r="UYI40" s="37"/>
      <c r="UYJ40" s="37"/>
      <c r="UYK40" s="37"/>
      <c r="UYL40" s="37"/>
      <c r="UYM40" s="37"/>
      <c r="UYN40" s="37"/>
      <c r="UYO40" s="37"/>
      <c r="UYP40" s="37"/>
      <c r="UYQ40" s="37"/>
      <c r="UYR40" s="37"/>
      <c r="UYS40" s="37"/>
      <c r="UYT40" s="37"/>
      <c r="UYU40" s="37"/>
      <c r="UYV40" s="37"/>
      <c r="UYW40" s="37"/>
      <c r="UYX40" s="37"/>
      <c r="UYY40" s="37"/>
      <c r="UYZ40" s="37"/>
      <c r="UZA40" s="37"/>
      <c r="UZB40" s="37"/>
      <c r="UZC40" s="37"/>
      <c r="UZD40" s="37"/>
      <c r="UZE40" s="37"/>
      <c r="UZF40" s="37"/>
      <c r="UZG40" s="37"/>
      <c r="UZH40" s="37"/>
      <c r="UZI40" s="37"/>
      <c r="UZJ40" s="37"/>
      <c r="UZK40" s="37"/>
      <c r="UZL40" s="37"/>
      <c r="UZM40" s="37"/>
      <c r="UZN40" s="37"/>
      <c r="UZO40" s="37"/>
      <c r="UZP40" s="37"/>
      <c r="UZQ40" s="37"/>
      <c r="UZR40" s="37"/>
      <c r="UZS40" s="37"/>
      <c r="UZT40" s="37"/>
      <c r="UZU40" s="37"/>
      <c r="UZV40" s="37"/>
      <c r="UZW40" s="37"/>
      <c r="UZX40" s="37"/>
      <c r="UZY40" s="37"/>
      <c r="UZZ40" s="37"/>
      <c r="VAA40" s="37"/>
      <c r="VAB40" s="37"/>
      <c r="VAC40" s="37"/>
      <c r="VAD40" s="37"/>
      <c r="VAE40" s="37"/>
      <c r="VAF40" s="37"/>
      <c r="VAG40" s="37"/>
      <c r="VAH40" s="37"/>
      <c r="VAI40" s="37"/>
      <c r="VAJ40" s="37"/>
      <c r="VAK40" s="37"/>
      <c r="VAL40" s="37"/>
      <c r="VAM40" s="37"/>
      <c r="VAN40" s="37"/>
      <c r="VAO40" s="37"/>
      <c r="VAP40" s="37"/>
      <c r="VAQ40" s="37"/>
      <c r="VAR40" s="37"/>
      <c r="VAS40" s="37"/>
      <c r="VAT40" s="37"/>
      <c r="VAU40" s="37"/>
      <c r="VAV40" s="37"/>
      <c r="VAW40" s="37"/>
      <c r="VAX40" s="37"/>
      <c r="VAY40" s="37"/>
      <c r="VAZ40" s="37"/>
      <c r="VBA40" s="37"/>
      <c r="VBB40" s="37"/>
      <c r="VBC40" s="37"/>
      <c r="VBD40" s="37"/>
      <c r="VBE40" s="37"/>
      <c r="VBF40" s="37"/>
      <c r="VBG40" s="37"/>
      <c r="VBH40" s="37"/>
      <c r="VBI40" s="37"/>
      <c r="VBJ40" s="37"/>
      <c r="VBK40" s="37"/>
      <c r="VBL40" s="37"/>
      <c r="VBM40" s="37"/>
      <c r="VBN40" s="37"/>
      <c r="VBO40" s="37"/>
      <c r="VBP40" s="37"/>
      <c r="VBQ40" s="37"/>
      <c r="VBR40" s="37"/>
      <c r="VBS40" s="37"/>
      <c r="VBT40" s="37"/>
      <c r="VBU40" s="37"/>
      <c r="VBV40" s="37"/>
      <c r="VBW40" s="37"/>
      <c r="VBX40" s="37"/>
      <c r="VBY40" s="37"/>
      <c r="VBZ40" s="37"/>
      <c r="VCA40" s="37"/>
      <c r="VCB40" s="37"/>
      <c r="VCC40" s="37"/>
      <c r="VCD40" s="37"/>
      <c r="VCE40" s="37"/>
      <c r="VCF40" s="37"/>
      <c r="VCG40" s="37"/>
      <c r="VCH40" s="37"/>
      <c r="VCI40" s="37"/>
      <c r="VCJ40" s="37"/>
      <c r="VCK40" s="37"/>
      <c r="VCL40" s="37"/>
      <c r="VCM40" s="37"/>
      <c r="VCN40" s="37"/>
      <c r="VCO40" s="37"/>
      <c r="VCP40" s="37"/>
      <c r="VCQ40" s="37"/>
      <c r="VCR40" s="37"/>
      <c r="VCS40" s="37"/>
      <c r="VCT40" s="37"/>
      <c r="VCU40" s="37"/>
      <c r="VCV40" s="37"/>
      <c r="VCW40" s="37"/>
      <c r="VCX40" s="37"/>
      <c r="VCY40" s="37"/>
      <c r="VCZ40" s="37"/>
      <c r="VDA40" s="37"/>
      <c r="VDB40" s="37"/>
      <c r="VDC40" s="37"/>
      <c r="VDD40" s="37"/>
      <c r="VDE40" s="37"/>
      <c r="VDF40" s="37"/>
      <c r="VDG40" s="37"/>
      <c r="VDH40" s="37"/>
      <c r="VDI40" s="37"/>
      <c r="VDJ40" s="37"/>
      <c r="VDK40" s="37"/>
      <c r="VDL40" s="37"/>
      <c r="VDM40" s="37"/>
      <c r="VDN40" s="37"/>
      <c r="VDO40" s="37"/>
      <c r="VDP40" s="37"/>
      <c r="VDQ40" s="37"/>
      <c r="VDR40" s="37"/>
      <c r="VDS40" s="37"/>
      <c r="VDT40" s="37"/>
      <c r="VDU40" s="37"/>
      <c r="VDV40" s="37"/>
      <c r="VDW40" s="37"/>
      <c r="VDX40" s="37"/>
      <c r="VDY40" s="37"/>
      <c r="VDZ40" s="37"/>
      <c r="VEA40" s="37"/>
      <c r="VEB40" s="37"/>
      <c r="VEC40" s="37"/>
      <c r="VED40" s="37"/>
      <c r="VEE40" s="37"/>
      <c r="VEF40" s="37"/>
      <c r="VEG40" s="37"/>
      <c r="VEH40" s="37"/>
      <c r="VEI40" s="37"/>
      <c r="VEJ40" s="37"/>
      <c r="VEK40" s="37"/>
      <c r="VEL40" s="37"/>
      <c r="VEM40" s="37"/>
      <c r="VEN40" s="37"/>
      <c r="VEO40" s="37"/>
      <c r="VEP40" s="37"/>
      <c r="VEQ40" s="37"/>
      <c r="VER40" s="37"/>
      <c r="VES40" s="37"/>
      <c r="VET40" s="37"/>
      <c r="VEU40" s="37"/>
      <c r="VEV40" s="37"/>
      <c r="VEW40" s="37"/>
      <c r="VEX40" s="37"/>
      <c r="VEY40" s="37"/>
      <c r="VEZ40" s="37"/>
      <c r="VFA40" s="37"/>
      <c r="VFB40" s="37"/>
      <c r="VFC40" s="37"/>
      <c r="VFD40" s="37"/>
      <c r="VFE40" s="37"/>
      <c r="VFF40" s="37"/>
      <c r="VFG40" s="37"/>
      <c r="VFH40" s="37"/>
      <c r="VFI40" s="37"/>
      <c r="VFJ40" s="37"/>
      <c r="VFK40" s="37"/>
      <c r="VFL40" s="37"/>
      <c r="VFM40" s="37"/>
      <c r="VFN40" s="37"/>
      <c r="VFO40" s="37"/>
      <c r="VFP40" s="37"/>
      <c r="VFQ40" s="37"/>
      <c r="VFR40" s="37"/>
      <c r="VFS40" s="37"/>
      <c r="VFT40" s="37"/>
      <c r="VFU40" s="37"/>
      <c r="VFV40" s="37"/>
      <c r="VFW40" s="37"/>
      <c r="VFX40" s="37"/>
      <c r="VFY40" s="37"/>
      <c r="VFZ40" s="37"/>
      <c r="VGA40" s="37"/>
      <c r="VGB40" s="37"/>
      <c r="VGC40" s="37"/>
      <c r="VGD40" s="37"/>
      <c r="VGE40" s="37"/>
      <c r="VGF40" s="37"/>
      <c r="VGG40" s="37"/>
      <c r="VGH40" s="37"/>
      <c r="VGI40" s="37"/>
      <c r="VGJ40" s="37"/>
      <c r="VGK40" s="37"/>
      <c r="VGL40" s="37"/>
      <c r="VGM40" s="37"/>
      <c r="VGN40" s="37"/>
      <c r="VGO40" s="37"/>
      <c r="VGP40" s="37"/>
      <c r="VGQ40" s="37"/>
      <c r="VGR40" s="37"/>
      <c r="VGS40" s="37"/>
      <c r="VGT40" s="37"/>
      <c r="VGU40" s="37"/>
      <c r="VGV40" s="37"/>
      <c r="VGW40" s="37"/>
      <c r="VGX40" s="37"/>
      <c r="VGY40" s="37"/>
      <c r="VGZ40" s="37"/>
      <c r="VHA40" s="37"/>
      <c r="VHB40" s="37"/>
      <c r="VHC40" s="37"/>
      <c r="VHD40" s="37"/>
      <c r="VHE40" s="37"/>
      <c r="VHF40" s="37"/>
      <c r="VHG40" s="37"/>
      <c r="VHH40" s="37"/>
      <c r="VHI40" s="37"/>
      <c r="VHJ40" s="37"/>
      <c r="VHK40" s="37"/>
      <c r="VHL40" s="37"/>
      <c r="VHM40" s="37"/>
      <c r="VHN40" s="37"/>
      <c r="VHO40" s="37"/>
      <c r="VHP40" s="37"/>
      <c r="VHQ40" s="37"/>
      <c r="VHR40" s="37"/>
      <c r="VHS40" s="37"/>
      <c r="VHT40" s="37"/>
      <c r="VHU40" s="37"/>
      <c r="VHV40" s="37"/>
      <c r="VHW40" s="37"/>
      <c r="VHX40" s="37"/>
      <c r="VHY40" s="37"/>
      <c r="VHZ40" s="37"/>
      <c r="VIA40" s="37"/>
      <c r="VIB40" s="37"/>
      <c r="VIC40" s="37"/>
      <c r="VID40" s="37"/>
      <c r="VIE40" s="37"/>
      <c r="VIF40" s="37"/>
      <c r="VIG40" s="37"/>
      <c r="VIH40" s="37"/>
      <c r="VII40" s="37"/>
      <c r="VIJ40" s="37"/>
      <c r="VIK40" s="37"/>
      <c r="VIL40" s="37"/>
      <c r="VIM40" s="37"/>
      <c r="VIN40" s="37"/>
      <c r="VIO40" s="37"/>
      <c r="VIP40" s="37"/>
      <c r="VIQ40" s="37"/>
      <c r="VIR40" s="37"/>
      <c r="VIS40" s="37"/>
      <c r="VIT40" s="37"/>
      <c r="VIU40" s="37"/>
      <c r="VIV40" s="37"/>
      <c r="VIW40" s="37"/>
      <c r="VIX40" s="37"/>
      <c r="VIY40" s="37"/>
      <c r="VIZ40" s="37"/>
      <c r="VJA40" s="37"/>
      <c r="VJB40" s="37"/>
      <c r="VJC40" s="37"/>
      <c r="VJD40" s="37"/>
      <c r="VJE40" s="37"/>
      <c r="VJF40" s="37"/>
      <c r="VJG40" s="37"/>
      <c r="VJH40" s="37"/>
      <c r="VJI40" s="37"/>
      <c r="VJJ40" s="37"/>
      <c r="VJK40" s="37"/>
      <c r="VJL40" s="37"/>
      <c r="VJM40" s="37"/>
      <c r="VJN40" s="37"/>
      <c r="VJO40" s="37"/>
      <c r="VJP40" s="37"/>
      <c r="VJQ40" s="37"/>
      <c r="VJR40" s="37"/>
      <c r="VJS40" s="37"/>
      <c r="VJT40" s="37"/>
      <c r="VJU40" s="37"/>
      <c r="VJV40" s="37"/>
      <c r="VJW40" s="37"/>
      <c r="VJX40" s="37"/>
      <c r="VJY40" s="37"/>
      <c r="VJZ40" s="37"/>
      <c r="VKA40" s="37"/>
      <c r="VKB40" s="37"/>
      <c r="VKC40" s="37"/>
      <c r="VKD40" s="37"/>
      <c r="VKE40" s="37"/>
      <c r="VKF40" s="37"/>
      <c r="VKG40" s="37"/>
      <c r="VKH40" s="37"/>
      <c r="VKI40" s="37"/>
      <c r="VKJ40" s="37"/>
      <c r="VKK40" s="37"/>
      <c r="VKL40" s="37"/>
      <c r="VKM40" s="37"/>
      <c r="VKN40" s="37"/>
      <c r="VKO40" s="37"/>
      <c r="VKP40" s="37"/>
      <c r="VKQ40" s="37"/>
      <c r="VKR40" s="37"/>
      <c r="VKS40" s="37"/>
      <c r="VKT40" s="37"/>
      <c r="VKU40" s="37"/>
      <c r="VKV40" s="37"/>
      <c r="VKW40" s="37"/>
      <c r="VKX40" s="37"/>
      <c r="VKY40" s="37"/>
      <c r="VKZ40" s="37"/>
      <c r="VLA40" s="37"/>
      <c r="VLB40" s="37"/>
      <c r="VLC40" s="37"/>
      <c r="VLD40" s="37"/>
      <c r="VLE40" s="37"/>
      <c r="VLF40" s="37"/>
      <c r="VLG40" s="37"/>
      <c r="VLH40" s="37"/>
      <c r="VLI40" s="37"/>
      <c r="VLJ40" s="37"/>
      <c r="VLK40" s="37"/>
      <c r="VLL40" s="37"/>
      <c r="VLM40" s="37"/>
      <c r="VLN40" s="37"/>
      <c r="VLO40" s="37"/>
      <c r="VLP40" s="37"/>
      <c r="VLQ40" s="37"/>
      <c r="VLR40" s="37"/>
      <c r="VLS40" s="37"/>
      <c r="VLT40" s="37"/>
      <c r="VLU40" s="37"/>
      <c r="VLV40" s="37"/>
      <c r="VLW40" s="37"/>
      <c r="VLX40" s="37"/>
      <c r="VLY40" s="37"/>
      <c r="VLZ40" s="37"/>
      <c r="VMA40" s="37"/>
      <c r="VMB40" s="37"/>
      <c r="VMC40" s="37"/>
      <c r="VMD40" s="37"/>
      <c r="VME40" s="37"/>
      <c r="VMF40" s="37"/>
      <c r="VMG40" s="37"/>
      <c r="VMH40" s="37"/>
      <c r="VMI40" s="37"/>
      <c r="VMJ40" s="37"/>
      <c r="VMK40" s="37"/>
      <c r="VML40" s="37"/>
      <c r="VMM40" s="37"/>
      <c r="VMN40" s="37"/>
      <c r="VMO40" s="37"/>
      <c r="VMP40" s="37"/>
      <c r="VMQ40" s="37"/>
      <c r="VMR40" s="37"/>
      <c r="VMS40" s="37"/>
      <c r="VMT40" s="37"/>
      <c r="VMU40" s="37"/>
      <c r="VMV40" s="37"/>
      <c r="VMW40" s="37"/>
      <c r="VMX40" s="37"/>
      <c r="VMY40" s="37"/>
      <c r="VMZ40" s="37"/>
      <c r="VNA40" s="37"/>
      <c r="VNB40" s="37"/>
      <c r="VNC40" s="37"/>
      <c r="VND40" s="37"/>
      <c r="VNE40" s="37"/>
      <c r="VNF40" s="37"/>
      <c r="VNG40" s="37"/>
      <c r="VNH40" s="37"/>
      <c r="VNI40" s="37"/>
      <c r="VNJ40" s="37"/>
      <c r="VNK40" s="37"/>
      <c r="VNL40" s="37"/>
      <c r="VNM40" s="37"/>
      <c r="VNN40" s="37"/>
      <c r="VNO40" s="37"/>
      <c r="VNP40" s="37"/>
      <c r="VNQ40" s="37"/>
      <c r="VNR40" s="37"/>
      <c r="VNS40" s="37"/>
      <c r="VNT40" s="37"/>
      <c r="VNU40" s="37"/>
      <c r="VNV40" s="37"/>
      <c r="VNW40" s="37"/>
      <c r="VNX40" s="37"/>
      <c r="VNY40" s="37"/>
      <c r="VNZ40" s="37"/>
      <c r="VOA40" s="37"/>
      <c r="VOB40" s="37"/>
      <c r="VOC40" s="37"/>
      <c r="VOD40" s="37"/>
      <c r="VOE40" s="37"/>
      <c r="VOF40" s="37"/>
      <c r="VOG40" s="37"/>
      <c r="VOH40" s="37"/>
      <c r="VOI40" s="37"/>
      <c r="VOJ40" s="37"/>
      <c r="VOK40" s="37"/>
      <c r="VOL40" s="37"/>
      <c r="VOM40" s="37"/>
      <c r="VON40" s="37"/>
      <c r="VOO40" s="37"/>
      <c r="VOP40" s="37"/>
      <c r="VOQ40" s="37"/>
      <c r="VOR40" s="37"/>
      <c r="VOS40" s="37"/>
      <c r="VOT40" s="37"/>
      <c r="VOU40" s="37"/>
      <c r="VOV40" s="37"/>
      <c r="VOW40" s="37"/>
      <c r="VOX40" s="37"/>
      <c r="VOY40" s="37"/>
      <c r="VOZ40" s="37"/>
      <c r="VPA40" s="37"/>
      <c r="VPB40" s="37"/>
      <c r="VPC40" s="37"/>
      <c r="VPD40" s="37"/>
      <c r="VPE40" s="37"/>
      <c r="VPF40" s="37"/>
      <c r="VPG40" s="37"/>
      <c r="VPH40" s="37"/>
      <c r="VPI40" s="37"/>
      <c r="VPJ40" s="37"/>
      <c r="VPK40" s="37"/>
      <c r="VPL40" s="37"/>
      <c r="VPM40" s="37"/>
      <c r="VPN40" s="37"/>
      <c r="VPO40" s="37"/>
      <c r="VPP40" s="37"/>
      <c r="VPQ40" s="37"/>
      <c r="VPR40" s="37"/>
      <c r="VPS40" s="37"/>
      <c r="VPT40" s="37"/>
      <c r="VPU40" s="37"/>
      <c r="VPV40" s="37"/>
      <c r="VPW40" s="37"/>
      <c r="VPX40" s="37"/>
      <c r="VPY40" s="37"/>
      <c r="VPZ40" s="37"/>
      <c r="VQA40" s="37"/>
      <c r="VQB40" s="37"/>
      <c r="VQC40" s="37"/>
      <c r="VQD40" s="37"/>
      <c r="VQE40" s="37"/>
      <c r="VQF40" s="37"/>
      <c r="VQG40" s="37"/>
      <c r="VQH40" s="37"/>
      <c r="VQI40" s="37"/>
      <c r="VQJ40" s="37"/>
      <c r="VQK40" s="37"/>
      <c r="VQL40" s="37"/>
      <c r="VQM40" s="37"/>
      <c r="VQN40" s="37"/>
      <c r="VQO40" s="37"/>
      <c r="VQP40" s="37"/>
      <c r="VQQ40" s="37"/>
      <c r="VQR40" s="37"/>
      <c r="VQS40" s="37"/>
      <c r="VQT40" s="37"/>
      <c r="VQU40" s="37"/>
      <c r="VQV40" s="37"/>
      <c r="VQW40" s="37"/>
      <c r="VQX40" s="37"/>
      <c r="VQY40" s="37"/>
      <c r="VQZ40" s="37"/>
      <c r="VRA40" s="37"/>
      <c r="VRB40" s="37"/>
      <c r="VRC40" s="37"/>
      <c r="VRD40" s="37"/>
      <c r="VRE40" s="37"/>
      <c r="VRF40" s="37"/>
      <c r="VRG40" s="37"/>
      <c r="VRH40" s="37"/>
      <c r="VRI40" s="37"/>
      <c r="VRJ40" s="37"/>
      <c r="VRK40" s="37"/>
      <c r="VRL40" s="37"/>
      <c r="VRM40" s="37"/>
      <c r="VRN40" s="37"/>
      <c r="VRO40" s="37"/>
      <c r="VRP40" s="37"/>
      <c r="VRQ40" s="37"/>
      <c r="VRR40" s="37"/>
      <c r="VRS40" s="37"/>
      <c r="VRT40" s="37"/>
      <c r="VRU40" s="37"/>
      <c r="VRV40" s="37"/>
      <c r="VRW40" s="37"/>
      <c r="VRX40" s="37"/>
      <c r="VRY40" s="37"/>
      <c r="VRZ40" s="37"/>
      <c r="VSA40" s="37"/>
      <c r="VSB40" s="37"/>
      <c r="VSC40" s="37"/>
      <c r="VSD40" s="37"/>
      <c r="VSE40" s="37"/>
      <c r="VSF40" s="37"/>
      <c r="VSG40" s="37"/>
      <c r="VSH40" s="37"/>
      <c r="VSI40" s="37"/>
      <c r="VSJ40" s="37"/>
      <c r="VSK40" s="37"/>
      <c r="VSL40" s="37"/>
      <c r="VSM40" s="37"/>
      <c r="VSN40" s="37"/>
      <c r="VSO40" s="37"/>
      <c r="VSP40" s="37"/>
      <c r="VSQ40" s="37"/>
      <c r="VSR40" s="37"/>
      <c r="VSS40" s="37"/>
      <c r="VST40" s="37"/>
      <c r="VSU40" s="37"/>
      <c r="VSV40" s="37"/>
      <c r="VSW40" s="37"/>
      <c r="VSX40" s="37"/>
      <c r="VSY40" s="37"/>
      <c r="VSZ40" s="37"/>
      <c r="VTA40" s="37"/>
      <c r="VTB40" s="37"/>
      <c r="VTC40" s="37"/>
      <c r="VTD40" s="37"/>
      <c r="VTE40" s="37"/>
      <c r="VTF40" s="37"/>
      <c r="VTG40" s="37"/>
      <c r="VTH40" s="37"/>
      <c r="VTI40" s="37"/>
      <c r="VTJ40" s="37"/>
      <c r="VTK40" s="37"/>
      <c r="VTL40" s="37"/>
      <c r="VTM40" s="37"/>
      <c r="VTN40" s="37"/>
      <c r="VTO40" s="37"/>
      <c r="VTP40" s="37"/>
      <c r="VTQ40" s="37"/>
      <c r="VTR40" s="37"/>
      <c r="VTS40" s="37"/>
      <c r="VTT40" s="37"/>
      <c r="VTU40" s="37"/>
      <c r="VTV40" s="37"/>
      <c r="VTW40" s="37"/>
      <c r="VTX40" s="37"/>
      <c r="VTY40" s="37"/>
      <c r="VTZ40" s="37"/>
      <c r="VUA40" s="37"/>
      <c r="VUB40" s="37"/>
      <c r="VUC40" s="37"/>
      <c r="VUD40" s="37"/>
      <c r="VUE40" s="37"/>
      <c r="VUF40" s="37"/>
      <c r="VUG40" s="37"/>
      <c r="VUH40" s="37"/>
      <c r="VUI40" s="37"/>
      <c r="VUJ40" s="37"/>
      <c r="VUK40" s="37"/>
      <c r="VUL40" s="37"/>
      <c r="VUM40" s="37"/>
      <c r="VUN40" s="37"/>
      <c r="VUO40" s="37"/>
      <c r="VUP40" s="37"/>
      <c r="VUQ40" s="37"/>
      <c r="VUR40" s="37"/>
      <c r="VUS40" s="37"/>
      <c r="VUT40" s="37"/>
      <c r="VUU40" s="37"/>
      <c r="VUV40" s="37"/>
      <c r="VUW40" s="37"/>
      <c r="VUX40" s="37"/>
      <c r="VUY40" s="37"/>
      <c r="VUZ40" s="37"/>
      <c r="VVA40" s="37"/>
      <c r="VVB40" s="37"/>
      <c r="VVC40" s="37"/>
      <c r="VVD40" s="37"/>
      <c r="VVE40" s="37"/>
      <c r="VVF40" s="37"/>
      <c r="VVG40" s="37"/>
      <c r="VVH40" s="37"/>
      <c r="VVI40" s="37"/>
      <c r="VVJ40" s="37"/>
      <c r="VVK40" s="37"/>
      <c r="VVL40" s="37"/>
      <c r="VVM40" s="37"/>
      <c r="VVN40" s="37"/>
      <c r="VVO40" s="37"/>
      <c r="VVP40" s="37"/>
      <c r="VVQ40" s="37"/>
      <c r="VVR40" s="37"/>
      <c r="VVS40" s="37"/>
      <c r="VVT40" s="37"/>
      <c r="VVU40" s="37"/>
      <c r="VVV40" s="37"/>
      <c r="VVW40" s="37"/>
      <c r="VVX40" s="37"/>
      <c r="VVY40" s="37"/>
      <c r="VVZ40" s="37"/>
      <c r="VWA40" s="37"/>
      <c r="VWB40" s="37"/>
      <c r="VWC40" s="37"/>
      <c r="VWD40" s="37"/>
      <c r="VWE40" s="37"/>
      <c r="VWF40" s="37"/>
      <c r="VWG40" s="37"/>
      <c r="VWH40" s="37"/>
      <c r="VWI40" s="37"/>
      <c r="VWJ40" s="37"/>
      <c r="VWK40" s="37"/>
      <c r="VWL40" s="37"/>
      <c r="VWM40" s="37"/>
      <c r="VWN40" s="37"/>
      <c r="VWO40" s="37"/>
      <c r="VWP40" s="37"/>
      <c r="VWQ40" s="37"/>
      <c r="VWR40" s="37"/>
      <c r="VWS40" s="37"/>
      <c r="VWT40" s="37"/>
      <c r="VWU40" s="37"/>
      <c r="VWV40" s="37"/>
      <c r="VWW40" s="37"/>
      <c r="VWX40" s="37"/>
      <c r="VWY40" s="37"/>
      <c r="VWZ40" s="37"/>
      <c r="VXA40" s="37"/>
      <c r="VXB40" s="37"/>
      <c r="VXC40" s="37"/>
      <c r="VXD40" s="37"/>
      <c r="VXE40" s="37"/>
      <c r="VXF40" s="37"/>
      <c r="VXG40" s="37"/>
      <c r="VXH40" s="37"/>
      <c r="VXI40" s="37"/>
      <c r="VXJ40" s="37"/>
      <c r="VXK40" s="37"/>
      <c r="VXL40" s="37"/>
      <c r="VXM40" s="37"/>
      <c r="VXN40" s="37"/>
      <c r="VXO40" s="37"/>
      <c r="VXP40" s="37"/>
      <c r="VXQ40" s="37"/>
      <c r="VXR40" s="37"/>
      <c r="VXS40" s="37"/>
      <c r="VXT40" s="37"/>
      <c r="VXU40" s="37"/>
      <c r="VXV40" s="37"/>
      <c r="VXW40" s="37"/>
      <c r="VXX40" s="37"/>
      <c r="VXY40" s="37"/>
      <c r="VXZ40" s="37"/>
      <c r="VYA40" s="37"/>
      <c r="VYB40" s="37"/>
      <c r="VYC40" s="37"/>
      <c r="VYD40" s="37"/>
      <c r="VYE40" s="37"/>
      <c r="VYF40" s="37"/>
      <c r="VYG40" s="37"/>
      <c r="VYH40" s="37"/>
      <c r="VYI40" s="37"/>
      <c r="VYJ40" s="37"/>
      <c r="VYK40" s="37"/>
      <c r="VYL40" s="37"/>
      <c r="VYM40" s="37"/>
      <c r="VYN40" s="37"/>
      <c r="VYO40" s="37"/>
      <c r="VYP40" s="37"/>
      <c r="VYQ40" s="37"/>
      <c r="VYR40" s="37"/>
      <c r="VYS40" s="37"/>
      <c r="VYT40" s="37"/>
      <c r="VYU40" s="37"/>
      <c r="VYV40" s="37"/>
      <c r="VYW40" s="37"/>
      <c r="VYX40" s="37"/>
      <c r="VYY40" s="37"/>
      <c r="VYZ40" s="37"/>
      <c r="VZA40" s="37"/>
      <c r="VZB40" s="37"/>
      <c r="VZC40" s="37"/>
      <c r="VZD40" s="37"/>
      <c r="VZE40" s="37"/>
      <c r="VZF40" s="37"/>
      <c r="VZG40" s="37"/>
      <c r="VZH40" s="37"/>
      <c r="VZI40" s="37"/>
      <c r="VZJ40" s="37"/>
      <c r="VZK40" s="37"/>
      <c r="VZL40" s="37"/>
      <c r="VZM40" s="37"/>
      <c r="VZN40" s="37"/>
      <c r="VZO40" s="37"/>
      <c r="VZP40" s="37"/>
      <c r="VZQ40" s="37"/>
      <c r="VZR40" s="37"/>
      <c r="VZS40" s="37"/>
      <c r="VZT40" s="37"/>
      <c r="VZU40" s="37"/>
      <c r="VZV40" s="37"/>
      <c r="VZW40" s="37"/>
      <c r="VZX40" s="37"/>
      <c r="VZY40" s="37"/>
      <c r="VZZ40" s="37"/>
      <c r="WAA40" s="37"/>
      <c r="WAB40" s="37"/>
      <c r="WAC40" s="37"/>
      <c r="WAD40" s="37"/>
      <c r="WAE40" s="37"/>
      <c r="WAF40" s="37"/>
      <c r="WAG40" s="37"/>
      <c r="WAH40" s="37"/>
      <c r="WAI40" s="37"/>
      <c r="WAJ40" s="37"/>
      <c r="WAK40" s="37"/>
      <c r="WAL40" s="37"/>
      <c r="WAM40" s="37"/>
      <c r="WAN40" s="37"/>
      <c r="WAO40" s="37"/>
      <c r="WAP40" s="37"/>
      <c r="WAQ40" s="37"/>
      <c r="WAR40" s="37"/>
      <c r="WAS40" s="37"/>
      <c r="WAT40" s="37"/>
      <c r="WAU40" s="37"/>
      <c r="WAV40" s="37"/>
      <c r="WAW40" s="37"/>
      <c r="WAX40" s="37"/>
      <c r="WAY40" s="37"/>
      <c r="WAZ40" s="37"/>
      <c r="WBA40" s="37"/>
      <c r="WBB40" s="37"/>
      <c r="WBC40" s="37"/>
      <c r="WBD40" s="37"/>
      <c r="WBE40" s="37"/>
      <c r="WBF40" s="37"/>
      <c r="WBG40" s="37"/>
      <c r="WBH40" s="37"/>
      <c r="WBI40" s="37"/>
      <c r="WBJ40" s="37"/>
      <c r="WBK40" s="37"/>
      <c r="WBL40" s="37"/>
      <c r="WBM40" s="37"/>
      <c r="WBN40" s="37"/>
      <c r="WBO40" s="37"/>
      <c r="WBP40" s="37"/>
      <c r="WBQ40" s="37"/>
      <c r="WBR40" s="37"/>
      <c r="WBS40" s="37"/>
      <c r="WBT40" s="37"/>
      <c r="WBU40" s="37"/>
      <c r="WBV40" s="37"/>
      <c r="WBW40" s="37"/>
      <c r="WBX40" s="37"/>
      <c r="WBY40" s="37"/>
      <c r="WBZ40" s="37"/>
      <c r="WCA40" s="37"/>
      <c r="WCB40" s="37"/>
      <c r="WCC40" s="37"/>
      <c r="WCD40" s="37"/>
      <c r="WCE40" s="37"/>
      <c r="WCF40" s="37"/>
      <c r="WCG40" s="37"/>
      <c r="WCH40" s="37"/>
      <c r="WCI40" s="37"/>
      <c r="WCJ40" s="37"/>
      <c r="WCK40" s="37"/>
      <c r="WCL40" s="37"/>
      <c r="WCM40" s="37"/>
      <c r="WCN40" s="37"/>
      <c r="WCO40" s="37"/>
      <c r="WCP40" s="37"/>
      <c r="WCQ40" s="37"/>
      <c r="WCR40" s="37"/>
      <c r="WCS40" s="37"/>
      <c r="WCT40" s="37"/>
      <c r="WCU40" s="37"/>
      <c r="WCV40" s="37"/>
      <c r="WCW40" s="37"/>
      <c r="WCX40" s="37"/>
      <c r="WCY40" s="37"/>
      <c r="WCZ40" s="37"/>
      <c r="WDA40" s="37"/>
      <c r="WDB40" s="37"/>
      <c r="WDC40" s="37"/>
      <c r="WDD40" s="37"/>
      <c r="WDE40" s="37"/>
      <c r="WDF40" s="37"/>
      <c r="WDG40" s="37"/>
      <c r="WDH40" s="37"/>
      <c r="WDI40" s="37"/>
      <c r="WDJ40" s="37"/>
      <c r="WDK40" s="37"/>
      <c r="WDL40" s="37"/>
      <c r="WDM40" s="37"/>
      <c r="WDN40" s="37"/>
      <c r="WDO40" s="37"/>
      <c r="WDP40" s="37"/>
      <c r="WDQ40" s="37"/>
      <c r="WDR40" s="37"/>
      <c r="WDS40" s="37"/>
      <c r="WDT40" s="37"/>
      <c r="WDU40" s="37"/>
      <c r="WDV40" s="37"/>
      <c r="WDW40" s="37"/>
      <c r="WDX40" s="37"/>
      <c r="WDY40" s="37"/>
      <c r="WDZ40" s="37"/>
      <c r="WEA40" s="37"/>
      <c r="WEB40" s="37"/>
      <c r="WEC40" s="37"/>
      <c r="WED40" s="37"/>
      <c r="WEE40" s="37"/>
      <c r="WEF40" s="37"/>
      <c r="WEG40" s="37"/>
      <c r="WEH40" s="37"/>
      <c r="WEI40" s="37"/>
      <c r="WEJ40" s="37"/>
      <c r="WEK40" s="37"/>
      <c r="WEL40" s="37"/>
      <c r="WEM40" s="37"/>
      <c r="WEN40" s="37"/>
      <c r="WEO40" s="37"/>
      <c r="WEP40" s="37"/>
      <c r="WEQ40" s="37"/>
      <c r="WER40" s="37"/>
      <c r="WES40" s="37"/>
      <c r="WET40" s="37"/>
      <c r="WEU40" s="37"/>
      <c r="WEV40" s="37"/>
      <c r="WEW40" s="37"/>
      <c r="WEX40" s="37"/>
      <c r="WEY40" s="37"/>
      <c r="WEZ40" s="37"/>
      <c r="WFA40" s="37"/>
      <c r="WFB40" s="37"/>
      <c r="WFC40" s="37"/>
      <c r="WFD40" s="37"/>
      <c r="WFE40" s="37"/>
      <c r="WFF40" s="37"/>
      <c r="WFG40" s="37"/>
      <c r="WFH40" s="37"/>
      <c r="WFI40" s="37"/>
      <c r="WFJ40" s="37"/>
      <c r="WFK40" s="37"/>
      <c r="WFL40" s="37"/>
      <c r="WFM40" s="37"/>
      <c r="WFN40" s="37"/>
      <c r="WFO40" s="37"/>
      <c r="WFP40" s="37"/>
      <c r="WFQ40" s="37"/>
      <c r="WFR40" s="37"/>
      <c r="WFS40" s="37"/>
      <c r="WFT40" s="37"/>
      <c r="WFU40" s="37"/>
      <c r="WFV40" s="37"/>
      <c r="WFW40" s="37"/>
      <c r="WFX40" s="37"/>
      <c r="WFY40" s="37"/>
      <c r="WFZ40" s="37"/>
      <c r="WGA40" s="37"/>
      <c r="WGB40" s="37"/>
      <c r="WGC40" s="37"/>
      <c r="WGD40" s="37"/>
      <c r="WGE40" s="37"/>
      <c r="WGF40" s="37"/>
      <c r="WGG40" s="37"/>
      <c r="WGH40" s="37"/>
      <c r="WGI40" s="37"/>
      <c r="WGJ40" s="37"/>
      <c r="WGK40" s="37"/>
      <c r="WGL40" s="37"/>
      <c r="WGM40" s="37"/>
      <c r="WGN40" s="37"/>
      <c r="WGO40" s="37"/>
      <c r="WGP40" s="37"/>
      <c r="WGQ40" s="37"/>
      <c r="WGR40" s="37"/>
      <c r="WGS40" s="37"/>
      <c r="WGT40" s="37"/>
      <c r="WGU40" s="37"/>
      <c r="WGV40" s="37"/>
      <c r="WGW40" s="37"/>
      <c r="WGX40" s="37"/>
      <c r="WGY40" s="37"/>
      <c r="WGZ40" s="37"/>
      <c r="WHA40" s="37"/>
      <c r="WHB40" s="37"/>
      <c r="WHC40" s="37"/>
      <c r="WHD40" s="37"/>
      <c r="WHE40" s="37"/>
      <c r="WHF40" s="37"/>
      <c r="WHG40" s="37"/>
      <c r="WHH40" s="37"/>
      <c r="WHI40" s="37"/>
      <c r="WHJ40" s="37"/>
      <c r="WHK40" s="37"/>
      <c r="WHL40" s="37"/>
      <c r="WHM40" s="37"/>
      <c r="WHN40" s="37"/>
      <c r="WHO40" s="37"/>
      <c r="WHP40" s="37"/>
      <c r="WHQ40" s="37"/>
      <c r="WHR40" s="37"/>
      <c r="WHS40" s="37"/>
      <c r="WHT40" s="37"/>
      <c r="WHU40" s="37"/>
      <c r="WHV40" s="37"/>
      <c r="WHW40" s="37"/>
      <c r="WHX40" s="37"/>
      <c r="WHY40" s="37"/>
      <c r="WHZ40" s="37"/>
      <c r="WIA40" s="37"/>
      <c r="WIB40" s="37"/>
      <c r="WIC40" s="37"/>
      <c r="WID40" s="37"/>
      <c r="WIE40" s="37"/>
      <c r="WIF40" s="37"/>
      <c r="WIG40" s="37"/>
      <c r="WIH40" s="37"/>
      <c r="WII40" s="37"/>
      <c r="WIJ40" s="37"/>
      <c r="WIK40" s="37"/>
      <c r="WIL40" s="37"/>
      <c r="WIM40" s="37"/>
      <c r="WIN40" s="37"/>
      <c r="WIO40" s="37"/>
      <c r="WIP40" s="37"/>
      <c r="WIQ40" s="37"/>
      <c r="WIR40" s="37"/>
      <c r="WIS40" s="37"/>
      <c r="WIT40" s="37"/>
      <c r="WIU40" s="37"/>
      <c r="WIV40" s="37"/>
      <c r="WIW40" s="37"/>
      <c r="WIX40" s="37"/>
      <c r="WIY40" s="37"/>
      <c r="WIZ40" s="37"/>
      <c r="WJA40" s="37"/>
      <c r="WJB40" s="37"/>
      <c r="WJC40" s="37"/>
      <c r="WJD40" s="37"/>
      <c r="WJE40" s="37"/>
      <c r="WJF40" s="37"/>
      <c r="WJG40" s="37"/>
      <c r="WJH40" s="37"/>
      <c r="WJI40" s="37"/>
      <c r="WJJ40" s="37"/>
      <c r="WJK40" s="37"/>
      <c r="WJL40" s="37"/>
      <c r="WJM40" s="37"/>
      <c r="WJN40" s="37"/>
      <c r="WJO40" s="37"/>
      <c r="WJP40" s="37"/>
      <c r="WJQ40" s="37"/>
      <c r="WJR40" s="37"/>
      <c r="WJS40" s="37"/>
      <c r="WJT40" s="37"/>
      <c r="WJU40" s="37"/>
      <c r="WJV40" s="37"/>
      <c r="WJW40" s="37"/>
      <c r="WJX40" s="37"/>
      <c r="WJY40" s="37"/>
      <c r="WJZ40" s="37"/>
      <c r="WKA40" s="37"/>
      <c r="WKB40" s="37"/>
      <c r="WKC40" s="37"/>
      <c r="WKD40" s="37"/>
      <c r="WKE40" s="37"/>
      <c r="WKF40" s="37"/>
      <c r="WKG40" s="37"/>
      <c r="WKH40" s="37"/>
      <c r="WKI40" s="37"/>
      <c r="WKJ40" s="37"/>
      <c r="WKK40" s="37"/>
      <c r="WKL40" s="37"/>
      <c r="WKM40" s="37"/>
      <c r="WKN40" s="37"/>
      <c r="WKO40" s="37"/>
      <c r="WKP40" s="37"/>
      <c r="WKQ40" s="37"/>
      <c r="WKR40" s="37"/>
      <c r="WKS40" s="37"/>
      <c r="WKT40" s="37"/>
      <c r="WKU40" s="37"/>
      <c r="WKV40" s="37"/>
      <c r="WKW40" s="37"/>
      <c r="WKX40" s="37"/>
      <c r="WKY40" s="37"/>
      <c r="WKZ40" s="37"/>
      <c r="WLA40" s="37"/>
      <c r="WLB40" s="37"/>
      <c r="WLC40" s="37"/>
      <c r="WLD40" s="37"/>
      <c r="WLE40" s="37"/>
      <c r="WLF40" s="37"/>
      <c r="WLG40" s="37"/>
      <c r="WLH40" s="37"/>
      <c r="WLI40" s="37"/>
      <c r="WLJ40" s="37"/>
      <c r="WLK40" s="37"/>
      <c r="WLL40" s="37"/>
      <c r="WLM40" s="37"/>
      <c r="WLN40" s="37"/>
      <c r="WLO40" s="37"/>
      <c r="WLP40" s="37"/>
      <c r="WLQ40" s="37"/>
      <c r="WLR40" s="37"/>
      <c r="WLS40" s="37"/>
      <c r="WLT40" s="37"/>
      <c r="WLU40" s="37"/>
      <c r="WLV40" s="37"/>
      <c r="WLW40" s="37"/>
      <c r="WLX40" s="37"/>
      <c r="WLY40" s="37"/>
      <c r="WLZ40" s="37"/>
      <c r="WMA40" s="37"/>
      <c r="WMB40" s="37"/>
      <c r="WMC40" s="37"/>
      <c r="WMD40" s="37"/>
      <c r="WME40" s="37"/>
      <c r="WMF40" s="37"/>
      <c r="WMG40" s="37"/>
      <c r="WMH40" s="37"/>
      <c r="WMI40" s="37"/>
      <c r="WMJ40" s="37"/>
      <c r="WMK40" s="37"/>
      <c r="WML40" s="37"/>
      <c r="WMM40" s="37"/>
      <c r="WMN40" s="37"/>
      <c r="WMO40" s="37"/>
      <c r="WMP40" s="37"/>
      <c r="WMQ40" s="37"/>
      <c r="WMR40" s="37"/>
      <c r="WMS40" s="37"/>
      <c r="WMT40" s="37"/>
      <c r="WMU40" s="37"/>
      <c r="WMV40" s="37"/>
      <c r="WMW40" s="37"/>
      <c r="WMX40" s="37"/>
      <c r="WMY40" s="37"/>
      <c r="WMZ40" s="37"/>
      <c r="WNA40" s="37"/>
      <c r="WNB40" s="37"/>
      <c r="WNC40" s="37"/>
      <c r="WND40" s="37"/>
      <c r="WNE40" s="37"/>
      <c r="WNF40" s="37"/>
      <c r="WNG40" s="37"/>
      <c r="WNH40" s="37"/>
      <c r="WNI40" s="37"/>
      <c r="WNJ40" s="37"/>
      <c r="WNK40" s="37"/>
      <c r="WNL40" s="37"/>
      <c r="WNM40" s="37"/>
      <c r="WNN40" s="37"/>
      <c r="WNO40" s="37"/>
      <c r="WNP40" s="37"/>
      <c r="WNQ40" s="37"/>
      <c r="WNR40" s="37"/>
      <c r="WNS40" s="37"/>
      <c r="WNT40" s="37"/>
      <c r="WNU40" s="37"/>
      <c r="WNV40" s="37"/>
      <c r="WNW40" s="37"/>
      <c r="WNX40" s="37"/>
      <c r="WNY40" s="37"/>
      <c r="WNZ40" s="37"/>
      <c r="WOA40" s="37"/>
      <c r="WOB40" s="37"/>
      <c r="WOC40" s="37"/>
      <c r="WOD40" s="37"/>
      <c r="WOE40" s="37"/>
      <c r="WOF40" s="37"/>
      <c r="WOG40" s="37"/>
      <c r="WOH40" s="37"/>
      <c r="WOI40" s="37"/>
      <c r="WOJ40" s="37"/>
      <c r="WOK40" s="37"/>
      <c r="WOL40" s="37"/>
      <c r="WOM40" s="37"/>
      <c r="WON40" s="37"/>
      <c r="WOO40" s="37"/>
      <c r="WOP40" s="37"/>
      <c r="WOQ40" s="37"/>
      <c r="WOR40" s="37"/>
      <c r="WOS40" s="37"/>
      <c r="WOT40" s="37"/>
      <c r="WOU40" s="37"/>
      <c r="WOV40" s="37"/>
      <c r="WOW40" s="37"/>
      <c r="WOX40" s="37"/>
      <c r="WOY40" s="37"/>
      <c r="WOZ40" s="37"/>
      <c r="WPA40" s="37"/>
      <c r="WPB40" s="37"/>
      <c r="WPC40" s="37"/>
      <c r="WPD40" s="37"/>
      <c r="WPE40" s="37"/>
      <c r="WPF40" s="37"/>
      <c r="WPG40" s="37"/>
      <c r="WPH40" s="37"/>
      <c r="WPI40" s="37"/>
      <c r="WPJ40" s="37"/>
      <c r="WPK40" s="37"/>
      <c r="WPL40" s="37"/>
      <c r="WPM40" s="37"/>
      <c r="WPN40" s="37"/>
      <c r="WPO40" s="37"/>
      <c r="WPP40" s="37"/>
      <c r="WPQ40" s="37"/>
      <c r="WPR40" s="37"/>
      <c r="WPS40" s="37"/>
      <c r="WPT40" s="37"/>
      <c r="WPU40" s="37"/>
      <c r="WPV40" s="37"/>
      <c r="WPW40" s="37"/>
      <c r="WPX40" s="37"/>
      <c r="WPY40" s="37"/>
      <c r="WPZ40" s="37"/>
      <c r="WQA40" s="37"/>
      <c r="WQB40" s="37"/>
      <c r="WQC40" s="37"/>
      <c r="WQD40" s="37"/>
      <c r="WQE40" s="37"/>
      <c r="WQF40" s="37"/>
      <c r="WQG40" s="37"/>
      <c r="WQH40" s="37"/>
      <c r="WQI40" s="37"/>
      <c r="WQJ40" s="37"/>
      <c r="WQK40" s="37"/>
      <c r="WQL40" s="37"/>
      <c r="WQM40" s="37"/>
      <c r="WQN40" s="37"/>
      <c r="WQO40" s="37"/>
      <c r="WQP40" s="37"/>
      <c r="WQQ40" s="37"/>
      <c r="WQR40" s="37"/>
      <c r="WQS40" s="37"/>
      <c r="WQT40" s="37"/>
      <c r="WQU40" s="37"/>
      <c r="WQV40" s="37"/>
      <c r="WQW40" s="37"/>
      <c r="WQX40" s="37"/>
      <c r="WQY40" s="37"/>
      <c r="WQZ40" s="37"/>
      <c r="WRA40" s="37"/>
      <c r="WRB40" s="37"/>
      <c r="WRC40" s="37"/>
      <c r="WRD40" s="37"/>
      <c r="WRE40" s="37"/>
      <c r="WRF40" s="37"/>
      <c r="WRG40" s="37"/>
      <c r="WRH40" s="37"/>
      <c r="WRI40" s="37"/>
      <c r="WRJ40" s="37"/>
      <c r="WRK40" s="37"/>
      <c r="WRL40" s="37"/>
      <c r="WRM40" s="37"/>
      <c r="WRN40" s="37"/>
      <c r="WRO40" s="37"/>
      <c r="WRP40" s="37"/>
      <c r="WRQ40" s="37"/>
      <c r="WRR40" s="37"/>
      <c r="WRS40" s="37"/>
      <c r="WRT40" s="37"/>
      <c r="WRU40" s="37"/>
      <c r="WRV40" s="37"/>
      <c r="WRW40" s="37"/>
      <c r="WRX40" s="37"/>
      <c r="WRY40" s="37"/>
      <c r="WRZ40" s="37"/>
      <c r="WSA40" s="37"/>
      <c r="WSB40" s="37"/>
      <c r="WSC40" s="37"/>
      <c r="WSD40" s="37"/>
      <c r="WSE40" s="37"/>
      <c r="WSF40" s="37"/>
      <c r="WSG40" s="37"/>
      <c r="WSH40" s="37"/>
      <c r="WSI40" s="37"/>
      <c r="WSJ40" s="37"/>
      <c r="WSK40" s="37"/>
      <c r="WSL40" s="37"/>
      <c r="WSM40" s="37"/>
      <c r="WSN40" s="37"/>
      <c r="WSO40" s="37"/>
      <c r="WSP40" s="37"/>
      <c r="WSQ40" s="37"/>
      <c r="WSR40" s="37"/>
      <c r="WSS40" s="37"/>
      <c r="WST40" s="37"/>
      <c r="WSU40" s="37"/>
      <c r="WSV40" s="37"/>
      <c r="WSW40" s="37"/>
      <c r="WSX40" s="37"/>
      <c r="WSY40" s="37"/>
      <c r="WSZ40" s="37"/>
      <c r="WTA40" s="37"/>
      <c r="WTB40" s="37"/>
      <c r="WTC40" s="37"/>
      <c r="WTD40" s="37"/>
      <c r="WTE40" s="37"/>
      <c r="WTF40" s="37"/>
      <c r="WTG40" s="37"/>
      <c r="WTH40" s="37"/>
      <c r="WTI40" s="37"/>
      <c r="WTJ40" s="37"/>
      <c r="WTK40" s="37"/>
      <c r="WTL40" s="37"/>
      <c r="WTM40" s="37"/>
      <c r="WTN40" s="37"/>
      <c r="WTO40" s="37"/>
      <c r="WTP40" s="37"/>
      <c r="WTQ40" s="37"/>
      <c r="WTR40" s="37"/>
      <c r="WTS40" s="37"/>
      <c r="WTT40" s="37"/>
      <c r="WTU40" s="37"/>
      <c r="WTV40" s="37"/>
      <c r="WTW40" s="37"/>
      <c r="WTX40" s="37"/>
      <c r="WTY40" s="37"/>
      <c r="WTZ40" s="37"/>
      <c r="WUA40" s="37"/>
      <c r="WUB40" s="37"/>
      <c r="WUC40" s="37"/>
      <c r="WUD40" s="37"/>
      <c r="WUE40" s="37"/>
      <c r="WUF40" s="37"/>
      <c r="WUG40" s="37"/>
      <c r="WUH40" s="37"/>
      <c r="WUI40" s="37"/>
      <c r="WUJ40" s="37"/>
      <c r="WUK40" s="37"/>
      <c r="WUL40" s="37"/>
      <c r="WUM40" s="37"/>
      <c r="WUN40" s="37"/>
      <c r="WUO40" s="37"/>
      <c r="WUP40" s="37"/>
      <c r="WUQ40" s="37"/>
      <c r="WUR40" s="37"/>
      <c r="WUS40" s="37"/>
      <c r="WUT40" s="37"/>
      <c r="WUU40" s="37"/>
      <c r="WUV40" s="37"/>
      <c r="WUW40" s="37"/>
      <c r="WUX40" s="37"/>
      <c r="WUY40" s="37"/>
      <c r="WUZ40" s="37"/>
      <c r="WVA40" s="37"/>
      <c r="WVB40" s="37"/>
      <c r="WVC40" s="37"/>
      <c r="WVD40" s="37"/>
      <c r="WVE40" s="37"/>
      <c r="WVF40" s="37"/>
      <c r="WVG40" s="37"/>
      <c r="WVH40" s="37"/>
      <c r="WVI40" s="37"/>
      <c r="WVJ40" s="37"/>
      <c r="WVK40" s="37"/>
      <c r="WVL40" s="37"/>
      <c r="WVM40" s="37"/>
      <c r="WVN40" s="37"/>
      <c r="WVO40" s="37"/>
      <c r="WVP40" s="37"/>
      <c r="WVQ40" s="37"/>
      <c r="WVR40" s="37"/>
      <c r="WVS40" s="37"/>
      <c r="WVT40" s="37"/>
      <c r="WVU40" s="37"/>
      <c r="WVV40" s="37"/>
      <c r="WVW40" s="37"/>
      <c r="WVX40" s="37"/>
      <c r="WVY40" s="37"/>
      <c r="WVZ40" s="37"/>
      <c r="WWA40" s="37"/>
      <c r="WWB40" s="37"/>
      <c r="WWC40" s="37"/>
      <c r="WWD40" s="37"/>
      <c r="WWE40" s="37"/>
      <c r="WWF40" s="37"/>
      <c r="WWG40" s="37"/>
      <c r="WWH40" s="37"/>
      <c r="WWI40" s="37"/>
      <c r="WWJ40" s="37"/>
      <c r="WWK40" s="37"/>
      <c r="WWL40" s="37"/>
      <c r="WWM40" s="37"/>
      <c r="WWN40" s="37"/>
      <c r="WWO40" s="37"/>
      <c r="WWP40" s="37"/>
      <c r="WWQ40" s="37"/>
      <c r="WWR40" s="37"/>
      <c r="WWS40" s="37"/>
      <c r="WWT40" s="37"/>
      <c r="WWU40" s="37"/>
      <c r="WWV40" s="37"/>
      <c r="WWW40" s="37"/>
      <c r="WWX40" s="37"/>
      <c r="WWY40" s="37"/>
      <c r="WWZ40" s="37"/>
      <c r="WXA40" s="37"/>
      <c r="WXB40" s="37"/>
      <c r="WXC40" s="37"/>
      <c r="WXD40" s="37"/>
      <c r="WXE40" s="37"/>
      <c r="WXF40" s="37"/>
      <c r="WXG40" s="37"/>
      <c r="WXH40" s="37"/>
      <c r="WXI40" s="37"/>
      <c r="WXJ40" s="37"/>
      <c r="WXK40" s="37"/>
      <c r="WXL40" s="37"/>
      <c r="WXM40" s="37"/>
      <c r="WXN40" s="37"/>
      <c r="WXO40" s="37"/>
      <c r="WXP40" s="37"/>
      <c r="WXQ40" s="37"/>
      <c r="WXR40" s="37"/>
      <c r="WXS40" s="37"/>
      <c r="WXT40" s="37"/>
      <c r="WXU40" s="37"/>
      <c r="WXV40" s="37"/>
      <c r="WXW40" s="37"/>
      <c r="WXX40" s="37"/>
      <c r="WXY40" s="37"/>
      <c r="WXZ40" s="37"/>
      <c r="WYA40" s="37"/>
      <c r="WYB40" s="37"/>
      <c r="WYC40" s="37"/>
      <c r="WYD40" s="37"/>
      <c r="WYE40" s="37"/>
      <c r="WYF40" s="37"/>
      <c r="WYG40" s="37"/>
      <c r="WYH40" s="37"/>
      <c r="WYI40" s="37"/>
      <c r="WYJ40" s="37"/>
      <c r="WYK40" s="37"/>
      <c r="WYL40" s="37"/>
      <c r="WYM40" s="37"/>
      <c r="WYN40" s="37"/>
      <c r="WYO40" s="37"/>
      <c r="WYP40" s="37"/>
      <c r="WYQ40" s="37"/>
      <c r="WYR40" s="37"/>
      <c r="WYS40" s="37"/>
      <c r="WYT40" s="37"/>
      <c r="WYU40" s="37"/>
      <c r="WYV40" s="37"/>
      <c r="WYW40" s="37"/>
      <c r="WYX40" s="37"/>
      <c r="WYY40" s="37"/>
      <c r="WYZ40" s="37"/>
      <c r="WZA40" s="37"/>
      <c r="WZB40" s="37"/>
      <c r="WZC40" s="37"/>
      <c r="WZD40" s="37"/>
      <c r="WZE40" s="37"/>
      <c r="WZF40" s="37"/>
      <c r="WZG40" s="37"/>
      <c r="WZH40" s="37"/>
      <c r="WZI40" s="37"/>
      <c r="WZJ40" s="37"/>
      <c r="WZK40" s="37"/>
      <c r="WZL40" s="37"/>
      <c r="WZM40" s="37"/>
      <c r="WZN40" s="37"/>
      <c r="WZO40" s="37"/>
      <c r="WZP40" s="37"/>
      <c r="WZQ40" s="37"/>
      <c r="WZR40" s="37"/>
      <c r="WZS40" s="37"/>
      <c r="WZT40" s="37"/>
      <c r="WZU40" s="37"/>
      <c r="WZV40" s="37"/>
      <c r="WZW40" s="37"/>
      <c r="WZX40" s="37"/>
      <c r="WZY40" s="37"/>
      <c r="WZZ40" s="37"/>
      <c r="XAA40" s="37"/>
      <c r="XAB40" s="37"/>
      <c r="XAC40" s="37"/>
      <c r="XAD40" s="37"/>
      <c r="XAE40" s="37"/>
      <c r="XAF40" s="37"/>
      <c r="XAG40" s="37"/>
      <c r="XAH40" s="37"/>
      <c r="XAI40" s="37"/>
      <c r="XAJ40" s="37"/>
      <c r="XAK40" s="37"/>
      <c r="XAL40" s="37"/>
      <c r="XAM40" s="37"/>
      <c r="XAN40" s="37"/>
      <c r="XAO40" s="37"/>
      <c r="XAP40" s="37"/>
      <c r="XAQ40" s="37"/>
      <c r="XAR40" s="37"/>
      <c r="XAS40" s="37"/>
      <c r="XAT40" s="37"/>
      <c r="XAU40" s="37"/>
      <c r="XAV40" s="37"/>
      <c r="XAW40" s="37"/>
      <c r="XAX40" s="37"/>
      <c r="XAY40" s="37"/>
      <c r="XAZ40" s="37"/>
      <c r="XBA40" s="37"/>
      <c r="XBB40" s="37"/>
      <c r="XBC40" s="37"/>
      <c r="XBD40" s="37"/>
      <c r="XBE40" s="37"/>
      <c r="XBF40" s="37"/>
      <c r="XBG40" s="37"/>
      <c r="XBH40" s="37"/>
      <c r="XBI40" s="37"/>
      <c r="XBJ40" s="37"/>
      <c r="XBK40" s="37"/>
      <c r="XBL40" s="37"/>
      <c r="XBM40" s="37"/>
      <c r="XBN40" s="37"/>
      <c r="XBO40" s="37"/>
      <c r="XBP40" s="37"/>
      <c r="XBQ40" s="37"/>
      <c r="XBR40" s="37"/>
      <c r="XBS40" s="37"/>
      <c r="XBT40" s="37"/>
      <c r="XBU40" s="37"/>
      <c r="XBV40" s="37"/>
      <c r="XBW40" s="37"/>
      <c r="XBX40" s="37"/>
      <c r="XBY40" s="37"/>
      <c r="XBZ40" s="37"/>
      <c r="XCA40" s="37"/>
      <c r="XCB40" s="37"/>
      <c r="XCC40" s="37"/>
      <c r="XCD40" s="37"/>
      <c r="XCE40" s="37"/>
      <c r="XCF40" s="37"/>
      <c r="XCG40" s="37"/>
      <c r="XCH40" s="37"/>
      <c r="XCI40" s="37"/>
      <c r="XCJ40" s="37"/>
      <c r="XCK40" s="37"/>
      <c r="XCL40" s="37"/>
      <c r="XCM40" s="37"/>
      <c r="XCN40" s="37"/>
      <c r="XCO40" s="37"/>
      <c r="XCP40" s="37"/>
      <c r="XCQ40" s="37"/>
      <c r="XCR40" s="37"/>
      <c r="XCS40" s="37"/>
      <c r="XCT40" s="37"/>
      <c r="XCU40" s="37"/>
      <c r="XCV40" s="37"/>
      <c r="XCW40" s="37"/>
      <c r="XCX40" s="37"/>
      <c r="XCY40" s="37"/>
      <c r="XCZ40" s="37"/>
      <c r="XDA40" s="37"/>
      <c r="XDB40" s="37"/>
      <c r="XDC40" s="37"/>
      <c r="XDD40" s="37"/>
      <c r="XDE40" s="37"/>
      <c r="XDF40" s="37"/>
      <c r="XDG40" s="37"/>
      <c r="XDH40" s="37"/>
      <c r="XDI40" s="37"/>
      <c r="XDJ40" s="37"/>
      <c r="XDK40" s="37"/>
      <c r="XDL40" s="37"/>
      <c r="XDM40" s="37"/>
      <c r="XDN40" s="37"/>
      <c r="XDO40" s="37"/>
      <c r="XDP40" s="37"/>
      <c r="XDQ40" s="37"/>
      <c r="XDR40" s="37"/>
      <c r="XDS40" s="37"/>
      <c r="XDT40" s="37"/>
      <c r="XDU40" s="37"/>
      <c r="XDV40" s="37"/>
      <c r="XDW40" s="37"/>
      <c r="XDX40" s="37"/>
      <c r="XDY40" s="37"/>
      <c r="XDZ40" s="37"/>
      <c r="XEA40" s="37"/>
      <c r="XEB40" s="37"/>
      <c r="XEC40" s="37"/>
      <c r="XED40" s="37"/>
      <c r="XEE40" s="37"/>
      <c r="XEF40" s="37"/>
      <c r="XEG40" s="37"/>
      <c r="XEH40" s="37"/>
      <c r="XEI40" s="37"/>
      <c r="XEJ40" s="37"/>
      <c r="XEK40" s="37"/>
      <c r="XEL40" s="37"/>
      <c r="XEM40" s="37"/>
      <c r="XEN40" s="37"/>
      <c r="XEO40" s="37"/>
      <c r="XEP40" s="37"/>
      <c r="XEQ40" s="37"/>
      <c r="XER40" s="37"/>
      <c r="XES40" s="37"/>
      <c r="XET40" s="37"/>
      <c r="XEU40" s="37"/>
      <c r="XEV40" s="37"/>
      <c r="XEW40" s="37"/>
      <c r="XEX40" s="37"/>
      <c r="XEY40" s="37"/>
      <c r="XEZ40" s="37"/>
      <c r="XFA40" s="37"/>
      <c r="XFB40" s="37"/>
      <c r="XFC40" s="37"/>
    </row>
    <row r="41" spans="1:16383" ht="15" customHeight="1">
      <c r="A41" s="24" t="s">
        <v>359</v>
      </c>
      <c r="B41" s="25"/>
      <c r="C41" s="26">
        <v>42683</v>
      </c>
      <c r="D41" s="38" t="s">
        <v>29</v>
      </c>
      <c r="E41" s="38" t="s">
        <v>94</v>
      </c>
      <c r="F41" s="38" t="s">
        <v>95</v>
      </c>
      <c r="G41" s="38">
        <v>7</v>
      </c>
      <c r="H41" s="39" t="s">
        <v>360</v>
      </c>
      <c r="I41" s="39" t="s">
        <v>361</v>
      </c>
      <c r="J41" s="39" t="s">
        <v>362</v>
      </c>
      <c r="K41" s="39" t="s">
        <v>363</v>
      </c>
      <c r="L41" s="39" t="s">
        <v>52</v>
      </c>
      <c r="M41" s="45" t="s">
        <v>364</v>
      </c>
      <c r="N41" s="40" t="s">
        <v>13</v>
      </c>
      <c r="O41" s="94">
        <v>42607.416666666664</v>
      </c>
      <c r="P41" s="41" t="s">
        <v>122</v>
      </c>
      <c r="Q41" s="41" t="s">
        <v>122</v>
      </c>
      <c r="R41" s="42" t="s">
        <v>39</v>
      </c>
      <c r="T41" s="44" t="s">
        <v>55</v>
      </c>
      <c r="U41" s="52">
        <v>42658</v>
      </c>
      <c r="V41" s="48" t="s">
        <v>94</v>
      </c>
      <c r="W41" s="54" t="s">
        <v>365</v>
      </c>
      <c r="X41" s="50" t="s">
        <v>104</v>
      </c>
      <c r="Y41" s="38">
        <v>151</v>
      </c>
      <c r="Z41" s="25" t="s">
        <v>44</v>
      </c>
      <c r="AA41" s="25">
        <f t="shared" si="0"/>
        <v>0</v>
      </c>
    </row>
    <row r="42" spans="1:16383" ht="15" customHeight="1">
      <c r="A42" s="24" t="s">
        <v>366</v>
      </c>
      <c r="B42" s="25" t="s">
        <v>354</v>
      </c>
      <c r="C42" s="26">
        <v>42741</v>
      </c>
      <c r="D42" s="38" t="s">
        <v>29</v>
      </c>
      <c r="E42" s="38" t="s">
        <v>29</v>
      </c>
      <c r="F42" s="38" t="s">
        <v>69</v>
      </c>
      <c r="G42" s="38">
        <v>2</v>
      </c>
      <c r="H42" s="39" t="s">
        <v>152</v>
      </c>
      <c r="I42" s="39" t="s">
        <v>355</v>
      </c>
      <c r="J42" s="39" t="s">
        <v>356</v>
      </c>
      <c r="K42" s="39" t="s">
        <v>357</v>
      </c>
      <c r="L42" s="39" t="s">
        <v>100</v>
      </c>
      <c r="M42" s="45" t="s">
        <v>367</v>
      </c>
      <c r="N42" s="158" t="s">
        <v>13</v>
      </c>
      <c r="O42" s="97">
        <v>42656.541666666664</v>
      </c>
      <c r="P42" s="41" t="s">
        <v>185</v>
      </c>
      <c r="Q42" s="41" t="s">
        <v>185</v>
      </c>
      <c r="R42" s="42" t="s">
        <v>368</v>
      </c>
      <c r="S42" s="175" t="s">
        <v>369</v>
      </c>
      <c r="T42" s="44" t="s">
        <v>65</v>
      </c>
      <c r="U42" s="52">
        <v>42706</v>
      </c>
      <c r="V42" s="48" t="s">
        <v>220</v>
      </c>
      <c r="W42" s="219" t="s">
        <v>352</v>
      </c>
      <c r="X42" s="50" t="s">
        <v>114</v>
      </c>
      <c r="Y42" s="38">
        <v>212</v>
      </c>
      <c r="Z42" s="25" t="s">
        <v>44</v>
      </c>
      <c r="AA42" s="25">
        <f t="shared" si="0"/>
        <v>0</v>
      </c>
    </row>
    <row r="43" spans="1:16383" ht="15" customHeight="1">
      <c r="A43" s="24" t="s">
        <v>370</v>
      </c>
      <c r="B43" s="25" t="s">
        <v>371</v>
      </c>
      <c r="C43" s="26">
        <v>42760</v>
      </c>
      <c r="D43" s="38" t="s">
        <v>29</v>
      </c>
      <c r="E43" s="38" t="s">
        <v>29</v>
      </c>
      <c r="F43" s="38" t="s">
        <v>30</v>
      </c>
      <c r="G43" s="38">
        <v>2</v>
      </c>
      <c r="H43" s="39" t="s">
        <v>372</v>
      </c>
      <c r="I43" s="39" t="s">
        <v>373</v>
      </c>
      <c r="J43" s="39" t="s">
        <v>374</v>
      </c>
      <c r="K43" s="39" t="s">
        <v>375</v>
      </c>
      <c r="L43" s="39" t="s">
        <v>376</v>
      </c>
      <c r="M43" s="45" t="s">
        <v>377</v>
      </c>
      <c r="N43" s="158" t="s">
        <v>378</v>
      </c>
      <c r="O43" s="95">
        <v>42597.541666666664</v>
      </c>
      <c r="P43" s="41" t="s">
        <v>169</v>
      </c>
      <c r="Q43" s="41" t="s">
        <v>169</v>
      </c>
      <c r="R43" s="42" t="s">
        <v>77</v>
      </c>
      <c r="T43" s="44" t="s">
        <v>65</v>
      </c>
      <c r="U43" s="52">
        <v>42665</v>
      </c>
      <c r="W43" s="54" t="s">
        <v>379</v>
      </c>
      <c r="X43" s="50" t="s">
        <v>43</v>
      </c>
      <c r="Y43" s="38">
        <v>114</v>
      </c>
      <c r="Z43" s="25" t="s">
        <v>44</v>
      </c>
      <c r="AA43" s="25">
        <f t="shared" si="0"/>
        <v>0</v>
      </c>
    </row>
    <row r="44" spans="1:16383" ht="15" customHeight="1">
      <c r="A44" s="24" t="s">
        <v>380</v>
      </c>
      <c r="B44" s="25"/>
      <c r="C44" s="26">
        <v>42674</v>
      </c>
      <c r="D44" s="38" t="s">
        <v>29</v>
      </c>
      <c r="E44" s="38" t="s">
        <v>29</v>
      </c>
      <c r="F44" s="38" t="s">
        <v>47</v>
      </c>
      <c r="G44" s="38">
        <v>1</v>
      </c>
      <c r="H44" s="39" t="s">
        <v>381</v>
      </c>
      <c r="I44" s="39" t="s">
        <v>382</v>
      </c>
      <c r="J44" s="39" t="s">
        <v>383</v>
      </c>
      <c r="K44" s="25" t="s">
        <v>384</v>
      </c>
      <c r="L44" s="39" t="s">
        <v>74</v>
      </c>
      <c r="M44" s="45" t="s">
        <v>385</v>
      </c>
      <c r="N44" s="158" t="s">
        <v>13</v>
      </c>
      <c r="O44" s="95">
        <v>42584.416666666664</v>
      </c>
      <c r="P44" s="41" t="s">
        <v>122</v>
      </c>
      <c r="Q44" s="41" t="s">
        <v>122</v>
      </c>
      <c r="R44" s="42" t="s">
        <v>39</v>
      </c>
      <c r="T44" s="44" t="s">
        <v>78</v>
      </c>
      <c r="U44" s="52">
        <v>42633</v>
      </c>
      <c r="V44" s="48" t="s">
        <v>386</v>
      </c>
      <c r="W44" s="54" t="s">
        <v>387</v>
      </c>
      <c r="X44" s="50" t="s">
        <v>222</v>
      </c>
      <c r="Y44" s="38">
        <v>32</v>
      </c>
      <c r="Z44" s="25" t="s">
        <v>44</v>
      </c>
      <c r="AA44" s="25">
        <f t="shared" si="0"/>
        <v>0</v>
      </c>
      <c r="AB44" s="24" t="s">
        <v>388</v>
      </c>
    </row>
    <row r="45" spans="1:16383" ht="15" customHeight="1">
      <c r="A45" s="233" t="s">
        <v>389</v>
      </c>
      <c r="B45" s="25"/>
      <c r="C45" s="26">
        <v>42662</v>
      </c>
      <c r="D45" s="38" t="s">
        <v>29</v>
      </c>
      <c r="E45" s="38" t="s">
        <v>29</v>
      </c>
      <c r="F45" s="38" t="s">
        <v>30</v>
      </c>
      <c r="G45" s="38">
        <v>1</v>
      </c>
      <c r="H45" s="39" t="s">
        <v>390</v>
      </c>
      <c r="I45" s="39" t="s">
        <v>391</v>
      </c>
      <c r="J45" s="39" t="s">
        <v>392</v>
      </c>
      <c r="K45" s="39" t="s">
        <v>393</v>
      </c>
      <c r="L45" s="39" t="s">
        <v>394</v>
      </c>
      <c r="M45" s="45" t="s">
        <v>395</v>
      </c>
      <c r="N45" s="40" t="s">
        <v>13</v>
      </c>
      <c r="O45" s="94">
        <v>42598.583333333336</v>
      </c>
      <c r="P45" s="41" t="s">
        <v>169</v>
      </c>
      <c r="Q45" s="41" t="s">
        <v>169</v>
      </c>
      <c r="R45" s="42" t="s">
        <v>77</v>
      </c>
      <c r="T45" s="44" t="s">
        <v>78</v>
      </c>
      <c r="U45" s="52">
        <v>42650</v>
      </c>
      <c r="W45" s="54" t="s">
        <v>396</v>
      </c>
      <c r="X45" s="239" t="s">
        <v>397</v>
      </c>
      <c r="Y45" s="38">
        <v>39</v>
      </c>
      <c r="Z45" s="25" t="s">
        <v>44</v>
      </c>
      <c r="AA45" s="25">
        <f t="shared" si="0"/>
        <v>0</v>
      </c>
    </row>
    <row r="46" spans="1:16383" ht="15" customHeight="1">
      <c r="A46" s="24" t="s">
        <v>398</v>
      </c>
      <c r="B46" s="25"/>
      <c r="C46" s="26">
        <v>42726</v>
      </c>
      <c r="D46" s="38" t="s">
        <v>29</v>
      </c>
      <c r="E46" s="38" t="s">
        <v>29</v>
      </c>
      <c r="F46" s="38" t="s">
        <v>47</v>
      </c>
      <c r="G46" s="38">
        <v>4</v>
      </c>
      <c r="H46" s="39" t="s">
        <v>399</v>
      </c>
      <c r="I46" s="39" t="s">
        <v>400</v>
      </c>
      <c r="J46" s="39" t="s">
        <v>401</v>
      </c>
      <c r="K46" s="39" t="s">
        <v>402</v>
      </c>
      <c r="L46" s="39" t="s">
        <v>403</v>
      </c>
      <c r="M46" s="45" t="s">
        <v>404</v>
      </c>
      <c r="N46" s="40" t="s">
        <v>13</v>
      </c>
      <c r="O46" s="94">
        <v>42571.375</v>
      </c>
      <c r="P46" s="41" t="s">
        <v>405</v>
      </c>
      <c r="Q46" s="41" t="s">
        <v>122</v>
      </c>
      <c r="R46" s="42" t="s">
        <v>39</v>
      </c>
      <c r="S46" s="43">
        <v>42430</v>
      </c>
      <c r="T46" s="44" t="s">
        <v>219</v>
      </c>
      <c r="U46" s="52">
        <v>42644</v>
      </c>
      <c r="V46" s="48" t="s">
        <v>406</v>
      </c>
      <c r="W46" s="54" t="s">
        <v>407</v>
      </c>
      <c r="X46" s="50" t="s">
        <v>43</v>
      </c>
      <c r="Y46" s="38">
        <v>141</v>
      </c>
      <c r="Z46" s="25" t="s">
        <v>44</v>
      </c>
      <c r="AA46" s="25">
        <f t="shared" si="0"/>
        <v>0</v>
      </c>
    </row>
    <row r="47" spans="1:16383" ht="15" customHeight="1">
      <c r="A47" s="24" t="s">
        <v>408</v>
      </c>
      <c r="B47" s="25"/>
      <c r="C47" s="26">
        <v>42716</v>
      </c>
      <c r="D47" s="38" t="s">
        <v>29</v>
      </c>
      <c r="E47" s="38" t="s">
        <v>29</v>
      </c>
      <c r="F47" s="38" t="s">
        <v>95</v>
      </c>
      <c r="G47" s="38">
        <v>6</v>
      </c>
      <c r="H47" s="39" t="s">
        <v>248</v>
      </c>
      <c r="I47" s="39" t="s">
        <v>409</v>
      </c>
      <c r="J47" s="39" t="s">
        <v>410</v>
      </c>
      <c r="K47" s="39" t="s">
        <v>411</v>
      </c>
      <c r="L47" s="39" t="s">
        <v>412</v>
      </c>
      <c r="M47" s="45" t="s">
        <v>413</v>
      </c>
      <c r="N47" s="40" t="s">
        <v>13</v>
      </c>
      <c r="O47" s="94">
        <v>42670.479166666664</v>
      </c>
      <c r="P47" s="41" t="s">
        <v>169</v>
      </c>
      <c r="Q47" s="41" t="s">
        <v>169</v>
      </c>
      <c r="R47" s="42" t="s">
        <v>77</v>
      </c>
      <c r="T47" s="44" t="s">
        <v>414</v>
      </c>
      <c r="U47" s="52">
        <v>42703</v>
      </c>
      <c r="W47" s="216" t="s">
        <v>415</v>
      </c>
      <c r="X47" s="50" t="s">
        <v>149</v>
      </c>
      <c r="Y47" s="38">
        <v>37</v>
      </c>
      <c r="Z47" s="25" t="s">
        <v>44</v>
      </c>
      <c r="AA47" s="25">
        <f t="shared" si="0"/>
        <v>0</v>
      </c>
    </row>
    <row r="48" spans="1:16383" ht="15" customHeight="1">
      <c r="A48" s="24" t="s">
        <v>416</v>
      </c>
      <c r="B48" s="25" t="s">
        <v>417</v>
      </c>
      <c r="C48" s="26">
        <v>42647</v>
      </c>
      <c r="D48" s="38" t="s">
        <v>29</v>
      </c>
      <c r="E48" s="38" t="s">
        <v>29</v>
      </c>
      <c r="F48" s="38" t="s">
        <v>47</v>
      </c>
      <c r="G48" s="38">
        <v>1</v>
      </c>
      <c r="H48" s="39" t="s">
        <v>418</v>
      </c>
      <c r="I48" s="39" t="s">
        <v>419</v>
      </c>
      <c r="J48" s="39" t="s">
        <v>420</v>
      </c>
      <c r="K48" s="39" t="s">
        <v>421</v>
      </c>
      <c r="L48" s="39" t="s">
        <v>422</v>
      </c>
      <c r="M48" s="45" t="s">
        <v>423</v>
      </c>
      <c r="N48" s="176" t="s">
        <v>424</v>
      </c>
      <c r="O48" s="94">
        <v>42579.333333333336</v>
      </c>
      <c r="P48" s="41" t="s">
        <v>122</v>
      </c>
      <c r="Q48" s="41" t="s">
        <v>122</v>
      </c>
      <c r="R48" s="42" t="s">
        <v>39</v>
      </c>
      <c r="S48" s="43">
        <v>42430</v>
      </c>
      <c r="T48" s="44" t="s">
        <v>78</v>
      </c>
      <c r="U48" s="52">
        <v>42637</v>
      </c>
      <c r="V48" s="48" t="s">
        <v>386</v>
      </c>
      <c r="W48" s="54" t="s">
        <v>425</v>
      </c>
      <c r="X48" s="50" t="s">
        <v>222</v>
      </c>
      <c r="Y48" s="38">
        <v>34</v>
      </c>
      <c r="Z48" s="25" t="s">
        <v>44</v>
      </c>
      <c r="AA48" s="25">
        <f t="shared" si="0"/>
        <v>0</v>
      </c>
    </row>
    <row r="49" spans="1:28" ht="15" customHeight="1">
      <c r="A49" s="24" t="s">
        <v>426</v>
      </c>
      <c r="B49" s="25"/>
      <c r="C49" s="26">
        <v>42739</v>
      </c>
      <c r="D49" s="38" t="s">
        <v>29</v>
      </c>
      <c r="E49" s="38" t="s">
        <v>29</v>
      </c>
      <c r="F49" s="38" t="s">
        <v>30</v>
      </c>
      <c r="G49" s="38">
        <v>3</v>
      </c>
      <c r="H49" s="39" t="s">
        <v>291</v>
      </c>
      <c r="I49" s="39" t="s">
        <v>427</v>
      </c>
      <c r="J49" s="39" t="s">
        <v>428</v>
      </c>
      <c r="K49" s="39" t="s">
        <v>429</v>
      </c>
      <c r="L49" s="39" t="s">
        <v>376</v>
      </c>
      <c r="M49" s="45" t="s">
        <v>430</v>
      </c>
      <c r="N49" s="158" t="s">
        <v>13</v>
      </c>
      <c r="O49" s="95">
        <v>42572.416666666664</v>
      </c>
      <c r="P49" s="41" t="s">
        <v>431</v>
      </c>
      <c r="Q49" s="41" t="s">
        <v>37</v>
      </c>
      <c r="R49" s="42" t="s">
        <v>77</v>
      </c>
      <c r="T49" s="44" t="s">
        <v>78</v>
      </c>
      <c r="U49" s="52">
        <v>42689</v>
      </c>
      <c r="W49" s="54" t="s">
        <v>432</v>
      </c>
      <c r="X49" s="50" t="s">
        <v>433</v>
      </c>
      <c r="Y49" s="38">
        <v>76</v>
      </c>
      <c r="Z49" s="25" t="s">
        <v>44</v>
      </c>
      <c r="AA49" s="25">
        <f t="shared" si="0"/>
        <v>0</v>
      </c>
      <c r="AB49" s="39" t="s">
        <v>434</v>
      </c>
    </row>
    <row r="50" spans="1:28" ht="15" customHeight="1">
      <c r="A50" s="24" t="s">
        <v>435</v>
      </c>
      <c r="B50" s="25"/>
      <c r="C50" s="26">
        <v>42655</v>
      </c>
      <c r="D50" s="38" t="s">
        <v>29</v>
      </c>
      <c r="E50" s="38" t="s">
        <v>29</v>
      </c>
      <c r="F50" s="38" t="s">
        <v>69</v>
      </c>
      <c r="G50" s="38">
        <v>5</v>
      </c>
      <c r="H50" s="39" t="s">
        <v>436</v>
      </c>
      <c r="I50" s="39" t="s">
        <v>437</v>
      </c>
      <c r="J50" s="39" t="s">
        <v>438</v>
      </c>
      <c r="K50" s="39" t="s">
        <v>439</v>
      </c>
      <c r="L50" s="39" t="s">
        <v>440</v>
      </c>
      <c r="M50" s="45" t="s">
        <v>441</v>
      </c>
      <c r="N50" s="158" t="s">
        <v>13</v>
      </c>
      <c r="O50" s="95">
        <v>42597.354166666664</v>
      </c>
      <c r="P50" s="41" t="s">
        <v>41</v>
      </c>
      <c r="Q50" s="41" t="s">
        <v>41</v>
      </c>
      <c r="R50" s="42" t="s">
        <v>39</v>
      </c>
      <c r="T50" s="44" t="s">
        <v>40</v>
      </c>
      <c r="U50" s="52">
        <v>42630</v>
      </c>
      <c r="V50" s="48" t="s">
        <v>442</v>
      </c>
      <c r="W50" s="54" t="s">
        <v>443</v>
      </c>
      <c r="X50" s="50" t="s">
        <v>80</v>
      </c>
      <c r="Y50" s="38">
        <v>448</v>
      </c>
      <c r="Z50" s="25" t="s">
        <v>44</v>
      </c>
      <c r="AA50" s="25">
        <f t="shared" si="0"/>
        <v>0</v>
      </c>
    </row>
    <row r="51" spans="1:28" ht="15" customHeight="1">
      <c r="A51" s="24" t="s">
        <v>444</v>
      </c>
      <c r="B51" s="25"/>
      <c r="C51" s="26">
        <v>42674</v>
      </c>
      <c r="D51" s="38" t="s">
        <v>29</v>
      </c>
      <c r="E51" s="38" t="s">
        <v>29</v>
      </c>
      <c r="F51" s="38" t="s">
        <v>69</v>
      </c>
      <c r="G51" s="38">
        <v>5</v>
      </c>
      <c r="H51" s="39" t="s">
        <v>445</v>
      </c>
      <c r="I51" s="39" t="s">
        <v>446</v>
      </c>
      <c r="J51" s="39" t="s">
        <v>447</v>
      </c>
      <c r="K51" s="39" t="s">
        <v>448</v>
      </c>
      <c r="L51" s="39" t="s">
        <v>270</v>
      </c>
      <c r="M51" s="45" t="s">
        <v>449</v>
      </c>
      <c r="N51" s="40" t="s">
        <v>13</v>
      </c>
      <c r="O51" s="94">
        <v>42625.541666666664</v>
      </c>
      <c r="P51" s="41" t="s">
        <v>41</v>
      </c>
      <c r="Q51" s="41" t="s">
        <v>41</v>
      </c>
      <c r="R51" s="42" t="s">
        <v>39</v>
      </c>
      <c r="S51" s="43">
        <v>42522</v>
      </c>
      <c r="T51" s="44" t="s">
        <v>40</v>
      </c>
      <c r="U51" s="52">
        <v>42649</v>
      </c>
      <c r="V51" s="48" t="s">
        <v>442</v>
      </c>
      <c r="W51" s="54" t="s">
        <v>450</v>
      </c>
      <c r="X51" s="50" t="s">
        <v>80</v>
      </c>
      <c r="Y51" s="38">
        <v>206</v>
      </c>
      <c r="Z51" s="25" t="s">
        <v>44</v>
      </c>
      <c r="AA51" s="25">
        <f t="shared" si="0"/>
        <v>0</v>
      </c>
      <c r="AB51" s="24" t="s">
        <v>451</v>
      </c>
    </row>
    <row r="52" spans="1:28" ht="15" customHeight="1">
      <c r="A52" s="233" t="s">
        <v>452</v>
      </c>
      <c r="B52" s="25"/>
      <c r="C52" s="26">
        <v>42688</v>
      </c>
      <c r="D52" s="38" t="s">
        <v>29</v>
      </c>
      <c r="E52" s="38" t="s">
        <v>29</v>
      </c>
      <c r="F52" s="38" t="s">
        <v>30</v>
      </c>
      <c r="G52" s="38">
        <v>6</v>
      </c>
      <c r="H52" s="39" t="s">
        <v>163</v>
      </c>
      <c r="I52" s="39" t="s">
        <v>453</v>
      </c>
      <c r="J52" s="39" t="s">
        <v>454</v>
      </c>
      <c r="K52" s="39" t="s">
        <v>455</v>
      </c>
      <c r="L52" s="39" t="s">
        <v>456</v>
      </c>
      <c r="M52" s="45" t="s">
        <v>457</v>
      </c>
      <c r="N52" s="158" t="s">
        <v>13</v>
      </c>
      <c r="O52" s="95">
        <v>42579.416666666664</v>
      </c>
      <c r="P52" s="41" t="s">
        <v>37</v>
      </c>
      <c r="Q52" s="177" t="s">
        <v>458</v>
      </c>
      <c r="R52" s="42" t="s">
        <v>39</v>
      </c>
      <c r="S52" s="178">
        <v>42698</v>
      </c>
      <c r="T52" s="44" t="s">
        <v>193</v>
      </c>
      <c r="U52" s="52">
        <v>42658</v>
      </c>
      <c r="W52" s="54" t="s">
        <v>459</v>
      </c>
      <c r="X52" s="50" t="s">
        <v>433</v>
      </c>
      <c r="Y52" s="38">
        <v>422</v>
      </c>
      <c r="Z52" s="25" t="s">
        <v>44</v>
      </c>
      <c r="AA52" s="25">
        <f t="shared" si="0"/>
        <v>0</v>
      </c>
      <c r="AB52" s="24" t="s">
        <v>460</v>
      </c>
    </row>
    <row r="53" spans="1:28" ht="15" customHeight="1">
      <c r="A53" s="24" t="s">
        <v>461</v>
      </c>
      <c r="B53" s="25" t="s">
        <v>462</v>
      </c>
      <c r="C53" s="26">
        <v>42718</v>
      </c>
      <c r="D53" s="38" t="s">
        <v>29</v>
      </c>
      <c r="E53" s="38" t="s">
        <v>29</v>
      </c>
      <c r="F53" s="38" t="s">
        <v>30</v>
      </c>
      <c r="G53" s="38">
        <v>1</v>
      </c>
      <c r="H53" s="39" t="s">
        <v>463</v>
      </c>
      <c r="I53" s="39" t="s">
        <v>464</v>
      </c>
      <c r="J53" s="39" t="s">
        <v>465</v>
      </c>
      <c r="K53" s="39" t="s">
        <v>466</v>
      </c>
      <c r="L53" s="39" t="s">
        <v>63</v>
      </c>
      <c r="M53" s="45" t="s">
        <v>467</v>
      </c>
      <c r="N53" s="158" t="s">
        <v>468</v>
      </c>
      <c r="O53" s="95">
        <v>42607.354166666664</v>
      </c>
      <c r="P53" s="41" t="s">
        <v>131</v>
      </c>
      <c r="Q53" s="41" t="s">
        <v>131</v>
      </c>
      <c r="R53" s="42" t="s">
        <v>39</v>
      </c>
      <c r="T53" s="44" t="s">
        <v>78</v>
      </c>
      <c r="U53" s="52">
        <v>42683</v>
      </c>
      <c r="W53" s="54" t="s">
        <v>469</v>
      </c>
      <c r="X53" s="50" t="s">
        <v>57</v>
      </c>
      <c r="Y53" s="38">
        <v>106</v>
      </c>
      <c r="Z53" s="25" t="s">
        <v>44</v>
      </c>
      <c r="AA53" s="25">
        <f t="shared" si="0"/>
        <v>0</v>
      </c>
    </row>
    <row r="54" spans="1:28" ht="15" customHeight="1">
      <c r="A54" s="24" t="s">
        <v>470</v>
      </c>
      <c r="B54" s="25"/>
      <c r="C54" s="26">
        <v>42674</v>
      </c>
      <c r="D54" s="38" t="s">
        <v>29</v>
      </c>
      <c r="E54" s="38" t="s">
        <v>29</v>
      </c>
      <c r="F54" s="38" t="s">
        <v>69</v>
      </c>
      <c r="G54" s="38">
        <v>1</v>
      </c>
      <c r="H54" s="39" t="s">
        <v>471</v>
      </c>
      <c r="I54" s="39" t="s">
        <v>472</v>
      </c>
      <c r="J54" s="39" t="s">
        <v>473</v>
      </c>
      <c r="K54" s="39" t="s">
        <v>474</v>
      </c>
      <c r="L54" s="39" t="s">
        <v>346</v>
      </c>
      <c r="M54" s="24" t="s">
        <v>475</v>
      </c>
      <c r="N54" s="40" t="s">
        <v>13</v>
      </c>
      <c r="O54" s="94">
        <v>42586.416666666664</v>
      </c>
      <c r="P54" s="41" t="s">
        <v>185</v>
      </c>
      <c r="Q54" s="41" t="s">
        <v>185</v>
      </c>
      <c r="R54" s="42" t="s">
        <v>39</v>
      </c>
      <c r="S54" s="43">
        <v>42430</v>
      </c>
      <c r="T54" s="179" t="s">
        <v>78</v>
      </c>
      <c r="U54" s="224">
        <v>42672</v>
      </c>
      <c r="V54" s="48" t="s">
        <v>476</v>
      </c>
      <c r="W54" s="54" t="s">
        <v>477</v>
      </c>
      <c r="X54" s="50" t="s">
        <v>80</v>
      </c>
      <c r="Y54" s="180">
        <v>54</v>
      </c>
      <c r="Z54" s="25" t="s">
        <v>44</v>
      </c>
      <c r="AA54" s="25">
        <f t="shared" si="0"/>
        <v>0</v>
      </c>
      <c r="AB54" s="163"/>
    </row>
    <row r="55" spans="1:28" ht="15" customHeight="1">
      <c r="A55" s="24" t="s">
        <v>478</v>
      </c>
      <c r="B55" s="25" t="s">
        <v>479</v>
      </c>
      <c r="C55" s="26">
        <v>42649</v>
      </c>
      <c r="D55" s="38" t="s">
        <v>29</v>
      </c>
      <c r="E55" s="38" t="s">
        <v>29</v>
      </c>
      <c r="F55" s="38" t="s">
        <v>95</v>
      </c>
      <c r="G55" s="38">
        <v>1</v>
      </c>
      <c r="H55" s="39" t="s">
        <v>480</v>
      </c>
      <c r="I55" s="39" t="s">
        <v>481</v>
      </c>
      <c r="J55" s="39" t="s">
        <v>482</v>
      </c>
      <c r="K55" s="25" t="s">
        <v>483</v>
      </c>
      <c r="L55" s="39" t="s">
        <v>376</v>
      </c>
      <c r="M55" s="45" t="s">
        <v>484</v>
      </c>
      <c r="N55" s="40" t="s">
        <v>485</v>
      </c>
      <c r="O55" s="94">
        <v>42599.541666666664</v>
      </c>
      <c r="P55" s="41" t="s">
        <v>102</v>
      </c>
      <c r="Q55" s="41" t="s">
        <v>102</v>
      </c>
      <c r="R55" s="42" t="s">
        <v>77</v>
      </c>
      <c r="T55" s="44" t="s">
        <v>78</v>
      </c>
      <c r="U55" s="52">
        <v>42647</v>
      </c>
      <c r="W55" s="54" t="s">
        <v>486</v>
      </c>
      <c r="X55" s="50" t="s">
        <v>222</v>
      </c>
      <c r="Y55" s="38">
        <v>24</v>
      </c>
      <c r="Z55" s="25" t="s">
        <v>44</v>
      </c>
      <c r="AA55" s="25">
        <f t="shared" si="0"/>
        <v>0</v>
      </c>
    </row>
    <row r="56" spans="1:28" ht="15" customHeight="1">
      <c r="A56" s="24" t="s">
        <v>487</v>
      </c>
      <c r="B56" s="25"/>
      <c r="C56" s="26">
        <v>42794</v>
      </c>
      <c r="D56" s="38" t="s">
        <v>29</v>
      </c>
      <c r="E56" s="38" t="s">
        <v>29</v>
      </c>
      <c r="F56" s="38" t="s">
        <v>30</v>
      </c>
      <c r="G56" s="38">
        <v>18</v>
      </c>
      <c r="H56" s="39" t="s">
        <v>136</v>
      </c>
      <c r="I56" s="39" t="s">
        <v>488</v>
      </c>
      <c r="J56" s="39" t="s">
        <v>489</v>
      </c>
      <c r="K56" s="39" t="s">
        <v>490</v>
      </c>
      <c r="L56" s="39" t="s">
        <v>491</v>
      </c>
      <c r="M56" s="45" t="s">
        <v>492</v>
      </c>
      <c r="N56" s="158" t="s">
        <v>13</v>
      </c>
      <c r="O56" s="95">
        <v>42569.395833333336</v>
      </c>
      <c r="P56" s="41" t="s">
        <v>493</v>
      </c>
      <c r="Q56" s="41" t="s">
        <v>131</v>
      </c>
      <c r="R56" s="42" t="s">
        <v>77</v>
      </c>
      <c r="S56" s="43">
        <v>42401</v>
      </c>
      <c r="T56" s="44" t="s">
        <v>494</v>
      </c>
      <c r="U56" s="52">
        <v>42672</v>
      </c>
      <c r="W56" s="54" t="s">
        <v>495</v>
      </c>
      <c r="X56" s="50" t="s">
        <v>114</v>
      </c>
      <c r="Y56" s="38">
        <v>1250</v>
      </c>
      <c r="Z56" s="25" t="s">
        <v>44</v>
      </c>
      <c r="AA56" s="25">
        <f t="shared" si="0"/>
        <v>0</v>
      </c>
    </row>
    <row r="57" spans="1:28" ht="15" customHeight="1">
      <c r="A57" s="39" t="s">
        <v>496</v>
      </c>
      <c r="B57" s="25"/>
      <c r="C57" s="26">
        <v>42745</v>
      </c>
      <c r="D57" s="38" t="s">
        <v>29</v>
      </c>
      <c r="E57" s="38" t="s">
        <v>29</v>
      </c>
      <c r="F57" s="38" t="s">
        <v>30</v>
      </c>
      <c r="G57" s="38">
        <v>1</v>
      </c>
      <c r="H57" s="161" t="s">
        <v>497</v>
      </c>
      <c r="I57" s="161" t="s">
        <v>498</v>
      </c>
      <c r="J57" s="161" t="s">
        <v>499</v>
      </c>
      <c r="K57" s="161" t="s">
        <v>500</v>
      </c>
      <c r="L57" s="39"/>
      <c r="N57" s="158" t="s">
        <v>13</v>
      </c>
      <c r="O57" s="95">
        <v>42703.458333333336</v>
      </c>
      <c r="P57" s="41" t="s">
        <v>169</v>
      </c>
      <c r="Q57" s="41" t="s">
        <v>169</v>
      </c>
      <c r="T57" s="44" t="s">
        <v>78</v>
      </c>
      <c r="U57" s="52">
        <v>42710</v>
      </c>
      <c r="W57" s="54" t="s">
        <v>501</v>
      </c>
      <c r="X57" s="50" t="s">
        <v>57</v>
      </c>
      <c r="Y57" s="38">
        <v>95</v>
      </c>
      <c r="Z57" s="25" t="s">
        <v>44</v>
      </c>
      <c r="AA57" s="25">
        <f t="shared" si="0"/>
        <v>0</v>
      </c>
    </row>
    <row r="58" spans="1:28" ht="15" customHeight="1">
      <c r="A58" s="39" t="s">
        <v>502</v>
      </c>
      <c r="B58" s="25"/>
      <c r="C58" s="26">
        <v>42794</v>
      </c>
      <c r="D58" s="38" t="s">
        <v>29</v>
      </c>
      <c r="E58" s="38" t="s">
        <v>29</v>
      </c>
      <c r="F58" s="38" t="s">
        <v>47</v>
      </c>
      <c r="G58" s="38">
        <v>8</v>
      </c>
      <c r="H58" s="161" t="s">
        <v>152</v>
      </c>
      <c r="I58" s="161" t="s">
        <v>503</v>
      </c>
      <c r="J58" s="161"/>
      <c r="K58" s="201" t="s">
        <v>504</v>
      </c>
      <c r="L58" s="39" t="s">
        <v>505</v>
      </c>
      <c r="N58" s="158" t="s">
        <v>13</v>
      </c>
      <c r="O58" s="95">
        <v>42740.583333333336</v>
      </c>
      <c r="P58" s="41" t="s">
        <v>202</v>
      </c>
      <c r="Q58" s="41" t="s">
        <v>202</v>
      </c>
      <c r="T58" s="44" t="s">
        <v>90</v>
      </c>
      <c r="U58" s="52">
        <v>42748</v>
      </c>
      <c r="V58" s="48" t="s">
        <v>506</v>
      </c>
      <c r="W58" s="397" t="s">
        <v>507</v>
      </c>
      <c r="X58" s="50" t="s">
        <v>57</v>
      </c>
      <c r="Y58" s="38">
        <v>552</v>
      </c>
      <c r="Z58" s="25" t="s">
        <v>44</v>
      </c>
      <c r="AA58" s="25">
        <f t="shared" si="0"/>
        <v>0</v>
      </c>
    </row>
    <row r="59" spans="1:28" ht="15" customHeight="1">
      <c r="A59" s="24" t="s">
        <v>508</v>
      </c>
      <c r="B59" s="25"/>
      <c r="C59" s="26">
        <v>42654</v>
      </c>
      <c r="D59" s="38" t="s">
        <v>29</v>
      </c>
      <c r="E59" s="38" t="s">
        <v>29</v>
      </c>
      <c r="F59" s="38" t="s">
        <v>47</v>
      </c>
      <c r="G59" s="38">
        <v>1</v>
      </c>
      <c r="H59" s="39" t="s">
        <v>509</v>
      </c>
      <c r="I59" s="39" t="s">
        <v>510</v>
      </c>
      <c r="J59" s="39" t="s">
        <v>511</v>
      </c>
      <c r="K59" s="25" t="s">
        <v>512</v>
      </c>
      <c r="L59" s="39" t="s">
        <v>167</v>
      </c>
      <c r="M59" s="45" t="s">
        <v>513</v>
      </c>
      <c r="N59" s="158" t="s">
        <v>13</v>
      </c>
      <c r="O59" s="94">
        <v>42593.416666666664</v>
      </c>
      <c r="P59" s="41" t="s">
        <v>185</v>
      </c>
      <c r="Q59" s="41" t="s">
        <v>185</v>
      </c>
      <c r="R59" s="42" t="s">
        <v>39</v>
      </c>
      <c r="S59" s="43">
        <v>42639</v>
      </c>
      <c r="T59" s="179" t="s">
        <v>78</v>
      </c>
      <c r="U59" s="224">
        <v>42649</v>
      </c>
      <c r="V59" s="210" t="s">
        <v>220</v>
      </c>
      <c r="W59" s="54" t="s">
        <v>514</v>
      </c>
      <c r="X59" s="213" t="s">
        <v>222</v>
      </c>
      <c r="Y59" s="180">
        <v>36</v>
      </c>
      <c r="Z59" s="25" t="s">
        <v>44</v>
      </c>
      <c r="AA59" s="25">
        <f t="shared" si="0"/>
        <v>0</v>
      </c>
      <c r="AB59" s="163"/>
    </row>
    <row r="60" spans="1:28" ht="15" customHeight="1">
      <c r="A60" s="59" t="s">
        <v>515</v>
      </c>
      <c r="B60" s="56"/>
      <c r="C60" s="181">
        <v>42744</v>
      </c>
      <c r="D60" s="38" t="s">
        <v>29</v>
      </c>
      <c r="E60" s="38" t="s">
        <v>29</v>
      </c>
      <c r="F60" s="38" t="s">
        <v>47</v>
      </c>
      <c r="G60" s="38">
        <v>1</v>
      </c>
      <c r="H60" s="39" t="s">
        <v>516</v>
      </c>
      <c r="I60" s="39" t="s">
        <v>517</v>
      </c>
      <c r="J60" s="39" t="s">
        <v>518</v>
      </c>
      <c r="K60" s="182" t="s">
        <v>519</v>
      </c>
      <c r="L60" s="39" t="s">
        <v>167</v>
      </c>
      <c r="N60" s="158" t="s">
        <v>13</v>
      </c>
      <c r="O60" s="94">
        <v>42709</v>
      </c>
      <c r="P60" s="41" t="s">
        <v>520</v>
      </c>
      <c r="Q60" s="41" t="s">
        <v>520</v>
      </c>
      <c r="T60" s="179" t="s">
        <v>78</v>
      </c>
      <c r="U60" s="224">
        <v>42721</v>
      </c>
      <c r="V60" s="210"/>
      <c r="W60" s="54" t="s">
        <v>521</v>
      </c>
      <c r="X60" s="213" t="s">
        <v>57</v>
      </c>
      <c r="Y60" s="180">
        <v>97</v>
      </c>
      <c r="Z60" s="25" t="s">
        <v>44</v>
      </c>
      <c r="AA60" s="25">
        <f t="shared" si="0"/>
        <v>0</v>
      </c>
      <c r="AB60" s="163"/>
    </row>
    <row r="61" spans="1:28" ht="15" customHeight="1">
      <c r="A61" s="24" t="s">
        <v>522</v>
      </c>
      <c r="B61" s="25"/>
      <c r="C61" s="26">
        <v>42691</v>
      </c>
      <c r="D61" s="38" t="s">
        <v>94</v>
      </c>
      <c r="E61" s="38" t="s">
        <v>29</v>
      </c>
      <c r="F61" s="38" t="s">
        <v>69</v>
      </c>
      <c r="G61" s="38">
        <v>1</v>
      </c>
      <c r="H61" s="39" t="s">
        <v>523</v>
      </c>
      <c r="I61" s="39" t="s">
        <v>524</v>
      </c>
      <c r="J61" s="39" t="s">
        <v>525</v>
      </c>
      <c r="K61" s="39" t="s">
        <v>526</v>
      </c>
      <c r="L61" s="39" t="s">
        <v>346</v>
      </c>
      <c r="M61" s="45" t="s">
        <v>527</v>
      </c>
      <c r="N61" s="158" t="s">
        <v>13</v>
      </c>
      <c r="O61" s="94">
        <v>42678.5625</v>
      </c>
      <c r="P61" s="41" t="s">
        <v>348</v>
      </c>
      <c r="Q61" s="41" t="s">
        <v>41</v>
      </c>
      <c r="R61" s="42" t="s">
        <v>39</v>
      </c>
      <c r="S61" s="43">
        <v>42491</v>
      </c>
      <c r="T61" s="44" t="s">
        <v>78</v>
      </c>
      <c r="U61" s="52">
        <v>42690</v>
      </c>
      <c r="W61" s="54" t="s">
        <v>528</v>
      </c>
      <c r="X61" s="50" t="s">
        <v>80</v>
      </c>
      <c r="Y61" s="38">
        <v>36</v>
      </c>
      <c r="Z61" s="25" t="s">
        <v>44</v>
      </c>
      <c r="AA61" s="25">
        <f t="shared" si="0"/>
        <v>0</v>
      </c>
    </row>
    <row r="62" spans="1:28" ht="15" customHeight="1">
      <c r="A62" s="24" t="s">
        <v>529</v>
      </c>
      <c r="B62" s="25"/>
      <c r="C62" s="26">
        <v>42704</v>
      </c>
      <c r="D62" s="38" t="s">
        <v>29</v>
      </c>
      <c r="E62" s="38" t="s">
        <v>29</v>
      </c>
      <c r="F62" s="38" t="s">
        <v>30</v>
      </c>
      <c r="G62" s="38">
        <v>1</v>
      </c>
      <c r="H62" s="39" t="s">
        <v>530</v>
      </c>
      <c r="I62" s="39" t="s">
        <v>531</v>
      </c>
      <c r="J62" s="39"/>
      <c r="K62" s="183" t="s">
        <v>532</v>
      </c>
      <c r="L62" s="39" t="s">
        <v>376</v>
      </c>
      <c r="M62" s="184" t="s">
        <v>533</v>
      </c>
      <c r="N62" s="158" t="s">
        <v>13</v>
      </c>
      <c r="O62" s="94">
        <v>42688.375</v>
      </c>
      <c r="P62" s="41" t="s">
        <v>520</v>
      </c>
      <c r="Q62" s="41" t="s">
        <v>131</v>
      </c>
      <c r="T62" s="44" t="s">
        <v>78</v>
      </c>
      <c r="U62" s="52">
        <v>42703</v>
      </c>
      <c r="W62" s="54" t="s">
        <v>534</v>
      </c>
      <c r="X62" s="50" t="s">
        <v>57</v>
      </c>
      <c r="Y62" s="38">
        <v>54</v>
      </c>
      <c r="Z62" s="25" t="s">
        <v>44</v>
      </c>
      <c r="AA62" s="25">
        <f t="shared" si="0"/>
        <v>0</v>
      </c>
    </row>
    <row r="63" spans="1:28" ht="15" customHeight="1">
      <c r="A63" s="24" t="s">
        <v>535</v>
      </c>
      <c r="B63" s="25"/>
      <c r="C63" s="26">
        <v>42681</v>
      </c>
      <c r="D63" s="38" t="s">
        <v>29</v>
      </c>
      <c r="E63" s="38" t="s">
        <v>94</v>
      </c>
      <c r="F63" s="38" t="s">
        <v>95</v>
      </c>
      <c r="G63" s="38">
        <v>1</v>
      </c>
      <c r="H63" s="39" t="s">
        <v>536</v>
      </c>
      <c r="I63" s="39" t="s">
        <v>537</v>
      </c>
      <c r="J63" s="39" t="s">
        <v>538</v>
      </c>
      <c r="K63" s="39" t="s">
        <v>539</v>
      </c>
      <c r="L63" s="39" t="s">
        <v>100</v>
      </c>
      <c r="M63" s="45" t="s">
        <v>540</v>
      </c>
      <c r="N63" s="40" t="s">
        <v>13</v>
      </c>
      <c r="O63" s="94">
        <v>42640.375</v>
      </c>
      <c r="P63" s="41" t="s">
        <v>122</v>
      </c>
      <c r="Q63" s="41" t="s">
        <v>122</v>
      </c>
      <c r="R63" s="42" t="s">
        <v>77</v>
      </c>
      <c r="S63" s="43">
        <v>42491</v>
      </c>
      <c r="T63" s="44" t="s">
        <v>78</v>
      </c>
      <c r="U63" s="52">
        <v>42655</v>
      </c>
      <c r="V63" s="48" t="s">
        <v>94</v>
      </c>
      <c r="W63" s="54" t="s">
        <v>541</v>
      </c>
      <c r="X63" s="50" t="s">
        <v>104</v>
      </c>
      <c r="Y63" s="38">
        <v>195</v>
      </c>
      <c r="Z63" s="25" t="s">
        <v>44</v>
      </c>
      <c r="AA63" s="25">
        <f t="shared" si="0"/>
        <v>0</v>
      </c>
    </row>
    <row r="64" spans="1:28" ht="15" customHeight="1">
      <c r="A64" s="24" t="s">
        <v>542</v>
      </c>
      <c r="B64" s="25"/>
      <c r="C64" s="26">
        <v>42654</v>
      </c>
      <c r="D64" s="38" t="s">
        <v>29</v>
      </c>
      <c r="E64" s="38" t="s">
        <v>29</v>
      </c>
      <c r="F64" s="38" t="s">
        <v>47</v>
      </c>
      <c r="G64" s="38">
        <v>6</v>
      </c>
      <c r="H64" s="39" t="s">
        <v>152</v>
      </c>
      <c r="I64" s="39" t="s">
        <v>543</v>
      </c>
      <c r="J64" s="39" t="s">
        <v>544</v>
      </c>
      <c r="K64" s="39" t="s">
        <v>545</v>
      </c>
      <c r="L64" s="39" t="s">
        <v>167</v>
      </c>
      <c r="M64" s="45" t="s">
        <v>546</v>
      </c>
      <c r="N64" s="40" t="s">
        <v>13</v>
      </c>
      <c r="O64" s="94">
        <v>42578.395833333336</v>
      </c>
      <c r="P64" s="41" t="s">
        <v>547</v>
      </c>
      <c r="Q64" s="41" t="s">
        <v>54</v>
      </c>
      <c r="R64" s="42" t="s">
        <v>39</v>
      </c>
      <c r="S64" s="43">
        <v>42461</v>
      </c>
      <c r="T64" s="44" t="s">
        <v>193</v>
      </c>
      <c r="U64" s="52">
        <v>42630</v>
      </c>
      <c r="V64" s="48" t="s">
        <v>548</v>
      </c>
      <c r="W64" s="54" t="s">
        <v>549</v>
      </c>
      <c r="X64" s="50" t="s">
        <v>80</v>
      </c>
      <c r="Y64" s="38">
        <v>167</v>
      </c>
      <c r="Z64" s="25" t="s">
        <v>44</v>
      </c>
      <c r="AA64" s="25">
        <f t="shared" si="0"/>
        <v>0</v>
      </c>
    </row>
    <row r="65" spans="1:29" ht="15" customHeight="1">
      <c r="A65" s="233" t="s">
        <v>550</v>
      </c>
      <c r="B65" s="25"/>
      <c r="C65" s="26">
        <v>42725</v>
      </c>
      <c r="D65" s="38" t="s">
        <v>29</v>
      </c>
      <c r="E65" s="38" t="s">
        <v>29</v>
      </c>
      <c r="F65" s="38" t="s">
        <v>95</v>
      </c>
      <c r="G65" s="38">
        <v>7</v>
      </c>
      <c r="H65" s="39" t="s">
        <v>516</v>
      </c>
      <c r="I65" s="39" t="s">
        <v>551</v>
      </c>
      <c r="J65" s="39" t="s">
        <v>552</v>
      </c>
      <c r="K65" s="39" t="s">
        <v>553</v>
      </c>
      <c r="L65" s="39" t="s">
        <v>554</v>
      </c>
      <c r="M65" s="45" t="s">
        <v>555</v>
      </c>
      <c r="N65" s="40" t="s">
        <v>13</v>
      </c>
      <c r="O65" s="94">
        <v>42626.375</v>
      </c>
      <c r="P65" s="41" t="s">
        <v>102</v>
      </c>
      <c r="Q65" s="41" t="s">
        <v>102</v>
      </c>
      <c r="R65" s="42" t="s">
        <v>77</v>
      </c>
      <c r="T65" s="44" t="s">
        <v>55</v>
      </c>
      <c r="U65" s="52">
        <v>42682</v>
      </c>
      <c r="V65" s="48" t="s">
        <v>556</v>
      </c>
      <c r="W65" s="54" t="s">
        <v>557</v>
      </c>
      <c r="X65" s="50" t="s">
        <v>558</v>
      </c>
      <c r="Y65" s="234">
        <v>442</v>
      </c>
      <c r="Z65" s="25" t="s">
        <v>44</v>
      </c>
      <c r="AA65" s="25">
        <f t="shared" si="0"/>
        <v>0</v>
      </c>
    </row>
    <row r="66" spans="1:29" ht="15" customHeight="1">
      <c r="A66" s="24" t="s">
        <v>559</v>
      </c>
      <c r="B66" s="25"/>
      <c r="C66" s="26">
        <v>42793</v>
      </c>
      <c r="D66" s="38" t="s">
        <v>29</v>
      </c>
      <c r="E66" s="38" t="s">
        <v>29</v>
      </c>
      <c r="F66" s="38" t="s">
        <v>69</v>
      </c>
      <c r="G66" s="38">
        <v>7</v>
      </c>
      <c r="H66" s="39" t="s">
        <v>560</v>
      </c>
      <c r="I66" s="39" t="s">
        <v>561</v>
      </c>
      <c r="J66" s="39" t="s">
        <v>562</v>
      </c>
      <c r="K66" s="201" t="s">
        <v>563</v>
      </c>
      <c r="L66" s="39" t="s">
        <v>167</v>
      </c>
      <c r="M66" s="45" t="s">
        <v>564</v>
      </c>
      <c r="N66" s="302" t="s">
        <v>13</v>
      </c>
      <c r="O66" s="94">
        <v>42753.395833333336</v>
      </c>
      <c r="P66" s="41" t="s">
        <v>112</v>
      </c>
      <c r="Q66" s="41" t="s">
        <v>112</v>
      </c>
      <c r="R66" s="42" t="s">
        <v>77</v>
      </c>
      <c r="T66" s="44" t="s">
        <v>55</v>
      </c>
      <c r="U66" s="303" t="s">
        <v>565</v>
      </c>
      <c r="W66" s="54" t="s">
        <v>566</v>
      </c>
      <c r="X66" s="50" t="s">
        <v>80</v>
      </c>
      <c r="Y66" s="38">
        <v>511</v>
      </c>
      <c r="Z66" s="25" t="s">
        <v>44</v>
      </c>
      <c r="AA66" s="25">
        <f t="shared" ref="AA66:AA129" si="1">IF(AND(E66="YES",X66&lt;&gt;"MWRA"),1,0)</f>
        <v>0</v>
      </c>
    </row>
    <row r="67" spans="1:29" ht="15" customHeight="1">
      <c r="A67" s="24" t="s">
        <v>567</v>
      </c>
      <c r="B67" s="25" t="s">
        <v>417</v>
      </c>
      <c r="C67" s="26">
        <v>42676</v>
      </c>
      <c r="D67" s="38" t="s">
        <v>94</v>
      </c>
      <c r="E67" s="38" t="s">
        <v>29</v>
      </c>
      <c r="F67" s="38" t="s">
        <v>47</v>
      </c>
      <c r="G67" s="38">
        <v>4</v>
      </c>
      <c r="H67" s="39" t="s">
        <v>418</v>
      </c>
      <c r="I67" s="39" t="s">
        <v>419</v>
      </c>
      <c r="J67" s="39" t="s">
        <v>568</v>
      </c>
      <c r="K67" s="39" t="s">
        <v>421</v>
      </c>
      <c r="L67" s="39" t="s">
        <v>422</v>
      </c>
      <c r="M67" s="45" t="s">
        <v>569</v>
      </c>
      <c r="N67" s="176" t="s">
        <v>570</v>
      </c>
      <c r="O67" s="94">
        <v>42579.333333333336</v>
      </c>
      <c r="P67" s="41" t="s">
        <v>122</v>
      </c>
      <c r="Q67" s="41" t="s">
        <v>122</v>
      </c>
      <c r="R67" s="42" t="s">
        <v>39</v>
      </c>
      <c r="S67" s="43">
        <v>42430</v>
      </c>
      <c r="T67" s="44" t="s">
        <v>219</v>
      </c>
      <c r="U67" s="52">
        <v>42637</v>
      </c>
      <c r="V67" s="48" t="s">
        <v>386</v>
      </c>
      <c r="W67" s="54" t="s">
        <v>425</v>
      </c>
      <c r="X67" s="50" t="s">
        <v>222</v>
      </c>
      <c r="Y67" s="38">
        <v>120</v>
      </c>
      <c r="Z67" s="231" t="s">
        <v>44</v>
      </c>
      <c r="AA67" s="25">
        <f t="shared" si="1"/>
        <v>0</v>
      </c>
      <c r="AB67" s="24" t="s">
        <v>571</v>
      </c>
    </row>
    <row r="68" spans="1:29" ht="15" customHeight="1">
      <c r="A68" s="24" t="s">
        <v>572</v>
      </c>
      <c r="B68" s="25" t="s">
        <v>573</v>
      </c>
      <c r="C68" s="26">
        <v>42711</v>
      </c>
      <c r="D68" s="38" t="s">
        <v>29</v>
      </c>
      <c r="E68" s="38" t="s">
        <v>29</v>
      </c>
      <c r="F68" s="38" t="s">
        <v>95</v>
      </c>
      <c r="G68" s="38">
        <v>1</v>
      </c>
      <c r="H68" s="39" t="s">
        <v>574</v>
      </c>
      <c r="I68" s="39" t="s">
        <v>575</v>
      </c>
      <c r="J68" s="39" t="s">
        <v>576</v>
      </c>
      <c r="K68" s="393" t="s">
        <v>577</v>
      </c>
      <c r="L68" s="39" t="s">
        <v>376</v>
      </c>
      <c r="M68" s="45" t="s">
        <v>578</v>
      </c>
      <c r="N68" s="40" t="s">
        <v>579</v>
      </c>
      <c r="O68" s="94">
        <v>42626.541666666664</v>
      </c>
      <c r="P68" s="41" t="s">
        <v>102</v>
      </c>
      <c r="Q68" s="41" t="s">
        <v>102</v>
      </c>
      <c r="R68" s="42" t="s">
        <v>39</v>
      </c>
      <c r="S68" s="43">
        <v>42461</v>
      </c>
      <c r="T68" s="44" t="s">
        <v>78</v>
      </c>
      <c r="U68" s="52">
        <v>42691</v>
      </c>
      <c r="W68" s="398" t="s">
        <v>580</v>
      </c>
      <c r="X68" s="50" t="s">
        <v>149</v>
      </c>
      <c r="Y68" s="38">
        <v>85</v>
      </c>
      <c r="Z68" s="25" t="s">
        <v>44</v>
      </c>
      <c r="AA68" s="25">
        <f t="shared" si="1"/>
        <v>0</v>
      </c>
    </row>
    <row r="69" spans="1:29" ht="15" customHeight="1">
      <c r="A69" s="24" t="s">
        <v>581</v>
      </c>
      <c r="B69" s="25" t="s">
        <v>582</v>
      </c>
      <c r="C69" s="26">
        <v>42741</v>
      </c>
      <c r="D69" s="38" t="s">
        <v>29</v>
      </c>
      <c r="E69" s="38" t="s">
        <v>29</v>
      </c>
      <c r="F69" s="38" t="s">
        <v>95</v>
      </c>
      <c r="G69" s="38">
        <v>4</v>
      </c>
      <c r="H69" s="39" t="s">
        <v>31</v>
      </c>
      <c r="I69" s="39" t="s">
        <v>583</v>
      </c>
      <c r="J69" s="39" t="s">
        <v>584</v>
      </c>
      <c r="K69" s="39" t="s">
        <v>585</v>
      </c>
      <c r="L69" s="39" t="s">
        <v>586</v>
      </c>
      <c r="M69" s="45" t="s">
        <v>587</v>
      </c>
      <c r="N69" s="158" t="s">
        <v>588</v>
      </c>
      <c r="O69" s="95">
        <v>42660</v>
      </c>
      <c r="P69" s="41" t="s">
        <v>102</v>
      </c>
      <c r="Q69" s="41" t="s">
        <v>102</v>
      </c>
      <c r="R69" s="42" t="s">
        <v>77</v>
      </c>
      <c r="S69" s="43" t="s">
        <v>296</v>
      </c>
      <c r="T69" s="44" t="s">
        <v>219</v>
      </c>
      <c r="U69" s="52">
        <v>42696</v>
      </c>
      <c r="W69" s="54" t="s">
        <v>589</v>
      </c>
      <c r="X69" s="50" t="s">
        <v>149</v>
      </c>
      <c r="Y69" s="38">
        <v>241</v>
      </c>
      <c r="Z69" s="25" t="s">
        <v>44</v>
      </c>
      <c r="AA69" s="25">
        <f t="shared" si="1"/>
        <v>0</v>
      </c>
    </row>
    <row r="70" spans="1:29" ht="15" customHeight="1">
      <c r="A70" s="233" t="s">
        <v>590</v>
      </c>
      <c r="B70" s="25" t="s">
        <v>591</v>
      </c>
      <c r="C70" s="26">
        <v>42718</v>
      </c>
      <c r="D70" s="38" t="s">
        <v>94</v>
      </c>
      <c r="E70" s="38" t="s">
        <v>29</v>
      </c>
      <c r="F70" s="38" t="s">
        <v>69</v>
      </c>
      <c r="G70" s="38">
        <v>2</v>
      </c>
      <c r="H70" s="39" t="s">
        <v>592</v>
      </c>
      <c r="I70" s="39" t="s">
        <v>593</v>
      </c>
      <c r="J70" s="39" t="s">
        <v>594</v>
      </c>
      <c r="K70" s="39" t="s">
        <v>595</v>
      </c>
      <c r="L70" s="39" t="s">
        <v>596</v>
      </c>
      <c r="M70" s="45" t="s">
        <v>597</v>
      </c>
      <c r="N70" s="40" t="s">
        <v>13</v>
      </c>
      <c r="O70" s="94">
        <v>42695.5</v>
      </c>
      <c r="P70" s="41" t="s">
        <v>41</v>
      </c>
      <c r="Q70" s="41" t="s">
        <v>41</v>
      </c>
      <c r="R70" s="42" t="s">
        <v>77</v>
      </c>
      <c r="T70" s="44" t="s">
        <v>65</v>
      </c>
      <c r="U70" s="52">
        <v>42714</v>
      </c>
      <c r="W70" s="54" t="s">
        <v>598</v>
      </c>
      <c r="X70" s="50" t="s">
        <v>80</v>
      </c>
      <c r="Y70" s="234">
        <v>150</v>
      </c>
      <c r="Z70" s="231" t="s">
        <v>44</v>
      </c>
      <c r="AA70" s="25">
        <f t="shared" si="1"/>
        <v>0</v>
      </c>
    </row>
    <row r="71" spans="1:29" ht="15" customHeight="1">
      <c r="A71" s="233" t="s">
        <v>599</v>
      </c>
      <c r="B71" s="25"/>
      <c r="C71" s="26">
        <v>42794</v>
      </c>
      <c r="D71" s="38" t="s">
        <v>29</v>
      </c>
      <c r="E71" s="38" t="s">
        <v>29</v>
      </c>
      <c r="F71" s="38" t="s">
        <v>95</v>
      </c>
      <c r="G71" s="38">
        <v>15</v>
      </c>
      <c r="H71" s="39" t="s">
        <v>600</v>
      </c>
      <c r="I71" s="39" t="s">
        <v>601</v>
      </c>
      <c r="J71" s="39" t="s">
        <v>602</v>
      </c>
      <c r="K71" s="25" t="s">
        <v>603</v>
      </c>
      <c r="L71" s="39" t="s">
        <v>604</v>
      </c>
      <c r="M71" s="45" t="s">
        <v>605</v>
      </c>
      <c r="N71" s="40" t="s">
        <v>13</v>
      </c>
      <c r="O71" s="94">
        <v>42593.541666666664</v>
      </c>
      <c r="P71" s="41" t="s">
        <v>102</v>
      </c>
      <c r="Q71" s="41" t="s">
        <v>102</v>
      </c>
      <c r="R71" s="42" t="s">
        <v>77</v>
      </c>
      <c r="T71" s="44" t="s">
        <v>338</v>
      </c>
      <c r="U71" s="52">
        <v>42668</v>
      </c>
      <c r="V71" s="48" t="s">
        <v>220</v>
      </c>
      <c r="W71" s="54" t="s">
        <v>606</v>
      </c>
      <c r="X71" s="50" t="s">
        <v>149</v>
      </c>
      <c r="Y71" s="38">
        <v>954</v>
      </c>
      <c r="Z71" s="231" t="s">
        <v>44</v>
      </c>
      <c r="AA71" s="25">
        <f t="shared" si="1"/>
        <v>0</v>
      </c>
    </row>
    <row r="72" spans="1:29" ht="15" customHeight="1">
      <c r="A72" s="24" t="s">
        <v>607</v>
      </c>
      <c r="B72" s="25"/>
      <c r="C72" s="26">
        <v>42793</v>
      </c>
      <c r="D72" s="38" t="s">
        <v>29</v>
      </c>
      <c r="E72" s="38" t="s">
        <v>29</v>
      </c>
      <c r="F72" s="38" t="s">
        <v>95</v>
      </c>
      <c r="G72" s="38">
        <v>1</v>
      </c>
      <c r="H72" s="39" t="s">
        <v>608</v>
      </c>
      <c r="I72" s="39" t="s">
        <v>609</v>
      </c>
      <c r="J72" s="201" t="s">
        <v>610</v>
      </c>
      <c r="K72" s="201" t="s">
        <v>611</v>
      </c>
      <c r="L72" s="24" t="s">
        <v>612</v>
      </c>
      <c r="N72" s="40" t="s">
        <v>13</v>
      </c>
      <c r="O72" s="94">
        <v>42740.541666666664</v>
      </c>
      <c r="P72" s="41" t="s">
        <v>102</v>
      </c>
      <c r="Q72" s="41" t="s">
        <v>102</v>
      </c>
      <c r="T72" s="44" t="s">
        <v>78</v>
      </c>
      <c r="U72" s="52">
        <v>42760</v>
      </c>
      <c r="W72" s="54" t="s">
        <v>613</v>
      </c>
      <c r="X72" s="50" t="s">
        <v>149</v>
      </c>
      <c r="Y72" s="38">
        <v>63</v>
      </c>
      <c r="Z72" s="25" t="s">
        <v>44</v>
      </c>
      <c r="AA72" s="25">
        <f t="shared" si="1"/>
        <v>0</v>
      </c>
    </row>
    <row r="73" spans="1:29" ht="15" customHeight="1">
      <c r="A73" s="24" t="s">
        <v>614</v>
      </c>
      <c r="B73" s="25" t="s">
        <v>106</v>
      </c>
      <c r="C73" s="26">
        <v>42723</v>
      </c>
      <c r="D73" s="38" t="s">
        <v>94</v>
      </c>
      <c r="E73" s="38" t="s">
        <v>29</v>
      </c>
      <c r="F73" s="38" t="s">
        <v>69</v>
      </c>
      <c r="G73" s="38">
        <v>1</v>
      </c>
      <c r="H73" s="24" t="s">
        <v>107</v>
      </c>
      <c r="I73" s="24" t="s">
        <v>108</v>
      </c>
      <c r="J73" s="24" t="s">
        <v>109</v>
      </c>
      <c r="K73" s="25" t="s">
        <v>110</v>
      </c>
      <c r="L73" s="24" t="s">
        <v>111</v>
      </c>
      <c r="M73" s="45" t="s">
        <v>615</v>
      </c>
      <c r="N73" s="40" t="s">
        <v>13</v>
      </c>
      <c r="O73" s="94">
        <v>42663.5</v>
      </c>
      <c r="P73" s="41" t="s">
        <v>112</v>
      </c>
      <c r="Q73" s="41" t="s">
        <v>112</v>
      </c>
      <c r="R73" s="42" t="s">
        <v>77</v>
      </c>
      <c r="T73" s="44" t="s">
        <v>78</v>
      </c>
      <c r="U73" s="52">
        <v>42719</v>
      </c>
      <c r="W73" s="215" t="s">
        <v>113</v>
      </c>
      <c r="X73" s="50" t="s">
        <v>204</v>
      </c>
      <c r="Y73" s="38">
        <v>36</v>
      </c>
      <c r="Z73" s="25" t="s">
        <v>44</v>
      </c>
      <c r="AA73" s="25">
        <f t="shared" si="1"/>
        <v>0</v>
      </c>
    </row>
    <row r="74" spans="1:29" ht="15" customHeight="1">
      <c r="A74" s="233" t="s">
        <v>616</v>
      </c>
      <c r="B74" s="25"/>
      <c r="C74" s="26">
        <v>42746</v>
      </c>
      <c r="D74" s="38" t="s">
        <v>29</v>
      </c>
      <c r="E74" s="38" t="s">
        <v>29</v>
      </c>
      <c r="F74" s="38" t="s">
        <v>47</v>
      </c>
      <c r="G74" s="38">
        <v>4</v>
      </c>
      <c r="H74" s="39" t="s">
        <v>617</v>
      </c>
      <c r="I74" s="39" t="s">
        <v>618</v>
      </c>
      <c r="J74" s="39" t="s">
        <v>619</v>
      </c>
      <c r="K74" s="39" t="s">
        <v>620</v>
      </c>
      <c r="L74" s="39" t="s">
        <v>74</v>
      </c>
      <c r="M74" s="45" t="s">
        <v>621</v>
      </c>
      <c r="N74" s="40" t="s">
        <v>13</v>
      </c>
      <c r="O74" s="94">
        <v>42579.416666666664</v>
      </c>
      <c r="P74" s="41" t="s">
        <v>622</v>
      </c>
      <c r="Q74" s="41" t="s">
        <v>41</v>
      </c>
      <c r="R74" s="42" t="s">
        <v>77</v>
      </c>
      <c r="T74" s="44" t="s">
        <v>219</v>
      </c>
      <c r="U74" s="52">
        <v>42665</v>
      </c>
      <c r="V74" s="48" t="s">
        <v>442</v>
      </c>
      <c r="W74" s="54" t="s">
        <v>623</v>
      </c>
      <c r="X74" s="50" t="s">
        <v>43</v>
      </c>
      <c r="Y74" s="234">
        <v>429</v>
      </c>
      <c r="Z74" s="231" t="s">
        <v>44</v>
      </c>
      <c r="AA74" s="25">
        <f t="shared" si="1"/>
        <v>0</v>
      </c>
    </row>
    <row r="75" spans="1:29" ht="15" customHeight="1">
      <c r="A75" s="24" t="s">
        <v>624</v>
      </c>
      <c r="B75" s="25"/>
      <c r="C75" s="26">
        <v>42684</v>
      </c>
      <c r="D75" s="38" t="s">
        <v>29</v>
      </c>
      <c r="E75" s="38" t="s">
        <v>29</v>
      </c>
      <c r="F75" s="38" t="s">
        <v>69</v>
      </c>
      <c r="G75" s="38">
        <v>11</v>
      </c>
      <c r="H75" s="39" t="s">
        <v>625</v>
      </c>
      <c r="I75" s="39" t="s">
        <v>626</v>
      </c>
      <c r="J75" s="39" t="s">
        <v>627</v>
      </c>
      <c r="K75" s="25" t="s">
        <v>628</v>
      </c>
      <c r="L75" s="39" t="s">
        <v>63</v>
      </c>
      <c r="M75" s="24" t="s">
        <v>629</v>
      </c>
      <c r="N75" s="158" t="s">
        <v>13</v>
      </c>
      <c r="O75" s="94">
        <v>42620.333333333336</v>
      </c>
      <c r="P75" s="41" t="s">
        <v>41</v>
      </c>
      <c r="Q75" s="41" t="s">
        <v>41</v>
      </c>
      <c r="R75" s="42" t="s">
        <v>39</v>
      </c>
      <c r="S75" s="43">
        <v>42476</v>
      </c>
      <c r="T75" s="44" t="s">
        <v>630</v>
      </c>
      <c r="U75" s="52">
        <v>42658</v>
      </c>
      <c r="W75" s="54" t="s">
        <v>631</v>
      </c>
      <c r="X75" s="50" t="s">
        <v>80</v>
      </c>
      <c r="Y75" s="38">
        <v>919</v>
      </c>
      <c r="Z75" s="25" t="s">
        <v>44</v>
      </c>
      <c r="AA75" s="25">
        <f t="shared" si="1"/>
        <v>0</v>
      </c>
    </row>
    <row r="76" spans="1:29" ht="15" customHeight="1">
      <c r="A76" s="24" t="s">
        <v>632</v>
      </c>
      <c r="B76" s="25"/>
      <c r="C76" s="26">
        <v>42753</v>
      </c>
      <c r="D76" s="38" t="s">
        <v>29</v>
      </c>
      <c r="E76" s="38" t="s">
        <v>29</v>
      </c>
      <c r="F76" s="38" t="s">
        <v>47</v>
      </c>
      <c r="G76" s="38">
        <v>3</v>
      </c>
      <c r="H76" s="39" t="s">
        <v>633</v>
      </c>
      <c r="I76" s="39" t="s">
        <v>634</v>
      </c>
      <c r="J76" s="39" t="s">
        <v>635</v>
      </c>
      <c r="K76" s="201" t="s">
        <v>636</v>
      </c>
      <c r="L76" s="39" t="s">
        <v>100</v>
      </c>
      <c r="M76" s="45" t="s">
        <v>637</v>
      </c>
      <c r="N76" s="158" t="s">
        <v>13</v>
      </c>
      <c r="O76" s="95">
        <v>42683.375</v>
      </c>
      <c r="Q76" s="41" t="s">
        <v>131</v>
      </c>
      <c r="R76" s="42" t="s">
        <v>77</v>
      </c>
      <c r="T76" s="44" t="s">
        <v>159</v>
      </c>
      <c r="U76" s="52">
        <v>42719</v>
      </c>
      <c r="W76" s="54" t="s">
        <v>638</v>
      </c>
      <c r="X76" s="50" t="s">
        <v>57</v>
      </c>
      <c r="Y76" s="38">
        <v>121</v>
      </c>
      <c r="Z76" s="25" t="s">
        <v>44</v>
      </c>
      <c r="AA76" s="25">
        <f t="shared" si="1"/>
        <v>0</v>
      </c>
    </row>
    <row r="77" spans="1:29" ht="15" customHeight="1">
      <c r="A77" s="24" t="s">
        <v>639</v>
      </c>
      <c r="B77" s="25"/>
      <c r="C77" s="26">
        <v>42761</v>
      </c>
      <c r="D77" s="38" t="s">
        <v>29</v>
      </c>
      <c r="E77" s="38" t="s">
        <v>29</v>
      </c>
      <c r="F77" s="38" t="s">
        <v>47</v>
      </c>
      <c r="G77" s="38">
        <v>5</v>
      </c>
      <c r="H77" s="39" t="s">
        <v>640</v>
      </c>
      <c r="I77" s="39" t="s">
        <v>641</v>
      </c>
      <c r="J77" s="39" t="s">
        <v>642</v>
      </c>
      <c r="K77" s="39" t="s">
        <v>643</v>
      </c>
      <c r="L77" s="39" t="s">
        <v>644</v>
      </c>
      <c r="M77" s="45" t="s">
        <v>645</v>
      </c>
      <c r="N77" s="158" t="s">
        <v>13</v>
      </c>
      <c r="O77" s="95">
        <v>42689.416666666664</v>
      </c>
      <c r="P77" s="41" t="s">
        <v>122</v>
      </c>
      <c r="Q77" s="41" t="s">
        <v>122</v>
      </c>
      <c r="R77" s="42" t="s">
        <v>39</v>
      </c>
      <c r="T77" s="44" t="s">
        <v>40</v>
      </c>
      <c r="U77" s="52">
        <v>42718</v>
      </c>
      <c r="W77" s="54" t="s">
        <v>646</v>
      </c>
      <c r="X77" s="50" t="s">
        <v>43</v>
      </c>
      <c r="Y77" s="38">
        <v>248</v>
      </c>
      <c r="Z77" s="25" t="s">
        <v>44</v>
      </c>
      <c r="AA77" s="25">
        <f t="shared" si="1"/>
        <v>0</v>
      </c>
    </row>
    <row r="78" spans="1:29" ht="15" customHeight="1">
      <c r="A78" s="24" t="s">
        <v>647</v>
      </c>
      <c r="B78" s="25"/>
      <c r="C78" s="26">
        <v>42787</v>
      </c>
      <c r="D78" s="38" t="s">
        <v>29</v>
      </c>
      <c r="E78" s="38" t="s">
        <v>29</v>
      </c>
      <c r="F78" s="38" t="s">
        <v>47</v>
      </c>
      <c r="G78" s="38">
        <v>5</v>
      </c>
      <c r="H78" s="39" t="s">
        <v>648</v>
      </c>
      <c r="I78" s="39" t="s">
        <v>649</v>
      </c>
      <c r="J78" s="39" t="s">
        <v>650</v>
      </c>
      <c r="K78" s="393" t="s">
        <v>651</v>
      </c>
      <c r="L78" s="39" t="s">
        <v>652</v>
      </c>
      <c r="M78" s="45" t="s">
        <v>653</v>
      </c>
      <c r="N78" s="158" t="s">
        <v>13</v>
      </c>
      <c r="O78" s="94">
        <v>42688.416666666664</v>
      </c>
      <c r="P78" s="41" t="s">
        <v>102</v>
      </c>
      <c r="Q78" s="41" t="s">
        <v>102</v>
      </c>
      <c r="R78" s="42" t="s">
        <v>39</v>
      </c>
      <c r="S78" s="43">
        <v>42401</v>
      </c>
      <c r="T78" s="44" t="s">
        <v>40</v>
      </c>
      <c r="U78" s="52">
        <v>42742</v>
      </c>
      <c r="V78" s="48" t="s">
        <v>406</v>
      </c>
      <c r="W78" s="216" t="s">
        <v>654</v>
      </c>
      <c r="X78" s="50" t="s">
        <v>57</v>
      </c>
      <c r="Y78" s="38">
        <v>270</v>
      </c>
      <c r="Z78" s="25" t="s">
        <v>44</v>
      </c>
      <c r="AA78" s="25">
        <f t="shared" si="1"/>
        <v>0</v>
      </c>
    </row>
    <row r="79" spans="1:29" ht="15" customHeight="1">
      <c r="A79" s="24" t="s">
        <v>655</v>
      </c>
      <c r="B79" s="25"/>
      <c r="C79" s="26">
        <v>42674</v>
      </c>
      <c r="D79" s="38" t="s">
        <v>29</v>
      </c>
      <c r="E79" s="38" t="s">
        <v>29</v>
      </c>
      <c r="F79" s="38" t="s">
        <v>30</v>
      </c>
      <c r="G79" s="38">
        <v>3</v>
      </c>
      <c r="H79" s="39" t="s">
        <v>656</v>
      </c>
      <c r="I79" s="39" t="s">
        <v>657</v>
      </c>
      <c r="J79" s="39" t="s">
        <v>658</v>
      </c>
      <c r="K79" s="39" t="s">
        <v>659</v>
      </c>
      <c r="L79" s="39" t="s">
        <v>660</v>
      </c>
      <c r="M79" s="45" t="s">
        <v>661</v>
      </c>
      <c r="N79" s="158" t="s">
        <v>13</v>
      </c>
      <c r="O79" s="95">
        <v>42626.416666666664</v>
      </c>
      <c r="P79" s="41" t="s">
        <v>37</v>
      </c>
      <c r="Q79" s="41" t="s">
        <v>37</v>
      </c>
      <c r="R79" s="42" t="s">
        <v>77</v>
      </c>
      <c r="T79" s="44" t="s">
        <v>159</v>
      </c>
      <c r="U79" s="52">
        <v>42647</v>
      </c>
      <c r="W79" s="54" t="s">
        <v>662</v>
      </c>
      <c r="X79" s="50" t="s">
        <v>663</v>
      </c>
      <c r="Y79" s="38">
        <v>341</v>
      </c>
      <c r="Z79" s="25" t="s">
        <v>44</v>
      </c>
      <c r="AA79" s="25">
        <f t="shared" si="1"/>
        <v>0</v>
      </c>
      <c r="AB79" s="39"/>
    </row>
    <row r="80" spans="1:29" ht="15" customHeight="1">
      <c r="A80" s="39" t="s">
        <v>664</v>
      </c>
      <c r="B80" s="25"/>
      <c r="C80" s="167">
        <v>42703</v>
      </c>
      <c r="D80" s="38" t="s">
        <v>29</v>
      </c>
      <c r="E80" s="38" t="s">
        <v>29</v>
      </c>
      <c r="F80" s="159" t="s">
        <v>95</v>
      </c>
      <c r="G80" s="159">
        <v>16</v>
      </c>
      <c r="H80" s="39" t="s">
        <v>497</v>
      </c>
      <c r="I80" s="162" t="s">
        <v>665</v>
      </c>
      <c r="J80" s="39" t="s">
        <v>666</v>
      </c>
      <c r="K80" s="39" t="s">
        <v>667</v>
      </c>
      <c r="L80" s="39"/>
      <c r="M80" s="45" t="s">
        <v>668</v>
      </c>
      <c r="N80" s="40" t="s">
        <v>13</v>
      </c>
      <c r="O80" s="95">
        <v>42566.395833333336</v>
      </c>
      <c r="P80" s="152" t="s">
        <v>669</v>
      </c>
      <c r="Q80" s="152" t="s">
        <v>102</v>
      </c>
      <c r="R80" s="42" t="s">
        <v>77</v>
      </c>
      <c r="T80" s="44" t="s">
        <v>670</v>
      </c>
      <c r="U80" s="52">
        <v>42538</v>
      </c>
      <c r="V80" s="48" t="s">
        <v>406</v>
      </c>
      <c r="W80" s="54" t="s">
        <v>671</v>
      </c>
      <c r="X80" s="50" t="s">
        <v>222</v>
      </c>
      <c r="Y80" s="38">
        <v>564</v>
      </c>
      <c r="Z80" s="232" t="s">
        <v>44</v>
      </c>
      <c r="AA80" s="25">
        <f t="shared" si="1"/>
        <v>0</v>
      </c>
      <c r="AB80" s="39"/>
      <c r="AC80" s="159"/>
    </row>
    <row r="81" spans="1:16383" ht="15" customHeight="1">
      <c r="A81" s="24" t="s">
        <v>672</v>
      </c>
      <c r="B81" s="25"/>
      <c r="C81" s="26">
        <v>42671</v>
      </c>
      <c r="D81" s="38" t="s">
        <v>29</v>
      </c>
      <c r="E81" s="38" t="s">
        <v>29</v>
      </c>
      <c r="F81" s="38" t="s">
        <v>47</v>
      </c>
      <c r="G81" s="38">
        <v>4</v>
      </c>
      <c r="H81" s="39" t="s">
        <v>471</v>
      </c>
      <c r="I81" s="39" t="s">
        <v>673</v>
      </c>
      <c r="J81" s="39" t="s">
        <v>674</v>
      </c>
      <c r="K81" s="39" t="s">
        <v>675</v>
      </c>
      <c r="L81" s="39" t="s">
        <v>676</v>
      </c>
      <c r="M81" s="45" t="s">
        <v>677</v>
      </c>
      <c r="N81" s="40" t="s">
        <v>13</v>
      </c>
      <c r="O81" s="94">
        <v>42604.375</v>
      </c>
      <c r="P81" s="41" t="s">
        <v>54</v>
      </c>
      <c r="Q81" s="41" t="s">
        <v>54</v>
      </c>
      <c r="R81" s="42" t="s">
        <v>39</v>
      </c>
      <c r="S81" s="43">
        <v>42491</v>
      </c>
      <c r="T81" s="44" t="s">
        <v>159</v>
      </c>
      <c r="U81" s="52">
        <v>42650</v>
      </c>
      <c r="W81" s="54" t="s">
        <v>678</v>
      </c>
      <c r="X81" s="50" t="s">
        <v>114</v>
      </c>
      <c r="Y81" s="38">
        <v>203</v>
      </c>
      <c r="Z81" s="25" t="s">
        <v>44</v>
      </c>
      <c r="AA81" s="25">
        <f t="shared" si="1"/>
        <v>0</v>
      </c>
    </row>
    <row r="82" spans="1:16383" s="37" customFormat="1" ht="15" customHeight="1">
      <c r="A82" s="233" t="s">
        <v>679</v>
      </c>
      <c r="B82" s="25"/>
      <c r="C82" s="26">
        <v>42768</v>
      </c>
      <c r="D82" s="38" t="s">
        <v>29</v>
      </c>
      <c r="E82" s="38" t="s">
        <v>94</v>
      </c>
      <c r="F82" s="38" t="s">
        <v>95</v>
      </c>
      <c r="G82" s="38">
        <v>2</v>
      </c>
      <c r="H82" s="39" t="s">
        <v>680</v>
      </c>
      <c r="I82" s="39" t="s">
        <v>681</v>
      </c>
      <c r="J82" s="39" t="s">
        <v>682</v>
      </c>
      <c r="K82" s="39" t="s">
        <v>683</v>
      </c>
      <c r="L82" s="39" t="s">
        <v>684</v>
      </c>
      <c r="M82" s="45" t="s">
        <v>685</v>
      </c>
      <c r="N82" s="40" t="s">
        <v>13</v>
      </c>
      <c r="O82" s="94">
        <v>42683.520833333336</v>
      </c>
      <c r="P82" s="41" t="s">
        <v>102</v>
      </c>
      <c r="Q82" s="41" t="s">
        <v>102</v>
      </c>
      <c r="R82" s="42" t="s">
        <v>77</v>
      </c>
      <c r="S82" s="43">
        <v>42401</v>
      </c>
      <c r="T82" s="44" t="s">
        <v>65</v>
      </c>
      <c r="U82" s="52">
        <v>42754</v>
      </c>
      <c r="V82" s="48"/>
      <c r="W82" s="54" t="s">
        <v>686</v>
      </c>
      <c r="X82" s="50" t="s">
        <v>104</v>
      </c>
      <c r="Y82" s="234">
        <v>123</v>
      </c>
      <c r="Z82" s="25" t="s">
        <v>44</v>
      </c>
      <c r="AA82" s="25">
        <f t="shared" si="1"/>
        <v>0</v>
      </c>
      <c r="AB82" s="24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  <c r="AUA82" s="38"/>
      <c r="AUB82" s="38"/>
      <c r="AUC82" s="38"/>
      <c r="AUD82" s="38"/>
      <c r="AUE82" s="38"/>
      <c r="AUF82" s="38"/>
      <c r="AUG82" s="38"/>
      <c r="AUH82" s="38"/>
      <c r="AUI82" s="38"/>
      <c r="AUJ82" s="38"/>
      <c r="AUK82" s="38"/>
      <c r="AUL82" s="38"/>
      <c r="AUM82" s="38"/>
      <c r="AUN82" s="38"/>
      <c r="AUO82" s="38"/>
      <c r="AUP82" s="38"/>
      <c r="AUQ82" s="38"/>
      <c r="AUR82" s="38"/>
      <c r="AUS82" s="38"/>
      <c r="AUT82" s="38"/>
      <c r="AUU82" s="38"/>
      <c r="AUV82" s="38"/>
      <c r="AUW82" s="38"/>
      <c r="AUX82" s="38"/>
      <c r="AUY82" s="38"/>
      <c r="AUZ82" s="38"/>
      <c r="AVA82" s="38"/>
      <c r="AVB82" s="38"/>
      <c r="AVC82" s="38"/>
      <c r="AVD82" s="38"/>
      <c r="AVE82" s="38"/>
      <c r="AVF82" s="38"/>
      <c r="AVG82" s="38"/>
      <c r="AVH82" s="38"/>
      <c r="AVI82" s="38"/>
      <c r="AVJ82" s="38"/>
      <c r="AVK82" s="38"/>
      <c r="AVL82" s="38"/>
      <c r="AVM82" s="38"/>
      <c r="AVN82" s="38"/>
      <c r="AVO82" s="38"/>
      <c r="AVP82" s="38"/>
      <c r="AVQ82" s="38"/>
      <c r="AVR82" s="38"/>
      <c r="AVS82" s="38"/>
      <c r="AVT82" s="38"/>
      <c r="AVU82" s="38"/>
      <c r="AVV82" s="38"/>
      <c r="AVW82" s="38"/>
      <c r="AVX82" s="38"/>
      <c r="AVY82" s="38"/>
      <c r="AVZ82" s="38"/>
      <c r="AWA82" s="38"/>
      <c r="AWB82" s="38"/>
      <c r="AWC82" s="38"/>
      <c r="AWD82" s="38"/>
      <c r="AWE82" s="38"/>
      <c r="AWF82" s="38"/>
      <c r="AWG82" s="38"/>
      <c r="AWH82" s="38"/>
      <c r="AWI82" s="38"/>
      <c r="AWJ82" s="38"/>
      <c r="AWK82" s="38"/>
      <c r="AWL82" s="38"/>
      <c r="AWM82" s="38"/>
      <c r="AWN82" s="38"/>
      <c r="AWO82" s="38"/>
      <c r="AWP82" s="38"/>
      <c r="AWQ82" s="38"/>
      <c r="AWR82" s="38"/>
      <c r="AWS82" s="38"/>
      <c r="AWT82" s="38"/>
      <c r="AWU82" s="38"/>
      <c r="AWV82" s="38"/>
      <c r="AWW82" s="38"/>
      <c r="AWX82" s="38"/>
      <c r="AWY82" s="38"/>
      <c r="AWZ82" s="38"/>
      <c r="AXA82" s="38"/>
      <c r="AXB82" s="38"/>
      <c r="AXC82" s="38"/>
      <c r="AXD82" s="38"/>
      <c r="AXE82" s="38"/>
      <c r="AXF82" s="38"/>
      <c r="AXG82" s="38"/>
      <c r="AXH82" s="38"/>
      <c r="AXI82" s="38"/>
      <c r="AXJ82" s="38"/>
      <c r="AXK82" s="38"/>
      <c r="AXL82" s="38"/>
      <c r="AXM82" s="38"/>
      <c r="AXN82" s="38"/>
      <c r="AXO82" s="38"/>
      <c r="AXP82" s="38"/>
      <c r="AXQ82" s="38"/>
      <c r="AXR82" s="38"/>
      <c r="AXS82" s="38"/>
      <c r="AXT82" s="38"/>
      <c r="AXU82" s="38"/>
      <c r="AXV82" s="38"/>
      <c r="AXW82" s="38"/>
      <c r="AXX82" s="38"/>
      <c r="AXY82" s="38"/>
      <c r="AXZ82" s="38"/>
      <c r="AYA82" s="38"/>
      <c r="AYB82" s="38"/>
      <c r="AYC82" s="38"/>
      <c r="AYD82" s="38"/>
      <c r="AYE82" s="38"/>
      <c r="AYF82" s="38"/>
      <c r="AYG82" s="38"/>
      <c r="AYH82" s="38"/>
      <c r="AYI82" s="38"/>
      <c r="AYJ82" s="38"/>
      <c r="AYK82" s="38"/>
      <c r="AYL82" s="38"/>
      <c r="AYM82" s="38"/>
      <c r="AYN82" s="38"/>
      <c r="AYO82" s="38"/>
      <c r="AYP82" s="38"/>
      <c r="AYQ82" s="38"/>
      <c r="AYR82" s="38"/>
      <c r="AYS82" s="38"/>
      <c r="AYT82" s="38"/>
      <c r="AYU82" s="38"/>
      <c r="AYV82" s="38"/>
      <c r="AYW82" s="38"/>
      <c r="AYX82" s="38"/>
      <c r="AYY82" s="38"/>
      <c r="AYZ82" s="38"/>
      <c r="AZA82" s="38"/>
      <c r="AZB82" s="38"/>
      <c r="AZC82" s="38"/>
      <c r="AZD82" s="38"/>
      <c r="AZE82" s="38"/>
      <c r="AZF82" s="38"/>
      <c r="AZG82" s="38"/>
      <c r="AZH82" s="38"/>
      <c r="AZI82" s="38"/>
      <c r="AZJ82" s="38"/>
      <c r="AZK82" s="38"/>
      <c r="AZL82" s="38"/>
      <c r="AZM82" s="38"/>
      <c r="AZN82" s="38"/>
      <c r="AZO82" s="38"/>
      <c r="AZP82" s="38"/>
      <c r="AZQ82" s="38"/>
      <c r="AZR82" s="38"/>
      <c r="AZS82" s="38"/>
      <c r="AZT82" s="38"/>
      <c r="AZU82" s="38"/>
      <c r="AZV82" s="38"/>
      <c r="AZW82" s="38"/>
      <c r="AZX82" s="38"/>
      <c r="AZY82" s="38"/>
      <c r="AZZ82" s="38"/>
      <c r="BAA82" s="38"/>
      <c r="BAB82" s="38"/>
      <c r="BAC82" s="38"/>
      <c r="BAD82" s="38"/>
      <c r="BAE82" s="38"/>
      <c r="BAF82" s="38"/>
      <c r="BAG82" s="38"/>
      <c r="BAH82" s="38"/>
      <c r="BAI82" s="38"/>
      <c r="BAJ82" s="38"/>
      <c r="BAK82" s="38"/>
      <c r="BAL82" s="38"/>
      <c r="BAM82" s="38"/>
      <c r="BAN82" s="38"/>
      <c r="BAO82" s="38"/>
      <c r="BAP82" s="38"/>
      <c r="BAQ82" s="38"/>
      <c r="BAR82" s="38"/>
      <c r="BAS82" s="38"/>
      <c r="BAT82" s="38"/>
      <c r="BAU82" s="38"/>
      <c r="BAV82" s="38"/>
      <c r="BAW82" s="38"/>
      <c r="BAX82" s="38"/>
      <c r="BAY82" s="38"/>
      <c r="BAZ82" s="38"/>
      <c r="BBA82" s="38"/>
      <c r="BBB82" s="38"/>
      <c r="BBC82" s="38"/>
      <c r="BBD82" s="38"/>
      <c r="BBE82" s="38"/>
      <c r="BBF82" s="38"/>
      <c r="BBG82" s="38"/>
      <c r="BBH82" s="38"/>
      <c r="BBI82" s="38"/>
      <c r="BBJ82" s="38"/>
      <c r="BBK82" s="38"/>
      <c r="BBL82" s="38"/>
      <c r="BBM82" s="38"/>
      <c r="BBN82" s="38"/>
      <c r="BBO82" s="38"/>
      <c r="BBP82" s="38"/>
      <c r="BBQ82" s="38"/>
      <c r="BBR82" s="38"/>
      <c r="BBS82" s="38"/>
      <c r="BBT82" s="38"/>
      <c r="BBU82" s="38"/>
      <c r="BBV82" s="38"/>
      <c r="BBW82" s="38"/>
      <c r="BBX82" s="38"/>
      <c r="BBY82" s="38"/>
      <c r="BBZ82" s="38"/>
      <c r="BCA82" s="38"/>
      <c r="BCB82" s="38"/>
      <c r="BCC82" s="38"/>
      <c r="BCD82" s="38"/>
      <c r="BCE82" s="38"/>
      <c r="BCF82" s="38"/>
      <c r="BCG82" s="38"/>
      <c r="BCH82" s="38"/>
      <c r="BCI82" s="38"/>
      <c r="BCJ82" s="38"/>
      <c r="BCK82" s="38"/>
      <c r="BCL82" s="38"/>
      <c r="BCM82" s="38"/>
      <c r="BCN82" s="38"/>
      <c r="BCO82" s="38"/>
      <c r="BCP82" s="38"/>
      <c r="BCQ82" s="38"/>
      <c r="BCR82" s="38"/>
      <c r="BCS82" s="38"/>
      <c r="BCT82" s="38"/>
      <c r="BCU82" s="38"/>
      <c r="BCV82" s="38"/>
      <c r="BCW82" s="38"/>
      <c r="BCX82" s="38"/>
      <c r="BCY82" s="38"/>
      <c r="BCZ82" s="38"/>
      <c r="BDA82" s="38"/>
      <c r="BDB82" s="38"/>
      <c r="BDC82" s="38"/>
      <c r="BDD82" s="38"/>
      <c r="BDE82" s="38"/>
      <c r="BDF82" s="38"/>
      <c r="BDG82" s="38"/>
      <c r="BDH82" s="38"/>
      <c r="BDI82" s="38"/>
      <c r="BDJ82" s="38"/>
      <c r="BDK82" s="38"/>
      <c r="BDL82" s="38"/>
      <c r="BDM82" s="38"/>
      <c r="BDN82" s="38"/>
      <c r="BDO82" s="38"/>
      <c r="BDP82" s="38"/>
      <c r="BDQ82" s="38"/>
      <c r="BDR82" s="38"/>
      <c r="BDS82" s="38"/>
      <c r="BDT82" s="38"/>
      <c r="BDU82" s="38"/>
      <c r="BDV82" s="38"/>
      <c r="BDW82" s="38"/>
      <c r="BDX82" s="38"/>
      <c r="BDY82" s="38"/>
      <c r="BDZ82" s="38"/>
      <c r="BEA82" s="38"/>
      <c r="BEB82" s="38"/>
      <c r="BEC82" s="38"/>
      <c r="BED82" s="38"/>
      <c r="BEE82" s="38"/>
      <c r="BEF82" s="38"/>
      <c r="BEG82" s="38"/>
      <c r="BEH82" s="38"/>
      <c r="BEI82" s="38"/>
      <c r="BEJ82" s="38"/>
      <c r="BEK82" s="38"/>
      <c r="BEL82" s="38"/>
      <c r="BEM82" s="38"/>
      <c r="BEN82" s="38"/>
      <c r="BEO82" s="38"/>
      <c r="BEP82" s="38"/>
      <c r="BEQ82" s="38"/>
      <c r="BER82" s="38"/>
      <c r="BES82" s="38"/>
      <c r="BET82" s="38"/>
      <c r="BEU82" s="38"/>
      <c r="BEV82" s="38"/>
      <c r="BEW82" s="38"/>
      <c r="BEX82" s="38"/>
      <c r="BEY82" s="38"/>
      <c r="BEZ82" s="38"/>
      <c r="BFA82" s="38"/>
      <c r="BFB82" s="38"/>
      <c r="BFC82" s="38"/>
      <c r="BFD82" s="38"/>
      <c r="BFE82" s="38"/>
      <c r="BFF82" s="38"/>
      <c r="BFG82" s="38"/>
      <c r="BFH82" s="38"/>
      <c r="BFI82" s="38"/>
      <c r="BFJ82" s="38"/>
      <c r="BFK82" s="38"/>
      <c r="BFL82" s="38"/>
      <c r="BFM82" s="38"/>
      <c r="BFN82" s="38"/>
      <c r="BFO82" s="38"/>
      <c r="BFP82" s="38"/>
      <c r="BFQ82" s="38"/>
      <c r="BFR82" s="38"/>
      <c r="BFS82" s="38"/>
      <c r="BFT82" s="38"/>
      <c r="BFU82" s="38"/>
      <c r="BFV82" s="38"/>
      <c r="BFW82" s="38"/>
      <c r="BFX82" s="38"/>
      <c r="BFY82" s="38"/>
      <c r="BFZ82" s="38"/>
      <c r="BGA82" s="38"/>
      <c r="BGB82" s="38"/>
      <c r="BGC82" s="38"/>
      <c r="BGD82" s="38"/>
      <c r="BGE82" s="38"/>
      <c r="BGF82" s="38"/>
      <c r="BGG82" s="38"/>
      <c r="BGH82" s="38"/>
      <c r="BGI82" s="38"/>
      <c r="BGJ82" s="38"/>
      <c r="BGK82" s="38"/>
      <c r="BGL82" s="38"/>
      <c r="BGM82" s="38"/>
      <c r="BGN82" s="38"/>
      <c r="BGO82" s="38"/>
      <c r="BGP82" s="38"/>
      <c r="BGQ82" s="38"/>
      <c r="BGR82" s="38"/>
      <c r="BGS82" s="38"/>
      <c r="BGT82" s="38"/>
      <c r="BGU82" s="38"/>
      <c r="BGV82" s="38"/>
      <c r="BGW82" s="38"/>
      <c r="BGX82" s="38"/>
      <c r="BGY82" s="38"/>
      <c r="BGZ82" s="38"/>
      <c r="BHA82" s="38"/>
      <c r="BHB82" s="38"/>
      <c r="BHC82" s="38"/>
      <c r="BHD82" s="38"/>
      <c r="BHE82" s="38"/>
      <c r="BHF82" s="38"/>
      <c r="BHG82" s="38"/>
      <c r="BHH82" s="38"/>
      <c r="BHI82" s="38"/>
      <c r="BHJ82" s="38"/>
      <c r="BHK82" s="38"/>
      <c r="BHL82" s="38"/>
      <c r="BHM82" s="38"/>
      <c r="BHN82" s="38"/>
      <c r="BHO82" s="38"/>
      <c r="BHP82" s="38"/>
      <c r="BHQ82" s="38"/>
      <c r="BHR82" s="38"/>
      <c r="BHS82" s="38"/>
      <c r="BHT82" s="38"/>
      <c r="BHU82" s="38"/>
      <c r="BHV82" s="38"/>
      <c r="BHW82" s="38"/>
      <c r="BHX82" s="38"/>
      <c r="BHY82" s="38"/>
      <c r="BHZ82" s="38"/>
      <c r="BIA82" s="38"/>
      <c r="BIB82" s="38"/>
      <c r="BIC82" s="38"/>
      <c r="BID82" s="38"/>
      <c r="BIE82" s="38"/>
      <c r="BIF82" s="38"/>
      <c r="BIG82" s="38"/>
      <c r="BIH82" s="38"/>
      <c r="BII82" s="38"/>
      <c r="BIJ82" s="38"/>
      <c r="BIK82" s="38"/>
      <c r="BIL82" s="38"/>
      <c r="BIM82" s="38"/>
      <c r="BIN82" s="38"/>
      <c r="BIO82" s="38"/>
      <c r="BIP82" s="38"/>
      <c r="BIQ82" s="38"/>
      <c r="BIR82" s="38"/>
      <c r="BIS82" s="38"/>
      <c r="BIT82" s="38"/>
      <c r="BIU82" s="38"/>
      <c r="BIV82" s="38"/>
      <c r="BIW82" s="38"/>
      <c r="BIX82" s="38"/>
      <c r="BIY82" s="38"/>
      <c r="BIZ82" s="38"/>
      <c r="BJA82" s="38"/>
      <c r="BJB82" s="38"/>
      <c r="BJC82" s="38"/>
      <c r="BJD82" s="38"/>
      <c r="BJE82" s="38"/>
      <c r="BJF82" s="38"/>
      <c r="BJG82" s="38"/>
      <c r="BJH82" s="38"/>
      <c r="BJI82" s="38"/>
      <c r="BJJ82" s="38"/>
      <c r="BJK82" s="38"/>
      <c r="BJL82" s="38"/>
      <c r="BJM82" s="38"/>
      <c r="BJN82" s="38"/>
      <c r="BJO82" s="38"/>
      <c r="BJP82" s="38"/>
      <c r="BJQ82" s="38"/>
      <c r="BJR82" s="38"/>
      <c r="BJS82" s="38"/>
      <c r="BJT82" s="38"/>
      <c r="BJU82" s="38"/>
      <c r="BJV82" s="38"/>
      <c r="BJW82" s="38"/>
      <c r="BJX82" s="38"/>
      <c r="BJY82" s="38"/>
      <c r="BJZ82" s="38"/>
      <c r="BKA82" s="38"/>
      <c r="BKB82" s="38"/>
      <c r="BKC82" s="38"/>
      <c r="BKD82" s="38"/>
      <c r="BKE82" s="38"/>
      <c r="BKF82" s="38"/>
      <c r="BKG82" s="38"/>
      <c r="BKH82" s="38"/>
      <c r="BKI82" s="38"/>
      <c r="BKJ82" s="38"/>
      <c r="BKK82" s="38"/>
      <c r="BKL82" s="38"/>
      <c r="BKM82" s="38"/>
      <c r="BKN82" s="38"/>
      <c r="BKO82" s="38"/>
      <c r="BKP82" s="38"/>
      <c r="BKQ82" s="38"/>
      <c r="BKR82" s="38"/>
      <c r="BKS82" s="38"/>
      <c r="BKT82" s="38"/>
      <c r="BKU82" s="38"/>
      <c r="BKV82" s="38"/>
      <c r="BKW82" s="38"/>
      <c r="BKX82" s="38"/>
      <c r="BKY82" s="38"/>
      <c r="BKZ82" s="38"/>
      <c r="BLA82" s="38"/>
      <c r="BLB82" s="38"/>
      <c r="BLC82" s="38"/>
      <c r="BLD82" s="38"/>
      <c r="BLE82" s="38"/>
      <c r="BLF82" s="38"/>
      <c r="BLG82" s="38"/>
      <c r="BLH82" s="38"/>
      <c r="BLI82" s="38"/>
      <c r="BLJ82" s="38"/>
      <c r="BLK82" s="38"/>
      <c r="BLL82" s="38"/>
      <c r="BLM82" s="38"/>
      <c r="BLN82" s="38"/>
      <c r="BLO82" s="38"/>
      <c r="BLP82" s="38"/>
      <c r="BLQ82" s="38"/>
      <c r="BLR82" s="38"/>
      <c r="BLS82" s="38"/>
      <c r="BLT82" s="38"/>
      <c r="BLU82" s="38"/>
      <c r="BLV82" s="38"/>
      <c r="BLW82" s="38"/>
      <c r="BLX82" s="38"/>
      <c r="BLY82" s="38"/>
      <c r="BLZ82" s="38"/>
      <c r="BMA82" s="38"/>
      <c r="BMB82" s="38"/>
      <c r="BMC82" s="38"/>
      <c r="BMD82" s="38"/>
      <c r="BME82" s="38"/>
      <c r="BMF82" s="38"/>
      <c r="BMG82" s="38"/>
      <c r="BMH82" s="38"/>
      <c r="BMI82" s="38"/>
      <c r="BMJ82" s="38"/>
      <c r="BMK82" s="38"/>
      <c r="BML82" s="38"/>
      <c r="BMM82" s="38"/>
      <c r="BMN82" s="38"/>
      <c r="BMO82" s="38"/>
      <c r="BMP82" s="38"/>
      <c r="BMQ82" s="38"/>
      <c r="BMR82" s="38"/>
      <c r="BMS82" s="38"/>
      <c r="BMT82" s="38"/>
      <c r="BMU82" s="38"/>
      <c r="BMV82" s="38"/>
      <c r="BMW82" s="38"/>
      <c r="BMX82" s="38"/>
      <c r="BMY82" s="38"/>
      <c r="BMZ82" s="38"/>
      <c r="BNA82" s="38"/>
      <c r="BNB82" s="38"/>
      <c r="BNC82" s="38"/>
      <c r="BND82" s="38"/>
      <c r="BNE82" s="38"/>
      <c r="BNF82" s="38"/>
      <c r="BNG82" s="38"/>
      <c r="BNH82" s="38"/>
      <c r="BNI82" s="38"/>
      <c r="BNJ82" s="38"/>
      <c r="BNK82" s="38"/>
      <c r="BNL82" s="38"/>
      <c r="BNM82" s="38"/>
      <c r="BNN82" s="38"/>
      <c r="BNO82" s="38"/>
      <c r="BNP82" s="38"/>
      <c r="BNQ82" s="38"/>
      <c r="BNR82" s="38"/>
      <c r="BNS82" s="38"/>
      <c r="BNT82" s="38"/>
      <c r="BNU82" s="38"/>
      <c r="BNV82" s="38"/>
      <c r="BNW82" s="38"/>
      <c r="BNX82" s="38"/>
      <c r="BNY82" s="38"/>
      <c r="BNZ82" s="38"/>
      <c r="BOA82" s="38"/>
      <c r="BOB82" s="38"/>
      <c r="BOC82" s="38"/>
      <c r="BOD82" s="38"/>
      <c r="BOE82" s="38"/>
      <c r="BOF82" s="38"/>
      <c r="BOG82" s="38"/>
      <c r="BOH82" s="38"/>
      <c r="BOI82" s="38"/>
      <c r="BOJ82" s="38"/>
      <c r="BOK82" s="38"/>
      <c r="BOL82" s="38"/>
      <c r="BOM82" s="38"/>
      <c r="BON82" s="38"/>
      <c r="BOO82" s="38"/>
      <c r="BOP82" s="38"/>
      <c r="BOQ82" s="38"/>
      <c r="BOR82" s="38"/>
      <c r="BOS82" s="38"/>
      <c r="BOT82" s="38"/>
      <c r="BOU82" s="38"/>
      <c r="BOV82" s="38"/>
      <c r="BOW82" s="38"/>
      <c r="BOX82" s="38"/>
      <c r="BOY82" s="38"/>
      <c r="BOZ82" s="38"/>
      <c r="BPA82" s="38"/>
      <c r="BPB82" s="38"/>
      <c r="BPC82" s="38"/>
      <c r="BPD82" s="38"/>
      <c r="BPE82" s="38"/>
      <c r="BPF82" s="38"/>
      <c r="BPG82" s="38"/>
      <c r="BPH82" s="38"/>
      <c r="BPI82" s="38"/>
      <c r="BPJ82" s="38"/>
      <c r="BPK82" s="38"/>
      <c r="BPL82" s="38"/>
      <c r="BPM82" s="38"/>
      <c r="BPN82" s="38"/>
      <c r="BPO82" s="38"/>
      <c r="BPP82" s="38"/>
      <c r="BPQ82" s="38"/>
      <c r="BPR82" s="38"/>
      <c r="BPS82" s="38"/>
      <c r="BPT82" s="38"/>
      <c r="BPU82" s="38"/>
      <c r="BPV82" s="38"/>
      <c r="BPW82" s="38"/>
      <c r="BPX82" s="38"/>
      <c r="BPY82" s="38"/>
      <c r="BPZ82" s="38"/>
      <c r="BQA82" s="38"/>
      <c r="BQB82" s="38"/>
      <c r="BQC82" s="38"/>
      <c r="BQD82" s="38"/>
      <c r="BQE82" s="38"/>
      <c r="BQF82" s="38"/>
      <c r="BQG82" s="38"/>
      <c r="BQH82" s="38"/>
      <c r="BQI82" s="38"/>
      <c r="BQJ82" s="38"/>
      <c r="BQK82" s="38"/>
      <c r="BQL82" s="38"/>
      <c r="BQM82" s="38"/>
      <c r="BQN82" s="38"/>
      <c r="BQO82" s="38"/>
      <c r="BQP82" s="38"/>
      <c r="BQQ82" s="38"/>
      <c r="BQR82" s="38"/>
      <c r="BQS82" s="38"/>
      <c r="BQT82" s="38"/>
      <c r="BQU82" s="38"/>
      <c r="BQV82" s="38"/>
      <c r="BQW82" s="38"/>
      <c r="BQX82" s="38"/>
      <c r="BQY82" s="38"/>
      <c r="BQZ82" s="38"/>
      <c r="BRA82" s="38"/>
      <c r="BRB82" s="38"/>
      <c r="BRC82" s="38"/>
      <c r="BRD82" s="38"/>
      <c r="BRE82" s="38"/>
      <c r="BRF82" s="38"/>
      <c r="BRG82" s="38"/>
      <c r="BRH82" s="38"/>
      <c r="BRI82" s="38"/>
      <c r="BRJ82" s="38"/>
      <c r="BRK82" s="38"/>
      <c r="BRL82" s="38"/>
      <c r="BRM82" s="38"/>
      <c r="BRN82" s="38"/>
      <c r="BRO82" s="38"/>
      <c r="BRP82" s="38"/>
      <c r="BRQ82" s="38"/>
      <c r="BRR82" s="38"/>
      <c r="BRS82" s="38"/>
      <c r="BRT82" s="38"/>
      <c r="BRU82" s="38"/>
      <c r="BRV82" s="38"/>
      <c r="BRW82" s="38"/>
      <c r="BRX82" s="38"/>
      <c r="BRY82" s="38"/>
      <c r="BRZ82" s="38"/>
      <c r="BSA82" s="38"/>
      <c r="BSB82" s="38"/>
      <c r="BSC82" s="38"/>
      <c r="BSD82" s="38"/>
      <c r="BSE82" s="38"/>
      <c r="BSF82" s="38"/>
      <c r="BSG82" s="38"/>
      <c r="BSH82" s="38"/>
      <c r="BSI82" s="38"/>
      <c r="BSJ82" s="38"/>
      <c r="BSK82" s="38"/>
      <c r="BSL82" s="38"/>
      <c r="BSM82" s="38"/>
      <c r="BSN82" s="38"/>
      <c r="BSO82" s="38"/>
      <c r="BSP82" s="38"/>
      <c r="BSQ82" s="38"/>
      <c r="BSR82" s="38"/>
      <c r="BSS82" s="38"/>
      <c r="BST82" s="38"/>
      <c r="BSU82" s="38"/>
      <c r="BSV82" s="38"/>
      <c r="BSW82" s="38"/>
      <c r="BSX82" s="38"/>
      <c r="BSY82" s="38"/>
      <c r="BSZ82" s="38"/>
      <c r="BTA82" s="38"/>
      <c r="BTB82" s="38"/>
      <c r="BTC82" s="38"/>
      <c r="BTD82" s="38"/>
      <c r="BTE82" s="38"/>
      <c r="BTF82" s="38"/>
      <c r="BTG82" s="38"/>
      <c r="BTH82" s="38"/>
      <c r="BTI82" s="38"/>
      <c r="BTJ82" s="38"/>
      <c r="BTK82" s="38"/>
      <c r="BTL82" s="38"/>
      <c r="BTM82" s="38"/>
      <c r="BTN82" s="38"/>
      <c r="BTO82" s="38"/>
      <c r="BTP82" s="38"/>
      <c r="BTQ82" s="38"/>
      <c r="BTR82" s="38"/>
      <c r="BTS82" s="38"/>
      <c r="BTT82" s="38"/>
      <c r="BTU82" s="38"/>
      <c r="BTV82" s="38"/>
      <c r="BTW82" s="38"/>
      <c r="BTX82" s="38"/>
      <c r="BTY82" s="38"/>
      <c r="BTZ82" s="38"/>
      <c r="BUA82" s="38"/>
      <c r="BUB82" s="38"/>
      <c r="BUC82" s="38"/>
      <c r="BUD82" s="38"/>
      <c r="BUE82" s="38"/>
      <c r="BUF82" s="38"/>
      <c r="BUG82" s="38"/>
      <c r="BUH82" s="38"/>
      <c r="BUI82" s="38"/>
      <c r="BUJ82" s="38"/>
      <c r="BUK82" s="38"/>
      <c r="BUL82" s="38"/>
      <c r="BUM82" s="38"/>
      <c r="BUN82" s="38"/>
      <c r="BUO82" s="38"/>
      <c r="BUP82" s="38"/>
      <c r="BUQ82" s="38"/>
      <c r="BUR82" s="38"/>
      <c r="BUS82" s="38"/>
      <c r="BUT82" s="38"/>
      <c r="BUU82" s="38"/>
      <c r="BUV82" s="38"/>
      <c r="BUW82" s="38"/>
      <c r="BUX82" s="38"/>
      <c r="BUY82" s="38"/>
      <c r="BUZ82" s="38"/>
      <c r="BVA82" s="38"/>
      <c r="BVB82" s="38"/>
      <c r="BVC82" s="38"/>
      <c r="BVD82" s="38"/>
      <c r="BVE82" s="38"/>
      <c r="BVF82" s="38"/>
      <c r="BVG82" s="38"/>
      <c r="BVH82" s="38"/>
      <c r="BVI82" s="38"/>
      <c r="BVJ82" s="38"/>
      <c r="BVK82" s="38"/>
      <c r="BVL82" s="38"/>
      <c r="BVM82" s="38"/>
      <c r="BVN82" s="38"/>
      <c r="BVO82" s="38"/>
      <c r="BVP82" s="38"/>
      <c r="BVQ82" s="38"/>
      <c r="BVR82" s="38"/>
      <c r="BVS82" s="38"/>
      <c r="BVT82" s="38"/>
      <c r="BVU82" s="38"/>
      <c r="BVV82" s="38"/>
      <c r="BVW82" s="38"/>
      <c r="BVX82" s="38"/>
      <c r="BVY82" s="38"/>
      <c r="BVZ82" s="38"/>
      <c r="BWA82" s="38"/>
      <c r="BWB82" s="38"/>
      <c r="BWC82" s="38"/>
      <c r="BWD82" s="38"/>
      <c r="BWE82" s="38"/>
      <c r="BWF82" s="38"/>
      <c r="BWG82" s="38"/>
      <c r="BWH82" s="38"/>
      <c r="BWI82" s="38"/>
      <c r="BWJ82" s="38"/>
      <c r="BWK82" s="38"/>
      <c r="BWL82" s="38"/>
      <c r="BWM82" s="38"/>
      <c r="BWN82" s="38"/>
      <c r="BWO82" s="38"/>
      <c r="BWP82" s="38"/>
      <c r="BWQ82" s="38"/>
      <c r="BWR82" s="38"/>
      <c r="BWS82" s="38"/>
      <c r="BWT82" s="38"/>
      <c r="BWU82" s="38"/>
      <c r="BWV82" s="38"/>
      <c r="BWW82" s="38"/>
      <c r="BWX82" s="38"/>
      <c r="BWY82" s="38"/>
      <c r="BWZ82" s="38"/>
      <c r="BXA82" s="38"/>
      <c r="BXB82" s="38"/>
      <c r="BXC82" s="38"/>
      <c r="BXD82" s="38"/>
      <c r="BXE82" s="38"/>
      <c r="BXF82" s="38"/>
      <c r="BXG82" s="38"/>
      <c r="BXH82" s="38"/>
      <c r="BXI82" s="38"/>
      <c r="BXJ82" s="38"/>
      <c r="BXK82" s="38"/>
      <c r="BXL82" s="38"/>
      <c r="BXM82" s="38"/>
      <c r="BXN82" s="38"/>
      <c r="BXO82" s="38"/>
      <c r="BXP82" s="38"/>
      <c r="BXQ82" s="38"/>
      <c r="BXR82" s="38"/>
      <c r="BXS82" s="38"/>
      <c r="BXT82" s="38"/>
      <c r="BXU82" s="38"/>
      <c r="BXV82" s="38"/>
      <c r="BXW82" s="38"/>
      <c r="BXX82" s="38"/>
      <c r="BXY82" s="38"/>
      <c r="BXZ82" s="38"/>
      <c r="BYA82" s="38"/>
      <c r="BYB82" s="38"/>
      <c r="BYC82" s="38"/>
      <c r="BYD82" s="38"/>
      <c r="BYE82" s="38"/>
      <c r="BYF82" s="38"/>
      <c r="BYG82" s="38"/>
      <c r="BYH82" s="38"/>
      <c r="BYI82" s="38"/>
      <c r="BYJ82" s="38"/>
      <c r="BYK82" s="38"/>
      <c r="BYL82" s="38"/>
      <c r="BYM82" s="38"/>
      <c r="BYN82" s="38"/>
      <c r="BYO82" s="38"/>
      <c r="BYP82" s="38"/>
      <c r="BYQ82" s="38"/>
      <c r="BYR82" s="38"/>
      <c r="BYS82" s="38"/>
      <c r="BYT82" s="38"/>
      <c r="BYU82" s="38"/>
      <c r="BYV82" s="38"/>
      <c r="BYW82" s="38"/>
      <c r="BYX82" s="38"/>
      <c r="BYY82" s="38"/>
      <c r="BYZ82" s="38"/>
      <c r="BZA82" s="38"/>
      <c r="BZB82" s="38"/>
      <c r="BZC82" s="38"/>
      <c r="BZD82" s="38"/>
      <c r="BZE82" s="38"/>
      <c r="BZF82" s="38"/>
      <c r="BZG82" s="38"/>
      <c r="BZH82" s="38"/>
      <c r="BZI82" s="38"/>
      <c r="BZJ82" s="38"/>
      <c r="BZK82" s="38"/>
      <c r="BZL82" s="38"/>
      <c r="BZM82" s="38"/>
      <c r="BZN82" s="38"/>
      <c r="BZO82" s="38"/>
      <c r="BZP82" s="38"/>
      <c r="BZQ82" s="38"/>
      <c r="BZR82" s="38"/>
      <c r="BZS82" s="38"/>
      <c r="BZT82" s="38"/>
      <c r="BZU82" s="38"/>
      <c r="BZV82" s="38"/>
      <c r="BZW82" s="38"/>
      <c r="BZX82" s="38"/>
      <c r="BZY82" s="38"/>
      <c r="BZZ82" s="38"/>
      <c r="CAA82" s="38"/>
      <c r="CAB82" s="38"/>
      <c r="CAC82" s="38"/>
      <c r="CAD82" s="38"/>
      <c r="CAE82" s="38"/>
      <c r="CAF82" s="38"/>
      <c r="CAG82" s="38"/>
      <c r="CAH82" s="38"/>
      <c r="CAI82" s="38"/>
      <c r="CAJ82" s="38"/>
      <c r="CAK82" s="38"/>
      <c r="CAL82" s="38"/>
      <c r="CAM82" s="38"/>
      <c r="CAN82" s="38"/>
      <c r="CAO82" s="38"/>
      <c r="CAP82" s="38"/>
      <c r="CAQ82" s="38"/>
      <c r="CAR82" s="38"/>
      <c r="CAS82" s="38"/>
      <c r="CAT82" s="38"/>
      <c r="CAU82" s="38"/>
      <c r="CAV82" s="38"/>
      <c r="CAW82" s="38"/>
      <c r="CAX82" s="38"/>
      <c r="CAY82" s="38"/>
      <c r="CAZ82" s="38"/>
      <c r="CBA82" s="38"/>
      <c r="CBB82" s="38"/>
      <c r="CBC82" s="38"/>
      <c r="CBD82" s="38"/>
      <c r="CBE82" s="38"/>
      <c r="CBF82" s="38"/>
      <c r="CBG82" s="38"/>
      <c r="CBH82" s="38"/>
      <c r="CBI82" s="38"/>
      <c r="CBJ82" s="38"/>
      <c r="CBK82" s="38"/>
      <c r="CBL82" s="38"/>
      <c r="CBM82" s="38"/>
      <c r="CBN82" s="38"/>
      <c r="CBO82" s="38"/>
      <c r="CBP82" s="38"/>
      <c r="CBQ82" s="38"/>
      <c r="CBR82" s="38"/>
      <c r="CBS82" s="38"/>
      <c r="CBT82" s="38"/>
      <c r="CBU82" s="38"/>
      <c r="CBV82" s="38"/>
      <c r="CBW82" s="38"/>
      <c r="CBX82" s="38"/>
      <c r="CBY82" s="38"/>
      <c r="CBZ82" s="38"/>
      <c r="CCA82" s="38"/>
      <c r="CCB82" s="38"/>
      <c r="CCC82" s="38"/>
      <c r="CCD82" s="38"/>
      <c r="CCE82" s="38"/>
      <c r="CCF82" s="38"/>
      <c r="CCG82" s="38"/>
      <c r="CCH82" s="38"/>
      <c r="CCI82" s="38"/>
      <c r="CCJ82" s="38"/>
      <c r="CCK82" s="38"/>
      <c r="CCL82" s="38"/>
      <c r="CCM82" s="38"/>
      <c r="CCN82" s="38"/>
      <c r="CCO82" s="38"/>
      <c r="CCP82" s="38"/>
      <c r="CCQ82" s="38"/>
      <c r="CCR82" s="38"/>
      <c r="CCS82" s="38"/>
      <c r="CCT82" s="38"/>
      <c r="CCU82" s="38"/>
      <c r="CCV82" s="38"/>
      <c r="CCW82" s="38"/>
      <c r="CCX82" s="38"/>
      <c r="CCY82" s="38"/>
      <c r="CCZ82" s="38"/>
      <c r="CDA82" s="38"/>
      <c r="CDB82" s="38"/>
      <c r="CDC82" s="38"/>
      <c r="CDD82" s="38"/>
      <c r="CDE82" s="38"/>
      <c r="CDF82" s="38"/>
      <c r="CDG82" s="38"/>
      <c r="CDH82" s="38"/>
      <c r="CDI82" s="38"/>
      <c r="CDJ82" s="38"/>
      <c r="CDK82" s="38"/>
      <c r="CDL82" s="38"/>
      <c r="CDM82" s="38"/>
      <c r="CDN82" s="38"/>
      <c r="CDO82" s="38"/>
      <c r="CDP82" s="38"/>
      <c r="CDQ82" s="38"/>
      <c r="CDR82" s="38"/>
      <c r="CDS82" s="38"/>
      <c r="CDT82" s="38"/>
      <c r="CDU82" s="38"/>
      <c r="CDV82" s="38"/>
      <c r="CDW82" s="38"/>
      <c r="CDX82" s="38"/>
      <c r="CDY82" s="38"/>
      <c r="CDZ82" s="38"/>
      <c r="CEA82" s="38"/>
      <c r="CEB82" s="38"/>
      <c r="CEC82" s="38"/>
      <c r="CED82" s="38"/>
      <c r="CEE82" s="38"/>
      <c r="CEF82" s="38"/>
      <c r="CEG82" s="38"/>
      <c r="CEH82" s="38"/>
      <c r="CEI82" s="38"/>
      <c r="CEJ82" s="38"/>
      <c r="CEK82" s="38"/>
      <c r="CEL82" s="38"/>
      <c r="CEM82" s="38"/>
      <c r="CEN82" s="38"/>
      <c r="CEO82" s="38"/>
      <c r="CEP82" s="38"/>
      <c r="CEQ82" s="38"/>
      <c r="CER82" s="38"/>
      <c r="CES82" s="38"/>
      <c r="CET82" s="38"/>
      <c r="CEU82" s="38"/>
      <c r="CEV82" s="38"/>
      <c r="CEW82" s="38"/>
      <c r="CEX82" s="38"/>
      <c r="CEY82" s="38"/>
      <c r="CEZ82" s="38"/>
      <c r="CFA82" s="38"/>
      <c r="CFB82" s="38"/>
      <c r="CFC82" s="38"/>
      <c r="CFD82" s="38"/>
      <c r="CFE82" s="38"/>
      <c r="CFF82" s="38"/>
      <c r="CFG82" s="38"/>
      <c r="CFH82" s="38"/>
      <c r="CFI82" s="38"/>
      <c r="CFJ82" s="38"/>
      <c r="CFK82" s="38"/>
      <c r="CFL82" s="38"/>
      <c r="CFM82" s="38"/>
      <c r="CFN82" s="38"/>
      <c r="CFO82" s="38"/>
      <c r="CFP82" s="38"/>
      <c r="CFQ82" s="38"/>
      <c r="CFR82" s="38"/>
      <c r="CFS82" s="38"/>
      <c r="CFT82" s="38"/>
      <c r="CFU82" s="38"/>
      <c r="CFV82" s="38"/>
      <c r="CFW82" s="38"/>
      <c r="CFX82" s="38"/>
      <c r="CFY82" s="38"/>
      <c r="CFZ82" s="38"/>
      <c r="CGA82" s="38"/>
      <c r="CGB82" s="38"/>
      <c r="CGC82" s="38"/>
      <c r="CGD82" s="38"/>
      <c r="CGE82" s="38"/>
      <c r="CGF82" s="38"/>
      <c r="CGG82" s="38"/>
      <c r="CGH82" s="38"/>
      <c r="CGI82" s="38"/>
      <c r="CGJ82" s="38"/>
      <c r="CGK82" s="38"/>
      <c r="CGL82" s="38"/>
      <c r="CGM82" s="38"/>
      <c r="CGN82" s="38"/>
      <c r="CGO82" s="38"/>
      <c r="CGP82" s="38"/>
      <c r="CGQ82" s="38"/>
      <c r="CGR82" s="38"/>
      <c r="CGS82" s="38"/>
      <c r="CGT82" s="38"/>
      <c r="CGU82" s="38"/>
      <c r="CGV82" s="38"/>
      <c r="CGW82" s="38"/>
      <c r="CGX82" s="38"/>
      <c r="CGY82" s="38"/>
      <c r="CGZ82" s="38"/>
      <c r="CHA82" s="38"/>
      <c r="CHB82" s="38"/>
      <c r="CHC82" s="38"/>
      <c r="CHD82" s="38"/>
      <c r="CHE82" s="38"/>
      <c r="CHF82" s="38"/>
      <c r="CHG82" s="38"/>
      <c r="CHH82" s="38"/>
      <c r="CHI82" s="38"/>
      <c r="CHJ82" s="38"/>
      <c r="CHK82" s="38"/>
      <c r="CHL82" s="38"/>
      <c r="CHM82" s="38"/>
      <c r="CHN82" s="38"/>
      <c r="CHO82" s="38"/>
      <c r="CHP82" s="38"/>
      <c r="CHQ82" s="38"/>
      <c r="CHR82" s="38"/>
      <c r="CHS82" s="38"/>
      <c r="CHT82" s="38"/>
      <c r="CHU82" s="38"/>
      <c r="CHV82" s="38"/>
      <c r="CHW82" s="38"/>
      <c r="CHX82" s="38"/>
      <c r="CHY82" s="38"/>
      <c r="CHZ82" s="38"/>
      <c r="CIA82" s="38"/>
      <c r="CIB82" s="38"/>
      <c r="CIC82" s="38"/>
      <c r="CID82" s="38"/>
      <c r="CIE82" s="38"/>
      <c r="CIF82" s="38"/>
      <c r="CIG82" s="38"/>
      <c r="CIH82" s="38"/>
      <c r="CII82" s="38"/>
      <c r="CIJ82" s="38"/>
      <c r="CIK82" s="38"/>
      <c r="CIL82" s="38"/>
      <c r="CIM82" s="38"/>
      <c r="CIN82" s="38"/>
      <c r="CIO82" s="38"/>
      <c r="CIP82" s="38"/>
      <c r="CIQ82" s="38"/>
      <c r="CIR82" s="38"/>
      <c r="CIS82" s="38"/>
      <c r="CIT82" s="38"/>
      <c r="CIU82" s="38"/>
      <c r="CIV82" s="38"/>
      <c r="CIW82" s="38"/>
      <c r="CIX82" s="38"/>
      <c r="CIY82" s="38"/>
      <c r="CIZ82" s="38"/>
      <c r="CJA82" s="38"/>
      <c r="CJB82" s="38"/>
      <c r="CJC82" s="38"/>
      <c r="CJD82" s="38"/>
      <c r="CJE82" s="38"/>
      <c r="CJF82" s="38"/>
      <c r="CJG82" s="38"/>
      <c r="CJH82" s="38"/>
      <c r="CJI82" s="38"/>
      <c r="CJJ82" s="38"/>
      <c r="CJK82" s="38"/>
      <c r="CJL82" s="38"/>
      <c r="CJM82" s="38"/>
      <c r="CJN82" s="38"/>
      <c r="CJO82" s="38"/>
      <c r="CJP82" s="38"/>
      <c r="CJQ82" s="38"/>
      <c r="CJR82" s="38"/>
      <c r="CJS82" s="38"/>
      <c r="CJT82" s="38"/>
      <c r="CJU82" s="38"/>
      <c r="CJV82" s="38"/>
      <c r="CJW82" s="38"/>
      <c r="CJX82" s="38"/>
      <c r="CJY82" s="38"/>
      <c r="CJZ82" s="38"/>
      <c r="CKA82" s="38"/>
      <c r="CKB82" s="38"/>
      <c r="CKC82" s="38"/>
      <c r="CKD82" s="38"/>
      <c r="CKE82" s="38"/>
      <c r="CKF82" s="38"/>
      <c r="CKG82" s="38"/>
      <c r="CKH82" s="38"/>
      <c r="CKI82" s="38"/>
      <c r="CKJ82" s="38"/>
      <c r="CKK82" s="38"/>
      <c r="CKL82" s="38"/>
      <c r="CKM82" s="38"/>
      <c r="CKN82" s="38"/>
      <c r="CKO82" s="38"/>
      <c r="CKP82" s="38"/>
      <c r="CKQ82" s="38"/>
      <c r="CKR82" s="38"/>
      <c r="CKS82" s="38"/>
      <c r="CKT82" s="38"/>
      <c r="CKU82" s="38"/>
      <c r="CKV82" s="38"/>
      <c r="CKW82" s="38"/>
      <c r="CKX82" s="38"/>
      <c r="CKY82" s="38"/>
      <c r="CKZ82" s="38"/>
      <c r="CLA82" s="38"/>
      <c r="CLB82" s="38"/>
      <c r="CLC82" s="38"/>
      <c r="CLD82" s="38"/>
      <c r="CLE82" s="38"/>
      <c r="CLF82" s="38"/>
      <c r="CLG82" s="38"/>
      <c r="CLH82" s="38"/>
      <c r="CLI82" s="38"/>
      <c r="CLJ82" s="38"/>
      <c r="CLK82" s="38"/>
      <c r="CLL82" s="38"/>
      <c r="CLM82" s="38"/>
      <c r="CLN82" s="38"/>
      <c r="CLO82" s="38"/>
      <c r="CLP82" s="38"/>
      <c r="CLQ82" s="38"/>
      <c r="CLR82" s="38"/>
      <c r="CLS82" s="38"/>
      <c r="CLT82" s="38"/>
      <c r="CLU82" s="38"/>
      <c r="CLV82" s="38"/>
      <c r="CLW82" s="38"/>
      <c r="CLX82" s="38"/>
      <c r="CLY82" s="38"/>
      <c r="CLZ82" s="38"/>
      <c r="CMA82" s="38"/>
      <c r="CMB82" s="38"/>
      <c r="CMC82" s="38"/>
      <c r="CMD82" s="38"/>
      <c r="CME82" s="38"/>
      <c r="CMF82" s="38"/>
      <c r="CMG82" s="38"/>
      <c r="CMH82" s="38"/>
      <c r="CMI82" s="38"/>
      <c r="CMJ82" s="38"/>
      <c r="CMK82" s="38"/>
      <c r="CML82" s="38"/>
      <c r="CMM82" s="38"/>
      <c r="CMN82" s="38"/>
      <c r="CMO82" s="38"/>
      <c r="CMP82" s="38"/>
      <c r="CMQ82" s="38"/>
      <c r="CMR82" s="38"/>
      <c r="CMS82" s="38"/>
      <c r="CMT82" s="38"/>
      <c r="CMU82" s="38"/>
      <c r="CMV82" s="38"/>
      <c r="CMW82" s="38"/>
      <c r="CMX82" s="38"/>
      <c r="CMY82" s="38"/>
      <c r="CMZ82" s="38"/>
      <c r="CNA82" s="38"/>
      <c r="CNB82" s="38"/>
      <c r="CNC82" s="38"/>
      <c r="CND82" s="38"/>
      <c r="CNE82" s="38"/>
      <c r="CNF82" s="38"/>
      <c r="CNG82" s="38"/>
      <c r="CNH82" s="38"/>
      <c r="CNI82" s="38"/>
      <c r="CNJ82" s="38"/>
      <c r="CNK82" s="38"/>
      <c r="CNL82" s="38"/>
      <c r="CNM82" s="38"/>
      <c r="CNN82" s="38"/>
      <c r="CNO82" s="38"/>
      <c r="CNP82" s="38"/>
      <c r="CNQ82" s="38"/>
      <c r="CNR82" s="38"/>
      <c r="CNS82" s="38"/>
      <c r="CNT82" s="38"/>
      <c r="CNU82" s="38"/>
      <c r="CNV82" s="38"/>
      <c r="CNW82" s="38"/>
      <c r="CNX82" s="38"/>
      <c r="CNY82" s="38"/>
      <c r="CNZ82" s="38"/>
      <c r="COA82" s="38"/>
      <c r="COB82" s="38"/>
      <c r="COC82" s="38"/>
      <c r="COD82" s="38"/>
      <c r="COE82" s="38"/>
      <c r="COF82" s="38"/>
      <c r="COG82" s="38"/>
      <c r="COH82" s="38"/>
      <c r="COI82" s="38"/>
      <c r="COJ82" s="38"/>
      <c r="COK82" s="38"/>
      <c r="COL82" s="38"/>
      <c r="COM82" s="38"/>
      <c r="CON82" s="38"/>
      <c r="COO82" s="38"/>
      <c r="COP82" s="38"/>
      <c r="COQ82" s="38"/>
      <c r="COR82" s="38"/>
      <c r="COS82" s="38"/>
      <c r="COT82" s="38"/>
      <c r="COU82" s="38"/>
      <c r="COV82" s="38"/>
      <c r="COW82" s="38"/>
      <c r="COX82" s="38"/>
      <c r="COY82" s="38"/>
      <c r="COZ82" s="38"/>
      <c r="CPA82" s="38"/>
      <c r="CPB82" s="38"/>
      <c r="CPC82" s="38"/>
      <c r="CPD82" s="38"/>
      <c r="CPE82" s="38"/>
      <c r="CPF82" s="38"/>
      <c r="CPG82" s="38"/>
      <c r="CPH82" s="38"/>
      <c r="CPI82" s="38"/>
      <c r="CPJ82" s="38"/>
      <c r="CPK82" s="38"/>
      <c r="CPL82" s="38"/>
      <c r="CPM82" s="38"/>
      <c r="CPN82" s="38"/>
      <c r="CPO82" s="38"/>
      <c r="CPP82" s="38"/>
      <c r="CPQ82" s="38"/>
      <c r="CPR82" s="38"/>
      <c r="CPS82" s="38"/>
      <c r="CPT82" s="38"/>
      <c r="CPU82" s="38"/>
      <c r="CPV82" s="38"/>
      <c r="CPW82" s="38"/>
      <c r="CPX82" s="38"/>
      <c r="CPY82" s="38"/>
      <c r="CPZ82" s="38"/>
      <c r="CQA82" s="38"/>
      <c r="CQB82" s="38"/>
      <c r="CQC82" s="38"/>
      <c r="CQD82" s="38"/>
      <c r="CQE82" s="38"/>
      <c r="CQF82" s="38"/>
      <c r="CQG82" s="38"/>
      <c r="CQH82" s="38"/>
      <c r="CQI82" s="38"/>
      <c r="CQJ82" s="38"/>
      <c r="CQK82" s="38"/>
      <c r="CQL82" s="38"/>
      <c r="CQM82" s="38"/>
      <c r="CQN82" s="38"/>
      <c r="CQO82" s="38"/>
      <c r="CQP82" s="38"/>
      <c r="CQQ82" s="38"/>
      <c r="CQR82" s="38"/>
      <c r="CQS82" s="38"/>
      <c r="CQT82" s="38"/>
      <c r="CQU82" s="38"/>
      <c r="CQV82" s="38"/>
      <c r="CQW82" s="38"/>
      <c r="CQX82" s="38"/>
      <c r="CQY82" s="38"/>
      <c r="CQZ82" s="38"/>
      <c r="CRA82" s="38"/>
      <c r="CRB82" s="38"/>
      <c r="CRC82" s="38"/>
      <c r="CRD82" s="38"/>
      <c r="CRE82" s="38"/>
      <c r="CRF82" s="38"/>
      <c r="CRG82" s="38"/>
      <c r="CRH82" s="38"/>
      <c r="CRI82" s="38"/>
      <c r="CRJ82" s="38"/>
      <c r="CRK82" s="38"/>
      <c r="CRL82" s="38"/>
      <c r="CRM82" s="38"/>
      <c r="CRN82" s="38"/>
      <c r="CRO82" s="38"/>
      <c r="CRP82" s="38"/>
      <c r="CRQ82" s="38"/>
      <c r="CRR82" s="38"/>
      <c r="CRS82" s="38"/>
      <c r="CRT82" s="38"/>
      <c r="CRU82" s="38"/>
      <c r="CRV82" s="38"/>
      <c r="CRW82" s="38"/>
      <c r="CRX82" s="38"/>
      <c r="CRY82" s="38"/>
      <c r="CRZ82" s="38"/>
      <c r="CSA82" s="38"/>
      <c r="CSB82" s="38"/>
      <c r="CSC82" s="38"/>
      <c r="CSD82" s="38"/>
      <c r="CSE82" s="38"/>
      <c r="CSF82" s="38"/>
      <c r="CSG82" s="38"/>
      <c r="CSH82" s="38"/>
      <c r="CSI82" s="38"/>
      <c r="CSJ82" s="38"/>
      <c r="CSK82" s="38"/>
      <c r="CSL82" s="38"/>
      <c r="CSM82" s="38"/>
      <c r="CSN82" s="38"/>
      <c r="CSO82" s="38"/>
      <c r="CSP82" s="38"/>
      <c r="CSQ82" s="38"/>
      <c r="CSR82" s="38"/>
      <c r="CSS82" s="38"/>
      <c r="CST82" s="38"/>
      <c r="CSU82" s="38"/>
      <c r="CSV82" s="38"/>
      <c r="CSW82" s="38"/>
      <c r="CSX82" s="38"/>
      <c r="CSY82" s="38"/>
      <c r="CSZ82" s="38"/>
      <c r="CTA82" s="38"/>
      <c r="CTB82" s="38"/>
      <c r="CTC82" s="38"/>
      <c r="CTD82" s="38"/>
      <c r="CTE82" s="38"/>
      <c r="CTF82" s="38"/>
      <c r="CTG82" s="38"/>
      <c r="CTH82" s="38"/>
      <c r="CTI82" s="38"/>
      <c r="CTJ82" s="38"/>
      <c r="CTK82" s="38"/>
      <c r="CTL82" s="38"/>
      <c r="CTM82" s="38"/>
      <c r="CTN82" s="38"/>
      <c r="CTO82" s="38"/>
      <c r="CTP82" s="38"/>
      <c r="CTQ82" s="38"/>
      <c r="CTR82" s="38"/>
      <c r="CTS82" s="38"/>
      <c r="CTT82" s="38"/>
      <c r="CTU82" s="38"/>
      <c r="CTV82" s="38"/>
      <c r="CTW82" s="38"/>
      <c r="CTX82" s="38"/>
      <c r="CTY82" s="38"/>
      <c r="CTZ82" s="38"/>
      <c r="CUA82" s="38"/>
      <c r="CUB82" s="38"/>
      <c r="CUC82" s="38"/>
      <c r="CUD82" s="38"/>
      <c r="CUE82" s="38"/>
      <c r="CUF82" s="38"/>
      <c r="CUG82" s="38"/>
      <c r="CUH82" s="38"/>
      <c r="CUI82" s="38"/>
      <c r="CUJ82" s="38"/>
      <c r="CUK82" s="38"/>
      <c r="CUL82" s="38"/>
      <c r="CUM82" s="38"/>
      <c r="CUN82" s="38"/>
      <c r="CUO82" s="38"/>
      <c r="CUP82" s="38"/>
      <c r="CUQ82" s="38"/>
      <c r="CUR82" s="38"/>
      <c r="CUS82" s="38"/>
      <c r="CUT82" s="38"/>
      <c r="CUU82" s="38"/>
      <c r="CUV82" s="38"/>
      <c r="CUW82" s="38"/>
      <c r="CUX82" s="38"/>
      <c r="CUY82" s="38"/>
      <c r="CUZ82" s="38"/>
      <c r="CVA82" s="38"/>
      <c r="CVB82" s="38"/>
      <c r="CVC82" s="38"/>
      <c r="CVD82" s="38"/>
      <c r="CVE82" s="38"/>
      <c r="CVF82" s="38"/>
      <c r="CVG82" s="38"/>
      <c r="CVH82" s="38"/>
      <c r="CVI82" s="38"/>
      <c r="CVJ82" s="38"/>
      <c r="CVK82" s="38"/>
      <c r="CVL82" s="38"/>
      <c r="CVM82" s="38"/>
      <c r="CVN82" s="38"/>
      <c r="CVO82" s="38"/>
      <c r="CVP82" s="38"/>
      <c r="CVQ82" s="38"/>
      <c r="CVR82" s="38"/>
      <c r="CVS82" s="38"/>
      <c r="CVT82" s="38"/>
      <c r="CVU82" s="38"/>
      <c r="CVV82" s="38"/>
      <c r="CVW82" s="38"/>
      <c r="CVX82" s="38"/>
      <c r="CVY82" s="38"/>
      <c r="CVZ82" s="38"/>
      <c r="CWA82" s="38"/>
      <c r="CWB82" s="38"/>
      <c r="CWC82" s="38"/>
      <c r="CWD82" s="38"/>
      <c r="CWE82" s="38"/>
      <c r="CWF82" s="38"/>
      <c r="CWG82" s="38"/>
      <c r="CWH82" s="38"/>
      <c r="CWI82" s="38"/>
      <c r="CWJ82" s="38"/>
      <c r="CWK82" s="38"/>
      <c r="CWL82" s="38"/>
      <c r="CWM82" s="38"/>
      <c r="CWN82" s="38"/>
      <c r="CWO82" s="38"/>
      <c r="CWP82" s="38"/>
      <c r="CWQ82" s="38"/>
      <c r="CWR82" s="38"/>
      <c r="CWS82" s="38"/>
      <c r="CWT82" s="38"/>
      <c r="CWU82" s="38"/>
      <c r="CWV82" s="38"/>
      <c r="CWW82" s="38"/>
      <c r="CWX82" s="38"/>
      <c r="CWY82" s="38"/>
      <c r="CWZ82" s="38"/>
      <c r="CXA82" s="38"/>
      <c r="CXB82" s="38"/>
      <c r="CXC82" s="38"/>
      <c r="CXD82" s="38"/>
      <c r="CXE82" s="38"/>
      <c r="CXF82" s="38"/>
      <c r="CXG82" s="38"/>
      <c r="CXH82" s="38"/>
      <c r="CXI82" s="38"/>
      <c r="CXJ82" s="38"/>
      <c r="CXK82" s="38"/>
      <c r="CXL82" s="38"/>
      <c r="CXM82" s="38"/>
      <c r="CXN82" s="38"/>
      <c r="CXO82" s="38"/>
      <c r="CXP82" s="38"/>
      <c r="CXQ82" s="38"/>
      <c r="CXR82" s="38"/>
      <c r="CXS82" s="38"/>
      <c r="CXT82" s="38"/>
      <c r="CXU82" s="38"/>
      <c r="CXV82" s="38"/>
      <c r="CXW82" s="38"/>
      <c r="CXX82" s="38"/>
      <c r="CXY82" s="38"/>
      <c r="CXZ82" s="38"/>
      <c r="CYA82" s="38"/>
      <c r="CYB82" s="38"/>
      <c r="CYC82" s="38"/>
      <c r="CYD82" s="38"/>
      <c r="CYE82" s="38"/>
      <c r="CYF82" s="38"/>
      <c r="CYG82" s="38"/>
      <c r="CYH82" s="38"/>
      <c r="CYI82" s="38"/>
      <c r="CYJ82" s="38"/>
      <c r="CYK82" s="38"/>
      <c r="CYL82" s="38"/>
      <c r="CYM82" s="38"/>
      <c r="CYN82" s="38"/>
      <c r="CYO82" s="38"/>
      <c r="CYP82" s="38"/>
      <c r="CYQ82" s="38"/>
      <c r="CYR82" s="38"/>
      <c r="CYS82" s="38"/>
      <c r="CYT82" s="38"/>
      <c r="CYU82" s="38"/>
      <c r="CYV82" s="38"/>
      <c r="CYW82" s="38"/>
      <c r="CYX82" s="38"/>
      <c r="CYY82" s="38"/>
      <c r="CYZ82" s="38"/>
      <c r="CZA82" s="38"/>
      <c r="CZB82" s="38"/>
      <c r="CZC82" s="38"/>
      <c r="CZD82" s="38"/>
      <c r="CZE82" s="38"/>
      <c r="CZF82" s="38"/>
      <c r="CZG82" s="38"/>
      <c r="CZH82" s="38"/>
      <c r="CZI82" s="38"/>
      <c r="CZJ82" s="38"/>
      <c r="CZK82" s="38"/>
      <c r="CZL82" s="38"/>
      <c r="CZM82" s="38"/>
      <c r="CZN82" s="38"/>
      <c r="CZO82" s="38"/>
      <c r="CZP82" s="38"/>
      <c r="CZQ82" s="38"/>
      <c r="CZR82" s="38"/>
      <c r="CZS82" s="38"/>
      <c r="CZT82" s="38"/>
      <c r="CZU82" s="38"/>
      <c r="CZV82" s="38"/>
      <c r="CZW82" s="38"/>
      <c r="CZX82" s="38"/>
      <c r="CZY82" s="38"/>
      <c r="CZZ82" s="38"/>
      <c r="DAA82" s="38"/>
      <c r="DAB82" s="38"/>
      <c r="DAC82" s="38"/>
      <c r="DAD82" s="38"/>
      <c r="DAE82" s="38"/>
      <c r="DAF82" s="38"/>
      <c r="DAG82" s="38"/>
      <c r="DAH82" s="38"/>
      <c r="DAI82" s="38"/>
      <c r="DAJ82" s="38"/>
      <c r="DAK82" s="38"/>
      <c r="DAL82" s="38"/>
      <c r="DAM82" s="38"/>
      <c r="DAN82" s="38"/>
      <c r="DAO82" s="38"/>
      <c r="DAP82" s="38"/>
      <c r="DAQ82" s="38"/>
      <c r="DAR82" s="38"/>
      <c r="DAS82" s="38"/>
      <c r="DAT82" s="38"/>
      <c r="DAU82" s="38"/>
      <c r="DAV82" s="38"/>
      <c r="DAW82" s="38"/>
      <c r="DAX82" s="38"/>
      <c r="DAY82" s="38"/>
      <c r="DAZ82" s="38"/>
      <c r="DBA82" s="38"/>
      <c r="DBB82" s="38"/>
      <c r="DBC82" s="38"/>
      <c r="DBD82" s="38"/>
      <c r="DBE82" s="38"/>
      <c r="DBF82" s="38"/>
      <c r="DBG82" s="38"/>
      <c r="DBH82" s="38"/>
      <c r="DBI82" s="38"/>
      <c r="DBJ82" s="38"/>
      <c r="DBK82" s="38"/>
      <c r="DBL82" s="38"/>
      <c r="DBM82" s="38"/>
      <c r="DBN82" s="38"/>
      <c r="DBO82" s="38"/>
      <c r="DBP82" s="38"/>
      <c r="DBQ82" s="38"/>
      <c r="DBR82" s="38"/>
      <c r="DBS82" s="38"/>
      <c r="DBT82" s="38"/>
      <c r="DBU82" s="38"/>
      <c r="DBV82" s="38"/>
      <c r="DBW82" s="38"/>
      <c r="DBX82" s="38"/>
      <c r="DBY82" s="38"/>
      <c r="DBZ82" s="38"/>
      <c r="DCA82" s="38"/>
      <c r="DCB82" s="38"/>
      <c r="DCC82" s="38"/>
      <c r="DCD82" s="38"/>
      <c r="DCE82" s="38"/>
      <c r="DCF82" s="38"/>
      <c r="DCG82" s="38"/>
      <c r="DCH82" s="38"/>
      <c r="DCI82" s="38"/>
      <c r="DCJ82" s="38"/>
      <c r="DCK82" s="38"/>
      <c r="DCL82" s="38"/>
      <c r="DCM82" s="38"/>
      <c r="DCN82" s="38"/>
      <c r="DCO82" s="38"/>
      <c r="DCP82" s="38"/>
      <c r="DCQ82" s="38"/>
      <c r="DCR82" s="38"/>
      <c r="DCS82" s="38"/>
      <c r="DCT82" s="38"/>
      <c r="DCU82" s="38"/>
      <c r="DCV82" s="38"/>
      <c r="DCW82" s="38"/>
      <c r="DCX82" s="38"/>
      <c r="DCY82" s="38"/>
      <c r="DCZ82" s="38"/>
      <c r="DDA82" s="38"/>
      <c r="DDB82" s="38"/>
      <c r="DDC82" s="38"/>
      <c r="DDD82" s="38"/>
      <c r="DDE82" s="38"/>
      <c r="DDF82" s="38"/>
      <c r="DDG82" s="38"/>
      <c r="DDH82" s="38"/>
      <c r="DDI82" s="38"/>
      <c r="DDJ82" s="38"/>
      <c r="DDK82" s="38"/>
      <c r="DDL82" s="38"/>
      <c r="DDM82" s="38"/>
      <c r="DDN82" s="38"/>
      <c r="DDO82" s="38"/>
      <c r="DDP82" s="38"/>
      <c r="DDQ82" s="38"/>
      <c r="DDR82" s="38"/>
      <c r="DDS82" s="38"/>
      <c r="DDT82" s="38"/>
      <c r="DDU82" s="38"/>
      <c r="DDV82" s="38"/>
      <c r="DDW82" s="38"/>
      <c r="DDX82" s="38"/>
      <c r="DDY82" s="38"/>
      <c r="DDZ82" s="38"/>
      <c r="DEA82" s="38"/>
      <c r="DEB82" s="38"/>
      <c r="DEC82" s="38"/>
      <c r="DED82" s="38"/>
      <c r="DEE82" s="38"/>
      <c r="DEF82" s="38"/>
      <c r="DEG82" s="38"/>
      <c r="DEH82" s="38"/>
      <c r="DEI82" s="38"/>
      <c r="DEJ82" s="38"/>
      <c r="DEK82" s="38"/>
      <c r="DEL82" s="38"/>
      <c r="DEM82" s="38"/>
      <c r="DEN82" s="38"/>
      <c r="DEO82" s="38"/>
      <c r="DEP82" s="38"/>
      <c r="DEQ82" s="38"/>
      <c r="DER82" s="38"/>
      <c r="DES82" s="38"/>
      <c r="DET82" s="38"/>
      <c r="DEU82" s="38"/>
      <c r="DEV82" s="38"/>
      <c r="DEW82" s="38"/>
      <c r="DEX82" s="38"/>
      <c r="DEY82" s="38"/>
      <c r="DEZ82" s="38"/>
      <c r="DFA82" s="38"/>
      <c r="DFB82" s="38"/>
      <c r="DFC82" s="38"/>
      <c r="DFD82" s="38"/>
      <c r="DFE82" s="38"/>
      <c r="DFF82" s="38"/>
      <c r="DFG82" s="38"/>
      <c r="DFH82" s="38"/>
      <c r="DFI82" s="38"/>
      <c r="DFJ82" s="38"/>
      <c r="DFK82" s="38"/>
      <c r="DFL82" s="38"/>
      <c r="DFM82" s="38"/>
      <c r="DFN82" s="38"/>
      <c r="DFO82" s="38"/>
      <c r="DFP82" s="38"/>
      <c r="DFQ82" s="38"/>
      <c r="DFR82" s="38"/>
      <c r="DFS82" s="38"/>
      <c r="DFT82" s="38"/>
      <c r="DFU82" s="38"/>
      <c r="DFV82" s="38"/>
      <c r="DFW82" s="38"/>
      <c r="DFX82" s="38"/>
      <c r="DFY82" s="38"/>
      <c r="DFZ82" s="38"/>
      <c r="DGA82" s="38"/>
      <c r="DGB82" s="38"/>
      <c r="DGC82" s="38"/>
      <c r="DGD82" s="38"/>
      <c r="DGE82" s="38"/>
      <c r="DGF82" s="38"/>
      <c r="DGG82" s="38"/>
      <c r="DGH82" s="38"/>
      <c r="DGI82" s="38"/>
      <c r="DGJ82" s="38"/>
      <c r="DGK82" s="38"/>
      <c r="DGL82" s="38"/>
      <c r="DGM82" s="38"/>
      <c r="DGN82" s="38"/>
      <c r="DGO82" s="38"/>
      <c r="DGP82" s="38"/>
      <c r="DGQ82" s="38"/>
      <c r="DGR82" s="38"/>
      <c r="DGS82" s="38"/>
      <c r="DGT82" s="38"/>
      <c r="DGU82" s="38"/>
      <c r="DGV82" s="38"/>
      <c r="DGW82" s="38"/>
      <c r="DGX82" s="38"/>
      <c r="DGY82" s="38"/>
      <c r="DGZ82" s="38"/>
      <c r="DHA82" s="38"/>
      <c r="DHB82" s="38"/>
      <c r="DHC82" s="38"/>
      <c r="DHD82" s="38"/>
      <c r="DHE82" s="38"/>
      <c r="DHF82" s="38"/>
      <c r="DHG82" s="38"/>
      <c r="DHH82" s="38"/>
      <c r="DHI82" s="38"/>
      <c r="DHJ82" s="38"/>
      <c r="DHK82" s="38"/>
      <c r="DHL82" s="38"/>
      <c r="DHM82" s="38"/>
      <c r="DHN82" s="38"/>
      <c r="DHO82" s="38"/>
      <c r="DHP82" s="38"/>
      <c r="DHQ82" s="38"/>
      <c r="DHR82" s="38"/>
      <c r="DHS82" s="38"/>
      <c r="DHT82" s="38"/>
      <c r="DHU82" s="38"/>
      <c r="DHV82" s="38"/>
      <c r="DHW82" s="38"/>
      <c r="DHX82" s="38"/>
      <c r="DHY82" s="38"/>
      <c r="DHZ82" s="38"/>
      <c r="DIA82" s="38"/>
      <c r="DIB82" s="38"/>
      <c r="DIC82" s="38"/>
      <c r="DID82" s="38"/>
      <c r="DIE82" s="38"/>
      <c r="DIF82" s="38"/>
      <c r="DIG82" s="38"/>
      <c r="DIH82" s="38"/>
      <c r="DII82" s="38"/>
      <c r="DIJ82" s="38"/>
      <c r="DIK82" s="38"/>
      <c r="DIL82" s="38"/>
      <c r="DIM82" s="38"/>
      <c r="DIN82" s="38"/>
      <c r="DIO82" s="38"/>
      <c r="DIP82" s="38"/>
      <c r="DIQ82" s="38"/>
      <c r="DIR82" s="38"/>
      <c r="DIS82" s="38"/>
      <c r="DIT82" s="38"/>
      <c r="DIU82" s="38"/>
      <c r="DIV82" s="38"/>
      <c r="DIW82" s="38"/>
      <c r="DIX82" s="38"/>
      <c r="DIY82" s="38"/>
      <c r="DIZ82" s="38"/>
      <c r="DJA82" s="38"/>
      <c r="DJB82" s="38"/>
      <c r="DJC82" s="38"/>
      <c r="DJD82" s="38"/>
      <c r="DJE82" s="38"/>
      <c r="DJF82" s="38"/>
      <c r="DJG82" s="38"/>
      <c r="DJH82" s="38"/>
      <c r="DJI82" s="38"/>
      <c r="DJJ82" s="38"/>
      <c r="DJK82" s="38"/>
      <c r="DJL82" s="38"/>
      <c r="DJM82" s="38"/>
      <c r="DJN82" s="38"/>
      <c r="DJO82" s="38"/>
      <c r="DJP82" s="38"/>
      <c r="DJQ82" s="38"/>
      <c r="DJR82" s="38"/>
      <c r="DJS82" s="38"/>
      <c r="DJT82" s="38"/>
      <c r="DJU82" s="38"/>
      <c r="DJV82" s="38"/>
      <c r="DJW82" s="38"/>
      <c r="DJX82" s="38"/>
      <c r="DJY82" s="38"/>
      <c r="DJZ82" s="38"/>
      <c r="DKA82" s="38"/>
      <c r="DKB82" s="38"/>
      <c r="DKC82" s="38"/>
      <c r="DKD82" s="38"/>
      <c r="DKE82" s="38"/>
      <c r="DKF82" s="38"/>
      <c r="DKG82" s="38"/>
      <c r="DKH82" s="38"/>
      <c r="DKI82" s="38"/>
      <c r="DKJ82" s="38"/>
      <c r="DKK82" s="38"/>
      <c r="DKL82" s="38"/>
      <c r="DKM82" s="38"/>
      <c r="DKN82" s="38"/>
      <c r="DKO82" s="38"/>
      <c r="DKP82" s="38"/>
      <c r="DKQ82" s="38"/>
      <c r="DKR82" s="38"/>
      <c r="DKS82" s="38"/>
      <c r="DKT82" s="38"/>
      <c r="DKU82" s="38"/>
      <c r="DKV82" s="38"/>
      <c r="DKW82" s="38"/>
      <c r="DKX82" s="38"/>
      <c r="DKY82" s="38"/>
      <c r="DKZ82" s="38"/>
      <c r="DLA82" s="38"/>
      <c r="DLB82" s="38"/>
      <c r="DLC82" s="38"/>
      <c r="DLD82" s="38"/>
      <c r="DLE82" s="38"/>
      <c r="DLF82" s="38"/>
      <c r="DLG82" s="38"/>
      <c r="DLH82" s="38"/>
      <c r="DLI82" s="38"/>
      <c r="DLJ82" s="38"/>
      <c r="DLK82" s="38"/>
      <c r="DLL82" s="38"/>
      <c r="DLM82" s="38"/>
      <c r="DLN82" s="38"/>
      <c r="DLO82" s="38"/>
      <c r="DLP82" s="38"/>
      <c r="DLQ82" s="38"/>
      <c r="DLR82" s="38"/>
      <c r="DLS82" s="38"/>
      <c r="DLT82" s="38"/>
      <c r="DLU82" s="38"/>
      <c r="DLV82" s="38"/>
      <c r="DLW82" s="38"/>
      <c r="DLX82" s="38"/>
      <c r="DLY82" s="38"/>
      <c r="DLZ82" s="38"/>
      <c r="DMA82" s="38"/>
      <c r="DMB82" s="38"/>
      <c r="DMC82" s="38"/>
      <c r="DMD82" s="38"/>
      <c r="DME82" s="38"/>
      <c r="DMF82" s="38"/>
      <c r="DMG82" s="38"/>
      <c r="DMH82" s="38"/>
      <c r="DMI82" s="38"/>
      <c r="DMJ82" s="38"/>
      <c r="DMK82" s="38"/>
      <c r="DML82" s="38"/>
      <c r="DMM82" s="38"/>
      <c r="DMN82" s="38"/>
      <c r="DMO82" s="38"/>
      <c r="DMP82" s="38"/>
      <c r="DMQ82" s="38"/>
      <c r="DMR82" s="38"/>
      <c r="DMS82" s="38"/>
      <c r="DMT82" s="38"/>
      <c r="DMU82" s="38"/>
      <c r="DMV82" s="38"/>
      <c r="DMW82" s="38"/>
      <c r="DMX82" s="38"/>
      <c r="DMY82" s="38"/>
      <c r="DMZ82" s="38"/>
      <c r="DNA82" s="38"/>
      <c r="DNB82" s="38"/>
      <c r="DNC82" s="38"/>
      <c r="DND82" s="38"/>
      <c r="DNE82" s="38"/>
      <c r="DNF82" s="38"/>
      <c r="DNG82" s="38"/>
      <c r="DNH82" s="38"/>
      <c r="DNI82" s="38"/>
      <c r="DNJ82" s="38"/>
      <c r="DNK82" s="38"/>
      <c r="DNL82" s="38"/>
      <c r="DNM82" s="38"/>
      <c r="DNN82" s="38"/>
      <c r="DNO82" s="38"/>
      <c r="DNP82" s="38"/>
      <c r="DNQ82" s="38"/>
      <c r="DNR82" s="38"/>
      <c r="DNS82" s="38"/>
      <c r="DNT82" s="38"/>
      <c r="DNU82" s="38"/>
      <c r="DNV82" s="38"/>
      <c r="DNW82" s="38"/>
      <c r="DNX82" s="38"/>
      <c r="DNY82" s="38"/>
      <c r="DNZ82" s="38"/>
      <c r="DOA82" s="38"/>
      <c r="DOB82" s="38"/>
      <c r="DOC82" s="38"/>
      <c r="DOD82" s="38"/>
      <c r="DOE82" s="38"/>
      <c r="DOF82" s="38"/>
      <c r="DOG82" s="38"/>
      <c r="DOH82" s="38"/>
      <c r="DOI82" s="38"/>
      <c r="DOJ82" s="38"/>
      <c r="DOK82" s="38"/>
      <c r="DOL82" s="38"/>
      <c r="DOM82" s="38"/>
      <c r="DON82" s="38"/>
      <c r="DOO82" s="38"/>
      <c r="DOP82" s="38"/>
      <c r="DOQ82" s="38"/>
      <c r="DOR82" s="38"/>
      <c r="DOS82" s="38"/>
      <c r="DOT82" s="38"/>
      <c r="DOU82" s="38"/>
      <c r="DOV82" s="38"/>
      <c r="DOW82" s="38"/>
      <c r="DOX82" s="38"/>
      <c r="DOY82" s="38"/>
      <c r="DOZ82" s="38"/>
      <c r="DPA82" s="38"/>
      <c r="DPB82" s="38"/>
      <c r="DPC82" s="38"/>
      <c r="DPD82" s="38"/>
      <c r="DPE82" s="38"/>
      <c r="DPF82" s="38"/>
      <c r="DPG82" s="38"/>
      <c r="DPH82" s="38"/>
      <c r="DPI82" s="38"/>
      <c r="DPJ82" s="38"/>
      <c r="DPK82" s="38"/>
      <c r="DPL82" s="38"/>
      <c r="DPM82" s="38"/>
      <c r="DPN82" s="38"/>
      <c r="DPO82" s="38"/>
      <c r="DPP82" s="38"/>
      <c r="DPQ82" s="38"/>
      <c r="DPR82" s="38"/>
      <c r="DPS82" s="38"/>
      <c r="DPT82" s="38"/>
      <c r="DPU82" s="38"/>
      <c r="DPV82" s="38"/>
      <c r="DPW82" s="38"/>
      <c r="DPX82" s="38"/>
      <c r="DPY82" s="38"/>
      <c r="DPZ82" s="38"/>
      <c r="DQA82" s="38"/>
      <c r="DQB82" s="38"/>
      <c r="DQC82" s="38"/>
      <c r="DQD82" s="38"/>
      <c r="DQE82" s="38"/>
      <c r="DQF82" s="38"/>
      <c r="DQG82" s="38"/>
      <c r="DQH82" s="38"/>
      <c r="DQI82" s="38"/>
      <c r="DQJ82" s="38"/>
      <c r="DQK82" s="38"/>
      <c r="DQL82" s="38"/>
      <c r="DQM82" s="38"/>
      <c r="DQN82" s="38"/>
      <c r="DQO82" s="38"/>
      <c r="DQP82" s="38"/>
      <c r="DQQ82" s="38"/>
      <c r="DQR82" s="38"/>
      <c r="DQS82" s="38"/>
      <c r="DQT82" s="38"/>
      <c r="DQU82" s="38"/>
      <c r="DQV82" s="38"/>
      <c r="DQW82" s="38"/>
      <c r="DQX82" s="38"/>
      <c r="DQY82" s="38"/>
      <c r="DQZ82" s="38"/>
      <c r="DRA82" s="38"/>
      <c r="DRB82" s="38"/>
      <c r="DRC82" s="38"/>
      <c r="DRD82" s="38"/>
      <c r="DRE82" s="38"/>
      <c r="DRF82" s="38"/>
      <c r="DRG82" s="38"/>
      <c r="DRH82" s="38"/>
      <c r="DRI82" s="38"/>
      <c r="DRJ82" s="38"/>
      <c r="DRK82" s="38"/>
      <c r="DRL82" s="38"/>
      <c r="DRM82" s="38"/>
      <c r="DRN82" s="38"/>
      <c r="DRO82" s="38"/>
      <c r="DRP82" s="38"/>
      <c r="DRQ82" s="38"/>
      <c r="DRR82" s="38"/>
      <c r="DRS82" s="38"/>
      <c r="DRT82" s="38"/>
      <c r="DRU82" s="38"/>
      <c r="DRV82" s="38"/>
      <c r="DRW82" s="38"/>
      <c r="DRX82" s="38"/>
      <c r="DRY82" s="38"/>
      <c r="DRZ82" s="38"/>
      <c r="DSA82" s="38"/>
      <c r="DSB82" s="38"/>
      <c r="DSC82" s="38"/>
      <c r="DSD82" s="38"/>
      <c r="DSE82" s="38"/>
      <c r="DSF82" s="38"/>
      <c r="DSG82" s="38"/>
      <c r="DSH82" s="38"/>
      <c r="DSI82" s="38"/>
      <c r="DSJ82" s="38"/>
      <c r="DSK82" s="38"/>
      <c r="DSL82" s="38"/>
      <c r="DSM82" s="38"/>
      <c r="DSN82" s="38"/>
      <c r="DSO82" s="38"/>
      <c r="DSP82" s="38"/>
      <c r="DSQ82" s="38"/>
      <c r="DSR82" s="38"/>
      <c r="DSS82" s="38"/>
      <c r="DST82" s="38"/>
      <c r="DSU82" s="38"/>
      <c r="DSV82" s="38"/>
      <c r="DSW82" s="38"/>
      <c r="DSX82" s="38"/>
      <c r="DSY82" s="38"/>
      <c r="DSZ82" s="38"/>
      <c r="DTA82" s="38"/>
      <c r="DTB82" s="38"/>
      <c r="DTC82" s="38"/>
      <c r="DTD82" s="38"/>
      <c r="DTE82" s="38"/>
      <c r="DTF82" s="38"/>
      <c r="DTG82" s="38"/>
      <c r="DTH82" s="38"/>
      <c r="DTI82" s="38"/>
      <c r="DTJ82" s="38"/>
      <c r="DTK82" s="38"/>
      <c r="DTL82" s="38"/>
      <c r="DTM82" s="38"/>
      <c r="DTN82" s="38"/>
      <c r="DTO82" s="38"/>
      <c r="DTP82" s="38"/>
      <c r="DTQ82" s="38"/>
      <c r="DTR82" s="38"/>
      <c r="DTS82" s="38"/>
      <c r="DTT82" s="38"/>
      <c r="DTU82" s="38"/>
      <c r="DTV82" s="38"/>
      <c r="DTW82" s="38"/>
      <c r="DTX82" s="38"/>
      <c r="DTY82" s="38"/>
      <c r="DTZ82" s="38"/>
      <c r="DUA82" s="38"/>
      <c r="DUB82" s="38"/>
      <c r="DUC82" s="38"/>
      <c r="DUD82" s="38"/>
      <c r="DUE82" s="38"/>
      <c r="DUF82" s="38"/>
      <c r="DUG82" s="38"/>
      <c r="DUH82" s="38"/>
      <c r="DUI82" s="38"/>
      <c r="DUJ82" s="38"/>
      <c r="DUK82" s="38"/>
      <c r="DUL82" s="38"/>
      <c r="DUM82" s="38"/>
      <c r="DUN82" s="38"/>
      <c r="DUO82" s="38"/>
      <c r="DUP82" s="38"/>
      <c r="DUQ82" s="38"/>
      <c r="DUR82" s="38"/>
      <c r="DUS82" s="38"/>
      <c r="DUT82" s="38"/>
      <c r="DUU82" s="38"/>
      <c r="DUV82" s="38"/>
      <c r="DUW82" s="38"/>
      <c r="DUX82" s="38"/>
      <c r="DUY82" s="38"/>
      <c r="DUZ82" s="38"/>
      <c r="DVA82" s="38"/>
      <c r="DVB82" s="38"/>
      <c r="DVC82" s="38"/>
      <c r="DVD82" s="38"/>
      <c r="DVE82" s="38"/>
      <c r="DVF82" s="38"/>
      <c r="DVG82" s="38"/>
      <c r="DVH82" s="38"/>
      <c r="DVI82" s="38"/>
      <c r="DVJ82" s="38"/>
      <c r="DVK82" s="38"/>
      <c r="DVL82" s="38"/>
      <c r="DVM82" s="38"/>
      <c r="DVN82" s="38"/>
      <c r="DVO82" s="38"/>
      <c r="DVP82" s="38"/>
      <c r="DVQ82" s="38"/>
      <c r="DVR82" s="38"/>
      <c r="DVS82" s="38"/>
      <c r="DVT82" s="38"/>
      <c r="DVU82" s="38"/>
      <c r="DVV82" s="38"/>
      <c r="DVW82" s="38"/>
      <c r="DVX82" s="38"/>
      <c r="DVY82" s="38"/>
      <c r="DVZ82" s="38"/>
      <c r="DWA82" s="38"/>
      <c r="DWB82" s="38"/>
      <c r="DWC82" s="38"/>
      <c r="DWD82" s="38"/>
      <c r="DWE82" s="38"/>
      <c r="DWF82" s="38"/>
      <c r="DWG82" s="38"/>
      <c r="DWH82" s="38"/>
      <c r="DWI82" s="38"/>
      <c r="DWJ82" s="38"/>
      <c r="DWK82" s="38"/>
      <c r="DWL82" s="38"/>
      <c r="DWM82" s="38"/>
      <c r="DWN82" s="38"/>
      <c r="DWO82" s="38"/>
      <c r="DWP82" s="38"/>
      <c r="DWQ82" s="38"/>
      <c r="DWR82" s="38"/>
      <c r="DWS82" s="38"/>
      <c r="DWT82" s="38"/>
      <c r="DWU82" s="38"/>
      <c r="DWV82" s="38"/>
      <c r="DWW82" s="38"/>
      <c r="DWX82" s="38"/>
      <c r="DWY82" s="38"/>
      <c r="DWZ82" s="38"/>
      <c r="DXA82" s="38"/>
      <c r="DXB82" s="38"/>
      <c r="DXC82" s="38"/>
      <c r="DXD82" s="38"/>
      <c r="DXE82" s="38"/>
      <c r="DXF82" s="38"/>
      <c r="DXG82" s="38"/>
      <c r="DXH82" s="38"/>
      <c r="DXI82" s="38"/>
      <c r="DXJ82" s="38"/>
      <c r="DXK82" s="38"/>
      <c r="DXL82" s="38"/>
      <c r="DXM82" s="38"/>
      <c r="DXN82" s="38"/>
      <c r="DXO82" s="38"/>
      <c r="DXP82" s="38"/>
      <c r="DXQ82" s="38"/>
      <c r="DXR82" s="38"/>
      <c r="DXS82" s="38"/>
      <c r="DXT82" s="38"/>
      <c r="DXU82" s="38"/>
      <c r="DXV82" s="38"/>
      <c r="DXW82" s="38"/>
      <c r="DXX82" s="38"/>
      <c r="DXY82" s="38"/>
      <c r="DXZ82" s="38"/>
      <c r="DYA82" s="38"/>
      <c r="DYB82" s="38"/>
      <c r="DYC82" s="38"/>
      <c r="DYD82" s="38"/>
      <c r="DYE82" s="38"/>
      <c r="DYF82" s="38"/>
      <c r="DYG82" s="38"/>
      <c r="DYH82" s="38"/>
      <c r="DYI82" s="38"/>
      <c r="DYJ82" s="38"/>
      <c r="DYK82" s="38"/>
      <c r="DYL82" s="38"/>
      <c r="DYM82" s="38"/>
      <c r="DYN82" s="38"/>
      <c r="DYO82" s="38"/>
      <c r="DYP82" s="38"/>
      <c r="DYQ82" s="38"/>
      <c r="DYR82" s="38"/>
      <c r="DYS82" s="38"/>
      <c r="DYT82" s="38"/>
      <c r="DYU82" s="38"/>
      <c r="DYV82" s="38"/>
      <c r="DYW82" s="38"/>
      <c r="DYX82" s="38"/>
      <c r="DYY82" s="38"/>
      <c r="DYZ82" s="38"/>
      <c r="DZA82" s="38"/>
      <c r="DZB82" s="38"/>
      <c r="DZC82" s="38"/>
      <c r="DZD82" s="38"/>
      <c r="DZE82" s="38"/>
      <c r="DZF82" s="38"/>
      <c r="DZG82" s="38"/>
      <c r="DZH82" s="38"/>
      <c r="DZI82" s="38"/>
      <c r="DZJ82" s="38"/>
      <c r="DZK82" s="38"/>
      <c r="DZL82" s="38"/>
      <c r="DZM82" s="38"/>
      <c r="DZN82" s="38"/>
      <c r="DZO82" s="38"/>
      <c r="DZP82" s="38"/>
      <c r="DZQ82" s="38"/>
      <c r="DZR82" s="38"/>
      <c r="DZS82" s="38"/>
      <c r="DZT82" s="38"/>
      <c r="DZU82" s="38"/>
      <c r="DZV82" s="38"/>
      <c r="DZW82" s="38"/>
      <c r="DZX82" s="38"/>
      <c r="DZY82" s="38"/>
      <c r="DZZ82" s="38"/>
      <c r="EAA82" s="38"/>
      <c r="EAB82" s="38"/>
      <c r="EAC82" s="38"/>
      <c r="EAD82" s="38"/>
      <c r="EAE82" s="38"/>
      <c r="EAF82" s="38"/>
      <c r="EAG82" s="38"/>
      <c r="EAH82" s="38"/>
      <c r="EAI82" s="38"/>
      <c r="EAJ82" s="38"/>
      <c r="EAK82" s="38"/>
      <c r="EAL82" s="38"/>
      <c r="EAM82" s="38"/>
      <c r="EAN82" s="38"/>
      <c r="EAO82" s="38"/>
      <c r="EAP82" s="38"/>
      <c r="EAQ82" s="38"/>
      <c r="EAR82" s="38"/>
      <c r="EAS82" s="38"/>
      <c r="EAT82" s="38"/>
      <c r="EAU82" s="38"/>
      <c r="EAV82" s="38"/>
      <c r="EAW82" s="38"/>
      <c r="EAX82" s="38"/>
      <c r="EAY82" s="38"/>
      <c r="EAZ82" s="38"/>
      <c r="EBA82" s="38"/>
      <c r="EBB82" s="38"/>
      <c r="EBC82" s="38"/>
      <c r="EBD82" s="38"/>
      <c r="EBE82" s="38"/>
      <c r="EBF82" s="38"/>
      <c r="EBG82" s="38"/>
      <c r="EBH82" s="38"/>
      <c r="EBI82" s="38"/>
      <c r="EBJ82" s="38"/>
      <c r="EBK82" s="38"/>
      <c r="EBL82" s="38"/>
      <c r="EBM82" s="38"/>
      <c r="EBN82" s="38"/>
      <c r="EBO82" s="38"/>
      <c r="EBP82" s="38"/>
      <c r="EBQ82" s="38"/>
      <c r="EBR82" s="38"/>
      <c r="EBS82" s="38"/>
      <c r="EBT82" s="38"/>
      <c r="EBU82" s="38"/>
      <c r="EBV82" s="38"/>
      <c r="EBW82" s="38"/>
      <c r="EBX82" s="38"/>
      <c r="EBY82" s="38"/>
      <c r="EBZ82" s="38"/>
      <c r="ECA82" s="38"/>
      <c r="ECB82" s="38"/>
      <c r="ECC82" s="38"/>
      <c r="ECD82" s="38"/>
      <c r="ECE82" s="38"/>
      <c r="ECF82" s="38"/>
      <c r="ECG82" s="38"/>
      <c r="ECH82" s="38"/>
      <c r="ECI82" s="38"/>
      <c r="ECJ82" s="38"/>
      <c r="ECK82" s="38"/>
      <c r="ECL82" s="38"/>
      <c r="ECM82" s="38"/>
      <c r="ECN82" s="38"/>
      <c r="ECO82" s="38"/>
      <c r="ECP82" s="38"/>
      <c r="ECQ82" s="38"/>
      <c r="ECR82" s="38"/>
      <c r="ECS82" s="38"/>
      <c r="ECT82" s="38"/>
      <c r="ECU82" s="38"/>
      <c r="ECV82" s="38"/>
      <c r="ECW82" s="38"/>
      <c r="ECX82" s="38"/>
      <c r="ECY82" s="38"/>
      <c r="ECZ82" s="38"/>
      <c r="EDA82" s="38"/>
      <c r="EDB82" s="38"/>
      <c r="EDC82" s="38"/>
      <c r="EDD82" s="38"/>
      <c r="EDE82" s="38"/>
      <c r="EDF82" s="38"/>
      <c r="EDG82" s="38"/>
      <c r="EDH82" s="38"/>
      <c r="EDI82" s="38"/>
      <c r="EDJ82" s="38"/>
      <c r="EDK82" s="38"/>
      <c r="EDL82" s="38"/>
      <c r="EDM82" s="38"/>
      <c r="EDN82" s="38"/>
      <c r="EDO82" s="38"/>
      <c r="EDP82" s="38"/>
      <c r="EDQ82" s="38"/>
      <c r="EDR82" s="38"/>
      <c r="EDS82" s="38"/>
      <c r="EDT82" s="38"/>
      <c r="EDU82" s="38"/>
      <c r="EDV82" s="38"/>
      <c r="EDW82" s="38"/>
      <c r="EDX82" s="38"/>
      <c r="EDY82" s="38"/>
      <c r="EDZ82" s="38"/>
      <c r="EEA82" s="38"/>
      <c r="EEB82" s="38"/>
      <c r="EEC82" s="38"/>
      <c r="EED82" s="38"/>
      <c r="EEE82" s="38"/>
      <c r="EEF82" s="38"/>
      <c r="EEG82" s="38"/>
      <c r="EEH82" s="38"/>
      <c r="EEI82" s="38"/>
      <c r="EEJ82" s="38"/>
      <c r="EEK82" s="38"/>
      <c r="EEL82" s="38"/>
      <c r="EEM82" s="38"/>
      <c r="EEN82" s="38"/>
      <c r="EEO82" s="38"/>
      <c r="EEP82" s="38"/>
      <c r="EEQ82" s="38"/>
      <c r="EER82" s="38"/>
      <c r="EES82" s="38"/>
      <c r="EET82" s="38"/>
      <c r="EEU82" s="38"/>
      <c r="EEV82" s="38"/>
      <c r="EEW82" s="38"/>
      <c r="EEX82" s="38"/>
      <c r="EEY82" s="38"/>
      <c r="EEZ82" s="38"/>
      <c r="EFA82" s="38"/>
      <c r="EFB82" s="38"/>
      <c r="EFC82" s="38"/>
      <c r="EFD82" s="38"/>
      <c r="EFE82" s="38"/>
      <c r="EFF82" s="38"/>
      <c r="EFG82" s="38"/>
      <c r="EFH82" s="38"/>
      <c r="EFI82" s="38"/>
      <c r="EFJ82" s="38"/>
      <c r="EFK82" s="38"/>
      <c r="EFL82" s="38"/>
      <c r="EFM82" s="38"/>
      <c r="EFN82" s="38"/>
      <c r="EFO82" s="38"/>
      <c r="EFP82" s="38"/>
      <c r="EFQ82" s="38"/>
      <c r="EFR82" s="38"/>
      <c r="EFS82" s="38"/>
      <c r="EFT82" s="38"/>
      <c r="EFU82" s="38"/>
      <c r="EFV82" s="38"/>
      <c r="EFW82" s="38"/>
      <c r="EFX82" s="38"/>
      <c r="EFY82" s="38"/>
      <c r="EFZ82" s="38"/>
      <c r="EGA82" s="38"/>
      <c r="EGB82" s="38"/>
      <c r="EGC82" s="38"/>
      <c r="EGD82" s="38"/>
      <c r="EGE82" s="38"/>
      <c r="EGF82" s="38"/>
      <c r="EGG82" s="38"/>
      <c r="EGH82" s="38"/>
      <c r="EGI82" s="38"/>
      <c r="EGJ82" s="38"/>
      <c r="EGK82" s="38"/>
      <c r="EGL82" s="38"/>
      <c r="EGM82" s="38"/>
      <c r="EGN82" s="38"/>
      <c r="EGO82" s="38"/>
      <c r="EGP82" s="38"/>
      <c r="EGQ82" s="38"/>
      <c r="EGR82" s="38"/>
      <c r="EGS82" s="38"/>
      <c r="EGT82" s="38"/>
      <c r="EGU82" s="38"/>
      <c r="EGV82" s="38"/>
      <c r="EGW82" s="38"/>
      <c r="EGX82" s="38"/>
      <c r="EGY82" s="38"/>
      <c r="EGZ82" s="38"/>
      <c r="EHA82" s="38"/>
      <c r="EHB82" s="38"/>
      <c r="EHC82" s="38"/>
      <c r="EHD82" s="38"/>
      <c r="EHE82" s="38"/>
      <c r="EHF82" s="38"/>
      <c r="EHG82" s="38"/>
      <c r="EHH82" s="38"/>
      <c r="EHI82" s="38"/>
      <c r="EHJ82" s="38"/>
      <c r="EHK82" s="38"/>
      <c r="EHL82" s="38"/>
      <c r="EHM82" s="38"/>
      <c r="EHN82" s="38"/>
      <c r="EHO82" s="38"/>
      <c r="EHP82" s="38"/>
      <c r="EHQ82" s="38"/>
      <c r="EHR82" s="38"/>
      <c r="EHS82" s="38"/>
      <c r="EHT82" s="38"/>
      <c r="EHU82" s="38"/>
      <c r="EHV82" s="38"/>
      <c r="EHW82" s="38"/>
      <c r="EHX82" s="38"/>
      <c r="EHY82" s="38"/>
      <c r="EHZ82" s="38"/>
      <c r="EIA82" s="38"/>
      <c r="EIB82" s="38"/>
      <c r="EIC82" s="38"/>
      <c r="EID82" s="38"/>
      <c r="EIE82" s="38"/>
      <c r="EIF82" s="38"/>
      <c r="EIG82" s="38"/>
      <c r="EIH82" s="38"/>
      <c r="EII82" s="38"/>
      <c r="EIJ82" s="38"/>
      <c r="EIK82" s="38"/>
      <c r="EIL82" s="38"/>
      <c r="EIM82" s="38"/>
      <c r="EIN82" s="38"/>
      <c r="EIO82" s="38"/>
      <c r="EIP82" s="38"/>
      <c r="EIQ82" s="38"/>
      <c r="EIR82" s="38"/>
      <c r="EIS82" s="38"/>
      <c r="EIT82" s="38"/>
      <c r="EIU82" s="38"/>
      <c r="EIV82" s="38"/>
      <c r="EIW82" s="38"/>
      <c r="EIX82" s="38"/>
      <c r="EIY82" s="38"/>
      <c r="EIZ82" s="38"/>
      <c r="EJA82" s="38"/>
      <c r="EJB82" s="38"/>
      <c r="EJC82" s="38"/>
      <c r="EJD82" s="38"/>
      <c r="EJE82" s="38"/>
      <c r="EJF82" s="38"/>
      <c r="EJG82" s="38"/>
      <c r="EJH82" s="38"/>
      <c r="EJI82" s="38"/>
      <c r="EJJ82" s="38"/>
      <c r="EJK82" s="38"/>
      <c r="EJL82" s="38"/>
      <c r="EJM82" s="38"/>
      <c r="EJN82" s="38"/>
      <c r="EJO82" s="38"/>
      <c r="EJP82" s="38"/>
      <c r="EJQ82" s="38"/>
      <c r="EJR82" s="38"/>
      <c r="EJS82" s="38"/>
      <c r="EJT82" s="38"/>
      <c r="EJU82" s="38"/>
      <c r="EJV82" s="38"/>
      <c r="EJW82" s="38"/>
      <c r="EJX82" s="38"/>
      <c r="EJY82" s="38"/>
      <c r="EJZ82" s="38"/>
      <c r="EKA82" s="38"/>
      <c r="EKB82" s="38"/>
      <c r="EKC82" s="38"/>
      <c r="EKD82" s="38"/>
      <c r="EKE82" s="38"/>
      <c r="EKF82" s="38"/>
      <c r="EKG82" s="38"/>
      <c r="EKH82" s="38"/>
      <c r="EKI82" s="38"/>
      <c r="EKJ82" s="38"/>
      <c r="EKK82" s="38"/>
      <c r="EKL82" s="38"/>
      <c r="EKM82" s="38"/>
      <c r="EKN82" s="38"/>
      <c r="EKO82" s="38"/>
      <c r="EKP82" s="38"/>
      <c r="EKQ82" s="38"/>
      <c r="EKR82" s="38"/>
      <c r="EKS82" s="38"/>
      <c r="EKT82" s="38"/>
      <c r="EKU82" s="38"/>
      <c r="EKV82" s="38"/>
      <c r="EKW82" s="38"/>
      <c r="EKX82" s="38"/>
      <c r="EKY82" s="38"/>
      <c r="EKZ82" s="38"/>
      <c r="ELA82" s="38"/>
      <c r="ELB82" s="38"/>
      <c r="ELC82" s="38"/>
      <c r="ELD82" s="38"/>
      <c r="ELE82" s="38"/>
      <c r="ELF82" s="38"/>
      <c r="ELG82" s="38"/>
      <c r="ELH82" s="38"/>
      <c r="ELI82" s="38"/>
      <c r="ELJ82" s="38"/>
      <c r="ELK82" s="38"/>
      <c r="ELL82" s="38"/>
      <c r="ELM82" s="38"/>
      <c r="ELN82" s="38"/>
      <c r="ELO82" s="38"/>
      <c r="ELP82" s="38"/>
      <c r="ELQ82" s="38"/>
      <c r="ELR82" s="38"/>
      <c r="ELS82" s="38"/>
      <c r="ELT82" s="38"/>
      <c r="ELU82" s="38"/>
      <c r="ELV82" s="38"/>
      <c r="ELW82" s="38"/>
      <c r="ELX82" s="38"/>
      <c r="ELY82" s="38"/>
      <c r="ELZ82" s="38"/>
      <c r="EMA82" s="38"/>
      <c r="EMB82" s="38"/>
      <c r="EMC82" s="38"/>
      <c r="EMD82" s="38"/>
      <c r="EME82" s="38"/>
      <c r="EMF82" s="38"/>
      <c r="EMG82" s="38"/>
      <c r="EMH82" s="38"/>
      <c r="EMI82" s="38"/>
      <c r="EMJ82" s="38"/>
      <c r="EMK82" s="38"/>
      <c r="EML82" s="38"/>
      <c r="EMM82" s="38"/>
      <c r="EMN82" s="38"/>
      <c r="EMO82" s="38"/>
      <c r="EMP82" s="38"/>
      <c r="EMQ82" s="38"/>
      <c r="EMR82" s="38"/>
      <c r="EMS82" s="38"/>
      <c r="EMT82" s="38"/>
      <c r="EMU82" s="38"/>
      <c r="EMV82" s="38"/>
      <c r="EMW82" s="38"/>
      <c r="EMX82" s="38"/>
      <c r="EMY82" s="38"/>
      <c r="EMZ82" s="38"/>
      <c r="ENA82" s="38"/>
      <c r="ENB82" s="38"/>
      <c r="ENC82" s="38"/>
      <c r="END82" s="38"/>
      <c r="ENE82" s="38"/>
      <c r="ENF82" s="38"/>
      <c r="ENG82" s="38"/>
      <c r="ENH82" s="38"/>
      <c r="ENI82" s="38"/>
      <c r="ENJ82" s="38"/>
      <c r="ENK82" s="38"/>
      <c r="ENL82" s="38"/>
      <c r="ENM82" s="38"/>
      <c r="ENN82" s="38"/>
      <c r="ENO82" s="38"/>
      <c r="ENP82" s="38"/>
      <c r="ENQ82" s="38"/>
      <c r="ENR82" s="38"/>
      <c r="ENS82" s="38"/>
      <c r="ENT82" s="38"/>
      <c r="ENU82" s="38"/>
      <c r="ENV82" s="38"/>
      <c r="ENW82" s="38"/>
      <c r="ENX82" s="38"/>
      <c r="ENY82" s="38"/>
      <c r="ENZ82" s="38"/>
      <c r="EOA82" s="38"/>
      <c r="EOB82" s="38"/>
      <c r="EOC82" s="38"/>
      <c r="EOD82" s="38"/>
      <c r="EOE82" s="38"/>
      <c r="EOF82" s="38"/>
      <c r="EOG82" s="38"/>
      <c r="EOH82" s="38"/>
      <c r="EOI82" s="38"/>
      <c r="EOJ82" s="38"/>
      <c r="EOK82" s="38"/>
      <c r="EOL82" s="38"/>
      <c r="EOM82" s="38"/>
      <c r="EON82" s="38"/>
      <c r="EOO82" s="38"/>
      <c r="EOP82" s="38"/>
      <c r="EOQ82" s="38"/>
      <c r="EOR82" s="38"/>
      <c r="EOS82" s="38"/>
      <c r="EOT82" s="38"/>
      <c r="EOU82" s="38"/>
      <c r="EOV82" s="38"/>
      <c r="EOW82" s="38"/>
      <c r="EOX82" s="38"/>
      <c r="EOY82" s="38"/>
      <c r="EOZ82" s="38"/>
      <c r="EPA82" s="38"/>
      <c r="EPB82" s="38"/>
      <c r="EPC82" s="38"/>
      <c r="EPD82" s="38"/>
      <c r="EPE82" s="38"/>
      <c r="EPF82" s="38"/>
      <c r="EPG82" s="38"/>
      <c r="EPH82" s="38"/>
      <c r="EPI82" s="38"/>
      <c r="EPJ82" s="38"/>
      <c r="EPK82" s="38"/>
      <c r="EPL82" s="38"/>
      <c r="EPM82" s="38"/>
      <c r="EPN82" s="38"/>
      <c r="EPO82" s="38"/>
      <c r="EPP82" s="38"/>
      <c r="EPQ82" s="38"/>
      <c r="EPR82" s="38"/>
      <c r="EPS82" s="38"/>
      <c r="EPT82" s="38"/>
      <c r="EPU82" s="38"/>
      <c r="EPV82" s="38"/>
      <c r="EPW82" s="38"/>
      <c r="EPX82" s="38"/>
      <c r="EPY82" s="38"/>
      <c r="EPZ82" s="38"/>
      <c r="EQA82" s="38"/>
      <c r="EQB82" s="38"/>
      <c r="EQC82" s="38"/>
      <c r="EQD82" s="38"/>
      <c r="EQE82" s="38"/>
      <c r="EQF82" s="38"/>
      <c r="EQG82" s="38"/>
      <c r="EQH82" s="38"/>
      <c r="EQI82" s="38"/>
      <c r="EQJ82" s="38"/>
      <c r="EQK82" s="38"/>
      <c r="EQL82" s="38"/>
      <c r="EQM82" s="38"/>
      <c r="EQN82" s="38"/>
      <c r="EQO82" s="38"/>
      <c r="EQP82" s="38"/>
      <c r="EQQ82" s="38"/>
      <c r="EQR82" s="38"/>
      <c r="EQS82" s="38"/>
      <c r="EQT82" s="38"/>
      <c r="EQU82" s="38"/>
      <c r="EQV82" s="38"/>
      <c r="EQW82" s="38"/>
      <c r="EQX82" s="38"/>
      <c r="EQY82" s="38"/>
      <c r="EQZ82" s="38"/>
      <c r="ERA82" s="38"/>
      <c r="ERB82" s="38"/>
      <c r="ERC82" s="38"/>
      <c r="ERD82" s="38"/>
      <c r="ERE82" s="38"/>
      <c r="ERF82" s="38"/>
      <c r="ERG82" s="38"/>
      <c r="ERH82" s="38"/>
      <c r="ERI82" s="38"/>
      <c r="ERJ82" s="38"/>
      <c r="ERK82" s="38"/>
      <c r="ERL82" s="38"/>
      <c r="ERM82" s="38"/>
      <c r="ERN82" s="38"/>
      <c r="ERO82" s="38"/>
      <c r="ERP82" s="38"/>
      <c r="ERQ82" s="38"/>
      <c r="ERR82" s="38"/>
      <c r="ERS82" s="38"/>
      <c r="ERT82" s="38"/>
      <c r="ERU82" s="38"/>
      <c r="ERV82" s="38"/>
      <c r="ERW82" s="38"/>
      <c r="ERX82" s="38"/>
      <c r="ERY82" s="38"/>
      <c r="ERZ82" s="38"/>
      <c r="ESA82" s="38"/>
      <c r="ESB82" s="38"/>
      <c r="ESC82" s="38"/>
      <c r="ESD82" s="38"/>
      <c r="ESE82" s="38"/>
      <c r="ESF82" s="38"/>
      <c r="ESG82" s="38"/>
      <c r="ESH82" s="38"/>
      <c r="ESI82" s="38"/>
      <c r="ESJ82" s="38"/>
      <c r="ESK82" s="38"/>
      <c r="ESL82" s="38"/>
      <c r="ESM82" s="38"/>
      <c r="ESN82" s="38"/>
      <c r="ESO82" s="38"/>
      <c r="ESP82" s="38"/>
      <c r="ESQ82" s="38"/>
      <c r="ESR82" s="38"/>
      <c r="ESS82" s="38"/>
      <c r="EST82" s="38"/>
      <c r="ESU82" s="38"/>
      <c r="ESV82" s="38"/>
      <c r="ESW82" s="38"/>
      <c r="ESX82" s="38"/>
      <c r="ESY82" s="38"/>
      <c r="ESZ82" s="38"/>
      <c r="ETA82" s="38"/>
      <c r="ETB82" s="38"/>
      <c r="ETC82" s="38"/>
      <c r="ETD82" s="38"/>
      <c r="ETE82" s="38"/>
      <c r="ETF82" s="38"/>
      <c r="ETG82" s="38"/>
      <c r="ETH82" s="38"/>
      <c r="ETI82" s="38"/>
      <c r="ETJ82" s="38"/>
      <c r="ETK82" s="38"/>
      <c r="ETL82" s="38"/>
      <c r="ETM82" s="38"/>
      <c r="ETN82" s="38"/>
      <c r="ETO82" s="38"/>
      <c r="ETP82" s="38"/>
      <c r="ETQ82" s="38"/>
      <c r="ETR82" s="38"/>
      <c r="ETS82" s="38"/>
      <c r="ETT82" s="38"/>
      <c r="ETU82" s="38"/>
      <c r="ETV82" s="38"/>
      <c r="ETW82" s="38"/>
      <c r="ETX82" s="38"/>
      <c r="ETY82" s="38"/>
      <c r="ETZ82" s="38"/>
      <c r="EUA82" s="38"/>
      <c r="EUB82" s="38"/>
      <c r="EUC82" s="38"/>
      <c r="EUD82" s="38"/>
      <c r="EUE82" s="38"/>
      <c r="EUF82" s="38"/>
      <c r="EUG82" s="38"/>
      <c r="EUH82" s="38"/>
      <c r="EUI82" s="38"/>
      <c r="EUJ82" s="38"/>
      <c r="EUK82" s="38"/>
      <c r="EUL82" s="38"/>
      <c r="EUM82" s="38"/>
      <c r="EUN82" s="38"/>
      <c r="EUO82" s="38"/>
      <c r="EUP82" s="38"/>
      <c r="EUQ82" s="38"/>
      <c r="EUR82" s="38"/>
      <c r="EUS82" s="38"/>
      <c r="EUT82" s="38"/>
      <c r="EUU82" s="38"/>
      <c r="EUV82" s="38"/>
      <c r="EUW82" s="38"/>
      <c r="EUX82" s="38"/>
      <c r="EUY82" s="38"/>
      <c r="EUZ82" s="38"/>
      <c r="EVA82" s="38"/>
      <c r="EVB82" s="38"/>
      <c r="EVC82" s="38"/>
      <c r="EVD82" s="38"/>
      <c r="EVE82" s="38"/>
      <c r="EVF82" s="38"/>
      <c r="EVG82" s="38"/>
      <c r="EVH82" s="38"/>
      <c r="EVI82" s="38"/>
      <c r="EVJ82" s="38"/>
      <c r="EVK82" s="38"/>
      <c r="EVL82" s="38"/>
      <c r="EVM82" s="38"/>
      <c r="EVN82" s="38"/>
      <c r="EVO82" s="38"/>
      <c r="EVP82" s="38"/>
      <c r="EVQ82" s="38"/>
      <c r="EVR82" s="38"/>
      <c r="EVS82" s="38"/>
      <c r="EVT82" s="38"/>
      <c r="EVU82" s="38"/>
      <c r="EVV82" s="38"/>
      <c r="EVW82" s="38"/>
      <c r="EVX82" s="38"/>
      <c r="EVY82" s="38"/>
      <c r="EVZ82" s="38"/>
      <c r="EWA82" s="38"/>
      <c r="EWB82" s="38"/>
      <c r="EWC82" s="38"/>
      <c r="EWD82" s="38"/>
      <c r="EWE82" s="38"/>
      <c r="EWF82" s="38"/>
      <c r="EWG82" s="38"/>
      <c r="EWH82" s="38"/>
      <c r="EWI82" s="38"/>
      <c r="EWJ82" s="38"/>
      <c r="EWK82" s="38"/>
      <c r="EWL82" s="38"/>
      <c r="EWM82" s="38"/>
      <c r="EWN82" s="38"/>
      <c r="EWO82" s="38"/>
      <c r="EWP82" s="38"/>
      <c r="EWQ82" s="38"/>
      <c r="EWR82" s="38"/>
      <c r="EWS82" s="38"/>
      <c r="EWT82" s="38"/>
      <c r="EWU82" s="38"/>
      <c r="EWV82" s="38"/>
      <c r="EWW82" s="38"/>
      <c r="EWX82" s="38"/>
      <c r="EWY82" s="38"/>
      <c r="EWZ82" s="38"/>
      <c r="EXA82" s="38"/>
      <c r="EXB82" s="38"/>
      <c r="EXC82" s="38"/>
      <c r="EXD82" s="38"/>
      <c r="EXE82" s="38"/>
      <c r="EXF82" s="38"/>
      <c r="EXG82" s="38"/>
      <c r="EXH82" s="38"/>
      <c r="EXI82" s="38"/>
      <c r="EXJ82" s="38"/>
      <c r="EXK82" s="38"/>
      <c r="EXL82" s="38"/>
      <c r="EXM82" s="38"/>
      <c r="EXN82" s="38"/>
      <c r="EXO82" s="38"/>
      <c r="EXP82" s="38"/>
      <c r="EXQ82" s="38"/>
      <c r="EXR82" s="38"/>
      <c r="EXS82" s="38"/>
      <c r="EXT82" s="38"/>
      <c r="EXU82" s="38"/>
      <c r="EXV82" s="38"/>
      <c r="EXW82" s="38"/>
      <c r="EXX82" s="38"/>
      <c r="EXY82" s="38"/>
      <c r="EXZ82" s="38"/>
      <c r="EYA82" s="38"/>
      <c r="EYB82" s="38"/>
      <c r="EYC82" s="38"/>
      <c r="EYD82" s="38"/>
      <c r="EYE82" s="38"/>
      <c r="EYF82" s="38"/>
      <c r="EYG82" s="38"/>
      <c r="EYH82" s="38"/>
      <c r="EYI82" s="38"/>
      <c r="EYJ82" s="38"/>
      <c r="EYK82" s="38"/>
      <c r="EYL82" s="38"/>
      <c r="EYM82" s="38"/>
      <c r="EYN82" s="38"/>
      <c r="EYO82" s="38"/>
      <c r="EYP82" s="38"/>
      <c r="EYQ82" s="38"/>
      <c r="EYR82" s="38"/>
      <c r="EYS82" s="38"/>
      <c r="EYT82" s="38"/>
      <c r="EYU82" s="38"/>
      <c r="EYV82" s="38"/>
      <c r="EYW82" s="38"/>
      <c r="EYX82" s="38"/>
      <c r="EYY82" s="38"/>
      <c r="EYZ82" s="38"/>
      <c r="EZA82" s="38"/>
      <c r="EZB82" s="38"/>
      <c r="EZC82" s="38"/>
      <c r="EZD82" s="38"/>
      <c r="EZE82" s="38"/>
      <c r="EZF82" s="38"/>
      <c r="EZG82" s="38"/>
      <c r="EZH82" s="38"/>
      <c r="EZI82" s="38"/>
      <c r="EZJ82" s="38"/>
      <c r="EZK82" s="38"/>
      <c r="EZL82" s="38"/>
      <c r="EZM82" s="38"/>
      <c r="EZN82" s="38"/>
      <c r="EZO82" s="38"/>
      <c r="EZP82" s="38"/>
      <c r="EZQ82" s="38"/>
      <c r="EZR82" s="38"/>
      <c r="EZS82" s="38"/>
      <c r="EZT82" s="38"/>
      <c r="EZU82" s="38"/>
      <c r="EZV82" s="38"/>
      <c r="EZW82" s="38"/>
      <c r="EZX82" s="38"/>
      <c r="EZY82" s="38"/>
      <c r="EZZ82" s="38"/>
      <c r="FAA82" s="38"/>
      <c r="FAB82" s="38"/>
      <c r="FAC82" s="38"/>
      <c r="FAD82" s="38"/>
      <c r="FAE82" s="38"/>
      <c r="FAF82" s="38"/>
      <c r="FAG82" s="38"/>
      <c r="FAH82" s="38"/>
      <c r="FAI82" s="38"/>
      <c r="FAJ82" s="38"/>
      <c r="FAK82" s="38"/>
      <c r="FAL82" s="38"/>
      <c r="FAM82" s="38"/>
      <c r="FAN82" s="38"/>
      <c r="FAO82" s="38"/>
      <c r="FAP82" s="38"/>
      <c r="FAQ82" s="38"/>
      <c r="FAR82" s="38"/>
      <c r="FAS82" s="38"/>
      <c r="FAT82" s="38"/>
      <c r="FAU82" s="38"/>
      <c r="FAV82" s="38"/>
      <c r="FAW82" s="38"/>
      <c r="FAX82" s="38"/>
      <c r="FAY82" s="38"/>
      <c r="FAZ82" s="38"/>
      <c r="FBA82" s="38"/>
      <c r="FBB82" s="38"/>
      <c r="FBC82" s="38"/>
      <c r="FBD82" s="38"/>
      <c r="FBE82" s="38"/>
      <c r="FBF82" s="38"/>
      <c r="FBG82" s="38"/>
      <c r="FBH82" s="38"/>
      <c r="FBI82" s="38"/>
      <c r="FBJ82" s="38"/>
      <c r="FBK82" s="38"/>
      <c r="FBL82" s="38"/>
      <c r="FBM82" s="38"/>
      <c r="FBN82" s="38"/>
      <c r="FBO82" s="38"/>
      <c r="FBP82" s="38"/>
      <c r="FBQ82" s="38"/>
      <c r="FBR82" s="38"/>
      <c r="FBS82" s="38"/>
      <c r="FBT82" s="38"/>
      <c r="FBU82" s="38"/>
      <c r="FBV82" s="38"/>
      <c r="FBW82" s="38"/>
      <c r="FBX82" s="38"/>
      <c r="FBY82" s="38"/>
      <c r="FBZ82" s="38"/>
      <c r="FCA82" s="38"/>
      <c r="FCB82" s="38"/>
      <c r="FCC82" s="38"/>
      <c r="FCD82" s="38"/>
      <c r="FCE82" s="38"/>
      <c r="FCF82" s="38"/>
      <c r="FCG82" s="38"/>
      <c r="FCH82" s="38"/>
      <c r="FCI82" s="38"/>
      <c r="FCJ82" s="38"/>
      <c r="FCK82" s="38"/>
      <c r="FCL82" s="38"/>
      <c r="FCM82" s="38"/>
      <c r="FCN82" s="38"/>
      <c r="FCO82" s="38"/>
      <c r="FCP82" s="38"/>
      <c r="FCQ82" s="38"/>
      <c r="FCR82" s="38"/>
      <c r="FCS82" s="38"/>
      <c r="FCT82" s="38"/>
      <c r="FCU82" s="38"/>
      <c r="FCV82" s="38"/>
      <c r="FCW82" s="38"/>
      <c r="FCX82" s="38"/>
      <c r="FCY82" s="38"/>
      <c r="FCZ82" s="38"/>
      <c r="FDA82" s="38"/>
      <c r="FDB82" s="38"/>
      <c r="FDC82" s="38"/>
      <c r="FDD82" s="38"/>
      <c r="FDE82" s="38"/>
      <c r="FDF82" s="38"/>
      <c r="FDG82" s="38"/>
      <c r="FDH82" s="38"/>
      <c r="FDI82" s="38"/>
      <c r="FDJ82" s="38"/>
      <c r="FDK82" s="38"/>
      <c r="FDL82" s="38"/>
      <c r="FDM82" s="38"/>
      <c r="FDN82" s="38"/>
      <c r="FDO82" s="38"/>
      <c r="FDP82" s="38"/>
      <c r="FDQ82" s="38"/>
      <c r="FDR82" s="38"/>
      <c r="FDS82" s="38"/>
      <c r="FDT82" s="38"/>
      <c r="FDU82" s="38"/>
      <c r="FDV82" s="38"/>
      <c r="FDW82" s="38"/>
      <c r="FDX82" s="38"/>
      <c r="FDY82" s="38"/>
      <c r="FDZ82" s="38"/>
      <c r="FEA82" s="38"/>
      <c r="FEB82" s="38"/>
      <c r="FEC82" s="38"/>
      <c r="FED82" s="38"/>
      <c r="FEE82" s="38"/>
      <c r="FEF82" s="38"/>
      <c r="FEG82" s="38"/>
      <c r="FEH82" s="38"/>
      <c r="FEI82" s="38"/>
      <c r="FEJ82" s="38"/>
      <c r="FEK82" s="38"/>
      <c r="FEL82" s="38"/>
      <c r="FEM82" s="38"/>
      <c r="FEN82" s="38"/>
      <c r="FEO82" s="38"/>
      <c r="FEP82" s="38"/>
      <c r="FEQ82" s="38"/>
      <c r="FER82" s="38"/>
      <c r="FES82" s="38"/>
      <c r="FET82" s="38"/>
      <c r="FEU82" s="38"/>
      <c r="FEV82" s="38"/>
      <c r="FEW82" s="38"/>
      <c r="FEX82" s="38"/>
      <c r="FEY82" s="38"/>
      <c r="FEZ82" s="38"/>
      <c r="FFA82" s="38"/>
      <c r="FFB82" s="38"/>
      <c r="FFC82" s="38"/>
      <c r="FFD82" s="38"/>
      <c r="FFE82" s="38"/>
      <c r="FFF82" s="38"/>
      <c r="FFG82" s="38"/>
      <c r="FFH82" s="38"/>
      <c r="FFI82" s="38"/>
      <c r="FFJ82" s="38"/>
      <c r="FFK82" s="38"/>
      <c r="FFL82" s="38"/>
      <c r="FFM82" s="38"/>
      <c r="FFN82" s="38"/>
      <c r="FFO82" s="38"/>
      <c r="FFP82" s="38"/>
      <c r="FFQ82" s="38"/>
      <c r="FFR82" s="38"/>
      <c r="FFS82" s="38"/>
      <c r="FFT82" s="38"/>
      <c r="FFU82" s="38"/>
      <c r="FFV82" s="38"/>
      <c r="FFW82" s="38"/>
      <c r="FFX82" s="38"/>
      <c r="FFY82" s="38"/>
      <c r="FFZ82" s="38"/>
      <c r="FGA82" s="38"/>
      <c r="FGB82" s="38"/>
      <c r="FGC82" s="38"/>
      <c r="FGD82" s="38"/>
      <c r="FGE82" s="38"/>
      <c r="FGF82" s="38"/>
      <c r="FGG82" s="38"/>
      <c r="FGH82" s="38"/>
      <c r="FGI82" s="38"/>
      <c r="FGJ82" s="38"/>
      <c r="FGK82" s="38"/>
      <c r="FGL82" s="38"/>
      <c r="FGM82" s="38"/>
      <c r="FGN82" s="38"/>
      <c r="FGO82" s="38"/>
      <c r="FGP82" s="38"/>
      <c r="FGQ82" s="38"/>
      <c r="FGR82" s="38"/>
      <c r="FGS82" s="38"/>
      <c r="FGT82" s="38"/>
      <c r="FGU82" s="38"/>
      <c r="FGV82" s="38"/>
      <c r="FGW82" s="38"/>
      <c r="FGX82" s="38"/>
      <c r="FGY82" s="38"/>
      <c r="FGZ82" s="38"/>
      <c r="FHA82" s="38"/>
      <c r="FHB82" s="38"/>
      <c r="FHC82" s="38"/>
      <c r="FHD82" s="38"/>
      <c r="FHE82" s="38"/>
      <c r="FHF82" s="38"/>
      <c r="FHG82" s="38"/>
      <c r="FHH82" s="38"/>
      <c r="FHI82" s="38"/>
      <c r="FHJ82" s="38"/>
      <c r="FHK82" s="38"/>
      <c r="FHL82" s="38"/>
      <c r="FHM82" s="38"/>
      <c r="FHN82" s="38"/>
      <c r="FHO82" s="38"/>
      <c r="FHP82" s="38"/>
      <c r="FHQ82" s="38"/>
      <c r="FHR82" s="38"/>
      <c r="FHS82" s="38"/>
      <c r="FHT82" s="38"/>
      <c r="FHU82" s="38"/>
      <c r="FHV82" s="38"/>
      <c r="FHW82" s="38"/>
      <c r="FHX82" s="38"/>
      <c r="FHY82" s="38"/>
      <c r="FHZ82" s="38"/>
      <c r="FIA82" s="38"/>
      <c r="FIB82" s="38"/>
      <c r="FIC82" s="38"/>
      <c r="FID82" s="38"/>
      <c r="FIE82" s="38"/>
      <c r="FIF82" s="38"/>
      <c r="FIG82" s="38"/>
      <c r="FIH82" s="38"/>
      <c r="FII82" s="38"/>
      <c r="FIJ82" s="38"/>
      <c r="FIK82" s="38"/>
      <c r="FIL82" s="38"/>
      <c r="FIM82" s="38"/>
      <c r="FIN82" s="38"/>
      <c r="FIO82" s="38"/>
      <c r="FIP82" s="38"/>
      <c r="FIQ82" s="38"/>
      <c r="FIR82" s="38"/>
      <c r="FIS82" s="38"/>
      <c r="FIT82" s="38"/>
      <c r="FIU82" s="38"/>
      <c r="FIV82" s="38"/>
      <c r="FIW82" s="38"/>
      <c r="FIX82" s="38"/>
      <c r="FIY82" s="38"/>
      <c r="FIZ82" s="38"/>
      <c r="FJA82" s="38"/>
      <c r="FJB82" s="38"/>
      <c r="FJC82" s="38"/>
      <c r="FJD82" s="38"/>
      <c r="FJE82" s="38"/>
      <c r="FJF82" s="38"/>
      <c r="FJG82" s="38"/>
      <c r="FJH82" s="38"/>
      <c r="FJI82" s="38"/>
      <c r="FJJ82" s="38"/>
      <c r="FJK82" s="38"/>
      <c r="FJL82" s="38"/>
      <c r="FJM82" s="38"/>
      <c r="FJN82" s="38"/>
      <c r="FJO82" s="38"/>
      <c r="FJP82" s="38"/>
      <c r="FJQ82" s="38"/>
      <c r="FJR82" s="38"/>
      <c r="FJS82" s="38"/>
      <c r="FJT82" s="38"/>
      <c r="FJU82" s="38"/>
      <c r="FJV82" s="38"/>
      <c r="FJW82" s="38"/>
      <c r="FJX82" s="38"/>
      <c r="FJY82" s="38"/>
      <c r="FJZ82" s="38"/>
      <c r="FKA82" s="38"/>
      <c r="FKB82" s="38"/>
      <c r="FKC82" s="38"/>
      <c r="FKD82" s="38"/>
      <c r="FKE82" s="38"/>
      <c r="FKF82" s="38"/>
      <c r="FKG82" s="38"/>
      <c r="FKH82" s="38"/>
      <c r="FKI82" s="38"/>
      <c r="FKJ82" s="38"/>
      <c r="FKK82" s="38"/>
      <c r="FKL82" s="38"/>
      <c r="FKM82" s="38"/>
      <c r="FKN82" s="38"/>
      <c r="FKO82" s="38"/>
      <c r="FKP82" s="38"/>
      <c r="FKQ82" s="38"/>
      <c r="FKR82" s="38"/>
      <c r="FKS82" s="38"/>
      <c r="FKT82" s="38"/>
      <c r="FKU82" s="38"/>
      <c r="FKV82" s="38"/>
      <c r="FKW82" s="38"/>
      <c r="FKX82" s="38"/>
      <c r="FKY82" s="38"/>
      <c r="FKZ82" s="38"/>
      <c r="FLA82" s="38"/>
      <c r="FLB82" s="38"/>
      <c r="FLC82" s="38"/>
      <c r="FLD82" s="38"/>
      <c r="FLE82" s="38"/>
      <c r="FLF82" s="38"/>
      <c r="FLG82" s="38"/>
      <c r="FLH82" s="38"/>
      <c r="FLI82" s="38"/>
      <c r="FLJ82" s="38"/>
      <c r="FLK82" s="38"/>
      <c r="FLL82" s="38"/>
      <c r="FLM82" s="38"/>
      <c r="FLN82" s="38"/>
      <c r="FLO82" s="38"/>
      <c r="FLP82" s="38"/>
      <c r="FLQ82" s="38"/>
      <c r="FLR82" s="38"/>
      <c r="FLS82" s="38"/>
      <c r="FLT82" s="38"/>
      <c r="FLU82" s="38"/>
      <c r="FLV82" s="38"/>
      <c r="FLW82" s="38"/>
      <c r="FLX82" s="38"/>
      <c r="FLY82" s="38"/>
      <c r="FLZ82" s="38"/>
      <c r="FMA82" s="38"/>
      <c r="FMB82" s="38"/>
      <c r="FMC82" s="38"/>
      <c r="FMD82" s="38"/>
      <c r="FME82" s="38"/>
      <c r="FMF82" s="38"/>
      <c r="FMG82" s="38"/>
      <c r="FMH82" s="38"/>
      <c r="FMI82" s="38"/>
      <c r="FMJ82" s="38"/>
      <c r="FMK82" s="38"/>
      <c r="FML82" s="38"/>
      <c r="FMM82" s="38"/>
      <c r="FMN82" s="38"/>
      <c r="FMO82" s="38"/>
      <c r="FMP82" s="38"/>
      <c r="FMQ82" s="38"/>
      <c r="FMR82" s="38"/>
      <c r="FMS82" s="38"/>
      <c r="FMT82" s="38"/>
      <c r="FMU82" s="38"/>
      <c r="FMV82" s="38"/>
      <c r="FMW82" s="38"/>
      <c r="FMX82" s="38"/>
      <c r="FMY82" s="38"/>
      <c r="FMZ82" s="38"/>
      <c r="FNA82" s="38"/>
      <c r="FNB82" s="38"/>
      <c r="FNC82" s="38"/>
      <c r="FND82" s="38"/>
      <c r="FNE82" s="38"/>
      <c r="FNF82" s="38"/>
      <c r="FNG82" s="38"/>
      <c r="FNH82" s="38"/>
      <c r="FNI82" s="38"/>
      <c r="FNJ82" s="38"/>
      <c r="FNK82" s="38"/>
      <c r="FNL82" s="38"/>
      <c r="FNM82" s="38"/>
      <c r="FNN82" s="38"/>
      <c r="FNO82" s="38"/>
      <c r="FNP82" s="38"/>
      <c r="FNQ82" s="38"/>
      <c r="FNR82" s="38"/>
      <c r="FNS82" s="38"/>
      <c r="FNT82" s="38"/>
      <c r="FNU82" s="38"/>
      <c r="FNV82" s="38"/>
      <c r="FNW82" s="38"/>
      <c r="FNX82" s="38"/>
      <c r="FNY82" s="38"/>
      <c r="FNZ82" s="38"/>
      <c r="FOA82" s="38"/>
      <c r="FOB82" s="38"/>
      <c r="FOC82" s="38"/>
      <c r="FOD82" s="38"/>
      <c r="FOE82" s="38"/>
      <c r="FOF82" s="38"/>
      <c r="FOG82" s="38"/>
      <c r="FOH82" s="38"/>
      <c r="FOI82" s="38"/>
      <c r="FOJ82" s="38"/>
      <c r="FOK82" s="38"/>
      <c r="FOL82" s="38"/>
      <c r="FOM82" s="38"/>
      <c r="FON82" s="38"/>
      <c r="FOO82" s="38"/>
      <c r="FOP82" s="38"/>
      <c r="FOQ82" s="38"/>
      <c r="FOR82" s="38"/>
      <c r="FOS82" s="38"/>
      <c r="FOT82" s="38"/>
      <c r="FOU82" s="38"/>
      <c r="FOV82" s="38"/>
      <c r="FOW82" s="38"/>
      <c r="FOX82" s="38"/>
      <c r="FOY82" s="38"/>
      <c r="FOZ82" s="38"/>
      <c r="FPA82" s="38"/>
      <c r="FPB82" s="38"/>
      <c r="FPC82" s="38"/>
      <c r="FPD82" s="38"/>
      <c r="FPE82" s="38"/>
      <c r="FPF82" s="38"/>
      <c r="FPG82" s="38"/>
      <c r="FPH82" s="38"/>
      <c r="FPI82" s="38"/>
      <c r="FPJ82" s="38"/>
      <c r="FPK82" s="38"/>
      <c r="FPL82" s="38"/>
      <c r="FPM82" s="38"/>
      <c r="FPN82" s="38"/>
      <c r="FPO82" s="38"/>
      <c r="FPP82" s="38"/>
      <c r="FPQ82" s="38"/>
      <c r="FPR82" s="38"/>
      <c r="FPS82" s="38"/>
      <c r="FPT82" s="38"/>
      <c r="FPU82" s="38"/>
      <c r="FPV82" s="38"/>
      <c r="FPW82" s="38"/>
      <c r="FPX82" s="38"/>
      <c r="FPY82" s="38"/>
      <c r="FPZ82" s="38"/>
      <c r="FQA82" s="38"/>
      <c r="FQB82" s="38"/>
      <c r="FQC82" s="38"/>
      <c r="FQD82" s="38"/>
      <c r="FQE82" s="38"/>
      <c r="FQF82" s="38"/>
      <c r="FQG82" s="38"/>
      <c r="FQH82" s="38"/>
      <c r="FQI82" s="38"/>
      <c r="FQJ82" s="38"/>
      <c r="FQK82" s="38"/>
      <c r="FQL82" s="38"/>
      <c r="FQM82" s="38"/>
      <c r="FQN82" s="38"/>
      <c r="FQO82" s="38"/>
      <c r="FQP82" s="38"/>
      <c r="FQQ82" s="38"/>
      <c r="FQR82" s="38"/>
      <c r="FQS82" s="38"/>
      <c r="FQT82" s="38"/>
      <c r="FQU82" s="38"/>
      <c r="FQV82" s="38"/>
      <c r="FQW82" s="38"/>
      <c r="FQX82" s="38"/>
      <c r="FQY82" s="38"/>
      <c r="FQZ82" s="38"/>
      <c r="FRA82" s="38"/>
      <c r="FRB82" s="38"/>
      <c r="FRC82" s="38"/>
      <c r="FRD82" s="38"/>
      <c r="FRE82" s="38"/>
      <c r="FRF82" s="38"/>
      <c r="FRG82" s="38"/>
      <c r="FRH82" s="38"/>
      <c r="FRI82" s="38"/>
      <c r="FRJ82" s="38"/>
      <c r="FRK82" s="38"/>
      <c r="FRL82" s="38"/>
      <c r="FRM82" s="38"/>
      <c r="FRN82" s="38"/>
      <c r="FRO82" s="38"/>
      <c r="FRP82" s="38"/>
      <c r="FRQ82" s="38"/>
      <c r="FRR82" s="38"/>
      <c r="FRS82" s="38"/>
      <c r="FRT82" s="38"/>
      <c r="FRU82" s="38"/>
      <c r="FRV82" s="38"/>
      <c r="FRW82" s="38"/>
      <c r="FRX82" s="38"/>
      <c r="FRY82" s="38"/>
      <c r="FRZ82" s="38"/>
      <c r="FSA82" s="38"/>
      <c r="FSB82" s="38"/>
      <c r="FSC82" s="38"/>
      <c r="FSD82" s="38"/>
      <c r="FSE82" s="38"/>
      <c r="FSF82" s="38"/>
      <c r="FSG82" s="38"/>
      <c r="FSH82" s="38"/>
      <c r="FSI82" s="38"/>
      <c r="FSJ82" s="38"/>
      <c r="FSK82" s="38"/>
      <c r="FSL82" s="38"/>
      <c r="FSM82" s="38"/>
      <c r="FSN82" s="38"/>
      <c r="FSO82" s="38"/>
      <c r="FSP82" s="38"/>
      <c r="FSQ82" s="38"/>
      <c r="FSR82" s="38"/>
      <c r="FSS82" s="38"/>
      <c r="FST82" s="38"/>
      <c r="FSU82" s="38"/>
      <c r="FSV82" s="38"/>
      <c r="FSW82" s="38"/>
      <c r="FSX82" s="38"/>
      <c r="FSY82" s="38"/>
      <c r="FSZ82" s="38"/>
      <c r="FTA82" s="38"/>
      <c r="FTB82" s="38"/>
      <c r="FTC82" s="38"/>
      <c r="FTD82" s="38"/>
      <c r="FTE82" s="38"/>
      <c r="FTF82" s="38"/>
      <c r="FTG82" s="38"/>
      <c r="FTH82" s="38"/>
      <c r="FTI82" s="38"/>
      <c r="FTJ82" s="38"/>
      <c r="FTK82" s="38"/>
      <c r="FTL82" s="38"/>
      <c r="FTM82" s="38"/>
      <c r="FTN82" s="38"/>
      <c r="FTO82" s="38"/>
      <c r="FTP82" s="38"/>
      <c r="FTQ82" s="38"/>
      <c r="FTR82" s="38"/>
      <c r="FTS82" s="38"/>
      <c r="FTT82" s="38"/>
      <c r="FTU82" s="38"/>
      <c r="FTV82" s="38"/>
      <c r="FTW82" s="38"/>
      <c r="FTX82" s="38"/>
      <c r="FTY82" s="38"/>
      <c r="FTZ82" s="38"/>
      <c r="FUA82" s="38"/>
      <c r="FUB82" s="38"/>
      <c r="FUC82" s="38"/>
      <c r="FUD82" s="38"/>
      <c r="FUE82" s="38"/>
      <c r="FUF82" s="38"/>
      <c r="FUG82" s="38"/>
      <c r="FUH82" s="38"/>
      <c r="FUI82" s="38"/>
      <c r="FUJ82" s="38"/>
      <c r="FUK82" s="38"/>
      <c r="FUL82" s="38"/>
      <c r="FUM82" s="38"/>
      <c r="FUN82" s="38"/>
      <c r="FUO82" s="38"/>
      <c r="FUP82" s="38"/>
      <c r="FUQ82" s="38"/>
      <c r="FUR82" s="38"/>
      <c r="FUS82" s="38"/>
      <c r="FUT82" s="38"/>
      <c r="FUU82" s="38"/>
      <c r="FUV82" s="38"/>
      <c r="FUW82" s="38"/>
      <c r="FUX82" s="38"/>
      <c r="FUY82" s="38"/>
      <c r="FUZ82" s="38"/>
      <c r="FVA82" s="38"/>
      <c r="FVB82" s="38"/>
      <c r="FVC82" s="38"/>
      <c r="FVD82" s="38"/>
      <c r="FVE82" s="38"/>
      <c r="FVF82" s="38"/>
      <c r="FVG82" s="38"/>
      <c r="FVH82" s="38"/>
      <c r="FVI82" s="38"/>
      <c r="FVJ82" s="38"/>
      <c r="FVK82" s="38"/>
      <c r="FVL82" s="38"/>
      <c r="FVM82" s="38"/>
      <c r="FVN82" s="38"/>
      <c r="FVO82" s="38"/>
      <c r="FVP82" s="38"/>
      <c r="FVQ82" s="38"/>
      <c r="FVR82" s="38"/>
      <c r="FVS82" s="38"/>
      <c r="FVT82" s="38"/>
      <c r="FVU82" s="38"/>
      <c r="FVV82" s="38"/>
      <c r="FVW82" s="38"/>
      <c r="FVX82" s="38"/>
      <c r="FVY82" s="38"/>
      <c r="FVZ82" s="38"/>
      <c r="FWA82" s="38"/>
      <c r="FWB82" s="38"/>
      <c r="FWC82" s="38"/>
      <c r="FWD82" s="38"/>
      <c r="FWE82" s="38"/>
      <c r="FWF82" s="38"/>
      <c r="FWG82" s="38"/>
      <c r="FWH82" s="38"/>
      <c r="FWI82" s="38"/>
      <c r="FWJ82" s="38"/>
      <c r="FWK82" s="38"/>
      <c r="FWL82" s="38"/>
      <c r="FWM82" s="38"/>
      <c r="FWN82" s="38"/>
      <c r="FWO82" s="38"/>
      <c r="FWP82" s="38"/>
      <c r="FWQ82" s="38"/>
      <c r="FWR82" s="38"/>
      <c r="FWS82" s="38"/>
      <c r="FWT82" s="38"/>
      <c r="FWU82" s="38"/>
      <c r="FWV82" s="38"/>
      <c r="FWW82" s="38"/>
      <c r="FWX82" s="38"/>
      <c r="FWY82" s="38"/>
      <c r="FWZ82" s="38"/>
      <c r="FXA82" s="38"/>
      <c r="FXB82" s="38"/>
      <c r="FXC82" s="38"/>
      <c r="FXD82" s="38"/>
      <c r="FXE82" s="38"/>
      <c r="FXF82" s="38"/>
      <c r="FXG82" s="38"/>
      <c r="FXH82" s="38"/>
      <c r="FXI82" s="38"/>
      <c r="FXJ82" s="38"/>
      <c r="FXK82" s="38"/>
      <c r="FXL82" s="38"/>
      <c r="FXM82" s="38"/>
      <c r="FXN82" s="38"/>
      <c r="FXO82" s="38"/>
      <c r="FXP82" s="38"/>
      <c r="FXQ82" s="38"/>
      <c r="FXR82" s="38"/>
      <c r="FXS82" s="38"/>
      <c r="FXT82" s="38"/>
      <c r="FXU82" s="38"/>
      <c r="FXV82" s="38"/>
      <c r="FXW82" s="38"/>
      <c r="FXX82" s="38"/>
      <c r="FXY82" s="38"/>
      <c r="FXZ82" s="38"/>
      <c r="FYA82" s="38"/>
      <c r="FYB82" s="38"/>
      <c r="FYC82" s="38"/>
      <c r="FYD82" s="38"/>
      <c r="FYE82" s="38"/>
      <c r="FYF82" s="38"/>
      <c r="FYG82" s="38"/>
      <c r="FYH82" s="38"/>
      <c r="FYI82" s="38"/>
      <c r="FYJ82" s="38"/>
      <c r="FYK82" s="38"/>
      <c r="FYL82" s="38"/>
      <c r="FYM82" s="38"/>
      <c r="FYN82" s="38"/>
      <c r="FYO82" s="38"/>
      <c r="FYP82" s="38"/>
      <c r="FYQ82" s="38"/>
      <c r="FYR82" s="38"/>
      <c r="FYS82" s="38"/>
      <c r="FYT82" s="38"/>
      <c r="FYU82" s="38"/>
      <c r="FYV82" s="38"/>
      <c r="FYW82" s="38"/>
      <c r="FYX82" s="38"/>
      <c r="FYY82" s="38"/>
      <c r="FYZ82" s="38"/>
      <c r="FZA82" s="38"/>
      <c r="FZB82" s="38"/>
      <c r="FZC82" s="38"/>
      <c r="FZD82" s="38"/>
      <c r="FZE82" s="38"/>
      <c r="FZF82" s="38"/>
      <c r="FZG82" s="38"/>
      <c r="FZH82" s="38"/>
      <c r="FZI82" s="38"/>
      <c r="FZJ82" s="38"/>
      <c r="FZK82" s="38"/>
      <c r="FZL82" s="38"/>
      <c r="FZM82" s="38"/>
      <c r="FZN82" s="38"/>
      <c r="FZO82" s="38"/>
      <c r="FZP82" s="38"/>
      <c r="FZQ82" s="38"/>
      <c r="FZR82" s="38"/>
      <c r="FZS82" s="38"/>
      <c r="FZT82" s="38"/>
      <c r="FZU82" s="38"/>
      <c r="FZV82" s="38"/>
      <c r="FZW82" s="38"/>
      <c r="FZX82" s="38"/>
      <c r="FZY82" s="38"/>
      <c r="FZZ82" s="38"/>
      <c r="GAA82" s="38"/>
      <c r="GAB82" s="38"/>
      <c r="GAC82" s="38"/>
      <c r="GAD82" s="38"/>
      <c r="GAE82" s="38"/>
      <c r="GAF82" s="38"/>
      <c r="GAG82" s="38"/>
      <c r="GAH82" s="38"/>
      <c r="GAI82" s="38"/>
      <c r="GAJ82" s="38"/>
      <c r="GAK82" s="38"/>
      <c r="GAL82" s="38"/>
      <c r="GAM82" s="38"/>
      <c r="GAN82" s="38"/>
      <c r="GAO82" s="38"/>
      <c r="GAP82" s="38"/>
      <c r="GAQ82" s="38"/>
      <c r="GAR82" s="38"/>
      <c r="GAS82" s="38"/>
      <c r="GAT82" s="38"/>
      <c r="GAU82" s="38"/>
      <c r="GAV82" s="38"/>
      <c r="GAW82" s="38"/>
      <c r="GAX82" s="38"/>
      <c r="GAY82" s="38"/>
      <c r="GAZ82" s="38"/>
      <c r="GBA82" s="38"/>
      <c r="GBB82" s="38"/>
      <c r="GBC82" s="38"/>
      <c r="GBD82" s="38"/>
      <c r="GBE82" s="38"/>
      <c r="GBF82" s="38"/>
      <c r="GBG82" s="38"/>
      <c r="GBH82" s="38"/>
      <c r="GBI82" s="38"/>
      <c r="GBJ82" s="38"/>
      <c r="GBK82" s="38"/>
      <c r="GBL82" s="38"/>
      <c r="GBM82" s="38"/>
      <c r="GBN82" s="38"/>
      <c r="GBO82" s="38"/>
      <c r="GBP82" s="38"/>
      <c r="GBQ82" s="38"/>
      <c r="GBR82" s="38"/>
      <c r="GBS82" s="38"/>
      <c r="GBT82" s="38"/>
      <c r="GBU82" s="38"/>
      <c r="GBV82" s="38"/>
      <c r="GBW82" s="38"/>
      <c r="GBX82" s="38"/>
      <c r="GBY82" s="38"/>
      <c r="GBZ82" s="38"/>
      <c r="GCA82" s="38"/>
      <c r="GCB82" s="38"/>
      <c r="GCC82" s="38"/>
      <c r="GCD82" s="38"/>
      <c r="GCE82" s="38"/>
      <c r="GCF82" s="38"/>
      <c r="GCG82" s="38"/>
      <c r="GCH82" s="38"/>
      <c r="GCI82" s="38"/>
      <c r="GCJ82" s="38"/>
      <c r="GCK82" s="38"/>
      <c r="GCL82" s="38"/>
      <c r="GCM82" s="38"/>
      <c r="GCN82" s="38"/>
      <c r="GCO82" s="38"/>
      <c r="GCP82" s="38"/>
      <c r="GCQ82" s="38"/>
      <c r="GCR82" s="38"/>
      <c r="GCS82" s="38"/>
      <c r="GCT82" s="38"/>
      <c r="GCU82" s="38"/>
      <c r="GCV82" s="38"/>
      <c r="GCW82" s="38"/>
      <c r="GCX82" s="38"/>
      <c r="GCY82" s="38"/>
      <c r="GCZ82" s="38"/>
      <c r="GDA82" s="38"/>
      <c r="GDB82" s="38"/>
      <c r="GDC82" s="38"/>
      <c r="GDD82" s="38"/>
      <c r="GDE82" s="38"/>
      <c r="GDF82" s="38"/>
      <c r="GDG82" s="38"/>
      <c r="GDH82" s="38"/>
      <c r="GDI82" s="38"/>
      <c r="GDJ82" s="38"/>
      <c r="GDK82" s="38"/>
      <c r="GDL82" s="38"/>
      <c r="GDM82" s="38"/>
      <c r="GDN82" s="38"/>
      <c r="GDO82" s="38"/>
      <c r="GDP82" s="38"/>
      <c r="GDQ82" s="38"/>
      <c r="GDR82" s="38"/>
      <c r="GDS82" s="38"/>
      <c r="GDT82" s="38"/>
      <c r="GDU82" s="38"/>
      <c r="GDV82" s="38"/>
      <c r="GDW82" s="38"/>
      <c r="GDX82" s="38"/>
      <c r="GDY82" s="38"/>
      <c r="GDZ82" s="38"/>
      <c r="GEA82" s="38"/>
      <c r="GEB82" s="38"/>
      <c r="GEC82" s="38"/>
      <c r="GED82" s="38"/>
      <c r="GEE82" s="38"/>
      <c r="GEF82" s="38"/>
      <c r="GEG82" s="38"/>
      <c r="GEH82" s="38"/>
      <c r="GEI82" s="38"/>
      <c r="GEJ82" s="38"/>
      <c r="GEK82" s="38"/>
      <c r="GEL82" s="38"/>
      <c r="GEM82" s="38"/>
      <c r="GEN82" s="38"/>
      <c r="GEO82" s="38"/>
      <c r="GEP82" s="38"/>
      <c r="GEQ82" s="38"/>
      <c r="GER82" s="38"/>
      <c r="GES82" s="38"/>
      <c r="GET82" s="38"/>
      <c r="GEU82" s="38"/>
      <c r="GEV82" s="38"/>
      <c r="GEW82" s="38"/>
      <c r="GEX82" s="38"/>
      <c r="GEY82" s="38"/>
      <c r="GEZ82" s="38"/>
      <c r="GFA82" s="38"/>
      <c r="GFB82" s="38"/>
      <c r="GFC82" s="38"/>
      <c r="GFD82" s="38"/>
      <c r="GFE82" s="38"/>
      <c r="GFF82" s="38"/>
      <c r="GFG82" s="38"/>
      <c r="GFH82" s="38"/>
      <c r="GFI82" s="38"/>
      <c r="GFJ82" s="38"/>
      <c r="GFK82" s="38"/>
      <c r="GFL82" s="38"/>
      <c r="GFM82" s="38"/>
      <c r="GFN82" s="38"/>
      <c r="GFO82" s="38"/>
      <c r="GFP82" s="38"/>
      <c r="GFQ82" s="38"/>
      <c r="GFR82" s="38"/>
      <c r="GFS82" s="38"/>
      <c r="GFT82" s="38"/>
      <c r="GFU82" s="38"/>
      <c r="GFV82" s="38"/>
      <c r="GFW82" s="38"/>
      <c r="GFX82" s="38"/>
      <c r="GFY82" s="38"/>
      <c r="GFZ82" s="38"/>
      <c r="GGA82" s="38"/>
      <c r="GGB82" s="38"/>
      <c r="GGC82" s="38"/>
      <c r="GGD82" s="38"/>
      <c r="GGE82" s="38"/>
      <c r="GGF82" s="38"/>
      <c r="GGG82" s="38"/>
      <c r="GGH82" s="38"/>
      <c r="GGI82" s="38"/>
      <c r="GGJ82" s="38"/>
      <c r="GGK82" s="38"/>
      <c r="GGL82" s="38"/>
      <c r="GGM82" s="38"/>
      <c r="GGN82" s="38"/>
      <c r="GGO82" s="38"/>
      <c r="GGP82" s="38"/>
      <c r="GGQ82" s="38"/>
      <c r="GGR82" s="38"/>
      <c r="GGS82" s="38"/>
      <c r="GGT82" s="38"/>
      <c r="GGU82" s="38"/>
      <c r="GGV82" s="38"/>
      <c r="GGW82" s="38"/>
      <c r="GGX82" s="38"/>
      <c r="GGY82" s="38"/>
      <c r="GGZ82" s="38"/>
      <c r="GHA82" s="38"/>
      <c r="GHB82" s="38"/>
      <c r="GHC82" s="38"/>
      <c r="GHD82" s="38"/>
      <c r="GHE82" s="38"/>
      <c r="GHF82" s="38"/>
      <c r="GHG82" s="38"/>
      <c r="GHH82" s="38"/>
      <c r="GHI82" s="38"/>
      <c r="GHJ82" s="38"/>
      <c r="GHK82" s="38"/>
      <c r="GHL82" s="38"/>
      <c r="GHM82" s="38"/>
      <c r="GHN82" s="38"/>
      <c r="GHO82" s="38"/>
      <c r="GHP82" s="38"/>
      <c r="GHQ82" s="38"/>
      <c r="GHR82" s="38"/>
      <c r="GHS82" s="38"/>
      <c r="GHT82" s="38"/>
      <c r="GHU82" s="38"/>
      <c r="GHV82" s="38"/>
      <c r="GHW82" s="38"/>
      <c r="GHX82" s="38"/>
      <c r="GHY82" s="38"/>
      <c r="GHZ82" s="38"/>
      <c r="GIA82" s="38"/>
      <c r="GIB82" s="38"/>
      <c r="GIC82" s="38"/>
      <c r="GID82" s="38"/>
      <c r="GIE82" s="38"/>
      <c r="GIF82" s="38"/>
      <c r="GIG82" s="38"/>
      <c r="GIH82" s="38"/>
      <c r="GII82" s="38"/>
      <c r="GIJ82" s="38"/>
      <c r="GIK82" s="38"/>
      <c r="GIL82" s="38"/>
      <c r="GIM82" s="38"/>
      <c r="GIN82" s="38"/>
      <c r="GIO82" s="38"/>
      <c r="GIP82" s="38"/>
      <c r="GIQ82" s="38"/>
      <c r="GIR82" s="38"/>
      <c r="GIS82" s="38"/>
      <c r="GIT82" s="38"/>
      <c r="GIU82" s="38"/>
      <c r="GIV82" s="38"/>
      <c r="GIW82" s="38"/>
      <c r="GIX82" s="38"/>
      <c r="GIY82" s="38"/>
      <c r="GIZ82" s="38"/>
      <c r="GJA82" s="38"/>
      <c r="GJB82" s="38"/>
      <c r="GJC82" s="38"/>
      <c r="GJD82" s="38"/>
      <c r="GJE82" s="38"/>
      <c r="GJF82" s="38"/>
      <c r="GJG82" s="38"/>
      <c r="GJH82" s="38"/>
      <c r="GJI82" s="38"/>
      <c r="GJJ82" s="38"/>
      <c r="GJK82" s="38"/>
      <c r="GJL82" s="38"/>
      <c r="GJM82" s="38"/>
      <c r="GJN82" s="38"/>
      <c r="GJO82" s="38"/>
      <c r="GJP82" s="38"/>
      <c r="GJQ82" s="38"/>
      <c r="GJR82" s="38"/>
      <c r="GJS82" s="38"/>
      <c r="GJT82" s="38"/>
      <c r="GJU82" s="38"/>
      <c r="GJV82" s="38"/>
      <c r="GJW82" s="38"/>
      <c r="GJX82" s="38"/>
      <c r="GJY82" s="38"/>
      <c r="GJZ82" s="38"/>
      <c r="GKA82" s="38"/>
      <c r="GKB82" s="38"/>
      <c r="GKC82" s="38"/>
      <c r="GKD82" s="38"/>
      <c r="GKE82" s="38"/>
      <c r="GKF82" s="38"/>
      <c r="GKG82" s="38"/>
      <c r="GKH82" s="38"/>
      <c r="GKI82" s="38"/>
      <c r="GKJ82" s="38"/>
      <c r="GKK82" s="38"/>
      <c r="GKL82" s="38"/>
      <c r="GKM82" s="38"/>
      <c r="GKN82" s="38"/>
      <c r="GKO82" s="38"/>
      <c r="GKP82" s="38"/>
      <c r="GKQ82" s="38"/>
      <c r="GKR82" s="38"/>
      <c r="GKS82" s="38"/>
      <c r="GKT82" s="38"/>
      <c r="GKU82" s="38"/>
      <c r="GKV82" s="38"/>
      <c r="GKW82" s="38"/>
      <c r="GKX82" s="38"/>
      <c r="GKY82" s="38"/>
      <c r="GKZ82" s="38"/>
      <c r="GLA82" s="38"/>
      <c r="GLB82" s="38"/>
      <c r="GLC82" s="38"/>
      <c r="GLD82" s="38"/>
      <c r="GLE82" s="38"/>
      <c r="GLF82" s="38"/>
      <c r="GLG82" s="38"/>
      <c r="GLH82" s="38"/>
      <c r="GLI82" s="38"/>
      <c r="GLJ82" s="38"/>
      <c r="GLK82" s="38"/>
      <c r="GLL82" s="38"/>
      <c r="GLM82" s="38"/>
      <c r="GLN82" s="38"/>
      <c r="GLO82" s="38"/>
      <c r="GLP82" s="38"/>
      <c r="GLQ82" s="38"/>
      <c r="GLR82" s="38"/>
      <c r="GLS82" s="38"/>
      <c r="GLT82" s="38"/>
      <c r="GLU82" s="38"/>
      <c r="GLV82" s="38"/>
      <c r="GLW82" s="38"/>
      <c r="GLX82" s="38"/>
      <c r="GLY82" s="38"/>
      <c r="GLZ82" s="38"/>
      <c r="GMA82" s="38"/>
      <c r="GMB82" s="38"/>
      <c r="GMC82" s="38"/>
      <c r="GMD82" s="38"/>
      <c r="GME82" s="38"/>
      <c r="GMF82" s="38"/>
      <c r="GMG82" s="38"/>
      <c r="GMH82" s="38"/>
      <c r="GMI82" s="38"/>
      <c r="GMJ82" s="38"/>
      <c r="GMK82" s="38"/>
      <c r="GML82" s="38"/>
      <c r="GMM82" s="38"/>
      <c r="GMN82" s="38"/>
      <c r="GMO82" s="38"/>
      <c r="GMP82" s="38"/>
      <c r="GMQ82" s="38"/>
      <c r="GMR82" s="38"/>
      <c r="GMS82" s="38"/>
      <c r="GMT82" s="38"/>
      <c r="GMU82" s="38"/>
      <c r="GMV82" s="38"/>
      <c r="GMW82" s="38"/>
      <c r="GMX82" s="38"/>
      <c r="GMY82" s="38"/>
      <c r="GMZ82" s="38"/>
      <c r="GNA82" s="38"/>
      <c r="GNB82" s="38"/>
      <c r="GNC82" s="38"/>
      <c r="GND82" s="38"/>
      <c r="GNE82" s="38"/>
      <c r="GNF82" s="38"/>
      <c r="GNG82" s="38"/>
      <c r="GNH82" s="38"/>
      <c r="GNI82" s="38"/>
      <c r="GNJ82" s="38"/>
      <c r="GNK82" s="38"/>
      <c r="GNL82" s="38"/>
      <c r="GNM82" s="38"/>
      <c r="GNN82" s="38"/>
      <c r="GNO82" s="38"/>
      <c r="GNP82" s="38"/>
      <c r="GNQ82" s="38"/>
      <c r="GNR82" s="38"/>
      <c r="GNS82" s="38"/>
      <c r="GNT82" s="38"/>
      <c r="GNU82" s="38"/>
      <c r="GNV82" s="38"/>
      <c r="GNW82" s="38"/>
      <c r="GNX82" s="38"/>
      <c r="GNY82" s="38"/>
      <c r="GNZ82" s="38"/>
      <c r="GOA82" s="38"/>
      <c r="GOB82" s="38"/>
      <c r="GOC82" s="38"/>
      <c r="GOD82" s="38"/>
      <c r="GOE82" s="38"/>
      <c r="GOF82" s="38"/>
      <c r="GOG82" s="38"/>
      <c r="GOH82" s="38"/>
      <c r="GOI82" s="38"/>
      <c r="GOJ82" s="38"/>
      <c r="GOK82" s="38"/>
      <c r="GOL82" s="38"/>
      <c r="GOM82" s="38"/>
      <c r="GON82" s="38"/>
      <c r="GOO82" s="38"/>
      <c r="GOP82" s="38"/>
      <c r="GOQ82" s="38"/>
      <c r="GOR82" s="38"/>
      <c r="GOS82" s="38"/>
      <c r="GOT82" s="38"/>
      <c r="GOU82" s="38"/>
      <c r="GOV82" s="38"/>
      <c r="GOW82" s="38"/>
      <c r="GOX82" s="38"/>
      <c r="GOY82" s="38"/>
      <c r="GOZ82" s="38"/>
      <c r="GPA82" s="38"/>
      <c r="GPB82" s="38"/>
      <c r="GPC82" s="38"/>
      <c r="GPD82" s="38"/>
      <c r="GPE82" s="38"/>
      <c r="GPF82" s="38"/>
      <c r="GPG82" s="38"/>
      <c r="GPH82" s="38"/>
      <c r="GPI82" s="38"/>
      <c r="GPJ82" s="38"/>
      <c r="GPK82" s="38"/>
      <c r="GPL82" s="38"/>
      <c r="GPM82" s="38"/>
      <c r="GPN82" s="38"/>
      <c r="GPO82" s="38"/>
      <c r="GPP82" s="38"/>
      <c r="GPQ82" s="38"/>
      <c r="GPR82" s="38"/>
      <c r="GPS82" s="38"/>
      <c r="GPT82" s="38"/>
      <c r="GPU82" s="38"/>
      <c r="GPV82" s="38"/>
      <c r="GPW82" s="38"/>
      <c r="GPX82" s="38"/>
      <c r="GPY82" s="38"/>
      <c r="GPZ82" s="38"/>
      <c r="GQA82" s="38"/>
      <c r="GQB82" s="38"/>
      <c r="GQC82" s="38"/>
      <c r="GQD82" s="38"/>
      <c r="GQE82" s="38"/>
      <c r="GQF82" s="38"/>
      <c r="GQG82" s="38"/>
      <c r="GQH82" s="38"/>
      <c r="GQI82" s="38"/>
      <c r="GQJ82" s="38"/>
      <c r="GQK82" s="38"/>
      <c r="GQL82" s="38"/>
      <c r="GQM82" s="38"/>
      <c r="GQN82" s="38"/>
      <c r="GQO82" s="38"/>
      <c r="GQP82" s="38"/>
      <c r="GQQ82" s="38"/>
      <c r="GQR82" s="38"/>
      <c r="GQS82" s="38"/>
      <c r="GQT82" s="38"/>
      <c r="GQU82" s="38"/>
      <c r="GQV82" s="38"/>
      <c r="GQW82" s="38"/>
      <c r="GQX82" s="38"/>
      <c r="GQY82" s="38"/>
      <c r="GQZ82" s="38"/>
      <c r="GRA82" s="38"/>
      <c r="GRB82" s="38"/>
      <c r="GRC82" s="38"/>
      <c r="GRD82" s="38"/>
      <c r="GRE82" s="38"/>
      <c r="GRF82" s="38"/>
      <c r="GRG82" s="38"/>
      <c r="GRH82" s="38"/>
      <c r="GRI82" s="38"/>
      <c r="GRJ82" s="38"/>
      <c r="GRK82" s="38"/>
      <c r="GRL82" s="38"/>
      <c r="GRM82" s="38"/>
      <c r="GRN82" s="38"/>
      <c r="GRO82" s="38"/>
      <c r="GRP82" s="38"/>
      <c r="GRQ82" s="38"/>
      <c r="GRR82" s="38"/>
      <c r="GRS82" s="38"/>
      <c r="GRT82" s="38"/>
      <c r="GRU82" s="38"/>
      <c r="GRV82" s="38"/>
      <c r="GRW82" s="38"/>
      <c r="GRX82" s="38"/>
      <c r="GRY82" s="38"/>
      <c r="GRZ82" s="38"/>
      <c r="GSA82" s="38"/>
      <c r="GSB82" s="38"/>
      <c r="GSC82" s="38"/>
      <c r="GSD82" s="38"/>
      <c r="GSE82" s="38"/>
      <c r="GSF82" s="38"/>
      <c r="GSG82" s="38"/>
      <c r="GSH82" s="38"/>
      <c r="GSI82" s="38"/>
      <c r="GSJ82" s="38"/>
      <c r="GSK82" s="38"/>
      <c r="GSL82" s="38"/>
      <c r="GSM82" s="38"/>
      <c r="GSN82" s="38"/>
      <c r="GSO82" s="38"/>
      <c r="GSP82" s="38"/>
      <c r="GSQ82" s="38"/>
      <c r="GSR82" s="38"/>
      <c r="GSS82" s="38"/>
      <c r="GST82" s="38"/>
      <c r="GSU82" s="38"/>
      <c r="GSV82" s="38"/>
      <c r="GSW82" s="38"/>
      <c r="GSX82" s="38"/>
      <c r="GSY82" s="38"/>
      <c r="GSZ82" s="38"/>
      <c r="GTA82" s="38"/>
      <c r="GTB82" s="38"/>
      <c r="GTC82" s="38"/>
      <c r="GTD82" s="38"/>
      <c r="GTE82" s="38"/>
      <c r="GTF82" s="38"/>
      <c r="GTG82" s="38"/>
      <c r="GTH82" s="38"/>
      <c r="GTI82" s="38"/>
      <c r="GTJ82" s="38"/>
      <c r="GTK82" s="38"/>
      <c r="GTL82" s="38"/>
      <c r="GTM82" s="38"/>
      <c r="GTN82" s="38"/>
      <c r="GTO82" s="38"/>
      <c r="GTP82" s="38"/>
      <c r="GTQ82" s="38"/>
      <c r="GTR82" s="38"/>
      <c r="GTS82" s="38"/>
      <c r="GTT82" s="38"/>
      <c r="GTU82" s="38"/>
      <c r="GTV82" s="38"/>
      <c r="GTW82" s="38"/>
      <c r="GTX82" s="38"/>
      <c r="GTY82" s="38"/>
      <c r="GTZ82" s="38"/>
      <c r="GUA82" s="38"/>
      <c r="GUB82" s="38"/>
      <c r="GUC82" s="38"/>
      <c r="GUD82" s="38"/>
      <c r="GUE82" s="38"/>
      <c r="GUF82" s="38"/>
      <c r="GUG82" s="38"/>
      <c r="GUH82" s="38"/>
      <c r="GUI82" s="38"/>
      <c r="GUJ82" s="38"/>
      <c r="GUK82" s="38"/>
      <c r="GUL82" s="38"/>
      <c r="GUM82" s="38"/>
      <c r="GUN82" s="38"/>
      <c r="GUO82" s="38"/>
      <c r="GUP82" s="38"/>
      <c r="GUQ82" s="38"/>
      <c r="GUR82" s="38"/>
      <c r="GUS82" s="38"/>
      <c r="GUT82" s="38"/>
      <c r="GUU82" s="38"/>
      <c r="GUV82" s="38"/>
      <c r="GUW82" s="38"/>
      <c r="GUX82" s="38"/>
      <c r="GUY82" s="38"/>
      <c r="GUZ82" s="38"/>
      <c r="GVA82" s="38"/>
      <c r="GVB82" s="38"/>
      <c r="GVC82" s="38"/>
      <c r="GVD82" s="38"/>
      <c r="GVE82" s="38"/>
      <c r="GVF82" s="38"/>
      <c r="GVG82" s="38"/>
      <c r="GVH82" s="38"/>
      <c r="GVI82" s="38"/>
      <c r="GVJ82" s="38"/>
      <c r="GVK82" s="38"/>
      <c r="GVL82" s="38"/>
      <c r="GVM82" s="38"/>
      <c r="GVN82" s="38"/>
      <c r="GVO82" s="38"/>
      <c r="GVP82" s="38"/>
      <c r="GVQ82" s="38"/>
      <c r="GVR82" s="38"/>
      <c r="GVS82" s="38"/>
      <c r="GVT82" s="38"/>
      <c r="GVU82" s="38"/>
      <c r="GVV82" s="38"/>
      <c r="GVW82" s="38"/>
      <c r="GVX82" s="38"/>
      <c r="GVY82" s="38"/>
      <c r="GVZ82" s="38"/>
      <c r="GWA82" s="38"/>
      <c r="GWB82" s="38"/>
      <c r="GWC82" s="38"/>
      <c r="GWD82" s="38"/>
      <c r="GWE82" s="38"/>
      <c r="GWF82" s="38"/>
      <c r="GWG82" s="38"/>
      <c r="GWH82" s="38"/>
      <c r="GWI82" s="38"/>
      <c r="GWJ82" s="38"/>
      <c r="GWK82" s="38"/>
      <c r="GWL82" s="38"/>
      <c r="GWM82" s="38"/>
      <c r="GWN82" s="38"/>
      <c r="GWO82" s="38"/>
      <c r="GWP82" s="38"/>
      <c r="GWQ82" s="38"/>
      <c r="GWR82" s="38"/>
      <c r="GWS82" s="38"/>
      <c r="GWT82" s="38"/>
      <c r="GWU82" s="38"/>
      <c r="GWV82" s="38"/>
      <c r="GWW82" s="38"/>
      <c r="GWX82" s="38"/>
      <c r="GWY82" s="38"/>
      <c r="GWZ82" s="38"/>
      <c r="GXA82" s="38"/>
      <c r="GXB82" s="38"/>
      <c r="GXC82" s="38"/>
      <c r="GXD82" s="38"/>
      <c r="GXE82" s="38"/>
      <c r="GXF82" s="38"/>
      <c r="GXG82" s="38"/>
      <c r="GXH82" s="38"/>
      <c r="GXI82" s="38"/>
      <c r="GXJ82" s="38"/>
      <c r="GXK82" s="38"/>
      <c r="GXL82" s="38"/>
      <c r="GXM82" s="38"/>
      <c r="GXN82" s="38"/>
      <c r="GXO82" s="38"/>
      <c r="GXP82" s="38"/>
      <c r="GXQ82" s="38"/>
      <c r="GXR82" s="38"/>
      <c r="GXS82" s="38"/>
      <c r="GXT82" s="38"/>
      <c r="GXU82" s="38"/>
      <c r="GXV82" s="38"/>
      <c r="GXW82" s="38"/>
      <c r="GXX82" s="38"/>
      <c r="GXY82" s="38"/>
      <c r="GXZ82" s="38"/>
      <c r="GYA82" s="38"/>
      <c r="GYB82" s="38"/>
      <c r="GYC82" s="38"/>
      <c r="GYD82" s="38"/>
      <c r="GYE82" s="38"/>
      <c r="GYF82" s="38"/>
      <c r="GYG82" s="38"/>
      <c r="GYH82" s="38"/>
      <c r="GYI82" s="38"/>
      <c r="GYJ82" s="38"/>
      <c r="GYK82" s="38"/>
      <c r="GYL82" s="38"/>
      <c r="GYM82" s="38"/>
      <c r="GYN82" s="38"/>
      <c r="GYO82" s="38"/>
      <c r="GYP82" s="38"/>
      <c r="GYQ82" s="38"/>
      <c r="GYR82" s="38"/>
      <c r="GYS82" s="38"/>
      <c r="GYT82" s="38"/>
      <c r="GYU82" s="38"/>
      <c r="GYV82" s="38"/>
      <c r="GYW82" s="38"/>
      <c r="GYX82" s="38"/>
      <c r="GYY82" s="38"/>
      <c r="GYZ82" s="38"/>
      <c r="GZA82" s="38"/>
      <c r="GZB82" s="38"/>
      <c r="GZC82" s="38"/>
      <c r="GZD82" s="38"/>
      <c r="GZE82" s="38"/>
      <c r="GZF82" s="38"/>
      <c r="GZG82" s="38"/>
      <c r="GZH82" s="38"/>
      <c r="GZI82" s="38"/>
      <c r="GZJ82" s="38"/>
      <c r="GZK82" s="38"/>
      <c r="GZL82" s="38"/>
      <c r="GZM82" s="38"/>
      <c r="GZN82" s="38"/>
      <c r="GZO82" s="38"/>
      <c r="GZP82" s="38"/>
      <c r="GZQ82" s="38"/>
      <c r="GZR82" s="38"/>
      <c r="GZS82" s="38"/>
      <c r="GZT82" s="38"/>
      <c r="GZU82" s="38"/>
      <c r="GZV82" s="38"/>
      <c r="GZW82" s="38"/>
      <c r="GZX82" s="38"/>
      <c r="GZY82" s="38"/>
      <c r="GZZ82" s="38"/>
      <c r="HAA82" s="38"/>
      <c r="HAB82" s="38"/>
      <c r="HAC82" s="38"/>
      <c r="HAD82" s="38"/>
      <c r="HAE82" s="38"/>
      <c r="HAF82" s="38"/>
      <c r="HAG82" s="38"/>
      <c r="HAH82" s="38"/>
      <c r="HAI82" s="38"/>
      <c r="HAJ82" s="38"/>
      <c r="HAK82" s="38"/>
      <c r="HAL82" s="38"/>
      <c r="HAM82" s="38"/>
      <c r="HAN82" s="38"/>
      <c r="HAO82" s="38"/>
      <c r="HAP82" s="38"/>
      <c r="HAQ82" s="38"/>
      <c r="HAR82" s="38"/>
      <c r="HAS82" s="38"/>
      <c r="HAT82" s="38"/>
      <c r="HAU82" s="38"/>
      <c r="HAV82" s="38"/>
      <c r="HAW82" s="38"/>
      <c r="HAX82" s="38"/>
      <c r="HAY82" s="38"/>
      <c r="HAZ82" s="38"/>
      <c r="HBA82" s="38"/>
      <c r="HBB82" s="38"/>
      <c r="HBC82" s="38"/>
      <c r="HBD82" s="38"/>
      <c r="HBE82" s="38"/>
      <c r="HBF82" s="38"/>
      <c r="HBG82" s="38"/>
      <c r="HBH82" s="38"/>
      <c r="HBI82" s="38"/>
      <c r="HBJ82" s="38"/>
      <c r="HBK82" s="38"/>
      <c r="HBL82" s="38"/>
      <c r="HBM82" s="38"/>
      <c r="HBN82" s="38"/>
      <c r="HBO82" s="38"/>
      <c r="HBP82" s="38"/>
      <c r="HBQ82" s="38"/>
      <c r="HBR82" s="38"/>
      <c r="HBS82" s="38"/>
      <c r="HBT82" s="38"/>
      <c r="HBU82" s="38"/>
      <c r="HBV82" s="38"/>
      <c r="HBW82" s="38"/>
      <c r="HBX82" s="38"/>
      <c r="HBY82" s="38"/>
      <c r="HBZ82" s="38"/>
      <c r="HCA82" s="38"/>
      <c r="HCB82" s="38"/>
      <c r="HCC82" s="38"/>
      <c r="HCD82" s="38"/>
      <c r="HCE82" s="38"/>
      <c r="HCF82" s="38"/>
      <c r="HCG82" s="38"/>
      <c r="HCH82" s="38"/>
      <c r="HCI82" s="38"/>
      <c r="HCJ82" s="38"/>
      <c r="HCK82" s="38"/>
      <c r="HCL82" s="38"/>
      <c r="HCM82" s="38"/>
      <c r="HCN82" s="38"/>
      <c r="HCO82" s="38"/>
      <c r="HCP82" s="38"/>
      <c r="HCQ82" s="38"/>
      <c r="HCR82" s="38"/>
      <c r="HCS82" s="38"/>
      <c r="HCT82" s="38"/>
      <c r="HCU82" s="38"/>
      <c r="HCV82" s="38"/>
      <c r="HCW82" s="38"/>
      <c r="HCX82" s="38"/>
      <c r="HCY82" s="38"/>
      <c r="HCZ82" s="38"/>
      <c r="HDA82" s="38"/>
      <c r="HDB82" s="38"/>
      <c r="HDC82" s="38"/>
      <c r="HDD82" s="38"/>
      <c r="HDE82" s="38"/>
      <c r="HDF82" s="38"/>
      <c r="HDG82" s="38"/>
      <c r="HDH82" s="38"/>
      <c r="HDI82" s="38"/>
      <c r="HDJ82" s="38"/>
      <c r="HDK82" s="38"/>
      <c r="HDL82" s="38"/>
      <c r="HDM82" s="38"/>
      <c r="HDN82" s="38"/>
      <c r="HDO82" s="38"/>
      <c r="HDP82" s="38"/>
      <c r="HDQ82" s="38"/>
      <c r="HDR82" s="38"/>
      <c r="HDS82" s="38"/>
      <c r="HDT82" s="38"/>
      <c r="HDU82" s="38"/>
      <c r="HDV82" s="38"/>
      <c r="HDW82" s="38"/>
      <c r="HDX82" s="38"/>
      <c r="HDY82" s="38"/>
      <c r="HDZ82" s="38"/>
      <c r="HEA82" s="38"/>
      <c r="HEB82" s="38"/>
      <c r="HEC82" s="38"/>
      <c r="HED82" s="38"/>
      <c r="HEE82" s="38"/>
      <c r="HEF82" s="38"/>
      <c r="HEG82" s="38"/>
      <c r="HEH82" s="38"/>
      <c r="HEI82" s="38"/>
      <c r="HEJ82" s="38"/>
      <c r="HEK82" s="38"/>
      <c r="HEL82" s="38"/>
      <c r="HEM82" s="38"/>
      <c r="HEN82" s="38"/>
      <c r="HEO82" s="38"/>
      <c r="HEP82" s="38"/>
      <c r="HEQ82" s="38"/>
      <c r="HER82" s="38"/>
      <c r="HES82" s="38"/>
      <c r="HET82" s="38"/>
      <c r="HEU82" s="38"/>
      <c r="HEV82" s="38"/>
      <c r="HEW82" s="38"/>
      <c r="HEX82" s="38"/>
      <c r="HEY82" s="38"/>
      <c r="HEZ82" s="38"/>
      <c r="HFA82" s="38"/>
      <c r="HFB82" s="38"/>
      <c r="HFC82" s="38"/>
      <c r="HFD82" s="38"/>
      <c r="HFE82" s="38"/>
      <c r="HFF82" s="38"/>
      <c r="HFG82" s="38"/>
      <c r="HFH82" s="38"/>
      <c r="HFI82" s="38"/>
      <c r="HFJ82" s="38"/>
      <c r="HFK82" s="38"/>
      <c r="HFL82" s="38"/>
      <c r="HFM82" s="38"/>
      <c r="HFN82" s="38"/>
      <c r="HFO82" s="38"/>
      <c r="HFP82" s="38"/>
      <c r="HFQ82" s="38"/>
      <c r="HFR82" s="38"/>
      <c r="HFS82" s="38"/>
      <c r="HFT82" s="38"/>
      <c r="HFU82" s="38"/>
      <c r="HFV82" s="38"/>
      <c r="HFW82" s="38"/>
      <c r="HFX82" s="38"/>
      <c r="HFY82" s="38"/>
      <c r="HFZ82" s="38"/>
      <c r="HGA82" s="38"/>
      <c r="HGB82" s="38"/>
      <c r="HGC82" s="38"/>
      <c r="HGD82" s="38"/>
      <c r="HGE82" s="38"/>
      <c r="HGF82" s="38"/>
      <c r="HGG82" s="38"/>
      <c r="HGH82" s="38"/>
      <c r="HGI82" s="38"/>
      <c r="HGJ82" s="38"/>
      <c r="HGK82" s="38"/>
      <c r="HGL82" s="38"/>
      <c r="HGM82" s="38"/>
      <c r="HGN82" s="38"/>
      <c r="HGO82" s="38"/>
      <c r="HGP82" s="38"/>
      <c r="HGQ82" s="38"/>
      <c r="HGR82" s="38"/>
      <c r="HGS82" s="38"/>
      <c r="HGT82" s="38"/>
      <c r="HGU82" s="38"/>
      <c r="HGV82" s="38"/>
      <c r="HGW82" s="38"/>
      <c r="HGX82" s="38"/>
      <c r="HGY82" s="38"/>
      <c r="HGZ82" s="38"/>
      <c r="HHA82" s="38"/>
      <c r="HHB82" s="38"/>
      <c r="HHC82" s="38"/>
      <c r="HHD82" s="38"/>
      <c r="HHE82" s="38"/>
      <c r="HHF82" s="38"/>
      <c r="HHG82" s="38"/>
      <c r="HHH82" s="38"/>
      <c r="HHI82" s="38"/>
      <c r="HHJ82" s="38"/>
      <c r="HHK82" s="38"/>
      <c r="HHL82" s="38"/>
      <c r="HHM82" s="38"/>
      <c r="HHN82" s="38"/>
      <c r="HHO82" s="38"/>
      <c r="HHP82" s="38"/>
      <c r="HHQ82" s="38"/>
      <c r="HHR82" s="38"/>
      <c r="HHS82" s="38"/>
      <c r="HHT82" s="38"/>
      <c r="HHU82" s="38"/>
      <c r="HHV82" s="38"/>
      <c r="HHW82" s="38"/>
      <c r="HHX82" s="38"/>
      <c r="HHY82" s="38"/>
      <c r="HHZ82" s="38"/>
      <c r="HIA82" s="38"/>
      <c r="HIB82" s="38"/>
      <c r="HIC82" s="38"/>
      <c r="HID82" s="38"/>
      <c r="HIE82" s="38"/>
      <c r="HIF82" s="38"/>
      <c r="HIG82" s="38"/>
      <c r="HIH82" s="38"/>
      <c r="HII82" s="38"/>
      <c r="HIJ82" s="38"/>
      <c r="HIK82" s="38"/>
      <c r="HIL82" s="38"/>
      <c r="HIM82" s="38"/>
      <c r="HIN82" s="38"/>
      <c r="HIO82" s="38"/>
      <c r="HIP82" s="38"/>
      <c r="HIQ82" s="38"/>
      <c r="HIR82" s="38"/>
      <c r="HIS82" s="38"/>
      <c r="HIT82" s="38"/>
      <c r="HIU82" s="38"/>
      <c r="HIV82" s="38"/>
      <c r="HIW82" s="38"/>
      <c r="HIX82" s="38"/>
      <c r="HIY82" s="38"/>
      <c r="HIZ82" s="38"/>
      <c r="HJA82" s="38"/>
      <c r="HJB82" s="38"/>
      <c r="HJC82" s="38"/>
      <c r="HJD82" s="38"/>
      <c r="HJE82" s="38"/>
      <c r="HJF82" s="38"/>
      <c r="HJG82" s="38"/>
      <c r="HJH82" s="38"/>
      <c r="HJI82" s="38"/>
      <c r="HJJ82" s="38"/>
      <c r="HJK82" s="38"/>
      <c r="HJL82" s="38"/>
      <c r="HJM82" s="38"/>
      <c r="HJN82" s="38"/>
      <c r="HJO82" s="38"/>
      <c r="HJP82" s="38"/>
      <c r="HJQ82" s="38"/>
      <c r="HJR82" s="38"/>
      <c r="HJS82" s="38"/>
      <c r="HJT82" s="38"/>
      <c r="HJU82" s="38"/>
      <c r="HJV82" s="38"/>
      <c r="HJW82" s="38"/>
      <c r="HJX82" s="38"/>
      <c r="HJY82" s="38"/>
      <c r="HJZ82" s="38"/>
      <c r="HKA82" s="38"/>
      <c r="HKB82" s="38"/>
      <c r="HKC82" s="38"/>
      <c r="HKD82" s="38"/>
      <c r="HKE82" s="38"/>
      <c r="HKF82" s="38"/>
      <c r="HKG82" s="38"/>
      <c r="HKH82" s="38"/>
      <c r="HKI82" s="38"/>
      <c r="HKJ82" s="38"/>
      <c r="HKK82" s="38"/>
      <c r="HKL82" s="38"/>
      <c r="HKM82" s="38"/>
      <c r="HKN82" s="38"/>
      <c r="HKO82" s="38"/>
      <c r="HKP82" s="38"/>
      <c r="HKQ82" s="38"/>
      <c r="HKR82" s="38"/>
      <c r="HKS82" s="38"/>
      <c r="HKT82" s="38"/>
      <c r="HKU82" s="38"/>
      <c r="HKV82" s="38"/>
      <c r="HKW82" s="38"/>
      <c r="HKX82" s="38"/>
      <c r="HKY82" s="38"/>
      <c r="HKZ82" s="38"/>
      <c r="HLA82" s="38"/>
      <c r="HLB82" s="38"/>
      <c r="HLC82" s="38"/>
      <c r="HLD82" s="38"/>
      <c r="HLE82" s="38"/>
      <c r="HLF82" s="38"/>
      <c r="HLG82" s="38"/>
      <c r="HLH82" s="38"/>
      <c r="HLI82" s="38"/>
      <c r="HLJ82" s="38"/>
      <c r="HLK82" s="38"/>
      <c r="HLL82" s="38"/>
      <c r="HLM82" s="38"/>
      <c r="HLN82" s="38"/>
      <c r="HLO82" s="38"/>
      <c r="HLP82" s="38"/>
      <c r="HLQ82" s="38"/>
      <c r="HLR82" s="38"/>
      <c r="HLS82" s="38"/>
      <c r="HLT82" s="38"/>
      <c r="HLU82" s="38"/>
      <c r="HLV82" s="38"/>
      <c r="HLW82" s="38"/>
      <c r="HLX82" s="38"/>
      <c r="HLY82" s="38"/>
      <c r="HLZ82" s="38"/>
      <c r="HMA82" s="38"/>
      <c r="HMB82" s="38"/>
      <c r="HMC82" s="38"/>
      <c r="HMD82" s="38"/>
      <c r="HME82" s="38"/>
      <c r="HMF82" s="38"/>
      <c r="HMG82" s="38"/>
      <c r="HMH82" s="38"/>
      <c r="HMI82" s="38"/>
      <c r="HMJ82" s="38"/>
      <c r="HMK82" s="38"/>
      <c r="HML82" s="38"/>
      <c r="HMM82" s="38"/>
      <c r="HMN82" s="38"/>
      <c r="HMO82" s="38"/>
      <c r="HMP82" s="38"/>
      <c r="HMQ82" s="38"/>
      <c r="HMR82" s="38"/>
      <c r="HMS82" s="38"/>
      <c r="HMT82" s="38"/>
      <c r="HMU82" s="38"/>
      <c r="HMV82" s="38"/>
      <c r="HMW82" s="38"/>
      <c r="HMX82" s="38"/>
      <c r="HMY82" s="38"/>
      <c r="HMZ82" s="38"/>
      <c r="HNA82" s="38"/>
      <c r="HNB82" s="38"/>
      <c r="HNC82" s="38"/>
      <c r="HND82" s="38"/>
      <c r="HNE82" s="38"/>
      <c r="HNF82" s="38"/>
      <c r="HNG82" s="38"/>
      <c r="HNH82" s="38"/>
      <c r="HNI82" s="38"/>
      <c r="HNJ82" s="38"/>
      <c r="HNK82" s="38"/>
      <c r="HNL82" s="38"/>
      <c r="HNM82" s="38"/>
      <c r="HNN82" s="38"/>
      <c r="HNO82" s="38"/>
      <c r="HNP82" s="38"/>
      <c r="HNQ82" s="38"/>
      <c r="HNR82" s="38"/>
      <c r="HNS82" s="38"/>
      <c r="HNT82" s="38"/>
      <c r="HNU82" s="38"/>
      <c r="HNV82" s="38"/>
      <c r="HNW82" s="38"/>
      <c r="HNX82" s="38"/>
      <c r="HNY82" s="38"/>
      <c r="HNZ82" s="38"/>
      <c r="HOA82" s="38"/>
      <c r="HOB82" s="38"/>
      <c r="HOC82" s="38"/>
      <c r="HOD82" s="38"/>
      <c r="HOE82" s="38"/>
      <c r="HOF82" s="38"/>
      <c r="HOG82" s="38"/>
      <c r="HOH82" s="38"/>
      <c r="HOI82" s="38"/>
      <c r="HOJ82" s="38"/>
      <c r="HOK82" s="38"/>
      <c r="HOL82" s="38"/>
      <c r="HOM82" s="38"/>
      <c r="HON82" s="38"/>
      <c r="HOO82" s="38"/>
      <c r="HOP82" s="38"/>
      <c r="HOQ82" s="38"/>
      <c r="HOR82" s="38"/>
      <c r="HOS82" s="38"/>
      <c r="HOT82" s="38"/>
      <c r="HOU82" s="38"/>
      <c r="HOV82" s="38"/>
      <c r="HOW82" s="38"/>
      <c r="HOX82" s="38"/>
      <c r="HOY82" s="38"/>
      <c r="HOZ82" s="38"/>
      <c r="HPA82" s="38"/>
      <c r="HPB82" s="38"/>
      <c r="HPC82" s="38"/>
      <c r="HPD82" s="38"/>
      <c r="HPE82" s="38"/>
      <c r="HPF82" s="38"/>
      <c r="HPG82" s="38"/>
      <c r="HPH82" s="38"/>
      <c r="HPI82" s="38"/>
      <c r="HPJ82" s="38"/>
      <c r="HPK82" s="38"/>
      <c r="HPL82" s="38"/>
      <c r="HPM82" s="38"/>
      <c r="HPN82" s="38"/>
      <c r="HPO82" s="38"/>
      <c r="HPP82" s="38"/>
      <c r="HPQ82" s="38"/>
      <c r="HPR82" s="38"/>
      <c r="HPS82" s="38"/>
      <c r="HPT82" s="38"/>
      <c r="HPU82" s="38"/>
      <c r="HPV82" s="38"/>
      <c r="HPW82" s="38"/>
      <c r="HPX82" s="38"/>
      <c r="HPY82" s="38"/>
      <c r="HPZ82" s="38"/>
      <c r="HQA82" s="38"/>
      <c r="HQB82" s="38"/>
      <c r="HQC82" s="38"/>
      <c r="HQD82" s="38"/>
      <c r="HQE82" s="38"/>
      <c r="HQF82" s="38"/>
      <c r="HQG82" s="38"/>
      <c r="HQH82" s="38"/>
      <c r="HQI82" s="38"/>
      <c r="HQJ82" s="38"/>
      <c r="HQK82" s="38"/>
      <c r="HQL82" s="38"/>
      <c r="HQM82" s="38"/>
      <c r="HQN82" s="38"/>
      <c r="HQO82" s="38"/>
      <c r="HQP82" s="38"/>
      <c r="HQQ82" s="38"/>
      <c r="HQR82" s="38"/>
      <c r="HQS82" s="38"/>
      <c r="HQT82" s="38"/>
      <c r="HQU82" s="38"/>
      <c r="HQV82" s="38"/>
      <c r="HQW82" s="38"/>
      <c r="HQX82" s="38"/>
      <c r="HQY82" s="38"/>
      <c r="HQZ82" s="38"/>
      <c r="HRA82" s="38"/>
      <c r="HRB82" s="38"/>
      <c r="HRC82" s="38"/>
      <c r="HRD82" s="38"/>
      <c r="HRE82" s="38"/>
      <c r="HRF82" s="38"/>
      <c r="HRG82" s="38"/>
      <c r="HRH82" s="38"/>
      <c r="HRI82" s="38"/>
      <c r="HRJ82" s="38"/>
      <c r="HRK82" s="38"/>
      <c r="HRL82" s="38"/>
      <c r="HRM82" s="38"/>
      <c r="HRN82" s="38"/>
      <c r="HRO82" s="38"/>
      <c r="HRP82" s="38"/>
      <c r="HRQ82" s="38"/>
      <c r="HRR82" s="38"/>
      <c r="HRS82" s="38"/>
      <c r="HRT82" s="38"/>
      <c r="HRU82" s="38"/>
      <c r="HRV82" s="38"/>
      <c r="HRW82" s="38"/>
      <c r="HRX82" s="38"/>
      <c r="HRY82" s="38"/>
      <c r="HRZ82" s="38"/>
      <c r="HSA82" s="38"/>
      <c r="HSB82" s="38"/>
      <c r="HSC82" s="38"/>
      <c r="HSD82" s="38"/>
      <c r="HSE82" s="38"/>
      <c r="HSF82" s="38"/>
      <c r="HSG82" s="38"/>
      <c r="HSH82" s="38"/>
      <c r="HSI82" s="38"/>
      <c r="HSJ82" s="38"/>
      <c r="HSK82" s="38"/>
      <c r="HSL82" s="38"/>
      <c r="HSM82" s="38"/>
      <c r="HSN82" s="38"/>
      <c r="HSO82" s="38"/>
      <c r="HSP82" s="38"/>
      <c r="HSQ82" s="38"/>
      <c r="HSR82" s="38"/>
      <c r="HSS82" s="38"/>
      <c r="HST82" s="38"/>
      <c r="HSU82" s="38"/>
      <c r="HSV82" s="38"/>
      <c r="HSW82" s="38"/>
      <c r="HSX82" s="38"/>
      <c r="HSY82" s="38"/>
      <c r="HSZ82" s="38"/>
      <c r="HTA82" s="38"/>
      <c r="HTB82" s="38"/>
      <c r="HTC82" s="38"/>
      <c r="HTD82" s="38"/>
      <c r="HTE82" s="38"/>
      <c r="HTF82" s="38"/>
      <c r="HTG82" s="38"/>
      <c r="HTH82" s="38"/>
      <c r="HTI82" s="38"/>
      <c r="HTJ82" s="38"/>
      <c r="HTK82" s="38"/>
      <c r="HTL82" s="38"/>
      <c r="HTM82" s="38"/>
      <c r="HTN82" s="38"/>
      <c r="HTO82" s="38"/>
      <c r="HTP82" s="38"/>
      <c r="HTQ82" s="38"/>
      <c r="HTR82" s="38"/>
      <c r="HTS82" s="38"/>
      <c r="HTT82" s="38"/>
      <c r="HTU82" s="38"/>
      <c r="HTV82" s="38"/>
      <c r="HTW82" s="38"/>
      <c r="HTX82" s="38"/>
      <c r="HTY82" s="38"/>
      <c r="HTZ82" s="38"/>
      <c r="HUA82" s="38"/>
      <c r="HUB82" s="38"/>
      <c r="HUC82" s="38"/>
      <c r="HUD82" s="38"/>
      <c r="HUE82" s="38"/>
      <c r="HUF82" s="38"/>
      <c r="HUG82" s="38"/>
      <c r="HUH82" s="38"/>
      <c r="HUI82" s="38"/>
      <c r="HUJ82" s="38"/>
      <c r="HUK82" s="38"/>
      <c r="HUL82" s="38"/>
      <c r="HUM82" s="38"/>
      <c r="HUN82" s="38"/>
      <c r="HUO82" s="38"/>
      <c r="HUP82" s="38"/>
      <c r="HUQ82" s="38"/>
      <c r="HUR82" s="38"/>
      <c r="HUS82" s="38"/>
      <c r="HUT82" s="38"/>
      <c r="HUU82" s="38"/>
      <c r="HUV82" s="38"/>
      <c r="HUW82" s="38"/>
      <c r="HUX82" s="38"/>
      <c r="HUY82" s="38"/>
      <c r="HUZ82" s="38"/>
      <c r="HVA82" s="38"/>
      <c r="HVB82" s="38"/>
      <c r="HVC82" s="38"/>
      <c r="HVD82" s="38"/>
      <c r="HVE82" s="38"/>
      <c r="HVF82" s="38"/>
      <c r="HVG82" s="38"/>
      <c r="HVH82" s="38"/>
      <c r="HVI82" s="38"/>
      <c r="HVJ82" s="38"/>
      <c r="HVK82" s="38"/>
      <c r="HVL82" s="38"/>
      <c r="HVM82" s="38"/>
      <c r="HVN82" s="38"/>
      <c r="HVO82" s="38"/>
      <c r="HVP82" s="38"/>
      <c r="HVQ82" s="38"/>
      <c r="HVR82" s="38"/>
      <c r="HVS82" s="38"/>
      <c r="HVT82" s="38"/>
      <c r="HVU82" s="38"/>
      <c r="HVV82" s="38"/>
      <c r="HVW82" s="38"/>
      <c r="HVX82" s="38"/>
      <c r="HVY82" s="38"/>
      <c r="HVZ82" s="38"/>
      <c r="HWA82" s="38"/>
      <c r="HWB82" s="38"/>
      <c r="HWC82" s="38"/>
      <c r="HWD82" s="38"/>
      <c r="HWE82" s="38"/>
      <c r="HWF82" s="38"/>
      <c r="HWG82" s="38"/>
      <c r="HWH82" s="38"/>
      <c r="HWI82" s="38"/>
      <c r="HWJ82" s="38"/>
      <c r="HWK82" s="38"/>
      <c r="HWL82" s="38"/>
      <c r="HWM82" s="38"/>
      <c r="HWN82" s="38"/>
      <c r="HWO82" s="38"/>
      <c r="HWP82" s="38"/>
      <c r="HWQ82" s="38"/>
      <c r="HWR82" s="38"/>
      <c r="HWS82" s="38"/>
      <c r="HWT82" s="38"/>
      <c r="HWU82" s="38"/>
      <c r="HWV82" s="38"/>
      <c r="HWW82" s="38"/>
      <c r="HWX82" s="38"/>
      <c r="HWY82" s="38"/>
      <c r="HWZ82" s="38"/>
      <c r="HXA82" s="38"/>
      <c r="HXB82" s="38"/>
      <c r="HXC82" s="38"/>
      <c r="HXD82" s="38"/>
      <c r="HXE82" s="38"/>
      <c r="HXF82" s="38"/>
      <c r="HXG82" s="38"/>
      <c r="HXH82" s="38"/>
      <c r="HXI82" s="38"/>
      <c r="HXJ82" s="38"/>
      <c r="HXK82" s="38"/>
      <c r="HXL82" s="38"/>
      <c r="HXM82" s="38"/>
      <c r="HXN82" s="38"/>
      <c r="HXO82" s="38"/>
      <c r="HXP82" s="38"/>
      <c r="HXQ82" s="38"/>
      <c r="HXR82" s="38"/>
      <c r="HXS82" s="38"/>
      <c r="HXT82" s="38"/>
      <c r="HXU82" s="38"/>
      <c r="HXV82" s="38"/>
      <c r="HXW82" s="38"/>
      <c r="HXX82" s="38"/>
      <c r="HXY82" s="38"/>
      <c r="HXZ82" s="38"/>
      <c r="HYA82" s="38"/>
      <c r="HYB82" s="38"/>
      <c r="HYC82" s="38"/>
      <c r="HYD82" s="38"/>
      <c r="HYE82" s="38"/>
      <c r="HYF82" s="38"/>
      <c r="HYG82" s="38"/>
      <c r="HYH82" s="38"/>
      <c r="HYI82" s="38"/>
      <c r="HYJ82" s="38"/>
      <c r="HYK82" s="38"/>
      <c r="HYL82" s="38"/>
      <c r="HYM82" s="38"/>
      <c r="HYN82" s="38"/>
      <c r="HYO82" s="38"/>
      <c r="HYP82" s="38"/>
      <c r="HYQ82" s="38"/>
      <c r="HYR82" s="38"/>
      <c r="HYS82" s="38"/>
      <c r="HYT82" s="38"/>
      <c r="HYU82" s="38"/>
      <c r="HYV82" s="38"/>
      <c r="HYW82" s="38"/>
      <c r="HYX82" s="38"/>
      <c r="HYY82" s="38"/>
      <c r="HYZ82" s="38"/>
      <c r="HZA82" s="38"/>
      <c r="HZB82" s="38"/>
      <c r="HZC82" s="38"/>
      <c r="HZD82" s="38"/>
      <c r="HZE82" s="38"/>
      <c r="HZF82" s="38"/>
      <c r="HZG82" s="38"/>
      <c r="HZH82" s="38"/>
      <c r="HZI82" s="38"/>
      <c r="HZJ82" s="38"/>
      <c r="HZK82" s="38"/>
      <c r="HZL82" s="38"/>
      <c r="HZM82" s="38"/>
      <c r="HZN82" s="38"/>
      <c r="HZO82" s="38"/>
      <c r="HZP82" s="38"/>
      <c r="HZQ82" s="38"/>
      <c r="HZR82" s="38"/>
      <c r="HZS82" s="38"/>
      <c r="HZT82" s="38"/>
      <c r="HZU82" s="38"/>
      <c r="HZV82" s="38"/>
      <c r="HZW82" s="38"/>
      <c r="HZX82" s="38"/>
      <c r="HZY82" s="38"/>
      <c r="HZZ82" s="38"/>
      <c r="IAA82" s="38"/>
      <c r="IAB82" s="38"/>
      <c r="IAC82" s="38"/>
      <c r="IAD82" s="38"/>
      <c r="IAE82" s="38"/>
      <c r="IAF82" s="38"/>
      <c r="IAG82" s="38"/>
      <c r="IAH82" s="38"/>
      <c r="IAI82" s="38"/>
      <c r="IAJ82" s="38"/>
      <c r="IAK82" s="38"/>
      <c r="IAL82" s="38"/>
      <c r="IAM82" s="38"/>
      <c r="IAN82" s="38"/>
      <c r="IAO82" s="38"/>
      <c r="IAP82" s="38"/>
      <c r="IAQ82" s="38"/>
      <c r="IAR82" s="38"/>
      <c r="IAS82" s="38"/>
      <c r="IAT82" s="38"/>
      <c r="IAU82" s="38"/>
      <c r="IAV82" s="38"/>
      <c r="IAW82" s="38"/>
      <c r="IAX82" s="38"/>
      <c r="IAY82" s="38"/>
      <c r="IAZ82" s="38"/>
      <c r="IBA82" s="38"/>
      <c r="IBB82" s="38"/>
      <c r="IBC82" s="38"/>
      <c r="IBD82" s="38"/>
      <c r="IBE82" s="38"/>
      <c r="IBF82" s="38"/>
      <c r="IBG82" s="38"/>
      <c r="IBH82" s="38"/>
      <c r="IBI82" s="38"/>
      <c r="IBJ82" s="38"/>
      <c r="IBK82" s="38"/>
      <c r="IBL82" s="38"/>
      <c r="IBM82" s="38"/>
      <c r="IBN82" s="38"/>
      <c r="IBO82" s="38"/>
      <c r="IBP82" s="38"/>
      <c r="IBQ82" s="38"/>
      <c r="IBR82" s="38"/>
      <c r="IBS82" s="38"/>
      <c r="IBT82" s="38"/>
      <c r="IBU82" s="38"/>
      <c r="IBV82" s="38"/>
      <c r="IBW82" s="38"/>
      <c r="IBX82" s="38"/>
      <c r="IBY82" s="38"/>
      <c r="IBZ82" s="38"/>
      <c r="ICA82" s="38"/>
      <c r="ICB82" s="38"/>
      <c r="ICC82" s="38"/>
      <c r="ICD82" s="38"/>
      <c r="ICE82" s="38"/>
      <c r="ICF82" s="38"/>
      <c r="ICG82" s="38"/>
      <c r="ICH82" s="38"/>
      <c r="ICI82" s="38"/>
      <c r="ICJ82" s="38"/>
      <c r="ICK82" s="38"/>
      <c r="ICL82" s="38"/>
      <c r="ICM82" s="38"/>
      <c r="ICN82" s="38"/>
      <c r="ICO82" s="38"/>
      <c r="ICP82" s="38"/>
      <c r="ICQ82" s="38"/>
      <c r="ICR82" s="38"/>
      <c r="ICS82" s="38"/>
      <c r="ICT82" s="38"/>
      <c r="ICU82" s="38"/>
      <c r="ICV82" s="38"/>
      <c r="ICW82" s="38"/>
      <c r="ICX82" s="38"/>
      <c r="ICY82" s="38"/>
      <c r="ICZ82" s="38"/>
      <c r="IDA82" s="38"/>
      <c r="IDB82" s="38"/>
      <c r="IDC82" s="38"/>
      <c r="IDD82" s="38"/>
      <c r="IDE82" s="38"/>
      <c r="IDF82" s="38"/>
      <c r="IDG82" s="38"/>
      <c r="IDH82" s="38"/>
      <c r="IDI82" s="38"/>
      <c r="IDJ82" s="38"/>
      <c r="IDK82" s="38"/>
      <c r="IDL82" s="38"/>
      <c r="IDM82" s="38"/>
      <c r="IDN82" s="38"/>
      <c r="IDO82" s="38"/>
      <c r="IDP82" s="38"/>
      <c r="IDQ82" s="38"/>
      <c r="IDR82" s="38"/>
      <c r="IDS82" s="38"/>
      <c r="IDT82" s="38"/>
      <c r="IDU82" s="38"/>
      <c r="IDV82" s="38"/>
      <c r="IDW82" s="38"/>
      <c r="IDX82" s="38"/>
      <c r="IDY82" s="38"/>
      <c r="IDZ82" s="38"/>
      <c r="IEA82" s="38"/>
      <c r="IEB82" s="38"/>
      <c r="IEC82" s="38"/>
      <c r="IED82" s="38"/>
      <c r="IEE82" s="38"/>
      <c r="IEF82" s="38"/>
      <c r="IEG82" s="38"/>
      <c r="IEH82" s="38"/>
      <c r="IEI82" s="38"/>
      <c r="IEJ82" s="38"/>
      <c r="IEK82" s="38"/>
      <c r="IEL82" s="38"/>
      <c r="IEM82" s="38"/>
      <c r="IEN82" s="38"/>
      <c r="IEO82" s="38"/>
      <c r="IEP82" s="38"/>
      <c r="IEQ82" s="38"/>
      <c r="IER82" s="38"/>
      <c r="IES82" s="38"/>
      <c r="IET82" s="38"/>
      <c r="IEU82" s="38"/>
      <c r="IEV82" s="38"/>
      <c r="IEW82" s="38"/>
      <c r="IEX82" s="38"/>
      <c r="IEY82" s="38"/>
      <c r="IEZ82" s="38"/>
      <c r="IFA82" s="38"/>
      <c r="IFB82" s="38"/>
      <c r="IFC82" s="38"/>
      <c r="IFD82" s="38"/>
      <c r="IFE82" s="38"/>
      <c r="IFF82" s="38"/>
      <c r="IFG82" s="38"/>
      <c r="IFH82" s="38"/>
      <c r="IFI82" s="38"/>
      <c r="IFJ82" s="38"/>
      <c r="IFK82" s="38"/>
      <c r="IFL82" s="38"/>
      <c r="IFM82" s="38"/>
      <c r="IFN82" s="38"/>
      <c r="IFO82" s="38"/>
      <c r="IFP82" s="38"/>
      <c r="IFQ82" s="38"/>
      <c r="IFR82" s="38"/>
      <c r="IFS82" s="38"/>
      <c r="IFT82" s="38"/>
      <c r="IFU82" s="38"/>
      <c r="IFV82" s="38"/>
      <c r="IFW82" s="38"/>
      <c r="IFX82" s="38"/>
      <c r="IFY82" s="38"/>
      <c r="IFZ82" s="38"/>
      <c r="IGA82" s="38"/>
      <c r="IGB82" s="38"/>
      <c r="IGC82" s="38"/>
      <c r="IGD82" s="38"/>
      <c r="IGE82" s="38"/>
      <c r="IGF82" s="38"/>
      <c r="IGG82" s="38"/>
      <c r="IGH82" s="38"/>
      <c r="IGI82" s="38"/>
      <c r="IGJ82" s="38"/>
      <c r="IGK82" s="38"/>
      <c r="IGL82" s="38"/>
      <c r="IGM82" s="38"/>
      <c r="IGN82" s="38"/>
      <c r="IGO82" s="38"/>
      <c r="IGP82" s="38"/>
      <c r="IGQ82" s="38"/>
      <c r="IGR82" s="38"/>
      <c r="IGS82" s="38"/>
      <c r="IGT82" s="38"/>
      <c r="IGU82" s="38"/>
      <c r="IGV82" s="38"/>
      <c r="IGW82" s="38"/>
      <c r="IGX82" s="38"/>
      <c r="IGY82" s="38"/>
      <c r="IGZ82" s="38"/>
      <c r="IHA82" s="38"/>
      <c r="IHB82" s="38"/>
      <c r="IHC82" s="38"/>
      <c r="IHD82" s="38"/>
      <c r="IHE82" s="38"/>
      <c r="IHF82" s="38"/>
      <c r="IHG82" s="38"/>
      <c r="IHH82" s="38"/>
      <c r="IHI82" s="38"/>
      <c r="IHJ82" s="38"/>
      <c r="IHK82" s="38"/>
      <c r="IHL82" s="38"/>
      <c r="IHM82" s="38"/>
      <c r="IHN82" s="38"/>
      <c r="IHO82" s="38"/>
      <c r="IHP82" s="38"/>
      <c r="IHQ82" s="38"/>
      <c r="IHR82" s="38"/>
      <c r="IHS82" s="38"/>
      <c r="IHT82" s="38"/>
      <c r="IHU82" s="38"/>
      <c r="IHV82" s="38"/>
      <c r="IHW82" s="38"/>
      <c r="IHX82" s="38"/>
      <c r="IHY82" s="38"/>
      <c r="IHZ82" s="38"/>
      <c r="IIA82" s="38"/>
      <c r="IIB82" s="38"/>
      <c r="IIC82" s="38"/>
      <c r="IID82" s="38"/>
      <c r="IIE82" s="38"/>
      <c r="IIF82" s="38"/>
      <c r="IIG82" s="38"/>
      <c r="IIH82" s="38"/>
      <c r="III82" s="38"/>
      <c r="IIJ82" s="38"/>
      <c r="IIK82" s="38"/>
      <c r="IIL82" s="38"/>
      <c r="IIM82" s="38"/>
      <c r="IIN82" s="38"/>
      <c r="IIO82" s="38"/>
      <c r="IIP82" s="38"/>
      <c r="IIQ82" s="38"/>
      <c r="IIR82" s="38"/>
      <c r="IIS82" s="38"/>
      <c r="IIT82" s="38"/>
      <c r="IIU82" s="38"/>
      <c r="IIV82" s="38"/>
      <c r="IIW82" s="38"/>
      <c r="IIX82" s="38"/>
      <c r="IIY82" s="38"/>
      <c r="IIZ82" s="38"/>
      <c r="IJA82" s="38"/>
      <c r="IJB82" s="38"/>
      <c r="IJC82" s="38"/>
      <c r="IJD82" s="38"/>
      <c r="IJE82" s="38"/>
      <c r="IJF82" s="38"/>
      <c r="IJG82" s="38"/>
      <c r="IJH82" s="38"/>
      <c r="IJI82" s="38"/>
      <c r="IJJ82" s="38"/>
      <c r="IJK82" s="38"/>
      <c r="IJL82" s="38"/>
      <c r="IJM82" s="38"/>
      <c r="IJN82" s="38"/>
      <c r="IJO82" s="38"/>
      <c r="IJP82" s="38"/>
      <c r="IJQ82" s="38"/>
      <c r="IJR82" s="38"/>
      <c r="IJS82" s="38"/>
      <c r="IJT82" s="38"/>
      <c r="IJU82" s="38"/>
      <c r="IJV82" s="38"/>
      <c r="IJW82" s="38"/>
      <c r="IJX82" s="38"/>
      <c r="IJY82" s="38"/>
      <c r="IJZ82" s="38"/>
      <c r="IKA82" s="38"/>
      <c r="IKB82" s="38"/>
      <c r="IKC82" s="38"/>
      <c r="IKD82" s="38"/>
      <c r="IKE82" s="38"/>
      <c r="IKF82" s="38"/>
      <c r="IKG82" s="38"/>
      <c r="IKH82" s="38"/>
      <c r="IKI82" s="38"/>
      <c r="IKJ82" s="38"/>
      <c r="IKK82" s="38"/>
      <c r="IKL82" s="38"/>
      <c r="IKM82" s="38"/>
      <c r="IKN82" s="38"/>
      <c r="IKO82" s="38"/>
      <c r="IKP82" s="38"/>
      <c r="IKQ82" s="38"/>
      <c r="IKR82" s="38"/>
      <c r="IKS82" s="38"/>
      <c r="IKT82" s="38"/>
      <c r="IKU82" s="38"/>
      <c r="IKV82" s="38"/>
      <c r="IKW82" s="38"/>
      <c r="IKX82" s="38"/>
      <c r="IKY82" s="38"/>
      <c r="IKZ82" s="38"/>
      <c r="ILA82" s="38"/>
      <c r="ILB82" s="38"/>
      <c r="ILC82" s="38"/>
      <c r="ILD82" s="38"/>
      <c r="ILE82" s="38"/>
      <c r="ILF82" s="38"/>
      <c r="ILG82" s="38"/>
      <c r="ILH82" s="38"/>
      <c r="ILI82" s="38"/>
      <c r="ILJ82" s="38"/>
      <c r="ILK82" s="38"/>
      <c r="ILL82" s="38"/>
      <c r="ILM82" s="38"/>
      <c r="ILN82" s="38"/>
      <c r="ILO82" s="38"/>
      <c r="ILP82" s="38"/>
      <c r="ILQ82" s="38"/>
      <c r="ILR82" s="38"/>
      <c r="ILS82" s="38"/>
      <c r="ILT82" s="38"/>
      <c r="ILU82" s="38"/>
      <c r="ILV82" s="38"/>
      <c r="ILW82" s="38"/>
      <c r="ILX82" s="38"/>
      <c r="ILY82" s="38"/>
      <c r="ILZ82" s="38"/>
      <c r="IMA82" s="38"/>
      <c r="IMB82" s="38"/>
      <c r="IMC82" s="38"/>
      <c r="IMD82" s="38"/>
      <c r="IME82" s="38"/>
      <c r="IMF82" s="38"/>
      <c r="IMG82" s="38"/>
      <c r="IMH82" s="38"/>
      <c r="IMI82" s="38"/>
      <c r="IMJ82" s="38"/>
      <c r="IMK82" s="38"/>
      <c r="IML82" s="38"/>
      <c r="IMM82" s="38"/>
      <c r="IMN82" s="38"/>
      <c r="IMO82" s="38"/>
      <c r="IMP82" s="38"/>
      <c r="IMQ82" s="38"/>
      <c r="IMR82" s="38"/>
      <c r="IMS82" s="38"/>
      <c r="IMT82" s="38"/>
      <c r="IMU82" s="38"/>
      <c r="IMV82" s="38"/>
      <c r="IMW82" s="38"/>
      <c r="IMX82" s="38"/>
      <c r="IMY82" s="38"/>
      <c r="IMZ82" s="38"/>
      <c r="INA82" s="38"/>
      <c r="INB82" s="38"/>
      <c r="INC82" s="38"/>
      <c r="IND82" s="38"/>
      <c r="INE82" s="38"/>
      <c r="INF82" s="38"/>
      <c r="ING82" s="38"/>
      <c r="INH82" s="38"/>
      <c r="INI82" s="38"/>
      <c r="INJ82" s="38"/>
      <c r="INK82" s="38"/>
      <c r="INL82" s="38"/>
      <c r="INM82" s="38"/>
      <c r="INN82" s="38"/>
      <c r="INO82" s="38"/>
      <c r="INP82" s="38"/>
      <c r="INQ82" s="38"/>
      <c r="INR82" s="38"/>
      <c r="INS82" s="38"/>
      <c r="INT82" s="38"/>
      <c r="INU82" s="38"/>
      <c r="INV82" s="38"/>
      <c r="INW82" s="38"/>
      <c r="INX82" s="38"/>
      <c r="INY82" s="38"/>
      <c r="INZ82" s="38"/>
      <c r="IOA82" s="38"/>
      <c r="IOB82" s="38"/>
      <c r="IOC82" s="38"/>
      <c r="IOD82" s="38"/>
      <c r="IOE82" s="38"/>
      <c r="IOF82" s="38"/>
      <c r="IOG82" s="38"/>
      <c r="IOH82" s="38"/>
      <c r="IOI82" s="38"/>
      <c r="IOJ82" s="38"/>
      <c r="IOK82" s="38"/>
      <c r="IOL82" s="38"/>
      <c r="IOM82" s="38"/>
      <c r="ION82" s="38"/>
      <c r="IOO82" s="38"/>
      <c r="IOP82" s="38"/>
      <c r="IOQ82" s="38"/>
      <c r="IOR82" s="38"/>
      <c r="IOS82" s="38"/>
      <c r="IOT82" s="38"/>
      <c r="IOU82" s="38"/>
      <c r="IOV82" s="38"/>
      <c r="IOW82" s="38"/>
      <c r="IOX82" s="38"/>
      <c r="IOY82" s="38"/>
      <c r="IOZ82" s="38"/>
      <c r="IPA82" s="38"/>
      <c r="IPB82" s="38"/>
      <c r="IPC82" s="38"/>
      <c r="IPD82" s="38"/>
      <c r="IPE82" s="38"/>
      <c r="IPF82" s="38"/>
      <c r="IPG82" s="38"/>
      <c r="IPH82" s="38"/>
      <c r="IPI82" s="38"/>
      <c r="IPJ82" s="38"/>
      <c r="IPK82" s="38"/>
      <c r="IPL82" s="38"/>
      <c r="IPM82" s="38"/>
      <c r="IPN82" s="38"/>
      <c r="IPO82" s="38"/>
      <c r="IPP82" s="38"/>
      <c r="IPQ82" s="38"/>
      <c r="IPR82" s="38"/>
      <c r="IPS82" s="38"/>
      <c r="IPT82" s="38"/>
      <c r="IPU82" s="38"/>
      <c r="IPV82" s="38"/>
      <c r="IPW82" s="38"/>
      <c r="IPX82" s="38"/>
      <c r="IPY82" s="38"/>
      <c r="IPZ82" s="38"/>
      <c r="IQA82" s="38"/>
      <c r="IQB82" s="38"/>
      <c r="IQC82" s="38"/>
      <c r="IQD82" s="38"/>
      <c r="IQE82" s="38"/>
      <c r="IQF82" s="38"/>
      <c r="IQG82" s="38"/>
      <c r="IQH82" s="38"/>
      <c r="IQI82" s="38"/>
      <c r="IQJ82" s="38"/>
      <c r="IQK82" s="38"/>
      <c r="IQL82" s="38"/>
      <c r="IQM82" s="38"/>
      <c r="IQN82" s="38"/>
      <c r="IQO82" s="38"/>
      <c r="IQP82" s="38"/>
      <c r="IQQ82" s="38"/>
      <c r="IQR82" s="38"/>
      <c r="IQS82" s="38"/>
      <c r="IQT82" s="38"/>
      <c r="IQU82" s="38"/>
      <c r="IQV82" s="38"/>
      <c r="IQW82" s="38"/>
      <c r="IQX82" s="38"/>
      <c r="IQY82" s="38"/>
      <c r="IQZ82" s="38"/>
      <c r="IRA82" s="38"/>
      <c r="IRB82" s="38"/>
      <c r="IRC82" s="38"/>
      <c r="IRD82" s="38"/>
      <c r="IRE82" s="38"/>
      <c r="IRF82" s="38"/>
      <c r="IRG82" s="38"/>
      <c r="IRH82" s="38"/>
      <c r="IRI82" s="38"/>
      <c r="IRJ82" s="38"/>
      <c r="IRK82" s="38"/>
      <c r="IRL82" s="38"/>
      <c r="IRM82" s="38"/>
      <c r="IRN82" s="38"/>
      <c r="IRO82" s="38"/>
      <c r="IRP82" s="38"/>
      <c r="IRQ82" s="38"/>
      <c r="IRR82" s="38"/>
      <c r="IRS82" s="38"/>
      <c r="IRT82" s="38"/>
      <c r="IRU82" s="38"/>
      <c r="IRV82" s="38"/>
      <c r="IRW82" s="38"/>
      <c r="IRX82" s="38"/>
      <c r="IRY82" s="38"/>
      <c r="IRZ82" s="38"/>
      <c r="ISA82" s="38"/>
      <c r="ISB82" s="38"/>
      <c r="ISC82" s="38"/>
      <c r="ISD82" s="38"/>
      <c r="ISE82" s="38"/>
      <c r="ISF82" s="38"/>
      <c r="ISG82" s="38"/>
      <c r="ISH82" s="38"/>
      <c r="ISI82" s="38"/>
      <c r="ISJ82" s="38"/>
      <c r="ISK82" s="38"/>
      <c r="ISL82" s="38"/>
      <c r="ISM82" s="38"/>
      <c r="ISN82" s="38"/>
      <c r="ISO82" s="38"/>
      <c r="ISP82" s="38"/>
      <c r="ISQ82" s="38"/>
      <c r="ISR82" s="38"/>
      <c r="ISS82" s="38"/>
      <c r="IST82" s="38"/>
      <c r="ISU82" s="38"/>
      <c r="ISV82" s="38"/>
      <c r="ISW82" s="38"/>
      <c r="ISX82" s="38"/>
      <c r="ISY82" s="38"/>
      <c r="ISZ82" s="38"/>
      <c r="ITA82" s="38"/>
      <c r="ITB82" s="38"/>
      <c r="ITC82" s="38"/>
      <c r="ITD82" s="38"/>
      <c r="ITE82" s="38"/>
      <c r="ITF82" s="38"/>
      <c r="ITG82" s="38"/>
      <c r="ITH82" s="38"/>
      <c r="ITI82" s="38"/>
      <c r="ITJ82" s="38"/>
      <c r="ITK82" s="38"/>
      <c r="ITL82" s="38"/>
      <c r="ITM82" s="38"/>
      <c r="ITN82" s="38"/>
      <c r="ITO82" s="38"/>
      <c r="ITP82" s="38"/>
      <c r="ITQ82" s="38"/>
      <c r="ITR82" s="38"/>
      <c r="ITS82" s="38"/>
      <c r="ITT82" s="38"/>
      <c r="ITU82" s="38"/>
      <c r="ITV82" s="38"/>
      <c r="ITW82" s="38"/>
      <c r="ITX82" s="38"/>
      <c r="ITY82" s="38"/>
      <c r="ITZ82" s="38"/>
      <c r="IUA82" s="38"/>
      <c r="IUB82" s="38"/>
      <c r="IUC82" s="38"/>
      <c r="IUD82" s="38"/>
      <c r="IUE82" s="38"/>
      <c r="IUF82" s="38"/>
      <c r="IUG82" s="38"/>
      <c r="IUH82" s="38"/>
      <c r="IUI82" s="38"/>
      <c r="IUJ82" s="38"/>
      <c r="IUK82" s="38"/>
      <c r="IUL82" s="38"/>
      <c r="IUM82" s="38"/>
      <c r="IUN82" s="38"/>
      <c r="IUO82" s="38"/>
      <c r="IUP82" s="38"/>
      <c r="IUQ82" s="38"/>
      <c r="IUR82" s="38"/>
      <c r="IUS82" s="38"/>
      <c r="IUT82" s="38"/>
      <c r="IUU82" s="38"/>
      <c r="IUV82" s="38"/>
      <c r="IUW82" s="38"/>
      <c r="IUX82" s="38"/>
      <c r="IUY82" s="38"/>
      <c r="IUZ82" s="38"/>
      <c r="IVA82" s="38"/>
      <c r="IVB82" s="38"/>
      <c r="IVC82" s="38"/>
      <c r="IVD82" s="38"/>
      <c r="IVE82" s="38"/>
      <c r="IVF82" s="38"/>
      <c r="IVG82" s="38"/>
      <c r="IVH82" s="38"/>
      <c r="IVI82" s="38"/>
      <c r="IVJ82" s="38"/>
      <c r="IVK82" s="38"/>
      <c r="IVL82" s="38"/>
      <c r="IVM82" s="38"/>
      <c r="IVN82" s="38"/>
      <c r="IVO82" s="38"/>
      <c r="IVP82" s="38"/>
      <c r="IVQ82" s="38"/>
      <c r="IVR82" s="38"/>
      <c r="IVS82" s="38"/>
      <c r="IVT82" s="38"/>
      <c r="IVU82" s="38"/>
      <c r="IVV82" s="38"/>
      <c r="IVW82" s="38"/>
      <c r="IVX82" s="38"/>
      <c r="IVY82" s="38"/>
      <c r="IVZ82" s="38"/>
      <c r="IWA82" s="38"/>
      <c r="IWB82" s="38"/>
      <c r="IWC82" s="38"/>
      <c r="IWD82" s="38"/>
      <c r="IWE82" s="38"/>
      <c r="IWF82" s="38"/>
      <c r="IWG82" s="38"/>
      <c r="IWH82" s="38"/>
      <c r="IWI82" s="38"/>
      <c r="IWJ82" s="38"/>
      <c r="IWK82" s="38"/>
      <c r="IWL82" s="38"/>
      <c r="IWM82" s="38"/>
      <c r="IWN82" s="38"/>
      <c r="IWO82" s="38"/>
      <c r="IWP82" s="38"/>
      <c r="IWQ82" s="38"/>
      <c r="IWR82" s="38"/>
      <c r="IWS82" s="38"/>
      <c r="IWT82" s="38"/>
      <c r="IWU82" s="38"/>
      <c r="IWV82" s="38"/>
      <c r="IWW82" s="38"/>
      <c r="IWX82" s="38"/>
      <c r="IWY82" s="38"/>
      <c r="IWZ82" s="38"/>
      <c r="IXA82" s="38"/>
      <c r="IXB82" s="38"/>
      <c r="IXC82" s="38"/>
      <c r="IXD82" s="38"/>
      <c r="IXE82" s="38"/>
      <c r="IXF82" s="38"/>
      <c r="IXG82" s="38"/>
      <c r="IXH82" s="38"/>
      <c r="IXI82" s="38"/>
      <c r="IXJ82" s="38"/>
      <c r="IXK82" s="38"/>
      <c r="IXL82" s="38"/>
      <c r="IXM82" s="38"/>
      <c r="IXN82" s="38"/>
      <c r="IXO82" s="38"/>
      <c r="IXP82" s="38"/>
      <c r="IXQ82" s="38"/>
      <c r="IXR82" s="38"/>
      <c r="IXS82" s="38"/>
      <c r="IXT82" s="38"/>
      <c r="IXU82" s="38"/>
      <c r="IXV82" s="38"/>
      <c r="IXW82" s="38"/>
      <c r="IXX82" s="38"/>
      <c r="IXY82" s="38"/>
      <c r="IXZ82" s="38"/>
      <c r="IYA82" s="38"/>
      <c r="IYB82" s="38"/>
      <c r="IYC82" s="38"/>
      <c r="IYD82" s="38"/>
      <c r="IYE82" s="38"/>
      <c r="IYF82" s="38"/>
      <c r="IYG82" s="38"/>
      <c r="IYH82" s="38"/>
      <c r="IYI82" s="38"/>
      <c r="IYJ82" s="38"/>
      <c r="IYK82" s="38"/>
      <c r="IYL82" s="38"/>
      <c r="IYM82" s="38"/>
      <c r="IYN82" s="38"/>
      <c r="IYO82" s="38"/>
      <c r="IYP82" s="38"/>
      <c r="IYQ82" s="38"/>
      <c r="IYR82" s="38"/>
      <c r="IYS82" s="38"/>
      <c r="IYT82" s="38"/>
      <c r="IYU82" s="38"/>
      <c r="IYV82" s="38"/>
      <c r="IYW82" s="38"/>
      <c r="IYX82" s="38"/>
      <c r="IYY82" s="38"/>
      <c r="IYZ82" s="38"/>
      <c r="IZA82" s="38"/>
      <c r="IZB82" s="38"/>
      <c r="IZC82" s="38"/>
      <c r="IZD82" s="38"/>
      <c r="IZE82" s="38"/>
      <c r="IZF82" s="38"/>
      <c r="IZG82" s="38"/>
      <c r="IZH82" s="38"/>
      <c r="IZI82" s="38"/>
      <c r="IZJ82" s="38"/>
      <c r="IZK82" s="38"/>
      <c r="IZL82" s="38"/>
      <c r="IZM82" s="38"/>
      <c r="IZN82" s="38"/>
      <c r="IZO82" s="38"/>
      <c r="IZP82" s="38"/>
      <c r="IZQ82" s="38"/>
      <c r="IZR82" s="38"/>
      <c r="IZS82" s="38"/>
      <c r="IZT82" s="38"/>
      <c r="IZU82" s="38"/>
      <c r="IZV82" s="38"/>
      <c r="IZW82" s="38"/>
      <c r="IZX82" s="38"/>
      <c r="IZY82" s="38"/>
      <c r="IZZ82" s="38"/>
      <c r="JAA82" s="38"/>
      <c r="JAB82" s="38"/>
      <c r="JAC82" s="38"/>
      <c r="JAD82" s="38"/>
      <c r="JAE82" s="38"/>
      <c r="JAF82" s="38"/>
      <c r="JAG82" s="38"/>
      <c r="JAH82" s="38"/>
      <c r="JAI82" s="38"/>
      <c r="JAJ82" s="38"/>
      <c r="JAK82" s="38"/>
      <c r="JAL82" s="38"/>
      <c r="JAM82" s="38"/>
      <c r="JAN82" s="38"/>
      <c r="JAO82" s="38"/>
      <c r="JAP82" s="38"/>
      <c r="JAQ82" s="38"/>
      <c r="JAR82" s="38"/>
      <c r="JAS82" s="38"/>
      <c r="JAT82" s="38"/>
      <c r="JAU82" s="38"/>
      <c r="JAV82" s="38"/>
      <c r="JAW82" s="38"/>
      <c r="JAX82" s="38"/>
      <c r="JAY82" s="38"/>
      <c r="JAZ82" s="38"/>
      <c r="JBA82" s="38"/>
      <c r="JBB82" s="38"/>
      <c r="JBC82" s="38"/>
      <c r="JBD82" s="38"/>
      <c r="JBE82" s="38"/>
      <c r="JBF82" s="38"/>
      <c r="JBG82" s="38"/>
      <c r="JBH82" s="38"/>
      <c r="JBI82" s="38"/>
      <c r="JBJ82" s="38"/>
      <c r="JBK82" s="38"/>
      <c r="JBL82" s="38"/>
      <c r="JBM82" s="38"/>
      <c r="JBN82" s="38"/>
      <c r="JBO82" s="38"/>
      <c r="JBP82" s="38"/>
      <c r="JBQ82" s="38"/>
      <c r="JBR82" s="38"/>
      <c r="JBS82" s="38"/>
      <c r="JBT82" s="38"/>
      <c r="JBU82" s="38"/>
      <c r="JBV82" s="38"/>
      <c r="JBW82" s="38"/>
      <c r="JBX82" s="38"/>
      <c r="JBY82" s="38"/>
      <c r="JBZ82" s="38"/>
      <c r="JCA82" s="38"/>
      <c r="JCB82" s="38"/>
      <c r="JCC82" s="38"/>
      <c r="JCD82" s="38"/>
      <c r="JCE82" s="38"/>
      <c r="JCF82" s="38"/>
      <c r="JCG82" s="38"/>
      <c r="JCH82" s="38"/>
      <c r="JCI82" s="38"/>
      <c r="JCJ82" s="38"/>
      <c r="JCK82" s="38"/>
      <c r="JCL82" s="38"/>
      <c r="JCM82" s="38"/>
      <c r="JCN82" s="38"/>
      <c r="JCO82" s="38"/>
      <c r="JCP82" s="38"/>
      <c r="JCQ82" s="38"/>
      <c r="JCR82" s="38"/>
      <c r="JCS82" s="38"/>
      <c r="JCT82" s="38"/>
      <c r="JCU82" s="38"/>
      <c r="JCV82" s="38"/>
      <c r="JCW82" s="38"/>
      <c r="JCX82" s="38"/>
      <c r="JCY82" s="38"/>
      <c r="JCZ82" s="38"/>
      <c r="JDA82" s="38"/>
      <c r="JDB82" s="38"/>
      <c r="JDC82" s="38"/>
      <c r="JDD82" s="38"/>
      <c r="JDE82" s="38"/>
      <c r="JDF82" s="38"/>
      <c r="JDG82" s="38"/>
      <c r="JDH82" s="38"/>
      <c r="JDI82" s="38"/>
      <c r="JDJ82" s="38"/>
      <c r="JDK82" s="38"/>
      <c r="JDL82" s="38"/>
      <c r="JDM82" s="38"/>
      <c r="JDN82" s="38"/>
      <c r="JDO82" s="38"/>
      <c r="JDP82" s="38"/>
      <c r="JDQ82" s="38"/>
      <c r="JDR82" s="38"/>
      <c r="JDS82" s="38"/>
      <c r="JDT82" s="38"/>
      <c r="JDU82" s="38"/>
      <c r="JDV82" s="38"/>
      <c r="JDW82" s="38"/>
      <c r="JDX82" s="38"/>
      <c r="JDY82" s="38"/>
      <c r="JDZ82" s="38"/>
      <c r="JEA82" s="38"/>
      <c r="JEB82" s="38"/>
      <c r="JEC82" s="38"/>
      <c r="JED82" s="38"/>
      <c r="JEE82" s="38"/>
      <c r="JEF82" s="38"/>
      <c r="JEG82" s="38"/>
      <c r="JEH82" s="38"/>
      <c r="JEI82" s="38"/>
      <c r="JEJ82" s="38"/>
      <c r="JEK82" s="38"/>
      <c r="JEL82" s="38"/>
      <c r="JEM82" s="38"/>
      <c r="JEN82" s="38"/>
      <c r="JEO82" s="38"/>
      <c r="JEP82" s="38"/>
      <c r="JEQ82" s="38"/>
      <c r="JER82" s="38"/>
      <c r="JES82" s="38"/>
      <c r="JET82" s="38"/>
      <c r="JEU82" s="38"/>
      <c r="JEV82" s="38"/>
      <c r="JEW82" s="38"/>
      <c r="JEX82" s="38"/>
      <c r="JEY82" s="38"/>
      <c r="JEZ82" s="38"/>
      <c r="JFA82" s="38"/>
      <c r="JFB82" s="38"/>
      <c r="JFC82" s="38"/>
      <c r="JFD82" s="38"/>
      <c r="JFE82" s="38"/>
      <c r="JFF82" s="38"/>
      <c r="JFG82" s="38"/>
      <c r="JFH82" s="38"/>
      <c r="JFI82" s="38"/>
      <c r="JFJ82" s="38"/>
      <c r="JFK82" s="38"/>
      <c r="JFL82" s="38"/>
      <c r="JFM82" s="38"/>
      <c r="JFN82" s="38"/>
      <c r="JFO82" s="38"/>
      <c r="JFP82" s="38"/>
      <c r="JFQ82" s="38"/>
      <c r="JFR82" s="38"/>
      <c r="JFS82" s="38"/>
      <c r="JFT82" s="38"/>
      <c r="JFU82" s="38"/>
      <c r="JFV82" s="38"/>
      <c r="JFW82" s="38"/>
      <c r="JFX82" s="38"/>
      <c r="JFY82" s="38"/>
      <c r="JFZ82" s="38"/>
      <c r="JGA82" s="38"/>
      <c r="JGB82" s="38"/>
      <c r="JGC82" s="38"/>
      <c r="JGD82" s="38"/>
      <c r="JGE82" s="38"/>
      <c r="JGF82" s="38"/>
      <c r="JGG82" s="38"/>
      <c r="JGH82" s="38"/>
      <c r="JGI82" s="38"/>
      <c r="JGJ82" s="38"/>
      <c r="JGK82" s="38"/>
      <c r="JGL82" s="38"/>
      <c r="JGM82" s="38"/>
      <c r="JGN82" s="38"/>
      <c r="JGO82" s="38"/>
      <c r="JGP82" s="38"/>
      <c r="JGQ82" s="38"/>
      <c r="JGR82" s="38"/>
      <c r="JGS82" s="38"/>
      <c r="JGT82" s="38"/>
      <c r="JGU82" s="38"/>
      <c r="JGV82" s="38"/>
      <c r="JGW82" s="38"/>
      <c r="JGX82" s="38"/>
      <c r="JGY82" s="38"/>
      <c r="JGZ82" s="38"/>
      <c r="JHA82" s="38"/>
      <c r="JHB82" s="38"/>
      <c r="JHC82" s="38"/>
      <c r="JHD82" s="38"/>
      <c r="JHE82" s="38"/>
      <c r="JHF82" s="38"/>
      <c r="JHG82" s="38"/>
      <c r="JHH82" s="38"/>
      <c r="JHI82" s="38"/>
      <c r="JHJ82" s="38"/>
      <c r="JHK82" s="38"/>
      <c r="JHL82" s="38"/>
      <c r="JHM82" s="38"/>
      <c r="JHN82" s="38"/>
      <c r="JHO82" s="38"/>
      <c r="JHP82" s="38"/>
      <c r="JHQ82" s="38"/>
      <c r="JHR82" s="38"/>
      <c r="JHS82" s="38"/>
      <c r="JHT82" s="38"/>
      <c r="JHU82" s="38"/>
      <c r="JHV82" s="38"/>
      <c r="JHW82" s="38"/>
      <c r="JHX82" s="38"/>
      <c r="JHY82" s="38"/>
      <c r="JHZ82" s="38"/>
      <c r="JIA82" s="38"/>
      <c r="JIB82" s="38"/>
      <c r="JIC82" s="38"/>
      <c r="JID82" s="38"/>
      <c r="JIE82" s="38"/>
      <c r="JIF82" s="38"/>
      <c r="JIG82" s="38"/>
      <c r="JIH82" s="38"/>
      <c r="JII82" s="38"/>
      <c r="JIJ82" s="38"/>
      <c r="JIK82" s="38"/>
      <c r="JIL82" s="38"/>
      <c r="JIM82" s="38"/>
      <c r="JIN82" s="38"/>
      <c r="JIO82" s="38"/>
      <c r="JIP82" s="38"/>
      <c r="JIQ82" s="38"/>
      <c r="JIR82" s="38"/>
      <c r="JIS82" s="38"/>
      <c r="JIT82" s="38"/>
      <c r="JIU82" s="38"/>
      <c r="JIV82" s="38"/>
      <c r="JIW82" s="38"/>
      <c r="JIX82" s="38"/>
      <c r="JIY82" s="38"/>
      <c r="JIZ82" s="38"/>
      <c r="JJA82" s="38"/>
      <c r="JJB82" s="38"/>
      <c r="JJC82" s="38"/>
      <c r="JJD82" s="38"/>
      <c r="JJE82" s="38"/>
      <c r="JJF82" s="38"/>
      <c r="JJG82" s="38"/>
      <c r="JJH82" s="38"/>
      <c r="JJI82" s="38"/>
      <c r="JJJ82" s="38"/>
      <c r="JJK82" s="38"/>
      <c r="JJL82" s="38"/>
      <c r="JJM82" s="38"/>
      <c r="JJN82" s="38"/>
      <c r="JJO82" s="38"/>
      <c r="JJP82" s="38"/>
      <c r="JJQ82" s="38"/>
      <c r="JJR82" s="38"/>
      <c r="JJS82" s="38"/>
      <c r="JJT82" s="38"/>
      <c r="JJU82" s="38"/>
      <c r="JJV82" s="38"/>
      <c r="JJW82" s="38"/>
      <c r="JJX82" s="38"/>
      <c r="JJY82" s="38"/>
      <c r="JJZ82" s="38"/>
      <c r="JKA82" s="38"/>
      <c r="JKB82" s="38"/>
      <c r="JKC82" s="38"/>
      <c r="JKD82" s="38"/>
      <c r="JKE82" s="38"/>
      <c r="JKF82" s="38"/>
      <c r="JKG82" s="38"/>
      <c r="JKH82" s="38"/>
      <c r="JKI82" s="38"/>
      <c r="JKJ82" s="38"/>
      <c r="JKK82" s="38"/>
      <c r="JKL82" s="38"/>
      <c r="JKM82" s="38"/>
      <c r="JKN82" s="38"/>
      <c r="JKO82" s="38"/>
      <c r="JKP82" s="38"/>
      <c r="JKQ82" s="38"/>
      <c r="JKR82" s="38"/>
      <c r="JKS82" s="38"/>
      <c r="JKT82" s="38"/>
      <c r="JKU82" s="38"/>
      <c r="JKV82" s="38"/>
      <c r="JKW82" s="38"/>
      <c r="JKX82" s="38"/>
      <c r="JKY82" s="38"/>
      <c r="JKZ82" s="38"/>
      <c r="JLA82" s="38"/>
      <c r="JLB82" s="38"/>
      <c r="JLC82" s="38"/>
      <c r="JLD82" s="38"/>
      <c r="JLE82" s="38"/>
      <c r="JLF82" s="38"/>
      <c r="JLG82" s="38"/>
      <c r="JLH82" s="38"/>
      <c r="JLI82" s="38"/>
      <c r="JLJ82" s="38"/>
      <c r="JLK82" s="38"/>
      <c r="JLL82" s="38"/>
      <c r="JLM82" s="38"/>
      <c r="JLN82" s="38"/>
      <c r="JLO82" s="38"/>
      <c r="JLP82" s="38"/>
      <c r="JLQ82" s="38"/>
      <c r="JLR82" s="38"/>
      <c r="JLS82" s="38"/>
      <c r="JLT82" s="38"/>
      <c r="JLU82" s="38"/>
      <c r="JLV82" s="38"/>
      <c r="JLW82" s="38"/>
      <c r="JLX82" s="38"/>
      <c r="JLY82" s="38"/>
      <c r="JLZ82" s="38"/>
      <c r="JMA82" s="38"/>
      <c r="JMB82" s="38"/>
      <c r="JMC82" s="38"/>
      <c r="JMD82" s="38"/>
      <c r="JME82" s="38"/>
      <c r="JMF82" s="38"/>
      <c r="JMG82" s="38"/>
      <c r="JMH82" s="38"/>
      <c r="JMI82" s="38"/>
      <c r="JMJ82" s="38"/>
      <c r="JMK82" s="38"/>
      <c r="JML82" s="38"/>
      <c r="JMM82" s="38"/>
      <c r="JMN82" s="38"/>
      <c r="JMO82" s="38"/>
      <c r="JMP82" s="38"/>
      <c r="JMQ82" s="38"/>
      <c r="JMR82" s="38"/>
      <c r="JMS82" s="38"/>
      <c r="JMT82" s="38"/>
      <c r="JMU82" s="38"/>
      <c r="JMV82" s="38"/>
      <c r="JMW82" s="38"/>
      <c r="JMX82" s="38"/>
      <c r="JMY82" s="38"/>
      <c r="JMZ82" s="38"/>
      <c r="JNA82" s="38"/>
      <c r="JNB82" s="38"/>
      <c r="JNC82" s="38"/>
      <c r="JND82" s="38"/>
      <c r="JNE82" s="38"/>
      <c r="JNF82" s="38"/>
      <c r="JNG82" s="38"/>
      <c r="JNH82" s="38"/>
      <c r="JNI82" s="38"/>
      <c r="JNJ82" s="38"/>
      <c r="JNK82" s="38"/>
      <c r="JNL82" s="38"/>
      <c r="JNM82" s="38"/>
      <c r="JNN82" s="38"/>
      <c r="JNO82" s="38"/>
      <c r="JNP82" s="38"/>
      <c r="JNQ82" s="38"/>
      <c r="JNR82" s="38"/>
      <c r="JNS82" s="38"/>
      <c r="JNT82" s="38"/>
      <c r="JNU82" s="38"/>
      <c r="JNV82" s="38"/>
      <c r="JNW82" s="38"/>
      <c r="JNX82" s="38"/>
      <c r="JNY82" s="38"/>
      <c r="JNZ82" s="38"/>
      <c r="JOA82" s="38"/>
      <c r="JOB82" s="38"/>
      <c r="JOC82" s="38"/>
      <c r="JOD82" s="38"/>
      <c r="JOE82" s="38"/>
      <c r="JOF82" s="38"/>
      <c r="JOG82" s="38"/>
      <c r="JOH82" s="38"/>
      <c r="JOI82" s="38"/>
      <c r="JOJ82" s="38"/>
      <c r="JOK82" s="38"/>
      <c r="JOL82" s="38"/>
      <c r="JOM82" s="38"/>
      <c r="JON82" s="38"/>
      <c r="JOO82" s="38"/>
      <c r="JOP82" s="38"/>
      <c r="JOQ82" s="38"/>
      <c r="JOR82" s="38"/>
      <c r="JOS82" s="38"/>
      <c r="JOT82" s="38"/>
      <c r="JOU82" s="38"/>
      <c r="JOV82" s="38"/>
      <c r="JOW82" s="38"/>
      <c r="JOX82" s="38"/>
      <c r="JOY82" s="38"/>
      <c r="JOZ82" s="38"/>
      <c r="JPA82" s="38"/>
      <c r="JPB82" s="38"/>
      <c r="JPC82" s="38"/>
      <c r="JPD82" s="38"/>
      <c r="JPE82" s="38"/>
      <c r="JPF82" s="38"/>
      <c r="JPG82" s="38"/>
      <c r="JPH82" s="38"/>
      <c r="JPI82" s="38"/>
      <c r="JPJ82" s="38"/>
      <c r="JPK82" s="38"/>
      <c r="JPL82" s="38"/>
      <c r="JPM82" s="38"/>
      <c r="JPN82" s="38"/>
      <c r="JPO82" s="38"/>
      <c r="JPP82" s="38"/>
      <c r="JPQ82" s="38"/>
      <c r="JPR82" s="38"/>
      <c r="JPS82" s="38"/>
      <c r="JPT82" s="38"/>
      <c r="JPU82" s="38"/>
      <c r="JPV82" s="38"/>
      <c r="JPW82" s="38"/>
      <c r="JPX82" s="38"/>
      <c r="JPY82" s="38"/>
      <c r="JPZ82" s="38"/>
      <c r="JQA82" s="38"/>
      <c r="JQB82" s="38"/>
      <c r="JQC82" s="38"/>
      <c r="JQD82" s="38"/>
      <c r="JQE82" s="38"/>
      <c r="JQF82" s="38"/>
      <c r="JQG82" s="38"/>
      <c r="JQH82" s="38"/>
      <c r="JQI82" s="38"/>
      <c r="JQJ82" s="38"/>
      <c r="JQK82" s="38"/>
      <c r="JQL82" s="38"/>
      <c r="JQM82" s="38"/>
      <c r="JQN82" s="38"/>
      <c r="JQO82" s="38"/>
      <c r="JQP82" s="38"/>
      <c r="JQQ82" s="38"/>
      <c r="JQR82" s="38"/>
      <c r="JQS82" s="38"/>
      <c r="JQT82" s="38"/>
      <c r="JQU82" s="38"/>
      <c r="JQV82" s="38"/>
      <c r="JQW82" s="38"/>
      <c r="JQX82" s="38"/>
      <c r="JQY82" s="38"/>
      <c r="JQZ82" s="38"/>
      <c r="JRA82" s="38"/>
      <c r="JRB82" s="38"/>
      <c r="JRC82" s="38"/>
      <c r="JRD82" s="38"/>
      <c r="JRE82" s="38"/>
      <c r="JRF82" s="38"/>
      <c r="JRG82" s="38"/>
      <c r="JRH82" s="38"/>
      <c r="JRI82" s="38"/>
      <c r="JRJ82" s="38"/>
      <c r="JRK82" s="38"/>
      <c r="JRL82" s="38"/>
      <c r="JRM82" s="38"/>
      <c r="JRN82" s="38"/>
      <c r="JRO82" s="38"/>
      <c r="JRP82" s="38"/>
      <c r="JRQ82" s="38"/>
      <c r="JRR82" s="38"/>
      <c r="JRS82" s="38"/>
      <c r="JRT82" s="38"/>
      <c r="JRU82" s="38"/>
      <c r="JRV82" s="38"/>
      <c r="JRW82" s="38"/>
      <c r="JRX82" s="38"/>
      <c r="JRY82" s="38"/>
      <c r="JRZ82" s="38"/>
      <c r="JSA82" s="38"/>
      <c r="JSB82" s="38"/>
      <c r="JSC82" s="38"/>
      <c r="JSD82" s="38"/>
      <c r="JSE82" s="38"/>
      <c r="JSF82" s="38"/>
      <c r="JSG82" s="38"/>
      <c r="JSH82" s="38"/>
      <c r="JSI82" s="38"/>
      <c r="JSJ82" s="38"/>
      <c r="JSK82" s="38"/>
      <c r="JSL82" s="38"/>
      <c r="JSM82" s="38"/>
      <c r="JSN82" s="38"/>
      <c r="JSO82" s="38"/>
      <c r="JSP82" s="38"/>
      <c r="JSQ82" s="38"/>
      <c r="JSR82" s="38"/>
      <c r="JSS82" s="38"/>
      <c r="JST82" s="38"/>
      <c r="JSU82" s="38"/>
      <c r="JSV82" s="38"/>
      <c r="JSW82" s="38"/>
      <c r="JSX82" s="38"/>
      <c r="JSY82" s="38"/>
      <c r="JSZ82" s="38"/>
      <c r="JTA82" s="38"/>
      <c r="JTB82" s="38"/>
      <c r="JTC82" s="38"/>
      <c r="JTD82" s="38"/>
      <c r="JTE82" s="38"/>
      <c r="JTF82" s="38"/>
      <c r="JTG82" s="38"/>
      <c r="JTH82" s="38"/>
      <c r="JTI82" s="38"/>
      <c r="JTJ82" s="38"/>
      <c r="JTK82" s="38"/>
      <c r="JTL82" s="38"/>
      <c r="JTM82" s="38"/>
      <c r="JTN82" s="38"/>
      <c r="JTO82" s="38"/>
      <c r="JTP82" s="38"/>
      <c r="JTQ82" s="38"/>
      <c r="JTR82" s="38"/>
      <c r="JTS82" s="38"/>
      <c r="JTT82" s="38"/>
      <c r="JTU82" s="38"/>
      <c r="JTV82" s="38"/>
      <c r="JTW82" s="38"/>
      <c r="JTX82" s="38"/>
      <c r="JTY82" s="38"/>
      <c r="JTZ82" s="38"/>
      <c r="JUA82" s="38"/>
      <c r="JUB82" s="38"/>
      <c r="JUC82" s="38"/>
      <c r="JUD82" s="38"/>
      <c r="JUE82" s="38"/>
      <c r="JUF82" s="38"/>
      <c r="JUG82" s="38"/>
      <c r="JUH82" s="38"/>
      <c r="JUI82" s="38"/>
      <c r="JUJ82" s="38"/>
      <c r="JUK82" s="38"/>
      <c r="JUL82" s="38"/>
      <c r="JUM82" s="38"/>
      <c r="JUN82" s="38"/>
      <c r="JUO82" s="38"/>
      <c r="JUP82" s="38"/>
      <c r="JUQ82" s="38"/>
      <c r="JUR82" s="38"/>
      <c r="JUS82" s="38"/>
      <c r="JUT82" s="38"/>
      <c r="JUU82" s="38"/>
      <c r="JUV82" s="38"/>
      <c r="JUW82" s="38"/>
      <c r="JUX82" s="38"/>
      <c r="JUY82" s="38"/>
      <c r="JUZ82" s="38"/>
      <c r="JVA82" s="38"/>
      <c r="JVB82" s="38"/>
      <c r="JVC82" s="38"/>
      <c r="JVD82" s="38"/>
      <c r="JVE82" s="38"/>
      <c r="JVF82" s="38"/>
      <c r="JVG82" s="38"/>
      <c r="JVH82" s="38"/>
      <c r="JVI82" s="38"/>
      <c r="JVJ82" s="38"/>
      <c r="JVK82" s="38"/>
      <c r="JVL82" s="38"/>
      <c r="JVM82" s="38"/>
      <c r="JVN82" s="38"/>
      <c r="JVO82" s="38"/>
      <c r="JVP82" s="38"/>
      <c r="JVQ82" s="38"/>
      <c r="JVR82" s="38"/>
      <c r="JVS82" s="38"/>
      <c r="JVT82" s="38"/>
      <c r="JVU82" s="38"/>
      <c r="JVV82" s="38"/>
      <c r="JVW82" s="38"/>
      <c r="JVX82" s="38"/>
      <c r="JVY82" s="38"/>
      <c r="JVZ82" s="38"/>
      <c r="JWA82" s="38"/>
      <c r="JWB82" s="38"/>
      <c r="JWC82" s="38"/>
      <c r="JWD82" s="38"/>
      <c r="JWE82" s="38"/>
      <c r="JWF82" s="38"/>
      <c r="JWG82" s="38"/>
      <c r="JWH82" s="38"/>
      <c r="JWI82" s="38"/>
      <c r="JWJ82" s="38"/>
      <c r="JWK82" s="38"/>
      <c r="JWL82" s="38"/>
      <c r="JWM82" s="38"/>
      <c r="JWN82" s="38"/>
      <c r="JWO82" s="38"/>
      <c r="JWP82" s="38"/>
      <c r="JWQ82" s="38"/>
      <c r="JWR82" s="38"/>
      <c r="JWS82" s="38"/>
      <c r="JWT82" s="38"/>
      <c r="JWU82" s="38"/>
      <c r="JWV82" s="38"/>
      <c r="JWW82" s="38"/>
      <c r="JWX82" s="38"/>
      <c r="JWY82" s="38"/>
      <c r="JWZ82" s="38"/>
      <c r="JXA82" s="38"/>
      <c r="JXB82" s="38"/>
      <c r="JXC82" s="38"/>
      <c r="JXD82" s="38"/>
      <c r="JXE82" s="38"/>
      <c r="JXF82" s="38"/>
      <c r="JXG82" s="38"/>
      <c r="JXH82" s="38"/>
      <c r="JXI82" s="38"/>
      <c r="JXJ82" s="38"/>
      <c r="JXK82" s="38"/>
      <c r="JXL82" s="38"/>
      <c r="JXM82" s="38"/>
      <c r="JXN82" s="38"/>
      <c r="JXO82" s="38"/>
      <c r="JXP82" s="38"/>
      <c r="JXQ82" s="38"/>
      <c r="JXR82" s="38"/>
      <c r="JXS82" s="38"/>
      <c r="JXT82" s="38"/>
      <c r="JXU82" s="38"/>
      <c r="JXV82" s="38"/>
      <c r="JXW82" s="38"/>
      <c r="JXX82" s="38"/>
      <c r="JXY82" s="38"/>
      <c r="JXZ82" s="38"/>
      <c r="JYA82" s="38"/>
      <c r="JYB82" s="38"/>
      <c r="JYC82" s="38"/>
      <c r="JYD82" s="38"/>
      <c r="JYE82" s="38"/>
      <c r="JYF82" s="38"/>
      <c r="JYG82" s="38"/>
      <c r="JYH82" s="38"/>
      <c r="JYI82" s="38"/>
      <c r="JYJ82" s="38"/>
      <c r="JYK82" s="38"/>
      <c r="JYL82" s="38"/>
      <c r="JYM82" s="38"/>
      <c r="JYN82" s="38"/>
      <c r="JYO82" s="38"/>
      <c r="JYP82" s="38"/>
      <c r="JYQ82" s="38"/>
      <c r="JYR82" s="38"/>
      <c r="JYS82" s="38"/>
      <c r="JYT82" s="38"/>
      <c r="JYU82" s="38"/>
      <c r="JYV82" s="38"/>
      <c r="JYW82" s="38"/>
      <c r="JYX82" s="38"/>
      <c r="JYY82" s="38"/>
      <c r="JYZ82" s="38"/>
      <c r="JZA82" s="38"/>
      <c r="JZB82" s="38"/>
      <c r="JZC82" s="38"/>
      <c r="JZD82" s="38"/>
      <c r="JZE82" s="38"/>
      <c r="JZF82" s="38"/>
      <c r="JZG82" s="38"/>
      <c r="JZH82" s="38"/>
      <c r="JZI82" s="38"/>
      <c r="JZJ82" s="38"/>
      <c r="JZK82" s="38"/>
      <c r="JZL82" s="38"/>
      <c r="JZM82" s="38"/>
      <c r="JZN82" s="38"/>
      <c r="JZO82" s="38"/>
      <c r="JZP82" s="38"/>
      <c r="JZQ82" s="38"/>
      <c r="JZR82" s="38"/>
      <c r="JZS82" s="38"/>
      <c r="JZT82" s="38"/>
      <c r="JZU82" s="38"/>
      <c r="JZV82" s="38"/>
      <c r="JZW82" s="38"/>
      <c r="JZX82" s="38"/>
      <c r="JZY82" s="38"/>
      <c r="JZZ82" s="38"/>
      <c r="KAA82" s="38"/>
      <c r="KAB82" s="38"/>
      <c r="KAC82" s="38"/>
      <c r="KAD82" s="38"/>
      <c r="KAE82" s="38"/>
      <c r="KAF82" s="38"/>
      <c r="KAG82" s="38"/>
      <c r="KAH82" s="38"/>
      <c r="KAI82" s="38"/>
      <c r="KAJ82" s="38"/>
      <c r="KAK82" s="38"/>
      <c r="KAL82" s="38"/>
      <c r="KAM82" s="38"/>
      <c r="KAN82" s="38"/>
      <c r="KAO82" s="38"/>
      <c r="KAP82" s="38"/>
      <c r="KAQ82" s="38"/>
      <c r="KAR82" s="38"/>
      <c r="KAS82" s="38"/>
      <c r="KAT82" s="38"/>
      <c r="KAU82" s="38"/>
      <c r="KAV82" s="38"/>
      <c r="KAW82" s="38"/>
      <c r="KAX82" s="38"/>
      <c r="KAY82" s="38"/>
      <c r="KAZ82" s="38"/>
      <c r="KBA82" s="38"/>
      <c r="KBB82" s="38"/>
      <c r="KBC82" s="38"/>
      <c r="KBD82" s="38"/>
      <c r="KBE82" s="38"/>
      <c r="KBF82" s="38"/>
      <c r="KBG82" s="38"/>
      <c r="KBH82" s="38"/>
      <c r="KBI82" s="38"/>
      <c r="KBJ82" s="38"/>
      <c r="KBK82" s="38"/>
      <c r="KBL82" s="38"/>
      <c r="KBM82" s="38"/>
      <c r="KBN82" s="38"/>
      <c r="KBO82" s="38"/>
      <c r="KBP82" s="38"/>
      <c r="KBQ82" s="38"/>
      <c r="KBR82" s="38"/>
      <c r="KBS82" s="38"/>
      <c r="KBT82" s="38"/>
      <c r="KBU82" s="38"/>
      <c r="KBV82" s="38"/>
      <c r="KBW82" s="38"/>
      <c r="KBX82" s="38"/>
      <c r="KBY82" s="38"/>
      <c r="KBZ82" s="38"/>
      <c r="KCA82" s="38"/>
      <c r="KCB82" s="38"/>
      <c r="KCC82" s="38"/>
      <c r="KCD82" s="38"/>
      <c r="KCE82" s="38"/>
      <c r="KCF82" s="38"/>
      <c r="KCG82" s="38"/>
      <c r="KCH82" s="38"/>
      <c r="KCI82" s="38"/>
      <c r="KCJ82" s="38"/>
      <c r="KCK82" s="38"/>
      <c r="KCL82" s="38"/>
      <c r="KCM82" s="38"/>
      <c r="KCN82" s="38"/>
      <c r="KCO82" s="38"/>
      <c r="KCP82" s="38"/>
      <c r="KCQ82" s="38"/>
      <c r="KCR82" s="38"/>
      <c r="KCS82" s="38"/>
      <c r="KCT82" s="38"/>
      <c r="KCU82" s="38"/>
      <c r="KCV82" s="38"/>
      <c r="KCW82" s="38"/>
      <c r="KCX82" s="38"/>
      <c r="KCY82" s="38"/>
      <c r="KCZ82" s="38"/>
      <c r="KDA82" s="38"/>
      <c r="KDB82" s="38"/>
      <c r="KDC82" s="38"/>
      <c r="KDD82" s="38"/>
      <c r="KDE82" s="38"/>
      <c r="KDF82" s="38"/>
      <c r="KDG82" s="38"/>
      <c r="KDH82" s="38"/>
      <c r="KDI82" s="38"/>
      <c r="KDJ82" s="38"/>
      <c r="KDK82" s="38"/>
      <c r="KDL82" s="38"/>
      <c r="KDM82" s="38"/>
      <c r="KDN82" s="38"/>
      <c r="KDO82" s="38"/>
      <c r="KDP82" s="38"/>
      <c r="KDQ82" s="38"/>
      <c r="KDR82" s="38"/>
      <c r="KDS82" s="38"/>
      <c r="KDT82" s="38"/>
      <c r="KDU82" s="38"/>
      <c r="KDV82" s="38"/>
      <c r="KDW82" s="38"/>
      <c r="KDX82" s="38"/>
      <c r="KDY82" s="38"/>
      <c r="KDZ82" s="38"/>
      <c r="KEA82" s="38"/>
      <c r="KEB82" s="38"/>
      <c r="KEC82" s="38"/>
      <c r="KED82" s="38"/>
      <c r="KEE82" s="38"/>
      <c r="KEF82" s="38"/>
      <c r="KEG82" s="38"/>
      <c r="KEH82" s="38"/>
      <c r="KEI82" s="38"/>
      <c r="KEJ82" s="38"/>
      <c r="KEK82" s="38"/>
      <c r="KEL82" s="38"/>
      <c r="KEM82" s="38"/>
      <c r="KEN82" s="38"/>
      <c r="KEO82" s="38"/>
      <c r="KEP82" s="38"/>
      <c r="KEQ82" s="38"/>
      <c r="KER82" s="38"/>
      <c r="KES82" s="38"/>
      <c r="KET82" s="38"/>
      <c r="KEU82" s="38"/>
      <c r="KEV82" s="38"/>
      <c r="KEW82" s="38"/>
      <c r="KEX82" s="38"/>
      <c r="KEY82" s="38"/>
      <c r="KEZ82" s="38"/>
      <c r="KFA82" s="38"/>
      <c r="KFB82" s="38"/>
      <c r="KFC82" s="38"/>
      <c r="KFD82" s="38"/>
      <c r="KFE82" s="38"/>
      <c r="KFF82" s="38"/>
      <c r="KFG82" s="38"/>
      <c r="KFH82" s="38"/>
      <c r="KFI82" s="38"/>
      <c r="KFJ82" s="38"/>
      <c r="KFK82" s="38"/>
      <c r="KFL82" s="38"/>
      <c r="KFM82" s="38"/>
      <c r="KFN82" s="38"/>
      <c r="KFO82" s="38"/>
      <c r="KFP82" s="38"/>
      <c r="KFQ82" s="38"/>
      <c r="KFR82" s="38"/>
      <c r="KFS82" s="38"/>
      <c r="KFT82" s="38"/>
      <c r="KFU82" s="38"/>
      <c r="KFV82" s="38"/>
      <c r="KFW82" s="38"/>
      <c r="KFX82" s="38"/>
      <c r="KFY82" s="38"/>
      <c r="KFZ82" s="38"/>
      <c r="KGA82" s="38"/>
      <c r="KGB82" s="38"/>
      <c r="KGC82" s="38"/>
      <c r="KGD82" s="38"/>
      <c r="KGE82" s="38"/>
      <c r="KGF82" s="38"/>
      <c r="KGG82" s="38"/>
      <c r="KGH82" s="38"/>
      <c r="KGI82" s="38"/>
      <c r="KGJ82" s="38"/>
      <c r="KGK82" s="38"/>
      <c r="KGL82" s="38"/>
      <c r="KGM82" s="38"/>
      <c r="KGN82" s="38"/>
      <c r="KGO82" s="38"/>
      <c r="KGP82" s="38"/>
      <c r="KGQ82" s="38"/>
      <c r="KGR82" s="38"/>
      <c r="KGS82" s="38"/>
      <c r="KGT82" s="38"/>
      <c r="KGU82" s="38"/>
      <c r="KGV82" s="38"/>
      <c r="KGW82" s="38"/>
      <c r="KGX82" s="38"/>
      <c r="KGY82" s="38"/>
      <c r="KGZ82" s="38"/>
      <c r="KHA82" s="38"/>
      <c r="KHB82" s="38"/>
      <c r="KHC82" s="38"/>
      <c r="KHD82" s="38"/>
      <c r="KHE82" s="38"/>
      <c r="KHF82" s="38"/>
      <c r="KHG82" s="38"/>
      <c r="KHH82" s="38"/>
      <c r="KHI82" s="38"/>
      <c r="KHJ82" s="38"/>
      <c r="KHK82" s="38"/>
      <c r="KHL82" s="38"/>
      <c r="KHM82" s="38"/>
      <c r="KHN82" s="38"/>
      <c r="KHO82" s="38"/>
      <c r="KHP82" s="38"/>
      <c r="KHQ82" s="38"/>
      <c r="KHR82" s="38"/>
      <c r="KHS82" s="38"/>
      <c r="KHT82" s="38"/>
      <c r="KHU82" s="38"/>
      <c r="KHV82" s="38"/>
      <c r="KHW82" s="38"/>
      <c r="KHX82" s="38"/>
      <c r="KHY82" s="38"/>
      <c r="KHZ82" s="38"/>
      <c r="KIA82" s="38"/>
      <c r="KIB82" s="38"/>
      <c r="KIC82" s="38"/>
      <c r="KID82" s="38"/>
      <c r="KIE82" s="38"/>
      <c r="KIF82" s="38"/>
      <c r="KIG82" s="38"/>
      <c r="KIH82" s="38"/>
      <c r="KII82" s="38"/>
      <c r="KIJ82" s="38"/>
      <c r="KIK82" s="38"/>
      <c r="KIL82" s="38"/>
      <c r="KIM82" s="38"/>
      <c r="KIN82" s="38"/>
      <c r="KIO82" s="38"/>
      <c r="KIP82" s="38"/>
      <c r="KIQ82" s="38"/>
      <c r="KIR82" s="38"/>
      <c r="KIS82" s="38"/>
      <c r="KIT82" s="38"/>
      <c r="KIU82" s="38"/>
      <c r="KIV82" s="38"/>
      <c r="KIW82" s="38"/>
      <c r="KIX82" s="38"/>
      <c r="KIY82" s="38"/>
      <c r="KIZ82" s="38"/>
      <c r="KJA82" s="38"/>
      <c r="KJB82" s="38"/>
      <c r="KJC82" s="38"/>
      <c r="KJD82" s="38"/>
      <c r="KJE82" s="38"/>
      <c r="KJF82" s="38"/>
      <c r="KJG82" s="38"/>
      <c r="KJH82" s="38"/>
      <c r="KJI82" s="38"/>
      <c r="KJJ82" s="38"/>
      <c r="KJK82" s="38"/>
      <c r="KJL82" s="38"/>
      <c r="KJM82" s="38"/>
      <c r="KJN82" s="38"/>
      <c r="KJO82" s="38"/>
      <c r="KJP82" s="38"/>
      <c r="KJQ82" s="38"/>
      <c r="KJR82" s="38"/>
      <c r="KJS82" s="38"/>
      <c r="KJT82" s="38"/>
      <c r="KJU82" s="38"/>
      <c r="KJV82" s="38"/>
      <c r="KJW82" s="38"/>
      <c r="KJX82" s="38"/>
      <c r="KJY82" s="38"/>
      <c r="KJZ82" s="38"/>
      <c r="KKA82" s="38"/>
      <c r="KKB82" s="38"/>
      <c r="KKC82" s="38"/>
      <c r="KKD82" s="38"/>
      <c r="KKE82" s="38"/>
      <c r="KKF82" s="38"/>
      <c r="KKG82" s="38"/>
      <c r="KKH82" s="38"/>
      <c r="KKI82" s="38"/>
      <c r="KKJ82" s="38"/>
      <c r="KKK82" s="38"/>
      <c r="KKL82" s="38"/>
      <c r="KKM82" s="38"/>
      <c r="KKN82" s="38"/>
      <c r="KKO82" s="38"/>
      <c r="KKP82" s="38"/>
      <c r="KKQ82" s="38"/>
      <c r="KKR82" s="38"/>
      <c r="KKS82" s="38"/>
      <c r="KKT82" s="38"/>
      <c r="KKU82" s="38"/>
      <c r="KKV82" s="38"/>
      <c r="KKW82" s="38"/>
      <c r="KKX82" s="38"/>
      <c r="KKY82" s="38"/>
      <c r="KKZ82" s="38"/>
      <c r="KLA82" s="38"/>
      <c r="KLB82" s="38"/>
      <c r="KLC82" s="38"/>
      <c r="KLD82" s="38"/>
      <c r="KLE82" s="38"/>
      <c r="KLF82" s="38"/>
      <c r="KLG82" s="38"/>
      <c r="KLH82" s="38"/>
      <c r="KLI82" s="38"/>
      <c r="KLJ82" s="38"/>
      <c r="KLK82" s="38"/>
      <c r="KLL82" s="38"/>
      <c r="KLM82" s="38"/>
      <c r="KLN82" s="38"/>
      <c r="KLO82" s="38"/>
      <c r="KLP82" s="38"/>
      <c r="KLQ82" s="38"/>
      <c r="KLR82" s="38"/>
      <c r="KLS82" s="38"/>
      <c r="KLT82" s="38"/>
      <c r="KLU82" s="38"/>
      <c r="KLV82" s="38"/>
      <c r="KLW82" s="38"/>
      <c r="KLX82" s="38"/>
      <c r="KLY82" s="38"/>
      <c r="KLZ82" s="38"/>
      <c r="KMA82" s="38"/>
      <c r="KMB82" s="38"/>
      <c r="KMC82" s="38"/>
      <c r="KMD82" s="38"/>
      <c r="KME82" s="38"/>
      <c r="KMF82" s="38"/>
      <c r="KMG82" s="38"/>
      <c r="KMH82" s="38"/>
      <c r="KMI82" s="38"/>
      <c r="KMJ82" s="38"/>
      <c r="KMK82" s="38"/>
      <c r="KML82" s="38"/>
      <c r="KMM82" s="38"/>
      <c r="KMN82" s="38"/>
      <c r="KMO82" s="38"/>
      <c r="KMP82" s="38"/>
      <c r="KMQ82" s="38"/>
      <c r="KMR82" s="38"/>
      <c r="KMS82" s="38"/>
      <c r="KMT82" s="38"/>
      <c r="KMU82" s="38"/>
      <c r="KMV82" s="38"/>
      <c r="KMW82" s="38"/>
      <c r="KMX82" s="38"/>
      <c r="KMY82" s="38"/>
      <c r="KMZ82" s="38"/>
      <c r="KNA82" s="38"/>
      <c r="KNB82" s="38"/>
      <c r="KNC82" s="38"/>
      <c r="KND82" s="38"/>
      <c r="KNE82" s="38"/>
      <c r="KNF82" s="38"/>
      <c r="KNG82" s="38"/>
      <c r="KNH82" s="38"/>
      <c r="KNI82" s="38"/>
      <c r="KNJ82" s="38"/>
      <c r="KNK82" s="38"/>
      <c r="KNL82" s="38"/>
      <c r="KNM82" s="38"/>
      <c r="KNN82" s="38"/>
      <c r="KNO82" s="38"/>
      <c r="KNP82" s="38"/>
      <c r="KNQ82" s="38"/>
      <c r="KNR82" s="38"/>
      <c r="KNS82" s="38"/>
      <c r="KNT82" s="38"/>
      <c r="KNU82" s="38"/>
      <c r="KNV82" s="38"/>
      <c r="KNW82" s="38"/>
      <c r="KNX82" s="38"/>
      <c r="KNY82" s="38"/>
      <c r="KNZ82" s="38"/>
      <c r="KOA82" s="38"/>
      <c r="KOB82" s="38"/>
      <c r="KOC82" s="38"/>
      <c r="KOD82" s="38"/>
      <c r="KOE82" s="38"/>
      <c r="KOF82" s="38"/>
      <c r="KOG82" s="38"/>
      <c r="KOH82" s="38"/>
      <c r="KOI82" s="38"/>
      <c r="KOJ82" s="38"/>
      <c r="KOK82" s="38"/>
      <c r="KOL82" s="38"/>
      <c r="KOM82" s="38"/>
      <c r="KON82" s="38"/>
      <c r="KOO82" s="38"/>
      <c r="KOP82" s="38"/>
      <c r="KOQ82" s="38"/>
      <c r="KOR82" s="38"/>
      <c r="KOS82" s="38"/>
      <c r="KOT82" s="38"/>
      <c r="KOU82" s="38"/>
      <c r="KOV82" s="38"/>
      <c r="KOW82" s="38"/>
      <c r="KOX82" s="38"/>
      <c r="KOY82" s="38"/>
      <c r="KOZ82" s="38"/>
      <c r="KPA82" s="38"/>
      <c r="KPB82" s="38"/>
      <c r="KPC82" s="38"/>
      <c r="KPD82" s="38"/>
      <c r="KPE82" s="38"/>
      <c r="KPF82" s="38"/>
      <c r="KPG82" s="38"/>
      <c r="KPH82" s="38"/>
      <c r="KPI82" s="38"/>
      <c r="KPJ82" s="38"/>
      <c r="KPK82" s="38"/>
      <c r="KPL82" s="38"/>
      <c r="KPM82" s="38"/>
      <c r="KPN82" s="38"/>
      <c r="KPO82" s="38"/>
      <c r="KPP82" s="38"/>
      <c r="KPQ82" s="38"/>
      <c r="KPR82" s="38"/>
      <c r="KPS82" s="38"/>
      <c r="KPT82" s="38"/>
      <c r="KPU82" s="38"/>
      <c r="KPV82" s="38"/>
      <c r="KPW82" s="38"/>
      <c r="KPX82" s="38"/>
      <c r="KPY82" s="38"/>
      <c r="KPZ82" s="38"/>
      <c r="KQA82" s="38"/>
      <c r="KQB82" s="38"/>
      <c r="KQC82" s="38"/>
      <c r="KQD82" s="38"/>
      <c r="KQE82" s="38"/>
      <c r="KQF82" s="38"/>
      <c r="KQG82" s="38"/>
      <c r="KQH82" s="38"/>
      <c r="KQI82" s="38"/>
      <c r="KQJ82" s="38"/>
      <c r="KQK82" s="38"/>
      <c r="KQL82" s="38"/>
      <c r="KQM82" s="38"/>
      <c r="KQN82" s="38"/>
      <c r="KQO82" s="38"/>
      <c r="KQP82" s="38"/>
      <c r="KQQ82" s="38"/>
      <c r="KQR82" s="38"/>
      <c r="KQS82" s="38"/>
      <c r="KQT82" s="38"/>
      <c r="KQU82" s="38"/>
      <c r="KQV82" s="38"/>
      <c r="KQW82" s="38"/>
      <c r="KQX82" s="38"/>
      <c r="KQY82" s="38"/>
      <c r="KQZ82" s="38"/>
      <c r="KRA82" s="38"/>
      <c r="KRB82" s="38"/>
      <c r="KRC82" s="38"/>
      <c r="KRD82" s="38"/>
      <c r="KRE82" s="38"/>
      <c r="KRF82" s="38"/>
      <c r="KRG82" s="38"/>
      <c r="KRH82" s="38"/>
      <c r="KRI82" s="38"/>
      <c r="KRJ82" s="38"/>
      <c r="KRK82" s="38"/>
      <c r="KRL82" s="38"/>
      <c r="KRM82" s="38"/>
      <c r="KRN82" s="38"/>
      <c r="KRO82" s="38"/>
      <c r="KRP82" s="38"/>
      <c r="KRQ82" s="38"/>
      <c r="KRR82" s="38"/>
      <c r="KRS82" s="38"/>
      <c r="KRT82" s="38"/>
      <c r="KRU82" s="38"/>
      <c r="KRV82" s="38"/>
      <c r="KRW82" s="38"/>
      <c r="KRX82" s="38"/>
      <c r="KRY82" s="38"/>
      <c r="KRZ82" s="38"/>
      <c r="KSA82" s="38"/>
      <c r="KSB82" s="38"/>
      <c r="KSC82" s="38"/>
      <c r="KSD82" s="38"/>
      <c r="KSE82" s="38"/>
      <c r="KSF82" s="38"/>
      <c r="KSG82" s="38"/>
      <c r="KSH82" s="38"/>
      <c r="KSI82" s="38"/>
      <c r="KSJ82" s="38"/>
      <c r="KSK82" s="38"/>
      <c r="KSL82" s="38"/>
      <c r="KSM82" s="38"/>
      <c r="KSN82" s="38"/>
      <c r="KSO82" s="38"/>
      <c r="KSP82" s="38"/>
      <c r="KSQ82" s="38"/>
      <c r="KSR82" s="38"/>
      <c r="KSS82" s="38"/>
      <c r="KST82" s="38"/>
      <c r="KSU82" s="38"/>
      <c r="KSV82" s="38"/>
      <c r="KSW82" s="38"/>
      <c r="KSX82" s="38"/>
      <c r="KSY82" s="38"/>
      <c r="KSZ82" s="38"/>
      <c r="KTA82" s="38"/>
      <c r="KTB82" s="38"/>
      <c r="KTC82" s="38"/>
      <c r="KTD82" s="38"/>
      <c r="KTE82" s="38"/>
      <c r="KTF82" s="38"/>
      <c r="KTG82" s="38"/>
      <c r="KTH82" s="38"/>
      <c r="KTI82" s="38"/>
      <c r="KTJ82" s="38"/>
      <c r="KTK82" s="38"/>
      <c r="KTL82" s="38"/>
      <c r="KTM82" s="38"/>
      <c r="KTN82" s="38"/>
      <c r="KTO82" s="38"/>
      <c r="KTP82" s="38"/>
      <c r="KTQ82" s="38"/>
      <c r="KTR82" s="38"/>
      <c r="KTS82" s="38"/>
      <c r="KTT82" s="38"/>
      <c r="KTU82" s="38"/>
      <c r="KTV82" s="38"/>
      <c r="KTW82" s="38"/>
      <c r="KTX82" s="38"/>
      <c r="KTY82" s="38"/>
      <c r="KTZ82" s="38"/>
      <c r="KUA82" s="38"/>
      <c r="KUB82" s="38"/>
      <c r="KUC82" s="38"/>
      <c r="KUD82" s="38"/>
      <c r="KUE82" s="38"/>
      <c r="KUF82" s="38"/>
      <c r="KUG82" s="38"/>
      <c r="KUH82" s="38"/>
      <c r="KUI82" s="38"/>
      <c r="KUJ82" s="38"/>
      <c r="KUK82" s="38"/>
      <c r="KUL82" s="38"/>
      <c r="KUM82" s="38"/>
      <c r="KUN82" s="38"/>
      <c r="KUO82" s="38"/>
      <c r="KUP82" s="38"/>
      <c r="KUQ82" s="38"/>
      <c r="KUR82" s="38"/>
      <c r="KUS82" s="38"/>
      <c r="KUT82" s="38"/>
      <c r="KUU82" s="38"/>
      <c r="KUV82" s="38"/>
      <c r="KUW82" s="38"/>
      <c r="KUX82" s="38"/>
      <c r="KUY82" s="38"/>
      <c r="KUZ82" s="38"/>
      <c r="KVA82" s="38"/>
      <c r="KVB82" s="38"/>
      <c r="KVC82" s="38"/>
      <c r="KVD82" s="38"/>
      <c r="KVE82" s="38"/>
      <c r="KVF82" s="38"/>
      <c r="KVG82" s="38"/>
      <c r="KVH82" s="38"/>
      <c r="KVI82" s="38"/>
      <c r="KVJ82" s="38"/>
      <c r="KVK82" s="38"/>
      <c r="KVL82" s="38"/>
      <c r="KVM82" s="38"/>
      <c r="KVN82" s="38"/>
      <c r="KVO82" s="38"/>
      <c r="KVP82" s="38"/>
      <c r="KVQ82" s="38"/>
      <c r="KVR82" s="38"/>
      <c r="KVS82" s="38"/>
      <c r="KVT82" s="38"/>
      <c r="KVU82" s="38"/>
      <c r="KVV82" s="38"/>
      <c r="KVW82" s="38"/>
      <c r="KVX82" s="38"/>
      <c r="KVY82" s="38"/>
      <c r="KVZ82" s="38"/>
      <c r="KWA82" s="38"/>
      <c r="KWB82" s="38"/>
      <c r="KWC82" s="38"/>
      <c r="KWD82" s="38"/>
      <c r="KWE82" s="38"/>
      <c r="KWF82" s="38"/>
      <c r="KWG82" s="38"/>
      <c r="KWH82" s="38"/>
      <c r="KWI82" s="38"/>
      <c r="KWJ82" s="38"/>
      <c r="KWK82" s="38"/>
      <c r="KWL82" s="38"/>
      <c r="KWM82" s="38"/>
      <c r="KWN82" s="38"/>
      <c r="KWO82" s="38"/>
      <c r="KWP82" s="38"/>
      <c r="KWQ82" s="38"/>
      <c r="KWR82" s="38"/>
      <c r="KWS82" s="38"/>
      <c r="KWT82" s="38"/>
      <c r="KWU82" s="38"/>
      <c r="KWV82" s="38"/>
      <c r="KWW82" s="38"/>
      <c r="KWX82" s="38"/>
      <c r="KWY82" s="38"/>
      <c r="KWZ82" s="38"/>
      <c r="KXA82" s="38"/>
      <c r="KXB82" s="38"/>
      <c r="KXC82" s="38"/>
      <c r="KXD82" s="38"/>
      <c r="KXE82" s="38"/>
      <c r="KXF82" s="38"/>
      <c r="KXG82" s="38"/>
      <c r="KXH82" s="38"/>
      <c r="KXI82" s="38"/>
      <c r="KXJ82" s="38"/>
      <c r="KXK82" s="38"/>
      <c r="KXL82" s="38"/>
      <c r="KXM82" s="38"/>
      <c r="KXN82" s="38"/>
      <c r="KXO82" s="38"/>
      <c r="KXP82" s="38"/>
      <c r="KXQ82" s="38"/>
      <c r="KXR82" s="38"/>
      <c r="KXS82" s="38"/>
      <c r="KXT82" s="38"/>
      <c r="KXU82" s="38"/>
      <c r="KXV82" s="38"/>
      <c r="KXW82" s="38"/>
      <c r="KXX82" s="38"/>
      <c r="KXY82" s="38"/>
      <c r="KXZ82" s="38"/>
      <c r="KYA82" s="38"/>
      <c r="KYB82" s="38"/>
      <c r="KYC82" s="38"/>
      <c r="KYD82" s="38"/>
      <c r="KYE82" s="38"/>
      <c r="KYF82" s="38"/>
      <c r="KYG82" s="38"/>
      <c r="KYH82" s="38"/>
      <c r="KYI82" s="38"/>
      <c r="KYJ82" s="38"/>
      <c r="KYK82" s="38"/>
      <c r="KYL82" s="38"/>
      <c r="KYM82" s="38"/>
      <c r="KYN82" s="38"/>
      <c r="KYO82" s="38"/>
      <c r="KYP82" s="38"/>
      <c r="KYQ82" s="38"/>
      <c r="KYR82" s="38"/>
      <c r="KYS82" s="38"/>
      <c r="KYT82" s="38"/>
      <c r="KYU82" s="38"/>
      <c r="KYV82" s="38"/>
      <c r="KYW82" s="38"/>
      <c r="KYX82" s="38"/>
      <c r="KYY82" s="38"/>
      <c r="KYZ82" s="38"/>
      <c r="KZA82" s="38"/>
      <c r="KZB82" s="38"/>
      <c r="KZC82" s="38"/>
      <c r="KZD82" s="38"/>
      <c r="KZE82" s="38"/>
      <c r="KZF82" s="38"/>
      <c r="KZG82" s="38"/>
      <c r="KZH82" s="38"/>
      <c r="KZI82" s="38"/>
      <c r="KZJ82" s="38"/>
      <c r="KZK82" s="38"/>
      <c r="KZL82" s="38"/>
      <c r="KZM82" s="38"/>
      <c r="KZN82" s="38"/>
      <c r="KZO82" s="38"/>
      <c r="KZP82" s="38"/>
      <c r="KZQ82" s="38"/>
      <c r="KZR82" s="38"/>
      <c r="KZS82" s="38"/>
      <c r="KZT82" s="38"/>
      <c r="KZU82" s="38"/>
      <c r="KZV82" s="38"/>
      <c r="KZW82" s="38"/>
      <c r="KZX82" s="38"/>
      <c r="KZY82" s="38"/>
      <c r="KZZ82" s="38"/>
      <c r="LAA82" s="38"/>
      <c r="LAB82" s="38"/>
      <c r="LAC82" s="38"/>
      <c r="LAD82" s="38"/>
      <c r="LAE82" s="38"/>
      <c r="LAF82" s="38"/>
      <c r="LAG82" s="38"/>
      <c r="LAH82" s="38"/>
      <c r="LAI82" s="38"/>
      <c r="LAJ82" s="38"/>
      <c r="LAK82" s="38"/>
      <c r="LAL82" s="38"/>
      <c r="LAM82" s="38"/>
      <c r="LAN82" s="38"/>
      <c r="LAO82" s="38"/>
      <c r="LAP82" s="38"/>
      <c r="LAQ82" s="38"/>
      <c r="LAR82" s="38"/>
      <c r="LAS82" s="38"/>
      <c r="LAT82" s="38"/>
      <c r="LAU82" s="38"/>
      <c r="LAV82" s="38"/>
      <c r="LAW82" s="38"/>
      <c r="LAX82" s="38"/>
      <c r="LAY82" s="38"/>
      <c r="LAZ82" s="38"/>
      <c r="LBA82" s="38"/>
      <c r="LBB82" s="38"/>
      <c r="LBC82" s="38"/>
      <c r="LBD82" s="38"/>
      <c r="LBE82" s="38"/>
      <c r="LBF82" s="38"/>
      <c r="LBG82" s="38"/>
      <c r="LBH82" s="38"/>
      <c r="LBI82" s="38"/>
      <c r="LBJ82" s="38"/>
      <c r="LBK82" s="38"/>
      <c r="LBL82" s="38"/>
      <c r="LBM82" s="38"/>
      <c r="LBN82" s="38"/>
      <c r="LBO82" s="38"/>
      <c r="LBP82" s="38"/>
      <c r="LBQ82" s="38"/>
      <c r="LBR82" s="38"/>
      <c r="LBS82" s="38"/>
      <c r="LBT82" s="38"/>
      <c r="LBU82" s="38"/>
      <c r="LBV82" s="38"/>
      <c r="LBW82" s="38"/>
      <c r="LBX82" s="38"/>
      <c r="LBY82" s="38"/>
      <c r="LBZ82" s="38"/>
      <c r="LCA82" s="38"/>
      <c r="LCB82" s="38"/>
      <c r="LCC82" s="38"/>
      <c r="LCD82" s="38"/>
      <c r="LCE82" s="38"/>
      <c r="LCF82" s="38"/>
      <c r="LCG82" s="38"/>
      <c r="LCH82" s="38"/>
      <c r="LCI82" s="38"/>
      <c r="LCJ82" s="38"/>
      <c r="LCK82" s="38"/>
      <c r="LCL82" s="38"/>
      <c r="LCM82" s="38"/>
      <c r="LCN82" s="38"/>
      <c r="LCO82" s="38"/>
      <c r="LCP82" s="38"/>
      <c r="LCQ82" s="38"/>
      <c r="LCR82" s="38"/>
      <c r="LCS82" s="38"/>
      <c r="LCT82" s="38"/>
      <c r="LCU82" s="38"/>
      <c r="LCV82" s="38"/>
      <c r="LCW82" s="38"/>
      <c r="LCX82" s="38"/>
      <c r="LCY82" s="38"/>
      <c r="LCZ82" s="38"/>
      <c r="LDA82" s="38"/>
      <c r="LDB82" s="38"/>
      <c r="LDC82" s="38"/>
      <c r="LDD82" s="38"/>
      <c r="LDE82" s="38"/>
      <c r="LDF82" s="38"/>
      <c r="LDG82" s="38"/>
      <c r="LDH82" s="38"/>
      <c r="LDI82" s="38"/>
      <c r="LDJ82" s="38"/>
      <c r="LDK82" s="38"/>
      <c r="LDL82" s="38"/>
      <c r="LDM82" s="38"/>
      <c r="LDN82" s="38"/>
      <c r="LDO82" s="38"/>
      <c r="LDP82" s="38"/>
      <c r="LDQ82" s="38"/>
      <c r="LDR82" s="38"/>
      <c r="LDS82" s="38"/>
      <c r="LDT82" s="38"/>
      <c r="LDU82" s="38"/>
      <c r="LDV82" s="38"/>
      <c r="LDW82" s="38"/>
      <c r="LDX82" s="38"/>
      <c r="LDY82" s="38"/>
      <c r="LDZ82" s="38"/>
      <c r="LEA82" s="38"/>
      <c r="LEB82" s="38"/>
      <c r="LEC82" s="38"/>
      <c r="LED82" s="38"/>
      <c r="LEE82" s="38"/>
      <c r="LEF82" s="38"/>
      <c r="LEG82" s="38"/>
      <c r="LEH82" s="38"/>
      <c r="LEI82" s="38"/>
      <c r="LEJ82" s="38"/>
      <c r="LEK82" s="38"/>
      <c r="LEL82" s="38"/>
      <c r="LEM82" s="38"/>
      <c r="LEN82" s="38"/>
      <c r="LEO82" s="38"/>
      <c r="LEP82" s="38"/>
      <c r="LEQ82" s="38"/>
      <c r="LER82" s="38"/>
      <c r="LES82" s="38"/>
      <c r="LET82" s="38"/>
      <c r="LEU82" s="38"/>
      <c r="LEV82" s="38"/>
      <c r="LEW82" s="38"/>
      <c r="LEX82" s="38"/>
      <c r="LEY82" s="38"/>
      <c r="LEZ82" s="38"/>
      <c r="LFA82" s="38"/>
      <c r="LFB82" s="38"/>
      <c r="LFC82" s="38"/>
      <c r="LFD82" s="38"/>
      <c r="LFE82" s="38"/>
      <c r="LFF82" s="38"/>
      <c r="LFG82" s="38"/>
      <c r="LFH82" s="38"/>
      <c r="LFI82" s="38"/>
      <c r="LFJ82" s="38"/>
      <c r="LFK82" s="38"/>
      <c r="LFL82" s="38"/>
      <c r="LFM82" s="38"/>
      <c r="LFN82" s="38"/>
      <c r="LFO82" s="38"/>
      <c r="LFP82" s="38"/>
      <c r="LFQ82" s="38"/>
      <c r="LFR82" s="38"/>
      <c r="LFS82" s="38"/>
      <c r="LFT82" s="38"/>
      <c r="LFU82" s="38"/>
      <c r="LFV82" s="38"/>
      <c r="LFW82" s="38"/>
      <c r="LFX82" s="38"/>
      <c r="LFY82" s="38"/>
      <c r="LFZ82" s="38"/>
      <c r="LGA82" s="38"/>
      <c r="LGB82" s="38"/>
      <c r="LGC82" s="38"/>
      <c r="LGD82" s="38"/>
      <c r="LGE82" s="38"/>
      <c r="LGF82" s="38"/>
      <c r="LGG82" s="38"/>
      <c r="LGH82" s="38"/>
      <c r="LGI82" s="38"/>
      <c r="LGJ82" s="38"/>
      <c r="LGK82" s="38"/>
      <c r="LGL82" s="38"/>
      <c r="LGM82" s="38"/>
      <c r="LGN82" s="38"/>
      <c r="LGO82" s="38"/>
      <c r="LGP82" s="38"/>
      <c r="LGQ82" s="38"/>
      <c r="LGR82" s="38"/>
      <c r="LGS82" s="38"/>
      <c r="LGT82" s="38"/>
      <c r="LGU82" s="38"/>
      <c r="LGV82" s="38"/>
      <c r="LGW82" s="38"/>
      <c r="LGX82" s="38"/>
      <c r="LGY82" s="38"/>
      <c r="LGZ82" s="38"/>
      <c r="LHA82" s="38"/>
      <c r="LHB82" s="38"/>
      <c r="LHC82" s="38"/>
      <c r="LHD82" s="38"/>
      <c r="LHE82" s="38"/>
      <c r="LHF82" s="38"/>
      <c r="LHG82" s="38"/>
      <c r="LHH82" s="38"/>
      <c r="LHI82" s="38"/>
      <c r="LHJ82" s="38"/>
      <c r="LHK82" s="38"/>
      <c r="LHL82" s="38"/>
      <c r="LHM82" s="38"/>
      <c r="LHN82" s="38"/>
      <c r="LHO82" s="38"/>
      <c r="LHP82" s="38"/>
      <c r="LHQ82" s="38"/>
      <c r="LHR82" s="38"/>
      <c r="LHS82" s="38"/>
      <c r="LHT82" s="38"/>
      <c r="LHU82" s="38"/>
      <c r="LHV82" s="38"/>
      <c r="LHW82" s="38"/>
      <c r="LHX82" s="38"/>
      <c r="LHY82" s="38"/>
      <c r="LHZ82" s="38"/>
      <c r="LIA82" s="38"/>
      <c r="LIB82" s="38"/>
      <c r="LIC82" s="38"/>
      <c r="LID82" s="38"/>
      <c r="LIE82" s="38"/>
      <c r="LIF82" s="38"/>
      <c r="LIG82" s="38"/>
      <c r="LIH82" s="38"/>
      <c r="LII82" s="38"/>
      <c r="LIJ82" s="38"/>
      <c r="LIK82" s="38"/>
      <c r="LIL82" s="38"/>
      <c r="LIM82" s="38"/>
      <c r="LIN82" s="38"/>
      <c r="LIO82" s="38"/>
      <c r="LIP82" s="38"/>
      <c r="LIQ82" s="38"/>
      <c r="LIR82" s="38"/>
      <c r="LIS82" s="38"/>
      <c r="LIT82" s="38"/>
      <c r="LIU82" s="38"/>
      <c r="LIV82" s="38"/>
      <c r="LIW82" s="38"/>
      <c r="LIX82" s="38"/>
      <c r="LIY82" s="38"/>
      <c r="LIZ82" s="38"/>
      <c r="LJA82" s="38"/>
      <c r="LJB82" s="38"/>
      <c r="LJC82" s="38"/>
      <c r="LJD82" s="38"/>
      <c r="LJE82" s="38"/>
      <c r="LJF82" s="38"/>
      <c r="LJG82" s="38"/>
      <c r="LJH82" s="38"/>
      <c r="LJI82" s="38"/>
      <c r="LJJ82" s="38"/>
      <c r="LJK82" s="38"/>
      <c r="LJL82" s="38"/>
      <c r="LJM82" s="38"/>
      <c r="LJN82" s="38"/>
      <c r="LJO82" s="38"/>
      <c r="LJP82" s="38"/>
      <c r="LJQ82" s="38"/>
      <c r="LJR82" s="38"/>
      <c r="LJS82" s="38"/>
      <c r="LJT82" s="38"/>
      <c r="LJU82" s="38"/>
      <c r="LJV82" s="38"/>
      <c r="LJW82" s="38"/>
      <c r="LJX82" s="38"/>
      <c r="LJY82" s="38"/>
      <c r="LJZ82" s="38"/>
      <c r="LKA82" s="38"/>
      <c r="LKB82" s="38"/>
      <c r="LKC82" s="38"/>
      <c r="LKD82" s="38"/>
      <c r="LKE82" s="38"/>
      <c r="LKF82" s="38"/>
      <c r="LKG82" s="38"/>
      <c r="LKH82" s="38"/>
      <c r="LKI82" s="38"/>
      <c r="LKJ82" s="38"/>
      <c r="LKK82" s="38"/>
      <c r="LKL82" s="38"/>
      <c r="LKM82" s="38"/>
      <c r="LKN82" s="38"/>
      <c r="LKO82" s="38"/>
      <c r="LKP82" s="38"/>
      <c r="LKQ82" s="38"/>
      <c r="LKR82" s="38"/>
      <c r="LKS82" s="38"/>
      <c r="LKT82" s="38"/>
      <c r="LKU82" s="38"/>
      <c r="LKV82" s="38"/>
      <c r="LKW82" s="38"/>
      <c r="LKX82" s="38"/>
      <c r="LKY82" s="38"/>
      <c r="LKZ82" s="38"/>
      <c r="LLA82" s="38"/>
      <c r="LLB82" s="38"/>
      <c r="LLC82" s="38"/>
      <c r="LLD82" s="38"/>
      <c r="LLE82" s="38"/>
      <c r="LLF82" s="38"/>
      <c r="LLG82" s="38"/>
      <c r="LLH82" s="38"/>
      <c r="LLI82" s="38"/>
      <c r="LLJ82" s="38"/>
      <c r="LLK82" s="38"/>
      <c r="LLL82" s="38"/>
      <c r="LLM82" s="38"/>
      <c r="LLN82" s="38"/>
      <c r="LLO82" s="38"/>
      <c r="LLP82" s="38"/>
      <c r="LLQ82" s="38"/>
      <c r="LLR82" s="38"/>
      <c r="LLS82" s="38"/>
      <c r="LLT82" s="38"/>
      <c r="LLU82" s="38"/>
      <c r="LLV82" s="38"/>
      <c r="LLW82" s="38"/>
      <c r="LLX82" s="38"/>
      <c r="LLY82" s="38"/>
      <c r="LLZ82" s="38"/>
      <c r="LMA82" s="38"/>
      <c r="LMB82" s="38"/>
      <c r="LMC82" s="38"/>
      <c r="LMD82" s="38"/>
      <c r="LME82" s="38"/>
      <c r="LMF82" s="38"/>
      <c r="LMG82" s="38"/>
      <c r="LMH82" s="38"/>
      <c r="LMI82" s="38"/>
      <c r="LMJ82" s="38"/>
      <c r="LMK82" s="38"/>
      <c r="LML82" s="38"/>
      <c r="LMM82" s="38"/>
      <c r="LMN82" s="38"/>
      <c r="LMO82" s="38"/>
      <c r="LMP82" s="38"/>
      <c r="LMQ82" s="38"/>
      <c r="LMR82" s="38"/>
      <c r="LMS82" s="38"/>
      <c r="LMT82" s="38"/>
      <c r="LMU82" s="38"/>
      <c r="LMV82" s="38"/>
      <c r="LMW82" s="38"/>
      <c r="LMX82" s="38"/>
      <c r="LMY82" s="38"/>
      <c r="LMZ82" s="38"/>
      <c r="LNA82" s="38"/>
      <c r="LNB82" s="38"/>
      <c r="LNC82" s="38"/>
      <c r="LND82" s="38"/>
      <c r="LNE82" s="38"/>
      <c r="LNF82" s="38"/>
      <c r="LNG82" s="38"/>
      <c r="LNH82" s="38"/>
      <c r="LNI82" s="38"/>
      <c r="LNJ82" s="38"/>
      <c r="LNK82" s="38"/>
      <c r="LNL82" s="38"/>
      <c r="LNM82" s="38"/>
      <c r="LNN82" s="38"/>
      <c r="LNO82" s="38"/>
      <c r="LNP82" s="38"/>
      <c r="LNQ82" s="38"/>
      <c r="LNR82" s="38"/>
      <c r="LNS82" s="38"/>
      <c r="LNT82" s="38"/>
      <c r="LNU82" s="38"/>
      <c r="LNV82" s="38"/>
      <c r="LNW82" s="38"/>
      <c r="LNX82" s="38"/>
      <c r="LNY82" s="38"/>
      <c r="LNZ82" s="38"/>
      <c r="LOA82" s="38"/>
      <c r="LOB82" s="38"/>
      <c r="LOC82" s="38"/>
      <c r="LOD82" s="38"/>
      <c r="LOE82" s="38"/>
      <c r="LOF82" s="38"/>
      <c r="LOG82" s="38"/>
      <c r="LOH82" s="38"/>
      <c r="LOI82" s="38"/>
      <c r="LOJ82" s="38"/>
      <c r="LOK82" s="38"/>
      <c r="LOL82" s="38"/>
      <c r="LOM82" s="38"/>
      <c r="LON82" s="38"/>
      <c r="LOO82" s="38"/>
      <c r="LOP82" s="38"/>
      <c r="LOQ82" s="38"/>
      <c r="LOR82" s="38"/>
      <c r="LOS82" s="38"/>
      <c r="LOT82" s="38"/>
      <c r="LOU82" s="38"/>
      <c r="LOV82" s="38"/>
      <c r="LOW82" s="38"/>
      <c r="LOX82" s="38"/>
      <c r="LOY82" s="38"/>
      <c r="LOZ82" s="38"/>
      <c r="LPA82" s="38"/>
      <c r="LPB82" s="38"/>
      <c r="LPC82" s="38"/>
      <c r="LPD82" s="38"/>
      <c r="LPE82" s="38"/>
      <c r="LPF82" s="38"/>
      <c r="LPG82" s="38"/>
      <c r="LPH82" s="38"/>
      <c r="LPI82" s="38"/>
      <c r="LPJ82" s="38"/>
      <c r="LPK82" s="38"/>
      <c r="LPL82" s="38"/>
      <c r="LPM82" s="38"/>
      <c r="LPN82" s="38"/>
      <c r="LPO82" s="38"/>
      <c r="LPP82" s="38"/>
      <c r="LPQ82" s="38"/>
      <c r="LPR82" s="38"/>
      <c r="LPS82" s="38"/>
      <c r="LPT82" s="38"/>
      <c r="LPU82" s="38"/>
      <c r="LPV82" s="38"/>
      <c r="LPW82" s="38"/>
      <c r="LPX82" s="38"/>
      <c r="LPY82" s="38"/>
      <c r="LPZ82" s="38"/>
      <c r="LQA82" s="38"/>
      <c r="LQB82" s="38"/>
      <c r="LQC82" s="38"/>
      <c r="LQD82" s="38"/>
      <c r="LQE82" s="38"/>
      <c r="LQF82" s="38"/>
      <c r="LQG82" s="38"/>
      <c r="LQH82" s="38"/>
      <c r="LQI82" s="38"/>
      <c r="LQJ82" s="38"/>
      <c r="LQK82" s="38"/>
      <c r="LQL82" s="38"/>
      <c r="LQM82" s="38"/>
      <c r="LQN82" s="38"/>
      <c r="LQO82" s="38"/>
      <c r="LQP82" s="38"/>
      <c r="LQQ82" s="38"/>
      <c r="LQR82" s="38"/>
      <c r="LQS82" s="38"/>
      <c r="LQT82" s="38"/>
      <c r="LQU82" s="38"/>
      <c r="LQV82" s="38"/>
      <c r="LQW82" s="38"/>
      <c r="LQX82" s="38"/>
      <c r="LQY82" s="38"/>
      <c r="LQZ82" s="38"/>
      <c r="LRA82" s="38"/>
      <c r="LRB82" s="38"/>
      <c r="LRC82" s="38"/>
      <c r="LRD82" s="38"/>
      <c r="LRE82" s="38"/>
      <c r="LRF82" s="38"/>
      <c r="LRG82" s="38"/>
      <c r="LRH82" s="38"/>
      <c r="LRI82" s="38"/>
      <c r="LRJ82" s="38"/>
      <c r="LRK82" s="38"/>
      <c r="LRL82" s="38"/>
      <c r="LRM82" s="38"/>
      <c r="LRN82" s="38"/>
      <c r="LRO82" s="38"/>
      <c r="LRP82" s="38"/>
      <c r="LRQ82" s="38"/>
      <c r="LRR82" s="38"/>
      <c r="LRS82" s="38"/>
      <c r="LRT82" s="38"/>
      <c r="LRU82" s="38"/>
      <c r="LRV82" s="38"/>
      <c r="LRW82" s="38"/>
      <c r="LRX82" s="38"/>
      <c r="LRY82" s="38"/>
      <c r="LRZ82" s="38"/>
      <c r="LSA82" s="38"/>
      <c r="LSB82" s="38"/>
      <c r="LSC82" s="38"/>
      <c r="LSD82" s="38"/>
      <c r="LSE82" s="38"/>
      <c r="LSF82" s="38"/>
      <c r="LSG82" s="38"/>
      <c r="LSH82" s="38"/>
      <c r="LSI82" s="38"/>
      <c r="LSJ82" s="38"/>
      <c r="LSK82" s="38"/>
      <c r="LSL82" s="38"/>
      <c r="LSM82" s="38"/>
      <c r="LSN82" s="38"/>
      <c r="LSO82" s="38"/>
      <c r="LSP82" s="38"/>
      <c r="LSQ82" s="38"/>
      <c r="LSR82" s="38"/>
      <c r="LSS82" s="38"/>
      <c r="LST82" s="38"/>
      <c r="LSU82" s="38"/>
      <c r="LSV82" s="38"/>
      <c r="LSW82" s="38"/>
      <c r="LSX82" s="38"/>
      <c r="LSY82" s="38"/>
      <c r="LSZ82" s="38"/>
      <c r="LTA82" s="38"/>
      <c r="LTB82" s="38"/>
      <c r="LTC82" s="38"/>
      <c r="LTD82" s="38"/>
      <c r="LTE82" s="38"/>
      <c r="LTF82" s="38"/>
      <c r="LTG82" s="38"/>
      <c r="LTH82" s="38"/>
      <c r="LTI82" s="38"/>
      <c r="LTJ82" s="38"/>
      <c r="LTK82" s="38"/>
      <c r="LTL82" s="38"/>
      <c r="LTM82" s="38"/>
      <c r="LTN82" s="38"/>
      <c r="LTO82" s="38"/>
      <c r="LTP82" s="38"/>
      <c r="LTQ82" s="38"/>
      <c r="LTR82" s="38"/>
      <c r="LTS82" s="38"/>
      <c r="LTT82" s="38"/>
      <c r="LTU82" s="38"/>
      <c r="LTV82" s="38"/>
      <c r="LTW82" s="38"/>
      <c r="LTX82" s="38"/>
      <c r="LTY82" s="38"/>
      <c r="LTZ82" s="38"/>
      <c r="LUA82" s="38"/>
      <c r="LUB82" s="38"/>
      <c r="LUC82" s="38"/>
      <c r="LUD82" s="38"/>
      <c r="LUE82" s="38"/>
      <c r="LUF82" s="38"/>
      <c r="LUG82" s="38"/>
      <c r="LUH82" s="38"/>
      <c r="LUI82" s="38"/>
      <c r="LUJ82" s="38"/>
      <c r="LUK82" s="38"/>
      <c r="LUL82" s="38"/>
      <c r="LUM82" s="38"/>
      <c r="LUN82" s="38"/>
      <c r="LUO82" s="38"/>
      <c r="LUP82" s="38"/>
      <c r="LUQ82" s="38"/>
      <c r="LUR82" s="38"/>
      <c r="LUS82" s="38"/>
      <c r="LUT82" s="38"/>
      <c r="LUU82" s="38"/>
      <c r="LUV82" s="38"/>
      <c r="LUW82" s="38"/>
      <c r="LUX82" s="38"/>
      <c r="LUY82" s="38"/>
      <c r="LUZ82" s="38"/>
      <c r="LVA82" s="38"/>
      <c r="LVB82" s="38"/>
      <c r="LVC82" s="38"/>
      <c r="LVD82" s="38"/>
      <c r="LVE82" s="38"/>
      <c r="LVF82" s="38"/>
      <c r="LVG82" s="38"/>
      <c r="LVH82" s="38"/>
      <c r="LVI82" s="38"/>
      <c r="LVJ82" s="38"/>
      <c r="LVK82" s="38"/>
      <c r="LVL82" s="38"/>
      <c r="LVM82" s="38"/>
      <c r="LVN82" s="38"/>
      <c r="LVO82" s="38"/>
      <c r="LVP82" s="38"/>
      <c r="LVQ82" s="38"/>
      <c r="LVR82" s="38"/>
      <c r="LVS82" s="38"/>
      <c r="LVT82" s="38"/>
      <c r="LVU82" s="38"/>
      <c r="LVV82" s="38"/>
      <c r="LVW82" s="38"/>
      <c r="LVX82" s="38"/>
      <c r="LVY82" s="38"/>
      <c r="LVZ82" s="38"/>
      <c r="LWA82" s="38"/>
      <c r="LWB82" s="38"/>
      <c r="LWC82" s="38"/>
      <c r="LWD82" s="38"/>
      <c r="LWE82" s="38"/>
      <c r="LWF82" s="38"/>
      <c r="LWG82" s="38"/>
      <c r="LWH82" s="38"/>
      <c r="LWI82" s="38"/>
      <c r="LWJ82" s="38"/>
      <c r="LWK82" s="38"/>
      <c r="LWL82" s="38"/>
      <c r="LWM82" s="38"/>
      <c r="LWN82" s="38"/>
      <c r="LWO82" s="38"/>
      <c r="LWP82" s="38"/>
      <c r="LWQ82" s="38"/>
      <c r="LWR82" s="38"/>
      <c r="LWS82" s="38"/>
      <c r="LWT82" s="38"/>
      <c r="LWU82" s="38"/>
      <c r="LWV82" s="38"/>
      <c r="LWW82" s="38"/>
      <c r="LWX82" s="38"/>
      <c r="LWY82" s="38"/>
      <c r="LWZ82" s="38"/>
      <c r="LXA82" s="38"/>
      <c r="LXB82" s="38"/>
      <c r="LXC82" s="38"/>
      <c r="LXD82" s="38"/>
      <c r="LXE82" s="38"/>
      <c r="LXF82" s="38"/>
      <c r="LXG82" s="38"/>
      <c r="LXH82" s="38"/>
      <c r="LXI82" s="38"/>
      <c r="LXJ82" s="38"/>
      <c r="LXK82" s="38"/>
      <c r="LXL82" s="38"/>
      <c r="LXM82" s="38"/>
      <c r="LXN82" s="38"/>
      <c r="LXO82" s="38"/>
      <c r="LXP82" s="38"/>
      <c r="LXQ82" s="38"/>
      <c r="LXR82" s="38"/>
      <c r="LXS82" s="38"/>
      <c r="LXT82" s="38"/>
      <c r="LXU82" s="38"/>
      <c r="LXV82" s="38"/>
      <c r="LXW82" s="38"/>
      <c r="LXX82" s="38"/>
      <c r="LXY82" s="38"/>
      <c r="LXZ82" s="38"/>
      <c r="LYA82" s="38"/>
      <c r="LYB82" s="38"/>
      <c r="LYC82" s="38"/>
      <c r="LYD82" s="38"/>
      <c r="LYE82" s="38"/>
      <c r="LYF82" s="38"/>
      <c r="LYG82" s="38"/>
      <c r="LYH82" s="38"/>
      <c r="LYI82" s="38"/>
      <c r="LYJ82" s="38"/>
      <c r="LYK82" s="38"/>
      <c r="LYL82" s="38"/>
      <c r="LYM82" s="38"/>
      <c r="LYN82" s="38"/>
      <c r="LYO82" s="38"/>
      <c r="LYP82" s="38"/>
      <c r="LYQ82" s="38"/>
      <c r="LYR82" s="38"/>
      <c r="LYS82" s="38"/>
      <c r="LYT82" s="38"/>
      <c r="LYU82" s="38"/>
      <c r="LYV82" s="38"/>
      <c r="LYW82" s="38"/>
      <c r="LYX82" s="38"/>
      <c r="LYY82" s="38"/>
      <c r="LYZ82" s="38"/>
      <c r="LZA82" s="38"/>
      <c r="LZB82" s="38"/>
      <c r="LZC82" s="38"/>
      <c r="LZD82" s="38"/>
      <c r="LZE82" s="38"/>
      <c r="LZF82" s="38"/>
      <c r="LZG82" s="38"/>
      <c r="LZH82" s="38"/>
      <c r="LZI82" s="38"/>
      <c r="LZJ82" s="38"/>
      <c r="LZK82" s="38"/>
      <c r="LZL82" s="38"/>
      <c r="LZM82" s="38"/>
      <c r="LZN82" s="38"/>
      <c r="LZO82" s="38"/>
      <c r="LZP82" s="38"/>
      <c r="LZQ82" s="38"/>
      <c r="LZR82" s="38"/>
      <c r="LZS82" s="38"/>
      <c r="LZT82" s="38"/>
      <c r="LZU82" s="38"/>
      <c r="LZV82" s="38"/>
      <c r="LZW82" s="38"/>
      <c r="LZX82" s="38"/>
      <c r="LZY82" s="38"/>
      <c r="LZZ82" s="38"/>
      <c r="MAA82" s="38"/>
      <c r="MAB82" s="38"/>
      <c r="MAC82" s="38"/>
      <c r="MAD82" s="38"/>
      <c r="MAE82" s="38"/>
      <c r="MAF82" s="38"/>
      <c r="MAG82" s="38"/>
      <c r="MAH82" s="38"/>
      <c r="MAI82" s="38"/>
      <c r="MAJ82" s="38"/>
      <c r="MAK82" s="38"/>
      <c r="MAL82" s="38"/>
      <c r="MAM82" s="38"/>
      <c r="MAN82" s="38"/>
      <c r="MAO82" s="38"/>
      <c r="MAP82" s="38"/>
      <c r="MAQ82" s="38"/>
      <c r="MAR82" s="38"/>
      <c r="MAS82" s="38"/>
      <c r="MAT82" s="38"/>
      <c r="MAU82" s="38"/>
      <c r="MAV82" s="38"/>
      <c r="MAW82" s="38"/>
      <c r="MAX82" s="38"/>
      <c r="MAY82" s="38"/>
      <c r="MAZ82" s="38"/>
      <c r="MBA82" s="38"/>
      <c r="MBB82" s="38"/>
      <c r="MBC82" s="38"/>
      <c r="MBD82" s="38"/>
      <c r="MBE82" s="38"/>
      <c r="MBF82" s="38"/>
      <c r="MBG82" s="38"/>
      <c r="MBH82" s="38"/>
      <c r="MBI82" s="38"/>
      <c r="MBJ82" s="38"/>
      <c r="MBK82" s="38"/>
      <c r="MBL82" s="38"/>
      <c r="MBM82" s="38"/>
      <c r="MBN82" s="38"/>
      <c r="MBO82" s="38"/>
      <c r="MBP82" s="38"/>
      <c r="MBQ82" s="38"/>
      <c r="MBR82" s="38"/>
      <c r="MBS82" s="38"/>
      <c r="MBT82" s="38"/>
      <c r="MBU82" s="38"/>
      <c r="MBV82" s="38"/>
      <c r="MBW82" s="38"/>
      <c r="MBX82" s="38"/>
      <c r="MBY82" s="38"/>
      <c r="MBZ82" s="38"/>
      <c r="MCA82" s="38"/>
      <c r="MCB82" s="38"/>
      <c r="MCC82" s="38"/>
      <c r="MCD82" s="38"/>
      <c r="MCE82" s="38"/>
      <c r="MCF82" s="38"/>
      <c r="MCG82" s="38"/>
      <c r="MCH82" s="38"/>
      <c r="MCI82" s="38"/>
      <c r="MCJ82" s="38"/>
      <c r="MCK82" s="38"/>
      <c r="MCL82" s="38"/>
      <c r="MCM82" s="38"/>
      <c r="MCN82" s="38"/>
      <c r="MCO82" s="38"/>
      <c r="MCP82" s="38"/>
      <c r="MCQ82" s="38"/>
      <c r="MCR82" s="38"/>
      <c r="MCS82" s="38"/>
      <c r="MCT82" s="38"/>
      <c r="MCU82" s="38"/>
      <c r="MCV82" s="38"/>
      <c r="MCW82" s="38"/>
      <c r="MCX82" s="38"/>
      <c r="MCY82" s="38"/>
      <c r="MCZ82" s="38"/>
      <c r="MDA82" s="38"/>
      <c r="MDB82" s="38"/>
      <c r="MDC82" s="38"/>
      <c r="MDD82" s="38"/>
      <c r="MDE82" s="38"/>
      <c r="MDF82" s="38"/>
      <c r="MDG82" s="38"/>
      <c r="MDH82" s="38"/>
      <c r="MDI82" s="38"/>
      <c r="MDJ82" s="38"/>
      <c r="MDK82" s="38"/>
      <c r="MDL82" s="38"/>
      <c r="MDM82" s="38"/>
      <c r="MDN82" s="38"/>
      <c r="MDO82" s="38"/>
      <c r="MDP82" s="38"/>
      <c r="MDQ82" s="38"/>
      <c r="MDR82" s="38"/>
      <c r="MDS82" s="38"/>
      <c r="MDT82" s="38"/>
      <c r="MDU82" s="38"/>
      <c r="MDV82" s="38"/>
      <c r="MDW82" s="38"/>
      <c r="MDX82" s="38"/>
      <c r="MDY82" s="38"/>
      <c r="MDZ82" s="38"/>
      <c r="MEA82" s="38"/>
      <c r="MEB82" s="38"/>
      <c r="MEC82" s="38"/>
      <c r="MED82" s="38"/>
      <c r="MEE82" s="38"/>
      <c r="MEF82" s="38"/>
      <c r="MEG82" s="38"/>
      <c r="MEH82" s="38"/>
      <c r="MEI82" s="38"/>
      <c r="MEJ82" s="38"/>
      <c r="MEK82" s="38"/>
      <c r="MEL82" s="38"/>
      <c r="MEM82" s="38"/>
      <c r="MEN82" s="38"/>
      <c r="MEO82" s="38"/>
      <c r="MEP82" s="38"/>
      <c r="MEQ82" s="38"/>
      <c r="MER82" s="38"/>
      <c r="MES82" s="38"/>
      <c r="MET82" s="38"/>
      <c r="MEU82" s="38"/>
      <c r="MEV82" s="38"/>
      <c r="MEW82" s="38"/>
      <c r="MEX82" s="38"/>
      <c r="MEY82" s="38"/>
      <c r="MEZ82" s="38"/>
      <c r="MFA82" s="38"/>
      <c r="MFB82" s="38"/>
      <c r="MFC82" s="38"/>
      <c r="MFD82" s="38"/>
      <c r="MFE82" s="38"/>
      <c r="MFF82" s="38"/>
      <c r="MFG82" s="38"/>
      <c r="MFH82" s="38"/>
      <c r="MFI82" s="38"/>
      <c r="MFJ82" s="38"/>
      <c r="MFK82" s="38"/>
      <c r="MFL82" s="38"/>
      <c r="MFM82" s="38"/>
      <c r="MFN82" s="38"/>
      <c r="MFO82" s="38"/>
      <c r="MFP82" s="38"/>
      <c r="MFQ82" s="38"/>
      <c r="MFR82" s="38"/>
      <c r="MFS82" s="38"/>
      <c r="MFT82" s="38"/>
      <c r="MFU82" s="38"/>
      <c r="MFV82" s="38"/>
      <c r="MFW82" s="38"/>
      <c r="MFX82" s="38"/>
      <c r="MFY82" s="38"/>
      <c r="MFZ82" s="38"/>
      <c r="MGA82" s="38"/>
      <c r="MGB82" s="38"/>
      <c r="MGC82" s="38"/>
      <c r="MGD82" s="38"/>
      <c r="MGE82" s="38"/>
      <c r="MGF82" s="38"/>
      <c r="MGG82" s="38"/>
      <c r="MGH82" s="38"/>
      <c r="MGI82" s="38"/>
      <c r="MGJ82" s="38"/>
      <c r="MGK82" s="38"/>
      <c r="MGL82" s="38"/>
      <c r="MGM82" s="38"/>
      <c r="MGN82" s="38"/>
      <c r="MGO82" s="38"/>
      <c r="MGP82" s="38"/>
      <c r="MGQ82" s="38"/>
      <c r="MGR82" s="38"/>
      <c r="MGS82" s="38"/>
      <c r="MGT82" s="38"/>
      <c r="MGU82" s="38"/>
      <c r="MGV82" s="38"/>
      <c r="MGW82" s="38"/>
      <c r="MGX82" s="38"/>
      <c r="MGY82" s="38"/>
      <c r="MGZ82" s="38"/>
      <c r="MHA82" s="38"/>
      <c r="MHB82" s="38"/>
      <c r="MHC82" s="38"/>
      <c r="MHD82" s="38"/>
      <c r="MHE82" s="38"/>
      <c r="MHF82" s="38"/>
      <c r="MHG82" s="38"/>
      <c r="MHH82" s="38"/>
      <c r="MHI82" s="38"/>
      <c r="MHJ82" s="38"/>
      <c r="MHK82" s="38"/>
      <c r="MHL82" s="38"/>
      <c r="MHM82" s="38"/>
      <c r="MHN82" s="38"/>
      <c r="MHO82" s="38"/>
      <c r="MHP82" s="38"/>
      <c r="MHQ82" s="38"/>
      <c r="MHR82" s="38"/>
      <c r="MHS82" s="38"/>
      <c r="MHT82" s="38"/>
      <c r="MHU82" s="38"/>
      <c r="MHV82" s="38"/>
      <c r="MHW82" s="38"/>
      <c r="MHX82" s="38"/>
      <c r="MHY82" s="38"/>
      <c r="MHZ82" s="38"/>
      <c r="MIA82" s="38"/>
      <c r="MIB82" s="38"/>
      <c r="MIC82" s="38"/>
      <c r="MID82" s="38"/>
      <c r="MIE82" s="38"/>
      <c r="MIF82" s="38"/>
      <c r="MIG82" s="38"/>
      <c r="MIH82" s="38"/>
      <c r="MII82" s="38"/>
      <c r="MIJ82" s="38"/>
      <c r="MIK82" s="38"/>
      <c r="MIL82" s="38"/>
      <c r="MIM82" s="38"/>
      <c r="MIN82" s="38"/>
      <c r="MIO82" s="38"/>
      <c r="MIP82" s="38"/>
      <c r="MIQ82" s="38"/>
      <c r="MIR82" s="38"/>
      <c r="MIS82" s="38"/>
      <c r="MIT82" s="38"/>
      <c r="MIU82" s="38"/>
      <c r="MIV82" s="38"/>
      <c r="MIW82" s="38"/>
      <c r="MIX82" s="38"/>
      <c r="MIY82" s="38"/>
      <c r="MIZ82" s="38"/>
      <c r="MJA82" s="38"/>
      <c r="MJB82" s="38"/>
      <c r="MJC82" s="38"/>
      <c r="MJD82" s="38"/>
      <c r="MJE82" s="38"/>
      <c r="MJF82" s="38"/>
      <c r="MJG82" s="38"/>
      <c r="MJH82" s="38"/>
      <c r="MJI82" s="38"/>
      <c r="MJJ82" s="38"/>
      <c r="MJK82" s="38"/>
      <c r="MJL82" s="38"/>
      <c r="MJM82" s="38"/>
      <c r="MJN82" s="38"/>
      <c r="MJO82" s="38"/>
      <c r="MJP82" s="38"/>
      <c r="MJQ82" s="38"/>
      <c r="MJR82" s="38"/>
      <c r="MJS82" s="38"/>
      <c r="MJT82" s="38"/>
      <c r="MJU82" s="38"/>
      <c r="MJV82" s="38"/>
      <c r="MJW82" s="38"/>
      <c r="MJX82" s="38"/>
      <c r="MJY82" s="38"/>
      <c r="MJZ82" s="38"/>
      <c r="MKA82" s="38"/>
      <c r="MKB82" s="38"/>
      <c r="MKC82" s="38"/>
      <c r="MKD82" s="38"/>
      <c r="MKE82" s="38"/>
      <c r="MKF82" s="38"/>
      <c r="MKG82" s="38"/>
      <c r="MKH82" s="38"/>
      <c r="MKI82" s="38"/>
      <c r="MKJ82" s="38"/>
      <c r="MKK82" s="38"/>
      <c r="MKL82" s="38"/>
      <c r="MKM82" s="38"/>
      <c r="MKN82" s="38"/>
      <c r="MKO82" s="38"/>
      <c r="MKP82" s="38"/>
      <c r="MKQ82" s="38"/>
      <c r="MKR82" s="38"/>
      <c r="MKS82" s="38"/>
      <c r="MKT82" s="38"/>
      <c r="MKU82" s="38"/>
      <c r="MKV82" s="38"/>
      <c r="MKW82" s="38"/>
      <c r="MKX82" s="38"/>
      <c r="MKY82" s="38"/>
      <c r="MKZ82" s="38"/>
      <c r="MLA82" s="38"/>
      <c r="MLB82" s="38"/>
      <c r="MLC82" s="38"/>
      <c r="MLD82" s="38"/>
      <c r="MLE82" s="38"/>
      <c r="MLF82" s="38"/>
      <c r="MLG82" s="38"/>
      <c r="MLH82" s="38"/>
      <c r="MLI82" s="38"/>
      <c r="MLJ82" s="38"/>
      <c r="MLK82" s="38"/>
      <c r="MLL82" s="38"/>
      <c r="MLM82" s="38"/>
      <c r="MLN82" s="38"/>
      <c r="MLO82" s="38"/>
      <c r="MLP82" s="38"/>
      <c r="MLQ82" s="38"/>
      <c r="MLR82" s="38"/>
      <c r="MLS82" s="38"/>
      <c r="MLT82" s="38"/>
      <c r="MLU82" s="38"/>
      <c r="MLV82" s="38"/>
      <c r="MLW82" s="38"/>
      <c r="MLX82" s="38"/>
      <c r="MLY82" s="38"/>
      <c r="MLZ82" s="38"/>
      <c r="MMA82" s="38"/>
      <c r="MMB82" s="38"/>
      <c r="MMC82" s="38"/>
      <c r="MMD82" s="38"/>
      <c r="MME82" s="38"/>
      <c r="MMF82" s="38"/>
      <c r="MMG82" s="38"/>
      <c r="MMH82" s="38"/>
      <c r="MMI82" s="38"/>
      <c r="MMJ82" s="38"/>
      <c r="MMK82" s="38"/>
      <c r="MML82" s="38"/>
      <c r="MMM82" s="38"/>
      <c r="MMN82" s="38"/>
      <c r="MMO82" s="38"/>
      <c r="MMP82" s="38"/>
      <c r="MMQ82" s="38"/>
      <c r="MMR82" s="38"/>
      <c r="MMS82" s="38"/>
      <c r="MMT82" s="38"/>
      <c r="MMU82" s="38"/>
      <c r="MMV82" s="38"/>
      <c r="MMW82" s="38"/>
      <c r="MMX82" s="38"/>
      <c r="MMY82" s="38"/>
      <c r="MMZ82" s="38"/>
      <c r="MNA82" s="38"/>
      <c r="MNB82" s="38"/>
      <c r="MNC82" s="38"/>
      <c r="MND82" s="38"/>
      <c r="MNE82" s="38"/>
      <c r="MNF82" s="38"/>
      <c r="MNG82" s="38"/>
      <c r="MNH82" s="38"/>
      <c r="MNI82" s="38"/>
      <c r="MNJ82" s="38"/>
      <c r="MNK82" s="38"/>
      <c r="MNL82" s="38"/>
      <c r="MNM82" s="38"/>
      <c r="MNN82" s="38"/>
      <c r="MNO82" s="38"/>
      <c r="MNP82" s="38"/>
      <c r="MNQ82" s="38"/>
      <c r="MNR82" s="38"/>
      <c r="MNS82" s="38"/>
      <c r="MNT82" s="38"/>
      <c r="MNU82" s="38"/>
      <c r="MNV82" s="38"/>
      <c r="MNW82" s="38"/>
      <c r="MNX82" s="38"/>
      <c r="MNY82" s="38"/>
      <c r="MNZ82" s="38"/>
      <c r="MOA82" s="38"/>
      <c r="MOB82" s="38"/>
      <c r="MOC82" s="38"/>
      <c r="MOD82" s="38"/>
      <c r="MOE82" s="38"/>
      <c r="MOF82" s="38"/>
      <c r="MOG82" s="38"/>
      <c r="MOH82" s="38"/>
      <c r="MOI82" s="38"/>
      <c r="MOJ82" s="38"/>
      <c r="MOK82" s="38"/>
      <c r="MOL82" s="38"/>
      <c r="MOM82" s="38"/>
      <c r="MON82" s="38"/>
      <c r="MOO82" s="38"/>
      <c r="MOP82" s="38"/>
      <c r="MOQ82" s="38"/>
      <c r="MOR82" s="38"/>
      <c r="MOS82" s="38"/>
      <c r="MOT82" s="38"/>
      <c r="MOU82" s="38"/>
      <c r="MOV82" s="38"/>
      <c r="MOW82" s="38"/>
      <c r="MOX82" s="38"/>
      <c r="MOY82" s="38"/>
      <c r="MOZ82" s="38"/>
      <c r="MPA82" s="38"/>
      <c r="MPB82" s="38"/>
      <c r="MPC82" s="38"/>
      <c r="MPD82" s="38"/>
      <c r="MPE82" s="38"/>
      <c r="MPF82" s="38"/>
      <c r="MPG82" s="38"/>
      <c r="MPH82" s="38"/>
      <c r="MPI82" s="38"/>
      <c r="MPJ82" s="38"/>
      <c r="MPK82" s="38"/>
      <c r="MPL82" s="38"/>
      <c r="MPM82" s="38"/>
      <c r="MPN82" s="38"/>
      <c r="MPO82" s="38"/>
      <c r="MPP82" s="38"/>
      <c r="MPQ82" s="38"/>
      <c r="MPR82" s="38"/>
      <c r="MPS82" s="38"/>
      <c r="MPT82" s="38"/>
      <c r="MPU82" s="38"/>
      <c r="MPV82" s="38"/>
      <c r="MPW82" s="38"/>
      <c r="MPX82" s="38"/>
      <c r="MPY82" s="38"/>
      <c r="MPZ82" s="38"/>
      <c r="MQA82" s="38"/>
      <c r="MQB82" s="38"/>
      <c r="MQC82" s="38"/>
      <c r="MQD82" s="38"/>
      <c r="MQE82" s="38"/>
      <c r="MQF82" s="38"/>
      <c r="MQG82" s="38"/>
      <c r="MQH82" s="38"/>
      <c r="MQI82" s="38"/>
      <c r="MQJ82" s="38"/>
      <c r="MQK82" s="38"/>
      <c r="MQL82" s="38"/>
      <c r="MQM82" s="38"/>
      <c r="MQN82" s="38"/>
      <c r="MQO82" s="38"/>
      <c r="MQP82" s="38"/>
      <c r="MQQ82" s="38"/>
      <c r="MQR82" s="38"/>
      <c r="MQS82" s="38"/>
      <c r="MQT82" s="38"/>
      <c r="MQU82" s="38"/>
      <c r="MQV82" s="38"/>
      <c r="MQW82" s="38"/>
      <c r="MQX82" s="38"/>
      <c r="MQY82" s="38"/>
      <c r="MQZ82" s="38"/>
      <c r="MRA82" s="38"/>
      <c r="MRB82" s="38"/>
      <c r="MRC82" s="38"/>
      <c r="MRD82" s="38"/>
      <c r="MRE82" s="38"/>
      <c r="MRF82" s="38"/>
      <c r="MRG82" s="38"/>
      <c r="MRH82" s="38"/>
      <c r="MRI82" s="38"/>
      <c r="MRJ82" s="38"/>
      <c r="MRK82" s="38"/>
      <c r="MRL82" s="38"/>
      <c r="MRM82" s="38"/>
      <c r="MRN82" s="38"/>
      <c r="MRO82" s="38"/>
      <c r="MRP82" s="38"/>
      <c r="MRQ82" s="38"/>
      <c r="MRR82" s="38"/>
      <c r="MRS82" s="38"/>
      <c r="MRT82" s="38"/>
      <c r="MRU82" s="38"/>
      <c r="MRV82" s="38"/>
      <c r="MRW82" s="38"/>
      <c r="MRX82" s="38"/>
      <c r="MRY82" s="38"/>
      <c r="MRZ82" s="38"/>
      <c r="MSA82" s="38"/>
      <c r="MSB82" s="38"/>
      <c r="MSC82" s="38"/>
      <c r="MSD82" s="38"/>
      <c r="MSE82" s="38"/>
      <c r="MSF82" s="38"/>
      <c r="MSG82" s="38"/>
      <c r="MSH82" s="38"/>
      <c r="MSI82" s="38"/>
      <c r="MSJ82" s="38"/>
      <c r="MSK82" s="38"/>
      <c r="MSL82" s="38"/>
      <c r="MSM82" s="38"/>
      <c r="MSN82" s="38"/>
      <c r="MSO82" s="38"/>
      <c r="MSP82" s="38"/>
      <c r="MSQ82" s="38"/>
      <c r="MSR82" s="38"/>
      <c r="MSS82" s="38"/>
      <c r="MST82" s="38"/>
      <c r="MSU82" s="38"/>
      <c r="MSV82" s="38"/>
      <c r="MSW82" s="38"/>
      <c r="MSX82" s="38"/>
      <c r="MSY82" s="38"/>
      <c r="MSZ82" s="38"/>
      <c r="MTA82" s="38"/>
      <c r="MTB82" s="38"/>
      <c r="MTC82" s="38"/>
      <c r="MTD82" s="38"/>
      <c r="MTE82" s="38"/>
      <c r="MTF82" s="38"/>
      <c r="MTG82" s="38"/>
      <c r="MTH82" s="38"/>
      <c r="MTI82" s="38"/>
      <c r="MTJ82" s="38"/>
      <c r="MTK82" s="38"/>
      <c r="MTL82" s="38"/>
      <c r="MTM82" s="38"/>
      <c r="MTN82" s="38"/>
      <c r="MTO82" s="38"/>
      <c r="MTP82" s="38"/>
      <c r="MTQ82" s="38"/>
      <c r="MTR82" s="38"/>
      <c r="MTS82" s="38"/>
      <c r="MTT82" s="38"/>
      <c r="MTU82" s="38"/>
      <c r="MTV82" s="38"/>
      <c r="MTW82" s="38"/>
      <c r="MTX82" s="38"/>
      <c r="MTY82" s="38"/>
      <c r="MTZ82" s="38"/>
      <c r="MUA82" s="38"/>
      <c r="MUB82" s="38"/>
      <c r="MUC82" s="38"/>
      <c r="MUD82" s="38"/>
      <c r="MUE82" s="38"/>
      <c r="MUF82" s="38"/>
      <c r="MUG82" s="38"/>
      <c r="MUH82" s="38"/>
      <c r="MUI82" s="38"/>
      <c r="MUJ82" s="38"/>
      <c r="MUK82" s="38"/>
      <c r="MUL82" s="38"/>
      <c r="MUM82" s="38"/>
      <c r="MUN82" s="38"/>
      <c r="MUO82" s="38"/>
      <c r="MUP82" s="38"/>
      <c r="MUQ82" s="38"/>
      <c r="MUR82" s="38"/>
      <c r="MUS82" s="38"/>
      <c r="MUT82" s="38"/>
      <c r="MUU82" s="38"/>
      <c r="MUV82" s="38"/>
      <c r="MUW82" s="38"/>
      <c r="MUX82" s="38"/>
      <c r="MUY82" s="38"/>
      <c r="MUZ82" s="38"/>
      <c r="MVA82" s="38"/>
      <c r="MVB82" s="38"/>
      <c r="MVC82" s="38"/>
      <c r="MVD82" s="38"/>
      <c r="MVE82" s="38"/>
      <c r="MVF82" s="38"/>
      <c r="MVG82" s="38"/>
      <c r="MVH82" s="38"/>
      <c r="MVI82" s="38"/>
      <c r="MVJ82" s="38"/>
      <c r="MVK82" s="38"/>
      <c r="MVL82" s="38"/>
      <c r="MVM82" s="38"/>
      <c r="MVN82" s="38"/>
      <c r="MVO82" s="38"/>
      <c r="MVP82" s="38"/>
      <c r="MVQ82" s="38"/>
      <c r="MVR82" s="38"/>
      <c r="MVS82" s="38"/>
      <c r="MVT82" s="38"/>
      <c r="MVU82" s="38"/>
      <c r="MVV82" s="38"/>
      <c r="MVW82" s="38"/>
      <c r="MVX82" s="38"/>
      <c r="MVY82" s="38"/>
      <c r="MVZ82" s="38"/>
      <c r="MWA82" s="38"/>
      <c r="MWB82" s="38"/>
      <c r="MWC82" s="38"/>
      <c r="MWD82" s="38"/>
      <c r="MWE82" s="38"/>
      <c r="MWF82" s="38"/>
      <c r="MWG82" s="38"/>
      <c r="MWH82" s="38"/>
      <c r="MWI82" s="38"/>
      <c r="MWJ82" s="38"/>
      <c r="MWK82" s="38"/>
      <c r="MWL82" s="38"/>
      <c r="MWM82" s="38"/>
      <c r="MWN82" s="38"/>
      <c r="MWO82" s="38"/>
      <c r="MWP82" s="38"/>
      <c r="MWQ82" s="38"/>
      <c r="MWR82" s="38"/>
      <c r="MWS82" s="38"/>
      <c r="MWT82" s="38"/>
      <c r="MWU82" s="38"/>
      <c r="MWV82" s="38"/>
      <c r="MWW82" s="38"/>
      <c r="MWX82" s="38"/>
      <c r="MWY82" s="38"/>
      <c r="MWZ82" s="38"/>
      <c r="MXA82" s="38"/>
      <c r="MXB82" s="38"/>
      <c r="MXC82" s="38"/>
      <c r="MXD82" s="38"/>
      <c r="MXE82" s="38"/>
      <c r="MXF82" s="38"/>
      <c r="MXG82" s="38"/>
      <c r="MXH82" s="38"/>
      <c r="MXI82" s="38"/>
      <c r="MXJ82" s="38"/>
      <c r="MXK82" s="38"/>
      <c r="MXL82" s="38"/>
      <c r="MXM82" s="38"/>
      <c r="MXN82" s="38"/>
      <c r="MXO82" s="38"/>
      <c r="MXP82" s="38"/>
      <c r="MXQ82" s="38"/>
      <c r="MXR82" s="38"/>
      <c r="MXS82" s="38"/>
      <c r="MXT82" s="38"/>
      <c r="MXU82" s="38"/>
      <c r="MXV82" s="38"/>
      <c r="MXW82" s="38"/>
      <c r="MXX82" s="38"/>
      <c r="MXY82" s="38"/>
      <c r="MXZ82" s="38"/>
      <c r="MYA82" s="38"/>
      <c r="MYB82" s="38"/>
      <c r="MYC82" s="38"/>
      <c r="MYD82" s="38"/>
      <c r="MYE82" s="38"/>
      <c r="MYF82" s="38"/>
      <c r="MYG82" s="38"/>
      <c r="MYH82" s="38"/>
      <c r="MYI82" s="38"/>
      <c r="MYJ82" s="38"/>
      <c r="MYK82" s="38"/>
      <c r="MYL82" s="38"/>
      <c r="MYM82" s="38"/>
      <c r="MYN82" s="38"/>
      <c r="MYO82" s="38"/>
      <c r="MYP82" s="38"/>
      <c r="MYQ82" s="38"/>
      <c r="MYR82" s="38"/>
      <c r="MYS82" s="38"/>
      <c r="MYT82" s="38"/>
      <c r="MYU82" s="38"/>
      <c r="MYV82" s="38"/>
      <c r="MYW82" s="38"/>
      <c r="MYX82" s="38"/>
      <c r="MYY82" s="38"/>
      <c r="MYZ82" s="38"/>
      <c r="MZA82" s="38"/>
      <c r="MZB82" s="38"/>
      <c r="MZC82" s="38"/>
      <c r="MZD82" s="38"/>
      <c r="MZE82" s="38"/>
      <c r="MZF82" s="38"/>
      <c r="MZG82" s="38"/>
      <c r="MZH82" s="38"/>
      <c r="MZI82" s="38"/>
      <c r="MZJ82" s="38"/>
      <c r="MZK82" s="38"/>
      <c r="MZL82" s="38"/>
      <c r="MZM82" s="38"/>
      <c r="MZN82" s="38"/>
      <c r="MZO82" s="38"/>
      <c r="MZP82" s="38"/>
      <c r="MZQ82" s="38"/>
      <c r="MZR82" s="38"/>
      <c r="MZS82" s="38"/>
      <c r="MZT82" s="38"/>
      <c r="MZU82" s="38"/>
      <c r="MZV82" s="38"/>
      <c r="MZW82" s="38"/>
      <c r="MZX82" s="38"/>
      <c r="MZY82" s="38"/>
      <c r="MZZ82" s="38"/>
      <c r="NAA82" s="38"/>
      <c r="NAB82" s="38"/>
      <c r="NAC82" s="38"/>
      <c r="NAD82" s="38"/>
      <c r="NAE82" s="38"/>
      <c r="NAF82" s="38"/>
      <c r="NAG82" s="38"/>
      <c r="NAH82" s="38"/>
      <c r="NAI82" s="38"/>
      <c r="NAJ82" s="38"/>
      <c r="NAK82" s="38"/>
      <c r="NAL82" s="38"/>
      <c r="NAM82" s="38"/>
      <c r="NAN82" s="38"/>
      <c r="NAO82" s="38"/>
      <c r="NAP82" s="38"/>
      <c r="NAQ82" s="38"/>
      <c r="NAR82" s="38"/>
      <c r="NAS82" s="38"/>
      <c r="NAT82" s="38"/>
      <c r="NAU82" s="38"/>
      <c r="NAV82" s="38"/>
      <c r="NAW82" s="38"/>
      <c r="NAX82" s="38"/>
      <c r="NAY82" s="38"/>
      <c r="NAZ82" s="38"/>
      <c r="NBA82" s="38"/>
      <c r="NBB82" s="38"/>
      <c r="NBC82" s="38"/>
      <c r="NBD82" s="38"/>
      <c r="NBE82" s="38"/>
      <c r="NBF82" s="38"/>
      <c r="NBG82" s="38"/>
      <c r="NBH82" s="38"/>
      <c r="NBI82" s="38"/>
      <c r="NBJ82" s="38"/>
      <c r="NBK82" s="38"/>
      <c r="NBL82" s="38"/>
      <c r="NBM82" s="38"/>
      <c r="NBN82" s="38"/>
      <c r="NBO82" s="38"/>
      <c r="NBP82" s="38"/>
      <c r="NBQ82" s="38"/>
      <c r="NBR82" s="38"/>
      <c r="NBS82" s="38"/>
      <c r="NBT82" s="38"/>
      <c r="NBU82" s="38"/>
      <c r="NBV82" s="38"/>
      <c r="NBW82" s="38"/>
      <c r="NBX82" s="38"/>
      <c r="NBY82" s="38"/>
      <c r="NBZ82" s="38"/>
      <c r="NCA82" s="38"/>
      <c r="NCB82" s="38"/>
      <c r="NCC82" s="38"/>
      <c r="NCD82" s="38"/>
      <c r="NCE82" s="38"/>
      <c r="NCF82" s="38"/>
      <c r="NCG82" s="38"/>
      <c r="NCH82" s="38"/>
      <c r="NCI82" s="38"/>
      <c r="NCJ82" s="38"/>
      <c r="NCK82" s="38"/>
      <c r="NCL82" s="38"/>
      <c r="NCM82" s="38"/>
      <c r="NCN82" s="38"/>
      <c r="NCO82" s="38"/>
      <c r="NCP82" s="38"/>
      <c r="NCQ82" s="38"/>
      <c r="NCR82" s="38"/>
      <c r="NCS82" s="38"/>
      <c r="NCT82" s="38"/>
      <c r="NCU82" s="38"/>
      <c r="NCV82" s="38"/>
      <c r="NCW82" s="38"/>
      <c r="NCX82" s="38"/>
      <c r="NCY82" s="38"/>
      <c r="NCZ82" s="38"/>
      <c r="NDA82" s="38"/>
      <c r="NDB82" s="38"/>
      <c r="NDC82" s="38"/>
      <c r="NDD82" s="38"/>
      <c r="NDE82" s="38"/>
      <c r="NDF82" s="38"/>
      <c r="NDG82" s="38"/>
      <c r="NDH82" s="38"/>
      <c r="NDI82" s="38"/>
      <c r="NDJ82" s="38"/>
      <c r="NDK82" s="38"/>
      <c r="NDL82" s="38"/>
      <c r="NDM82" s="38"/>
      <c r="NDN82" s="38"/>
      <c r="NDO82" s="38"/>
      <c r="NDP82" s="38"/>
      <c r="NDQ82" s="38"/>
      <c r="NDR82" s="38"/>
      <c r="NDS82" s="38"/>
      <c r="NDT82" s="38"/>
      <c r="NDU82" s="38"/>
      <c r="NDV82" s="38"/>
      <c r="NDW82" s="38"/>
      <c r="NDX82" s="38"/>
      <c r="NDY82" s="38"/>
      <c r="NDZ82" s="38"/>
      <c r="NEA82" s="38"/>
      <c r="NEB82" s="38"/>
      <c r="NEC82" s="38"/>
      <c r="NED82" s="38"/>
      <c r="NEE82" s="38"/>
      <c r="NEF82" s="38"/>
      <c r="NEG82" s="38"/>
      <c r="NEH82" s="38"/>
      <c r="NEI82" s="38"/>
      <c r="NEJ82" s="38"/>
      <c r="NEK82" s="38"/>
      <c r="NEL82" s="38"/>
      <c r="NEM82" s="38"/>
      <c r="NEN82" s="38"/>
      <c r="NEO82" s="38"/>
      <c r="NEP82" s="38"/>
      <c r="NEQ82" s="38"/>
      <c r="NER82" s="38"/>
      <c r="NES82" s="38"/>
      <c r="NET82" s="38"/>
      <c r="NEU82" s="38"/>
      <c r="NEV82" s="38"/>
      <c r="NEW82" s="38"/>
      <c r="NEX82" s="38"/>
      <c r="NEY82" s="38"/>
      <c r="NEZ82" s="38"/>
      <c r="NFA82" s="38"/>
      <c r="NFB82" s="38"/>
      <c r="NFC82" s="38"/>
      <c r="NFD82" s="38"/>
      <c r="NFE82" s="38"/>
      <c r="NFF82" s="38"/>
      <c r="NFG82" s="38"/>
      <c r="NFH82" s="38"/>
      <c r="NFI82" s="38"/>
      <c r="NFJ82" s="38"/>
      <c r="NFK82" s="38"/>
      <c r="NFL82" s="38"/>
      <c r="NFM82" s="38"/>
      <c r="NFN82" s="38"/>
      <c r="NFO82" s="38"/>
      <c r="NFP82" s="38"/>
      <c r="NFQ82" s="38"/>
      <c r="NFR82" s="38"/>
      <c r="NFS82" s="38"/>
      <c r="NFT82" s="38"/>
      <c r="NFU82" s="38"/>
      <c r="NFV82" s="38"/>
      <c r="NFW82" s="38"/>
      <c r="NFX82" s="38"/>
      <c r="NFY82" s="38"/>
      <c r="NFZ82" s="38"/>
      <c r="NGA82" s="38"/>
      <c r="NGB82" s="38"/>
      <c r="NGC82" s="38"/>
      <c r="NGD82" s="38"/>
      <c r="NGE82" s="38"/>
      <c r="NGF82" s="38"/>
      <c r="NGG82" s="38"/>
      <c r="NGH82" s="38"/>
      <c r="NGI82" s="38"/>
      <c r="NGJ82" s="38"/>
      <c r="NGK82" s="38"/>
      <c r="NGL82" s="38"/>
      <c r="NGM82" s="38"/>
      <c r="NGN82" s="38"/>
      <c r="NGO82" s="38"/>
      <c r="NGP82" s="38"/>
      <c r="NGQ82" s="38"/>
      <c r="NGR82" s="38"/>
      <c r="NGS82" s="38"/>
      <c r="NGT82" s="38"/>
      <c r="NGU82" s="38"/>
      <c r="NGV82" s="38"/>
      <c r="NGW82" s="38"/>
      <c r="NGX82" s="38"/>
      <c r="NGY82" s="38"/>
      <c r="NGZ82" s="38"/>
      <c r="NHA82" s="38"/>
      <c r="NHB82" s="38"/>
      <c r="NHC82" s="38"/>
      <c r="NHD82" s="38"/>
      <c r="NHE82" s="38"/>
      <c r="NHF82" s="38"/>
      <c r="NHG82" s="38"/>
      <c r="NHH82" s="38"/>
      <c r="NHI82" s="38"/>
      <c r="NHJ82" s="38"/>
      <c r="NHK82" s="38"/>
      <c r="NHL82" s="38"/>
      <c r="NHM82" s="38"/>
      <c r="NHN82" s="38"/>
      <c r="NHO82" s="38"/>
      <c r="NHP82" s="38"/>
      <c r="NHQ82" s="38"/>
      <c r="NHR82" s="38"/>
      <c r="NHS82" s="38"/>
      <c r="NHT82" s="38"/>
      <c r="NHU82" s="38"/>
      <c r="NHV82" s="38"/>
      <c r="NHW82" s="38"/>
      <c r="NHX82" s="38"/>
      <c r="NHY82" s="38"/>
      <c r="NHZ82" s="38"/>
      <c r="NIA82" s="38"/>
      <c r="NIB82" s="38"/>
      <c r="NIC82" s="38"/>
      <c r="NID82" s="38"/>
      <c r="NIE82" s="38"/>
      <c r="NIF82" s="38"/>
      <c r="NIG82" s="38"/>
      <c r="NIH82" s="38"/>
      <c r="NII82" s="38"/>
      <c r="NIJ82" s="38"/>
      <c r="NIK82" s="38"/>
      <c r="NIL82" s="38"/>
      <c r="NIM82" s="38"/>
      <c r="NIN82" s="38"/>
      <c r="NIO82" s="38"/>
      <c r="NIP82" s="38"/>
      <c r="NIQ82" s="38"/>
      <c r="NIR82" s="38"/>
      <c r="NIS82" s="38"/>
      <c r="NIT82" s="38"/>
      <c r="NIU82" s="38"/>
      <c r="NIV82" s="38"/>
      <c r="NIW82" s="38"/>
      <c r="NIX82" s="38"/>
      <c r="NIY82" s="38"/>
      <c r="NIZ82" s="38"/>
      <c r="NJA82" s="38"/>
      <c r="NJB82" s="38"/>
      <c r="NJC82" s="38"/>
      <c r="NJD82" s="38"/>
      <c r="NJE82" s="38"/>
      <c r="NJF82" s="38"/>
      <c r="NJG82" s="38"/>
      <c r="NJH82" s="38"/>
      <c r="NJI82" s="38"/>
      <c r="NJJ82" s="38"/>
      <c r="NJK82" s="38"/>
      <c r="NJL82" s="38"/>
      <c r="NJM82" s="38"/>
      <c r="NJN82" s="38"/>
      <c r="NJO82" s="38"/>
      <c r="NJP82" s="38"/>
      <c r="NJQ82" s="38"/>
      <c r="NJR82" s="38"/>
      <c r="NJS82" s="38"/>
      <c r="NJT82" s="38"/>
      <c r="NJU82" s="38"/>
      <c r="NJV82" s="38"/>
      <c r="NJW82" s="38"/>
      <c r="NJX82" s="38"/>
      <c r="NJY82" s="38"/>
      <c r="NJZ82" s="38"/>
      <c r="NKA82" s="38"/>
      <c r="NKB82" s="38"/>
      <c r="NKC82" s="38"/>
      <c r="NKD82" s="38"/>
      <c r="NKE82" s="38"/>
      <c r="NKF82" s="38"/>
      <c r="NKG82" s="38"/>
      <c r="NKH82" s="38"/>
      <c r="NKI82" s="38"/>
      <c r="NKJ82" s="38"/>
      <c r="NKK82" s="38"/>
      <c r="NKL82" s="38"/>
      <c r="NKM82" s="38"/>
      <c r="NKN82" s="38"/>
      <c r="NKO82" s="38"/>
      <c r="NKP82" s="38"/>
      <c r="NKQ82" s="38"/>
      <c r="NKR82" s="38"/>
      <c r="NKS82" s="38"/>
      <c r="NKT82" s="38"/>
      <c r="NKU82" s="38"/>
      <c r="NKV82" s="38"/>
      <c r="NKW82" s="38"/>
      <c r="NKX82" s="38"/>
      <c r="NKY82" s="38"/>
      <c r="NKZ82" s="38"/>
      <c r="NLA82" s="38"/>
      <c r="NLB82" s="38"/>
      <c r="NLC82" s="38"/>
      <c r="NLD82" s="38"/>
      <c r="NLE82" s="38"/>
      <c r="NLF82" s="38"/>
      <c r="NLG82" s="38"/>
      <c r="NLH82" s="38"/>
      <c r="NLI82" s="38"/>
      <c r="NLJ82" s="38"/>
      <c r="NLK82" s="38"/>
      <c r="NLL82" s="38"/>
      <c r="NLM82" s="38"/>
      <c r="NLN82" s="38"/>
      <c r="NLO82" s="38"/>
      <c r="NLP82" s="38"/>
      <c r="NLQ82" s="38"/>
      <c r="NLR82" s="38"/>
      <c r="NLS82" s="38"/>
      <c r="NLT82" s="38"/>
      <c r="NLU82" s="38"/>
      <c r="NLV82" s="38"/>
      <c r="NLW82" s="38"/>
      <c r="NLX82" s="38"/>
      <c r="NLY82" s="38"/>
      <c r="NLZ82" s="38"/>
      <c r="NMA82" s="38"/>
      <c r="NMB82" s="38"/>
      <c r="NMC82" s="38"/>
      <c r="NMD82" s="38"/>
      <c r="NME82" s="38"/>
      <c r="NMF82" s="38"/>
      <c r="NMG82" s="38"/>
      <c r="NMH82" s="38"/>
      <c r="NMI82" s="38"/>
      <c r="NMJ82" s="38"/>
      <c r="NMK82" s="38"/>
      <c r="NML82" s="38"/>
      <c r="NMM82" s="38"/>
      <c r="NMN82" s="38"/>
      <c r="NMO82" s="38"/>
      <c r="NMP82" s="38"/>
      <c r="NMQ82" s="38"/>
      <c r="NMR82" s="38"/>
      <c r="NMS82" s="38"/>
      <c r="NMT82" s="38"/>
      <c r="NMU82" s="38"/>
      <c r="NMV82" s="38"/>
      <c r="NMW82" s="38"/>
      <c r="NMX82" s="38"/>
      <c r="NMY82" s="38"/>
      <c r="NMZ82" s="38"/>
      <c r="NNA82" s="38"/>
      <c r="NNB82" s="38"/>
      <c r="NNC82" s="38"/>
      <c r="NND82" s="38"/>
      <c r="NNE82" s="38"/>
      <c r="NNF82" s="38"/>
      <c r="NNG82" s="38"/>
      <c r="NNH82" s="38"/>
      <c r="NNI82" s="38"/>
      <c r="NNJ82" s="38"/>
      <c r="NNK82" s="38"/>
      <c r="NNL82" s="38"/>
      <c r="NNM82" s="38"/>
      <c r="NNN82" s="38"/>
      <c r="NNO82" s="38"/>
      <c r="NNP82" s="38"/>
      <c r="NNQ82" s="38"/>
      <c r="NNR82" s="38"/>
      <c r="NNS82" s="38"/>
      <c r="NNT82" s="38"/>
      <c r="NNU82" s="38"/>
      <c r="NNV82" s="38"/>
      <c r="NNW82" s="38"/>
      <c r="NNX82" s="38"/>
      <c r="NNY82" s="38"/>
      <c r="NNZ82" s="38"/>
      <c r="NOA82" s="38"/>
      <c r="NOB82" s="38"/>
      <c r="NOC82" s="38"/>
      <c r="NOD82" s="38"/>
      <c r="NOE82" s="38"/>
      <c r="NOF82" s="38"/>
      <c r="NOG82" s="38"/>
      <c r="NOH82" s="38"/>
      <c r="NOI82" s="38"/>
      <c r="NOJ82" s="38"/>
      <c r="NOK82" s="38"/>
      <c r="NOL82" s="38"/>
      <c r="NOM82" s="38"/>
      <c r="NON82" s="38"/>
      <c r="NOO82" s="38"/>
      <c r="NOP82" s="38"/>
      <c r="NOQ82" s="38"/>
      <c r="NOR82" s="38"/>
      <c r="NOS82" s="38"/>
      <c r="NOT82" s="38"/>
      <c r="NOU82" s="38"/>
      <c r="NOV82" s="38"/>
      <c r="NOW82" s="38"/>
      <c r="NOX82" s="38"/>
      <c r="NOY82" s="38"/>
      <c r="NOZ82" s="38"/>
      <c r="NPA82" s="38"/>
      <c r="NPB82" s="38"/>
      <c r="NPC82" s="38"/>
      <c r="NPD82" s="38"/>
      <c r="NPE82" s="38"/>
      <c r="NPF82" s="38"/>
      <c r="NPG82" s="38"/>
      <c r="NPH82" s="38"/>
      <c r="NPI82" s="38"/>
      <c r="NPJ82" s="38"/>
      <c r="NPK82" s="38"/>
      <c r="NPL82" s="38"/>
      <c r="NPM82" s="38"/>
      <c r="NPN82" s="38"/>
      <c r="NPO82" s="38"/>
      <c r="NPP82" s="38"/>
      <c r="NPQ82" s="38"/>
      <c r="NPR82" s="38"/>
      <c r="NPS82" s="38"/>
      <c r="NPT82" s="38"/>
      <c r="NPU82" s="38"/>
      <c r="NPV82" s="38"/>
      <c r="NPW82" s="38"/>
      <c r="NPX82" s="38"/>
      <c r="NPY82" s="38"/>
      <c r="NPZ82" s="38"/>
      <c r="NQA82" s="38"/>
      <c r="NQB82" s="38"/>
      <c r="NQC82" s="38"/>
      <c r="NQD82" s="38"/>
      <c r="NQE82" s="38"/>
      <c r="NQF82" s="38"/>
      <c r="NQG82" s="38"/>
      <c r="NQH82" s="38"/>
      <c r="NQI82" s="38"/>
      <c r="NQJ82" s="38"/>
      <c r="NQK82" s="38"/>
      <c r="NQL82" s="38"/>
      <c r="NQM82" s="38"/>
      <c r="NQN82" s="38"/>
      <c r="NQO82" s="38"/>
      <c r="NQP82" s="38"/>
      <c r="NQQ82" s="38"/>
      <c r="NQR82" s="38"/>
      <c r="NQS82" s="38"/>
      <c r="NQT82" s="38"/>
      <c r="NQU82" s="38"/>
      <c r="NQV82" s="38"/>
      <c r="NQW82" s="38"/>
      <c r="NQX82" s="38"/>
      <c r="NQY82" s="38"/>
      <c r="NQZ82" s="38"/>
      <c r="NRA82" s="38"/>
      <c r="NRB82" s="38"/>
      <c r="NRC82" s="38"/>
      <c r="NRD82" s="38"/>
      <c r="NRE82" s="38"/>
      <c r="NRF82" s="38"/>
      <c r="NRG82" s="38"/>
      <c r="NRH82" s="38"/>
      <c r="NRI82" s="38"/>
      <c r="NRJ82" s="38"/>
      <c r="NRK82" s="38"/>
      <c r="NRL82" s="38"/>
      <c r="NRM82" s="38"/>
      <c r="NRN82" s="38"/>
      <c r="NRO82" s="38"/>
      <c r="NRP82" s="38"/>
      <c r="NRQ82" s="38"/>
      <c r="NRR82" s="38"/>
      <c r="NRS82" s="38"/>
      <c r="NRT82" s="38"/>
      <c r="NRU82" s="38"/>
      <c r="NRV82" s="38"/>
      <c r="NRW82" s="38"/>
      <c r="NRX82" s="38"/>
      <c r="NRY82" s="38"/>
      <c r="NRZ82" s="38"/>
      <c r="NSA82" s="38"/>
      <c r="NSB82" s="38"/>
      <c r="NSC82" s="38"/>
      <c r="NSD82" s="38"/>
      <c r="NSE82" s="38"/>
      <c r="NSF82" s="38"/>
      <c r="NSG82" s="38"/>
      <c r="NSH82" s="38"/>
      <c r="NSI82" s="38"/>
      <c r="NSJ82" s="38"/>
      <c r="NSK82" s="38"/>
      <c r="NSL82" s="38"/>
      <c r="NSM82" s="38"/>
      <c r="NSN82" s="38"/>
      <c r="NSO82" s="38"/>
      <c r="NSP82" s="38"/>
      <c r="NSQ82" s="38"/>
      <c r="NSR82" s="38"/>
      <c r="NSS82" s="38"/>
      <c r="NST82" s="38"/>
      <c r="NSU82" s="38"/>
      <c r="NSV82" s="38"/>
      <c r="NSW82" s="38"/>
      <c r="NSX82" s="38"/>
      <c r="NSY82" s="38"/>
      <c r="NSZ82" s="38"/>
      <c r="NTA82" s="38"/>
      <c r="NTB82" s="38"/>
      <c r="NTC82" s="38"/>
      <c r="NTD82" s="38"/>
      <c r="NTE82" s="38"/>
      <c r="NTF82" s="38"/>
      <c r="NTG82" s="38"/>
      <c r="NTH82" s="38"/>
      <c r="NTI82" s="38"/>
      <c r="NTJ82" s="38"/>
      <c r="NTK82" s="38"/>
      <c r="NTL82" s="38"/>
      <c r="NTM82" s="38"/>
      <c r="NTN82" s="38"/>
      <c r="NTO82" s="38"/>
      <c r="NTP82" s="38"/>
      <c r="NTQ82" s="38"/>
      <c r="NTR82" s="38"/>
      <c r="NTS82" s="38"/>
      <c r="NTT82" s="38"/>
      <c r="NTU82" s="38"/>
      <c r="NTV82" s="38"/>
      <c r="NTW82" s="38"/>
      <c r="NTX82" s="38"/>
      <c r="NTY82" s="38"/>
      <c r="NTZ82" s="38"/>
      <c r="NUA82" s="38"/>
      <c r="NUB82" s="38"/>
      <c r="NUC82" s="38"/>
      <c r="NUD82" s="38"/>
      <c r="NUE82" s="38"/>
      <c r="NUF82" s="38"/>
      <c r="NUG82" s="38"/>
      <c r="NUH82" s="38"/>
      <c r="NUI82" s="38"/>
      <c r="NUJ82" s="38"/>
      <c r="NUK82" s="38"/>
      <c r="NUL82" s="38"/>
      <c r="NUM82" s="38"/>
      <c r="NUN82" s="38"/>
      <c r="NUO82" s="38"/>
      <c r="NUP82" s="38"/>
      <c r="NUQ82" s="38"/>
      <c r="NUR82" s="38"/>
      <c r="NUS82" s="38"/>
      <c r="NUT82" s="38"/>
      <c r="NUU82" s="38"/>
      <c r="NUV82" s="38"/>
      <c r="NUW82" s="38"/>
      <c r="NUX82" s="38"/>
      <c r="NUY82" s="38"/>
      <c r="NUZ82" s="38"/>
      <c r="NVA82" s="38"/>
      <c r="NVB82" s="38"/>
      <c r="NVC82" s="38"/>
      <c r="NVD82" s="38"/>
      <c r="NVE82" s="38"/>
      <c r="NVF82" s="38"/>
      <c r="NVG82" s="38"/>
      <c r="NVH82" s="38"/>
      <c r="NVI82" s="38"/>
      <c r="NVJ82" s="38"/>
      <c r="NVK82" s="38"/>
      <c r="NVL82" s="38"/>
      <c r="NVM82" s="38"/>
      <c r="NVN82" s="38"/>
      <c r="NVO82" s="38"/>
      <c r="NVP82" s="38"/>
      <c r="NVQ82" s="38"/>
      <c r="NVR82" s="38"/>
      <c r="NVS82" s="38"/>
      <c r="NVT82" s="38"/>
      <c r="NVU82" s="38"/>
      <c r="NVV82" s="38"/>
      <c r="NVW82" s="38"/>
      <c r="NVX82" s="38"/>
      <c r="NVY82" s="38"/>
      <c r="NVZ82" s="38"/>
      <c r="NWA82" s="38"/>
      <c r="NWB82" s="38"/>
      <c r="NWC82" s="38"/>
      <c r="NWD82" s="38"/>
      <c r="NWE82" s="38"/>
      <c r="NWF82" s="38"/>
      <c r="NWG82" s="38"/>
      <c r="NWH82" s="38"/>
      <c r="NWI82" s="38"/>
      <c r="NWJ82" s="38"/>
      <c r="NWK82" s="38"/>
      <c r="NWL82" s="38"/>
      <c r="NWM82" s="38"/>
      <c r="NWN82" s="38"/>
      <c r="NWO82" s="38"/>
      <c r="NWP82" s="38"/>
      <c r="NWQ82" s="38"/>
      <c r="NWR82" s="38"/>
      <c r="NWS82" s="38"/>
      <c r="NWT82" s="38"/>
      <c r="NWU82" s="38"/>
      <c r="NWV82" s="38"/>
      <c r="NWW82" s="38"/>
      <c r="NWX82" s="38"/>
      <c r="NWY82" s="38"/>
      <c r="NWZ82" s="38"/>
      <c r="NXA82" s="38"/>
      <c r="NXB82" s="38"/>
      <c r="NXC82" s="38"/>
      <c r="NXD82" s="38"/>
      <c r="NXE82" s="38"/>
      <c r="NXF82" s="38"/>
      <c r="NXG82" s="38"/>
      <c r="NXH82" s="38"/>
      <c r="NXI82" s="38"/>
      <c r="NXJ82" s="38"/>
      <c r="NXK82" s="38"/>
      <c r="NXL82" s="38"/>
      <c r="NXM82" s="38"/>
      <c r="NXN82" s="38"/>
      <c r="NXO82" s="38"/>
      <c r="NXP82" s="38"/>
      <c r="NXQ82" s="38"/>
      <c r="NXR82" s="38"/>
      <c r="NXS82" s="38"/>
      <c r="NXT82" s="38"/>
      <c r="NXU82" s="38"/>
      <c r="NXV82" s="38"/>
      <c r="NXW82" s="38"/>
      <c r="NXX82" s="38"/>
      <c r="NXY82" s="38"/>
      <c r="NXZ82" s="38"/>
      <c r="NYA82" s="38"/>
      <c r="NYB82" s="38"/>
      <c r="NYC82" s="38"/>
      <c r="NYD82" s="38"/>
      <c r="NYE82" s="38"/>
      <c r="NYF82" s="38"/>
      <c r="NYG82" s="38"/>
      <c r="NYH82" s="38"/>
      <c r="NYI82" s="38"/>
      <c r="NYJ82" s="38"/>
      <c r="NYK82" s="38"/>
      <c r="NYL82" s="38"/>
      <c r="NYM82" s="38"/>
      <c r="NYN82" s="38"/>
      <c r="NYO82" s="38"/>
      <c r="NYP82" s="38"/>
      <c r="NYQ82" s="38"/>
      <c r="NYR82" s="38"/>
      <c r="NYS82" s="38"/>
      <c r="NYT82" s="38"/>
      <c r="NYU82" s="38"/>
      <c r="NYV82" s="38"/>
      <c r="NYW82" s="38"/>
      <c r="NYX82" s="38"/>
      <c r="NYY82" s="38"/>
      <c r="NYZ82" s="38"/>
      <c r="NZA82" s="38"/>
      <c r="NZB82" s="38"/>
      <c r="NZC82" s="38"/>
      <c r="NZD82" s="38"/>
      <c r="NZE82" s="38"/>
      <c r="NZF82" s="38"/>
      <c r="NZG82" s="38"/>
      <c r="NZH82" s="38"/>
      <c r="NZI82" s="38"/>
      <c r="NZJ82" s="38"/>
      <c r="NZK82" s="38"/>
      <c r="NZL82" s="38"/>
      <c r="NZM82" s="38"/>
      <c r="NZN82" s="38"/>
      <c r="NZO82" s="38"/>
      <c r="NZP82" s="38"/>
      <c r="NZQ82" s="38"/>
      <c r="NZR82" s="38"/>
      <c r="NZS82" s="38"/>
      <c r="NZT82" s="38"/>
      <c r="NZU82" s="38"/>
      <c r="NZV82" s="38"/>
      <c r="NZW82" s="38"/>
      <c r="NZX82" s="38"/>
      <c r="NZY82" s="38"/>
      <c r="NZZ82" s="38"/>
      <c r="OAA82" s="38"/>
      <c r="OAB82" s="38"/>
      <c r="OAC82" s="38"/>
      <c r="OAD82" s="38"/>
      <c r="OAE82" s="38"/>
      <c r="OAF82" s="38"/>
      <c r="OAG82" s="38"/>
      <c r="OAH82" s="38"/>
      <c r="OAI82" s="38"/>
      <c r="OAJ82" s="38"/>
      <c r="OAK82" s="38"/>
      <c r="OAL82" s="38"/>
      <c r="OAM82" s="38"/>
      <c r="OAN82" s="38"/>
      <c r="OAO82" s="38"/>
      <c r="OAP82" s="38"/>
      <c r="OAQ82" s="38"/>
      <c r="OAR82" s="38"/>
      <c r="OAS82" s="38"/>
      <c r="OAT82" s="38"/>
      <c r="OAU82" s="38"/>
      <c r="OAV82" s="38"/>
      <c r="OAW82" s="38"/>
      <c r="OAX82" s="38"/>
      <c r="OAY82" s="38"/>
      <c r="OAZ82" s="38"/>
      <c r="OBA82" s="38"/>
      <c r="OBB82" s="38"/>
      <c r="OBC82" s="38"/>
      <c r="OBD82" s="38"/>
      <c r="OBE82" s="38"/>
      <c r="OBF82" s="38"/>
      <c r="OBG82" s="38"/>
      <c r="OBH82" s="38"/>
      <c r="OBI82" s="38"/>
      <c r="OBJ82" s="38"/>
      <c r="OBK82" s="38"/>
      <c r="OBL82" s="38"/>
      <c r="OBM82" s="38"/>
      <c r="OBN82" s="38"/>
      <c r="OBO82" s="38"/>
      <c r="OBP82" s="38"/>
      <c r="OBQ82" s="38"/>
      <c r="OBR82" s="38"/>
      <c r="OBS82" s="38"/>
      <c r="OBT82" s="38"/>
      <c r="OBU82" s="38"/>
      <c r="OBV82" s="38"/>
      <c r="OBW82" s="38"/>
      <c r="OBX82" s="38"/>
      <c r="OBY82" s="38"/>
      <c r="OBZ82" s="38"/>
      <c r="OCA82" s="38"/>
      <c r="OCB82" s="38"/>
      <c r="OCC82" s="38"/>
      <c r="OCD82" s="38"/>
      <c r="OCE82" s="38"/>
      <c r="OCF82" s="38"/>
      <c r="OCG82" s="38"/>
      <c r="OCH82" s="38"/>
      <c r="OCI82" s="38"/>
      <c r="OCJ82" s="38"/>
      <c r="OCK82" s="38"/>
      <c r="OCL82" s="38"/>
      <c r="OCM82" s="38"/>
      <c r="OCN82" s="38"/>
      <c r="OCO82" s="38"/>
      <c r="OCP82" s="38"/>
      <c r="OCQ82" s="38"/>
      <c r="OCR82" s="38"/>
      <c r="OCS82" s="38"/>
      <c r="OCT82" s="38"/>
      <c r="OCU82" s="38"/>
      <c r="OCV82" s="38"/>
      <c r="OCW82" s="38"/>
      <c r="OCX82" s="38"/>
      <c r="OCY82" s="38"/>
      <c r="OCZ82" s="38"/>
      <c r="ODA82" s="38"/>
      <c r="ODB82" s="38"/>
      <c r="ODC82" s="38"/>
      <c r="ODD82" s="38"/>
      <c r="ODE82" s="38"/>
      <c r="ODF82" s="38"/>
      <c r="ODG82" s="38"/>
      <c r="ODH82" s="38"/>
      <c r="ODI82" s="38"/>
      <c r="ODJ82" s="38"/>
      <c r="ODK82" s="38"/>
      <c r="ODL82" s="38"/>
      <c r="ODM82" s="38"/>
      <c r="ODN82" s="38"/>
      <c r="ODO82" s="38"/>
      <c r="ODP82" s="38"/>
      <c r="ODQ82" s="38"/>
      <c r="ODR82" s="38"/>
      <c r="ODS82" s="38"/>
      <c r="ODT82" s="38"/>
      <c r="ODU82" s="38"/>
      <c r="ODV82" s="38"/>
      <c r="ODW82" s="38"/>
      <c r="ODX82" s="38"/>
      <c r="ODY82" s="38"/>
      <c r="ODZ82" s="38"/>
      <c r="OEA82" s="38"/>
      <c r="OEB82" s="38"/>
      <c r="OEC82" s="38"/>
      <c r="OED82" s="38"/>
      <c r="OEE82" s="38"/>
      <c r="OEF82" s="38"/>
      <c r="OEG82" s="38"/>
      <c r="OEH82" s="38"/>
      <c r="OEI82" s="38"/>
      <c r="OEJ82" s="38"/>
      <c r="OEK82" s="38"/>
      <c r="OEL82" s="38"/>
      <c r="OEM82" s="38"/>
      <c r="OEN82" s="38"/>
      <c r="OEO82" s="38"/>
      <c r="OEP82" s="38"/>
      <c r="OEQ82" s="38"/>
      <c r="OER82" s="38"/>
      <c r="OES82" s="38"/>
      <c r="OET82" s="38"/>
      <c r="OEU82" s="38"/>
      <c r="OEV82" s="38"/>
      <c r="OEW82" s="38"/>
      <c r="OEX82" s="38"/>
      <c r="OEY82" s="38"/>
      <c r="OEZ82" s="38"/>
      <c r="OFA82" s="38"/>
      <c r="OFB82" s="38"/>
      <c r="OFC82" s="38"/>
      <c r="OFD82" s="38"/>
      <c r="OFE82" s="38"/>
      <c r="OFF82" s="38"/>
      <c r="OFG82" s="38"/>
      <c r="OFH82" s="38"/>
      <c r="OFI82" s="38"/>
      <c r="OFJ82" s="38"/>
      <c r="OFK82" s="38"/>
      <c r="OFL82" s="38"/>
      <c r="OFM82" s="38"/>
      <c r="OFN82" s="38"/>
      <c r="OFO82" s="38"/>
      <c r="OFP82" s="38"/>
      <c r="OFQ82" s="38"/>
      <c r="OFR82" s="38"/>
      <c r="OFS82" s="38"/>
      <c r="OFT82" s="38"/>
      <c r="OFU82" s="38"/>
      <c r="OFV82" s="38"/>
      <c r="OFW82" s="38"/>
      <c r="OFX82" s="38"/>
      <c r="OFY82" s="38"/>
      <c r="OFZ82" s="38"/>
      <c r="OGA82" s="38"/>
      <c r="OGB82" s="38"/>
      <c r="OGC82" s="38"/>
      <c r="OGD82" s="38"/>
      <c r="OGE82" s="38"/>
      <c r="OGF82" s="38"/>
      <c r="OGG82" s="38"/>
      <c r="OGH82" s="38"/>
      <c r="OGI82" s="38"/>
      <c r="OGJ82" s="38"/>
      <c r="OGK82" s="38"/>
      <c r="OGL82" s="38"/>
      <c r="OGM82" s="38"/>
      <c r="OGN82" s="38"/>
      <c r="OGO82" s="38"/>
      <c r="OGP82" s="38"/>
      <c r="OGQ82" s="38"/>
      <c r="OGR82" s="38"/>
      <c r="OGS82" s="38"/>
      <c r="OGT82" s="38"/>
      <c r="OGU82" s="38"/>
      <c r="OGV82" s="38"/>
      <c r="OGW82" s="38"/>
      <c r="OGX82" s="38"/>
      <c r="OGY82" s="38"/>
      <c r="OGZ82" s="38"/>
      <c r="OHA82" s="38"/>
      <c r="OHB82" s="38"/>
      <c r="OHC82" s="38"/>
      <c r="OHD82" s="38"/>
      <c r="OHE82" s="38"/>
      <c r="OHF82" s="38"/>
      <c r="OHG82" s="38"/>
      <c r="OHH82" s="38"/>
      <c r="OHI82" s="38"/>
      <c r="OHJ82" s="38"/>
      <c r="OHK82" s="38"/>
      <c r="OHL82" s="38"/>
      <c r="OHM82" s="38"/>
      <c r="OHN82" s="38"/>
      <c r="OHO82" s="38"/>
      <c r="OHP82" s="38"/>
      <c r="OHQ82" s="38"/>
      <c r="OHR82" s="38"/>
      <c r="OHS82" s="38"/>
      <c r="OHT82" s="38"/>
      <c r="OHU82" s="38"/>
      <c r="OHV82" s="38"/>
      <c r="OHW82" s="38"/>
      <c r="OHX82" s="38"/>
      <c r="OHY82" s="38"/>
      <c r="OHZ82" s="38"/>
      <c r="OIA82" s="38"/>
      <c r="OIB82" s="38"/>
      <c r="OIC82" s="38"/>
      <c r="OID82" s="38"/>
      <c r="OIE82" s="38"/>
      <c r="OIF82" s="38"/>
      <c r="OIG82" s="38"/>
      <c r="OIH82" s="38"/>
      <c r="OII82" s="38"/>
      <c r="OIJ82" s="38"/>
      <c r="OIK82" s="38"/>
      <c r="OIL82" s="38"/>
      <c r="OIM82" s="38"/>
      <c r="OIN82" s="38"/>
      <c r="OIO82" s="38"/>
      <c r="OIP82" s="38"/>
      <c r="OIQ82" s="38"/>
      <c r="OIR82" s="38"/>
      <c r="OIS82" s="38"/>
      <c r="OIT82" s="38"/>
      <c r="OIU82" s="38"/>
      <c r="OIV82" s="38"/>
      <c r="OIW82" s="38"/>
      <c r="OIX82" s="38"/>
      <c r="OIY82" s="38"/>
      <c r="OIZ82" s="38"/>
      <c r="OJA82" s="38"/>
      <c r="OJB82" s="38"/>
      <c r="OJC82" s="38"/>
      <c r="OJD82" s="38"/>
      <c r="OJE82" s="38"/>
      <c r="OJF82" s="38"/>
      <c r="OJG82" s="38"/>
      <c r="OJH82" s="38"/>
      <c r="OJI82" s="38"/>
      <c r="OJJ82" s="38"/>
      <c r="OJK82" s="38"/>
      <c r="OJL82" s="38"/>
      <c r="OJM82" s="38"/>
      <c r="OJN82" s="38"/>
      <c r="OJO82" s="38"/>
      <c r="OJP82" s="38"/>
      <c r="OJQ82" s="38"/>
      <c r="OJR82" s="38"/>
      <c r="OJS82" s="38"/>
      <c r="OJT82" s="38"/>
      <c r="OJU82" s="38"/>
      <c r="OJV82" s="38"/>
      <c r="OJW82" s="38"/>
      <c r="OJX82" s="38"/>
      <c r="OJY82" s="38"/>
      <c r="OJZ82" s="38"/>
      <c r="OKA82" s="38"/>
      <c r="OKB82" s="38"/>
      <c r="OKC82" s="38"/>
      <c r="OKD82" s="38"/>
      <c r="OKE82" s="38"/>
      <c r="OKF82" s="38"/>
      <c r="OKG82" s="38"/>
      <c r="OKH82" s="38"/>
      <c r="OKI82" s="38"/>
      <c r="OKJ82" s="38"/>
      <c r="OKK82" s="38"/>
      <c r="OKL82" s="38"/>
      <c r="OKM82" s="38"/>
      <c r="OKN82" s="38"/>
      <c r="OKO82" s="38"/>
      <c r="OKP82" s="38"/>
      <c r="OKQ82" s="38"/>
      <c r="OKR82" s="38"/>
      <c r="OKS82" s="38"/>
      <c r="OKT82" s="38"/>
      <c r="OKU82" s="38"/>
      <c r="OKV82" s="38"/>
      <c r="OKW82" s="38"/>
      <c r="OKX82" s="38"/>
      <c r="OKY82" s="38"/>
      <c r="OKZ82" s="38"/>
      <c r="OLA82" s="38"/>
      <c r="OLB82" s="38"/>
      <c r="OLC82" s="38"/>
      <c r="OLD82" s="38"/>
      <c r="OLE82" s="38"/>
      <c r="OLF82" s="38"/>
      <c r="OLG82" s="38"/>
      <c r="OLH82" s="38"/>
      <c r="OLI82" s="38"/>
      <c r="OLJ82" s="38"/>
      <c r="OLK82" s="38"/>
      <c r="OLL82" s="38"/>
      <c r="OLM82" s="38"/>
      <c r="OLN82" s="38"/>
      <c r="OLO82" s="38"/>
      <c r="OLP82" s="38"/>
      <c r="OLQ82" s="38"/>
      <c r="OLR82" s="38"/>
      <c r="OLS82" s="38"/>
      <c r="OLT82" s="38"/>
      <c r="OLU82" s="38"/>
      <c r="OLV82" s="38"/>
      <c r="OLW82" s="38"/>
      <c r="OLX82" s="38"/>
      <c r="OLY82" s="38"/>
      <c r="OLZ82" s="38"/>
      <c r="OMA82" s="38"/>
      <c r="OMB82" s="38"/>
      <c r="OMC82" s="38"/>
      <c r="OMD82" s="38"/>
      <c r="OME82" s="38"/>
      <c r="OMF82" s="38"/>
      <c r="OMG82" s="38"/>
      <c r="OMH82" s="38"/>
      <c r="OMI82" s="38"/>
      <c r="OMJ82" s="38"/>
      <c r="OMK82" s="38"/>
      <c r="OML82" s="38"/>
      <c r="OMM82" s="38"/>
      <c r="OMN82" s="38"/>
      <c r="OMO82" s="38"/>
      <c r="OMP82" s="38"/>
      <c r="OMQ82" s="38"/>
      <c r="OMR82" s="38"/>
      <c r="OMS82" s="38"/>
      <c r="OMT82" s="38"/>
      <c r="OMU82" s="38"/>
      <c r="OMV82" s="38"/>
      <c r="OMW82" s="38"/>
      <c r="OMX82" s="38"/>
      <c r="OMY82" s="38"/>
      <c r="OMZ82" s="38"/>
      <c r="ONA82" s="38"/>
      <c r="ONB82" s="38"/>
      <c r="ONC82" s="38"/>
      <c r="OND82" s="38"/>
      <c r="ONE82" s="38"/>
      <c r="ONF82" s="38"/>
      <c r="ONG82" s="38"/>
      <c r="ONH82" s="38"/>
      <c r="ONI82" s="38"/>
      <c r="ONJ82" s="38"/>
      <c r="ONK82" s="38"/>
      <c r="ONL82" s="38"/>
      <c r="ONM82" s="38"/>
      <c r="ONN82" s="38"/>
      <c r="ONO82" s="38"/>
      <c r="ONP82" s="38"/>
      <c r="ONQ82" s="38"/>
      <c r="ONR82" s="38"/>
      <c r="ONS82" s="38"/>
      <c r="ONT82" s="38"/>
      <c r="ONU82" s="38"/>
      <c r="ONV82" s="38"/>
      <c r="ONW82" s="38"/>
      <c r="ONX82" s="38"/>
      <c r="ONY82" s="38"/>
      <c r="ONZ82" s="38"/>
      <c r="OOA82" s="38"/>
      <c r="OOB82" s="38"/>
      <c r="OOC82" s="38"/>
      <c r="OOD82" s="38"/>
      <c r="OOE82" s="38"/>
      <c r="OOF82" s="38"/>
      <c r="OOG82" s="38"/>
      <c r="OOH82" s="38"/>
      <c r="OOI82" s="38"/>
      <c r="OOJ82" s="38"/>
      <c r="OOK82" s="38"/>
      <c r="OOL82" s="38"/>
      <c r="OOM82" s="38"/>
      <c r="OON82" s="38"/>
      <c r="OOO82" s="38"/>
      <c r="OOP82" s="38"/>
      <c r="OOQ82" s="38"/>
      <c r="OOR82" s="38"/>
      <c r="OOS82" s="38"/>
      <c r="OOT82" s="38"/>
      <c r="OOU82" s="38"/>
      <c r="OOV82" s="38"/>
      <c r="OOW82" s="38"/>
      <c r="OOX82" s="38"/>
      <c r="OOY82" s="38"/>
      <c r="OOZ82" s="38"/>
      <c r="OPA82" s="38"/>
      <c r="OPB82" s="38"/>
      <c r="OPC82" s="38"/>
      <c r="OPD82" s="38"/>
      <c r="OPE82" s="38"/>
      <c r="OPF82" s="38"/>
      <c r="OPG82" s="38"/>
      <c r="OPH82" s="38"/>
      <c r="OPI82" s="38"/>
      <c r="OPJ82" s="38"/>
      <c r="OPK82" s="38"/>
      <c r="OPL82" s="38"/>
      <c r="OPM82" s="38"/>
      <c r="OPN82" s="38"/>
      <c r="OPO82" s="38"/>
      <c r="OPP82" s="38"/>
      <c r="OPQ82" s="38"/>
      <c r="OPR82" s="38"/>
      <c r="OPS82" s="38"/>
      <c r="OPT82" s="38"/>
      <c r="OPU82" s="38"/>
      <c r="OPV82" s="38"/>
      <c r="OPW82" s="38"/>
      <c r="OPX82" s="38"/>
      <c r="OPY82" s="38"/>
      <c r="OPZ82" s="38"/>
      <c r="OQA82" s="38"/>
      <c r="OQB82" s="38"/>
      <c r="OQC82" s="38"/>
      <c r="OQD82" s="38"/>
      <c r="OQE82" s="38"/>
      <c r="OQF82" s="38"/>
      <c r="OQG82" s="38"/>
      <c r="OQH82" s="38"/>
      <c r="OQI82" s="38"/>
      <c r="OQJ82" s="38"/>
      <c r="OQK82" s="38"/>
      <c r="OQL82" s="38"/>
      <c r="OQM82" s="38"/>
      <c r="OQN82" s="38"/>
      <c r="OQO82" s="38"/>
      <c r="OQP82" s="38"/>
      <c r="OQQ82" s="38"/>
      <c r="OQR82" s="38"/>
      <c r="OQS82" s="38"/>
      <c r="OQT82" s="38"/>
      <c r="OQU82" s="38"/>
      <c r="OQV82" s="38"/>
      <c r="OQW82" s="38"/>
      <c r="OQX82" s="38"/>
      <c r="OQY82" s="38"/>
      <c r="OQZ82" s="38"/>
      <c r="ORA82" s="38"/>
      <c r="ORB82" s="38"/>
      <c r="ORC82" s="38"/>
      <c r="ORD82" s="38"/>
      <c r="ORE82" s="38"/>
      <c r="ORF82" s="38"/>
      <c r="ORG82" s="38"/>
      <c r="ORH82" s="38"/>
      <c r="ORI82" s="38"/>
      <c r="ORJ82" s="38"/>
      <c r="ORK82" s="38"/>
      <c r="ORL82" s="38"/>
      <c r="ORM82" s="38"/>
      <c r="ORN82" s="38"/>
      <c r="ORO82" s="38"/>
      <c r="ORP82" s="38"/>
      <c r="ORQ82" s="38"/>
      <c r="ORR82" s="38"/>
      <c r="ORS82" s="38"/>
      <c r="ORT82" s="38"/>
      <c r="ORU82" s="38"/>
      <c r="ORV82" s="38"/>
      <c r="ORW82" s="38"/>
      <c r="ORX82" s="38"/>
      <c r="ORY82" s="38"/>
      <c r="ORZ82" s="38"/>
      <c r="OSA82" s="38"/>
      <c r="OSB82" s="38"/>
      <c r="OSC82" s="38"/>
      <c r="OSD82" s="38"/>
      <c r="OSE82" s="38"/>
      <c r="OSF82" s="38"/>
      <c r="OSG82" s="38"/>
      <c r="OSH82" s="38"/>
      <c r="OSI82" s="38"/>
      <c r="OSJ82" s="38"/>
      <c r="OSK82" s="38"/>
      <c r="OSL82" s="38"/>
      <c r="OSM82" s="38"/>
      <c r="OSN82" s="38"/>
      <c r="OSO82" s="38"/>
      <c r="OSP82" s="38"/>
      <c r="OSQ82" s="38"/>
      <c r="OSR82" s="38"/>
      <c r="OSS82" s="38"/>
      <c r="OST82" s="38"/>
      <c r="OSU82" s="38"/>
      <c r="OSV82" s="38"/>
      <c r="OSW82" s="38"/>
      <c r="OSX82" s="38"/>
      <c r="OSY82" s="38"/>
      <c r="OSZ82" s="38"/>
      <c r="OTA82" s="38"/>
      <c r="OTB82" s="38"/>
      <c r="OTC82" s="38"/>
      <c r="OTD82" s="38"/>
      <c r="OTE82" s="38"/>
      <c r="OTF82" s="38"/>
      <c r="OTG82" s="38"/>
      <c r="OTH82" s="38"/>
      <c r="OTI82" s="38"/>
      <c r="OTJ82" s="38"/>
      <c r="OTK82" s="38"/>
      <c r="OTL82" s="38"/>
      <c r="OTM82" s="38"/>
      <c r="OTN82" s="38"/>
      <c r="OTO82" s="38"/>
      <c r="OTP82" s="38"/>
      <c r="OTQ82" s="38"/>
      <c r="OTR82" s="38"/>
      <c r="OTS82" s="38"/>
      <c r="OTT82" s="38"/>
      <c r="OTU82" s="38"/>
      <c r="OTV82" s="38"/>
      <c r="OTW82" s="38"/>
      <c r="OTX82" s="38"/>
      <c r="OTY82" s="38"/>
      <c r="OTZ82" s="38"/>
      <c r="OUA82" s="38"/>
      <c r="OUB82" s="38"/>
      <c r="OUC82" s="38"/>
      <c r="OUD82" s="38"/>
      <c r="OUE82" s="38"/>
      <c r="OUF82" s="38"/>
      <c r="OUG82" s="38"/>
      <c r="OUH82" s="38"/>
      <c r="OUI82" s="38"/>
      <c r="OUJ82" s="38"/>
      <c r="OUK82" s="38"/>
      <c r="OUL82" s="38"/>
      <c r="OUM82" s="38"/>
      <c r="OUN82" s="38"/>
      <c r="OUO82" s="38"/>
      <c r="OUP82" s="38"/>
      <c r="OUQ82" s="38"/>
      <c r="OUR82" s="38"/>
      <c r="OUS82" s="38"/>
      <c r="OUT82" s="38"/>
      <c r="OUU82" s="38"/>
      <c r="OUV82" s="38"/>
      <c r="OUW82" s="38"/>
      <c r="OUX82" s="38"/>
      <c r="OUY82" s="38"/>
      <c r="OUZ82" s="38"/>
      <c r="OVA82" s="38"/>
      <c r="OVB82" s="38"/>
      <c r="OVC82" s="38"/>
      <c r="OVD82" s="38"/>
      <c r="OVE82" s="38"/>
      <c r="OVF82" s="38"/>
      <c r="OVG82" s="38"/>
      <c r="OVH82" s="38"/>
      <c r="OVI82" s="38"/>
      <c r="OVJ82" s="38"/>
      <c r="OVK82" s="38"/>
      <c r="OVL82" s="38"/>
      <c r="OVM82" s="38"/>
      <c r="OVN82" s="38"/>
      <c r="OVO82" s="38"/>
      <c r="OVP82" s="38"/>
      <c r="OVQ82" s="38"/>
      <c r="OVR82" s="38"/>
      <c r="OVS82" s="38"/>
      <c r="OVT82" s="38"/>
      <c r="OVU82" s="38"/>
      <c r="OVV82" s="38"/>
      <c r="OVW82" s="38"/>
      <c r="OVX82" s="38"/>
      <c r="OVY82" s="38"/>
      <c r="OVZ82" s="38"/>
      <c r="OWA82" s="38"/>
      <c r="OWB82" s="38"/>
      <c r="OWC82" s="38"/>
      <c r="OWD82" s="38"/>
      <c r="OWE82" s="38"/>
      <c r="OWF82" s="38"/>
      <c r="OWG82" s="38"/>
      <c r="OWH82" s="38"/>
      <c r="OWI82" s="38"/>
      <c r="OWJ82" s="38"/>
      <c r="OWK82" s="38"/>
      <c r="OWL82" s="38"/>
      <c r="OWM82" s="38"/>
      <c r="OWN82" s="38"/>
      <c r="OWO82" s="38"/>
      <c r="OWP82" s="38"/>
      <c r="OWQ82" s="38"/>
      <c r="OWR82" s="38"/>
      <c r="OWS82" s="38"/>
      <c r="OWT82" s="38"/>
      <c r="OWU82" s="38"/>
      <c r="OWV82" s="38"/>
      <c r="OWW82" s="38"/>
      <c r="OWX82" s="38"/>
      <c r="OWY82" s="38"/>
      <c r="OWZ82" s="38"/>
      <c r="OXA82" s="38"/>
      <c r="OXB82" s="38"/>
      <c r="OXC82" s="38"/>
      <c r="OXD82" s="38"/>
      <c r="OXE82" s="38"/>
      <c r="OXF82" s="38"/>
      <c r="OXG82" s="38"/>
      <c r="OXH82" s="38"/>
      <c r="OXI82" s="38"/>
      <c r="OXJ82" s="38"/>
      <c r="OXK82" s="38"/>
      <c r="OXL82" s="38"/>
      <c r="OXM82" s="38"/>
      <c r="OXN82" s="38"/>
      <c r="OXO82" s="38"/>
      <c r="OXP82" s="38"/>
      <c r="OXQ82" s="38"/>
      <c r="OXR82" s="38"/>
      <c r="OXS82" s="38"/>
      <c r="OXT82" s="38"/>
      <c r="OXU82" s="38"/>
      <c r="OXV82" s="38"/>
      <c r="OXW82" s="38"/>
      <c r="OXX82" s="38"/>
      <c r="OXY82" s="38"/>
      <c r="OXZ82" s="38"/>
      <c r="OYA82" s="38"/>
      <c r="OYB82" s="38"/>
      <c r="OYC82" s="38"/>
      <c r="OYD82" s="38"/>
      <c r="OYE82" s="38"/>
      <c r="OYF82" s="38"/>
      <c r="OYG82" s="38"/>
      <c r="OYH82" s="38"/>
      <c r="OYI82" s="38"/>
      <c r="OYJ82" s="38"/>
      <c r="OYK82" s="38"/>
      <c r="OYL82" s="38"/>
      <c r="OYM82" s="38"/>
      <c r="OYN82" s="38"/>
      <c r="OYO82" s="38"/>
      <c r="OYP82" s="38"/>
      <c r="OYQ82" s="38"/>
      <c r="OYR82" s="38"/>
      <c r="OYS82" s="38"/>
      <c r="OYT82" s="38"/>
      <c r="OYU82" s="38"/>
      <c r="OYV82" s="38"/>
      <c r="OYW82" s="38"/>
      <c r="OYX82" s="38"/>
      <c r="OYY82" s="38"/>
      <c r="OYZ82" s="38"/>
      <c r="OZA82" s="38"/>
      <c r="OZB82" s="38"/>
      <c r="OZC82" s="38"/>
      <c r="OZD82" s="38"/>
      <c r="OZE82" s="38"/>
      <c r="OZF82" s="38"/>
      <c r="OZG82" s="38"/>
      <c r="OZH82" s="38"/>
      <c r="OZI82" s="38"/>
      <c r="OZJ82" s="38"/>
      <c r="OZK82" s="38"/>
      <c r="OZL82" s="38"/>
      <c r="OZM82" s="38"/>
      <c r="OZN82" s="38"/>
      <c r="OZO82" s="38"/>
      <c r="OZP82" s="38"/>
      <c r="OZQ82" s="38"/>
      <c r="OZR82" s="38"/>
      <c r="OZS82" s="38"/>
      <c r="OZT82" s="38"/>
      <c r="OZU82" s="38"/>
      <c r="OZV82" s="38"/>
      <c r="OZW82" s="38"/>
      <c r="OZX82" s="38"/>
      <c r="OZY82" s="38"/>
      <c r="OZZ82" s="38"/>
      <c r="PAA82" s="38"/>
      <c r="PAB82" s="38"/>
      <c r="PAC82" s="38"/>
      <c r="PAD82" s="38"/>
      <c r="PAE82" s="38"/>
      <c r="PAF82" s="38"/>
      <c r="PAG82" s="38"/>
      <c r="PAH82" s="38"/>
      <c r="PAI82" s="38"/>
      <c r="PAJ82" s="38"/>
      <c r="PAK82" s="38"/>
      <c r="PAL82" s="38"/>
      <c r="PAM82" s="38"/>
      <c r="PAN82" s="38"/>
      <c r="PAO82" s="38"/>
      <c r="PAP82" s="38"/>
      <c r="PAQ82" s="38"/>
      <c r="PAR82" s="38"/>
      <c r="PAS82" s="38"/>
      <c r="PAT82" s="38"/>
      <c r="PAU82" s="38"/>
      <c r="PAV82" s="38"/>
      <c r="PAW82" s="38"/>
      <c r="PAX82" s="38"/>
      <c r="PAY82" s="38"/>
      <c r="PAZ82" s="38"/>
      <c r="PBA82" s="38"/>
      <c r="PBB82" s="38"/>
      <c r="PBC82" s="38"/>
      <c r="PBD82" s="38"/>
      <c r="PBE82" s="38"/>
      <c r="PBF82" s="38"/>
      <c r="PBG82" s="38"/>
      <c r="PBH82" s="38"/>
      <c r="PBI82" s="38"/>
      <c r="PBJ82" s="38"/>
      <c r="PBK82" s="38"/>
      <c r="PBL82" s="38"/>
      <c r="PBM82" s="38"/>
      <c r="PBN82" s="38"/>
      <c r="PBO82" s="38"/>
      <c r="PBP82" s="38"/>
      <c r="PBQ82" s="38"/>
      <c r="PBR82" s="38"/>
      <c r="PBS82" s="38"/>
      <c r="PBT82" s="38"/>
      <c r="PBU82" s="38"/>
      <c r="PBV82" s="38"/>
      <c r="PBW82" s="38"/>
      <c r="PBX82" s="38"/>
      <c r="PBY82" s="38"/>
      <c r="PBZ82" s="38"/>
      <c r="PCA82" s="38"/>
      <c r="PCB82" s="38"/>
      <c r="PCC82" s="38"/>
      <c r="PCD82" s="38"/>
      <c r="PCE82" s="38"/>
      <c r="PCF82" s="38"/>
      <c r="PCG82" s="38"/>
      <c r="PCH82" s="38"/>
      <c r="PCI82" s="38"/>
      <c r="PCJ82" s="38"/>
      <c r="PCK82" s="38"/>
      <c r="PCL82" s="38"/>
      <c r="PCM82" s="38"/>
      <c r="PCN82" s="38"/>
      <c r="PCO82" s="38"/>
      <c r="PCP82" s="38"/>
      <c r="PCQ82" s="38"/>
      <c r="PCR82" s="38"/>
      <c r="PCS82" s="38"/>
      <c r="PCT82" s="38"/>
      <c r="PCU82" s="38"/>
      <c r="PCV82" s="38"/>
      <c r="PCW82" s="38"/>
      <c r="PCX82" s="38"/>
      <c r="PCY82" s="38"/>
      <c r="PCZ82" s="38"/>
      <c r="PDA82" s="38"/>
      <c r="PDB82" s="38"/>
      <c r="PDC82" s="38"/>
      <c r="PDD82" s="38"/>
      <c r="PDE82" s="38"/>
      <c r="PDF82" s="38"/>
      <c r="PDG82" s="38"/>
      <c r="PDH82" s="38"/>
      <c r="PDI82" s="38"/>
      <c r="PDJ82" s="38"/>
      <c r="PDK82" s="38"/>
      <c r="PDL82" s="38"/>
      <c r="PDM82" s="38"/>
      <c r="PDN82" s="38"/>
      <c r="PDO82" s="38"/>
      <c r="PDP82" s="38"/>
      <c r="PDQ82" s="38"/>
      <c r="PDR82" s="38"/>
      <c r="PDS82" s="38"/>
      <c r="PDT82" s="38"/>
      <c r="PDU82" s="38"/>
      <c r="PDV82" s="38"/>
      <c r="PDW82" s="38"/>
      <c r="PDX82" s="38"/>
      <c r="PDY82" s="38"/>
      <c r="PDZ82" s="38"/>
      <c r="PEA82" s="38"/>
      <c r="PEB82" s="38"/>
      <c r="PEC82" s="38"/>
      <c r="PED82" s="38"/>
      <c r="PEE82" s="38"/>
      <c r="PEF82" s="38"/>
      <c r="PEG82" s="38"/>
      <c r="PEH82" s="38"/>
      <c r="PEI82" s="38"/>
      <c r="PEJ82" s="38"/>
      <c r="PEK82" s="38"/>
      <c r="PEL82" s="38"/>
      <c r="PEM82" s="38"/>
      <c r="PEN82" s="38"/>
      <c r="PEO82" s="38"/>
      <c r="PEP82" s="38"/>
      <c r="PEQ82" s="38"/>
      <c r="PER82" s="38"/>
      <c r="PES82" s="38"/>
      <c r="PET82" s="38"/>
      <c r="PEU82" s="38"/>
      <c r="PEV82" s="38"/>
      <c r="PEW82" s="38"/>
      <c r="PEX82" s="38"/>
      <c r="PEY82" s="38"/>
      <c r="PEZ82" s="38"/>
      <c r="PFA82" s="38"/>
      <c r="PFB82" s="38"/>
      <c r="PFC82" s="38"/>
      <c r="PFD82" s="38"/>
      <c r="PFE82" s="38"/>
      <c r="PFF82" s="38"/>
      <c r="PFG82" s="38"/>
      <c r="PFH82" s="38"/>
      <c r="PFI82" s="38"/>
      <c r="PFJ82" s="38"/>
      <c r="PFK82" s="38"/>
      <c r="PFL82" s="38"/>
      <c r="PFM82" s="38"/>
      <c r="PFN82" s="38"/>
      <c r="PFO82" s="38"/>
      <c r="PFP82" s="38"/>
      <c r="PFQ82" s="38"/>
      <c r="PFR82" s="38"/>
      <c r="PFS82" s="38"/>
      <c r="PFT82" s="38"/>
      <c r="PFU82" s="38"/>
      <c r="PFV82" s="38"/>
      <c r="PFW82" s="38"/>
      <c r="PFX82" s="38"/>
      <c r="PFY82" s="38"/>
      <c r="PFZ82" s="38"/>
      <c r="PGA82" s="38"/>
      <c r="PGB82" s="38"/>
      <c r="PGC82" s="38"/>
      <c r="PGD82" s="38"/>
      <c r="PGE82" s="38"/>
      <c r="PGF82" s="38"/>
      <c r="PGG82" s="38"/>
      <c r="PGH82" s="38"/>
      <c r="PGI82" s="38"/>
      <c r="PGJ82" s="38"/>
      <c r="PGK82" s="38"/>
      <c r="PGL82" s="38"/>
      <c r="PGM82" s="38"/>
      <c r="PGN82" s="38"/>
      <c r="PGO82" s="38"/>
      <c r="PGP82" s="38"/>
      <c r="PGQ82" s="38"/>
      <c r="PGR82" s="38"/>
      <c r="PGS82" s="38"/>
      <c r="PGT82" s="38"/>
      <c r="PGU82" s="38"/>
      <c r="PGV82" s="38"/>
      <c r="PGW82" s="38"/>
      <c r="PGX82" s="38"/>
      <c r="PGY82" s="38"/>
      <c r="PGZ82" s="38"/>
      <c r="PHA82" s="38"/>
      <c r="PHB82" s="38"/>
      <c r="PHC82" s="38"/>
      <c r="PHD82" s="38"/>
      <c r="PHE82" s="38"/>
      <c r="PHF82" s="38"/>
      <c r="PHG82" s="38"/>
      <c r="PHH82" s="38"/>
      <c r="PHI82" s="38"/>
      <c r="PHJ82" s="38"/>
      <c r="PHK82" s="38"/>
      <c r="PHL82" s="38"/>
      <c r="PHM82" s="38"/>
      <c r="PHN82" s="38"/>
      <c r="PHO82" s="38"/>
      <c r="PHP82" s="38"/>
      <c r="PHQ82" s="38"/>
      <c r="PHR82" s="38"/>
      <c r="PHS82" s="38"/>
      <c r="PHT82" s="38"/>
      <c r="PHU82" s="38"/>
      <c r="PHV82" s="38"/>
      <c r="PHW82" s="38"/>
      <c r="PHX82" s="38"/>
      <c r="PHY82" s="38"/>
      <c r="PHZ82" s="38"/>
      <c r="PIA82" s="38"/>
      <c r="PIB82" s="38"/>
      <c r="PIC82" s="38"/>
      <c r="PID82" s="38"/>
      <c r="PIE82" s="38"/>
      <c r="PIF82" s="38"/>
      <c r="PIG82" s="38"/>
      <c r="PIH82" s="38"/>
      <c r="PII82" s="38"/>
      <c r="PIJ82" s="38"/>
      <c r="PIK82" s="38"/>
      <c r="PIL82" s="38"/>
      <c r="PIM82" s="38"/>
      <c r="PIN82" s="38"/>
      <c r="PIO82" s="38"/>
      <c r="PIP82" s="38"/>
      <c r="PIQ82" s="38"/>
      <c r="PIR82" s="38"/>
      <c r="PIS82" s="38"/>
      <c r="PIT82" s="38"/>
      <c r="PIU82" s="38"/>
      <c r="PIV82" s="38"/>
      <c r="PIW82" s="38"/>
      <c r="PIX82" s="38"/>
      <c r="PIY82" s="38"/>
      <c r="PIZ82" s="38"/>
      <c r="PJA82" s="38"/>
      <c r="PJB82" s="38"/>
      <c r="PJC82" s="38"/>
      <c r="PJD82" s="38"/>
      <c r="PJE82" s="38"/>
      <c r="PJF82" s="38"/>
      <c r="PJG82" s="38"/>
      <c r="PJH82" s="38"/>
      <c r="PJI82" s="38"/>
      <c r="PJJ82" s="38"/>
      <c r="PJK82" s="38"/>
      <c r="PJL82" s="38"/>
      <c r="PJM82" s="38"/>
      <c r="PJN82" s="38"/>
      <c r="PJO82" s="38"/>
      <c r="PJP82" s="38"/>
      <c r="PJQ82" s="38"/>
      <c r="PJR82" s="38"/>
      <c r="PJS82" s="38"/>
      <c r="PJT82" s="38"/>
      <c r="PJU82" s="38"/>
      <c r="PJV82" s="38"/>
      <c r="PJW82" s="38"/>
      <c r="PJX82" s="38"/>
      <c r="PJY82" s="38"/>
      <c r="PJZ82" s="38"/>
      <c r="PKA82" s="38"/>
      <c r="PKB82" s="38"/>
      <c r="PKC82" s="38"/>
      <c r="PKD82" s="38"/>
      <c r="PKE82" s="38"/>
      <c r="PKF82" s="38"/>
      <c r="PKG82" s="38"/>
      <c r="PKH82" s="38"/>
      <c r="PKI82" s="38"/>
      <c r="PKJ82" s="38"/>
      <c r="PKK82" s="38"/>
      <c r="PKL82" s="38"/>
      <c r="PKM82" s="38"/>
      <c r="PKN82" s="38"/>
      <c r="PKO82" s="38"/>
      <c r="PKP82" s="38"/>
      <c r="PKQ82" s="38"/>
      <c r="PKR82" s="38"/>
      <c r="PKS82" s="38"/>
      <c r="PKT82" s="38"/>
      <c r="PKU82" s="38"/>
      <c r="PKV82" s="38"/>
      <c r="PKW82" s="38"/>
      <c r="PKX82" s="38"/>
      <c r="PKY82" s="38"/>
      <c r="PKZ82" s="38"/>
      <c r="PLA82" s="38"/>
      <c r="PLB82" s="38"/>
      <c r="PLC82" s="38"/>
      <c r="PLD82" s="38"/>
      <c r="PLE82" s="38"/>
      <c r="PLF82" s="38"/>
      <c r="PLG82" s="38"/>
      <c r="PLH82" s="38"/>
      <c r="PLI82" s="38"/>
      <c r="PLJ82" s="38"/>
      <c r="PLK82" s="38"/>
      <c r="PLL82" s="38"/>
      <c r="PLM82" s="38"/>
      <c r="PLN82" s="38"/>
      <c r="PLO82" s="38"/>
      <c r="PLP82" s="38"/>
      <c r="PLQ82" s="38"/>
      <c r="PLR82" s="38"/>
      <c r="PLS82" s="38"/>
      <c r="PLT82" s="38"/>
      <c r="PLU82" s="38"/>
      <c r="PLV82" s="38"/>
      <c r="PLW82" s="38"/>
      <c r="PLX82" s="38"/>
      <c r="PLY82" s="38"/>
      <c r="PLZ82" s="38"/>
      <c r="PMA82" s="38"/>
      <c r="PMB82" s="38"/>
      <c r="PMC82" s="38"/>
      <c r="PMD82" s="38"/>
      <c r="PME82" s="38"/>
      <c r="PMF82" s="38"/>
      <c r="PMG82" s="38"/>
      <c r="PMH82" s="38"/>
      <c r="PMI82" s="38"/>
      <c r="PMJ82" s="38"/>
      <c r="PMK82" s="38"/>
      <c r="PML82" s="38"/>
      <c r="PMM82" s="38"/>
      <c r="PMN82" s="38"/>
      <c r="PMO82" s="38"/>
      <c r="PMP82" s="38"/>
      <c r="PMQ82" s="38"/>
      <c r="PMR82" s="38"/>
      <c r="PMS82" s="38"/>
      <c r="PMT82" s="38"/>
      <c r="PMU82" s="38"/>
      <c r="PMV82" s="38"/>
      <c r="PMW82" s="38"/>
      <c r="PMX82" s="38"/>
      <c r="PMY82" s="38"/>
      <c r="PMZ82" s="38"/>
      <c r="PNA82" s="38"/>
      <c r="PNB82" s="38"/>
      <c r="PNC82" s="38"/>
      <c r="PND82" s="38"/>
      <c r="PNE82" s="38"/>
      <c r="PNF82" s="38"/>
      <c r="PNG82" s="38"/>
      <c r="PNH82" s="38"/>
      <c r="PNI82" s="38"/>
      <c r="PNJ82" s="38"/>
      <c r="PNK82" s="38"/>
      <c r="PNL82" s="38"/>
      <c r="PNM82" s="38"/>
      <c r="PNN82" s="38"/>
      <c r="PNO82" s="38"/>
      <c r="PNP82" s="38"/>
      <c r="PNQ82" s="38"/>
      <c r="PNR82" s="38"/>
      <c r="PNS82" s="38"/>
      <c r="PNT82" s="38"/>
      <c r="PNU82" s="38"/>
      <c r="PNV82" s="38"/>
      <c r="PNW82" s="38"/>
      <c r="PNX82" s="38"/>
      <c r="PNY82" s="38"/>
      <c r="PNZ82" s="38"/>
      <c r="POA82" s="38"/>
      <c r="POB82" s="38"/>
      <c r="POC82" s="38"/>
      <c r="POD82" s="38"/>
      <c r="POE82" s="38"/>
      <c r="POF82" s="38"/>
      <c r="POG82" s="38"/>
      <c r="POH82" s="38"/>
      <c r="POI82" s="38"/>
      <c r="POJ82" s="38"/>
      <c r="POK82" s="38"/>
      <c r="POL82" s="38"/>
      <c r="POM82" s="38"/>
      <c r="PON82" s="38"/>
      <c r="POO82" s="38"/>
      <c r="POP82" s="38"/>
      <c r="POQ82" s="38"/>
      <c r="POR82" s="38"/>
      <c r="POS82" s="38"/>
      <c r="POT82" s="38"/>
      <c r="POU82" s="38"/>
      <c r="POV82" s="38"/>
      <c r="POW82" s="38"/>
      <c r="POX82" s="38"/>
      <c r="POY82" s="38"/>
      <c r="POZ82" s="38"/>
      <c r="PPA82" s="38"/>
      <c r="PPB82" s="38"/>
      <c r="PPC82" s="38"/>
      <c r="PPD82" s="38"/>
      <c r="PPE82" s="38"/>
      <c r="PPF82" s="38"/>
      <c r="PPG82" s="38"/>
      <c r="PPH82" s="38"/>
      <c r="PPI82" s="38"/>
      <c r="PPJ82" s="38"/>
      <c r="PPK82" s="38"/>
      <c r="PPL82" s="38"/>
      <c r="PPM82" s="38"/>
      <c r="PPN82" s="38"/>
      <c r="PPO82" s="38"/>
      <c r="PPP82" s="38"/>
      <c r="PPQ82" s="38"/>
      <c r="PPR82" s="38"/>
      <c r="PPS82" s="38"/>
      <c r="PPT82" s="38"/>
      <c r="PPU82" s="38"/>
      <c r="PPV82" s="38"/>
      <c r="PPW82" s="38"/>
      <c r="PPX82" s="38"/>
      <c r="PPY82" s="38"/>
      <c r="PPZ82" s="38"/>
      <c r="PQA82" s="38"/>
      <c r="PQB82" s="38"/>
      <c r="PQC82" s="38"/>
      <c r="PQD82" s="38"/>
      <c r="PQE82" s="38"/>
      <c r="PQF82" s="38"/>
      <c r="PQG82" s="38"/>
      <c r="PQH82" s="38"/>
      <c r="PQI82" s="38"/>
      <c r="PQJ82" s="38"/>
      <c r="PQK82" s="38"/>
      <c r="PQL82" s="38"/>
      <c r="PQM82" s="38"/>
      <c r="PQN82" s="38"/>
      <c r="PQO82" s="38"/>
      <c r="PQP82" s="38"/>
      <c r="PQQ82" s="38"/>
      <c r="PQR82" s="38"/>
      <c r="PQS82" s="38"/>
      <c r="PQT82" s="38"/>
      <c r="PQU82" s="38"/>
      <c r="PQV82" s="38"/>
      <c r="PQW82" s="38"/>
      <c r="PQX82" s="38"/>
      <c r="PQY82" s="38"/>
      <c r="PQZ82" s="38"/>
      <c r="PRA82" s="38"/>
      <c r="PRB82" s="38"/>
      <c r="PRC82" s="38"/>
      <c r="PRD82" s="38"/>
      <c r="PRE82" s="38"/>
      <c r="PRF82" s="38"/>
      <c r="PRG82" s="38"/>
      <c r="PRH82" s="38"/>
      <c r="PRI82" s="38"/>
      <c r="PRJ82" s="38"/>
      <c r="PRK82" s="38"/>
      <c r="PRL82" s="38"/>
      <c r="PRM82" s="38"/>
      <c r="PRN82" s="38"/>
      <c r="PRO82" s="38"/>
      <c r="PRP82" s="38"/>
      <c r="PRQ82" s="38"/>
      <c r="PRR82" s="38"/>
      <c r="PRS82" s="38"/>
      <c r="PRT82" s="38"/>
      <c r="PRU82" s="38"/>
      <c r="PRV82" s="38"/>
      <c r="PRW82" s="38"/>
      <c r="PRX82" s="38"/>
      <c r="PRY82" s="38"/>
      <c r="PRZ82" s="38"/>
      <c r="PSA82" s="38"/>
      <c r="PSB82" s="38"/>
      <c r="PSC82" s="38"/>
      <c r="PSD82" s="38"/>
      <c r="PSE82" s="38"/>
      <c r="PSF82" s="38"/>
      <c r="PSG82" s="38"/>
      <c r="PSH82" s="38"/>
      <c r="PSI82" s="38"/>
      <c r="PSJ82" s="38"/>
      <c r="PSK82" s="38"/>
      <c r="PSL82" s="38"/>
      <c r="PSM82" s="38"/>
      <c r="PSN82" s="38"/>
      <c r="PSO82" s="38"/>
      <c r="PSP82" s="38"/>
      <c r="PSQ82" s="38"/>
      <c r="PSR82" s="38"/>
      <c r="PSS82" s="38"/>
      <c r="PST82" s="38"/>
      <c r="PSU82" s="38"/>
      <c r="PSV82" s="38"/>
      <c r="PSW82" s="38"/>
      <c r="PSX82" s="38"/>
      <c r="PSY82" s="38"/>
      <c r="PSZ82" s="38"/>
      <c r="PTA82" s="38"/>
      <c r="PTB82" s="38"/>
      <c r="PTC82" s="38"/>
      <c r="PTD82" s="38"/>
      <c r="PTE82" s="38"/>
      <c r="PTF82" s="38"/>
      <c r="PTG82" s="38"/>
      <c r="PTH82" s="38"/>
      <c r="PTI82" s="38"/>
      <c r="PTJ82" s="38"/>
      <c r="PTK82" s="38"/>
      <c r="PTL82" s="38"/>
      <c r="PTM82" s="38"/>
      <c r="PTN82" s="38"/>
      <c r="PTO82" s="38"/>
      <c r="PTP82" s="38"/>
      <c r="PTQ82" s="38"/>
      <c r="PTR82" s="38"/>
      <c r="PTS82" s="38"/>
      <c r="PTT82" s="38"/>
      <c r="PTU82" s="38"/>
      <c r="PTV82" s="38"/>
      <c r="PTW82" s="38"/>
      <c r="PTX82" s="38"/>
      <c r="PTY82" s="38"/>
      <c r="PTZ82" s="38"/>
      <c r="PUA82" s="38"/>
      <c r="PUB82" s="38"/>
      <c r="PUC82" s="38"/>
      <c r="PUD82" s="38"/>
      <c r="PUE82" s="38"/>
      <c r="PUF82" s="38"/>
      <c r="PUG82" s="38"/>
      <c r="PUH82" s="38"/>
      <c r="PUI82" s="38"/>
      <c r="PUJ82" s="38"/>
      <c r="PUK82" s="38"/>
      <c r="PUL82" s="38"/>
      <c r="PUM82" s="38"/>
      <c r="PUN82" s="38"/>
      <c r="PUO82" s="38"/>
      <c r="PUP82" s="38"/>
      <c r="PUQ82" s="38"/>
      <c r="PUR82" s="38"/>
      <c r="PUS82" s="38"/>
      <c r="PUT82" s="38"/>
      <c r="PUU82" s="38"/>
      <c r="PUV82" s="38"/>
      <c r="PUW82" s="38"/>
      <c r="PUX82" s="38"/>
      <c r="PUY82" s="38"/>
      <c r="PUZ82" s="38"/>
      <c r="PVA82" s="38"/>
      <c r="PVB82" s="38"/>
      <c r="PVC82" s="38"/>
      <c r="PVD82" s="38"/>
      <c r="PVE82" s="38"/>
      <c r="PVF82" s="38"/>
      <c r="PVG82" s="38"/>
      <c r="PVH82" s="38"/>
      <c r="PVI82" s="38"/>
      <c r="PVJ82" s="38"/>
      <c r="PVK82" s="38"/>
      <c r="PVL82" s="38"/>
      <c r="PVM82" s="38"/>
      <c r="PVN82" s="38"/>
      <c r="PVO82" s="38"/>
      <c r="PVP82" s="38"/>
      <c r="PVQ82" s="38"/>
      <c r="PVR82" s="38"/>
      <c r="PVS82" s="38"/>
      <c r="PVT82" s="38"/>
      <c r="PVU82" s="38"/>
      <c r="PVV82" s="38"/>
      <c r="PVW82" s="38"/>
      <c r="PVX82" s="38"/>
      <c r="PVY82" s="38"/>
      <c r="PVZ82" s="38"/>
      <c r="PWA82" s="38"/>
      <c r="PWB82" s="38"/>
      <c r="PWC82" s="38"/>
      <c r="PWD82" s="38"/>
      <c r="PWE82" s="38"/>
      <c r="PWF82" s="38"/>
      <c r="PWG82" s="38"/>
      <c r="PWH82" s="38"/>
      <c r="PWI82" s="38"/>
      <c r="PWJ82" s="38"/>
      <c r="PWK82" s="38"/>
      <c r="PWL82" s="38"/>
      <c r="PWM82" s="38"/>
      <c r="PWN82" s="38"/>
      <c r="PWO82" s="38"/>
      <c r="PWP82" s="38"/>
      <c r="PWQ82" s="38"/>
      <c r="PWR82" s="38"/>
      <c r="PWS82" s="38"/>
      <c r="PWT82" s="38"/>
      <c r="PWU82" s="38"/>
      <c r="PWV82" s="38"/>
      <c r="PWW82" s="38"/>
      <c r="PWX82" s="38"/>
      <c r="PWY82" s="38"/>
      <c r="PWZ82" s="38"/>
      <c r="PXA82" s="38"/>
      <c r="PXB82" s="38"/>
      <c r="PXC82" s="38"/>
      <c r="PXD82" s="38"/>
      <c r="PXE82" s="38"/>
      <c r="PXF82" s="38"/>
      <c r="PXG82" s="38"/>
      <c r="PXH82" s="38"/>
      <c r="PXI82" s="38"/>
      <c r="PXJ82" s="38"/>
      <c r="PXK82" s="38"/>
      <c r="PXL82" s="38"/>
      <c r="PXM82" s="38"/>
      <c r="PXN82" s="38"/>
      <c r="PXO82" s="38"/>
      <c r="PXP82" s="38"/>
      <c r="PXQ82" s="38"/>
      <c r="PXR82" s="38"/>
      <c r="PXS82" s="38"/>
      <c r="PXT82" s="38"/>
      <c r="PXU82" s="38"/>
      <c r="PXV82" s="38"/>
      <c r="PXW82" s="38"/>
      <c r="PXX82" s="38"/>
      <c r="PXY82" s="38"/>
      <c r="PXZ82" s="38"/>
      <c r="PYA82" s="38"/>
      <c r="PYB82" s="38"/>
      <c r="PYC82" s="38"/>
      <c r="PYD82" s="38"/>
      <c r="PYE82" s="38"/>
      <c r="PYF82" s="38"/>
      <c r="PYG82" s="38"/>
      <c r="PYH82" s="38"/>
      <c r="PYI82" s="38"/>
      <c r="PYJ82" s="38"/>
      <c r="PYK82" s="38"/>
      <c r="PYL82" s="38"/>
      <c r="PYM82" s="38"/>
      <c r="PYN82" s="38"/>
      <c r="PYO82" s="38"/>
      <c r="PYP82" s="38"/>
      <c r="PYQ82" s="38"/>
      <c r="PYR82" s="38"/>
      <c r="PYS82" s="38"/>
      <c r="PYT82" s="38"/>
      <c r="PYU82" s="38"/>
      <c r="PYV82" s="38"/>
      <c r="PYW82" s="38"/>
      <c r="PYX82" s="38"/>
      <c r="PYY82" s="38"/>
      <c r="PYZ82" s="38"/>
      <c r="PZA82" s="38"/>
      <c r="PZB82" s="38"/>
      <c r="PZC82" s="38"/>
      <c r="PZD82" s="38"/>
      <c r="PZE82" s="38"/>
      <c r="PZF82" s="38"/>
      <c r="PZG82" s="38"/>
      <c r="PZH82" s="38"/>
      <c r="PZI82" s="38"/>
      <c r="PZJ82" s="38"/>
      <c r="PZK82" s="38"/>
      <c r="PZL82" s="38"/>
      <c r="PZM82" s="38"/>
      <c r="PZN82" s="38"/>
      <c r="PZO82" s="38"/>
      <c r="PZP82" s="38"/>
      <c r="PZQ82" s="38"/>
      <c r="PZR82" s="38"/>
      <c r="PZS82" s="38"/>
      <c r="PZT82" s="38"/>
      <c r="PZU82" s="38"/>
      <c r="PZV82" s="38"/>
      <c r="PZW82" s="38"/>
      <c r="PZX82" s="38"/>
      <c r="PZY82" s="38"/>
      <c r="PZZ82" s="38"/>
      <c r="QAA82" s="38"/>
      <c r="QAB82" s="38"/>
      <c r="QAC82" s="38"/>
      <c r="QAD82" s="38"/>
      <c r="QAE82" s="38"/>
      <c r="QAF82" s="38"/>
      <c r="QAG82" s="38"/>
      <c r="QAH82" s="38"/>
      <c r="QAI82" s="38"/>
      <c r="QAJ82" s="38"/>
      <c r="QAK82" s="38"/>
      <c r="QAL82" s="38"/>
      <c r="QAM82" s="38"/>
      <c r="QAN82" s="38"/>
      <c r="QAO82" s="38"/>
      <c r="QAP82" s="38"/>
      <c r="QAQ82" s="38"/>
      <c r="QAR82" s="38"/>
      <c r="QAS82" s="38"/>
      <c r="QAT82" s="38"/>
      <c r="QAU82" s="38"/>
      <c r="QAV82" s="38"/>
      <c r="QAW82" s="38"/>
      <c r="QAX82" s="38"/>
      <c r="QAY82" s="38"/>
      <c r="QAZ82" s="38"/>
      <c r="QBA82" s="38"/>
      <c r="QBB82" s="38"/>
      <c r="QBC82" s="38"/>
      <c r="QBD82" s="38"/>
      <c r="QBE82" s="38"/>
      <c r="QBF82" s="38"/>
      <c r="QBG82" s="38"/>
      <c r="QBH82" s="38"/>
      <c r="QBI82" s="38"/>
      <c r="QBJ82" s="38"/>
      <c r="QBK82" s="38"/>
      <c r="QBL82" s="38"/>
      <c r="QBM82" s="38"/>
      <c r="QBN82" s="38"/>
      <c r="QBO82" s="38"/>
      <c r="QBP82" s="38"/>
      <c r="QBQ82" s="38"/>
      <c r="QBR82" s="38"/>
      <c r="QBS82" s="38"/>
      <c r="QBT82" s="38"/>
      <c r="QBU82" s="38"/>
      <c r="QBV82" s="38"/>
      <c r="QBW82" s="38"/>
      <c r="QBX82" s="38"/>
      <c r="QBY82" s="38"/>
      <c r="QBZ82" s="38"/>
      <c r="QCA82" s="38"/>
      <c r="QCB82" s="38"/>
      <c r="QCC82" s="38"/>
      <c r="QCD82" s="38"/>
      <c r="QCE82" s="38"/>
      <c r="QCF82" s="38"/>
      <c r="QCG82" s="38"/>
      <c r="QCH82" s="38"/>
      <c r="QCI82" s="38"/>
      <c r="QCJ82" s="38"/>
      <c r="QCK82" s="38"/>
      <c r="QCL82" s="38"/>
      <c r="QCM82" s="38"/>
      <c r="QCN82" s="38"/>
      <c r="QCO82" s="38"/>
      <c r="QCP82" s="38"/>
      <c r="QCQ82" s="38"/>
      <c r="QCR82" s="38"/>
      <c r="QCS82" s="38"/>
      <c r="QCT82" s="38"/>
      <c r="QCU82" s="38"/>
      <c r="QCV82" s="38"/>
      <c r="QCW82" s="38"/>
      <c r="QCX82" s="38"/>
      <c r="QCY82" s="38"/>
      <c r="QCZ82" s="38"/>
      <c r="QDA82" s="38"/>
      <c r="QDB82" s="38"/>
      <c r="QDC82" s="38"/>
      <c r="QDD82" s="38"/>
      <c r="QDE82" s="38"/>
      <c r="QDF82" s="38"/>
      <c r="QDG82" s="38"/>
      <c r="QDH82" s="38"/>
      <c r="QDI82" s="38"/>
      <c r="QDJ82" s="38"/>
      <c r="QDK82" s="38"/>
      <c r="QDL82" s="38"/>
      <c r="QDM82" s="38"/>
      <c r="QDN82" s="38"/>
      <c r="QDO82" s="38"/>
      <c r="QDP82" s="38"/>
      <c r="QDQ82" s="38"/>
      <c r="QDR82" s="38"/>
      <c r="QDS82" s="38"/>
      <c r="QDT82" s="38"/>
      <c r="QDU82" s="38"/>
      <c r="QDV82" s="38"/>
      <c r="QDW82" s="38"/>
      <c r="QDX82" s="38"/>
      <c r="QDY82" s="38"/>
      <c r="QDZ82" s="38"/>
      <c r="QEA82" s="38"/>
      <c r="QEB82" s="38"/>
      <c r="QEC82" s="38"/>
      <c r="QED82" s="38"/>
      <c r="QEE82" s="38"/>
      <c r="QEF82" s="38"/>
      <c r="QEG82" s="38"/>
      <c r="QEH82" s="38"/>
      <c r="QEI82" s="38"/>
      <c r="QEJ82" s="38"/>
      <c r="QEK82" s="38"/>
      <c r="QEL82" s="38"/>
      <c r="QEM82" s="38"/>
      <c r="QEN82" s="38"/>
      <c r="QEO82" s="38"/>
      <c r="QEP82" s="38"/>
      <c r="QEQ82" s="38"/>
      <c r="QER82" s="38"/>
      <c r="QES82" s="38"/>
      <c r="QET82" s="38"/>
      <c r="QEU82" s="38"/>
      <c r="QEV82" s="38"/>
      <c r="QEW82" s="38"/>
      <c r="QEX82" s="38"/>
      <c r="QEY82" s="38"/>
      <c r="QEZ82" s="38"/>
      <c r="QFA82" s="38"/>
      <c r="QFB82" s="38"/>
      <c r="QFC82" s="38"/>
      <c r="QFD82" s="38"/>
      <c r="QFE82" s="38"/>
      <c r="QFF82" s="38"/>
      <c r="QFG82" s="38"/>
      <c r="QFH82" s="38"/>
      <c r="QFI82" s="38"/>
      <c r="QFJ82" s="38"/>
      <c r="QFK82" s="38"/>
      <c r="QFL82" s="38"/>
      <c r="QFM82" s="38"/>
      <c r="QFN82" s="38"/>
      <c r="QFO82" s="38"/>
      <c r="QFP82" s="38"/>
      <c r="QFQ82" s="38"/>
      <c r="QFR82" s="38"/>
      <c r="QFS82" s="38"/>
      <c r="QFT82" s="38"/>
      <c r="QFU82" s="38"/>
      <c r="QFV82" s="38"/>
      <c r="QFW82" s="38"/>
      <c r="QFX82" s="38"/>
      <c r="QFY82" s="38"/>
      <c r="QFZ82" s="38"/>
      <c r="QGA82" s="38"/>
      <c r="QGB82" s="38"/>
      <c r="QGC82" s="38"/>
      <c r="QGD82" s="38"/>
      <c r="QGE82" s="38"/>
      <c r="QGF82" s="38"/>
      <c r="QGG82" s="38"/>
      <c r="QGH82" s="38"/>
      <c r="QGI82" s="38"/>
      <c r="QGJ82" s="38"/>
      <c r="QGK82" s="38"/>
      <c r="QGL82" s="38"/>
      <c r="QGM82" s="38"/>
      <c r="QGN82" s="38"/>
      <c r="QGO82" s="38"/>
      <c r="QGP82" s="38"/>
      <c r="QGQ82" s="38"/>
      <c r="QGR82" s="38"/>
      <c r="QGS82" s="38"/>
      <c r="QGT82" s="38"/>
      <c r="QGU82" s="38"/>
      <c r="QGV82" s="38"/>
      <c r="QGW82" s="38"/>
      <c r="QGX82" s="38"/>
      <c r="QGY82" s="38"/>
      <c r="QGZ82" s="38"/>
      <c r="QHA82" s="38"/>
      <c r="QHB82" s="38"/>
      <c r="QHC82" s="38"/>
      <c r="QHD82" s="38"/>
      <c r="QHE82" s="38"/>
      <c r="QHF82" s="38"/>
      <c r="QHG82" s="38"/>
      <c r="QHH82" s="38"/>
      <c r="QHI82" s="38"/>
      <c r="QHJ82" s="38"/>
      <c r="QHK82" s="38"/>
      <c r="QHL82" s="38"/>
      <c r="QHM82" s="38"/>
      <c r="QHN82" s="38"/>
      <c r="QHO82" s="38"/>
      <c r="QHP82" s="38"/>
      <c r="QHQ82" s="38"/>
      <c r="QHR82" s="38"/>
      <c r="QHS82" s="38"/>
      <c r="QHT82" s="38"/>
      <c r="QHU82" s="38"/>
      <c r="QHV82" s="38"/>
      <c r="QHW82" s="38"/>
      <c r="QHX82" s="38"/>
      <c r="QHY82" s="38"/>
      <c r="QHZ82" s="38"/>
      <c r="QIA82" s="38"/>
      <c r="QIB82" s="38"/>
      <c r="QIC82" s="38"/>
      <c r="QID82" s="38"/>
      <c r="QIE82" s="38"/>
      <c r="QIF82" s="38"/>
      <c r="QIG82" s="38"/>
      <c r="QIH82" s="38"/>
      <c r="QII82" s="38"/>
      <c r="QIJ82" s="38"/>
      <c r="QIK82" s="38"/>
      <c r="QIL82" s="38"/>
      <c r="QIM82" s="38"/>
      <c r="QIN82" s="38"/>
      <c r="QIO82" s="38"/>
      <c r="QIP82" s="38"/>
      <c r="QIQ82" s="38"/>
      <c r="QIR82" s="38"/>
      <c r="QIS82" s="38"/>
      <c r="QIT82" s="38"/>
      <c r="QIU82" s="38"/>
      <c r="QIV82" s="38"/>
      <c r="QIW82" s="38"/>
      <c r="QIX82" s="38"/>
      <c r="QIY82" s="38"/>
      <c r="QIZ82" s="38"/>
      <c r="QJA82" s="38"/>
      <c r="QJB82" s="38"/>
      <c r="QJC82" s="38"/>
      <c r="QJD82" s="38"/>
      <c r="QJE82" s="38"/>
      <c r="QJF82" s="38"/>
      <c r="QJG82" s="38"/>
      <c r="QJH82" s="38"/>
      <c r="QJI82" s="38"/>
      <c r="QJJ82" s="38"/>
      <c r="QJK82" s="38"/>
      <c r="QJL82" s="38"/>
      <c r="QJM82" s="38"/>
      <c r="QJN82" s="38"/>
      <c r="QJO82" s="38"/>
      <c r="QJP82" s="38"/>
      <c r="QJQ82" s="38"/>
      <c r="QJR82" s="38"/>
      <c r="QJS82" s="38"/>
      <c r="QJT82" s="38"/>
      <c r="QJU82" s="38"/>
      <c r="QJV82" s="38"/>
      <c r="QJW82" s="38"/>
      <c r="QJX82" s="38"/>
      <c r="QJY82" s="38"/>
      <c r="QJZ82" s="38"/>
      <c r="QKA82" s="38"/>
      <c r="QKB82" s="38"/>
      <c r="QKC82" s="38"/>
      <c r="QKD82" s="38"/>
      <c r="QKE82" s="38"/>
      <c r="QKF82" s="38"/>
      <c r="QKG82" s="38"/>
      <c r="QKH82" s="38"/>
      <c r="QKI82" s="38"/>
      <c r="QKJ82" s="38"/>
      <c r="QKK82" s="38"/>
      <c r="QKL82" s="38"/>
      <c r="QKM82" s="38"/>
      <c r="QKN82" s="38"/>
      <c r="QKO82" s="38"/>
      <c r="QKP82" s="38"/>
      <c r="QKQ82" s="38"/>
      <c r="QKR82" s="38"/>
      <c r="QKS82" s="38"/>
      <c r="QKT82" s="38"/>
      <c r="QKU82" s="38"/>
      <c r="QKV82" s="38"/>
      <c r="QKW82" s="38"/>
      <c r="QKX82" s="38"/>
      <c r="QKY82" s="38"/>
      <c r="QKZ82" s="38"/>
      <c r="QLA82" s="38"/>
      <c r="QLB82" s="38"/>
      <c r="QLC82" s="38"/>
      <c r="QLD82" s="38"/>
      <c r="QLE82" s="38"/>
      <c r="QLF82" s="38"/>
      <c r="QLG82" s="38"/>
      <c r="QLH82" s="38"/>
      <c r="QLI82" s="38"/>
      <c r="QLJ82" s="38"/>
      <c r="QLK82" s="38"/>
      <c r="QLL82" s="38"/>
      <c r="QLM82" s="38"/>
      <c r="QLN82" s="38"/>
      <c r="QLO82" s="38"/>
      <c r="QLP82" s="38"/>
      <c r="QLQ82" s="38"/>
      <c r="QLR82" s="38"/>
      <c r="QLS82" s="38"/>
      <c r="QLT82" s="38"/>
      <c r="QLU82" s="38"/>
      <c r="QLV82" s="38"/>
      <c r="QLW82" s="38"/>
      <c r="QLX82" s="38"/>
      <c r="QLY82" s="38"/>
      <c r="QLZ82" s="38"/>
      <c r="QMA82" s="38"/>
      <c r="QMB82" s="38"/>
      <c r="QMC82" s="38"/>
      <c r="QMD82" s="38"/>
      <c r="QME82" s="38"/>
      <c r="QMF82" s="38"/>
      <c r="QMG82" s="38"/>
      <c r="QMH82" s="38"/>
      <c r="QMI82" s="38"/>
      <c r="QMJ82" s="38"/>
      <c r="QMK82" s="38"/>
      <c r="QML82" s="38"/>
      <c r="QMM82" s="38"/>
      <c r="QMN82" s="38"/>
      <c r="QMO82" s="38"/>
      <c r="QMP82" s="38"/>
      <c r="QMQ82" s="38"/>
      <c r="QMR82" s="38"/>
      <c r="QMS82" s="38"/>
      <c r="QMT82" s="38"/>
      <c r="QMU82" s="38"/>
      <c r="QMV82" s="38"/>
      <c r="QMW82" s="38"/>
      <c r="QMX82" s="38"/>
      <c r="QMY82" s="38"/>
      <c r="QMZ82" s="38"/>
      <c r="QNA82" s="38"/>
      <c r="QNB82" s="38"/>
      <c r="QNC82" s="38"/>
      <c r="QND82" s="38"/>
      <c r="QNE82" s="38"/>
      <c r="QNF82" s="38"/>
      <c r="QNG82" s="38"/>
      <c r="QNH82" s="38"/>
      <c r="QNI82" s="38"/>
      <c r="QNJ82" s="38"/>
      <c r="QNK82" s="38"/>
      <c r="QNL82" s="38"/>
      <c r="QNM82" s="38"/>
      <c r="QNN82" s="38"/>
      <c r="QNO82" s="38"/>
      <c r="QNP82" s="38"/>
      <c r="QNQ82" s="38"/>
      <c r="QNR82" s="38"/>
      <c r="QNS82" s="38"/>
      <c r="QNT82" s="38"/>
      <c r="QNU82" s="38"/>
      <c r="QNV82" s="38"/>
      <c r="QNW82" s="38"/>
      <c r="QNX82" s="38"/>
      <c r="QNY82" s="38"/>
      <c r="QNZ82" s="38"/>
      <c r="QOA82" s="38"/>
      <c r="QOB82" s="38"/>
      <c r="QOC82" s="38"/>
      <c r="QOD82" s="38"/>
      <c r="QOE82" s="38"/>
      <c r="QOF82" s="38"/>
      <c r="QOG82" s="38"/>
      <c r="QOH82" s="38"/>
      <c r="QOI82" s="38"/>
      <c r="QOJ82" s="38"/>
      <c r="QOK82" s="38"/>
      <c r="QOL82" s="38"/>
      <c r="QOM82" s="38"/>
      <c r="QON82" s="38"/>
      <c r="QOO82" s="38"/>
      <c r="QOP82" s="38"/>
      <c r="QOQ82" s="38"/>
      <c r="QOR82" s="38"/>
      <c r="QOS82" s="38"/>
      <c r="QOT82" s="38"/>
      <c r="QOU82" s="38"/>
      <c r="QOV82" s="38"/>
      <c r="QOW82" s="38"/>
      <c r="QOX82" s="38"/>
      <c r="QOY82" s="38"/>
      <c r="QOZ82" s="38"/>
      <c r="QPA82" s="38"/>
      <c r="QPB82" s="38"/>
      <c r="QPC82" s="38"/>
      <c r="QPD82" s="38"/>
      <c r="QPE82" s="38"/>
      <c r="QPF82" s="38"/>
      <c r="QPG82" s="38"/>
      <c r="QPH82" s="38"/>
      <c r="QPI82" s="38"/>
      <c r="QPJ82" s="38"/>
      <c r="QPK82" s="38"/>
      <c r="QPL82" s="38"/>
      <c r="QPM82" s="38"/>
      <c r="QPN82" s="38"/>
      <c r="QPO82" s="38"/>
      <c r="QPP82" s="38"/>
      <c r="QPQ82" s="38"/>
      <c r="QPR82" s="38"/>
      <c r="QPS82" s="38"/>
      <c r="QPT82" s="38"/>
      <c r="QPU82" s="38"/>
      <c r="QPV82" s="38"/>
      <c r="QPW82" s="38"/>
      <c r="QPX82" s="38"/>
      <c r="QPY82" s="38"/>
      <c r="QPZ82" s="38"/>
      <c r="QQA82" s="38"/>
      <c r="QQB82" s="38"/>
      <c r="QQC82" s="38"/>
      <c r="QQD82" s="38"/>
      <c r="QQE82" s="38"/>
      <c r="QQF82" s="38"/>
      <c r="QQG82" s="38"/>
      <c r="QQH82" s="38"/>
      <c r="QQI82" s="38"/>
      <c r="QQJ82" s="38"/>
      <c r="QQK82" s="38"/>
      <c r="QQL82" s="38"/>
      <c r="QQM82" s="38"/>
      <c r="QQN82" s="38"/>
      <c r="QQO82" s="38"/>
      <c r="QQP82" s="38"/>
      <c r="QQQ82" s="38"/>
      <c r="QQR82" s="38"/>
      <c r="QQS82" s="38"/>
      <c r="QQT82" s="38"/>
      <c r="QQU82" s="38"/>
      <c r="QQV82" s="38"/>
      <c r="QQW82" s="38"/>
      <c r="QQX82" s="38"/>
      <c r="QQY82" s="38"/>
      <c r="QQZ82" s="38"/>
      <c r="QRA82" s="38"/>
      <c r="QRB82" s="38"/>
      <c r="QRC82" s="38"/>
      <c r="QRD82" s="38"/>
      <c r="QRE82" s="38"/>
      <c r="QRF82" s="38"/>
      <c r="QRG82" s="38"/>
      <c r="QRH82" s="38"/>
      <c r="QRI82" s="38"/>
      <c r="QRJ82" s="38"/>
      <c r="QRK82" s="38"/>
      <c r="QRL82" s="38"/>
      <c r="QRM82" s="38"/>
      <c r="QRN82" s="38"/>
      <c r="QRO82" s="38"/>
      <c r="QRP82" s="38"/>
      <c r="QRQ82" s="38"/>
      <c r="QRR82" s="38"/>
      <c r="QRS82" s="38"/>
      <c r="QRT82" s="38"/>
      <c r="QRU82" s="38"/>
      <c r="QRV82" s="38"/>
      <c r="QRW82" s="38"/>
      <c r="QRX82" s="38"/>
      <c r="QRY82" s="38"/>
      <c r="QRZ82" s="38"/>
      <c r="QSA82" s="38"/>
      <c r="QSB82" s="38"/>
      <c r="QSC82" s="38"/>
      <c r="QSD82" s="38"/>
      <c r="QSE82" s="38"/>
      <c r="QSF82" s="38"/>
      <c r="QSG82" s="38"/>
      <c r="QSH82" s="38"/>
      <c r="QSI82" s="38"/>
      <c r="QSJ82" s="38"/>
      <c r="QSK82" s="38"/>
      <c r="QSL82" s="38"/>
      <c r="QSM82" s="38"/>
      <c r="QSN82" s="38"/>
      <c r="QSO82" s="38"/>
      <c r="QSP82" s="38"/>
      <c r="QSQ82" s="38"/>
      <c r="QSR82" s="38"/>
      <c r="QSS82" s="38"/>
      <c r="QST82" s="38"/>
      <c r="QSU82" s="38"/>
      <c r="QSV82" s="38"/>
      <c r="QSW82" s="38"/>
      <c r="QSX82" s="38"/>
      <c r="QSY82" s="38"/>
      <c r="QSZ82" s="38"/>
      <c r="QTA82" s="38"/>
      <c r="QTB82" s="38"/>
      <c r="QTC82" s="38"/>
      <c r="QTD82" s="38"/>
      <c r="QTE82" s="38"/>
      <c r="QTF82" s="38"/>
      <c r="QTG82" s="38"/>
      <c r="QTH82" s="38"/>
      <c r="QTI82" s="38"/>
      <c r="QTJ82" s="38"/>
      <c r="QTK82" s="38"/>
      <c r="QTL82" s="38"/>
      <c r="QTM82" s="38"/>
      <c r="QTN82" s="38"/>
      <c r="QTO82" s="38"/>
      <c r="QTP82" s="38"/>
      <c r="QTQ82" s="38"/>
      <c r="QTR82" s="38"/>
      <c r="QTS82" s="38"/>
      <c r="QTT82" s="38"/>
      <c r="QTU82" s="38"/>
      <c r="QTV82" s="38"/>
      <c r="QTW82" s="38"/>
      <c r="QTX82" s="38"/>
      <c r="QTY82" s="38"/>
      <c r="QTZ82" s="38"/>
      <c r="QUA82" s="38"/>
      <c r="QUB82" s="38"/>
      <c r="QUC82" s="38"/>
      <c r="QUD82" s="38"/>
      <c r="QUE82" s="38"/>
      <c r="QUF82" s="38"/>
      <c r="QUG82" s="38"/>
      <c r="QUH82" s="38"/>
      <c r="QUI82" s="38"/>
      <c r="QUJ82" s="38"/>
      <c r="QUK82" s="38"/>
      <c r="QUL82" s="38"/>
      <c r="QUM82" s="38"/>
      <c r="QUN82" s="38"/>
      <c r="QUO82" s="38"/>
      <c r="QUP82" s="38"/>
      <c r="QUQ82" s="38"/>
      <c r="QUR82" s="38"/>
      <c r="QUS82" s="38"/>
      <c r="QUT82" s="38"/>
      <c r="QUU82" s="38"/>
      <c r="QUV82" s="38"/>
      <c r="QUW82" s="38"/>
      <c r="QUX82" s="38"/>
      <c r="QUY82" s="38"/>
      <c r="QUZ82" s="38"/>
      <c r="QVA82" s="38"/>
      <c r="QVB82" s="38"/>
      <c r="QVC82" s="38"/>
      <c r="QVD82" s="38"/>
      <c r="QVE82" s="38"/>
      <c r="QVF82" s="38"/>
      <c r="QVG82" s="38"/>
      <c r="QVH82" s="38"/>
      <c r="QVI82" s="38"/>
      <c r="QVJ82" s="38"/>
      <c r="QVK82" s="38"/>
      <c r="QVL82" s="38"/>
      <c r="QVM82" s="38"/>
      <c r="QVN82" s="38"/>
      <c r="QVO82" s="38"/>
      <c r="QVP82" s="38"/>
      <c r="QVQ82" s="38"/>
      <c r="QVR82" s="38"/>
      <c r="QVS82" s="38"/>
      <c r="QVT82" s="38"/>
      <c r="QVU82" s="38"/>
      <c r="QVV82" s="38"/>
      <c r="QVW82" s="38"/>
      <c r="QVX82" s="38"/>
      <c r="QVY82" s="38"/>
      <c r="QVZ82" s="38"/>
      <c r="QWA82" s="38"/>
      <c r="QWB82" s="38"/>
      <c r="QWC82" s="38"/>
      <c r="QWD82" s="38"/>
      <c r="QWE82" s="38"/>
      <c r="QWF82" s="38"/>
      <c r="QWG82" s="38"/>
      <c r="QWH82" s="38"/>
      <c r="QWI82" s="38"/>
      <c r="QWJ82" s="38"/>
      <c r="QWK82" s="38"/>
      <c r="QWL82" s="38"/>
      <c r="QWM82" s="38"/>
      <c r="QWN82" s="38"/>
      <c r="QWO82" s="38"/>
      <c r="QWP82" s="38"/>
      <c r="QWQ82" s="38"/>
      <c r="QWR82" s="38"/>
      <c r="QWS82" s="38"/>
      <c r="QWT82" s="38"/>
      <c r="QWU82" s="38"/>
      <c r="QWV82" s="38"/>
      <c r="QWW82" s="38"/>
      <c r="QWX82" s="38"/>
      <c r="QWY82" s="38"/>
      <c r="QWZ82" s="38"/>
      <c r="QXA82" s="38"/>
      <c r="QXB82" s="38"/>
      <c r="QXC82" s="38"/>
      <c r="QXD82" s="38"/>
      <c r="QXE82" s="38"/>
      <c r="QXF82" s="38"/>
      <c r="QXG82" s="38"/>
      <c r="QXH82" s="38"/>
      <c r="QXI82" s="38"/>
      <c r="QXJ82" s="38"/>
      <c r="QXK82" s="38"/>
      <c r="QXL82" s="38"/>
      <c r="QXM82" s="38"/>
      <c r="QXN82" s="38"/>
      <c r="QXO82" s="38"/>
      <c r="QXP82" s="38"/>
      <c r="QXQ82" s="38"/>
      <c r="QXR82" s="38"/>
      <c r="QXS82" s="38"/>
      <c r="QXT82" s="38"/>
      <c r="QXU82" s="38"/>
      <c r="QXV82" s="38"/>
      <c r="QXW82" s="38"/>
      <c r="QXX82" s="38"/>
      <c r="QXY82" s="38"/>
      <c r="QXZ82" s="38"/>
      <c r="QYA82" s="38"/>
      <c r="QYB82" s="38"/>
      <c r="QYC82" s="38"/>
      <c r="QYD82" s="38"/>
      <c r="QYE82" s="38"/>
      <c r="QYF82" s="38"/>
      <c r="QYG82" s="38"/>
      <c r="QYH82" s="38"/>
      <c r="QYI82" s="38"/>
      <c r="QYJ82" s="38"/>
      <c r="QYK82" s="38"/>
      <c r="QYL82" s="38"/>
      <c r="QYM82" s="38"/>
      <c r="QYN82" s="38"/>
      <c r="QYO82" s="38"/>
      <c r="QYP82" s="38"/>
      <c r="QYQ82" s="38"/>
      <c r="QYR82" s="38"/>
      <c r="QYS82" s="38"/>
      <c r="QYT82" s="38"/>
      <c r="QYU82" s="38"/>
      <c r="QYV82" s="38"/>
      <c r="QYW82" s="38"/>
      <c r="QYX82" s="38"/>
      <c r="QYY82" s="38"/>
      <c r="QYZ82" s="38"/>
      <c r="QZA82" s="38"/>
      <c r="QZB82" s="38"/>
      <c r="QZC82" s="38"/>
      <c r="QZD82" s="38"/>
      <c r="QZE82" s="38"/>
      <c r="QZF82" s="38"/>
      <c r="QZG82" s="38"/>
      <c r="QZH82" s="38"/>
      <c r="QZI82" s="38"/>
      <c r="QZJ82" s="38"/>
      <c r="QZK82" s="38"/>
      <c r="QZL82" s="38"/>
      <c r="QZM82" s="38"/>
      <c r="QZN82" s="38"/>
      <c r="QZO82" s="38"/>
      <c r="QZP82" s="38"/>
      <c r="QZQ82" s="38"/>
      <c r="QZR82" s="38"/>
      <c r="QZS82" s="38"/>
      <c r="QZT82" s="38"/>
      <c r="QZU82" s="38"/>
      <c r="QZV82" s="38"/>
      <c r="QZW82" s="38"/>
      <c r="QZX82" s="38"/>
      <c r="QZY82" s="38"/>
      <c r="QZZ82" s="38"/>
      <c r="RAA82" s="38"/>
      <c r="RAB82" s="38"/>
      <c r="RAC82" s="38"/>
      <c r="RAD82" s="38"/>
      <c r="RAE82" s="38"/>
      <c r="RAF82" s="38"/>
      <c r="RAG82" s="38"/>
      <c r="RAH82" s="38"/>
      <c r="RAI82" s="38"/>
      <c r="RAJ82" s="38"/>
      <c r="RAK82" s="38"/>
      <c r="RAL82" s="38"/>
      <c r="RAM82" s="38"/>
      <c r="RAN82" s="38"/>
      <c r="RAO82" s="38"/>
      <c r="RAP82" s="38"/>
      <c r="RAQ82" s="38"/>
      <c r="RAR82" s="38"/>
      <c r="RAS82" s="38"/>
      <c r="RAT82" s="38"/>
      <c r="RAU82" s="38"/>
      <c r="RAV82" s="38"/>
      <c r="RAW82" s="38"/>
      <c r="RAX82" s="38"/>
      <c r="RAY82" s="38"/>
      <c r="RAZ82" s="38"/>
      <c r="RBA82" s="38"/>
      <c r="RBB82" s="38"/>
      <c r="RBC82" s="38"/>
      <c r="RBD82" s="38"/>
      <c r="RBE82" s="38"/>
      <c r="RBF82" s="38"/>
      <c r="RBG82" s="38"/>
      <c r="RBH82" s="38"/>
      <c r="RBI82" s="38"/>
      <c r="RBJ82" s="38"/>
      <c r="RBK82" s="38"/>
      <c r="RBL82" s="38"/>
      <c r="RBM82" s="38"/>
      <c r="RBN82" s="38"/>
      <c r="RBO82" s="38"/>
      <c r="RBP82" s="38"/>
      <c r="RBQ82" s="38"/>
      <c r="RBR82" s="38"/>
      <c r="RBS82" s="38"/>
      <c r="RBT82" s="38"/>
      <c r="RBU82" s="38"/>
      <c r="RBV82" s="38"/>
      <c r="RBW82" s="38"/>
      <c r="RBX82" s="38"/>
      <c r="RBY82" s="38"/>
      <c r="RBZ82" s="38"/>
      <c r="RCA82" s="38"/>
      <c r="RCB82" s="38"/>
      <c r="RCC82" s="38"/>
      <c r="RCD82" s="38"/>
      <c r="RCE82" s="38"/>
      <c r="RCF82" s="38"/>
      <c r="RCG82" s="38"/>
      <c r="RCH82" s="38"/>
      <c r="RCI82" s="38"/>
      <c r="RCJ82" s="38"/>
      <c r="RCK82" s="38"/>
      <c r="RCL82" s="38"/>
      <c r="RCM82" s="38"/>
      <c r="RCN82" s="38"/>
      <c r="RCO82" s="38"/>
      <c r="RCP82" s="38"/>
      <c r="RCQ82" s="38"/>
      <c r="RCR82" s="38"/>
      <c r="RCS82" s="38"/>
      <c r="RCT82" s="38"/>
      <c r="RCU82" s="38"/>
      <c r="RCV82" s="38"/>
      <c r="RCW82" s="38"/>
      <c r="RCX82" s="38"/>
      <c r="RCY82" s="38"/>
      <c r="RCZ82" s="38"/>
      <c r="RDA82" s="38"/>
      <c r="RDB82" s="38"/>
      <c r="RDC82" s="38"/>
      <c r="RDD82" s="38"/>
      <c r="RDE82" s="38"/>
      <c r="RDF82" s="38"/>
      <c r="RDG82" s="38"/>
      <c r="RDH82" s="38"/>
      <c r="RDI82" s="38"/>
      <c r="RDJ82" s="38"/>
      <c r="RDK82" s="38"/>
      <c r="RDL82" s="38"/>
      <c r="RDM82" s="38"/>
      <c r="RDN82" s="38"/>
      <c r="RDO82" s="38"/>
      <c r="RDP82" s="38"/>
      <c r="RDQ82" s="38"/>
      <c r="RDR82" s="38"/>
      <c r="RDS82" s="38"/>
      <c r="RDT82" s="38"/>
      <c r="RDU82" s="38"/>
      <c r="RDV82" s="38"/>
      <c r="RDW82" s="38"/>
      <c r="RDX82" s="38"/>
      <c r="RDY82" s="38"/>
      <c r="RDZ82" s="38"/>
      <c r="REA82" s="38"/>
      <c r="REB82" s="38"/>
      <c r="REC82" s="38"/>
      <c r="RED82" s="38"/>
      <c r="REE82" s="38"/>
      <c r="REF82" s="38"/>
      <c r="REG82" s="38"/>
      <c r="REH82" s="38"/>
      <c r="REI82" s="38"/>
      <c r="REJ82" s="38"/>
      <c r="REK82" s="38"/>
      <c r="REL82" s="38"/>
      <c r="REM82" s="38"/>
      <c r="REN82" s="38"/>
      <c r="REO82" s="38"/>
      <c r="REP82" s="38"/>
      <c r="REQ82" s="38"/>
      <c r="RER82" s="38"/>
      <c r="RES82" s="38"/>
      <c r="RET82" s="38"/>
      <c r="REU82" s="38"/>
      <c r="REV82" s="38"/>
      <c r="REW82" s="38"/>
      <c r="REX82" s="38"/>
      <c r="REY82" s="38"/>
      <c r="REZ82" s="38"/>
      <c r="RFA82" s="38"/>
      <c r="RFB82" s="38"/>
      <c r="RFC82" s="38"/>
      <c r="RFD82" s="38"/>
      <c r="RFE82" s="38"/>
      <c r="RFF82" s="38"/>
      <c r="RFG82" s="38"/>
      <c r="RFH82" s="38"/>
      <c r="RFI82" s="38"/>
      <c r="RFJ82" s="38"/>
      <c r="RFK82" s="38"/>
      <c r="RFL82" s="38"/>
      <c r="RFM82" s="38"/>
      <c r="RFN82" s="38"/>
      <c r="RFO82" s="38"/>
      <c r="RFP82" s="38"/>
      <c r="RFQ82" s="38"/>
      <c r="RFR82" s="38"/>
      <c r="RFS82" s="38"/>
      <c r="RFT82" s="38"/>
      <c r="RFU82" s="38"/>
      <c r="RFV82" s="38"/>
      <c r="RFW82" s="38"/>
      <c r="RFX82" s="38"/>
      <c r="RFY82" s="38"/>
      <c r="RFZ82" s="38"/>
      <c r="RGA82" s="38"/>
      <c r="RGB82" s="38"/>
      <c r="RGC82" s="38"/>
      <c r="RGD82" s="38"/>
      <c r="RGE82" s="38"/>
      <c r="RGF82" s="38"/>
      <c r="RGG82" s="38"/>
      <c r="RGH82" s="38"/>
      <c r="RGI82" s="38"/>
      <c r="RGJ82" s="38"/>
      <c r="RGK82" s="38"/>
      <c r="RGL82" s="38"/>
      <c r="RGM82" s="38"/>
      <c r="RGN82" s="38"/>
      <c r="RGO82" s="38"/>
      <c r="RGP82" s="38"/>
      <c r="RGQ82" s="38"/>
      <c r="RGR82" s="38"/>
      <c r="RGS82" s="38"/>
      <c r="RGT82" s="38"/>
      <c r="RGU82" s="38"/>
      <c r="RGV82" s="38"/>
      <c r="RGW82" s="38"/>
      <c r="RGX82" s="38"/>
      <c r="RGY82" s="38"/>
      <c r="RGZ82" s="38"/>
      <c r="RHA82" s="38"/>
      <c r="RHB82" s="38"/>
      <c r="RHC82" s="38"/>
      <c r="RHD82" s="38"/>
      <c r="RHE82" s="38"/>
      <c r="RHF82" s="38"/>
      <c r="RHG82" s="38"/>
      <c r="RHH82" s="38"/>
      <c r="RHI82" s="38"/>
      <c r="RHJ82" s="38"/>
      <c r="RHK82" s="38"/>
      <c r="RHL82" s="38"/>
      <c r="RHM82" s="38"/>
      <c r="RHN82" s="38"/>
      <c r="RHO82" s="38"/>
      <c r="RHP82" s="38"/>
      <c r="RHQ82" s="38"/>
      <c r="RHR82" s="38"/>
      <c r="RHS82" s="38"/>
      <c r="RHT82" s="38"/>
      <c r="RHU82" s="38"/>
      <c r="RHV82" s="38"/>
      <c r="RHW82" s="38"/>
      <c r="RHX82" s="38"/>
      <c r="RHY82" s="38"/>
      <c r="RHZ82" s="38"/>
      <c r="RIA82" s="38"/>
      <c r="RIB82" s="38"/>
      <c r="RIC82" s="38"/>
      <c r="RID82" s="38"/>
      <c r="RIE82" s="38"/>
      <c r="RIF82" s="38"/>
      <c r="RIG82" s="38"/>
      <c r="RIH82" s="38"/>
      <c r="RII82" s="38"/>
      <c r="RIJ82" s="38"/>
      <c r="RIK82" s="38"/>
      <c r="RIL82" s="38"/>
      <c r="RIM82" s="38"/>
      <c r="RIN82" s="38"/>
      <c r="RIO82" s="38"/>
      <c r="RIP82" s="38"/>
      <c r="RIQ82" s="38"/>
      <c r="RIR82" s="38"/>
      <c r="RIS82" s="38"/>
      <c r="RIT82" s="38"/>
      <c r="RIU82" s="38"/>
      <c r="RIV82" s="38"/>
      <c r="RIW82" s="38"/>
      <c r="RIX82" s="38"/>
      <c r="RIY82" s="38"/>
      <c r="RIZ82" s="38"/>
      <c r="RJA82" s="38"/>
      <c r="RJB82" s="38"/>
      <c r="RJC82" s="38"/>
      <c r="RJD82" s="38"/>
      <c r="RJE82" s="38"/>
      <c r="RJF82" s="38"/>
      <c r="RJG82" s="38"/>
      <c r="RJH82" s="38"/>
      <c r="RJI82" s="38"/>
      <c r="RJJ82" s="38"/>
      <c r="RJK82" s="38"/>
      <c r="RJL82" s="38"/>
      <c r="RJM82" s="38"/>
      <c r="RJN82" s="38"/>
      <c r="RJO82" s="38"/>
      <c r="RJP82" s="38"/>
      <c r="RJQ82" s="38"/>
      <c r="RJR82" s="38"/>
      <c r="RJS82" s="38"/>
      <c r="RJT82" s="38"/>
      <c r="RJU82" s="38"/>
      <c r="RJV82" s="38"/>
      <c r="RJW82" s="38"/>
      <c r="RJX82" s="38"/>
      <c r="RJY82" s="38"/>
      <c r="RJZ82" s="38"/>
      <c r="RKA82" s="38"/>
      <c r="RKB82" s="38"/>
      <c r="RKC82" s="38"/>
      <c r="RKD82" s="38"/>
      <c r="RKE82" s="38"/>
      <c r="RKF82" s="38"/>
      <c r="RKG82" s="38"/>
      <c r="RKH82" s="38"/>
      <c r="RKI82" s="38"/>
      <c r="RKJ82" s="38"/>
      <c r="RKK82" s="38"/>
      <c r="RKL82" s="38"/>
      <c r="RKM82" s="38"/>
      <c r="RKN82" s="38"/>
      <c r="RKO82" s="38"/>
      <c r="RKP82" s="38"/>
      <c r="RKQ82" s="38"/>
      <c r="RKR82" s="38"/>
      <c r="RKS82" s="38"/>
      <c r="RKT82" s="38"/>
      <c r="RKU82" s="38"/>
      <c r="RKV82" s="38"/>
      <c r="RKW82" s="38"/>
      <c r="RKX82" s="38"/>
      <c r="RKY82" s="38"/>
      <c r="RKZ82" s="38"/>
      <c r="RLA82" s="38"/>
      <c r="RLB82" s="38"/>
      <c r="RLC82" s="38"/>
      <c r="RLD82" s="38"/>
      <c r="RLE82" s="38"/>
      <c r="RLF82" s="38"/>
      <c r="RLG82" s="38"/>
      <c r="RLH82" s="38"/>
      <c r="RLI82" s="38"/>
      <c r="RLJ82" s="38"/>
      <c r="RLK82" s="38"/>
      <c r="RLL82" s="38"/>
      <c r="RLM82" s="38"/>
      <c r="RLN82" s="38"/>
      <c r="RLO82" s="38"/>
      <c r="RLP82" s="38"/>
      <c r="RLQ82" s="38"/>
      <c r="RLR82" s="38"/>
      <c r="RLS82" s="38"/>
      <c r="RLT82" s="38"/>
      <c r="RLU82" s="38"/>
      <c r="RLV82" s="38"/>
      <c r="RLW82" s="38"/>
      <c r="RLX82" s="38"/>
      <c r="RLY82" s="38"/>
      <c r="RLZ82" s="38"/>
      <c r="RMA82" s="38"/>
      <c r="RMB82" s="38"/>
      <c r="RMC82" s="38"/>
      <c r="RMD82" s="38"/>
      <c r="RME82" s="38"/>
      <c r="RMF82" s="38"/>
      <c r="RMG82" s="38"/>
      <c r="RMH82" s="38"/>
      <c r="RMI82" s="38"/>
      <c r="RMJ82" s="38"/>
      <c r="RMK82" s="38"/>
      <c r="RML82" s="38"/>
      <c r="RMM82" s="38"/>
      <c r="RMN82" s="38"/>
      <c r="RMO82" s="38"/>
      <c r="RMP82" s="38"/>
      <c r="RMQ82" s="38"/>
      <c r="RMR82" s="38"/>
      <c r="RMS82" s="38"/>
      <c r="RMT82" s="38"/>
      <c r="RMU82" s="38"/>
      <c r="RMV82" s="38"/>
      <c r="RMW82" s="38"/>
      <c r="RMX82" s="38"/>
      <c r="RMY82" s="38"/>
      <c r="RMZ82" s="38"/>
      <c r="RNA82" s="38"/>
      <c r="RNB82" s="38"/>
      <c r="RNC82" s="38"/>
      <c r="RND82" s="38"/>
      <c r="RNE82" s="38"/>
      <c r="RNF82" s="38"/>
      <c r="RNG82" s="38"/>
      <c r="RNH82" s="38"/>
      <c r="RNI82" s="38"/>
      <c r="RNJ82" s="38"/>
      <c r="RNK82" s="38"/>
      <c r="RNL82" s="38"/>
      <c r="RNM82" s="38"/>
      <c r="RNN82" s="38"/>
      <c r="RNO82" s="38"/>
      <c r="RNP82" s="38"/>
      <c r="RNQ82" s="38"/>
      <c r="RNR82" s="38"/>
      <c r="RNS82" s="38"/>
      <c r="RNT82" s="38"/>
      <c r="RNU82" s="38"/>
      <c r="RNV82" s="38"/>
      <c r="RNW82" s="38"/>
      <c r="RNX82" s="38"/>
      <c r="RNY82" s="38"/>
      <c r="RNZ82" s="38"/>
      <c r="ROA82" s="38"/>
      <c r="ROB82" s="38"/>
      <c r="ROC82" s="38"/>
      <c r="ROD82" s="38"/>
      <c r="ROE82" s="38"/>
      <c r="ROF82" s="38"/>
      <c r="ROG82" s="38"/>
      <c r="ROH82" s="38"/>
      <c r="ROI82" s="38"/>
      <c r="ROJ82" s="38"/>
      <c r="ROK82" s="38"/>
      <c r="ROL82" s="38"/>
      <c r="ROM82" s="38"/>
      <c r="RON82" s="38"/>
      <c r="ROO82" s="38"/>
      <c r="ROP82" s="38"/>
      <c r="ROQ82" s="38"/>
      <c r="ROR82" s="38"/>
      <c r="ROS82" s="38"/>
      <c r="ROT82" s="38"/>
      <c r="ROU82" s="38"/>
      <c r="ROV82" s="38"/>
      <c r="ROW82" s="38"/>
      <c r="ROX82" s="38"/>
      <c r="ROY82" s="38"/>
      <c r="ROZ82" s="38"/>
      <c r="RPA82" s="38"/>
      <c r="RPB82" s="38"/>
      <c r="RPC82" s="38"/>
      <c r="RPD82" s="38"/>
      <c r="RPE82" s="38"/>
      <c r="RPF82" s="38"/>
      <c r="RPG82" s="38"/>
      <c r="RPH82" s="38"/>
      <c r="RPI82" s="38"/>
      <c r="RPJ82" s="38"/>
      <c r="RPK82" s="38"/>
      <c r="RPL82" s="38"/>
      <c r="RPM82" s="38"/>
      <c r="RPN82" s="38"/>
      <c r="RPO82" s="38"/>
      <c r="RPP82" s="38"/>
      <c r="RPQ82" s="38"/>
      <c r="RPR82" s="38"/>
      <c r="RPS82" s="38"/>
      <c r="RPT82" s="38"/>
      <c r="RPU82" s="38"/>
      <c r="RPV82" s="38"/>
      <c r="RPW82" s="38"/>
      <c r="RPX82" s="38"/>
      <c r="RPY82" s="38"/>
      <c r="RPZ82" s="38"/>
      <c r="RQA82" s="38"/>
      <c r="RQB82" s="38"/>
      <c r="RQC82" s="38"/>
      <c r="RQD82" s="38"/>
      <c r="RQE82" s="38"/>
      <c r="RQF82" s="38"/>
      <c r="RQG82" s="38"/>
      <c r="RQH82" s="38"/>
      <c r="RQI82" s="38"/>
      <c r="RQJ82" s="38"/>
      <c r="RQK82" s="38"/>
      <c r="RQL82" s="38"/>
      <c r="RQM82" s="38"/>
      <c r="RQN82" s="38"/>
      <c r="RQO82" s="38"/>
      <c r="RQP82" s="38"/>
      <c r="RQQ82" s="38"/>
      <c r="RQR82" s="38"/>
      <c r="RQS82" s="38"/>
      <c r="RQT82" s="38"/>
      <c r="RQU82" s="38"/>
      <c r="RQV82" s="38"/>
      <c r="RQW82" s="38"/>
      <c r="RQX82" s="38"/>
      <c r="RQY82" s="38"/>
      <c r="RQZ82" s="38"/>
      <c r="RRA82" s="38"/>
      <c r="RRB82" s="38"/>
      <c r="RRC82" s="38"/>
      <c r="RRD82" s="38"/>
      <c r="RRE82" s="38"/>
      <c r="RRF82" s="38"/>
      <c r="RRG82" s="38"/>
      <c r="RRH82" s="38"/>
      <c r="RRI82" s="38"/>
      <c r="RRJ82" s="38"/>
      <c r="RRK82" s="38"/>
      <c r="RRL82" s="38"/>
      <c r="RRM82" s="38"/>
      <c r="RRN82" s="38"/>
      <c r="RRO82" s="38"/>
      <c r="RRP82" s="38"/>
      <c r="RRQ82" s="38"/>
      <c r="RRR82" s="38"/>
      <c r="RRS82" s="38"/>
      <c r="RRT82" s="38"/>
      <c r="RRU82" s="38"/>
      <c r="RRV82" s="38"/>
      <c r="RRW82" s="38"/>
      <c r="RRX82" s="38"/>
      <c r="RRY82" s="38"/>
      <c r="RRZ82" s="38"/>
      <c r="RSA82" s="38"/>
      <c r="RSB82" s="38"/>
      <c r="RSC82" s="38"/>
      <c r="RSD82" s="38"/>
      <c r="RSE82" s="38"/>
      <c r="RSF82" s="38"/>
      <c r="RSG82" s="38"/>
      <c r="RSH82" s="38"/>
      <c r="RSI82" s="38"/>
      <c r="RSJ82" s="38"/>
      <c r="RSK82" s="38"/>
      <c r="RSL82" s="38"/>
      <c r="RSM82" s="38"/>
      <c r="RSN82" s="38"/>
      <c r="RSO82" s="38"/>
      <c r="RSP82" s="38"/>
      <c r="RSQ82" s="38"/>
      <c r="RSR82" s="38"/>
      <c r="RSS82" s="38"/>
      <c r="RST82" s="38"/>
      <c r="RSU82" s="38"/>
      <c r="RSV82" s="38"/>
      <c r="RSW82" s="38"/>
      <c r="RSX82" s="38"/>
      <c r="RSY82" s="38"/>
      <c r="RSZ82" s="38"/>
      <c r="RTA82" s="38"/>
      <c r="RTB82" s="38"/>
      <c r="RTC82" s="38"/>
      <c r="RTD82" s="38"/>
      <c r="RTE82" s="38"/>
      <c r="RTF82" s="38"/>
      <c r="RTG82" s="38"/>
      <c r="RTH82" s="38"/>
      <c r="RTI82" s="38"/>
      <c r="RTJ82" s="38"/>
      <c r="RTK82" s="38"/>
      <c r="RTL82" s="38"/>
      <c r="RTM82" s="38"/>
      <c r="RTN82" s="38"/>
      <c r="RTO82" s="38"/>
      <c r="RTP82" s="38"/>
      <c r="RTQ82" s="38"/>
      <c r="RTR82" s="38"/>
      <c r="RTS82" s="38"/>
      <c r="RTT82" s="38"/>
      <c r="RTU82" s="38"/>
      <c r="RTV82" s="38"/>
      <c r="RTW82" s="38"/>
      <c r="RTX82" s="38"/>
      <c r="RTY82" s="38"/>
      <c r="RTZ82" s="38"/>
      <c r="RUA82" s="38"/>
      <c r="RUB82" s="38"/>
      <c r="RUC82" s="38"/>
      <c r="RUD82" s="38"/>
      <c r="RUE82" s="38"/>
      <c r="RUF82" s="38"/>
      <c r="RUG82" s="38"/>
      <c r="RUH82" s="38"/>
      <c r="RUI82" s="38"/>
      <c r="RUJ82" s="38"/>
      <c r="RUK82" s="38"/>
      <c r="RUL82" s="38"/>
      <c r="RUM82" s="38"/>
      <c r="RUN82" s="38"/>
      <c r="RUO82" s="38"/>
      <c r="RUP82" s="38"/>
      <c r="RUQ82" s="38"/>
      <c r="RUR82" s="38"/>
      <c r="RUS82" s="38"/>
      <c r="RUT82" s="38"/>
      <c r="RUU82" s="38"/>
      <c r="RUV82" s="38"/>
      <c r="RUW82" s="38"/>
      <c r="RUX82" s="38"/>
      <c r="RUY82" s="38"/>
      <c r="RUZ82" s="38"/>
      <c r="RVA82" s="38"/>
      <c r="RVB82" s="38"/>
      <c r="RVC82" s="38"/>
      <c r="RVD82" s="38"/>
      <c r="RVE82" s="38"/>
      <c r="RVF82" s="38"/>
      <c r="RVG82" s="38"/>
      <c r="RVH82" s="38"/>
      <c r="RVI82" s="38"/>
      <c r="RVJ82" s="38"/>
      <c r="RVK82" s="38"/>
      <c r="RVL82" s="38"/>
      <c r="RVM82" s="38"/>
      <c r="RVN82" s="38"/>
      <c r="RVO82" s="38"/>
      <c r="RVP82" s="38"/>
      <c r="RVQ82" s="38"/>
      <c r="RVR82" s="38"/>
      <c r="RVS82" s="38"/>
      <c r="RVT82" s="38"/>
      <c r="RVU82" s="38"/>
      <c r="RVV82" s="38"/>
      <c r="RVW82" s="38"/>
      <c r="RVX82" s="38"/>
      <c r="RVY82" s="38"/>
      <c r="RVZ82" s="38"/>
      <c r="RWA82" s="38"/>
      <c r="RWB82" s="38"/>
      <c r="RWC82" s="38"/>
      <c r="RWD82" s="38"/>
      <c r="RWE82" s="38"/>
      <c r="RWF82" s="38"/>
      <c r="RWG82" s="38"/>
      <c r="RWH82" s="38"/>
      <c r="RWI82" s="38"/>
      <c r="RWJ82" s="38"/>
      <c r="RWK82" s="38"/>
      <c r="RWL82" s="38"/>
      <c r="RWM82" s="38"/>
      <c r="RWN82" s="38"/>
      <c r="RWO82" s="38"/>
      <c r="RWP82" s="38"/>
      <c r="RWQ82" s="38"/>
      <c r="RWR82" s="38"/>
      <c r="RWS82" s="38"/>
      <c r="RWT82" s="38"/>
      <c r="RWU82" s="38"/>
      <c r="RWV82" s="38"/>
      <c r="RWW82" s="38"/>
      <c r="RWX82" s="38"/>
      <c r="RWY82" s="38"/>
      <c r="RWZ82" s="38"/>
      <c r="RXA82" s="38"/>
      <c r="RXB82" s="38"/>
      <c r="RXC82" s="38"/>
      <c r="RXD82" s="38"/>
      <c r="RXE82" s="38"/>
      <c r="RXF82" s="38"/>
      <c r="RXG82" s="38"/>
      <c r="RXH82" s="38"/>
      <c r="RXI82" s="38"/>
      <c r="RXJ82" s="38"/>
      <c r="RXK82" s="38"/>
      <c r="RXL82" s="38"/>
      <c r="RXM82" s="38"/>
      <c r="RXN82" s="38"/>
      <c r="RXO82" s="38"/>
      <c r="RXP82" s="38"/>
      <c r="RXQ82" s="38"/>
      <c r="RXR82" s="38"/>
      <c r="RXS82" s="38"/>
      <c r="RXT82" s="38"/>
      <c r="RXU82" s="38"/>
      <c r="RXV82" s="38"/>
      <c r="RXW82" s="38"/>
      <c r="RXX82" s="38"/>
      <c r="RXY82" s="38"/>
      <c r="RXZ82" s="38"/>
      <c r="RYA82" s="38"/>
      <c r="RYB82" s="38"/>
      <c r="RYC82" s="38"/>
      <c r="RYD82" s="38"/>
      <c r="RYE82" s="38"/>
      <c r="RYF82" s="38"/>
      <c r="RYG82" s="38"/>
      <c r="RYH82" s="38"/>
      <c r="RYI82" s="38"/>
      <c r="RYJ82" s="38"/>
      <c r="RYK82" s="38"/>
      <c r="RYL82" s="38"/>
      <c r="RYM82" s="38"/>
      <c r="RYN82" s="38"/>
      <c r="RYO82" s="38"/>
      <c r="RYP82" s="38"/>
      <c r="RYQ82" s="38"/>
      <c r="RYR82" s="38"/>
      <c r="RYS82" s="38"/>
      <c r="RYT82" s="38"/>
      <c r="RYU82" s="38"/>
      <c r="RYV82" s="38"/>
      <c r="RYW82" s="38"/>
      <c r="RYX82" s="38"/>
      <c r="RYY82" s="38"/>
      <c r="RYZ82" s="38"/>
      <c r="RZA82" s="38"/>
      <c r="RZB82" s="38"/>
      <c r="RZC82" s="38"/>
      <c r="RZD82" s="38"/>
      <c r="RZE82" s="38"/>
      <c r="RZF82" s="38"/>
      <c r="RZG82" s="38"/>
      <c r="RZH82" s="38"/>
      <c r="RZI82" s="38"/>
      <c r="RZJ82" s="38"/>
      <c r="RZK82" s="38"/>
      <c r="RZL82" s="38"/>
      <c r="RZM82" s="38"/>
      <c r="RZN82" s="38"/>
      <c r="RZO82" s="38"/>
      <c r="RZP82" s="38"/>
      <c r="RZQ82" s="38"/>
      <c r="RZR82" s="38"/>
      <c r="RZS82" s="38"/>
      <c r="RZT82" s="38"/>
      <c r="RZU82" s="38"/>
      <c r="RZV82" s="38"/>
      <c r="RZW82" s="38"/>
      <c r="RZX82" s="38"/>
      <c r="RZY82" s="38"/>
      <c r="RZZ82" s="38"/>
      <c r="SAA82" s="38"/>
      <c r="SAB82" s="38"/>
      <c r="SAC82" s="38"/>
      <c r="SAD82" s="38"/>
      <c r="SAE82" s="38"/>
      <c r="SAF82" s="38"/>
      <c r="SAG82" s="38"/>
      <c r="SAH82" s="38"/>
      <c r="SAI82" s="38"/>
      <c r="SAJ82" s="38"/>
      <c r="SAK82" s="38"/>
      <c r="SAL82" s="38"/>
      <c r="SAM82" s="38"/>
      <c r="SAN82" s="38"/>
      <c r="SAO82" s="38"/>
      <c r="SAP82" s="38"/>
      <c r="SAQ82" s="38"/>
      <c r="SAR82" s="38"/>
      <c r="SAS82" s="38"/>
      <c r="SAT82" s="38"/>
      <c r="SAU82" s="38"/>
      <c r="SAV82" s="38"/>
      <c r="SAW82" s="38"/>
      <c r="SAX82" s="38"/>
      <c r="SAY82" s="38"/>
      <c r="SAZ82" s="38"/>
      <c r="SBA82" s="38"/>
      <c r="SBB82" s="38"/>
      <c r="SBC82" s="38"/>
      <c r="SBD82" s="38"/>
      <c r="SBE82" s="38"/>
      <c r="SBF82" s="38"/>
      <c r="SBG82" s="38"/>
      <c r="SBH82" s="38"/>
      <c r="SBI82" s="38"/>
      <c r="SBJ82" s="38"/>
      <c r="SBK82" s="38"/>
      <c r="SBL82" s="38"/>
      <c r="SBM82" s="38"/>
      <c r="SBN82" s="38"/>
      <c r="SBO82" s="38"/>
      <c r="SBP82" s="38"/>
      <c r="SBQ82" s="38"/>
      <c r="SBR82" s="38"/>
      <c r="SBS82" s="38"/>
      <c r="SBT82" s="38"/>
      <c r="SBU82" s="38"/>
      <c r="SBV82" s="38"/>
      <c r="SBW82" s="38"/>
      <c r="SBX82" s="38"/>
      <c r="SBY82" s="38"/>
      <c r="SBZ82" s="38"/>
      <c r="SCA82" s="38"/>
      <c r="SCB82" s="38"/>
      <c r="SCC82" s="38"/>
      <c r="SCD82" s="38"/>
      <c r="SCE82" s="38"/>
      <c r="SCF82" s="38"/>
      <c r="SCG82" s="38"/>
      <c r="SCH82" s="38"/>
      <c r="SCI82" s="38"/>
      <c r="SCJ82" s="38"/>
      <c r="SCK82" s="38"/>
      <c r="SCL82" s="38"/>
      <c r="SCM82" s="38"/>
      <c r="SCN82" s="38"/>
      <c r="SCO82" s="38"/>
      <c r="SCP82" s="38"/>
      <c r="SCQ82" s="38"/>
      <c r="SCR82" s="38"/>
      <c r="SCS82" s="38"/>
      <c r="SCT82" s="38"/>
      <c r="SCU82" s="38"/>
      <c r="SCV82" s="38"/>
      <c r="SCW82" s="38"/>
      <c r="SCX82" s="38"/>
      <c r="SCY82" s="38"/>
      <c r="SCZ82" s="38"/>
      <c r="SDA82" s="38"/>
      <c r="SDB82" s="38"/>
      <c r="SDC82" s="38"/>
      <c r="SDD82" s="38"/>
      <c r="SDE82" s="38"/>
      <c r="SDF82" s="38"/>
      <c r="SDG82" s="38"/>
      <c r="SDH82" s="38"/>
      <c r="SDI82" s="38"/>
      <c r="SDJ82" s="38"/>
      <c r="SDK82" s="38"/>
      <c r="SDL82" s="38"/>
      <c r="SDM82" s="38"/>
      <c r="SDN82" s="38"/>
      <c r="SDO82" s="38"/>
      <c r="SDP82" s="38"/>
      <c r="SDQ82" s="38"/>
      <c r="SDR82" s="38"/>
      <c r="SDS82" s="38"/>
      <c r="SDT82" s="38"/>
      <c r="SDU82" s="38"/>
      <c r="SDV82" s="38"/>
      <c r="SDW82" s="38"/>
      <c r="SDX82" s="38"/>
      <c r="SDY82" s="38"/>
      <c r="SDZ82" s="38"/>
      <c r="SEA82" s="38"/>
      <c r="SEB82" s="38"/>
      <c r="SEC82" s="38"/>
      <c r="SED82" s="38"/>
      <c r="SEE82" s="38"/>
      <c r="SEF82" s="38"/>
      <c r="SEG82" s="38"/>
      <c r="SEH82" s="38"/>
      <c r="SEI82" s="38"/>
      <c r="SEJ82" s="38"/>
      <c r="SEK82" s="38"/>
      <c r="SEL82" s="38"/>
      <c r="SEM82" s="38"/>
      <c r="SEN82" s="38"/>
      <c r="SEO82" s="38"/>
      <c r="SEP82" s="38"/>
      <c r="SEQ82" s="38"/>
      <c r="SER82" s="38"/>
      <c r="SES82" s="38"/>
      <c r="SET82" s="38"/>
      <c r="SEU82" s="38"/>
      <c r="SEV82" s="38"/>
      <c r="SEW82" s="38"/>
      <c r="SEX82" s="38"/>
      <c r="SEY82" s="38"/>
      <c r="SEZ82" s="38"/>
      <c r="SFA82" s="38"/>
      <c r="SFB82" s="38"/>
      <c r="SFC82" s="38"/>
      <c r="SFD82" s="38"/>
      <c r="SFE82" s="38"/>
      <c r="SFF82" s="38"/>
      <c r="SFG82" s="38"/>
      <c r="SFH82" s="38"/>
      <c r="SFI82" s="38"/>
      <c r="SFJ82" s="38"/>
      <c r="SFK82" s="38"/>
      <c r="SFL82" s="38"/>
      <c r="SFM82" s="38"/>
      <c r="SFN82" s="38"/>
      <c r="SFO82" s="38"/>
      <c r="SFP82" s="38"/>
      <c r="SFQ82" s="38"/>
      <c r="SFR82" s="38"/>
      <c r="SFS82" s="38"/>
      <c r="SFT82" s="38"/>
      <c r="SFU82" s="38"/>
      <c r="SFV82" s="38"/>
      <c r="SFW82" s="38"/>
      <c r="SFX82" s="38"/>
      <c r="SFY82" s="38"/>
      <c r="SFZ82" s="38"/>
      <c r="SGA82" s="38"/>
      <c r="SGB82" s="38"/>
      <c r="SGC82" s="38"/>
      <c r="SGD82" s="38"/>
      <c r="SGE82" s="38"/>
      <c r="SGF82" s="38"/>
      <c r="SGG82" s="38"/>
      <c r="SGH82" s="38"/>
      <c r="SGI82" s="38"/>
      <c r="SGJ82" s="38"/>
      <c r="SGK82" s="38"/>
      <c r="SGL82" s="38"/>
      <c r="SGM82" s="38"/>
      <c r="SGN82" s="38"/>
      <c r="SGO82" s="38"/>
      <c r="SGP82" s="38"/>
      <c r="SGQ82" s="38"/>
      <c r="SGR82" s="38"/>
      <c r="SGS82" s="38"/>
      <c r="SGT82" s="38"/>
      <c r="SGU82" s="38"/>
      <c r="SGV82" s="38"/>
      <c r="SGW82" s="38"/>
      <c r="SGX82" s="38"/>
      <c r="SGY82" s="38"/>
      <c r="SGZ82" s="38"/>
      <c r="SHA82" s="38"/>
      <c r="SHB82" s="38"/>
      <c r="SHC82" s="38"/>
      <c r="SHD82" s="38"/>
      <c r="SHE82" s="38"/>
      <c r="SHF82" s="38"/>
      <c r="SHG82" s="38"/>
      <c r="SHH82" s="38"/>
      <c r="SHI82" s="38"/>
      <c r="SHJ82" s="38"/>
      <c r="SHK82" s="38"/>
      <c r="SHL82" s="38"/>
      <c r="SHM82" s="38"/>
      <c r="SHN82" s="38"/>
      <c r="SHO82" s="38"/>
      <c r="SHP82" s="38"/>
      <c r="SHQ82" s="38"/>
      <c r="SHR82" s="38"/>
      <c r="SHS82" s="38"/>
      <c r="SHT82" s="38"/>
      <c r="SHU82" s="38"/>
      <c r="SHV82" s="38"/>
      <c r="SHW82" s="38"/>
      <c r="SHX82" s="38"/>
      <c r="SHY82" s="38"/>
      <c r="SHZ82" s="38"/>
      <c r="SIA82" s="38"/>
      <c r="SIB82" s="38"/>
      <c r="SIC82" s="38"/>
      <c r="SID82" s="38"/>
      <c r="SIE82" s="38"/>
      <c r="SIF82" s="38"/>
      <c r="SIG82" s="38"/>
      <c r="SIH82" s="38"/>
      <c r="SII82" s="38"/>
      <c r="SIJ82" s="38"/>
      <c r="SIK82" s="38"/>
      <c r="SIL82" s="38"/>
      <c r="SIM82" s="38"/>
      <c r="SIN82" s="38"/>
      <c r="SIO82" s="38"/>
      <c r="SIP82" s="38"/>
      <c r="SIQ82" s="38"/>
      <c r="SIR82" s="38"/>
      <c r="SIS82" s="38"/>
      <c r="SIT82" s="38"/>
      <c r="SIU82" s="38"/>
      <c r="SIV82" s="38"/>
      <c r="SIW82" s="38"/>
      <c r="SIX82" s="38"/>
      <c r="SIY82" s="38"/>
      <c r="SIZ82" s="38"/>
      <c r="SJA82" s="38"/>
      <c r="SJB82" s="38"/>
      <c r="SJC82" s="38"/>
      <c r="SJD82" s="38"/>
      <c r="SJE82" s="38"/>
      <c r="SJF82" s="38"/>
      <c r="SJG82" s="38"/>
      <c r="SJH82" s="38"/>
      <c r="SJI82" s="38"/>
      <c r="SJJ82" s="38"/>
      <c r="SJK82" s="38"/>
      <c r="SJL82" s="38"/>
      <c r="SJM82" s="38"/>
      <c r="SJN82" s="38"/>
      <c r="SJO82" s="38"/>
      <c r="SJP82" s="38"/>
      <c r="SJQ82" s="38"/>
      <c r="SJR82" s="38"/>
      <c r="SJS82" s="38"/>
      <c r="SJT82" s="38"/>
      <c r="SJU82" s="38"/>
      <c r="SJV82" s="38"/>
      <c r="SJW82" s="38"/>
      <c r="SJX82" s="38"/>
      <c r="SJY82" s="38"/>
      <c r="SJZ82" s="38"/>
      <c r="SKA82" s="38"/>
      <c r="SKB82" s="38"/>
      <c r="SKC82" s="38"/>
      <c r="SKD82" s="38"/>
      <c r="SKE82" s="38"/>
      <c r="SKF82" s="38"/>
      <c r="SKG82" s="38"/>
      <c r="SKH82" s="38"/>
      <c r="SKI82" s="38"/>
      <c r="SKJ82" s="38"/>
      <c r="SKK82" s="38"/>
      <c r="SKL82" s="38"/>
      <c r="SKM82" s="38"/>
      <c r="SKN82" s="38"/>
      <c r="SKO82" s="38"/>
      <c r="SKP82" s="38"/>
      <c r="SKQ82" s="38"/>
      <c r="SKR82" s="38"/>
      <c r="SKS82" s="38"/>
      <c r="SKT82" s="38"/>
      <c r="SKU82" s="38"/>
      <c r="SKV82" s="38"/>
      <c r="SKW82" s="38"/>
      <c r="SKX82" s="38"/>
      <c r="SKY82" s="38"/>
      <c r="SKZ82" s="38"/>
      <c r="SLA82" s="38"/>
      <c r="SLB82" s="38"/>
      <c r="SLC82" s="38"/>
      <c r="SLD82" s="38"/>
      <c r="SLE82" s="38"/>
      <c r="SLF82" s="38"/>
      <c r="SLG82" s="38"/>
      <c r="SLH82" s="38"/>
      <c r="SLI82" s="38"/>
      <c r="SLJ82" s="38"/>
      <c r="SLK82" s="38"/>
      <c r="SLL82" s="38"/>
      <c r="SLM82" s="38"/>
      <c r="SLN82" s="38"/>
      <c r="SLO82" s="38"/>
      <c r="SLP82" s="38"/>
      <c r="SLQ82" s="38"/>
      <c r="SLR82" s="38"/>
      <c r="SLS82" s="38"/>
      <c r="SLT82" s="38"/>
      <c r="SLU82" s="38"/>
      <c r="SLV82" s="38"/>
      <c r="SLW82" s="38"/>
      <c r="SLX82" s="38"/>
      <c r="SLY82" s="38"/>
      <c r="SLZ82" s="38"/>
      <c r="SMA82" s="38"/>
      <c r="SMB82" s="38"/>
      <c r="SMC82" s="38"/>
      <c r="SMD82" s="38"/>
      <c r="SME82" s="38"/>
      <c r="SMF82" s="38"/>
      <c r="SMG82" s="38"/>
      <c r="SMH82" s="38"/>
      <c r="SMI82" s="38"/>
      <c r="SMJ82" s="38"/>
      <c r="SMK82" s="38"/>
      <c r="SML82" s="38"/>
      <c r="SMM82" s="38"/>
      <c r="SMN82" s="38"/>
      <c r="SMO82" s="38"/>
      <c r="SMP82" s="38"/>
      <c r="SMQ82" s="38"/>
      <c r="SMR82" s="38"/>
      <c r="SMS82" s="38"/>
      <c r="SMT82" s="38"/>
      <c r="SMU82" s="38"/>
      <c r="SMV82" s="38"/>
      <c r="SMW82" s="38"/>
      <c r="SMX82" s="38"/>
      <c r="SMY82" s="38"/>
      <c r="SMZ82" s="38"/>
      <c r="SNA82" s="38"/>
      <c r="SNB82" s="38"/>
      <c r="SNC82" s="38"/>
      <c r="SND82" s="38"/>
      <c r="SNE82" s="38"/>
      <c r="SNF82" s="38"/>
      <c r="SNG82" s="38"/>
      <c r="SNH82" s="38"/>
      <c r="SNI82" s="38"/>
      <c r="SNJ82" s="38"/>
      <c r="SNK82" s="38"/>
      <c r="SNL82" s="38"/>
      <c r="SNM82" s="38"/>
      <c r="SNN82" s="38"/>
      <c r="SNO82" s="38"/>
      <c r="SNP82" s="38"/>
      <c r="SNQ82" s="38"/>
      <c r="SNR82" s="38"/>
      <c r="SNS82" s="38"/>
      <c r="SNT82" s="38"/>
      <c r="SNU82" s="38"/>
      <c r="SNV82" s="38"/>
      <c r="SNW82" s="38"/>
      <c r="SNX82" s="38"/>
      <c r="SNY82" s="38"/>
      <c r="SNZ82" s="38"/>
      <c r="SOA82" s="38"/>
      <c r="SOB82" s="38"/>
      <c r="SOC82" s="38"/>
      <c r="SOD82" s="38"/>
      <c r="SOE82" s="38"/>
      <c r="SOF82" s="38"/>
      <c r="SOG82" s="38"/>
      <c r="SOH82" s="38"/>
      <c r="SOI82" s="38"/>
      <c r="SOJ82" s="38"/>
      <c r="SOK82" s="38"/>
      <c r="SOL82" s="38"/>
      <c r="SOM82" s="38"/>
      <c r="SON82" s="38"/>
      <c r="SOO82" s="38"/>
      <c r="SOP82" s="38"/>
      <c r="SOQ82" s="38"/>
      <c r="SOR82" s="38"/>
      <c r="SOS82" s="38"/>
      <c r="SOT82" s="38"/>
      <c r="SOU82" s="38"/>
      <c r="SOV82" s="38"/>
      <c r="SOW82" s="38"/>
      <c r="SOX82" s="38"/>
      <c r="SOY82" s="38"/>
      <c r="SOZ82" s="38"/>
      <c r="SPA82" s="38"/>
      <c r="SPB82" s="38"/>
      <c r="SPC82" s="38"/>
      <c r="SPD82" s="38"/>
      <c r="SPE82" s="38"/>
      <c r="SPF82" s="38"/>
      <c r="SPG82" s="38"/>
      <c r="SPH82" s="38"/>
      <c r="SPI82" s="38"/>
      <c r="SPJ82" s="38"/>
      <c r="SPK82" s="38"/>
      <c r="SPL82" s="38"/>
      <c r="SPM82" s="38"/>
      <c r="SPN82" s="38"/>
      <c r="SPO82" s="38"/>
      <c r="SPP82" s="38"/>
      <c r="SPQ82" s="38"/>
      <c r="SPR82" s="38"/>
      <c r="SPS82" s="38"/>
      <c r="SPT82" s="38"/>
      <c r="SPU82" s="38"/>
      <c r="SPV82" s="38"/>
      <c r="SPW82" s="38"/>
      <c r="SPX82" s="38"/>
      <c r="SPY82" s="38"/>
      <c r="SPZ82" s="38"/>
      <c r="SQA82" s="38"/>
      <c r="SQB82" s="38"/>
      <c r="SQC82" s="38"/>
      <c r="SQD82" s="38"/>
      <c r="SQE82" s="38"/>
      <c r="SQF82" s="38"/>
      <c r="SQG82" s="38"/>
      <c r="SQH82" s="38"/>
      <c r="SQI82" s="38"/>
      <c r="SQJ82" s="38"/>
      <c r="SQK82" s="38"/>
      <c r="SQL82" s="38"/>
      <c r="SQM82" s="38"/>
      <c r="SQN82" s="38"/>
      <c r="SQO82" s="38"/>
      <c r="SQP82" s="38"/>
      <c r="SQQ82" s="38"/>
      <c r="SQR82" s="38"/>
      <c r="SQS82" s="38"/>
      <c r="SQT82" s="38"/>
      <c r="SQU82" s="38"/>
      <c r="SQV82" s="38"/>
      <c r="SQW82" s="38"/>
      <c r="SQX82" s="38"/>
      <c r="SQY82" s="38"/>
      <c r="SQZ82" s="38"/>
      <c r="SRA82" s="38"/>
      <c r="SRB82" s="38"/>
      <c r="SRC82" s="38"/>
      <c r="SRD82" s="38"/>
      <c r="SRE82" s="38"/>
      <c r="SRF82" s="38"/>
      <c r="SRG82" s="38"/>
      <c r="SRH82" s="38"/>
      <c r="SRI82" s="38"/>
      <c r="SRJ82" s="38"/>
      <c r="SRK82" s="38"/>
      <c r="SRL82" s="38"/>
      <c r="SRM82" s="38"/>
      <c r="SRN82" s="38"/>
      <c r="SRO82" s="38"/>
      <c r="SRP82" s="38"/>
      <c r="SRQ82" s="38"/>
      <c r="SRR82" s="38"/>
      <c r="SRS82" s="38"/>
      <c r="SRT82" s="38"/>
      <c r="SRU82" s="38"/>
      <c r="SRV82" s="38"/>
      <c r="SRW82" s="38"/>
      <c r="SRX82" s="38"/>
      <c r="SRY82" s="38"/>
      <c r="SRZ82" s="38"/>
      <c r="SSA82" s="38"/>
      <c r="SSB82" s="38"/>
      <c r="SSC82" s="38"/>
      <c r="SSD82" s="38"/>
      <c r="SSE82" s="38"/>
      <c r="SSF82" s="38"/>
      <c r="SSG82" s="38"/>
      <c r="SSH82" s="38"/>
      <c r="SSI82" s="38"/>
      <c r="SSJ82" s="38"/>
      <c r="SSK82" s="38"/>
      <c r="SSL82" s="38"/>
      <c r="SSM82" s="38"/>
      <c r="SSN82" s="38"/>
      <c r="SSO82" s="38"/>
      <c r="SSP82" s="38"/>
      <c r="SSQ82" s="38"/>
      <c r="SSR82" s="38"/>
      <c r="SSS82" s="38"/>
      <c r="SST82" s="38"/>
      <c r="SSU82" s="38"/>
      <c r="SSV82" s="38"/>
      <c r="SSW82" s="38"/>
      <c r="SSX82" s="38"/>
      <c r="SSY82" s="38"/>
      <c r="SSZ82" s="38"/>
      <c r="STA82" s="38"/>
      <c r="STB82" s="38"/>
      <c r="STC82" s="38"/>
      <c r="STD82" s="38"/>
      <c r="STE82" s="38"/>
      <c r="STF82" s="38"/>
      <c r="STG82" s="38"/>
      <c r="STH82" s="38"/>
      <c r="STI82" s="38"/>
      <c r="STJ82" s="38"/>
      <c r="STK82" s="38"/>
      <c r="STL82" s="38"/>
      <c r="STM82" s="38"/>
      <c r="STN82" s="38"/>
      <c r="STO82" s="38"/>
      <c r="STP82" s="38"/>
      <c r="STQ82" s="38"/>
      <c r="STR82" s="38"/>
      <c r="STS82" s="38"/>
      <c r="STT82" s="38"/>
      <c r="STU82" s="38"/>
      <c r="STV82" s="38"/>
      <c r="STW82" s="38"/>
      <c r="STX82" s="38"/>
      <c r="STY82" s="38"/>
      <c r="STZ82" s="38"/>
      <c r="SUA82" s="38"/>
      <c r="SUB82" s="38"/>
      <c r="SUC82" s="38"/>
      <c r="SUD82" s="38"/>
      <c r="SUE82" s="38"/>
      <c r="SUF82" s="38"/>
      <c r="SUG82" s="38"/>
      <c r="SUH82" s="38"/>
      <c r="SUI82" s="38"/>
      <c r="SUJ82" s="38"/>
      <c r="SUK82" s="38"/>
      <c r="SUL82" s="38"/>
      <c r="SUM82" s="38"/>
      <c r="SUN82" s="38"/>
      <c r="SUO82" s="38"/>
      <c r="SUP82" s="38"/>
      <c r="SUQ82" s="38"/>
      <c r="SUR82" s="38"/>
      <c r="SUS82" s="38"/>
      <c r="SUT82" s="38"/>
      <c r="SUU82" s="38"/>
      <c r="SUV82" s="38"/>
      <c r="SUW82" s="38"/>
      <c r="SUX82" s="38"/>
      <c r="SUY82" s="38"/>
      <c r="SUZ82" s="38"/>
      <c r="SVA82" s="38"/>
      <c r="SVB82" s="38"/>
      <c r="SVC82" s="38"/>
      <c r="SVD82" s="38"/>
      <c r="SVE82" s="38"/>
      <c r="SVF82" s="38"/>
      <c r="SVG82" s="38"/>
      <c r="SVH82" s="38"/>
      <c r="SVI82" s="38"/>
      <c r="SVJ82" s="38"/>
      <c r="SVK82" s="38"/>
      <c r="SVL82" s="38"/>
      <c r="SVM82" s="38"/>
      <c r="SVN82" s="38"/>
      <c r="SVO82" s="38"/>
      <c r="SVP82" s="38"/>
      <c r="SVQ82" s="38"/>
      <c r="SVR82" s="38"/>
      <c r="SVS82" s="38"/>
      <c r="SVT82" s="38"/>
      <c r="SVU82" s="38"/>
      <c r="SVV82" s="38"/>
      <c r="SVW82" s="38"/>
      <c r="SVX82" s="38"/>
      <c r="SVY82" s="38"/>
      <c r="SVZ82" s="38"/>
      <c r="SWA82" s="38"/>
      <c r="SWB82" s="38"/>
      <c r="SWC82" s="38"/>
      <c r="SWD82" s="38"/>
      <c r="SWE82" s="38"/>
      <c r="SWF82" s="38"/>
      <c r="SWG82" s="38"/>
      <c r="SWH82" s="38"/>
      <c r="SWI82" s="38"/>
      <c r="SWJ82" s="38"/>
      <c r="SWK82" s="38"/>
      <c r="SWL82" s="38"/>
      <c r="SWM82" s="38"/>
      <c r="SWN82" s="38"/>
      <c r="SWO82" s="38"/>
      <c r="SWP82" s="38"/>
      <c r="SWQ82" s="38"/>
      <c r="SWR82" s="38"/>
      <c r="SWS82" s="38"/>
      <c r="SWT82" s="38"/>
      <c r="SWU82" s="38"/>
      <c r="SWV82" s="38"/>
      <c r="SWW82" s="38"/>
      <c r="SWX82" s="38"/>
      <c r="SWY82" s="38"/>
      <c r="SWZ82" s="38"/>
      <c r="SXA82" s="38"/>
      <c r="SXB82" s="38"/>
      <c r="SXC82" s="38"/>
      <c r="SXD82" s="38"/>
      <c r="SXE82" s="38"/>
      <c r="SXF82" s="38"/>
      <c r="SXG82" s="38"/>
      <c r="SXH82" s="38"/>
      <c r="SXI82" s="38"/>
      <c r="SXJ82" s="38"/>
      <c r="SXK82" s="38"/>
      <c r="SXL82" s="38"/>
      <c r="SXM82" s="38"/>
      <c r="SXN82" s="38"/>
      <c r="SXO82" s="38"/>
      <c r="SXP82" s="38"/>
      <c r="SXQ82" s="38"/>
      <c r="SXR82" s="38"/>
      <c r="SXS82" s="38"/>
      <c r="SXT82" s="38"/>
      <c r="SXU82" s="38"/>
      <c r="SXV82" s="38"/>
      <c r="SXW82" s="38"/>
      <c r="SXX82" s="38"/>
      <c r="SXY82" s="38"/>
      <c r="SXZ82" s="38"/>
      <c r="SYA82" s="38"/>
      <c r="SYB82" s="38"/>
      <c r="SYC82" s="38"/>
      <c r="SYD82" s="38"/>
      <c r="SYE82" s="38"/>
      <c r="SYF82" s="38"/>
      <c r="SYG82" s="38"/>
      <c r="SYH82" s="38"/>
      <c r="SYI82" s="38"/>
      <c r="SYJ82" s="38"/>
      <c r="SYK82" s="38"/>
      <c r="SYL82" s="38"/>
      <c r="SYM82" s="38"/>
      <c r="SYN82" s="38"/>
      <c r="SYO82" s="38"/>
      <c r="SYP82" s="38"/>
      <c r="SYQ82" s="38"/>
      <c r="SYR82" s="38"/>
      <c r="SYS82" s="38"/>
      <c r="SYT82" s="38"/>
      <c r="SYU82" s="38"/>
      <c r="SYV82" s="38"/>
      <c r="SYW82" s="38"/>
      <c r="SYX82" s="38"/>
      <c r="SYY82" s="38"/>
      <c r="SYZ82" s="38"/>
      <c r="SZA82" s="38"/>
      <c r="SZB82" s="38"/>
      <c r="SZC82" s="38"/>
      <c r="SZD82" s="38"/>
      <c r="SZE82" s="38"/>
      <c r="SZF82" s="38"/>
      <c r="SZG82" s="38"/>
      <c r="SZH82" s="38"/>
      <c r="SZI82" s="38"/>
      <c r="SZJ82" s="38"/>
      <c r="SZK82" s="38"/>
      <c r="SZL82" s="38"/>
      <c r="SZM82" s="38"/>
      <c r="SZN82" s="38"/>
      <c r="SZO82" s="38"/>
      <c r="SZP82" s="38"/>
      <c r="SZQ82" s="38"/>
      <c r="SZR82" s="38"/>
      <c r="SZS82" s="38"/>
      <c r="SZT82" s="38"/>
      <c r="SZU82" s="38"/>
      <c r="SZV82" s="38"/>
      <c r="SZW82" s="38"/>
      <c r="SZX82" s="38"/>
      <c r="SZY82" s="38"/>
      <c r="SZZ82" s="38"/>
      <c r="TAA82" s="38"/>
      <c r="TAB82" s="38"/>
      <c r="TAC82" s="38"/>
      <c r="TAD82" s="38"/>
      <c r="TAE82" s="38"/>
      <c r="TAF82" s="38"/>
      <c r="TAG82" s="38"/>
      <c r="TAH82" s="38"/>
      <c r="TAI82" s="38"/>
      <c r="TAJ82" s="38"/>
      <c r="TAK82" s="38"/>
      <c r="TAL82" s="38"/>
      <c r="TAM82" s="38"/>
      <c r="TAN82" s="38"/>
      <c r="TAO82" s="38"/>
      <c r="TAP82" s="38"/>
      <c r="TAQ82" s="38"/>
      <c r="TAR82" s="38"/>
      <c r="TAS82" s="38"/>
      <c r="TAT82" s="38"/>
      <c r="TAU82" s="38"/>
      <c r="TAV82" s="38"/>
      <c r="TAW82" s="38"/>
      <c r="TAX82" s="38"/>
      <c r="TAY82" s="38"/>
      <c r="TAZ82" s="38"/>
      <c r="TBA82" s="38"/>
      <c r="TBB82" s="38"/>
      <c r="TBC82" s="38"/>
      <c r="TBD82" s="38"/>
      <c r="TBE82" s="38"/>
      <c r="TBF82" s="38"/>
      <c r="TBG82" s="38"/>
      <c r="TBH82" s="38"/>
      <c r="TBI82" s="38"/>
      <c r="TBJ82" s="38"/>
      <c r="TBK82" s="38"/>
      <c r="TBL82" s="38"/>
      <c r="TBM82" s="38"/>
      <c r="TBN82" s="38"/>
      <c r="TBO82" s="38"/>
      <c r="TBP82" s="38"/>
      <c r="TBQ82" s="38"/>
      <c r="TBR82" s="38"/>
      <c r="TBS82" s="38"/>
      <c r="TBT82" s="38"/>
      <c r="TBU82" s="38"/>
      <c r="TBV82" s="38"/>
      <c r="TBW82" s="38"/>
      <c r="TBX82" s="38"/>
      <c r="TBY82" s="38"/>
      <c r="TBZ82" s="38"/>
      <c r="TCA82" s="38"/>
      <c r="TCB82" s="38"/>
      <c r="TCC82" s="38"/>
      <c r="TCD82" s="38"/>
      <c r="TCE82" s="38"/>
      <c r="TCF82" s="38"/>
      <c r="TCG82" s="38"/>
      <c r="TCH82" s="38"/>
      <c r="TCI82" s="38"/>
      <c r="TCJ82" s="38"/>
      <c r="TCK82" s="38"/>
      <c r="TCL82" s="38"/>
      <c r="TCM82" s="38"/>
      <c r="TCN82" s="38"/>
      <c r="TCO82" s="38"/>
      <c r="TCP82" s="38"/>
      <c r="TCQ82" s="38"/>
      <c r="TCR82" s="38"/>
      <c r="TCS82" s="38"/>
      <c r="TCT82" s="38"/>
      <c r="TCU82" s="38"/>
      <c r="TCV82" s="38"/>
      <c r="TCW82" s="38"/>
      <c r="TCX82" s="38"/>
      <c r="TCY82" s="38"/>
      <c r="TCZ82" s="38"/>
      <c r="TDA82" s="38"/>
      <c r="TDB82" s="38"/>
      <c r="TDC82" s="38"/>
      <c r="TDD82" s="38"/>
      <c r="TDE82" s="38"/>
      <c r="TDF82" s="38"/>
      <c r="TDG82" s="38"/>
      <c r="TDH82" s="38"/>
      <c r="TDI82" s="38"/>
      <c r="TDJ82" s="38"/>
      <c r="TDK82" s="38"/>
      <c r="TDL82" s="38"/>
      <c r="TDM82" s="38"/>
      <c r="TDN82" s="38"/>
      <c r="TDO82" s="38"/>
      <c r="TDP82" s="38"/>
      <c r="TDQ82" s="38"/>
      <c r="TDR82" s="38"/>
      <c r="TDS82" s="38"/>
      <c r="TDT82" s="38"/>
      <c r="TDU82" s="38"/>
      <c r="TDV82" s="38"/>
      <c r="TDW82" s="38"/>
      <c r="TDX82" s="38"/>
      <c r="TDY82" s="38"/>
      <c r="TDZ82" s="38"/>
      <c r="TEA82" s="38"/>
      <c r="TEB82" s="38"/>
      <c r="TEC82" s="38"/>
      <c r="TED82" s="38"/>
      <c r="TEE82" s="38"/>
      <c r="TEF82" s="38"/>
      <c r="TEG82" s="38"/>
      <c r="TEH82" s="38"/>
      <c r="TEI82" s="38"/>
      <c r="TEJ82" s="38"/>
      <c r="TEK82" s="38"/>
      <c r="TEL82" s="38"/>
      <c r="TEM82" s="38"/>
      <c r="TEN82" s="38"/>
      <c r="TEO82" s="38"/>
      <c r="TEP82" s="38"/>
      <c r="TEQ82" s="38"/>
      <c r="TER82" s="38"/>
      <c r="TES82" s="38"/>
      <c r="TET82" s="38"/>
      <c r="TEU82" s="38"/>
      <c r="TEV82" s="38"/>
      <c r="TEW82" s="38"/>
      <c r="TEX82" s="38"/>
      <c r="TEY82" s="38"/>
      <c r="TEZ82" s="38"/>
      <c r="TFA82" s="38"/>
      <c r="TFB82" s="38"/>
      <c r="TFC82" s="38"/>
      <c r="TFD82" s="38"/>
      <c r="TFE82" s="38"/>
      <c r="TFF82" s="38"/>
      <c r="TFG82" s="38"/>
      <c r="TFH82" s="38"/>
      <c r="TFI82" s="38"/>
      <c r="TFJ82" s="38"/>
      <c r="TFK82" s="38"/>
      <c r="TFL82" s="38"/>
      <c r="TFM82" s="38"/>
      <c r="TFN82" s="38"/>
      <c r="TFO82" s="38"/>
      <c r="TFP82" s="38"/>
      <c r="TFQ82" s="38"/>
      <c r="TFR82" s="38"/>
      <c r="TFS82" s="38"/>
      <c r="TFT82" s="38"/>
      <c r="TFU82" s="38"/>
      <c r="TFV82" s="38"/>
      <c r="TFW82" s="38"/>
      <c r="TFX82" s="38"/>
      <c r="TFY82" s="38"/>
      <c r="TFZ82" s="38"/>
      <c r="TGA82" s="38"/>
      <c r="TGB82" s="38"/>
      <c r="TGC82" s="38"/>
      <c r="TGD82" s="38"/>
      <c r="TGE82" s="38"/>
      <c r="TGF82" s="38"/>
      <c r="TGG82" s="38"/>
      <c r="TGH82" s="38"/>
      <c r="TGI82" s="38"/>
      <c r="TGJ82" s="38"/>
      <c r="TGK82" s="38"/>
      <c r="TGL82" s="38"/>
      <c r="TGM82" s="38"/>
      <c r="TGN82" s="38"/>
      <c r="TGO82" s="38"/>
      <c r="TGP82" s="38"/>
      <c r="TGQ82" s="38"/>
      <c r="TGR82" s="38"/>
      <c r="TGS82" s="38"/>
      <c r="TGT82" s="38"/>
      <c r="TGU82" s="38"/>
      <c r="TGV82" s="38"/>
      <c r="TGW82" s="38"/>
      <c r="TGX82" s="38"/>
      <c r="TGY82" s="38"/>
      <c r="TGZ82" s="38"/>
      <c r="THA82" s="38"/>
      <c r="THB82" s="38"/>
      <c r="THC82" s="38"/>
      <c r="THD82" s="38"/>
      <c r="THE82" s="38"/>
      <c r="THF82" s="38"/>
      <c r="THG82" s="38"/>
      <c r="THH82" s="38"/>
      <c r="THI82" s="38"/>
      <c r="THJ82" s="38"/>
      <c r="THK82" s="38"/>
      <c r="THL82" s="38"/>
      <c r="THM82" s="38"/>
      <c r="THN82" s="38"/>
      <c r="THO82" s="38"/>
      <c r="THP82" s="38"/>
      <c r="THQ82" s="38"/>
      <c r="THR82" s="38"/>
      <c r="THS82" s="38"/>
      <c r="THT82" s="38"/>
      <c r="THU82" s="38"/>
      <c r="THV82" s="38"/>
      <c r="THW82" s="38"/>
      <c r="THX82" s="38"/>
      <c r="THY82" s="38"/>
      <c r="THZ82" s="38"/>
      <c r="TIA82" s="38"/>
      <c r="TIB82" s="38"/>
      <c r="TIC82" s="38"/>
      <c r="TID82" s="38"/>
      <c r="TIE82" s="38"/>
      <c r="TIF82" s="38"/>
      <c r="TIG82" s="38"/>
      <c r="TIH82" s="38"/>
      <c r="TII82" s="38"/>
      <c r="TIJ82" s="38"/>
      <c r="TIK82" s="38"/>
      <c r="TIL82" s="38"/>
      <c r="TIM82" s="38"/>
      <c r="TIN82" s="38"/>
      <c r="TIO82" s="38"/>
      <c r="TIP82" s="38"/>
      <c r="TIQ82" s="38"/>
      <c r="TIR82" s="38"/>
      <c r="TIS82" s="38"/>
      <c r="TIT82" s="38"/>
      <c r="TIU82" s="38"/>
      <c r="TIV82" s="38"/>
      <c r="TIW82" s="38"/>
      <c r="TIX82" s="38"/>
      <c r="TIY82" s="38"/>
      <c r="TIZ82" s="38"/>
      <c r="TJA82" s="38"/>
      <c r="TJB82" s="38"/>
      <c r="TJC82" s="38"/>
      <c r="TJD82" s="38"/>
      <c r="TJE82" s="38"/>
      <c r="TJF82" s="38"/>
      <c r="TJG82" s="38"/>
      <c r="TJH82" s="38"/>
      <c r="TJI82" s="38"/>
      <c r="TJJ82" s="38"/>
      <c r="TJK82" s="38"/>
      <c r="TJL82" s="38"/>
      <c r="TJM82" s="38"/>
      <c r="TJN82" s="38"/>
      <c r="TJO82" s="38"/>
      <c r="TJP82" s="38"/>
      <c r="TJQ82" s="38"/>
      <c r="TJR82" s="38"/>
      <c r="TJS82" s="38"/>
      <c r="TJT82" s="38"/>
      <c r="TJU82" s="38"/>
      <c r="TJV82" s="38"/>
      <c r="TJW82" s="38"/>
      <c r="TJX82" s="38"/>
      <c r="TJY82" s="38"/>
      <c r="TJZ82" s="38"/>
      <c r="TKA82" s="38"/>
      <c r="TKB82" s="38"/>
      <c r="TKC82" s="38"/>
      <c r="TKD82" s="38"/>
      <c r="TKE82" s="38"/>
      <c r="TKF82" s="38"/>
      <c r="TKG82" s="38"/>
      <c r="TKH82" s="38"/>
      <c r="TKI82" s="38"/>
      <c r="TKJ82" s="38"/>
      <c r="TKK82" s="38"/>
      <c r="TKL82" s="38"/>
      <c r="TKM82" s="38"/>
      <c r="TKN82" s="38"/>
      <c r="TKO82" s="38"/>
      <c r="TKP82" s="38"/>
      <c r="TKQ82" s="38"/>
      <c r="TKR82" s="38"/>
      <c r="TKS82" s="38"/>
      <c r="TKT82" s="38"/>
      <c r="TKU82" s="38"/>
      <c r="TKV82" s="38"/>
      <c r="TKW82" s="38"/>
      <c r="TKX82" s="38"/>
      <c r="TKY82" s="38"/>
      <c r="TKZ82" s="38"/>
      <c r="TLA82" s="38"/>
      <c r="TLB82" s="38"/>
      <c r="TLC82" s="38"/>
      <c r="TLD82" s="38"/>
      <c r="TLE82" s="38"/>
      <c r="TLF82" s="38"/>
      <c r="TLG82" s="38"/>
      <c r="TLH82" s="38"/>
      <c r="TLI82" s="38"/>
      <c r="TLJ82" s="38"/>
      <c r="TLK82" s="38"/>
      <c r="TLL82" s="38"/>
      <c r="TLM82" s="38"/>
      <c r="TLN82" s="38"/>
      <c r="TLO82" s="38"/>
      <c r="TLP82" s="38"/>
      <c r="TLQ82" s="38"/>
      <c r="TLR82" s="38"/>
      <c r="TLS82" s="38"/>
      <c r="TLT82" s="38"/>
      <c r="TLU82" s="38"/>
      <c r="TLV82" s="38"/>
      <c r="TLW82" s="38"/>
      <c r="TLX82" s="38"/>
      <c r="TLY82" s="38"/>
      <c r="TLZ82" s="38"/>
      <c r="TMA82" s="38"/>
      <c r="TMB82" s="38"/>
      <c r="TMC82" s="38"/>
      <c r="TMD82" s="38"/>
      <c r="TME82" s="38"/>
      <c r="TMF82" s="38"/>
      <c r="TMG82" s="38"/>
      <c r="TMH82" s="38"/>
      <c r="TMI82" s="38"/>
      <c r="TMJ82" s="38"/>
      <c r="TMK82" s="38"/>
      <c r="TML82" s="38"/>
      <c r="TMM82" s="38"/>
      <c r="TMN82" s="38"/>
      <c r="TMO82" s="38"/>
      <c r="TMP82" s="38"/>
      <c r="TMQ82" s="38"/>
      <c r="TMR82" s="38"/>
      <c r="TMS82" s="38"/>
      <c r="TMT82" s="38"/>
      <c r="TMU82" s="38"/>
      <c r="TMV82" s="38"/>
      <c r="TMW82" s="38"/>
      <c r="TMX82" s="38"/>
      <c r="TMY82" s="38"/>
      <c r="TMZ82" s="38"/>
      <c r="TNA82" s="38"/>
      <c r="TNB82" s="38"/>
      <c r="TNC82" s="38"/>
      <c r="TND82" s="38"/>
      <c r="TNE82" s="38"/>
      <c r="TNF82" s="38"/>
      <c r="TNG82" s="38"/>
      <c r="TNH82" s="38"/>
      <c r="TNI82" s="38"/>
      <c r="TNJ82" s="38"/>
      <c r="TNK82" s="38"/>
      <c r="TNL82" s="38"/>
      <c r="TNM82" s="38"/>
      <c r="TNN82" s="38"/>
      <c r="TNO82" s="38"/>
      <c r="TNP82" s="38"/>
      <c r="TNQ82" s="38"/>
      <c r="TNR82" s="38"/>
      <c r="TNS82" s="38"/>
      <c r="TNT82" s="38"/>
      <c r="TNU82" s="38"/>
      <c r="TNV82" s="38"/>
      <c r="TNW82" s="38"/>
      <c r="TNX82" s="38"/>
      <c r="TNY82" s="38"/>
      <c r="TNZ82" s="38"/>
      <c r="TOA82" s="38"/>
      <c r="TOB82" s="38"/>
      <c r="TOC82" s="38"/>
      <c r="TOD82" s="38"/>
      <c r="TOE82" s="38"/>
      <c r="TOF82" s="38"/>
      <c r="TOG82" s="38"/>
      <c r="TOH82" s="38"/>
      <c r="TOI82" s="38"/>
      <c r="TOJ82" s="38"/>
      <c r="TOK82" s="38"/>
      <c r="TOL82" s="38"/>
      <c r="TOM82" s="38"/>
      <c r="TON82" s="38"/>
      <c r="TOO82" s="38"/>
      <c r="TOP82" s="38"/>
      <c r="TOQ82" s="38"/>
      <c r="TOR82" s="38"/>
      <c r="TOS82" s="38"/>
      <c r="TOT82" s="38"/>
      <c r="TOU82" s="38"/>
      <c r="TOV82" s="38"/>
      <c r="TOW82" s="38"/>
      <c r="TOX82" s="38"/>
      <c r="TOY82" s="38"/>
      <c r="TOZ82" s="38"/>
      <c r="TPA82" s="38"/>
      <c r="TPB82" s="38"/>
      <c r="TPC82" s="38"/>
      <c r="TPD82" s="38"/>
      <c r="TPE82" s="38"/>
      <c r="TPF82" s="38"/>
      <c r="TPG82" s="38"/>
      <c r="TPH82" s="38"/>
      <c r="TPI82" s="38"/>
      <c r="TPJ82" s="38"/>
      <c r="TPK82" s="38"/>
      <c r="TPL82" s="38"/>
      <c r="TPM82" s="38"/>
      <c r="TPN82" s="38"/>
      <c r="TPO82" s="38"/>
      <c r="TPP82" s="38"/>
      <c r="TPQ82" s="38"/>
      <c r="TPR82" s="38"/>
      <c r="TPS82" s="38"/>
      <c r="TPT82" s="38"/>
      <c r="TPU82" s="38"/>
      <c r="TPV82" s="38"/>
      <c r="TPW82" s="38"/>
      <c r="TPX82" s="38"/>
      <c r="TPY82" s="38"/>
      <c r="TPZ82" s="38"/>
      <c r="TQA82" s="38"/>
      <c r="TQB82" s="38"/>
      <c r="TQC82" s="38"/>
      <c r="TQD82" s="38"/>
      <c r="TQE82" s="38"/>
      <c r="TQF82" s="38"/>
      <c r="TQG82" s="38"/>
      <c r="TQH82" s="38"/>
      <c r="TQI82" s="38"/>
      <c r="TQJ82" s="38"/>
      <c r="TQK82" s="38"/>
      <c r="TQL82" s="38"/>
      <c r="TQM82" s="38"/>
      <c r="TQN82" s="38"/>
      <c r="TQO82" s="38"/>
      <c r="TQP82" s="38"/>
      <c r="TQQ82" s="38"/>
      <c r="TQR82" s="38"/>
      <c r="TQS82" s="38"/>
      <c r="TQT82" s="38"/>
      <c r="TQU82" s="38"/>
      <c r="TQV82" s="38"/>
      <c r="TQW82" s="38"/>
      <c r="TQX82" s="38"/>
      <c r="TQY82" s="38"/>
      <c r="TQZ82" s="38"/>
      <c r="TRA82" s="38"/>
      <c r="TRB82" s="38"/>
      <c r="TRC82" s="38"/>
      <c r="TRD82" s="38"/>
      <c r="TRE82" s="38"/>
      <c r="TRF82" s="38"/>
      <c r="TRG82" s="38"/>
      <c r="TRH82" s="38"/>
      <c r="TRI82" s="38"/>
      <c r="TRJ82" s="38"/>
      <c r="TRK82" s="38"/>
      <c r="TRL82" s="38"/>
      <c r="TRM82" s="38"/>
      <c r="TRN82" s="38"/>
      <c r="TRO82" s="38"/>
      <c r="TRP82" s="38"/>
      <c r="TRQ82" s="38"/>
      <c r="TRR82" s="38"/>
      <c r="TRS82" s="38"/>
      <c r="TRT82" s="38"/>
      <c r="TRU82" s="38"/>
      <c r="TRV82" s="38"/>
      <c r="TRW82" s="38"/>
      <c r="TRX82" s="38"/>
      <c r="TRY82" s="38"/>
      <c r="TRZ82" s="38"/>
      <c r="TSA82" s="38"/>
      <c r="TSB82" s="38"/>
      <c r="TSC82" s="38"/>
      <c r="TSD82" s="38"/>
      <c r="TSE82" s="38"/>
      <c r="TSF82" s="38"/>
      <c r="TSG82" s="38"/>
      <c r="TSH82" s="38"/>
      <c r="TSI82" s="38"/>
      <c r="TSJ82" s="38"/>
      <c r="TSK82" s="38"/>
      <c r="TSL82" s="38"/>
      <c r="TSM82" s="38"/>
      <c r="TSN82" s="38"/>
      <c r="TSO82" s="38"/>
      <c r="TSP82" s="38"/>
      <c r="TSQ82" s="38"/>
      <c r="TSR82" s="38"/>
      <c r="TSS82" s="38"/>
      <c r="TST82" s="38"/>
      <c r="TSU82" s="38"/>
      <c r="TSV82" s="38"/>
      <c r="TSW82" s="38"/>
      <c r="TSX82" s="38"/>
      <c r="TSY82" s="38"/>
      <c r="TSZ82" s="38"/>
      <c r="TTA82" s="38"/>
      <c r="TTB82" s="38"/>
      <c r="TTC82" s="38"/>
      <c r="TTD82" s="38"/>
      <c r="TTE82" s="38"/>
      <c r="TTF82" s="38"/>
      <c r="TTG82" s="38"/>
      <c r="TTH82" s="38"/>
      <c r="TTI82" s="38"/>
      <c r="TTJ82" s="38"/>
      <c r="TTK82" s="38"/>
      <c r="TTL82" s="38"/>
      <c r="TTM82" s="38"/>
      <c r="TTN82" s="38"/>
      <c r="TTO82" s="38"/>
      <c r="TTP82" s="38"/>
      <c r="TTQ82" s="38"/>
      <c r="TTR82" s="38"/>
      <c r="TTS82" s="38"/>
      <c r="TTT82" s="38"/>
      <c r="TTU82" s="38"/>
      <c r="TTV82" s="38"/>
      <c r="TTW82" s="38"/>
      <c r="TTX82" s="38"/>
      <c r="TTY82" s="38"/>
      <c r="TTZ82" s="38"/>
      <c r="TUA82" s="38"/>
      <c r="TUB82" s="38"/>
      <c r="TUC82" s="38"/>
      <c r="TUD82" s="38"/>
      <c r="TUE82" s="38"/>
      <c r="TUF82" s="38"/>
      <c r="TUG82" s="38"/>
      <c r="TUH82" s="38"/>
      <c r="TUI82" s="38"/>
      <c r="TUJ82" s="38"/>
      <c r="TUK82" s="38"/>
      <c r="TUL82" s="38"/>
      <c r="TUM82" s="38"/>
      <c r="TUN82" s="38"/>
      <c r="TUO82" s="38"/>
      <c r="TUP82" s="38"/>
      <c r="TUQ82" s="38"/>
      <c r="TUR82" s="38"/>
      <c r="TUS82" s="38"/>
      <c r="TUT82" s="38"/>
      <c r="TUU82" s="38"/>
      <c r="TUV82" s="38"/>
      <c r="TUW82" s="38"/>
      <c r="TUX82" s="38"/>
      <c r="TUY82" s="38"/>
      <c r="TUZ82" s="38"/>
      <c r="TVA82" s="38"/>
      <c r="TVB82" s="38"/>
      <c r="TVC82" s="38"/>
      <c r="TVD82" s="38"/>
      <c r="TVE82" s="38"/>
      <c r="TVF82" s="38"/>
      <c r="TVG82" s="38"/>
      <c r="TVH82" s="38"/>
      <c r="TVI82" s="38"/>
      <c r="TVJ82" s="38"/>
      <c r="TVK82" s="38"/>
      <c r="TVL82" s="38"/>
      <c r="TVM82" s="38"/>
      <c r="TVN82" s="38"/>
      <c r="TVO82" s="38"/>
      <c r="TVP82" s="38"/>
      <c r="TVQ82" s="38"/>
      <c r="TVR82" s="38"/>
      <c r="TVS82" s="38"/>
      <c r="TVT82" s="38"/>
      <c r="TVU82" s="38"/>
      <c r="TVV82" s="38"/>
      <c r="TVW82" s="38"/>
      <c r="TVX82" s="38"/>
      <c r="TVY82" s="38"/>
      <c r="TVZ82" s="38"/>
      <c r="TWA82" s="38"/>
      <c r="TWB82" s="38"/>
      <c r="TWC82" s="38"/>
      <c r="TWD82" s="38"/>
      <c r="TWE82" s="38"/>
      <c r="TWF82" s="38"/>
      <c r="TWG82" s="38"/>
      <c r="TWH82" s="38"/>
      <c r="TWI82" s="38"/>
      <c r="TWJ82" s="38"/>
      <c r="TWK82" s="38"/>
      <c r="TWL82" s="38"/>
      <c r="TWM82" s="38"/>
      <c r="TWN82" s="38"/>
      <c r="TWO82" s="38"/>
      <c r="TWP82" s="38"/>
      <c r="TWQ82" s="38"/>
      <c r="TWR82" s="38"/>
      <c r="TWS82" s="38"/>
      <c r="TWT82" s="38"/>
      <c r="TWU82" s="38"/>
      <c r="TWV82" s="38"/>
      <c r="TWW82" s="38"/>
      <c r="TWX82" s="38"/>
      <c r="TWY82" s="38"/>
      <c r="TWZ82" s="38"/>
      <c r="TXA82" s="38"/>
      <c r="TXB82" s="38"/>
      <c r="TXC82" s="38"/>
      <c r="TXD82" s="38"/>
      <c r="TXE82" s="38"/>
      <c r="TXF82" s="38"/>
      <c r="TXG82" s="38"/>
      <c r="TXH82" s="38"/>
      <c r="TXI82" s="38"/>
      <c r="TXJ82" s="38"/>
      <c r="TXK82" s="38"/>
      <c r="TXL82" s="38"/>
      <c r="TXM82" s="38"/>
      <c r="TXN82" s="38"/>
      <c r="TXO82" s="38"/>
      <c r="TXP82" s="38"/>
      <c r="TXQ82" s="38"/>
      <c r="TXR82" s="38"/>
      <c r="TXS82" s="38"/>
      <c r="TXT82" s="38"/>
      <c r="TXU82" s="38"/>
      <c r="TXV82" s="38"/>
      <c r="TXW82" s="38"/>
      <c r="TXX82" s="38"/>
      <c r="TXY82" s="38"/>
      <c r="TXZ82" s="38"/>
      <c r="TYA82" s="38"/>
      <c r="TYB82" s="38"/>
      <c r="TYC82" s="38"/>
      <c r="TYD82" s="38"/>
      <c r="TYE82" s="38"/>
      <c r="TYF82" s="38"/>
      <c r="TYG82" s="38"/>
      <c r="TYH82" s="38"/>
      <c r="TYI82" s="38"/>
      <c r="TYJ82" s="38"/>
      <c r="TYK82" s="38"/>
      <c r="TYL82" s="38"/>
      <c r="TYM82" s="38"/>
      <c r="TYN82" s="38"/>
      <c r="TYO82" s="38"/>
      <c r="TYP82" s="38"/>
      <c r="TYQ82" s="38"/>
      <c r="TYR82" s="38"/>
      <c r="TYS82" s="38"/>
      <c r="TYT82" s="38"/>
      <c r="TYU82" s="38"/>
      <c r="TYV82" s="38"/>
      <c r="TYW82" s="38"/>
      <c r="TYX82" s="38"/>
      <c r="TYY82" s="38"/>
      <c r="TYZ82" s="38"/>
      <c r="TZA82" s="38"/>
      <c r="TZB82" s="38"/>
      <c r="TZC82" s="38"/>
      <c r="TZD82" s="38"/>
      <c r="TZE82" s="38"/>
      <c r="TZF82" s="38"/>
      <c r="TZG82" s="38"/>
      <c r="TZH82" s="38"/>
      <c r="TZI82" s="38"/>
      <c r="TZJ82" s="38"/>
      <c r="TZK82" s="38"/>
      <c r="TZL82" s="38"/>
      <c r="TZM82" s="38"/>
      <c r="TZN82" s="38"/>
      <c r="TZO82" s="38"/>
      <c r="TZP82" s="38"/>
      <c r="TZQ82" s="38"/>
      <c r="TZR82" s="38"/>
      <c r="TZS82" s="38"/>
      <c r="TZT82" s="38"/>
      <c r="TZU82" s="38"/>
      <c r="TZV82" s="38"/>
      <c r="TZW82" s="38"/>
      <c r="TZX82" s="38"/>
      <c r="TZY82" s="38"/>
      <c r="TZZ82" s="38"/>
      <c r="UAA82" s="38"/>
      <c r="UAB82" s="38"/>
      <c r="UAC82" s="38"/>
      <c r="UAD82" s="38"/>
      <c r="UAE82" s="38"/>
      <c r="UAF82" s="38"/>
      <c r="UAG82" s="38"/>
      <c r="UAH82" s="38"/>
      <c r="UAI82" s="38"/>
      <c r="UAJ82" s="38"/>
      <c r="UAK82" s="38"/>
      <c r="UAL82" s="38"/>
      <c r="UAM82" s="38"/>
      <c r="UAN82" s="38"/>
      <c r="UAO82" s="38"/>
      <c r="UAP82" s="38"/>
      <c r="UAQ82" s="38"/>
      <c r="UAR82" s="38"/>
      <c r="UAS82" s="38"/>
      <c r="UAT82" s="38"/>
      <c r="UAU82" s="38"/>
      <c r="UAV82" s="38"/>
      <c r="UAW82" s="38"/>
      <c r="UAX82" s="38"/>
      <c r="UAY82" s="38"/>
      <c r="UAZ82" s="38"/>
      <c r="UBA82" s="38"/>
      <c r="UBB82" s="38"/>
      <c r="UBC82" s="38"/>
      <c r="UBD82" s="38"/>
      <c r="UBE82" s="38"/>
      <c r="UBF82" s="38"/>
      <c r="UBG82" s="38"/>
      <c r="UBH82" s="38"/>
      <c r="UBI82" s="38"/>
      <c r="UBJ82" s="38"/>
      <c r="UBK82" s="38"/>
      <c r="UBL82" s="38"/>
      <c r="UBM82" s="38"/>
      <c r="UBN82" s="38"/>
      <c r="UBO82" s="38"/>
      <c r="UBP82" s="38"/>
      <c r="UBQ82" s="38"/>
      <c r="UBR82" s="38"/>
      <c r="UBS82" s="38"/>
      <c r="UBT82" s="38"/>
      <c r="UBU82" s="38"/>
      <c r="UBV82" s="38"/>
      <c r="UBW82" s="38"/>
      <c r="UBX82" s="38"/>
      <c r="UBY82" s="38"/>
      <c r="UBZ82" s="38"/>
      <c r="UCA82" s="38"/>
      <c r="UCB82" s="38"/>
      <c r="UCC82" s="38"/>
      <c r="UCD82" s="38"/>
      <c r="UCE82" s="38"/>
      <c r="UCF82" s="38"/>
      <c r="UCG82" s="38"/>
      <c r="UCH82" s="38"/>
      <c r="UCI82" s="38"/>
      <c r="UCJ82" s="38"/>
      <c r="UCK82" s="38"/>
      <c r="UCL82" s="38"/>
      <c r="UCM82" s="38"/>
      <c r="UCN82" s="38"/>
      <c r="UCO82" s="38"/>
      <c r="UCP82" s="38"/>
      <c r="UCQ82" s="38"/>
      <c r="UCR82" s="38"/>
      <c r="UCS82" s="38"/>
      <c r="UCT82" s="38"/>
      <c r="UCU82" s="38"/>
      <c r="UCV82" s="38"/>
      <c r="UCW82" s="38"/>
      <c r="UCX82" s="38"/>
      <c r="UCY82" s="38"/>
      <c r="UCZ82" s="38"/>
      <c r="UDA82" s="38"/>
      <c r="UDB82" s="38"/>
      <c r="UDC82" s="38"/>
      <c r="UDD82" s="38"/>
      <c r="UDE82" s="38"/>
      <c r="UDF82" s="38"/>
      <c r="UDG82" s="38"/>
      <c r="UDH82" s="38"/>
      <c r="UDI82" s="38"/>
      <c r="UDJ82" s="38"/>
      <c r="UDK82" s="38"/>
      <c r="UDL82" s="38"/>
      <c r="UDM82" s="38"/>
      <c r="UDN82" s="38"/>
      <c r="UDO82" s="38"/>
      <c r="UDP82" s="38"/>
      <c r="UDQ82" s="38"/>
      <c r="UDR82" s="38"/>
      <c r="UDS82" s="38"/>
      <c r="UDT82" s="38"/>
      <c r="UDU82" s="38"/>
      <c r="UDV82" s="38"/>
      <c r="UDW82" s="38"/>
      <c r="UDX82" s="38"/>
      <c r="UDY82" s="38"/>
      <c r="UDZ82" s="38"/>
      <c r="UEA82" s="38"/>
      <c r="UEB82" s="38"/>
      <c r="UEC82" s="38"/>
      <c r="UED82" s="38"/>
      <c r="UEE82" s="38"/>
      <c r="UEF82" s="38"/>
      <c r="UEG82" s="38"/>
      <c r="UEH82" s="38"/>
      <c r="UEI82" s="38"/>
      <c r="UEJ82" s="38"/>
      <c r="UEK82" s="38"/>
      <c r="UEL82" s="38"/>
      <c r="UEM82" s="38"/>
      <c r="UEN82" s="38"/>
      <c r="UEO82" s="38"/>
      <c r="UEP82" s="38"/>
      <c r="UEQ82" s="38"/>
      <c r="UER82" s="38"/>
      <c r="UES82" s="38"/>
      <c r="UET82" s="38"/>
      <c r="UEU82" s="38"/>
      <c r="UEV82" s="38"/>
      <c r="UEW82" s="38"/>
      <c r="UEX82" s="38"/>
      <c r="UEY82" s="38"/>
      <c r="UEZ82" s="38"/>
      <c r="UFA82" s="38"/>
      <c r="UFB82" s="38"/>
      <c r="UFC82" s="38"/>
      <c r="UFD82" s="38"/>
      <c r="UFE82" s="38"/>
      <c r="UFF82" s="38"/>
      <c r="UFG82" s="38"/>
      <c r="UFH82" s="38"/>
      <c r="UFI82" s="38"/>
      <c r="UFJ82" s="38"/>
      <c r="UFK82" s="38"/>
      <c r="UFL82" s="38"/>
      <c r="UFM82" s="38"/>
      <c r="UFN82" s="38"/>
      <c r="UFO82" s="38"/>
      <c r="UFP82" s="38"/>
      <c r="UFQ82" s="38"/>
      <c r="UFR82" s="38"/>
      <c r="UFS82" s="38"/>
      <c r="UFT82" s="38"/>
      <c r="UFU82" s="38"/>
      <c r="UFV82" s="38"/>
      <c r="UFW82" s="38"/>
      <c r="UFX82" s="38"/>
      <c r="UFY82" s="38"/>
      <c r="UFZ82" s="38"/>
      <c r="UGA82" s="38"/>
      <c r="UGB82" s="38"/>
      <c r="UGC82" s="38"/>
      <c r="UGD82" s="38"/>
      <c r="UGE82" s="38"/>
      <c r="UGF82" s="38"/>
      <c r="UGG82" s="38"/>
      <c r="UGH82" s="38"/>
      <c r="UGI82" s="38"/>
      <c r="UGJ82" s="38"/>
      <c r="UGK82" s="38"/>
      <c r="UGL82" s="38"/>
      <c r="UGM82" s="38"/>
      <c r="UGN82" s="38"/>
      <c r="UGO82" s="38"/>
      <c r="UGP82" s="38"/>
      <c r="UGQ82" s="38"/>
      <c r="UGR82" s="38"/>
      <c r="UGS82" s="38"/>
      <c r="UGT82" s="38"/>
      <c r="UGU82" s="38"/>
      <c r="UGV82" s="38"/>
      <c r="UGW82" s="38"/>
      <c r="UGX82" s="38"/>
      <c r="UGY82" s="38"/>
      <c r="UGZ82" s="38"/>
      <c r="UHA82" s="38"/>
      <c r="UHB82" s="38"/>
      <c r="UHC82" s="38"/>
      <c r="UHD82" s="38"/>
      <c r="UHE82" s="38"/>
      <c r="UHF82" s="38"/>
      <c r="UHG82" s="38"/>
      <c r="UHH82" s="38"/>
      <c r="UHI82" s="38"/>
      <c r="UHJ82" s="38"/>
      <c r="UHK82" s="38"/>
      <c r="UHL82" s="38"/>
      <c r="UHM82" s="38"/>
      <c r="UHN82" s="38"/>
      <c r="UHO82" s="38"/>
      <c r="UHP82" s="38"/>
      <c r="UHQ82" s="38"/>
      <c r="UHR82" s="38"/>
      <c r="UHS82" s="38"/>
      <c r="UHT82" s="38"/>
      <c r="UHU82" s="38"/>
      <c r="UHV82" s="38"/>
      <c r="UHW82" s="38"/>
      <c r="UHX82" s="38"/>
      <c r="UHY82" s="38"/>
      <c r="UHZ82" s="38"/>
      <c r="UIA82" s="38"/>
      <c r="UIB82" s="38"/>
      <c r="UIC82" s="38"/>
      <c r="UID82" s="38"/>
      <c r="UIE82" s="38"/>
      <c r="UIF82" s="38"/>
      <c r="UIG82" s="38"/>
      <c r="UIH82" s="38"/>
      <c r="UII82" s="38"/>
      <c r="UIJ82" s="38"/>
      <c r="UIK82" s="38"/>
      <c r="UIL82" s="38"/>
      <c r="UIM82" s="38"/>
      <c r="UIN82" s="38"/>
      <c r="UIO82" s="38"/>
      <c r="UIP82" s="38"/>
      <c r="UIQ82" s="38"/>
      <c r="UIR82" s="38"/>
      <c r="UIS82" s="38"/>
      <c r="UIT82" s="38"/>
      <c r="UIU82" s="38"/>
      <c r="UIV82" s="38"/>
      <c r="UIW82" s="38"/>
      <c r="UIX82" s="38"/>
      <c r="UIY82" s="38"/>
      <c r="UIZ82" s="38"/>
      <c r="UJA82" s="38"/>
      <c r="UJB82" s="38"/>
      <c r="UJC82" s="38"/>
      <c r="UJD82" s="38"/>
      <c r="UJE82" s="38"/>
      <c r="UJF82" s="38"/>
      <c r="UJG82" s="38"/>
      <c r="UJH82" s="38"/>
      <c r="UJI82" s="38"/>
      <c r="UJJ82" s="38"/>
      <c r="UJK82" s="38"/>
      <c r="UJL82" s="38"/>
      <c r="UJM82" s="38"/>
      <c r="UJN82" s="38"/>
      <c r="UJO82" s="38"/>
      <c r="UJP82" s="38"/>
      <c r="UJQ82" s="38"/>
      <c r="UJR82" s="38"/>
      <c r="UJS82" s="38"/>
      <c r="UJT82" s="38"/>
      <c r="UJU82" s="38"/>
      <c r="UJV82" s="38"/>
      <c r="UJW82" s="38"/>
      <c r="UJX82" s="38"/>
      <c r="UJY82" s="38"/>
      <c r="UJZ82" s="38"/>
      <c r="UKA82" s="38"/>
      <c r="UKB82" s="38"/>
      <c r="UKC82" s="38"/>
      <c r="UKD82" s="38"/>
      <c r="UKE82" s="38"/>
      <c r="UKF82" s="38"/>
      <c r="UKG82" s="38"/>
      <c r="UKH82" s="38"/>
      <c r="UKI82" s="38"/>
      <c r="UKJ82" s="38"/>
      <c r="UKK82" s="38"/>
      <c r="UKL82" s="38"/>
      <c r="UKM82" s="38"/>
      <c r="UKN82" s="38"/>
      <c r="UKO82" s="38"/>
      <c r="UKP82" s="38"/>
      <c r="UKQ82" s="38"/>
      <c r="UKR82" s="38"/>
      <c r="UKS82" s="38"/>
      <c r="UKT82" s="38"/>
      <c r="UKU82" s="38"/>
      <c r="UKV82" s="38"/>
      <c r="UKW82" s="38"/>
      <c r="UKX82" s="38"/>
      <c r="UKY82" s="38"/>
      <c r="UKZ82" s="38"/>
      <c r="ULA82" s="38"/>
      <c r="ULB82" s="38"/>
      <c r="ULC82" s="38"/>
      <c r="ULD82" s="38"/>
      <c r="ULE82" s="38"/>
      <c r="ULF82" s="38"/>
      <c r="ULG82" s="38"/>
      <c r="ULH82" s="38"/>
      <c r="ULI82" s="38"/>
      <c r="ULJ82" s="38"/>
      <c r="ULK82" s="38"/>
      <c r="ULL82" s="38"/>
      <c r="ULM82" s="38"/>
      <c r="ULN82" s="38"/>
      <c r="ULO82" s="38"/>
      <c r="ULP82" s="38"/>
      <c r="ULQ82" s="38"/>
      <c r="ULR82" s="38"/>
      <c r="ULS82" s="38"/>
      <c r="ULT82" s="38"/>
      <c r="ULU82" s="38"/>
      <c r="ULV82" s="38"/>
      <c r="ULW82" s="38"/>
      <c r="ULX82" s="38"/>
      <c r="ULY82" s="38"/>
      <c r="ULZ82" s="38"/>
      <c r="UMA82" s="38"/>
      <c r="UMB82" s="38"/>
      <c r="UMC82" s="38"/>
      <c r="UMD82" s="38"/>
      <c r="UME82" s="38"/>
      <c r="UMF82" s="38"/>
      <c r="UMG82" s="38"/>
      <c r="UMH82" s="38"/>
      <c r="UMI82" s="38"/>
      <c r="UMJ82" s="38"/>
      <c r="UMK82" s="38"/>
      <c r="UML82" s="38"/>
      <c r="UMM82" s="38"/>
      <c r="UMN82" s="38"/>
      <c r="UMO82" s="38"/>
      <c r="UMP82" s="38"/>
      <c r="UMQ82" s="38"/>
      <c r="UMR82" s="38"/>
      <c r="UMS82" s="38"/>
      <c r="UMT82" s="38"/>
      <c r="UMU82" s="38"/>
      <c r="UMV82" s="38"/>
      <c r="UMW82" s="38"/>
      <c r="UMX82" s="38"/>
      <c r="UMY82" s="38"/>
      <c r="UMZ82" s="38"/>
      <c r="UNA82" s="38"/>
      <c r="UNB82" s="38"/>
      <c r="UNC82" s="38"/>
      <c r="UND82" s="38"/>
      <c r="UNE82" s="38"/>
      <c r="UNF82" s="38"/>
      <c r="UNG82" s="38"/>
      <c r="UNH82" s="38"/>
      <c r="UNI82" s="38"/>
      <c r="UNJ82" s="38"/>
      <c r="UNK82" s="38"/>
      <c r="UNL82" s="38"/>
      <c r="UNM82" s="38"/>
      <c r="UNN82" s="38"/>
      <c r="UNO82" s="38"/>
      <c r="UNP82" s="38"/>
      <c r="UNQ82" s="38"/>
      <c r="UNR82" s="38"/>
      <c r="UNS82" s="38"/>
      <c r="UNT82" s="38"/>
      <c r="UNU82" s="38"/>
      <c r="UNV82" s="38"/>
      <c r="UNW82" s="38"/>
      <c r="UNX82" s="38"/>
      <c r="UNY82" s="38"/>
      <c r="UNZ82" s="38"/>
      <c r="UOA82" s="38"/>
      <c r="UOB82" s="38"/>
      <c r="UOC82" s="38"/>
      <c r="UOD82" s="38"/>
      <c r="UOE82" s="38"/>
      <c r="UOF82" s="38"/>
      <c r="UOG82" s="38"/>
      <c r="UOH82" s="38"/>
      <c r="UOI82" s="38"/>
      <c r="UOJ82" s="38"/>
      <c r="UOK82" s="38"/>
      <c r="UOL82" s="38"/>
      <c r="UOM82" s="38"/>
      <c r="UON82" s="38"/>
      <c r="UOO82" s="38"/>
      <c r="UOP82" s="38"/>
      <c r="UOQ82" s="38"/>
      <c r="UOR82" s="38"/>
      <c r="UOS82" s="38"/>
      <c r="UOT82" s="38"/>
      <c r="UOU82" s="38"/>
      <c r="UOV82" s="38"/>
      <c r="UOW82" s="38"/>
      <c r="UOX82" s="38"/>
      <c r="UOY82" s="38"/>
      <c r="UOZ82" s="38"/>
      <c r="UPA82" s="38"/>
      <c r="UPB82" s="38"/>
      <c r="UPC82" s="38"/>
      <c r="UPD82" s="38"/>
      <c r="UPE82" s="38"/>
      <c r="UPF82" s="38"/>
      <c r="UPG82" s="38"/>
      <c r="UPH82" s="38"/>
      <c r="UPI82" s="38"/>
      <c r="UPJ82" s="38"/>
      <c r="UPK82" s="38"/>
      <c r="UPL82" s="38"/>
      <c r="UPM82" s="38"/>
      <c r="UPN82" s="38"/>
      <c r="UPO82" s="38"/>
      <c r="UPP82" s="38"/>
      <c r="UPQ82" s="38"/>
      <c r="UPR82" s="38"/>
      <c r="UPS82" s="38"/>
      <c r="UPT82" s="38"/>
      <c r="UPU82" s="38"/>
      <c r="UPV82" s="38"/>
      <c r="UPW82" s="38"/>
      <c r="UPX82" s="38"/>
      <c r="UPY82" s="38"/>
      <c r="UPZ82" s="38"/>
      <c r="UQA82" s="38"/>
      <c r="UQB82" s="38"/>
      <c r="UQC82" s="38"/>
      <c r="UQD82" s="38"/>
      <c r="UQE82" s="38"/>
      <c r="UQF82" s="38"/>
      <c r="UQG82" s="38"/>
      <c r="UQH82" s="38"/>
      <c r="UQI82" s="38"/>
      <c r="UQJ82" s="38"/>
      <c r="UQK82" s="38"/>
      <c r="UQL82" s="38"/>
      <c r="UQM82" s="38"/>
      <c r="UQN82" s="38"/>
      <c r="UQO82" s="38"/>
      <c r="UQP82" s="38"/>
      <c r="UQQ82" s="38"/>
      <c r="UQR82" s="38"/>
      <c r="UQS82" s="38"/>
      <c r="UQT82" s="38"/>
      <c r="UQU82" s="38"/>
      <c r="UQV82" s="38"/>
      <c r="UQW82" s="38"/>
      <c r="UQX82" s="38"/>
      <c r="UQY82" s="38"/>
      <c r="UQZ82" s="38"/>
      <c r="URA82" s="38"/>
      <c r="URB82" s="38"/>
      <c r="URC82" s="38"/>
      <c r="URD82" s="38"/>
      <c r="URE82" s="38"/>
      <c r="URF82" s="38"/>
      <c r="URG82" s="38"/>
      <c r="URH82" s="38"/>
      <c r="URI82" s="38"/>
      <c r="URJ82" s="38"/>
      <c r="URK82" s="38"/>
      <c r="URL82" s="38"/>
      <c r="URM82" s="38"/>
      <c r="URN82" s="38"/>
      <c r="URO82" s="38"/>
      <c r="URP82" s="38"/>
      <c r="URQ82" s="38"/>
      <c r="URR82" s="38"/>
      <c r="URS82" s="38"/>
      <c r="URT82" s="38"/>
      <c r="URU82" s="38"/>
      <c r="URV82" s="38"/>
      <c r="URW82" s="38"/>
      <c r="URX82" s="38"/>
      <c r="URY82" s="38"/>
      <c r="URZ82" s="38"/>
      <c r="USA82" s="38"/>
      <c r="USB82" s="38"/>
      <c r="USC82" s="38"/>
      <c r="USD82" s="38"/>
      <c r="USE82" s="38"/>
      <c r="USF82" s="38"/>
      <c r="USG82" s="38"/>
      <c r="USH82" s="38"/>
      <c r="USI82" s="38"/>
      <c r="USJ82" s="38"/>
      <c r="USK82" s="38"/>
      <c r="USL82" s="38"/>
      <c r="USM82" s="38"/>
      <c r="USN82" s="38"/>
      <c r="USO82" s="38"/>
      <c r="USP82" s="38"/>
      <c r="USQ82" s="38"/>
      <c r="USR82" s="38"/>
      <c r="USS82" s="38"/>
      <c r="UST82" s="38"/>
      <c r="USU82" s="38"/>
      <c r="USV82" s="38"/>
      <c r="USW82" s="38"/>
      <c r="USX82" s="38"/>
      <c r="USY82" s="38"/>
      <c r="USZ82" s="38"/>
      <c r="UTA82" s="38"/>
      <c r="UTB82" s="38"/>
      <c r="UTC82" s="38"/>
      <c r="UTD82" s="38"/>
      <c r="UTE82" s="38"/>
      <c r="UTF82" s="38"/>
      <c r="UTG82" s="38"/>
      <c r="UTH82" s="38"/>
      <c r="UTI82" s="38"/>
      <c r="UTJ82" s="38"/>
      <c r="UTK82" s="38"/>
      <c r="UTL82" s="38"/>
      <c r="UTM82" s="38"/>
      <c r="UTN82" s="38"/>
      <c r="UTO82" s="38"/>
      <c r="UTP82" s="38"/>
      <c r="UTQ82" s="38"/>
      <c r="UTR82" s="38"/>
      <c r="UTS82" s="38"/>
      <c r="UTT82" s="38"/>
      <c r="UTU82" s="38"/>
      <c r="UTV82" s="38"/>
      <c r="UTW82" s="38"/>
      <c r="UTX82" s="38"/>
      <c r="UTY82" s="38"/>
      <c r="UTZ82" s="38"/>
      <c r="UUA82" s="38"/>
      <c r="UUB82" s="38"/>
      <c r="UUC82" s="38"/>
      <c r="UUD82" s="38"/>
      <c r="UUE82" s="38"/>
      <c r="UUF82" s="38"/>
      <c r="UUG82" s="38"/>
      <c r="UUH82" s="38"/>
      <c r="UUI82" s="38"/>
      <c r="UUJ82" s="38"/>
      <c r="UUK82" s="38"/>
      <c r="UUL82" s="38"/>
      <c r="UUM82" s="38"/>
      <c r="UUN82" s="38"/>
      <c r="UUO82" s="38"/>
      <c r="UUP82" s="38"/>
      <c r="UUQ82" s="38"/>
      <c r="UUR82" s="38"/>
      <c r="UUS82" s="38"/>
      <c r="UUT82" s="38"/>
      <c r="UUU82" s="38"/>
      <c r="UUV82" s="38"/>
      <c r="UUW82" s="38"/>
      <c r="UUX82" s="38"/>
      <c r="UUY82" s="38"/>
      <c r="UUZ82" s="38"/>
      <c r="UVA82" s="38"/>
      <c r="UVB82" s="38"/>
      <c r="UVC82" s="38"/>
      <c r="UVD82" s="38"/>
      <c r="UVE82" s="38"/>
      <c r="UVF82" s="38"/>
      <c r="UVG82" s="38"/>
      <c r="UVH82" s="38"/>
      <c r="UVI82" s="38"/>
      <c r="UVJ82" s="38"/>
      <c r="UVK82" s="38"/>
      <c r="UVL82" s="38"/>
      <c r="UVM82" s="38"/>
      <c r="UVN82" s="38"/>
      <c r="UVO82" s="38"/>
      <c r="UVP82" s="38"/>
      <c r="UVQ82" s="38"/>
      <c r="UVR82" s="38"/>
      <c r="UVS82" s="38"/>
      <c r="UVT82" s="38"/>
      <c r="UVU82" s="38"/>
      <c r="UVV82" s="38"/>
      <c r="UVW82" s="38"/>
      <c r="UVX82" s="38"/>
      <c r="UVY82" s="38"/>
      <c r="UVZ82" s="38"/>
      <c r="UWA82" s="38"/>
      <c r="UWB82" s="38"/>
      <c r="UWC82" s="38"/>
      <c r="UWD82" s="38"/>
      <c r="UWE82" s="38"/>
      <c r="UWF82" s="38"/>
      <c r="UWG82" s="38"/>
      <c r="UWH82" s="38"/>
      <c r="UWI82" s="38"/>
      <c r="UWJ82" s="38"/>
      <c r="UWK82" s="38"/>
      <c r="UWL82" s="38"/>
      <c r="UWM82" s="38"/>
      <c r="UWN82" s="38"/>
      <c r="UWO82" s="38"/>
      <c r="UWP82" s="38"/>
      <c r="UWQ82" s="38"/>
      <c r="UWR82" s="38"/>
      <c r="UWS82" s="38"/>
      <c r="UWT82" s="38"/>
      <c r="UWU82" s="38"/>
      <c r="UWV82" s="38"/>
      <c r="UWW82" s="38"/>
      <c r="UWX82" s="38"/>
      <c r="UWY82" s="38"/>
      <c r="UWZ82" s="38"/>
      <c r="UXA82" s="38"/>
      <c r="UXB82" s="38"/>
      <c r="UXC82" s="38"/>
      <c r="UXD82" s="38"/>
      <c r="UXE82" s="38"/>
      <c r="UXF82" s="38"/>
      <c r="UXG82" s="38"/>
      <c r="UXH82" s="38"/>
      <c r="UXI82" s="38"/>
      <c r="UXJ82" s="38"/>
      <c r="UXK82" s="38"/>
      <c r="UXL82" s="38"/>
      <c r="UXM82" s="38"/>
      <c r="UXN82" s="38"/>
      <c r="UXO82" s="38"/>
      <c r="UXP82" s="38"/>
      <c r="UXQ82" s="38"/>
      <c r="UXR82" s="38"/>
      <c r="UXS82" s="38"/>
      <c r="UXT82" s="38"/>
      <c r="UXU82" s="38"/>
      <c r="UXV82" s="38"/>
      <c r="UXW82" s="38"/>
      <c r="UXX82" s="38"/>
      <c r="UXY82" s="38"/>
      <c r="UXZ82" s="38"/>
      <c r="UYA82" s="38"/>
      <c r="UYB82" s="38"/>
      <c r="UYC82" s="38"/>
      <c r="UYD82" s="38"/>
      <c r="UYE82" s="38"/>
      <c r="UYF82" s="38"/>
      <c r="UYG82" s="38"/>
      <c r="UYH82" s="38"/>
      <c r="UYI82" s="38"/>
      <c r="UYJ82" s="38"/>
      <c r="UYK82" s="38"/>
      <c r="UYL82" s="38"/>
      <c r="UYM82" s="38"/>
      <c r="UYN82" s="38"/>
      <c r="UYO82" s="38"/>
      <c r="UYP82" s="38"/>
      <c r="UYQ82" s="38"/>
      <c r="UYR82" s="38"/>
      <c r="UYS82" s="38"/>
      <c r="UYT82" s="38"/>
      <c r="UYU82" s="38"/>
      <c r="UYV82" s="38"/>
      <c r="UYW82" s="38"/>
      <c r="UYX82" s="38"/>
      <c r="UYY82" s="38"/>
      <c r="UYZ82" s="38"/>
      <c r="UZA82" s="38"/>
      <c r="UZB82" s="38"/>
      <c r="UZC82" s="38"/>
      <c r="UZD82" s="38"/>
      <c r="UZE82" s="38"/>
      <c r="UZF82" s="38"/>
      <c r="UZG82" s="38"/>
      <c r="UZH82" s="38"/>
      <c r="UZI82" s="38"/>
      <c r="UZJ82" s="38"/>
      <c r="UZK82" s="38"/>
      <c r="UZL82" s="38"/>
      <c r="UZM82" s="38"/>
      <c r="UZN82" s="38"/>
      <c r="UZO82" s="38"/>
      <c r="UZP82" s="38"/>
      <c r="UZQ82" s="38"/>
      <c r="UZR82" s="38"/>
      <c r="UZS82" s="38"/>
      <c r="UZT82" s="38"/>
      <c r="UZU82" s="38"/>
      <c r="UZV82" s="38"/>
      <c r="UZW82" s="38"/>
      <c r="UZX82" s="38"/>
      <c r="UZY82" s="38"/>
      <c r="UZZ82" s="38"/>
      <c r="VAA82" s="38"/>
      <c r="VAB82" s="38"/>
      <c r="VAC82" s="38"/>
      <c r="VAD82" s="38"/>
      <c r="VAE82" s="38"/>
      <c r="VAF82" s="38"/>
      <c r="VAG82" s="38"/>
      <c r="VAH82" s="38"/>
      <c r="VAI82" s="38"/>
      <c r="VAJ82" s="38"/>
      <c r="VAK82" s="38"/>
      <c r="VAL82" s="38"/>
      <c r="VAM82" s="38"/>
      <c r="VAN82" s="38"/>
      <c r="VAO82" s="38"/>
      <c r="VAP82" s="38"/>
      <c r="VAQ82" s="38"/>
      <c r="VAR82" s="38"/>
      <c r="VAS82" s="38"/>
      <c r="VAT82" s="38"/>
      <c r="VAU82" s="38"/>
      <c r="VAV82" s="38"/>
      <c r="VAW82" s="38"/>
      <c r="VAX82" s="38"/>
      <c r="VAY82" s="38"/>
      <c r="VAZ82" s="38"/>
      <c r="VBA82" s="38"/>
      <c r="VBB82" s="38"/>
      <c r="VBC82" s="38"/>
      <c r="VBD82" s="38"/>
      <c r="VBE82" s="38"/>
      <c r="VBF82" s="38"/>
      <c r="VBG82" s="38"/>
      <c r="VBH82" s="38"/>
      <c r="VBI82" s="38"/>
      <c r="VBJ82" s="38"/>
      <c r="VBK82" s="38"/>
      <c r="VBL82" s="38"/>
      <c r="VBM82" s="38"/>
      <c r="VBN82" s="38"/>
      <c r="VBO82" s="38"/>
      <c r="VBP82" s="38"/>
      <c r="VBQ82" s="38"/>
      <c r="VBR82" s="38"/>
      <c r="VBS82" s="38"/>
      <c r="VBT82" s="38"/>
      <c r="VBU82" s="38"/>
      <c r="VBV82" s="38"/>
      <c r="VBW82" s="38"/>
      <c r="VBX82" s="38"/>
      <c r="VBY82" s="38"/>
      <c r="VBZ82" s="38"/>
      <c r="VCA82" s="38"/>
      <c r="VCB82" s="38"/>
      <c r="VCC82" s="38"/>
      <c r="VCD82" s="38"/>
      <c r="VCE82" s="38"/>
      <c r="VCF82" s="38"/>
      <c r="VCG82" s="38"/>
      <c r="VCH82" s="38"/>
      <c r="VCI82" s="38"/>
      <c r="VCJ82" s="38"/>
      <c r="VCK82" s="38"/>
      <c r="VCL82" s="38"/>
      <c r="VCM82" s="38"/>
      <c r="VCN82" s="38"/>
      <c r="VCO82" s="38"/>
      <c r="VCP82" s="38"/>
      <c r="VCQ82" s="38"/>
      <c r="VCR82" s="38"/>
      <c r="VCS82" s="38"/>
      <c r="VCT82" s="38"/>
      <c r="VCU82" s="38"/>
      <c r="VCV82" s="38"/>
      <c r="VCW82" s="38"/>
      <c r="VCX82" s="38"/>
      <c r="VCY82" s="38"/>
      <c r="VCZ82" s="38"/>
      <c r="VDA82" s="38"/>
      <c r="VDB82" s="38"/>
      <c r="VDC82" s="38"/>
      <c r="VDD82" s="38"/>
      <c r="VDE82" s="38"/>
      <c r="VDF82" s="38"/>
      <c r="VDG82" s="38"/>
      <c r="VDH82" s="38"/>
      <c r="VDI82" s="38"/>
      <c r="VDJ82" s="38"/>
      <c r="VDK82" s="38"/>
      <c r="VDL82" s="38"/>
      <c r="VDM82" s="38"/>
      <c r="VDN82" s="38"/>
      <c r="VDO82" s="38"/>
      <c r="VDP82" s="38"/>
      <c r="VDQ82" s="38"/>
      <c r="VDR82" s="38"/>
      <c r="VDS82" s="38"/>
      <c r="VDT82" s="38"/>
      <c r="VDU82" s="38"/>
      <c r="VDV82" s="38"/>
      <c r="VDW82" s="38"/>
      <c r="VDX82" s="38"/>
      <c r="VDY82" s="38"/>
      <c r="VDZ82" s="38"/>
      <c r="VEA82" s="38"/>
      <c r="VEB82" s="38"/>
      <c r="VEC82" s="38"/>
      <c r="VED82" s="38"/>
      <c r="VEE82" s="38"/>
      <c r="VEF82" s="38"/>
      <c r="VEG82" s="38"/>
      <c r="VEH82" s="38"/>
      <c r="VEI82" s="38"/>
      <c r="VEJ82" s="38"/>
      <c r="VEK82" s="38"/>
      <c r="VEL82" s="38"/>
      <c r="VEM82" s="38"/>
      <c r="VEN82" s="38"/>
      <c r="VEO82" s="38"/>
      <c r="VEP82" s="38"/>
      <c r="VEQ82" s="38"/>
      <c r="VER82" s="38"/>
      <c r="VES82" s="38"/>
      <c r="VET82" s="38"/>
      <c r="VEU82" s="38"/>
      <c r="VEV82" s="38"/>
      <c r="VEW82" s="38"/>
      <c r="VEX82" s="38"/>
      <c r="VEY82" s="38"/>
      <c r="VEZ82" s="38"/>
      <c r="VFA82" s="38"/>
      <c r="VFB82" s="38"/>
      <c r="VFC82" s="38"/>
      <c r="VFD82" s="38"/>
      <c r="VFE82" s="38"/>
      <c r="VFF82" s="38"/>
      <c r="VFG82" s="38"/>
      <c r="VFH82" s="38"/>
      <c r="VFI82" s="38"/>
      <c r="VFJ82" s="38"/>
      <c r="VFK82" s="38"/>
      <c r="VFL82" s="38"/>
      <c r="VFM82" s="38"/>
      <c r="VFN82" s="38"/>
      <c r="VFO82" s="38"/>
      <c r="VFP82" s="38"/>
      <c r="VFQ82" s="38"/>
      <c r="VFR82" s="38"/>
      <c r="VFS82" s="38"/>
      <c r="VFT82" s="38"/>
      <c r="VFU82" s="38"/>
      <c r="VFV82" s="38"/>
      <c r="VFW82" s="38"/>
      <c r="VFX82" s="38"/>
      <c r="VFY82" s="38"/>
      <c r="VFZ82" s="38"/>
      <c r="VGA82" s="38"/>
      <c r="VGB82" s="38"/>
      <c r="VGC82" s="38"/>
      <c r="VGD82" s="38"/>
      <c r="VGE82" s="38"/>
      <c r="VGF82" s="38"/>
      <c r="VGG82" s="38"/>
      <c r="VGH82" s="38"/>
      <c r="VGI82" s="38"/>
      <c r="VGJ82" s="38"/>
      <c r="VGK82" s="38"/>
      <c r="VGL82" s="38"/>
      <c r="VGM82" s="38"/>
      <c r="VGN82" s="38"/>
      <c r="VGO82" s="38"/>
      <c r="VGP82" s="38"/>
      <c r="VGQ82" s="38"/>
      <c r="VGR82" s="38"/>
      <c r="VGS82" s="38"/>
      <c r="VGT82" s="38"/>
      <c r="VGU82" s="38"/>
      <c r="VGV82" s="38"/>
      <c r="VGW82" s="38"/>
      <c r="VGX82" s="38"/>
      <c r="VGY82" s="38"/>
      <c r="VGZ82" s="38"/>
      <c r="VHA82" s="38"/>
      <c r="VHB82" s="38"/>
      <c r="VHC82" s="38"/>
      <c r="VHD82" s="38"/>
      <c r="VHE82" s="38"/>
      <c r="VHF82" s="38"/>
      <c r="VHG82" s="38"/>
      <c r="VHH82" s="38"/>
      <c r="VHI82" s="38"/>
      <c r="VHJ82" s="38"/>
      <c r="VHK82" s="38"/>
      <c r="VHL82" s="38"/>
      <c r="VHM82" s="38"/>
      <c r="VHN82" s="38"/>
      <c r="VHO82" s="38"/>
      <c r="VHP82" s="38"/>
      <c r="VHQ82" s="38"/>
      <c r="VHR82" s="38"/>
      <c r="VHS82" s="38"/>
      <c r="VHT82" s="38"/>
      <c r="VHU82" s="38"/>
      <c r="VHV82" s="38"/>
      <c r="VHW82" s="38"/>
      <c r="VHX82" s="38"/>
      <c r="VHY82" s="38"/>
      <c r="VHZ82" s="38"/>
      <c r="VIA82" s="38"/>
      <c r="VIB82" s="38"/>
      <c r="VIC82" s="38"/>
      <c r="VID82" s="38"/>
      <c r="VIE82" s="38"/>
      <c r="VIF82" s="38"/>
      <c r="VIG82" s="38"/>
      <c r="VIH82" s="38"/>
      <c r="VII82" s="38"/>
      <c r="VIJ82" s="38"/>
      <c r="VIK82" s="38"/>
      <c r="VIL82" s="38"/>
      <c r="VIM82" s="38"/>
      <c r="VIN82" s="38"/>
      <c r="VIO82" s="38"/>
      <c r="VIP82" s="38"/>
      <c r="VIQ82" s="38"/>
      <c r="VIR82" s="38"/>
      <c r="VIS82" s="38"/>
      <c r="VIT82" s="38"/>
      <c r="VIU82" s="38"/>
      <c r="VIV82" s="38"/>
      <c r="VIW82" s="38"/>
      <c r="VIX82" s="38"/>
      <c r="VIY82" s="38"/>
      <c r="VIZ82" s="38"/>
      <c r="VJA82" s="38"/>
      <c r="VJB82" s="38"/>
      <c r="VJC82" s="38"/>
      <c r="VJD82" s="38"/>
      <c r="VJE82" s="38"/>
      <c r="VJF82" s="38"/>
      <c r="VJG82" s="38"/>
      <c r="VJH82" s="38"/>
      <c r="VJI82" s="38"/>
      <c r="VJJ82" s="38"/>
      <c r="VJK82" s="38"/>
      <c r="VJL82" s="38"/>
      <c r="VJM82" s="38"/>
      <c r="VJN82" s="38"/>
      <c r="VJO82" s="38"/>
      <c r="VJP82" s="38"/>
      <c r="VJQ82" s="38"/>
      <c r="VJR82" s="38"/>
      <c r="VJS82" s="38"/>
      <c r="VJT82" s="38"/>
      <c r="VJU82" s="38"/>
      <c r="VJV82" s="38"/>
      <c r="VJW82" s="38"/>
      <c r="VJX82" s="38"/>
      <c r="VJY82" s="38"/>
      <c r="VJZ82" s="38"/>
      <c r="VKA82" s="38"/>
      <c r="VKB82" s="38"/>
      <c r="VKC82" s="38"/>
      <c r="VKD82" s="38"/>
      <c r="VKE82" s="38"/>
      <c r="VKF82" s="38"/>
      <c r="VKG82" s="38"/>
      <c r="VKH82" s="38"/>
      <c r="VKI82" s="38"/>
      <c r="VKJ82" s="38"/>
      <c r="VKK82" s="38"/>
      <c r="VKL82" s="38"/>
      <c r="VKM82" s="38"/>
      <c r="VKN82" s="38"/>
      <c r="VKO82" s="38"/>
      <c r="VKP82" s="38"/>
      <c r="VKQ82" s="38"/>
      <c r="VKR82" s="38"/>
      <c r="VKS82" s="38"/>
      <c r="VKT82" s="38"/>
      <c r="VKU82" s="38"/>
      <c r="VKV82" s="38"/>
      <c r="VKW82" s="38"/>
      <c r="VKX82" s="38"/>
      <c r="VKY82" s="38"/>
      <c r="VKZ82" s="38"/>
      <c r="VLA82" s="38"/>
      <c r="VLB82" s="38"/>
      <c r="VLC82" s="38"/>
      <c r="VLD82" s="38"/>
      <c r="VLE82" s="38"/>
      <c r="VLF82" s="38"/>
      <c r="VLG82" s="38"/>
      <c r="VLH82" s="38"/>
      <c r="VLI82" s="38"/>
      <c r="VLJ82" s="38"/>
      <c r="VLK82" s="38"/>
      <c r="VLL82" s="38"/>
      <c r="VLM82" s="38"/>
      <c r="VLN82" s="38"/>
      <c r="VLO82" s="38"/>
      <c r="VLP82" s="38"/>
      <c r="VLQ82" s="38"/>
      <c r="VLR82" s="38"/>
      <c r="VLS82" s="38"/>
      <c r="VLT82" s="38"/>
      <c r="VLU82" s="38"/>
      <c r="VLV82" s="38"/>
      <c r="VLW82" s="38"/>
      <c r="VLX82" s="38"/>
      <c r="VLY82" s="38"/>
      <c r="VLZ82" s="38"/>
      <c r="VMA82" s="38"/>
      <c r="VMB82" s="38"/>
      <c r="VMC82" s="38"/>
      <c r="VMD82" s="38"/>
      <c r="VME82" s="38"/>
      <c r="VMF82" s="38"/>
      <c r="VMG82" s="38"/>
      <c r="VMH82" s="38"/>
      <c r="VMI82" s="38"/>
      <c r="VMJ82" s="38"/>
      <c r="VMK82" s="38"/>
      <c r="VML82" s="38"/>
      <c r="VMM82" s="38"/>
      <c r="VMN82" s="38"/>
      <c r="VMO82" s="38"/>
      <c r="VMP82" s="38"/>
      <c r="VMQ82" s="38"/>
      <c r="VMR82" s="38"/>
      <c r="VMS82" s="38"/>
      <c r="VMT82" s="38"/>
      <c r="VMU82" s="38"/>
      <c r="VMV82" s="38"/>
      <c r="VMW82" s="38"/>
      <c r="VMX82" s="38"/>
      <c r="VMY82" s="38"/>
      <c r="VMZ82" s="38"/>
      <c r="VNA82" s="38"/>
      <c r="VNB82" s="38"/>
      <c r="VNC82" s="38"/>
      <c r="VND82" s="38"/>
      <c r="VNE82" s="38"/>
      <c r="VNF82" s="38"/>
      <c r="VNG82" s="38"/>
      <c r="VNH82" s="38"/>
      <c r="VNI82" s="38"/>
      <c r="VNJ82" s="38"/>
      <c r="VNK82" s="38"/>
      <c r="VNL82" s="38"/>
      <c r="VNM82" s="38"/>
      <c r="VNN82" s="38"/>
      <c r="VNO82" s="38"/>
      <c r="VNP82" s="38"/>
      <c r="VNQ82" s="38"/>
      <c r="VNR82" s="38"/>
      <c r="VNS82" s="38"/>
      <c r="VNT82" s="38"/>
      <c r="VNU82" s="38"/>
      <c r="VNV82" s="38"/>
      <c r="VNW82" s="38"/>
      <c r="VNX82" s="38"/>
      <c r="VNY82" s="38"/>
      <c r="VNZ82" s="38"/>
      <c r="VOA82" s="38"/>
      <c r="VOB82" s="38"/>
      <c r="VOC82" s="38"/>
      <c r="VOD82" s="38"/>
      <c r="VOE82" s="38"/>
      <c r="VOF82" s="38"/>
      <c r="VOG82" s="38"/>
      <c r="VOH82" s="38"/>
      <c r="VOI82" s="38"/>
      <c r="VOJ82" s="38"/>
      <c r="VOK82" s="38"/>
      <c r="VOL82" s="38"/>
      <c r="VOM82" s="38"/>
      <c r="VON82" s="38"/>
      <c r="VOO82" s="38"/>
      <c r="VOP82" s="38"/>
      <c r="VOQ82" s="38"/>
      <c r="VOR82" s="38"/>
      <c r="VOS82" s="38"/>
      <c r="VOT82" s="38"/>
      <c r="VOU82" s="38"/>
      <c r="VOV82" s="38"/>
      <c r="VOW82" s="38"/>
      <c r="VOX82" s="38"/>
      <c r="VOY82" s="38"/>
      <c r="VOZ82" s="38"/>
      <c r="VPA82" s="38"/>
      <c r="VPB82" s="38"/>
      <c r="VPC82" s="38"/>
      <c r="VPD82" s="38"/>
      <c r="VPE82" s="38"/>
      <c r="VPF82" s="38"/>
      <c r="VPG82" s="38"/>
      <c r="VPH82" s="38"/>
      <c r="VPI82" s="38"/>
      <c r="VPJ82" s="38"/>
      <c r="VPK82" s="38"/>
      <c r="VPL82" s="38"/>
      <c r="VPM82" s="38"/>
      <c r="VPN82" s="38"/>
      <c r="VPO82" s="38"/>
      <c r="VPP82" s="38"/>
      <c r="VPQ82" s="38"/>
      <c r="VPR82" s="38"/>
      <c r="VPS82" s="38"/>
      <c r="VPT82" s="38"/>
      <c r="VPU82" s="38"/>
      <c r="VPV82" s="38"/>
      <c r="VPW82" s="38"/>
      <c r="VPX82" s="38"/>
      <c r="VPY82" s="38"/>
      <c r="VPZ82" s="38"/>
      <c r="VQA82" s="38"/>
      <c r="VQB82" s="38"/>
      <c r="VQC82" s="38"/>
      <c r="VQD82" s="38"/>
      <c r="VQE82" s="38"/>
      <c r="VQF82" s="38"/>
      <c r="VQG82" s="38"/>
      <c r="VQH82" s="38"/>
      <c r="VQI82" s="38"/>
      <c r="VQJ82" s="38"/>
      <c r="VQK82" s="38"/>
      <c r="VQL82" s="38"/>
      <c r="VQM82" s="38"/>
      <c r="VQN82" s="38"/>
      <c r="VQO82" s="38"/>
      <c r="VQP82" s="38"/>
      <c r="VQQ82" s="38"/>
      <c r="VQR82" s="38"/>
      <c r="VQS82" s="38"/>
      <c r="VQT82" s="38"/>
      <c r="VQU82" s="38"/>
      <c r="VQV82" s="38"/>
      <c r="VQW82" s="38"/>
      <c r="VQX82" s="38"/>
      <c r="VQY82" s="38"/>
      <c r="VQZ82" s="38"/>
      <c r="VRA82" s="38"/>
      <c r="VRB82" s="38"/>
      <c r="VRC82" s="38"/>
      <c r="VRD82" s="38"/>
      <c r="VRE82" s="38"/>
      <c r="VRF82" s="38"/>
      <c r="VRG82" s="38"/>
      <c r="VRH82" s="38"/>
      <c r="VRI82" s="38"/>
      <c r="VRJ82" s="38"/>
      <c r="VRK82" s="38"/>
      <c r="VRL82" s="38"/>
      <c r="VRM82" s="38"/>
      <c r="VRN82" s="38"/>
      <c r="VRO82" s="38"/>
      <c r="VRP82" s="38"/>
      <c r="VRQ82" s="38"/>
      <c r="VRR82" s="38"/>
      <c r="VRS82" s="38"/>
      <c r="VRT82" s="38"/>
      <c r="VRU82" s="38"/>
      <c r="VRV82" s="38"/>
      <c r="VRW82" s="38"/>
      <c r="VRX82" s="38"/>
      <c r="VRY82" s="38"/>
      <c r="VRZ82" s="38"/>
      <c r="VSA82" s="38"/>
      <c r="VSB82" s="38"/>
      <c r="VSC82" s="38"/>
      <c r="VSD82" s="38"/>
      <c r="VSE82" s="38"/>
      <c r="VSF82" s="38"/>
      <c r="VSG82" s="38"/>
      <c r="VSH82" s="38"/>
      <c r="VSI82" s="38"/>
      <c r="VSJ82" s="38"/>
      <c r="VSK82" s="38"/>
      <c r="VSL82" s="38"/>
      <c r="VSM82" s="38"/>
      <c r="VSN82" s="38"/>
      <c r="VSO82" s="38"/>
      <c r="VSP82" s="38"/>
      <c r="VSQ82" s="38"/>
      <c r="VSR82" s="38"/>
      <c r="VSS82" s="38"/>
      <c r="VST82" s="38"/>
      <c r="VSU82" s="38"/>
      <c r="VSV82" s="38"/>
      <c r="VSW82" s="38"/>
      <c r="VSX82" s="38"/>
      <c r="VSY82" s="38"/>
      <c r="VSZ82" s="38"/>
      <c r="VTA82" s="38"/>
      <c r="VTB82" s="38"/>
      <c r="VTC82" s="38"/>
      <c r="VTD82" s="38"/>
      <c r="VTE82" s="38"/>
      <c r="VTF82" s="38"/>
      <c r="VTG82" s="38"/>
      <c r="VTH82" s="38"/>
      <c r="VTI82" s="38"/>
      <c r="VTJ82" s="38"/>
      <c r="VTK82" s="38"/>
      <c r="VTL82" s="38"/>
      <c r="VTM82" s="38"/>
      <c r="VTN82" s="38"/>
      <c r="VTO82" s="38"/>
      <c r="VTP82" s="38"/>
      <c r="VTQ82" s="38"/>
      <c r="VTR82" s="38"/>
      <c r="VTS82" s="38"/>
      <c r="VTT82" s="38"/>
      <c r="VTU82" s="38"/>
      <c r="VTV82" s="38"/>
      <c r="VTW82" s="38"/>
      <c r="VTX82" s="38"/>
      <c r="VTY82" s="38"/>
      <c r="VTZ82" s="38"/>
      <c r="VUA82" s="38"/>
      <c r="VUB82" s="38"/>
      <c r="VUC82" s="38"/>
      <c r="VUD82" s="38"/>
      <c r="VUE82" s="38"/>
      <c r="VUF82" s="38"/>
      <c r="VUG82" s="38"/>
      <c r="VUH82" s="38"/>
      <c r="VUI82" s="38"/>
      <c r="VUJ82" s="38"/>
      <c r="VUK82" s="38"/>
      <c r="VUL82" s="38"/>
      <c r="VUM82" s="38"/>
      <c r="VUN82" s="38"/>
      <c r="VUO82" s="38"/>
      <c r="VUP82" s="38"/>
      <c r="VUQ82" s="38"/>
      <c r="VUR82" s="38"/>
      <c r="VUS82" s="38"/>
      <c r="VUT82" s="38"/>
      <c r="VUU82" s="38"/>
      <c r="VUV82" s="38"/>
      <c r="VUW82" s="38"/>
      <c r="VUX82" s="38"/>
      <c r="VUY82" s="38"/>
      <c r="VUZ82" s="38"/>
      <c r="VVA82" s="38"/>
      <c r="VVB82" s="38"/>
      <c r="VVC82" s="38"/>
      <c r="VVD82" s="38"/>
      <c r="VVE82" s="38"/>
      <c r="VVF82" s="38"/>
      <c r="VVG82" s="38"/>
      <c r="VVH82" s="38"/>
      <c r="VVI82" s="38"/>
      <c r="VVJ82" s="38"/>
      <c r="VVK82" s="38"/>
      <c r="VVL82" s="38"/>
      <c r="VVM82" s="38"/>
      <c r="VVN82" s="38"/>
      <c r="VVO82" s="38"/>
      <c r="VVP82" s="38"/>
      <c r="VVQ82" s="38"/>
      <c r="VVR82" s="38"/>
      <c r="VVS82" s="38"/>
      <c r="VVT82" s="38"/>
      <c r="VVU82" s="38"/>
      <c r="VVV82" s="38"/>
      <c r="VVW82" s="38"/>
      <c r="VVX82" s="38"/>
      <c r="VVY82" s="38"/>
      <c r="VVZ82" s="38"/>
      <c r="VWA82" s="38"/>
      <c r="VWB82" s="38"/>
      <c r="VWC82" s="38"/>
      <c r="VWD82" s="38"/>
      <c r="VWE82" s="38"/>
      <c r="VWF82" s="38"/>
      <c r="VWG82" s="38"/>
      <c r="VWH82" s="38"/>
      <c r="VWI82" s="38"/>
      <c r="VWJ82" s="38"/>
      <c r="VWK82" s="38"/>
      <c r="VWL82" s="38"/>
      <c r="VWM82" s="38"/>
      <c r="VWN82" s="38"/>
      <c r="VWO82" s="38"/>
      <c r="VWP82" s="38"/>
      <c r="VWQ82" s="38"/>
      <c r="VWR82" s="38"/>
      <c r="VWS82" s="38"/>
      <c r="VWT82" s="38"/>
      <c r="VWU82" s="38"/>
      <c r="VWV82" s="38"/>
      <c r="VWW82" s="38"/>
      <c r="VWX82" s="38"/>
      <c r="VWY82" s="38"/>
      <c r="VWZ82" s="38"/>
      <c r="VXA82" s="38"/>
      <c r="VXB82" s="38"/>
      <c r="VXC82" s="38"/>
      <c r="VXD82" s="38"/>
      <c r="VXE82" s="38"/>
      <c r="VXF82" s="38"/>
      <c r="VXG82" s="38"/>
      <c r="VXH82" s="38"/>
      <c r="VXI82" s="38"/>
      <c r="VXJ82" s="38"/>
      <c r="VXK82" s="38"/>
      <c r="VXL82" s="38"/>
      <c r="VXM82" s="38"/>
      <c r="VXN82" s="38"/>
      <c r="VXO82" s="38"/>
      <c r="VXP82" s="38"/>
      <c r="VXQ82" s="38"/>
      <c r="VXR82" s="38"/>
      <c r="VXS82" s="38"/>
      <c r="VXT82" s="38"/>
      <c r="VXU82" s="38"/>
      <c r="VXV82" s="38"/>
      <c r="VXW82" s="38"/>
      <c r="VXX82" s="38"/>
      <c r="VXY82" s="38"/>
      <c r="VXZ82" s="38"/>
      <c r="VYA82" s="38"/>
      <c r="VYB82" s="38"/>
      <c r="VYC82" s="38"/>
      <c r="VYD82" s="38"/>
      <c r="VYE82" s="38"/>
      <c r="VYF82" s="38"/>
      <c r="VYG82" s="38"/>
      <c r="VYH82" s="38"/>
      <c r="VYI82" s="38"/>
      <c r="VYJ82" s="38"/>
      <c r="VYK82" s="38"/>
      <c r="VYL82" s="38"/>
      <c r="VYM82" s="38"/>
      <c r="VYN82" s="38"/>
      <c r="VYO82" s="38"/>
      <c r="VYP82" s="38"/>
      <c r="VYQ82" s="38"/>
      <c r="VYR82" s="38"/>
      <c r="VYS82" s="38"/>
      <c r="VYT82" s="38"/>
      <c r="VYU82" s="38"/>
      <c r="VYV82" s="38"/>
      <c r="VYW82" s="38"/>
      <c r="VYX82" s="38"/>
      <c r="VYY82" s="38"/>
      <c r="VYZ82" s="38"/>
      <c r="VZA82" s="38"/>
      <c r="VZB82" s="38"/>
      <c r="VZC82" s="38"/>
      <c r="VZD82" s="38"/>
      <c r="VZE82" s="38"/>
      <c r="VZF82" s="38"/>
      <c r="VZG82" s="38"/>
      <c r="VZH82" s="38"/>
      <c r="VZI82" s="38"/>
      <c r="VZJ82" s="38"/>
      <c r="VZK82" s="38"/>
      <c r="VZL82" s="38"/>
      <c r="VZM82" s="38"/>
      <c r="VZN82" s="38"/>
      <c r="VZO82" s="38"/>
      <c r="VZP82" s="38"/>
      <c r="VZQ82" s="38"/>
      <c r="VZR82" s="38"/>
      <c r="VZS82" s="38"/>
      <c r="VZT82" s="38"/>
      <c r="VZU82" s="38"/>
      <c r="VZV82" s="38"/>
      <c r="VZW82" s="38"/>
      <c r="VZX82" s="38"/>
      <c r="VZY82" s="38"/>
      <c r="VZZ82" s="38"/>
      <c r="WAA82" s="38"/>
      <c r="WAB82" s="38"/>
      <c r="WAC82" s="38"/>
      <c r="WAD82" s="38"/>
      <c r="WAE82" s="38"/>
      <c r="WAF82" s="38"/>
      <c r="WAG82" s="38"/>
      <c r="WAH82" s="38"/>
      <c r="WAI82" s="38"/>
      <c r="WAJ82" s="38"/>
      <c r="WAK82" s="38"/>
      <c r="WAL82" s="38"/>
      <c r="WAM82" s="38"/>
      <c r="WAN82" s="38"/>
      <c r="WAO82" s="38"/>
      <c r="WAP82" s="38"/>
      <c r="WAQ82" s="38"/>
      <c r="WAR82" s="38"/>
      <c r="WAS82" s="38"/>
      <c r="WAT82" s="38"/>
      <c r="WAU82" s="38"/>
      <c r="WAV82" s="38"/>
      <c r="WAW82" s="38"/>
      <c r="WAX82" s="38"/>
      <c r="WAY82" s="38"/>
      <c r="WAZ82" s="38"/>
      <c r="WBA82" s="38"/>
      <c r="WBB82" s="38"/>
      <c r="WBC82" s="38"/>
      <c r="WBD82" s="38"/>
      <c r="WBE82" s="38"/>
      <c r="WBF82" s="38"/>
      <c r="WBG82" s="38"/>
      <c r="WBH82" s="38"/>
      <c r="WBI82" s="38"/>
      <c r="WBJ82" s="38"/>
      <c r="WBK82" s="38"/>
      <c r="WBL82" s="38"/>
      <c r="WBM82" s="38"/>
      <c r="WBN82" s="38"/>
      <c r="WBO82" s="38"/>
      <c r="WBP82" s="38"/>
      <c r="WBQ82" s="38"/>
      <c r="WBR82" s="38"/>
      <c r="WBS82" s="38"/>
      <c r="WBT82" s="38"/>
      <c r="WBU82" s="38"/>
      <c r="WBV82" s="38"/>
      <c r="WBW82" s="38"/>
      <c r="WBX82" s="38"/>
      <c r="WBY82" s="38"/>
      <c r="WBZ82" s="38"/>
      <c r="WCA82" s="38"/>
      <c r="WCB82" s="38"/>
      <c r="WCC82" s="38"/>
      <c r="WCD82" s="38"/>
      <c r="WCE82" s="38"/>
      <c r="WCF82" s="38"/>
      <c r="WCG82" s="38"/>
      <c r="WCH82" s="38"/>
      <c r="WCI82" s="38"/>
      <c r="WCJ82" s="38"/>
      <c r="WCK82" s="38"/>
      <c r="WCL82" s="38"/>
      <c r="WCM82" s="38"/>
      <c r="WCN82" s="38"/>
      <c r="WCO82" s="38"/>
      <c r="WCP82" s="38"/>
      <c r="WCQ82" s="38"/>
      <c r="WCR82" s="38"/>
      <c r="WCS82" s="38"/>
      <c r="WCT82" s="38"/>
      <c r="WCU82" s="38"/>
      <c r="WCV82" s="38"/>
      <c r="WCW82" s="38"/>
      <c r="WCX82" s="38"/>
      <c r="WCY82" s="38"/>
      <c r="WCZ82" s="38"/>
      <c r="WDA82" s="38"/>
      <c r="WDB82" s="38"/>
      <c r="WDC82" s="38"/>
      <c r="WDD82" s="38"/>
      <c r="WDE82" s="38"/>
      <c r="WDF82" s="38"/>
      <c r="WDG82" s="38"/>
      <c r="WDH82" s="38"/>
      <c r="WDI82" s="38"/>
      <c r="WDJ82" s="38"/>
      <c r="WDK82" s="38"/>
      <c r="WDL82" s="38"/>
      <c r="WDM82" s="38"/>
      <c r="WDN82" s="38"/>
      <c r="WDO82" s="38"/>
      <c r="WDP82" s="38"/>
      <c r="WDQ82" s="38"/>
      <c r="WDR82" s="38"/>
      <c r="WDS82" s="38"/>
      <c r="WDT82" s="38"/>
      <c r="WDU82" s="38"/>
      <c r="WDV82" s="38"/>
      <c r="WDW82" s="38"/>
      <c r="WDX82" s="38"/>
      <c r="WDY82" s="38"/>
      <c r="WDZ82" s="38"/>
      <c r="WEA82" s="38"/>
      <c r="WEB82" s="38"/>
      <c r="WEC82" s="38"/>
      <c r="WED82" s="38"/>
      <c r="WEE82" s="38"/>
      <c r="WEF82" s="38"/>
      <c r="WEG82" s="38"/>
      <c r="WEH82" s="38"/>
      <c r="WEI82" s="38"/>
      <c r="WEJ82" s="38"/>
      <c r="WEK82" s="38"/>
      <c r="WEL82" s="38"/>
      <c r="WEM82" s="38"/>
      <c r="WEN82" s="38"/>
      <c r="WEO82" s="38"/>
      <c r="WEP82" s="38"/>
      <c r="WEQ82" s="38"/>
      <c r="WER82" s="38"/>
      <c r="WES82" s="38"/>
      <c r="WET82" s="38"/>
      <c r="WEU82" s="38"/>
      <c r="WEV82" s="38"/>
      <c r="WEW82" s="38"/>
      <c r="WEX82" s="38"/>
      <c r="WEY82" s="38"/>
      <c r="WEZ82" s="38"/>
      <c r="WFA82" s="38"/>
      <c r="WFB82" s="38"/>
      <c r="WFC82" s="38"/>
      <c r="WFD82" s="38"/>
      <c r="WFE82" s="38"/>
      <c r="WFF82" s="38"/>
      <c r="WFG82" s="38"/>
      <c r="WFH82" s="38"/>
      <c r="WFI82" s="38"/>
      <c r="WFJ82" s="38"/>
      <c r="WFK82" s="38"/>
      <c r="WFL82" s="38"/>
      <c r="WFM82" s="38"/>
      <c r="WFN82" s="38"/>
      <c r="WFO82" s="38"/>
      <c r="WFP82" s="38"/>
      <c r="WFQ82" s="38"/>
      <c r="WFR82" s="38"/>
      <c r="WFS82" s="38"/>
      <c r="WFT82" s="38"/>
      <c r="WFU82" s="38"/>
      <c r="WFV82" s="38"/>
      <c r="WFW82" s="38"/>
      <c r="WFX82" s="38"/>
      <c r="WFY82" s="38"/>
      <c r="WFZ82" s="38"/>
      <c r="WGA82" s="38"/>
      <c r="WGB82" s="38"/>
      <c r="WGC82" s="38"/>
      <c r="WGD82" s="38"/>
      <c r="WGE82" s="38"/>
      <c r="WGF82" s="38"/>
      <c r="WGG82" s="38"/>
      <c r="WGH82" s="38"/>
      <c r="WGI82" s="38"/>
      <c r="WGJ82" s="38"/>
      <c r="WGK82" s="38"/>
      <c r="WGL82" s="38"/>
      <c r="WGM82" s="38"/>
      <c r="WGN82" s="38"/>
      <c r="WGO82" s="38"/>
      <c r="WGP82" s="38"/>
      <c r="WGQ82" s="38"/>
      <c r="WGR82" s="38"/>
      <c r="WGS82" s="38"/>
      <c r="WGT82" s="38"/>
      <c r="WGU82" s="38"/>
      <c r="WGV82" s="38"/>
      <c r="WGW82" s="38"/>
      <c r="WGX82" s="38"/>
      <c r="WGY82" s="38"/>
      <c r="WGZ82" s="38"/>
      <c r="WHA82" s="38"/>
      <c r="WHB82" s="38"/>
      <c r="WHC82" s="38"/>
      <c r="WHD82" s="38"/>
      <c r="WHE82" s="38"/>
      <c r="WHF82" s="38"/>
      <c r="WHG82" s="38"/>
      <c r="WHH82" s="38"/>
      <c r="WHI82" s="38"/>
      <c r="WHJ82" s="38"/>
      <c r="WHK82" s="38"/>
      <c r="WHL82" s="38"/>
      <c r="WHM82" s="38"/>
      <c r="WHN82" s="38"/>
      <c r="WHO82" s="38"/>
      <c r="WHP82" s="38"/>
      <c r="WHQ82" s="38"/>
      <c r="WHR82" s="38"/>
      <c r="WHS82" s="38"/>
      <c r="WHT82" s="38"/>
      <c r="WHU82" s="38"/>
      <c r="WHV82" s="38"/>
      <c r="WHW82" s="38"/>
      <c r="WHX82" s="38"/>
      <c r="WHY82" s="38"/>
      <c r="WHZ82" s="38"/>
      <c r="WIA82" s="38"/>
      <c r="WIB82" s="38"/>
      <c r="WIC82" s="38"/>
      <c r="WID82" s="38"/>
      <c r="WIE82" s="38"/>
      <c r="WIF82" s="38"/>
      <c r="WIG82" s="38"/>
      <c r="WIH82" s="38"/>
      <c r="WII82" s="38"/>
      <c r="WIJ82" s="38"/>
      <c r="WIK82" s="38"/>
      <c r="WIL82" s="38"/>
      <c r="WIM82" s="38"/>
      <c r="WIN82" s="38"/>
      <c r="WIO82" s="38"/>
      <c r="WIP82" s="38"/>
      <c r="WIQ82" s="38"/>
      <c r="WIR82" s="38"/>
      <c r="WIS82" s="38"/>
      <c r="WIT82" s="38"/>
      <c r="WIU82" s="38"/>
      <c r="WIV82" s="38"/>
      <c r="WIW82" s="38"/>
      <c r="WIX82" s="38"/>
      <c r="WIY82" s="38"/>
      <c r="WIZ82" s="38"/>
      <c r="WJA82" s="38"/>
      <c r="WJB82" s="38"/>
      <c r="WJC82" s="38"/>
      <c r="WJD82" s="38"/>
      <c r="WJE82" s="38"/>
      <c r="WJF82" s="38"/>
      <c r="WJG82" s="38"/>
      <c r="WJH82" s="38"/>
      <c r="WJI82" s="38"/>
      <c r="WJJ82" s="38"/>
      <c r="WJK82" s="38"/>
      <c r="WJL82" s="38"/>
      <c r="WJM82" s="38"/>
      <c r="WJN82" s="38"/>
      <c r="WJO82" s="38"/>
      <c r="WJP82" s="38"/>
      <c r="WJQ82" s="38"/>
      <c r="WJR82" s="38"/>
      <c r="WJS82" s="38"/>
      <c r="WJT82" s="38"/>
      <c r="WJU82" s="38"/>
      <c r="WJV82" s="38"/>
      <c r="WJW82" s="38"/>
      <c r="WJX82" s="38"/>
      <c r="WJY82" s="38"/>
      <c r="WJZ82" s="38"/>
      <c r="WKA82" s="38"/>
      <c r="WKB82" s="38"/>
      <c r="WKC82" s="38"/>
      <c r="WKD82" s="38"/>
      <c r="WKE82" s="38"/>
      <c r="WKF82" s="38"/>
      <c r="WKG82" s="38"/>
      <c r="WKH82" s="38"/>
      <c r="WKI82" s="38"/>
      <c r="WKJ82" s="38"/>
      <c r="WKK82" s="38"/>
      <c r="WKL82" s="38"/>
      <c r="WKM82" s="38"/>
      <c r="WKN82" s="38"/>
      <c r="WKO82" s="38"/>
      <c r="WKP82" s="38"/>
      <c r="WKQ82" s="38"/>
      <c r="WKR82" s="38"/>
      <c r="WKS82" s="38"/>
      <c r="WKT82" s="38"/>
      <c r="WKU82" s="38"/>
      <c r="WKV82" s="38"/>
      <c r="WKW82" s="38"/>
      <c r="WKX82" s="38"/>
      <c r="WKY82" s="38"/>
      <c r="WKZ82" s="38"/>
      <c r="WLA82" s="38"/>
      <c r="WLB82" s="38"/>
      <c r="WLC82" s="38"/>
      <c r="WLD82" s="38"/>
      <c r="WLE82" s="38"/>
      <c r="WLF82" s="38"/>
      <c r="WLG82" s="38"/>
      <c r="WLH82" s="38"/>
      <c r="WLI82" s="38"/>
      <c r="WLJ82" s="38"/>
      <c r="WLK82" s="38"/>
      <c r="WLL82" s="38"/>
      <c r="WLM82" s="38"/>
      <c r="WLN82" s="38"/>
      <c r="WLO82" s="38"/>
      <c r="WLP82" s="38"/>
      <c r="WLQ82" s="38"/>
      <c r="WLR82" s="38"/>
      <c r="WLS82" s="38"/>
      <c r="WLT82" s="38"/>
      <c r="WLU82" s="38"/>
      <c r="WLV82" s="38"/>
      <c r="WLW82" s="38"/>
      <c r="WLX82" s="38"/>
      <c r="WLY82" s="38"/>
      <c r="WLZ82" s="38"/>
      <c r="WMA82" s="38"/>
      <c r="WMB82" s="38"/>
      <c r="WMC82" s="38"/>
      <c r="WMD82" s="38"/>
      <c r="WME82" s="38"/>
      <c r="WMF82" s="38"/>
      <c r="WMG82" s="38"/>
      <c r="WMH82" s="38"/>
      <c r="WMI82" s="38"/>
      <c r="WMJ82" s="38"/>
      <c r="WMK82" s="38"/>
      <c r="WML82" s="38"/>
      <c r="WMM82" s="38"/>
      <c r="WMN82" s="38"/>
      <c r="WMO82" s="38"/>
      <c r="WMP82" s="38"/>
      <c r="WMQ82" s="38"/>
      <c r="WMR82" s="38"/>
      <c r="WMS82" s="38"/>
      <c r="WMT82" s="38"/>
      <c r="WMU82" s="38"/>
      <c r="WMV82" s="38"/>
      <c r="WMW82" s="38"/>
      <c r="WMX82" s="38"/>
      <c r="WMY82" s="38"/>
      <c r="WMZ82" s="38"/>
      <c r="WNA82" s="38"/>
      <c r="WNB82" s="38"/>
      <c r="WNC82" s="38"/>
      <c r="WND82" s="38"/>
      <c r="WNE82" s="38"/>
      <c r="WNF82" s="38"/>
      <c r="WNG82" s="38"/>
      <c r="WNH82" s="38"/>
      <c r="WNI82" s="38"/>
      <c r="WNJ82" s="38"/>
      <c r="WNK82" s="38"/>
      <c r="WNL82" s="38"/>
      <c r="WNM82" s="38"/>
      <c r="WNN82" s="38"/>
      <c r="WNO82" s="38"/>
      <c r="WNP82" s="38"/>
      <c r="WNQ82" s="38"/>
      <c r="WNR82" s="38"/>
      <c r="WNS82" s="38"/>
      <c r="WNT82" s="38"/>
      <c r="WNU82" s="38"/>
      <c r="WNV82" s="38"/>
      <c r="WNW82" s="38"/>
      <c r="WNX82" s="38"/>
      <c r="WNY82" s="38"/>
      <c r="WNZ82" s="38"/>
      <c r="WOA82" s="38"/>
      <c r="WOB82" s="38"/>
      <c r="WOC82" s="38"/>
      <c r="WOD82" s="38"/>
      <c r="WOE82" s="38"/>
      <c r="WOF82" s="38"/>
      <c r="WOG82" s="38"/>
      <c r="WOH82" s="38"/>
      <c r="WOI82" s="38"/>
      <c r="WOJ82" s="38"/>
      <c r="WOK82" s="38"/>
      <c r="WOL82" s="38"/>
      <c r="WOM82" s="38"/>
      <c r="WON82" s="38"/>
      <c r="WOO82" s="38"/>
      <c r="WOP82" s="38"/>
      <c r="WOQ82" s="38"/>
      <c r="WOR82" s="38"/>
      <c r="WOS82" s="38"/>
      <c r="WOT82" s="38"/>
      <c r="WOU82" s="38"/>
      <c r="WOV82" s="38"/>
      <c r="WOW82" s="38"/>
      <c r="WOX82" s="38"/>
      <c r="WOY82" s="38"/>
      <c r="WOZ82" s="38"/>
      <c r="WPA82" s="38"/>
      <c r="WPB82" s="38"/>
      <c r="WPC82" s="38"/>
      <c r="WPD82" s="38"/>
      <c r="WPE82" s="38"/>
      <c r="WPF82" s="38"/>
      <c r="WPG82" s="38"/>
      <c r="WPH82" s="38"/>
      <c r="WPI82" s="38"/>
      <c r="WPJ82" s="38"/>
      <c r="WPK82" s="38"/>
      <c r="WPL82" s="38"/>
      <c r="WPM82" s="38"/>
      <c r="WPN82" s="38"/>
      <c r="WPO82" s="38"/>
      <c r="WPP82" s="38"/>
      <c r="WPQ82" s="38"/>
      <c r="WPR82" s="38"/>
      <c r="WPS82" s="38"/>
      <c r="WPT82" s="38"/>
      <c r="WPU82" s="38"/>
      <c r="WPV82" s="38"/>
      <c r="WPW82" s="38"/>
      <c r="WPX82" s="38"/>
      <c r="WPY82" s="38"/>
      <c r="WPZ82" s="38"/>
      <c r="WQA82" s="38"/>
      <c r="WQB82" s="38"/>
      <c r="WQC82" s="38"/>
      <c r="WQD82" s="38"/>
      <c r="WQE82" s="38"/>
      <c r="WQF82" s="38"/>
      <c r="WQG82" s="38"/>
      <c r="WQH82" s="38"/>
      <c r="WQI82" s="38"/>
      <c r="WQJ82" s="38"/>
      <c r="WQK82" s="38"/>
      <c r="WQL82" s="38"/>
      <c r="WQM82" s="38"/>
      <c r="WQN82" s="38"/>
      <c r="WQO82" s="38"/>
      <c r="WQP82" s="38"/>
      <c r="WQQ82" s="38"/>
      <c r="WQR82" s="38"/>
      <c r="WQS82" s="38"/>
      <c r="WQT82" s="38"/>
      <c r="WQU82" s="38"/>
      <c r="WQV82" s="38"/>
      <c r="WQW82" s="38"/>
      <c r="WQX82" s="38"/>
      <c r="WQY82" s="38"/>
      <c r="WQZ82" s="38"/>
      <c r="WRA82" s="38"/>
      <c r="WRB82" s="38"/>
      <c r="WRC82" s="38"/>
      <c r="WRD82" s="38"/>
      <c r="WRE82" s="38"/>
      <c r="WRF82" s="38"/>
      <c r="WRG82" s="38"/>
      <c r="WRH82" s="38"/>
      <c r="WRI82" s="38"/>
      <c r="WRJ82" s="38"/>
      <c r="WRK82" s="38"/>
      <c r="WRL82" s="38"/>
      <c r="WRM82" s="38"/>
      <c r="WRN82" s="38"/>
      <c r="WRO82" s="38"/>
      <c r="WRP82" s="38"/>
      <c r="WRQ82" s="38"/>
      <c r="WRR82" s="38"/>
      <c r="WRS82" s="38"/>
      <c r="WRT82" s="38"/>
      <c r="WRU82" s="38"/>
      <c r="WRV82" s="38"/>
      <c r="WRW82" s="38"/>
      <c r="WRX82" s="38"/>
      <c r="WRY82" s="38"/>
      <c r="WRZ82" s="38"/>
      <c r="WSA82" s="38"/>
      <c r="WSB82" s="38"/>
      <c r="WSC82" s="38"/>
      <c r="WSD82" s="38"/>
      <c r="WSE82" s="38"/>
      <c r="WSF82" s="38"/>
      <c r="WSG82" s="38"/>
      <c r="WSH82" s="38"/>
      <c r="WSI82" s="38"/>
      <c r="WSJ82" s="38"/>
      <c r="WSK82" s="38"/>
      <c r="WSL82" s="38"/>
      <c r="WSM82" s="38"/>
      <c r="WSN82" s="38"/>
      <c r="WSO82" s="38"/>
      <c r="WSP82" s="38"/>
      <c r="WSQ82" s="38"/>
      <c r="WSR82" s="38"/>
      <c r="WSS82" s="38"/>
      <c r="WST82" s="38"/>
      <c r="WSU82" s="38"/>
      <c r="WSV82" s="38"/>
      <c r="WSW82" s="38"/>
      <c r="WSX82" s="38"/>
      <c r="WSY82" s="38"/>
      <c r="WSZ82" s="38"/>
      <c r="WTA82" s="38"/>
      <c r="WTB82" s="38"/>
      <c r="WTC82" s="38"/>
      <c r="WTD82" s="38"/>
      <c r="WTE82" s="38"/>
      <c r="WTF82" s="38"/>
      <c r="WTG82" s="38"/>
      <c r="WTH82" s="38"/>
      <c r="WTI82" s="38"/>
      <c r="WTJ82" s="38"/>
      <c r="WTK82" s="38"/>
      <c r="WTL82" s="38"/>
      <c r="WTM82" s="38"/>
      <c r="WTN82" s="38"/>
      <c r="WTO82" s="38"/>
      <c r="WTP82" s="38"/>
      <c r="WTQ82" s="38"/>
      <c r="WTR82" s="38"/>
      <c r="WTS82" s="38"/>
      <c r="WTT82" s="38"/>
      <c r="WTU82" s="38"/>
      <c r="WTV82" s="38"/>
      <c r="WTW82" s="38"/>
      <c r="WTX82" s="38"/>
      <c r="WTY82" s="38"/>
      <c r="WTZ82" s="38"/>
      <c r="WUA82" s="38"/>
      <c r="WUB82" s="38"/>
      <c r="WUC82" s="38"/>
      <c r="WUD82" s="38"/>
      <c r="WUE82" s="38"/>
      <c r="WUF82" s="38"/>
      <c r="WUG82" s="38"/>
      <c r="WUH82" s="38"/>
      <c r="WUI82" s="38"/>
      <c r="WUJ82" s="38"/>
      <c r="WUK82" s="38"/>
      <c r="WUL82" s="38"/>
      <c r="WUM82" s="38"/>
      <c r="WUN82" s="38"/>
      <c r="WUO82" s="38"/>
      <c r="WUP82" s="38"/>
      <c r="WUQ82" s="38"/>
      <c r="WUR82" s="38"/>
      <c r="WUS82" s="38"/>
      <c r="WUT82" s="38"/>
      <c r="WUU82" s="38"/>
      <c r="WUV82" s="38"/>
      <c r="WUW82" s="38"/>
      <c r="WUX82" s="38"/>
      <c r="WUY82" s="38"/>
      <c r="WUZ82" s="38"/>
      <c r="WVA82" s="38"/>
      <c r="WVB82" s="38"/>
      <c r="WVC82" s="38"/>
      <c r="WVD82" s="38"/>
      <c r="WVE82" s="38"/>
      <c r="WVF82" s="38"/>
      <c r="WVG82" s="38"/>
      <c r="WVH82" s="38"/>
      <c r="WVI82" s="38"/>
      <c r="WVJ82" s="38"/>
      <c r="WVK82" s="38"/>
      <c r="WVL82" s="38"/>
      <c r="WVM82" s="38"/>
      <c r="WVN82" s="38"/>
      <c r="WVO82" s="38"/>
      <c r="WVP82" s="38"/>
      <c r="WVQ82" s="38"/>
      <c r="WVR82" s="38"/>
      <c r="WVS82" s="38"/>
      <c r="WVT82" s="38"/>
      <c r="WVU82" s="38"/>
      <c r="WVV82" s="38"/>
      <c r="WVW82" s="38"/>
      <c r="WVX82" s="38"/>
      <c r="WVY82" s="38"/>
      <c r="WVZ82" s="38"/>
      <c r="WWA82" s="38"/>
      <c r="WWB82" s="38"/>
      <c r="WWC82" s="38"/>
      <c r="WWD82" s="38"/>
      <c r="WWE82" s="38"/>
      <c r="WWF82" s="38"/>
      <c r="WWG82" s="38"/>
      <c r="WWH82" s="38"/>
      <c r="WWI82" s="38"/>
      <c r="WWJ82" s="38"/>
      <c r="WWK82" s="38"/>
      <c r="WWL82" s="38"/>
      <c r="WWM82" s="38"/>
      <c r="WWN82" s="38"/>
      <c r="WWO82" s="38"/>
      <c r="WWP82" s="38"/>
      <c r="WWQ82" s="38"/>
      <c r="WWR82" s="38"/>
      <c r="WWS82" s="38"/>
      <c r="WWT82" s="38"/>
      <c r="WWU82" s="38"/>
      <c r="WWV82" s="38"/>
      <c r="WWW82" s="38"/>
      <c r="WWX82" s="38"/>
      <c r="WWY82" s="38"/>
      <c r="WWZ82" s="38"/>
      <c r="WXA82" s="38"/>
      <c r="WXB82" s="38"/>
      <c r="WXC82" s="38"/>
      <c r="WXD82" s="38"/>
      <c r="WXE82" s="38"/>
      <c r="WXF82" s="38"/>
      <c r="WXG82" s="38"/>
      <c r="WXH82" s="38"/>
      <c r="WXI82" s="38"/>
      <c r="WXJ82" s="38"/>
      <c r="WXK82" s="38"/>
      <c r="WXL82" s="38"/>
      <c r="WXM82" s="38"/>
      <c r="WXN82" s="38"/>
      <c r="WXO82" s="38"/>
      <c r="WXP82" s="38"/>
      <c r="WXQ82" s="38"/>
      <c r="WXR82" s="38"/>
      <c r="WXS82" s="38"/>
      <c r="WXT82" s="38"/>
      <c r="WXU82" s="38"/>
      <c r="WXV82" s="38"/>
      <c r="WXW82" s="38"/>
      <c r="WXX82" s="38"/>
      <c r="WXY82" s="38"/>
      <c r="WXZ82" s="38"/>
      <c r="WYA82" s="38"/>
      <c r="WYB82" s="38"/>
      <c r="WYC82" s="38"/>
      <c r="WYD82" s="38"/>
      <c r="WYE82" s="38"/>
      <c r="WYF82" s="38"/>
      <c r="WYG82" s="38"/>
      <c r="WYH82" s="38"/>
      <c r="WYI82" s="38"/>
      <c r="WYJ82" s="38"/>
      <c r="WYK82" s="38"/>
      <c r="WYL82" s="38"/>
      <c r="WYM82" s="38"/>
      <c r="WYN82" s="38"/>
      <c r="WYO82" s="38"/>
      <c r="WYP82" s="38"/>
      <c r="WYQ82" s="38"/>
      <c r="WYR82" s="38"/>
      <c r="WYS82" s="38"/>
      <c r="WYT82" s="38"/>
      <c r="WYU82" s="38"/>
      <c r="WYV82" s="38"/>
      <c r="WYW82" s="38"/>
      <c r="WYX82" s="38"/>
      <c r="WYY82" s="38"/>
      <c r="WYZ82" s="38"/>
      <c r="WZA82" s="38"/>
      <c r="WZB82" s="38"/>
      <c r="WZC82" s="38"/>
      <c r="WZD82" s="38"/>
      <c r="WZE82" s="38"/>
      <c r="WZF82" s="38"/>
      <c r="WZG82" s="38"/>
      <c r="WZH82" s="38"/>
      <c r="WZI82" s="38"/>
      <c r="WZJ82" s="38"/>
      <c r="WZK82" s="38"/>
      <c r="WZL82" s="38"/>
      <c r="WZM82" s="38"/>
      <c r="WZN82" s="38"/>
      <c r="WZO82" s="38"/>
      <c r="WZP82" s="38"/>
      <c r="WZQ82" s="38"/>
      <c r="WZR82" s="38"/>
      <c r="WZS82" s="38"/>
      <c r="WZT82" s="38"/>
      <c r="WZU82" s="38"/>
      <c r="WZV82" s="38"/>
      <c r="WZW82" s="38"/>
      <c r="WZX82" s="38"/>
      <c r="WZY82" s="38"/>
      <c r="WZZ82" s="38"/>
      <c r="XAA82" s="38"/>
      <c r="XAB82" s="38"/>
      <c r="XAC82" s="38"/>
      <c r="XAD82" s="38"/>
      <c r="XAE82" s="38"/>
      <c r="XAF82" s="38"/>
      <c r="XAG82" s="38"/>
      <c r="XAH82" s="38"/>
      <c r="XAI82" s="38"/>
      <c r="XAJ82" s="38"/>
      <c r="XAK82" s="38"/>
      <c r="XAL82" s="38"/>
      <c r="XAM82" s="38"/>
      <c r="XAN82" s="38"/>
      <c r="XAO82" s="38"/>
      <c r="XAP82" s="38"/>
      <c r="XAQ82" s="38"/>
      <c r="XAR82" s="38"/>
      <c r="XAS82" s="38"/>
      <c r="XAT82" s="38"/>
      <c r="XAU82" s="38"/>
      <c r="XAV82" s="38"/>
      <c r="XAW82" s="38"/>
      <c r="XAX82" s="38"/>
      <c r="XAY82" s="38"/>
      <c r="XAZ82" s="38"/>
      <c r="XBA82" s="38"/>
      <c r="XBB82" s="38"/>
      <c r="XBC82" s="38"/>
      <c r="XBD82" s="38"/>
      <c r="XBE82" s="38"/>
      <c r="XBF82" s="38"/>
      <c r="XBG82" s="38"/>
      <c r="XBH82" s="38"/>
      <c r="XBI82" s="38"/>
      <c r="XBJ82" s="38"/>
      <c r="XBK82" s="38"/>
      <c r="XBL82" s="38"/>
      <c r="XBM82" s="38"/>
      <c r="XBN82" s="38"/>
      <c r="XBO82" s="38"/>
      <c r="XBP82" s="38"/>
      <c r="XBQ82" s="38"/>
      <c r="XBR82" s="38"/>
      <c r="XBS82" s="38"/>
      <c r="XBT82" s="38"/>
      <c r="XBU82" s="38"/>
      <c r="XBV82" s="38"/>
      <c r="XBW82" s="38"/>
      <c r="XBX82" s="38"/>
      <c r="XBY82" s="38"/>
      <c r="XBZ82" s="38"/>
      <c r="XCA82" s="38"/>
      <c r="XCB82" s="38"/>
      <c r="XCC82" s="38"/>
      <c r="XCD82" s="38"/>
      <c r="XCE82" s="38"/>
      <c r="XCF82" s="38"/>
      <c r="XCG82" s="38"/>
      <c r="XCH82" s="38"/>
      <c r="XCI82" s="38"/>
      <c r="XCJ82" s="38"/>
      <c r="XCK82" s="38"/>
      <c r="XCL82" s="38"/>
      <c r="XCM82" s="38"/>
      <c r="XCN82" s="38"/>
      <c r="XCO82" s="38"/>
      <c r="XCP82" s="38"/>
      <c r="XCQ82" s="38"/>
      <c r="XCR82" s="38"/>
      <c r="XCS82" s="38"/>
      <c r="XCT82" s="38"/>
      <c r="XCU82" s="38"/>
      <c r="XCV82" s="38"/>
      <c r="XCW82" s="38"/>
      <c r="XCX82" s="38"/>
      <c r="XCY82" s="38"/>
      <c r="XCZ82" s="38"/>
      <c r="XDA82" s="38"/>
      <c r="XDB82" s="38"/>
      <c r="XDC82" s="38"/>
      <c r="XDD82" s="38"/>
      <c r="XDE82" s="38"/>
      <c r="XDF82" s="38"/>
      <c r="XDG82" s="38"/>
      <c r="XDH82" s="38"/>
      <c r="XDI82" s="38"/>
      <c r="XDJ82" s="38"/>
      <c r="XDK82" s="38"/>
      <c r="XDL82" s="38"/>
      <c r="XDM82" s="38"/>
      <c r="XDN82" s="38"/>
      <c r="XDO82" s="38"/>
      <c r="XDP82" s="38"/>
      <c r="XDQ82" s="38"/>
      <c r="XDR82" s="38"/>
      <c r="XDS82" s="38"/>
      <c r="XDT82" s="38"/>
      <c r="XDU82" s="38"/>
      <c r="XDV82" s="38"/>
      <c r="XDW82" s="38"/>
      <c r="XDX82" s="38"/>
      <c r="XDY82" s="38"/>
      <c r="XDZ82" s="38"/>
      <c r="XEA82" s="38"/>
      <c r="XEB82" s="38"/>
      <c r="XEC82" s="38"/>
      <c r="XED82" s="38"/>
      <c r="XEE82" s="38"/>
      <c r="XEF82" s="38"/>
      <c r="XEG82" s="38"/>
      <c r="XEH82" s="38"/>
      <c r="XEI82" s="38"/>
      <c r="XEJ82" s="38"/>
      <c r="XEK82" s="38"/>
      <c r="XEL82" s="38"/>
      <c r="XEM82" s="38"/>
      <c r="XEN82" s="38"/>
      <c r="XEO82" s="38"/>
      <c r="XEP82" s="38"/>
      <c r="XEQ82" s="38"/>
      <c r="XER82" s="38"/>
      <c r="XES82" s="38"/>
      <c r="XET82" s="38"/>
      <c r="XEU82" s="38"/>
      <c r="XEV82" s="38"/>
      <c r="XEW82" s="38"/>
      <c r="XEX82" s="38"/>
      <c r="XEY82" s="38"/>
      <c r="XEZ82" s="38"/>
      <c r="XFA82" s="38"/>
      <c r="XFB82" s="38"/>
      <c r="XFC82" s="38"/>
    </row>
    <row r="83" spans="1:16383" ht="15" customHeight="1">
      <c r="A83" s="24" t="s">
        <v>687</v>
      </c>
      <c r="B83" s="25" t="s">
        <v>196</v>
      </c>
      <c r="C83" s="26">
        <v>42711</v>
      </c>
      <c r="D83" s="38" t="s">
        <v>94</v>
      </c>
      <c r="E83" s="38" t="s">
        <v>29</v>
      </c>
      <c r="F83" s="38" t="s">
        <v>69</v>
      </c>
      <c r="G83" s="38">
        <v>1</v>
      </c>
      <c r="H83" s="39" t="s">
        <v>197</v>
      </c>
      <c r="I83" s="39" t="s">
        <v>198</v>
      </c>
      <c r="J83" s="25" t="s">
        <v>199</v>
      </c>
      <c r="K83" s="25" t="s">
        <v>200</v>
      </c>
      <c r="L83" s="39" t="s">
        <v>201</v>
      </c>
      <c r="M83" s="45" t="s">
        <v>688</v>
      </c>
      <c r="N83" s="40" t="s">
        <v>13</v>
      </c>
      <c r="O83" s="94">
        <v>42669.458333333336</v>
      </c>
      <c r="P83" s="41" t="s">
        <v>202</v>
      </c>
      <c r="Q83" s="41" t="s">
        <v>202</v>
      </c>
      <c r="R83" s="42" t="s">
        <v>77</v>
      </c>
      <c r="T83" s="44" t="s">
        <v>78</v>
      </c>
      <c r="U83" s="52">
        <v>42712</v>
      </c>
      <c r="W83" s="216" t="s">
        <v>203</v>
      </c>
      <c r="X83" s="50" t="s">
        <v>204</v>
      </c>
      <c r="Y83" s="38">
        <v>10</v>
      </c>
      <c r="Z83" s="231" t="s">
        <v>44</v>
      </c>
      <c r="AA83" s="25">
        <f t="shared" si="1"/>
        <v>0</v>
      </c>
    </row>
    <row r="84" spans="1:16383" ht="15" customHeight="1">
      <c r="A84" s="24" t="s">
        <v>689</v>
      </c>
      <c r="B84" s="25"/>
      <c r="C84" s="26">
        <v>42677</v>
      </c>
      <c r="D84" s="38" t="s">
        <v>29</v>
      </c>
      <c r="E84" s="38" t="s">
        <v>29</v>
      </c>
      <c r="F84" s="38" t="s">
        <v>47</v>
      </c>
      <c r="G84" s="38">
        <v>4</v>
      </c>
      <c r="H84" s="39" t="s">
        <v>206</v>
      </c>
      <c r="I84" s="39" t="s">
        <v>225</v>
      </c>
      <c r="J84" s="39" t="s">
        <v>690</v>
      </c>
      <c r="K84" s="39" t="s">
        <v>691</v>
      </c>
      <c r="L84" s="39" t="s">
        <v>74</v>
      </c>
      <c r="M84" s="45" t="s">
        <v>692</v>
      </c>
      <c r="N84" s="40" t="s">
        <v>13</v>
      </c>
      <c r="O84" s="94">
        <v>42627.416666666664</v>
      </c>
      <c r="P84" s="41" t="s">
        <v>54</v>
      </c>
      <c r="Q84" s="41" t="s">
        <v>54</v>
      </c>
      <c r="R84" s="42" t="s">
        <v>77</v>
      </c>
      <c r="T84" s="179" t="s">
        <v>219</v>
      </c>
      <c r="U84" s="52">
        <v>42655</v>
      </c>
      <c r="V84" s="48" t="s">
        <v>220</v>
      </c>
      <c r="W84" s="54" t="s">
        <v>693</v>
      </c>
      <c r="X84" s="50" t="s">
        <v>222</v>
      </c>
      <c r="Y84" s="38">
        <v>219</v>
      </c>
      <c r="Z84" s="25" t="s">
        <v>44</v>
      </c>
      <c r="AA84" s="25">
        <f t="shared" si="1"/>
        <v>0</v>
      </c>
      <c r="AC84" s="159"/>
    </row>
    <row r="85" spans="1:16383" ht="15" customHeight="1">
      <c r="A85" s="24" t="s">
        <v>694</v>
      </c>
      <c r="B85" s="25"/>
      <c r="C85" s="26">
        <v>42660</v>
      </c>
      <c r="D85" s="38" t="s">
        <v>29</v>
      </c>
      <c r="E85" s="38" t="s">
        <v>29</v>
      </c>
      <c r="F85" s="38" t="s">
        <v>69</v>
      </c>
      <c r="G85" s="38">
        <v>7</v>
      </c>
      <c r="H85" s="39" t="s">
        <v>695</v>
      </c>
      <c r="I85" s="39" t="s">
        <v>696</v>
      </c>
      <c r="J85" s="393" t="s">
        <v>697</v>
      </c>
      <c r="K85" s="393" t="s">
        <v>698</v>
      </c>
      <c r="L85" s="39" t="s">
        <v>167</v>
      </c>
      <c r="M85" s="45" t="s">
        <v>699</v>
      </c>
      <c r="N85" s="40" t="s">
        <v>13</v>
      </c>
      <c r="O85" s="94">
        <v>42580.333333333336</v>
      </c>
      <c r="P85" s="41" t="s">
        <v>41</v>
      </c>
      <c r="Q85" s="41" t="s">
        <v>41</v>
      </c>
      <c r="R85" s="42" t="s">
        <v>39</v>
      </c>
      <c r="S85" s="43">
        <v>42430</v>
      </c>
      <c r="T85" s="44" t="s">
        <v>55</v>
      </c>
      <c r="U85" s="52">
        <v>42644</v>
      </c>
      <c r="V85" s="48" t="s">
        <v>700</v>
      </c>
      <c r="W85" s="54" t="s">
        <v>701</v>
      </c>
      <c r="X85" s="50" t="s">
        <v>80</v>
      </c>
      <c r="Y85" s="38">
        <v>637</v>
      </c>
      <c r="Z85" s="231" t="s">
        <v>44</v>
      </c>
      <c r="AA85" s="25">
        <f t="shared" si="1"/>
        <v>0</v>
      </c>
      <c r="AB85" s="24" t="s">
        <v>702</v>
      </c>
    </row>
    <row r="86" spans="1:16383" ht="15" customHeight="1">
      <c r="A86" s="24" t="s">
        <v>703</v>
      </c>
      <c r="B86" s="25"/>
      <c r="C86" s="26">
        <v>42681</v>
      </c>
      <c r="D86" s="38" t="s">
        <v>29</v>
      </c>
      <c r="E86" s="38" t="s">
        <v>29</v>
      </c>
      <c r="F86" s="38" t="s">
        <v>95</v>
      </c>
      <c r="G86" s="38">
        <v>13</v>
      </c>
      <c r="H86" s="39" t="s">
        <v>530</v>
      </c>
      <c r="I86" s="39" t="s">
        <v>704</v>
      </c>
      <c r="J86" s="39" t="s">
        <v>705</v>
      </c>
      <c r="K86" s="39" t="s">
        <v>706</v>
      </c>
      <c r="L86" s="39" t="s">
        <v>707</v>
      </c>
      <c r="M86" s="45" t="s">
        <v>706</v>
      </c>
      <c r="N86" s="158" t="s">
        <v>13</v>
      </c>
      <c r="O86" s="95">
        <v>42583.375</v>
      </c>
      <c r="P86" s="41" t="s">
        <v>102</v>
      </c>
      <c r="Q86" s="41" t="s">
        <v>102</v>
      </c>
      <c r="R86" s="42" t="s">
        <v>39</v>
      </c>
      <c r="T86" s="44" t="s">
        <v>708</v>
      </c>
      <c r="U86" s="52">
        <v>42644</v>
      </c>
      <c r="V86" s="48" t="s">
        <v>220</v>
      </c>
      <c r="W86" s="54" t="s">
        <v>709</v>
      </c>
      <c r="X86" s="50" t="s">
        <v>222</v>
      </c>
      <c r="Y86" s="38">
        <v>1964</v>
      </c>
      <c r="Z86" s="231" t="s">
        <v>44</v>
      </c>
      <c r="AA86" s="25">
        <f t="shared" si="1"/>
        <v>0</v>
      </c>
      <c r="AD86" s="159"/>
      <c r="AE86" s="159"/>
      <c r="AF86" s="159"/>
      <c r="AG86" s="159"/>
      <c r="AH86" s="159"/>
      <c r="AI86" s="159"/>
      <c r="AJ86" s="159"/>
      <c r="AK86" s="159"/>
      <c r="AL86" s="159"/>
    </row>
    <row r="87" spans="1:16383" ht="15" customHeight="1">
      <c r="A87" s="24" t="s">
        <v>710</v>
      </c>
      <c r="B87" s="25"/>
      <c r="C87" s="26">
        <v>42782</v>
      </c>
      <c r="D87" s="38" t="s">
        <v>29</v>
      </c>
      <c r="E87" s="38" t="s">
        <v>29</v>
      </c>
      <c r="F87" s="38" t="s">
        <v>95</v>
      </c>
      <c r="G87" s="38">
        <v>26</v>
      </c>
      <c r="H87" s="39" t="s">
        <v>136</v>
      </c>
      <c r="I87" s="39" t="s">
        <v>711</v>
      </c>
      <c r="J87" s="201" t="s">
        <v>712</v>
      </c>
      <c r="K87" s="201" t="s">
        <v>713</v>
      </c>
      <c r="L87" s="39" t="s">
        <v>183</v>
      </c>
      <c r="M87" s="201" t="s">
        <v>714</v>
      </c>
      <c r="N87" s="158" t="s">
        <v>13</v>
      </c>
      <c r="O87" s="95">
        <v>42758.541666666664</v>
      </c>
      <c r="P87" s="41" t="s">
        <v>102</v>
      </c>
      <c r="Q87" s="41" t="s">
        <v>102</v>
      </c>
      <c r="T87" s="44" t="s">
        <v>715</v>
      </c>
      <c r="U87" s="52">
        <v>42770</v>
      </c>
      <c r="W87" s="54" t="s">
        <v>716</v>
      </c>
      <c r="X87" s="50" t="s">
        <v>149</v>
      </c>
      <c r="Y87" s="234">
        <v>1185</v>
      </c>
      <c r="Z87" s="231" t="s">
        <v>44</v>
      </c>
      <c r="AA87" s="25">
        <f t="shared" si="1"/>
        <v>0</v>
      </c>
    </row>
    <row r="88" spans="1:16383" ht="15" customHeight="1">
      <c r="A88" s="24" t="s">
        <v>717</v>
      </c>
      <c r="B88" s="25" t="s">
        <v>479</v>
      </c>
      <c r="C88" s="26">
        <v>42654</v>
      </c>
      <c r="D88" s="38" t="s">
        <v>29</v>
      </c>
      <c r="E88" s="38" t="s">
        <v>29</v>
      </c>
      <c r="F88" s="38" t="s">
        <v>95</v>
      </c>
      <c r="G88" s="38">
        <v>2</v>
      </c>
      <c r="H88" s="39" t="s">
        <v>480</v>
      </c>
      <c r="I88" s="39" t="s">
        <v>481</v>
      </c>
      <c r="J88" s="39" t="s">
        <v>482</v>
      </c>
      <c r="K88" s="39" t="s">
        <v>483</v>
      </c>
      <c r="L88" s="39" t="s">
        <v>376</v>
      </c>
      <c r="M88" s="45" t="s">
        <v>718</v>
      </c>
      <c r="N88" s="40" t="s">
        <v>719</v>
      </c>
      <c r="O88" s="94">
        <v>42599.541666666664</v>
      </c>
      <c r="P88" s="41" t="s">
        <v>102</v>
      </c>
      <c r="Q88" s="41" t="s">
        <v>102</v>
      </c>
      <c r="R88" s="42" t="s">
        <v>77</v>
      </c>
      <c r="T88" s="44" t="s">
        <v>65</v>
      </c>
      <c r="U88" s="52">
        <v>42647</v>
      </c>
      <c r="V88" s="48" t="s">
        <v>220</v>
      </c>
      <c r="W88" s="54" t="s">
        <v>720</v>
      </c>
      <c r="X88" s="50" t="s">
        <v>222</v>
      </c>
      <c r="Y88" s="38">
        <v>134</v>
      </c>
      <c r="Z88" s="25" t="s">
        <v>44</v>
      </c>
      <c r="AA88" s="25">
        <f t="shared" si="1"/>
        <v>0</v>
      </c>
      <c r="AC88" s="39"/>
    </row>
    <row r="89" spans="1:16383" ht="15" customHeight="1">
      <c r="A89" s="24" t="s">
        <v>721</v>
      </c>
      <c r="B89" s="25" t="s">
        <v>722</v>
      </c>
      <c r="C89" s="26">
        <v>42712</v>
      </c>
      <c r="D89" s="38" t="s">
        <v>29</v>
      </c>
      <c r="E89" s="38" t="s">
        <v>29</v>
      </c>
      <c r="F89" s="38" t="s">
        <v>30</v>
      </c>
      <c r="G89" s="38">
        <v>1</v>
      </c>
      <c r="H89" s="39" t="s">
        <v>299</v>
      </c>
      <c r="I89" s="39" t="s">
        <v>723</v>
      </c>
      <c r="J89" s="39" t="s">
        <v>724</v>
      </c>
      <c r="K89" s="393" t="s">
        <v>725</v>
      </c>
      <c r="L89" s="39" t="s">
        <v>201</v>
      </c>
      <c r="M89" s="45" t="s">
        <v>726</v>
      </c>
      <c r="N89" s="158" t="s">
        <v>727</v>
      </c>
      <c r="O89" s="95">
        <v>42598.416666666664</v>
      </c>
      <c r="P89" s="41" t="s">
        <v>37</v>
      </c>
      <c r="Q89" s="41" t="s">
        <v>37</v>
      </c>
      <c r="R89" s="42" t="s">
        <v>77</v>
      </c>
      <c r="T89" s="44" t="s">
        <v>78</v>
      </c>
      <c r="U89" s="52">
        <v>42670</v>
      </c>
      <c r="W89" s="54" t="s">
        <v>728</v>
      </c>
      <c r="X89" s="50" t="s">
        <v>433</v>
      </c>
      <c r="Y89" s="38">
        <v>57</v>
      </c>
      <c r="Z89" s="25" t="s">
        <v>44</v>
      </c>
      <c r="AA89" s="25">
        <f t="shared" si="1"/>
        <v>0</v>
      </c>
    </row>
    <row r="90" spans="1:16383" ht="15" customHeight="1">
      <c r="A90" s="39" t="s">
        <v>729</v>
      </c>
      <c r="B90" s="25"/>
      <c r="C90" s="167">
        <v>42706</v>
      </c>
      <c r="D90" s="38" t="s">
        <v>29</v>
      </c>
      <c r="E90" s="38" t="s">
        <v>94</v>
      </c>
      <c r="F90" s="159" t="s">
        <v>47</v>
      </c>
      <c r="G90" s="159">
        <v>1</v>
      </c>
      <c r="H90" s="39" t="s">
        <v>730</v>
      </c>
      <c r="I90" s="39" t="s">
        <v>731</v>
      </c>
      <c r="J90" s="39" t="s">
        <v>732</v>
      </c>
      <c r="K90" s="39" t="s">
        <v>733</v>
      </c>
      <c r="L90" s="39" t="s">
        <v>676</v>
      </c>
      <c r="M90" s="160" t="s">
        <v>734</v>
      </c>
      <c r="N90" s="158" t="s">
        <v>13</v>
      </c>
      <c r="O90" s="95">
        <v>42584.541666666664</v>
      </c>
      <c r="P90" s="41" t="s">
        <v>122</v>
      </c>
      <c r="Q90" s="41" t="s">
        <v>122</v>
      </c>
      <c r="R90" s="42" t="s">
        <v>77</v>
      </c>
      <c r="T90" s="44" t="s">
        <v>78</v>
      </c>
      <c r="U90" s="52">
        <v>42667</v>
      </c>
      <c r="V90" s="48" t="s">
        <v>476</v>
      </c>
      <c r="W90" s="54" t="s">
        <v>735</v>
      </c>
      <c r="X90" s="50" t="s">
        <v>104</v>
      </c>
      <c r="Y90" s="38">
        <v>94</v>
      </c>
      <c r="Z90" s="231" t="s">
        <v>44</v>
      </c>
      <c r="AA90" s="25">
        <f t="shared" si="1"/>
        <v>0</v>
      </c>
      <c r="AB90" s="185"/>
      <c r="AC90" s="39"/>
      <c r="AD90" s="159"/>
      <c r="AE90" s="159"/>
      <c r="AF90" s="159"/>
      <c r="AG90" s="159"/>
      <c r="AH90" s="159"/>
      <c r="AI90" s="159"/>
      <c r="AJ90" s="159"/>
      <c r="AK90" s="159"/>
      <c r="AL90" s="159"/>
    </row>
    <row r="91" spans="1:16383" ht="15" customHeight="1">
      <c r="A91" s="235" t="s">
        <v>736</v>
      </c>
      <c r="B91" s="25"/>
      <c r="C91" s="167">
        <v>42746</v>
      </c>
      <c r="D91" s="38" t="s">
        <v>29</v>
      </c>
      <c r="E91" s="38" t="s">
        <v>29</v>
      </c>
      <c r="F91" s="159" t="s">
        <v>30</v>
      </c>
      <c r="G91" s="159">
        <v>7</v>
      </c>
      <c r="H91" s="39" t="s">
        <v>737</v>
      </c>
      <c r="I91" s="39" t="s">
        <v>738</v>
      </c>
      <c r="J91" s="39" t="s">
        <v>739</v>
      </c>
      <c r="K91" s="39" t="s">
        <v>740</v>
      </c>
      <c r="L91" s="39" t="s">
        <v>741</v>
      </c>
      <c r="M91" s="24" t="s">
        <v>742</v>
      </c>
      <c r="N91" s="40" t="s">
        <v>13</v>
      </c>
      <c r="O91" s="94">
        <v>42576.416666666664</v>
      </c>
      <c r="P91" s="237" t="s">
        <v>37</v>
      </c>
      <c r="Q91" s="41" t="s">
        <v>37</v>
      </c>
      <c r="R91" s="42" t="s">
        <v>77</v>
      </c>
      <c r="T91" s="186" t="s">
        <v>55</v>
      </c>
      <c r="U91" s="52">
        <v>42682</v>
      </c>
      <c r="W91" s="54" t="s">
        <v>743</v>
      </c>
      <c r="X91" s="50" t="s">
        <v>433</v>
      </c>
      <c r="Y91" s="38">
        <v>647</v>
      </c>
      <c r="Z91" s="231" t="s">
        <v>44</v>
      </c>
      <c r="AA91" s="25">
        <f t="shared" si="1"/>
        <v>0</v>
      </c>
    </row>
    <row r="92" spans="1:16383" ht="15" customHeight="1">
      <c r="A92" s="24" t="s">
        <v>744</v>
      </c>
      <c r="B92" s="25" t="s">
        <v>722</v>
      </c>
      <c r="C92" s="26">
        <v>42711</v>
      </c>
      <c r="D92" s="38" t="s">
        <v>29</v>
      </c>
      <c r="E92" s="38" t="s">
        <v>29</v>
      </c>
      <c r="F92" s="38" t="s">
        <v>30</v>
      </c>
      <c r="G92" s="38">
        <v>4</v>
      </c>
      <c r="H92" s="39" t="s">
        <v>299</v>
      </c>
      <c r="I92" s="39" t="s">
        <v>723</v>
      </c>
      <c r="J92" s="39" t="s">
        <v>724</v>
      </c>
      <c r="K92" s="39" t="s">
        <v>725</v>
      </c>
      <c r="L92" s="39" t="s">
        <v>201</v>
      </c>
      <c r="M92" s="45" t="s">
        <v>745</v>
      </c>
      <c r="N92" s="158" t="s">
        <v>746</v>
      </c>
      <c r="O92" s="95">
        <v>42598.416666666664</v>
      </c>
      <c r="P92" s="41" t="s">
        <v>37</v>
      </c>
      <c r="Q92" s="41" t="s">
        <v>37</v>
      </c>
      <c r="R92" s="42" t="s">
        <v>77</v>
      </c>
      <c r="T92" s="44" t="s">
        <v>219</v>
      </c>
      <c r="U92" s="52">
        <v>42670</v>
      </c>
      <c r="W92" s="54" t="s">
        <v>747</v>
      </c>
      <c r="X92" s="50" t="s">
        <v>433</v>
      </c>
      <c r="Y92" s="38">
        <v>125</v>
      </c>
      <c r="Z92" s="231" t="s">
        <v>44</v>
      </c>
      <c r="AA92" s="25">
        <f t="shared" si="1"/>
        <v>0</v>
      </c>
    </row>
    <row r="93" spans="1:16383" ht="15" customHeight="1">
      <c r="A93" s="24" t="s">
        <v>748</v>
      </c>
      <c r="B93" s="25"/>
      <c r="C93" s="26">
        <v>42780</v>
      </c>
      <c r="D93" s="38" t="s">
        <v>29</v>
      </c>
      <c r="E93" s="38" t="s">
        <v>29</v>
      </c>
      <c r="F93" s="38" t="s">
        <v>47</v>
      </c>
      <c r="G93" s="38">
        <v>4</v>
      </c>
      <c r="H93" s="39" t="s">
        <v>749</v>
      </c>
      <c r="I93" s="39" t="s">
        <v>750</v>
      </c>
      <c r="J93" s="39" t="s">
        <v>751</v>
      </c>
      <c r="K93" s="201" t="s">
        <v>752</v>
      </c>
      <c r="L93" s="39" t="s">
        <v>753</v>
      </c>
      <c r="M93" s="45" t="s">
        <v>754</v>
      </c>
      <c r="N93" s="40" t="s">
        <v>13</v>
      </c>
      <c r="O93" s="94">
        <v>42625.541666666664</v>
      </c>
      <c r="P93" s="41" t="s">
        <v>37</v>
      </c>
      <c r="Q93" s="41" t="s">
        <v>38</v>
      </c>
      <c r="R93" s="42" t="s">
        <v>77</v>
      </c>
      <c r="T93" s="44" t="s">
        <v>219</v>
      </c>
      <c r="U93" s="52">
        <v>42667</v>
      </c>
      <c r="V93" s="48" t="s">
        <v>476</v>
      </c>
      <c r="W93" s="54" t="s">
        <v>755</v>
      </c>
      <c r="X93" s="50" t="s">
        <v>149</v>
      </c>
      <c r="Y93" s="38">
        <v>465</v>
      </c>
      <c r="Z93" s="25" t="s">
        <v>44</v>
      </c>
      <c r="AA93" s="25">
        <f t="shared" si="1"/>
        <v>0</v>
      </c>
    </row>
    <row r="94" spans="1:16383" ht="15" customHeight="1">
      <c r="A94" s="24" t="s">
        <v>756</v>
      </c>
      <c r="B94" s="25"/>
      <c r="C94" s="26">
        <v>42780</v>
      </c>
      <c r="D94" s="38" t="s">
        <v>29</v>
      </c>
      <c r="E94" s="38" t="s">
        <v>94</v>
      </c>
      <c r="F94" s="38" t="s">
        <v>95</v>
      </c>
      <c r="G94" s="38">
        <v>8</v>
      </c>
      <c r="H94" s="39" t="s">
        <v>332</v>
      </c>
      <c r="I94" s="39" t="s">
        <v>757</v>
      </c>
      <c r="J94" s="24" t="s">
        <v>758</v>
      </c>
      <c r="K94" s="24" t="s">
        <v>759</v>
      </c>
      <c r="L94" s="39" t="s">
        <v>760</v>
      </c>
      <c r="M94" s="45" t="s">
        <v>761</v>
      </c>
      <c r="N94" s="40" t="s">
        <v>13</v>
      </c>
      <c r="O94" s="94">
        <v>42683.458333333336</v>
      </c>
      <c r="P94" s="41" t="s">
        <v>520</v>
      </c>
      <c r="R94" s="42" t="s">
        <v>39</v>
      </c>
      <c r="T94" s="44" t="s">
        <v>159</v>
      </c>
      <c r="U94" s="52">
        <v>42745</v>
      </c>
      <c r="W94" s="54" t="s">
        <v>762</v>
      </c>
      <c r="X94" s="50" t="s">
        <v>104</v>
      </c>
      <c r="Y94" s="38">
        <v>221</v>
      </c>
      <c r="Z94" s="25" t="s">
        <v>44</v>
      </c>
      <c r="AA94" s="25">
        <f t="shared" si="1"/>
        <v>0</v>
      </c>
      <c r="AB94" s="24" t="s">
        <v>763</v>
      </c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  <c r="FU94" s="39"/>
      <c r="FV94" s="39"/>
      <c r="FW94" s="39"/>
      <c r="FX94" s="39"/>
      <c r="FY94" s="39"/>
      <c r="FZ94" s="39"/>
      <c r="GA94" s="39"/>
      <c r="GB94" s="39"/>
      <c r="GC94" s="39"/>
      <c r="GD94" s="39"/>
      <c r="GE94" s="39"/>
      <c r="GF94" s="39"/>
      <c r="GG94" s="39"/>
      <c r="GH94" s="39"/>
      <c r="GI94" s="39"/>
      <c r="GJ94" s="39"/>
      <c r="GK94" s="39"/>
      <c r="GL94" s="39"/>
      <c r="GM94" s="39"/>
      <c r="GN94" s="39"/>
      <c r="GO94" s="39"/>
      <c r="GP94" s="39"/>
      <c r="GQ94" s="39"/>
      <c r="GR94" s="39"/>
      <c r="GS94" s="39"/>
      <c r="GT94" s="39"/>
      <c r="GU94" s="39"/>
      <c r="GV94" s="39"/>
      <c r="GW94" s="39"/>
      <c r="GX94" s="39"/>
      <c r="GY94" s="39"/>
      <c r="GZ94" s="39"/>
      <c r="HA94" s="39"/>
      <c r="HB94" s="39"/>
      <c r="HC94" s="39"/>
      <c r="HD94" s="39"/>
      <c r="HE94" s="39"/>
      <c r="HF94" s="39"/>
      <c r="HG94" s="39"/>
      <c r="HH94" s="39"/>
      <c r="HI94" s="39"/>
      <c r="HJ94" s="39"/>
      <c r="HK94" s="39"/>
      <c r="HL94" s="39"/>
      <c r="HM94" s="39"/>
      <c r="HN94" s="39"/>
      <c r="HO94" s="39"/>
      <c r="HP94" s="39"/>
      <c r="HQ94" s="39"/>
      <c r="HR94" s="39"/>
      <c r="HS94" s="39"/>
      <c r="HT94" s="39"/>
      <c r="HU94" s="39"/>
      <c r="HV94" s="39"/>
      <c r="HW94" s="39"/>
      <c r="HX94" s="39"/>
      <c r="HY94" s="39"/>
      <c r="HZ94" s="39"/>
      <c r="IA94" s="39"/>
      <c r="IB94" s="39"/>
      <c r="IC94" s="39"/>
      <c r="ID94" s="39"/>
      <c r="IE94" s="39"/>
      <c r="IF94" s="39"/>
      <c r="IG94" s="39"/>
      <c r="IH94" s="39"/>
      <c r="II94" s="39"/>
      <c r="IJ94" s="39"/>
      <c r="IK94" s="39"/>
      <c r="IL94" s="39"/>
      <c r="IM94" s="39"/>
      <c r="IN94" s="39"/>
      <c r="IO94" s="39"/>
      <c r="IP94" s="39"/>
      <c r="IQ94" s="39"/>
      <c r="IR94" s="39"/>
      <c r="IS94" s="39"/>
      <c r="IT94" s="39"/>
      <c r="IU94" s="39"/>
      <c r="IV94" s="39"/>
      <c r="IW94" s="39"/>
      <c r="IX94" s="39"/>
      <c r="IY94" s="39"/>
      <c r="IZ94" s="39"/>
      <c r="JA94" s="39"/>
      <c r="JB94" s="39"/>
      <c r="JC94" s="39"/>
      <c r="JD94" s="39"/>
      <c r="JE94" s="39"/>
      <c r="JF94" s="39"/>
      <c r="JG94" s="39"/>
      <c r="JH94" s="39"/>
      <c r="JI94" s="39"/>
      <c r="JJ94" s="39"/>
      <c r="JK94" s="39"/>
      <c r="JL94" s="39"/>
      <c r="JM94" s="39"/>
      <c r="JN94" s="39"/>
      <c r="JO94" s="39"/>
      <c r="JP94" s="39"/>
      <c r="JQ94" s="39"/>
      <c r="JR94" s="39"/>
      <c r="JS94" s="39"/>
      <c r="JT94" s="39"/>
      <c r="JU94" s="39"/>
      <c r="JV94" s="39"/>
      <c r="JW94" s="39"/>
      <c r="JX94" s="39"/>
      <c r="JY94" s="39"/>
      <c r="JZ94" s="39"/>
      <c r="KA94" s="39"/>
      <c r="KB94" s="39"/>
      <c r="KC94" s="39"/>
      <c r="KD94" s="39"/>
      <c r="KE94" s="39"/>
      <c r="KF94" s="39"/>
      <c r="KG94" s="39"/>
      <c r="KH94" s="39"/>
      <c r="KI94" s="39"/>
      <c r="KJ94" s="39"/>
      <c r="KK94" s="39"/>
      <c r="KL94" s="39"/>
      <c r="KM94" s="39"/>
      <c r="KN94" s="39"/>
      <c r="KO94" s="39"/>
      <c r="KP94" s="39"/>
      <c r="KQ94" s="39"/>
      <c r="KR94" s="39"/>
      <c r="KS94" s="39"/>
      <c r="KT94" s="39"/>
      <c r="KU94" s="39"/>
      <c r="KV94" s="39"/>
      <c r="KW94" s="39"/>
      <c r="KX94" s="39"/>
      <c r="KY94" s="39"/>
      <c r="KZ94" s="39"/>
      <c r="LA94" s="39"/>
      <c r="LB94" s="39"/>
      <c r="LC94" s="39"/>
      <c r="LD94" s="39"/>
      <c r="LE94" s="39"/>
      <c r="LF94" s="39"/>
      <c r="LG94" s="39"/>
      <c r="LH94" s="39"/>
      <c r="LI94" s="39"/>
      <c r="LJ94" s="39"/>
      <c r="LK94" s="39"/>
      <c r="LL94" s="39"/>
      <c r="LM94" s="39"/>
      <c r="LN94" s="39"/>
      <c r="LO94" s="39"/>
      <c r="LP94" s="39"/>
      <c r="LQ94" s="39"/>
      <c r="LR94" s="39"/>
      <c r="LS94" s="39"/>
      <c r="LT94" s="39"/>
      <c r="LU94" s="39"/>
      <c r="LV94" s="39"/>
      <c r="LW94" s="39"/>
      <c r="LX94" s="39"/>
      <c r="LY94" s="39"/>
      <c r="LZ94" s="39"/>
      <c r="MA94" s="39"/>
      <c r="MB94" s="39"/>
      <c r="MC94" s="39"/>
      <c r="MD94" s="39"/>
      <c r="ME94" s="39"/>
      <c r="MF94" s="39"/>
      <c r="MG94" s="39"/>
      <c r="MH94" s="39"/>
      <c r="MI94" s="39"/>
      <c r="MJ94" s="39"/>
      <c r="MK94" s="39"/>
      <c r="ML94" s="39"/>
      <c r="MM94" s="39"/>
      <c r="MN94" s="39"/>
      <c r="MO94" s="39"/>
      <c r="MP94" s="39"/>
      <c r="MQ94" s="39"/>
      <c r="MR94" s="39"/>
      <c r="MS94" s="39"/>
      <c r="MT94" s="39"/>
      <c r="MU94" s="39"/>
      <c r="MV94" s="39"/>
      <c r="MW94" s="39"/>
      <c r="MX94" s="39"/>
      <c r="MY94" s="39"/>
      <c r="MZ94" s="39"/>
      <c r="NA94" s="39"/>
      <c r="NB94" s="39"/>
      <c r="NC94" s="39"/>
      <c r="ND94" s="39"/>
      <c r="NE94" s="39"/>
      <c r="NF94" s="39"/>
      <c r="NG94" s="39"/>
      <c r="NH94" s="39"/>
      <c r="NI94" s="39"/>
      <c r="NJ94" s="39"/>
      <c r="NK94" s="39"/>
      <c r="NL94" s="39"/>
      <c r="NM94" s="39"/>
      <c r="NN94" s="39"/>
      <c r="NO94" s="39"/>
      <c r="NP94" s="39"/>
      <c r="NQ94" s="39"/>
      <c r="NR94" s="39"/>
      <c r="NS94" s="39"/>
      <c r="NT94" s="39"/>
      <c r="NU94" s="39"/>
      <c r="NV94" s="39"/>
      <c r="NW94" s="39"/>
      <c r="NX94" s="39"/>
      <c r="NY94" s="39"/>
      <c r="NZ94" s="39"/>
      <c r="OA94" s="39"/>
      <c r="OB94" s="39"/>
      <c r="OC94" s="39"/>
      <c r="OD94" s="39"/>
      <c r="OE94" s="39"/>
      <c r="OF94" s="39"/>
      <c r="OG94" s="39"/>
      <c r="OH94" s="39"/>
      <c r="OI94" s="39"/>
      <c r="OJ94" s="39"/>
      <c r="OK94" s="39"/>
      <c r="OL94" s="39"/>
      <c r="OM94" s="39"/>
      <c r="ON94" s="39"/>
      <c r="OO94" s="39"/>
      <c r="OP94" s="39"/>
      <c r="OQ94" s="39"/>
      <c r="OR94" s="39"/>
      <c r="OS94" s="39"/>
      <c r="OT94" s="39"/>
      <c r="OU94" s="39"/>
      <c r="OV94" s="39"/>
      <c r="OW94" s="39"/>
      <c r="OX94" s="39"/>
      <c r="OY94" s="39"/>
      <c r="OZ94" s="39"/>
      <c r="PA94" s="39"/>
      <c r="PB94" s="39"/>
      <c r="PC94" s="39"/>
      <c r="PD94" s="39"/>
      <c r="PE94" s="39"/>
      <c r="PF94" s="39"/>
      <c r="PG94" s="39"/>
      <c r="PH94" s="39"/>
      <c r="PI94" s="39"/>
      <c r="PJ94" s="39"/>
      <c r="PK94" s="39"/>
      <c r="PL94" s="39"/>
      <c r="PM94" s="39"/>
      <c r="PN94" s="39"/>
      <c r="PO94" s="39"/>
      <c r="PP94" s="39"/>
      <c r="PQ94" s="39"/>
      <c r="PR94" s="39"/>
      <c r="PS94" s="39"/>
      <c r="PT94" s="39"/>
      <c r="PU94" s="39"/>
      <c r="PV94" s="39"/>
      <c r="PW94" s="39"/>
      <c r="PX94" s="39"/>
      <c r="PY94" s="39"/>
      <c r="PZ94" s="39"/>
      <c r="QA94" s="39"/>
      <c r="QB94" s="39"/>
      <c r="QC94" s="39"/>
      <c r="QD94" s="39"/>
      <c r="QE94" s="39"/>
      <c r="QF94" s="39"/>
      <c r="QG94" s="39"/>
      <c r="QH94" s="39"/>
      <c r="QI94" s="39"/>
      <c r="QJ94" s="39"/>
      <c r="QK94" s="39"/>
      <c r="QL94" s="39"/>
      <c r="QM94" s="39"/>
      <c r="QN94" s="39"/>
      <c r="QO94" s="39"/>
      <c r="QP94" s="39"/>
      <c r="QQ94" s="39"/>
      <c r="QR94" s="39"/>
      <c r="QS94" s="39"/>
      <c r="QT94" s="39"/>
      <c r="QU94" s="39"/>
      <c r="QV94" s="39"/>
      <c r="QW94" s="39"/>
      <c r="QX94" s="39"/>
      <c r="QY94" s="39"/>
      <c r="QZ94" s="39"/>
      <c r="RA94" s="39"/>
      <c r="RB94" s="39"/>
      <c r="RC94" s="39"/>
      <c r="RD94" s="39"/>
      <c r="RE94" s="39"/>
      <c r="RF94" s="39"/>
      <c r="RG94" s="39"/>
      <c r="RH94" s="39"/>
      <c r="RI94" s="39"/>
      <c r="RJ94" s="39"/>
      <c r="RK94" s="39"/>
      <c r="RL94" s="39"/>
      <c r="RM94" s="39"/>
      <c r="RN94" s="39"/>
      <c r="RO94" s="39"/>
      <c r="RP94" s="39"/>
      <c r="RQ94" s="39"/>
      <c r="RR94" s="39"/>
      <c r="RS94" s="39"/>
      <c r="RT94" s="39"/>
      <c r="RU94" s="39"/>
      <c r="RV94" s="39"/>
      <c r="RW94" s="39"/>
      <c r="RX94" s="39"/>
      <c r="RY94" s="39"/>
      <c r="RZ94" s="39"/>
      <c r="SA94" s="39"/>
      <c r="SB94" s="39"/>
      <c r="SC94" s="39"/>
      <c r="SD94" s="39"/>
      <c r="SE94" s="39"/>
      <c r="SF94" s="39"/>
      <c r="SG94" s="39"/>
      <c r="SH94" s="39"/>
      <c r="SI94" s="39"/>
      <c r="SJ94" s="39"/>
      <c r="SK94" s="39"/>
      <c r="SL94" s="39"/>
      <c r="SM94" s="39"/>
      <c r="SN94" s="39"/>
      <c r="SO94" s="39"/>
      <c r="SP94" s="39"/>
      <c r="SQ94" s="39"/>
      <c r="SR94" s="39"/>
      <c r="SS94" s="39"/>
      <c r="ST94" s="39"/>
      <c r="SU94" s="39"/>
      <c r="SV94" s="39"/>
      <c r="SW94" s="39"/>
      <c r="SX94" s="39"/>
      <c r="SY94" s="39"/>
      <c r="SZ94" s="39"/>
      <c r="TA94" s="39"/>
      <c r="TB94" s="39"/>
      <c r="TC94" s="39"/>
      <c r="TD94" s="39"/>
      <c r="TE94" s="39"/>
      <c r="TF94" s="39"/>
      <c r="TG94" s="39"/>
      <c r="TH94" s="39"/>
      <c r="TI94" s="39"/>
      <c r="TJ94" s="39"/>
      <c r="TK94" s="39"/>
      <c r="TL94" s="39"/>
      <c r="TM94" s="39"/>
      <c r="TN94" s="39"/>
      <c r="TO94" s="39"/>
      <c r="TP94" s="39"/>
      <c r="TQ94" s="39"/>
      <c r="TR94" s="39"/>
      <c r="TS94" s="39"/>
      <c r="TT94" s="39"/>
      <c r="TU94" s="39"/>
      <c r="TV94" s="39"/>
      <c r="TW94" s="39"/>
      <c r="TX94" s="39"/>
      <c r="TY94" s="39"/>
      <c r="TZ94" s="39"/>
      <c r="UA94" s="39"/>
      <c r="UB94" s="39"/>
      <c r="UC94" s="39"/>
      <c r="UD94" s="39"/>
      <c r="UE94" s="39"/>
      <c r="UF94" s="39"/>
      <c r="UG94" s="39"/>
      <c r="UH94" s="39"/>
      <c r="UI94" s="39"/>
      <c r="UJ94" s="39"/>
      <c r="UK94" s="39"/>
      <c r="UL94" s="39"/>
      <c r="UM94" s="39"/>
      <c r="UN94" s="39"/>
      <c r="UO94" s="39"/>
      <c r="UP94" s="39"/>
      <c r="UQ94" s="39"/>
      <c r="UR94" s="39"/>
      <c r="US94" s="39"/>
      <c r="UT94" s="39"/>
      <c r="UU94" s="39"/>
      <c r="UV94" s="39"/>
      <c r="UW94" s="39"/>
      <c r="UX94" s="39"/>
      <c r="UY94" s="39"/>
      <c r="UZ94" s="39"/>
      <c r="VA94" s="39"/>
      <c r="VB94" s="39"/>
      <c r="VC94" s="39"/>
      <c r="VD94" s="39"/>
      <c r="VE94" s="39"/>
      <c r="VF94" s="39"/>
      <c r="VG94" s="39"/>
      <c r="VH94" s="39"/>
      <c r="VI94" s="39"/>
      <c r="VJ94" s="39"/>
      <c r="VK94" s="39"/>
      <c r="VL94" s="39"/>
      <c r="VM94" s="39"/>
      <c r="VN94" s="39"/>
      <c r="VO94" s="39"/>
      <c r="VP94" s="39"/>
      <c r="VQ94" s="39"/>
      <c r="VR94" s="39"/>
      <c r="VS94" s="39"/>
      <c r="VT94" s="39"/>
      <c r="VU94" s="39"/>
      <c r="VV94" s="39"/>
      <c r="VW94" s="39"/>
      <c r="VX94" s="39"/>
      <c r="VY94" s="39"/>
      <c r="VZ94" s="39"/>
      <c r="WA94" s="39"/>
      <c r="WB94" s="39"/>
      <c r="WC94" s="39"/>
      <c r="WD94" s="39"/>
      <c r="WE94" s="39"/>
      <c r="WF94" s="39"/>
      <c r="WG94" s="39"/>
      <c r="WH94" s="39"/>
      <c r="WI94" s="39"/>
      <c r="WJ94" s="39"/>
      <c r="WK94" s="39"/>
      <c r="WL94" s="39"/>
      <c r="WM94" s="39"/>
      <c r="WN94" s="39"/>
      <c r="WO94" s="39"/>
      <c r="WP94" s="39"/>
      <c r="WQ94" s="39"/>
      <c r="WR94" s="39"/>
      <c r="WS94" s="39"/>
      <c r="WT94" s="39"/>
      <c r="WU94" s="39"/>
      <c r="WV94" s="39"/>
      <c r="WW94" s="39"/>
      <c r="WX94" s="39"/>
      <c r="WY94" s="39"/>
      <c r="WZ94" s="39"/>
      <c r="XA94" s="39"/>
      <c r="XB94" s="39"/>
      <c r="XC94" s="39"/>
      <c r="XD94" s="39"/>
      <c r="XE94" s="39"/>
      <c r="XF94" s="39"/>
      <c r="XG94" s="39"/>
      <c r="XH94" s="39"/>
      <c r="XI94" s="39"/>
      <c r="XJ94" s="39"/>
      <c r="XK94" s="39"/>
      <c r="XL94" s="39"/>
      <c r="XM94" s="39"/>
      <c r="XN94" s="39"/>
      <c r="XO94" s="39"/>
      <c r="XP94" s="39"/>
      <c r="XQ94" s="39"/>
      <c r="XR94" s="39"/>
      <c r="XS94" s="39"/>
      <c r="XT94" s="39"/>
      <c r="XU94" s="39"/>
      <c r="XV94" s="39"/>
      <c r="XW94" s="39"/>
      <c r="XX94" s="39"/>
      <c r="XY94" s="39"/>
      <c r="XZ94" s="39"/>
      <c r="YA94" s="39"/>
      <c r="YB94" s="39"/>
      <c r="YC94" s="39"/>
      <c r="YD94" s="39"/>
      <c r="YE94" s="39"/>
      <c r="YF94" s="39"/>
      <c r="YG94" s="39"/>
      <c r="YH94" s="39"/>
      <c r="YI94" s="39"/>
      <c r="YJ94" s="39"/>
      <c r="YK94" s="39"/>
      <c r="YL94" s="39"/>
      <c r="YM94" s="39"/>
      <c r="YN94" s="39"/>
      <c r="YO94" s="39"/>
      <c r="YP94" s="39"/>
      <c r="YQ94" s="39"/>
      <c r="YR94" s="39"/>
      <c r="YS94" s="39"/>
      <c r="YT94" s="39"/>
      <c r="YU94" s="39"/>
      <c r="YV94" s="39"/>
      <c r="YW94" s="39"/>
      <c r="YX94" s="39"/>
      <c r="YY94" s="39"/>
      <c r="YZ94" s="39"/>
      <c r="ZA94" s="39"/>
      <c r="ZB94" s="39"/>
      <c r="ZC94" s="39"/>
      <c r="ZD94" s="39"/>
      <c r="ZE94" s="39"/>
      <c r="ZF94" s="39"/>
      <c r="ZG94" s="39"/>
      <c r="ZH94" s="39"/>
      <c r="ZI94" s="39"/>
      <c r="ZJ94" s="39"/>
      <c r="ZK94" s="39"/>
      <c r="ZL94" s="39"/>
      <c r="ZM94" s="39"/>
      <c r="ZN94" s="39"/>
      <c r="ZO94" s="39"/>
      <c r="ZP94" s="39"/>
      <c r="ZQ94" s="39"/>
      <c r="ZR94" s="39"/>
      <c r="ZS94" s="39"/>
      <c r="ZT94" s="39"/>
      <c r="ZU94" s="39"/>
      <c r="ZV94" s="39"/>
      <c r="ZW94" s="39"/>
      <c r="ZX94" s="39"/>
      <c r="ZY94" s="39"/>
      <c r="ZZ94" s="39"/>
      <c r="AAA94" s="39"/>
      <c r="AAB94" s="39"/>
      <c r="AAC94" s="39"/>
      <c r="AAD94" s="39"/>
      <c r="AAE94" s="39"/>
      <c r="AAF94" s="39"/>
      <c r="AAG94" s="39"/>
      <c r="AAH94" s="39"/>
      <c r="AAI94" s="39"/>
      <c r="AAJ94" s="39"/>
      <c r="AAK94" s="39"/>
      <c r="AAL94" s="39"/>
      <c r="AAM94" s="39"/>
      <c r="AAN94" s="39"/>
      <c r="AAO94" s="39"/>
      <c r="AAP94" s="39"/>
      <c r="AAQ94" s="39"/>
      <c r="AAR94" s="39"/>
      <c r="AAS94" s="39"/>
      <c r="AAT94" s="39"/>
      <c r="AAU94" s="39"/>
      <c r="AAV94" s="39"/>
      <c r="AAW94" s="39"/>
      <c r="AAX94" s="39"/>
      <c r="AAY94" s="39"/>
      <c r="AAZ94" s="39"/>
      <c r="ABA94" s="39"/>
      <c r="ABB94" s="39"/>
      <c r="ABC94" s="39"/>
      <c r="ABD94" s="39"/>
      <c r="ABE94" s="39"/>
      <c r="ABF94" s="39"/>
      <c r="ABG94" s="39"/>
      <c r="ABH94" s="39"/>
      <c r="ABI94" s="39"/>
      <c r="ABJ94" s="39"/>
      <c r="ABK94" s="39"/>
      <c r="ABL94" s="39"/>
      <c r="ABM94" s="39"/>
      <c r="ABN94" s="39"/>
      <c r="ABO94" s="39"/>
      <c r="ABP94" s="39"/>
      <c r="ABQ94" s="39"/>
      <c r="ABR94" s="39"/>
      <c r="ABS94" s="39"/>
      <c r="ABT94" s="39"/>
      <c r="ABU94" s="39"/>
      <c r="ABV94" s="39"/>
      <c r="ABW94" s="39"/>
      <c r="ABX94" s="39"/>
      <c r="ABY94" s="39"/>
      <c r="ABZ94" s="39"/>
      <c r="ACA94" s="39"/>
      <c r="ACB94" s="39"/>
      <c r="ACC94" s="39"/>
      <c r="ACD94" s="39"/>
      <c r="ACE94" s="39"/>
      <c r="ACF94" s="39"/>
      <c r="ACG94" s="39"/>
      <c r="ACH94" s="39"/>
      <c r="ACI94" s="39"/>
      <c r="ACJ94" s="39"/>
      <c r="ACK94" s="39"/>
      <c r="ACL94" s="39"/>
      <c r="ACM94" s="39"/>
      <c r="ACN94" s="39"/>
      <c r="ACO94" s="39"/>
      <c r="ACP94" s="39"/>
      <c r="ACQ94" s="39"/>
      <c r="ACR94" s="39"/>
      <c r="ACS94" s="39"/>
      <c r="ACT94" s="39"/>
      <c r="ACU94" s="39"/>
      <c r="ACV94" s="39"/>
      <c r="ACW94" s="39"/>
      <c r="ACX94" s="39"/>
      <c r="ACY94" s="39"/>
      <c r="ACZ94" s="39"/>
      <c r="ADA94" s="39"/>
      <c r="ADB94" s="39"/>
      <c r="ADC94" s="39"/>
      <c r="ADD94" s="39"/>
      <c r="ADE94" s="39"/>
      <c r="ADF94" s="39"/>
      <c r="ADG94" s="39"/>
      <c r="ADH94" s="39"/>
      <c r="ADI94" s="39"/>
      <c r="ADJ94" s="39"/>
      <c r="ADK94" s="39"/>
      <c r="ADL94" s="39"/>
      <c r="ADM94" s="39"/>
      <c r="ADN94" s="39"/>
      <c r="ADO94" s="39"/>
      <c r="ADP94" s="39"/>
      <c r="ADQ94" s="39"/>
      <c r="ADR94" s="39"/>
      <c r="ADS94" s="39"/>
      <c r="ADT94" s="39"/>
      <c r="ADU94" s="39"/>
      <c r="ADV94" s="39"/>
      <c r="ADW94" s="39"/>
      <c r="ADX94" s="39"/>
      <c r="ADY94" s="39"/>
      <c r="ADZ94" s="39"/>
      <c r="AEA94" s="39"/>
      <c r="AEB94" s="39"/>
      <c r="AEC94" s="39"/>
      <c r="AED94" s="39"/>
      <c r="AEE94" s="39"/>
      <c r="AEF94" s="39"/>
      <c r="AEG94" s="39"/>
      <c r="AEH94" s="39"/>
      <c r="AEI94" s="39"/>
      <c r="AEJ94" s="39"/>
      <c r="AEK94" s="39"/>
      <c r="AEL94" s="39"/>
      <c r="AEM94" s="39"/>
      <c r="AEN94" s="39"/>
      <c r="AEO94" s="39"/>
      <c r="AEP94" s="39"/>
      <c r="AEQ94" s="39"/>
      <c r="AER94" s="39"/>
      <c r="AES94" s="39"/>
      <c r="AET94" s="39"/>
      <c r="AEU94" s="39"/>
      <c r="AEV94" s="39"/>
      <c r="AEW94" s="39"/>
      <c r="AEX94" s="39"/>
      <c r="AEY94" s="39"/>
      <c r="AEZ94" s="39"/>
      <c r="AFA94" s="39"/>
      <c r="AFB94" s="39"/>
      <c r="AFC94" s="39"/>
      <c r="AFD94" s="39"/>
      <c r="AFE94" s="39"/>
      <c r="AFF94" s="39"/>
      <c r="AFG94" s="39"/>
      <c r="AFH94" s="39"/>
      <c r="AFI94" s="39"/>
      <c r="AFJ94" s="39"/>
      <c r="AFK94" s="39"/>
      <c r="AFL94" s="39"/>
      <c r="AFM94" s="39"/>
      <c r="AFN94" s="39"/>
      <c r="AFO94" s="39"/>
      <c r="AFP94" s="39"/>
      <c r="AFQ94" s="39"/>
      <c r="AFR94" s="39"/>
      <c r="AFS94" s="39"/>
      <c r="AFT94" s="39"/>
      <c r="AFU94" s="39"/>
      <c r="AFV94" s="39"/>
      <c r="AFW94" s="39"/>
      <c r="AFX94" s="39"/>
      <c r="AFY94" s="39"/>
      <c r="AFZ94" s="39"/>
      <c r="AGA94" s="39"/>
      <c r="AGB94" s="39"/>
      <c r="AGC94" s="39"/>
      <c r="AGD94" s="39"/>
      <c r="AGE94" s="39"/>
      <c r="AGF94" s="39"/>
      <c r="AGG94" s="39"/>
      <c r="AGH94" s="39"/>
      <c r="AGI94" s="39"/>
      <c r="AGJ94" s="39"/>
      <c r="AGK94" s="39"/>
      <c r="AGL94" s="39"/>
      <c r="AGM94" s="39"/>
      <c r="AGN94" s="39"/>
      <c r="AGO94" s="39"/>
      <c r="AGP94" s="39"/>
      <c r="AGQ94" s="39"/>
      <c r="AGR94" s="39"/>
      <c r="AGS94" s="39"/>
      <c r="AGT94" s="39"/>
      <c r="AGU94" s="39"/>
      <c r="AGV94" s="39"/>
      <c r="AGW94" s="39"/>
      <c r="AGX94" s="39"/>
      <c r="AGY94" s="39"/>
      <c r="AGZ94" s="39"/>
      <c r="AHA94" s="39"/>
      <c r="AHB94" s="39"/>
      <c r="AHC94" s="39"/>
      <c r="AHD94" s="39"/>
      <c r="AHE94" s="39"/>
      <c r="AHF94" s="39"/>
      <c r="AHG94" s="39"/>
      <c r="AHH94" s="39"/>
      <c r="AHI94" s="39"/>
      <c r="AHJ94" s="39"/>
      <c r="AHK94" s="39"/>
      <c r="AHL94" s="39"/>
      <c r="AHM94" s="39"/>
      <c r="AHN94" s="39"/>
      <c r="AHO94" s="39"/>
      <c r="AHP94" s="39"/>
      <c r="AHQ94" s="39"/>
      <c r="AHR94" s="39"/>
      <c r="AHS94" s="39"/>
      <c r="AHT94" s="39"/>
      <c r="AHU94" s="39"/>
      <c r="AHV94" s="39"/>
      <c r="AHW94" s="39"/>
      <c r="AHX94" s="39"/>
      <c r="AHY94" s="39"/>
      <c r="AHZ94" s="39"/>
      <c r="AIA94" s="39"/>
      <c r="AIB94" s="39"/>
      <c r="AIC94" s="39"/>
      <c r="AID94" s="39"/>
      <c r="AIE94" s="39"/>
      <c r="AIF94" s="39"/>
      <c r="AIG94" s="39"/>
      <c r="AIH94" s="39"/>
      <c r="AII94" s="39"/>
      <c r="AIJ94" s="39"/>
      <c r="AIK94" s="39"/>
      <c r="AIL94" s="39"/>
      <c r="AIM94" s="39"/>
      <c r="AIN94" s="39"/>
      <c r="AIO94" s="39"/>
      <c r="AIP94" s="39"/>
      <c r="AIQ94" s="39"/>
      <c r="AIR94" s="39"/>
      <c r="AIS94" s="39"/>
      <c r="AIT94" s="39"/>
      <c r="AIU94" s="39"/>
      <c r="AIV94" s="39"/>
      <c r="AIW94" s="39"/>
      <c r="AIX94" s="39"/>
      <c r="AIY94" s="39"/>
      <c r="AIZ94" s="39"/>
      <c r="AJA94" s="39"/>
      <c r="AJB94" s="39"/>
      <c r="AJC94" s="39"/>
      <c r="AJD94" s="39"/>
      <c r="AJE94" s="39"/>
      <c r="AJF94" s="39"/>
      <c r="AJG94" s="39"/>
      <c r="AJH94" s="39"/>
      <c r="AJI94" s="39"/>
      <c r="AJJ94" s="39"/>
      <c r="AJK94" s="39"/>
      <c r="AJL94" s="39"/>
      <c r="AJM94" s="39"/>
      <c r="AJN94" s="39"/>
      <c r="AJO94" s="39"/>
      <c r="AJP94" s="39"/>
      <c r="AJQ94" s="39"/>
      <c r="AJR94" s="39"/>
      <c r="AJS94" s="39"/>
      <c r="AJT94" s="39"/>
      <c r="AJU94" s="39"/>
      <c r="AJV94" s="39"/>
      <c r="AJW94" s="39"/>
      <c r="AJX94" s="39"/>
      <c r="AJY94" s="39"/>
      <c r="AJZ94" s="39"/>
      <c r="AKA94" s="39"/>
      <c r="AKB94" s="39"/>
      <c r="AKC94" s="39"/>
      <c r="AKD94" s="39"/>
      <c r="AKE94" s="39"/>
      <c r="AKF94" s="39"/>
      <c r="AKG94" s="39"/>
      <c r="AKH94" s="39"/>
      <c r="AKI94" s="39"/>
      <c r="AKJ94" s="39"/>
      <c r="AKK94" s="39"/>
      <c r="AKL94" s="39"/>
      <c r="AKM94" s="39"/>
      <c r="AKN94" s="39"/>
      <c r="AKO94" s="39"/>
      <c r="AKP94" s="39"/>
      <c r="AKQ94" s="39"/>
      <c r="AKR94" s="39"/>
      <c r="AKS94" s="39"/>
      <c r="AKT94" s="39"/>
      <c r="AKU94" s="39"/>
      <c r="AKV94" s="39"/>
      <c r="AKW94" s="39"/>
      <c r="AKX94" s="39"/>
      <c r="AKY94" s="39"/>
      <c r="AKZ94" s="39"/>
      <c r="ALA94" s="39"/>
      <c r="ALB94" s="39"/>
      <c r="ALC94" s="39"/>
      <c r="ALD94" s="39"/>
      <c r="ALE94" s="39"/>
      <c r="ALF94" s="39"/>
      <c r="ALG94" s="39"/>
      <c r="ALH94" s="39"/>
      <c r="ALI94" s="39"/>
      <c r="ALJ94" s="39"/>
      <c r="ALK94" s="39"/>
      <c r="ALL94" s="39"/>
      <c r="ALM94" s="39"/>
      <c r="ALN94" s="39"/>
      <c r="ALO94" s="39"/>
      <c r="ALP94" s="39"/>
      <c r="ALQ94" s="39"/>
      <c r="ALR94" s="39"/>
      <c r="ALS94" s="39"/>
      <c r="ALT94" s="39"/>
      <c r="ALU94" s="39"/>
      <c r="ALV94" s="39"/>
      <c r="ALW94" s="39"/>
      <c r="ALX94" s="39"/>
      <c r="ALY94" s="39"/>
      <c r="ALZ94" s="39"/>
      <c r="AMA94" s="39"/>
      <c r="AMB94" s="39"/>
      <c r="AMC94" s="39"/>
      <c r="AMD94" s="39"/>
      <c r="AME94" s="39"/>
      <c r="AMF94" s="39"/>
      <c r="AMG94" s="39"/>
      <c r="AMH94" s="39"/>
      <c r="AMI94" s="39"/>
      <c r="AMJ94" s="39"/>
      <c r="AMK94" s="39"/>
      <c r="AML94" s="39"/>
      <c r="AMM94" s="39"/>
      <c r="AMN94" s="39"/>
      <c r="AMO94" s="39"/>
      <c r="AMP94" s="39"/>
      <c r="AMQ94" s="39"/>
      <c r="AMR94" s="39"/>
      <c r="AMS94" s="39"/>
      <c r="AMT94" s="39"/>
      <c r="AMU94" s="39"/>
      <c r="AMV94" s="39"/>
      <c r="AMW94" s="39"/>
      <c r="AMX94" s="39"/>
      <c r="AMY94" s="39"/>
      <c r="AMZ94" s="39"/>
      <c r="ANA94" s="39"/>
      <c r="ANB94" s="39"/>
      <c r="ANC94" s="39"/>
      <c r="AND94" s="39"/>
      <c r="ANE94" s="39"/>
      <c r="ANF94" s="39"/>
      <c r="ANG94" s="39"/>
      <c r="ANH94" s="39"/>
      <c r="ANI94" s="39"/>
      <c r="ANJ94" s="39"/>
      <c r="ANK94" s="39"/>
      <c r="ANL94" s="39"/>
      <c r="ANM94" s="39"/>
      <c r="ANN94" s="39"/>
      <c r="ANO94" s="39"/>
      <c r="ANP94" s="39"/>
      <c r="ANQ94" s="39"/>
      <c r="ANR94" s="39"/>
      <c r="ANS94" s="39"/>
      <c r="ANT94" s="39"/>
      <c r="ANU94" s="39"/>
      <c r="ANV94" s="39"/>
      <c r="ANW94" s="39"/>
      <c r="ANX94" s="39"/>
      <c r="ANY94" s="39"/>
      <c r="ANZ94" s="39"/>
      <c r="AOA94" s="39"/>
      <c r="AOB94" s="39"/>
      <c r="AOC94" s="39"/>
      <c r="AOD94" s="39"/>
      <c r="AOE94" s="39"/>
      <c r="AOF94" s="39"/>
      <c r="AOG94" s="39"/>
      <c r="AOH94" s="39"/>
      <c r="AOI94" s="39"/>
      <c r="AOJ94" s="39"/>
      <c r="AOK94" s="39"/>
      <c r="AOL94" s="39"/>
      <c r="AOM94" s="39"/>
      <c r="AON94" s="39"/>
      <c r="AOO94" s="39"/>
      <c r="AOP94" s="39"/>
      <c r="AOQ94" s="39"/>
      <c r="AOR94" s="39"/>
      <c r="AOS94" s="39"/>
      <c r="AOT94" s="39"/>
      <c r="AOU94" s="39"/>
      <c r="AOV94" s="39"/>
      <c r="AOW94" s="39"/>
      <c r="AOX94" s="39"/>
      <c r="AOY94" s="39"/>
      <c r="AOZ94" s="39"/>
      <c r="APA94" s="39"/>
      <c r="APB94" s="39"/>
      <c r="APC94" s="39"/>
      <c r="APD94" s="39"/>
      <c r="APE94" s="39"/>
      <c r="APF94" s="39"/>
      <c r="APG94" s="39"/>
      <c r="APH94" s="39"/>
      <c r="API94" s="39"/>
      <c r="APJ94" s="39"/>
      <c r="APK94" s="39"/>
      <c r="APL94" s="39"/>
      <c r="APM94" s="39"/>
      <c r="APN94" s="39"/>
      <c r="APO94" s="39"/>
      <c r="APP94" s="39"/>
      <c r="APQ94" s="39"/>
      <c r="APR94" s="39"/>
      <c r="APS94" s="39"/>
      <c r="APT94" s="39"/>
      <c r="APU94" s="39"/>
      <c r="APV94" s="39"/>
      <c r="APW94" s="39"/>
      <c r="APX94" s="39"/>
      <c r="APY94" s="39"/>
      <c r="APZ94" s="39"/>
      <c r="AQA94" s="39"/>
      <c r="AQB94" s="39"/>
      <c r="AQC94" s="39"/>
      <c r="AQD94" s="39"/>
      <c r="AQE94" s="39"/>
      <c r="AQF94" s="39"/>
      <c r="AQG94" s="39"/>
      <c r="AQH94" s="39"/>
      <c r="AQI94" s="39"/>
      <c r="AQJ94" s="39"/>
      <c r="AQK94" s="39"/>
      <c r="AQL94" s="39"/>
      <c r="AQM94" s="39"/>
      <c r="AQN94" s="39"/>
      <c r="AQO94" s="39"/>
      <c r="AQP94" s="39"/>
      <c r="AQQ94" s="39"/>
      <c r="AQR94" s="39"/>
      <c r="AQS94" s="39"/>
      <c r="AQT94" s="39"/>
      <c r="AQU94" s="39"/>
      <c r="AQV94" s="39"/>
      <c r="AQW94" s="39"/>
      <c r="AQX94" s="39"/>
      <c r="AQY94" s="39"/>
      <c r="AQZ94" s="39"/>
      <c r="ARA94" s="39"/>
      <c r="ARB94" s="39"/>
      <c r="ARC94" s="39"/>
      <c r="ARD94" s="39"/>
      <c r="ARE94" s="39"/>
      <c r="ARF94" s="39"/>
      <c r="ARG94" s="39"/>
      <c r="ARH94" s="39"/>
      <c r="ARI94" s="39"/>
      <c r="ARJ94" s="39"/>
      <c r="ARK94" s="39"/>
      <c r="ARL94" s="39"/>
      <c r="ARM94" s="39"/>
      <c r="ARN94" s="39"/>
      <c r="ARO94" s="39"/>
      <c r="ARP94" s="39"/>
      <c r="ARQ94" s="39"/>
      <c r="ARR94" s="39"/>
      <c r="ARS94" s="39"/>
      <c r="ART94" s="39"/>
      <c r="ARU94" s="39"/>
      <c r="ARV94" s="39"/>
      <c r="ARW94" s="39"/>
      <c r="ARX94" s="39"/>
      <c r="ARY94" s="39"/>
      <c r="ARZ94" s="39"/>
      <c r="ASA94" s="39"/>
      <c r="ASB94" s="39"/>
      <c r="ASC94" s="39"/>
      <c r="ASD94" s="39"/>
      <c r="ASE94" s="39"/>
      <c r="ASF94" s="39"/>
      <c r="ASG94" s="39"/>
      <c r="ASH94" s="39"/>
      <c r="ASI94" s="39"/>
      <c r="ASJ94" s="39"/>
      <c r="ASK94" s="39"/>
      <c r="ASL94" s="39"/>
      <c r="ASM94" s="39"/>
      <c r="ASN94" s="39"/>
      <c r="ASO94" s="39"/>
      <c r="ASP94" s="39"/>
      <c r="ASQ94" s="39"/>
      <c r="ASR94" s="39"/>
      <c r="ASS94" s="39"/>
      <c r="AST94" s="39"/>
      <c r="ASU94" s="39"/>
      <c r="ASV94" s="39"/>
      <c r="ASW94" s="39"/>
      <c r="ASX94" s="39"/>
      <c r="ASY94" s="39"/>
      <c r="ASZ94" s="39"/>
      <c r="ATA94" s="39"/>
      <c r="ATB94" s="39"/>
      <c r="ATC94" s="39"/>
      <c r="ATD94" s="39"/>
      <c r="ATE94" s="39"/>
      <c r="ATF94" s="39"/>
      <c r="ATG94" s="39"/>
      <c r="ATH94" s="39"/>
      <c r="ATI94" s="39"/>
      <c r="ATJ94" s="39"/>
      <c r="ATK94" s="39"/>
      <c r="ATL94" s="39"/>
      <c r="ATM94" s="39"/>
      <c r="ATN94" s="39"/>
      <c r="ATO94" s="39"/>
      <c r="ATP94" s="39"/>
      <c r="ATQ94" s="39"/>
      <c r="ATR94" s="39"/>
      <c r="ATS94" s="39"/>
      <c r="ATT94" s="39"/>
      <c r="ATU94" s="39"/>
      <c r="ATV94" s="39"/>
      <c r="ATW94" s="39"/>
      <c r="ATX94" s="39"/>
      <c r="ATY94" s="39"/>
      <c r="ATZ94" s="39"/>
      <c r="AUA94" s="39"/>
      <c r="AUB94" s="39"/>
      <c r="AUC94" s="39"/>
      <c r="AUD94" s="39"/>
      <c r="AUE94" s="39"/>
      <c r="AUF94" s="39"/>
      <c r="AUG94" s="39"/>
      <c r="AUH94" s="39"/>
      <c r="AUI94" s="39"/>
      <c r="AUJ94" s="39"/>
      <c r="AUK94" s="39"/>
      <c r="AUL94" s="39"/>
      <c r="AUM94" s="39"/>
      <c r="AUN94" s="39"/>
      <c r="AUO94" s="39"/>
      <c r="AUP94" s="39"/>
      <c r="AUQ94" s="39"/>
      <c r="AUR94" s="39"/>
      <c r="AUS94" s="39"/>
      <c r="AUT94" s="39"/>
      <c r="AUU94" s="39"/>
      <c r="AUV94" s="39"/>
      <c r="AUW94" s="39"/>
      <c r="AUX94" s="39"/>
      <c r="AUY94" s="39"/>
      <c r="AUZ94" s="39"/>
      <c r="AVA94" s="39"/>
      <c r="AVB94" s="39"/>
      <c r="AVC94" s="39"/>
      <c r="AVD94" s="39"/>
      <c r="AVE94" s="39"/>
      <c r="AVF94" s="39"/>
      <c r="AVG94" s="39"/>
      <c r="AVH94" s="39"/>
      <c r="AVI94" s="39"/>
      <c r="AVJ94" s="39"/>
      <c r="AVK94" s="39"/>
      <c r="AVL94" s="39"/>
      <c r="AVM94" s="39"/>
      <c r="AVN94" s="39"/>
      <c r="AVO94" s="39"/>
      <c r="AVP94" s="39"/>
      <c r="AVQ94" s="39"/>
      <c r="AVR94" s="39"/>
      <c r="AVS94" s="39"/>
      <c r="AVT94" s="39"/>
      <c r="AVU94" s="39"/>
      <c r="AVV94" s="39"/>
      <c r="AVW94" s="39"/>
      <c r="AVX94" s="39"/>
      <c r="AVY94" s="39"/>
      <c r="AVZ94" s="39"/>
      <c r="AWA94" s="39"/>
      <c r="AWB94" s="39"/>
      <c r="AWC94" s="39"/>
      <c r="AWD94" s="39"/>
      <c r="AWE94" s="39"/>
      <c r="AWF94" s="39"/>
      <c r="AWG94" s="39"/>
      <c r="AWH94" s="39"/>
      <c r="AWI94" s="39"/>
      <c r="AWJ94" s="39"/>
      <c r="AWK94" s="39"/>
      <c r="AWL94" s="39"/>
      <c r="AWM94" s="39"/>
      <c r="AWN94" s="39"/>
      <c r="AWO94" s="39"/>
      <c r="AWP94" s="39"/>
      <c r="AWQ94" s="39"/>
      <c r="AWR94" s="39"/>
      <c r="AWS94" s="39"/>
      <c r="AWT94" s="39"/>
      <c r="AWU94" s="39"/>
      <c r="AWV94" s="39"/>
      <c r="AWW94" s="39"/>
      <c r="AWX94" s="39"/>
      <c r="AWY94" s="39"/>
      <c r="AWZ94" s="39"/>
      <c r="AXA94" s="39"/>
      <c r="AXB94" s="39"/>
      <c r="AXC94" s="39"/>
      <c r="AXD94" s="39"/>
      <c r="AXE94" s="39"/>
      <c r="AXF94" s="39"/>
      <c r="AXG94" s="39"/>
      <c r="AXH94" s="39"/>
      <c r="AXI94" s="39"/>
      <c r="AXJ94" s="39"/>
      <c r="AXK94" s="39"/>
      <c r="AXL94" s="39"/>
      <c r="AXM94" s="39"/>
      <c r="AXN94" s="39"/>
      <c r="AXO94" s="39"/>
      <c r="AXP94" s="39"/>
      <c r="AXQ94" s="39"/>
      <c r="AXR94" s="39"/>
      <c r="AXS94" s="39"/>
      <c r="AXT94" s="39"/>
      <c r="AXU94" s="39"/>
      <c r="AXV94" s="39"/>
      <c r="AXW94" s="39"/>
      <c r="AXX94" s="39"/>
      <c r="AXY94" s="39"/>
      <c r="AXZ94" s="39"/>
      <c r="AYA94" s="39"/>
      <c r="AYB94" s="39"/>
      <c r="AYC94" s="39"/>
      <c r="AYD94" s="39"/>
      <c r="AYE94" s="39"/>
      <c r="AYF94" s="39"/>
      <c r="AYG94" s="39"/>
      <c r="AYH94" s="39"/>
      <c r="AYI94" s="39"/>
      <c r="AYJ94" s="39"/>
      <c r="AYK94" s="39"/>
      <c r="AYL94" s="39"/>
      <c r="AYM94" s="39"/>
      <c r="AYN94" s="39"/>
      <c r="AYO94" s="39"/>
      <c r="AYP94" s="39"/>
      <c r="AYQ94" s="39"/>
      <c r="AYR94" s="39"/>
      <c r="AYS94" s="39"/>
      <c r="AYT94" s="39"/>
      <c r="AYU94" s="39"/>
      <c r="AYV94" s="39"/>
      <c r="AYW94" s="39"/>
      <c r="AYX94" s="39"/>
      <c r="AYY94" s="39"/>
      <c r="AYZ94" s="39"/>
      <c r="AZA94" s="39"/>
      <c r="AZB94" s="39"/>
      <c r="AZC94" s="39"/>
      <c r="AZD94" s="39"/>
      <c r="AZE94" s="39"/>
      <c r="AZF94" s="39"/>
      <c r="AZG94" s="39"/>
      <c r="AZH94" s="39"/>
      <c r="AZI94" s="39"/>
      <c r="AZJ94" s="39"/>
      <c r="AZK94" s="39"/>
      <c r="AZL94" s="39"/>
      <c r="AZM94" s="39"/>
      <c r="AZN94" s="39"/>
      <c r="AZO94" s="39"/>
      <c r="AZP94" s="39"/>
      <c r="AZQ94" s="39"/>
      <c r="AZR94" s="39"/>
      <c r="AZS94" s="39"/>
      <c r="AZT94" s="39"/>
      <c r="AZU94" s="39"/>
      <c r="AZV94" s="39"/>
      <c r="AZW94" s="39"/>
      <c r="AZX94" s="39"/>
      <c r="AZY94" s="39"/>
      <c r="AZZ94" s="39"/>
      <c r="BAA94" s="39"/>
      <c r="BAB94" s="39"/>
      <c r="BAC94" s="39"/>
      <c r="BAD94" s="39"/>
      <c r="BAE94" s="39"/>
      <c r="BAF94" s="39"/>
      <c r="BAG94" s="39"/>
      <c r="BAH94" s="39"/>
      <c r="BAI94" s="39"/>
      <c r="BAJ94" s="39"/>
      <c r="BAK94" s="39"/>
      <c r="BAL94" s="39"/>
      <c r="BAM94" s="39"/>
      <c r="BAN94" s="39"/>
      <c r="BAO94" s="39"/>
      <c r="BAP94" s="39"/>
      <c r="BAQ94" s="39"/>
      <c r="BAR94" s="39"/>
      <c r="BAS94" s="39"/>
      <c r="BAT94" s="39"/>
      <c r="BAU94" s="39"/>
      <c r="BAV94" s="39"/>
      <c r="BAW94" s="39"/>
      <c r="BAX94" s="39"/>
      <c r="BAY94" s="39"/>
      <c r="BAZ94" s="39"/>
      <c r="BBA94" s="39"/>
      <c r="BBB94" s="39"/>
      <c r="BBC94" s="39"/>
      <c r="BBD94" s="39"/>
      <c r="BBE94" s="39"/>
      <c r="BBF94" s="39"/>
      <c r="BBG94" s="39"/>
      <c r="BBH94" s="39"/>
      <c r="BBI94" s="39"/>
      <c r="BBJ94" s="39"/>
      <c r="BBK94" s="39"/>
      <c r="BBL94" s="39"/>
      <c r="BBM94" s="39"/>
      <c r="BBN94" s="39"/>
      <c r="BBO94" s="39"/>
      <c r="BBP94" s="39"/>
      <c r="BBQ94" s="39"/>
      <c r="BBR94" s="39"/>
      <c r="BBS94" s="39"/>
      <c r="BBT94" s="39"/>
      <c r="BBU94" s="39"/>
      <c r="BBV94" s="39"/>
      <c r="BBW94" s="39"/>
      <c r="BBX94" s="39"/>
      <c r="BBY94" s="39"/>
      <c r="BBZ94" s="39"/>
      <c r="BCA94" s="39"/>
      <c r="BCB94" s="39"/>
      <c r="BCC94" s="39"/>
      <c r="BCD94" s="39"/>
      <c r="BCE94" s="39"/>
      <c r="BCF94" s="39"/>
      <c r="BCG94" s="39"/>
      <c r="BCH94" s="39"/>
      <c r="BCI94" s="39"/>
      <c r="BCJ94" s="39"/>
      <c r="BCK94" s="39"/>
      <c r="BCL94" s="39"/>
      <c r="BCM94" s="39"/>
      <c r="BCN94" s="39"/>
      <c r="BCO94" s="39"/>
      <c r="BCP94" s="39"/>
      <c r="BCQ94" s="39"/>
      <c r="BCR94" s="39"/>
      <c r="BCS94" s="39"/>
      <c r="BCT94" s="39"/>
      <c r="BCU94" s="39"/>
      <c r="BCV94" s="39"/>
      <c r="BCW94" s="39"/>
      <c r="BCX94" s="39"/>
      <c r="BCY94" s="39"/>
      <c r="BCZ94" s="39"/>
      <c r="BDA94" s="39"/>
      <c r="BDB94" s="39"/>
      <c r="BDC94" s="39"/>
      <c r="BDD94" s="39"/>
      <c r="BDE94" s="39"/>
      <c r="BDF94" s="39"/>
      <c r="BDG94" s="39"/>
      <c r="BDH94" s="39"/>
      <c r="BDI94" s="39"/>
      <c r="BDJ94" s="39"/>
      <c r="BDK94" s="39"/>
      <c r="BDL94" s="39"/>
      <c r="BDM94" s="39"/>
      <c r="BDN94" s="39"/>
      <c r="BDO94" s="39"/>
      <c r="BDP94" s="39"/>
      <c r="BDQ94" s="39"/>
      <c r="BDR94" s="39"/>
      <c r="BDS94" s="39"/>
      <c r="BDT94" s="39"/>
      <c r="BDU94" s="39"/>
      <c r="BDV94" s="39"/>
      <c r="BDW94" s="39"/>
      <c r="BDX94" s="39"/>
      <c r="BDY94" s="39"/>
      <c r="BDZ94" s="39"/>
      <c r="BEA94" s="39"/>
      <c r="BEB94" s="39"/>
      <c r="BEC94" s="39"/>
      <c r="BED94" s="39"/>
      <c r="BEE94" s="39"/>
      <c r="BEF94" s="39"/>
      <c r="BEG94" s="39"/>
      <c r="BEH94" s="39"/>
      <c r="BEI94" s="39"/>
      <c r="BEJ94" s="39"/>
      <c r="BEK94" s="39"/>
      <c r="BEL94" s="39"/>
      <c r="BEM94" s="39"/>
      <c r="BEN94" s="39"/>
      <c r="BEO94" s="39"/>
      <c r="BEP94" s="39"/>
      <c r="BEQ94" s="39"/>
      <c r="BER94" s="39"/>
      <c r="BES94" s="39"/>
      <c r="BET94" s="39"/>
      <c r="BEU94" s="39"/>
      <c r="BEV94" s="39"/>
      <c r="BEW94" s="39"/>
      <c r="BEX94" s="39"/>
      <c r="BEY94" s="39"/>
      <c r="BEZ94" s="39"/>
      <c r="BFA94" s="39"/>
      <c r="BFB94" s="39"/>
      <c r="BFC94" s="39"/>
      <c r="BFD94" s="39"/>
      <c r="BFE94" s="39"/>
      <c r="BFF94" s="39"/>
      <c r="BFG94" s="39"/>
      <c r="BFH94" s="39"/>
      <c r="BFI94" s="39"/>
      <c r="BFJ94" s="39"/>
      <c r="BFK94" s="39"/>
      <c r="BFL94" s="39"/>
      <c r="BFM94" s="39"/>
      <c r="BFN94" s="39"/>
      <c r="BFO94" s="39"/>
      <c r="BFP94" s="39"/>
      <c r="BFQ94" s="39"/>
      <c r="BFR94" s="39"/>
      <c r="BFS94" s="39"/>
      <c r="BFT94" s="39"/>
      <c r="BFU94" s="39"/>
      <c r="BFV94" s="39"/>
      <c r="BFW94" s="39"/>
      <c r="BFX94" s="39"/>
      <c r="BFY94" s="39"/>
      <c r="BFZ94" s="39"/>
      <c r="BGA94" s="39"/>
      <c r="BGB94" s="39"/>
      <c r="BGC94" s="39"/>
      <c r="BGD94" s="39"/>
      <c r="BGE94" s="39"/>
      <c r="BGF94" s="39"/>
      <c r="BGG94" s="39"/>
      <c r="BGH94" s="39"/>
      <c r="BGI94" s="39"/>
      <c r="BGJ94" s="39"/>
      <c r="BGK94" s="39"/>
      <c r="BGL94" s="39"/>
      <c r="BGM94" s="39"/>
      <c r="BGN94" s="39"/>
      <c r="BGO94" s="39"/>
      <c r="BGP94" s="39"/>
      <c r="BGQ94" s="39"/>
      <c r="BGR94" s="39"/>
      <c r="BGS94" s="39"/>
      <c r="BGT94" s="39"/>
      <c r="BGU94" s="39"/>
      <c r="BGV94" s="39"/>
      <c r="BGW94" s="39"/>
      <c r="BGX94" s="39"/>
      <c r="BGY94" s="39"/>
      <c r="BGZ94" s="39"/>
      <c r="BHA94" s="39"/>
      <c r="BHB94" s="39"/>
      <c r="BHC94" s="39"/>
      <c r="BHD94" s="39"/>
      <c r="BHE94" s="39"/>
      <c r="BHF94" s="39"/>
      <c r="BHG94" s="39"/>
      <c r="BHH94" s="39"/>
      <c r="BHI94" s="39"/>
      <c r="BHJ94" s="39"/>
      <c r="BHK94" s="39"/>
      <c r="BHL94" s="39"/>
      <c r="BHM94" s="39"/>
      <c r="BHN94" s="39"/>
      <c r="BHO94" s="39"/>
      <c r="BHP94" s="39"/>
      <c r="BHQ94" s="39"/>
      <c r="BHR94" s="39"/>
      <c r="BHS94" s="39"/>
      <c r="BHT94" s="39"/>
      <c r="BHU94" s="39"/>
      <c r="BHV94" s="39"/>
      <c r="BHW94" s="39"/>
      <c r="BHX94" s="39"/>
      <c r="BHY94" s="39"/>
      <c r="BHZ94" s="39"/>
      <c r="BIA94" s="39"/>
      <c r="BIB94" s="39"/>
      <c r="BIC94" s="39"/>
      <c r="BID94" s="39"/>
      <c r="BIE94" s="39"/>
      <c r="BIF94" s="39"/>
      <c r="BIG94" s="39"/>
      <c r="BIH94" s="39"/>
      <c r="BII94" s="39"/>
      <c r="BIJ94" s="39"/>
      <c r="BIK94" s="39"/>
      <c r="BIL94" s="39"/>
      <c r="BIM94" s="39"/>
      <c r="BIN94" s="39"/>
      <c r="BIO94" s="39"/>
      <c r="BIP94" s="39"/>
      <c r="BIQ94" s="39"/>
      <c r="BIR94" s="39"/>
      <c r="BIS94" s="39"/>
      <c r="BIT94" s="39"/>
      <c r="BIU94" s="39"/>
      <c r="BIV94" s="39"/>
      <c r="BIW94" s="39"/>
      <c r="BIX94" s="39"/>
      <c r="BIY94" s="39"/>
      <c r="BIZ94" s="39"/>
      <c r="BJA94" s="39"/>
      <c r="BJB94" s="39"/>
      <c r="BJC94" s="39"/>
      <c r="BJD94" s="39"/>
      <c r="BJE94" s="39"/>
      <c r="BJF94" s="39"/>
      <c r="BJG94" s="39"/>
      <c r="BJH94" s="39"/>
      <c r="BJI94" s="39"/>
      <c r="BJJ94" s="39"/>
      <c r="BJK94" s="39"/>
      <c r="BJL94" s="39"/>
      <c r="BJM94" s="39"/>
      <c r="BJN94" s="39"/>
      <c r="BJO94" s="39"/>
      <c r="BJP94" s="39"/>
      <c r="BJQ94" s="39"/>
      <c r="BJR94" s="39"/>
      <c r="BJS94" s="39"/>
      <c r="BJT94" s="39"/>
      <c r="BJU94" s="39"/>
      <c r="BJV94" s="39"/>
      <c r="BJW94" s="39"/>
      <c r="BJX94" s="39"/>
      <c r="BJY94" s="39"/>
      <c r="BJZ94" s="39"/>
      <c r="BKA94" s="39"/>
      <c r="BKB94" s="39"/>
      <c r="BKC94" s="39"/>
      <c r="BKD94" s="39"/>
      <c r="BKE94" s="39"/>
      <c r="BKF94" s="39"/>
      <c r="BKG94" s="39"/>
      <c r="BKH94" s="39"/>
      <c r="BKI94" s="39"/>
      <c r="BKJ94" s="39"/>
      <c r="BKK94" s="39"/>
      <c r="BKL94" s="39"/>
      <c r="BKM94" s="39"/>
      <c r="BKN94" s="39"/>
      <c r="BKO94" s="39"/>
      <c r="BKP94" s="39"/>
      <c r="BKQ94" s="39"/>
      <c r="BKR94" s="39"/>
      <c r="BKS94" s="39"/>
      <c r="BKT94" s="39"/>
      <c r="BKU94" s="39"/>
      <c r="BKV94" s="39"/>
      <c r="BKW94" s="39"/>
      <c r="BKX94" s="39"/>
      <c r="BKY94" s="39"/>
      <c r="BKZ94" s="39"/>
      <c r="BLA94" s="39"/>
      <c r="BLB94" s="39"/>
      <c r="BLC94" s="39"/>
      <c r="BLD94" s="39"/>
      <c r="BLE94" s="39"/>
      <c r="BLF94" s="39"/>
      <c r="BLG94" s="39"/>
      <c r="BLH94" s="39"/>
      <c r="BLI94" s="39"/>
      <c r="BLJ94" s="39"/>
      <c r="BLK94" s="39"/>
      <c r="BLL94" s="39"/>
      <c r="BLM94" s="39"/>
      <c r="BLN94" s="39"/>
      <c r="BLO94" s="39"/>
      <c r="BLP94" s="39"/>
      <c r="BLQ94" s="39"/>
      <c r="BLR94" s="39"/>
      <c r="BLS94" s="39"/>
      <c r="BLT94" s="39"/>
      <c r="BLU94" s="39"/>
      <c r="BLV94" s="39"/>
      <c r="BLW94" s="39"/>
      <c r="BLX94" s="39"/>
      <c r="BLY94" s="39"/>
      <c r="BLZ94" s="39"/>
      <c r="BMA94" s="39"/>
      <c r="BMB94" s="39"/>
      <c r="BMC94" s="39"/>
      <c r="BMD94" s="39"/>
      <c r="BME94" s="39"/>
      <c r="BMF94" s="39"/>
      <c r="BMG94" s="39"/>
      <c r="BMH94" s="39"/>
      <c r="BMI94" s="39"/>
      <c r="BMJ94" s="39"/>
      <c r="BMK94" s="39"/>
      <c r="BML94" s="39"/>
      <c r="BMM94" s="39"/>
      <c r="BMN94" s="39"/>
      <c r="BMO94" s="39"/>
      <c r="BMP94" s="39"/>
      <c r="BMQ94" s="39"/>
      <c r="BMR94" s="39"/>
      <c r="BMS94" s="39"/>
      <c r="BMT94" s="39"/>
      <c r="BMU94" s="39"/>
      <c r="BMV94" s="39"/>
      <c r="BMW94" s="39"/>
      <c r="BMX94" s="39"/>
      <c r="BMY94" s="39"/>
      <c r="BMZ94" s="39"/>
      <c r="BNA94" s="39"/>
      <c r="BNB94" s="39"/>
      <c r="BNC94" s="39"/>
      <c r="BND94" s="39"/>
      <c r="BNE94" s="39"/>
      <c r="BNF94" s="39"/>
      <c r="BNG94" s="39"/>
      <c r="BNH94" s="39"/>
      <c r="BNI94" s="39"/>
      <c r="BNJ94" s="39"/>
      <c r="BNK94" s="39"/>
      <c r="BNL94" s="39"/>
      <c r="BNM94" s="39"/>
      <c r="BNN94" s="39"/>
      <c r="BNO94" s="39"/>
      <c r="BNP94" s="39"/>
      <c r="BNQ94" s="39"/>
      <c r="BNR94" s="39"/>
      <c r="BNS94" s="39"/>
      <c r="BNT94" s="39"/>
      <c r="BNU94" s="39"/>
      <c r="BNV94" s="39"/>
      <c r="BNW94" s="39"/>
      <c r="BNX94" s="39"/>
      <c r="BNY94" s="39"/>
      <c r="BNZ94" s="39"/>
      <c r="BOA94" s="39"/>
      <c r="BOB94" s="39"/>
      <c r="BOC94" s="39"/>
      <c r="BOD94" s="39"/>
      <c r="BOE94" s="39"/>
      <c r="BOF94" s="39"/>
      <c r="BOG94" s="39"/>
      <c r="BOH94" s="39"/>
      <c r="BOI94" s="39"/>
      <c r="BOJ94" s="39"/>
      <c r="BOK94" s="39"/>
      <c r="BOL94" s="39"/>
      <c r="BOM94" s="39"/>
      <c r="BON94" s="39"/>
      <c r="BOO94" s="39"/>
      <c r="BOP94" s="39"/>
      <c r="BOQ94" s="39"/>
      <c r="BOR94" s="39"/>
      <c r="BOS94" s="39"/>
      <c r="BOT94" s="39"/>
      <c r="BOU94" s="39"/>
      <c r="BOV94" s="39"/>
      <c r="BOW94" s="39"/>
      <c r="BOX94" s="39"/>
      <c r="BOY94" s="39"/>
      <c r="BOZ94" s="39"/>
      <c r="BPA94" s="39"/>
      <c r="BPB94" s="39"/>
      <c r="BPC94" s="39"/>
      <c r="BPD94" s="39"/>
      <c r="BPE94" s="39"/>
      <c r="BPF94" s="39"/>
      <c r="BPG94" s="39"/>
      <c r="BPH94" s="39"/>
      <c r="BPI94" s="39"/>
      <c r="BPJ94" s="39"/>
      <c r="BPK94" s="39"/>
      <c r="BPL94" s="39"/>
      <c r="BPM94" s="39"/>
      <c r="BPN94" s="39"/>
      <c r="BPO94" s="39"/>
      <c r="BPP94" s="39"/>
      <c r="BPQ94" s="39"/>
      <c r="BPR94" s="39"/>
      <c r="BPS94" s="39"/>
      <c r="BPT94" s="39"/>
      <c r="BPU94" s="39"/>
      <c r="BPV94" s="39"/>
      <c r="BPW94" s="39"/>
      <c r="BPX94" s="39"/>
      <c r="BPY94" s="39"/>
      <c r="BPZ94" s="39"/>
      <c r="BQA94" s="39"/>
      <c r="BQB94" s="39"/>
      <c r="BQC94" s="39"/>
      <c r="BQD94" s="39"/>
      <c r="BQE94" s="39"/>
      <c r="BQF94" s="39"/>
      <c r="BQG94" s="39"/>
      <c r="BQH94" s="39"/>
      <c r="BQI94" s="39"/>
      <c r="BQJ94" s="39"/>
      <c r="BQK94" s="39"/>
      <c r="BQL94" s="39"/>
      <c r="BQM94" s="39"/>
      <c r="BQN94" s="39"/>
      <c r="BQO94" s="39"/>
      <c r="BQP94" s="39"/>
      <c r="BQQ94" s="39"/>
      <c r="BQR94" s="39"/>
      <c r="BQS94" s="39"/>
      <c r="BQT94" s="39"/>
      <c r="BQU94" s="39"/>
      <c r="BQV94" s="39"/>
      <c r="BQW94" s="39"/>
      <c r="BQX94" s="39"/>
      <c r="BQY94" s="39"/>
      <c r="BQZ94" s="39"/>
      <c r="BRA94" s="39"/>
      <c r="BRB94" s="39"/>
      <c r="BRC94" s="39"/>
      <c r="BRD94" s="39"/>
      <c r="BRE94" s="39"/>
      <c r="BRF94" s="39"/>
      <c r="BRG94" s="39"/>
      <c r="BRH94" s="39"/>
      <c r="BRI94" s="39"/>
      <c r="BRJ94" s="39"/>
      <c r="BRK94" s="39"/>
      <c r="BRL94" s="39"/>
      <c r="BRM94" s="39"/>
      <c r="BRN94" s="39"/>
      <c r="BRO94" s="39"/>
      <c r="BRP94" s="39"/>
      <c r="BRQ94" s="39"/>
      <c r="BRR94" s="39"/>
      <c r="BRS94" s="39"/>
      <c r="BRT94" s="39"/>
      <c r="BRU94" s="39"/>
      <c r="BRV94" s="39"/>
      <c r="BRW94" s="39"/>
      <c r="BRX94" s="39"/>
      <c r="BRY94" s="39"/>
      <c r="BRZ94" s="39"/>
      <c r="BSA94" s="39"/>
      <c r="BSB94" s="39"/>
      <c r="BSC94" s="39"/>
      <c r="BSD94" s="39"/>
      <c r="BSE94" s="39"/>
      <c r="BSF94" s="39"/>
      <c r="BSG94" s="39"/>
      <c r="BSH94" s="39"/>
      <c r="BSI94" s="39"/>
      <c r="BSJ94" s="39"/>
      <c r="BSK94" s="39"/>
      <c r="BSL94" s="39"/>
      <c r="BSM94" s="39"/>
      <c r="BSN94" s="39"/>
      <c r="BSO94" s="39"/>
      <c r="BSP94" s="39"/>
      <c r="BSQ94" s="39"/>
      <c r="BSR94" s="39"/>
      <c r="BSS94" s="39"/>
      <c r="BST94" s="39"/>
      <c r="BSU94" s="39"/>
      <c r="BSV94" s="39"/>
      <c r="BSW94" s="39"/>
      <c r="BSX94" s="39"/>
      <c r="BSY94" s="39"/>
      <c r="BSZ94" s="39"/>
      <c r="BTA94" s="39"/>
      <c r="BTB94" s="39"/>
      <c r="BTC94" s="39"/>
      <c r="BTD94" s="39"/>
      <c r="BTE94" s="39"/>
      <c r="BTF94" s="39"/>
      <c r="BTG94" s="39"/>
      <c r="BTH94" s="39"/>
      <c r="BTI94" s="39"/>
      <c r="BTJ94" s="39"/>
      <c r="BTK94" s="39"/>
      <c r="BTL94" s="39"/>
      <c r="BTM94" s="39"/>
      <c r="BTN94" s="39"/>
      <c r="BTO94" s="39"/>
      <c r="BTP94" s="39"/>
      <c r="BTQ94" s="39"/>
      <c r="BTR94" s="39"/>
      <c r="BTS94" s="39"/>
      <c r="BTT94" s="39"/>
      <c r="BTU94" s="39"/>
      <c r="BTV94" s="39"/>
      <c r="BTW94" s="39"/>
      <c r="BTX94" s="39"/>
      <c r="BTY94" s="39"/>
      <c r="BTZ94" s="39"/>
      <c r="BUA94" s="39"/>
      <c r="BUB94" s="39"/>
      <c r="BUC94" s="39"/>
      <c r="BUD94" s="39"/>
      <c r="BUE94" s="39"/>
      <c r="BUF94" s="39"/>
      <c r="BUG94" s="39"/>
      <c r="BUH94" s="39"/>
      <c r="BUI94" s="39"/>
      <c r="BUJ94" s="39"/>
      <c r="BUK94" s="39"/>
      <c r="BUL94" s="39"/>
      <c r="BUM94" s="39"/>
      <c r="BUN94" s="39"/>
      <c r="BUO94" s="39"/>
      <c r="BUP94" s="39"/>
      <c r="BUQ94" s="39"/>
      <c r="BUR94" s="39"/>
      <c r="BUS94" s="39"/>
      <c r="BUT94" s="39"/>
      <c r="BUU94" s="39"/>
      <c r="BUV94" s="39"/>
      <c r="BUW94" s="39"/>
      <c r="BUX94" s="39"/>
      <c r="BUY94" s="39"/>
      <c r="BUZ94" s="39"/>
      <c r="BVA94" s="39"/>
      <c r="BVB94" s="39"/>
      <c r="BVC94" s="39"/>
      <c r="BVD94" s="39"/>
      <c r="BVE94" s="39"/>
      <c r="BVF94" s="39"/>
      <c r="BVG94" s="39"/>
      <c r="BVH94" s="39"/>
      <c r="BVI94" s="39"/>
      <c r="BVJ94" s="39"/>
      <c r="BVK94" s="39"/>
      <c r="BVL94" s="39"/>
      <c r="BVM94" s="39"/>
      <c r="BVN94" s="39"/>
      <c r="BVO94" s="39"/>
      <c r="BVP94" s="39"/>
      <c r="BVQ94" s="39"/>
      <c r="BVR94" s="39"/>
      <c r="BVS94" s="39"/>
      <c r="BVT94" s="39"/>
      <c r="BVU94" s="39"/>
      <c r="BVV94" s="39"/>
      <c r="BVW94" s="39"/>
      <c r="BVX94" s="39"/>
      <c r="BVY94" s="39"/>
      <c r="BVZ94" s="39"/>
      <c r="BWA94" s="39"/>
      <c r="BWB94" s="39"/>
      <c r="BWC94" s="39"/>
      <c r="BWD94" s="39"/>
      <c r="BWE94" s="39"/>
      <c r="BWF94" s="39"/>
      <c r="BWG94" s="39"/>
      <c r="BWH94" s="39"/>
      <c r="BWI94" s="39"/>
      <c r="BWJ94" s="39"/>
      <c r="BWK94" s="39"/>
      <c r="BWL94" s="39"/>
      <c r="BWM94" s="39"/>
      <c r="BWN94" s="39"/>
      <c r="BWO94" s="39"/>
      <c r="BWP94" s="39"/>
      <c r="BWQ94" s="39"/>
      <c r="BWR94" s="39"/>
      <c r="BWS94" s="39"/>
      <c r="BWT94" s="39"/>
      <c r="BWU94" s="39"/>
      <c r="BWV94" s="39"/>
      <c r="BWW94" s="39"/>
      <c r="BWX94" s="39"/>
      <c r="BWY94" s="39"/>
      <c r="BWZ94" s="39"/>
      <c r="BXA94" s="39"/>
      <c r="BXB94" s="39"/>
      <c r="BXC94" s="39"/>
      <c r="BXD94" s="39"/>
      <c r="BXE94" s="39"/>
      <c r="BXF94" s="39"/>
      <c r="BXG94" s="39"/>
      <c r="BXH94" s="39"/>
      <c r="BXI94" s="39"/>
      <c r="BXJ94" s="39"/>
      <c r="BXK94" s="39"/>
      <c r="BXL94" s="39"/>
      <c r="BXM94" s="39"/>
      <c r="BXN94" s="39"/>
      <c r="BXO94" s="39"/>
      <c r="BXP94" s="39"/>
      <c r="BXQ94" s="39"/>
      <c r="BXR94" s="39"/>
      <c r="BXS94" s="39"/>
      <c r="BXT94" s="39"/>
      <c r="BXU94" s="39"/>
      <c r="BXV94" s="39"/>
      <c r="BXW94" s="39"/>
      <c r="BXX94" s="39"/>
      <c r="BXY94" s="39"/>
      <c r="BXZ94" s="39"/>
      <c r="BYA94" s="39"/>
      <c r="BYB94" s="39"/>
      <c r="BYC94" s="39"/>
      <c r="BYD94" s="39"/>
      <c r="BYE94" s="39"/>
      <c r="BYF94" s="39"/>
      <c r="BYG94" s="39"/>
      <c r="BYH94" s="39"/>
      <c r="BYI94" s="39"/>
      <c r="BYJ94" s="39"/>
      <c r="BYK94" s="39"/>
      <c r="BYL94" s="39"/>
      <c r="BYM94" s="39"/>
      <c r="BYN94" s="39"/>
      <c r="BYO94" s="39"/>
      <c r="BYP94" s="39"/>
      <c r="BYQ94" s="39"/>
      <c r="BYR94" s="39"/>
      <c r="BYS94" s="39"/>
      <c r="BYT94" s="39"/>
      <c r="BYU94" s="39"/>
      <c r="BYV94" s="39"/>
      <c r="BYW94" s="39"/>
      <c r="BYX94" s="39"/>
      <c r="BYY94" s="39"/>
      <c r="BYZ94" s="39"/>
      <c r="BZA94" s="39"/>
      <c r="BZB94" s="39"/>
      <c r="BZC94" s="39"/>
      <c r="BZD94" s="39"/>
      <c r="BZE94" s="39"/>
      <c r="BZF94" s="39"/>
      <c r="BZG94" s="39"/>
      <c r="BZH94" s="39"/>
      <c r="BZI94" s="39"/>
      <c r="BZJ94" s="39"/>
      <c r="BZK94" s="39"/>
      <c r="BZL94" s="39"/>
      <c r="BZM94" s="39"/>
      <c r="BZN94" s="39"/>
      <c r="BZO94" s="39"/>
      <c r="BZP94" s="39"/>
      <c r="BZQ94" s="39"/>
      <c r="BZR94" s="39"/>
      <c r="BZS94" s="39"/>
      <c r="BZT94" s="39"/>
      <c r="BZU94" s="39"/>
      <c r="BZV94" s="39"/>
      <c r="BZW94" s="39"/>
      <c r="BZX94" s="39"/>
      <c r="BZY94" s="39"/>
      <c r="BZZ94" s="39"/>
      <c r="CAA94" s="39"/>
      <c r="CAB94" s="39"/>
      <c r="CAC94" s="39"/>
      <c r="CAD94" s="39"/>
      <c r="CAE94" s="39"/>
      <c r="CAF94" s="39"/>
      <c r="CAG94" s="39"/>
      <c r="CAH94" s="39"/>
      <c r="CAI94" s="39"/>
      <c r="CAJ94" s="39"/>
      <c r="CAK94" s="39"/>
      <c r="CAL94" s="39"/>
      <c r="CAM94" s="39"/>
      <c r="CAN94" s="39"/>
      <c r="CAO94" s="39"/>
      <c r="CAP94" s="39"/>
      <c r="CAQ94" s="39"/>
      <c r="CAR94" s="39"/>
      <c r="CAS94" s="39"/>
      <c r="CAT94" s="39"/>
      <c r="CAU94" s="39"/>
      <c r="CAV94" s="39"/>
      <c r="CAW94" s="39"/>
      <c r="CAX94" s="39"/>
      <c r="CAY94" s="39"/>
      <c r="CAZ94" s="39"/>
      <c r="CBA94" s="39"/>
      <c r="CBB94" s="39"/>
      <c r="CBC94" s="39"/>
      <c r="CBD94" s="39"/>
      <c r="CBE94" s="39"/>
      <c r="CBF94" s="39"/>
      <c r="CBG94" s="39"/>
      <c r="CBH94" s="39"/>
      <c r="CBI94" s="39"/>
      <c r="CBJ94" s="39"/>
      <c r="CBK94" s="39"/>
      <c r="CBL94" s="39"/>
      <c r="CBM94" s="39"/>
      <c r="CBN94" s="39"/>
      <c r="CBO94" s="39"/>
      <c r="CBP94" s="39"/>
      <c r="CBQ94" s="39"/>
      <c r="CBR94" s="39"/>
      <c r="CBS94" s="39"/>
      <c r="CBT94" s="39"/>
      <c r="CBU94" s="39"/>
      <c r="CBV94" s="39"/>
      <c r="CBW94" s="39"/>
      <c r="CBX94" s="39"/>
      <c r="CBY94" s="39"/>
      <c r="CBZ94" s="39"/>
      <c r="CCA94" s="39"/>
      <c r="CCB94" s="39"/>
      <c r="CCC94" s="39"/>
      <c r="CCD94" s="39"/>
      <c r="CCE94" s="39"/>
      <c r="CCF94" s="39"/>
      <c r="CCG94" s="39"/>
      <c r="CCH94" s="39"/>
      <c r="CCI94" s="39"/>
      <c r="CCJ94" s="39"/>
      <c r="CCK94" s="39"/>
      <c r="CCL94" s="39"/>
      <c r="CCM94" s="39"/>
      <c r="CCN94" s="39"/>
      <c r="CCO94" s="39"/>
      <c r="CCP94" s="39"/>
      <c r="CCQ94" s="39"/>
      <c r="CCR94" s="39"/>
      <c r="CCS94" s="39"/>
      <c r="CCT94" s="39"/>
      <c r="CCU94" s="39"/>
      <c r="CCV94" s="39"/>
      <c r="CCW94" s="39"/>
      <c r="CCX94" s="39"/>
      <c r="CCY94" s="39"/>
      <c r="CCZ94" s="39"/>
      <c r="CDA94" s="39"/>
      <c r="CDB94" s="39"/>
      <c r="CDC94" s="39"/>
      <c r="CDD94" s="39"/>
      <c r="CDE94" s="39"/>
      <c r="CDF94" s="39"/>
      <c r="CDG94" s="39"/>
      <c r="CDH94" s="39"/>
      <c r="CDI94" s="39"/>
      <c r="CDJ94" s="39"/>
      <c r="CDK94" s="39"/>
      <c r="CDL94" s="39"/>
      <c r="CDM94" s="39"/>
      <c r="CDN94" s="39"/>
      <c r="CDO94" s="39"/>
      <c r="CDP94" s="39"/>
      <c r="CDQ94" s="39"/>
      <c r="CDR94" s="39"/>
      <c r="CDS94" s="39"/>
      <c r="CDT94" s="39"/>
      <c r="CDU94" s="39"/>
      <c r="CDV94" s="39"/>
      <c r="CDW94" s="39"/>
      <c r="CDX94" s="39"/>
      <c r="CDY94" s="39"/>
      <c r="CDZ94" s="39"/>
      <c r="CEA94" s="39"/>
      <c r="CEB94" s="39"/>
      <c r="CEC94" s="39"/>
      <c r="CED94" s="39"/>
      <c r="CEE94" s="39"/>
      <c r="CEF94" s="39"/>
      <c r="CEG94" s="39"/>
      <c r="CEH94" s="39"/>
      <c r="CEI94" s="39"/>
      <c r="CEJ94" s="39"/>
      <c r="CEK94" s="39"/>
      <c r="CEL94" s="39"/>
      <c r="CEM94" s="39"/>
      <c r="CEN94" s="39"/>
      <c r="CEO94" s="39"/>
      <c r="CEP94" s="39"/>
      <c r="CEQ94" s="39"/>
      <c r="CER94" s="39"/>
      <c r="CES94" s="39"/>
      <c r="CET94" s="39"/>
      <c r="CEU94" s="39"/>
      <c r="CEV94" s="39"/>
      <c r="CEW94" s="39"/>
      <c r="CEX94" s="39"/>
      <c r="CEY94" s="39"/>
      <c r="CEZ94" s="39"/>
      <c r="CFA94" s="39"/>
      <c r="CFB94" s="39"/>
      <c r="CFC94" s="39"/>
      <c r="CFD94" s="39"/>
      <c r="CFE94" s="39"/>
      <c r="CFF94" s="39"/>
      <c r="CFG94" s="39"/>
      <c r="CFH94" s="39"/>
      <c r="CFI94" s="39"/>
      <c r="CFJ94" s="39"/>
      <c r="CFK94" s="39"/>
      <c r="CFL94" s="39"/>
      <c r="CFM94" s="39"/>
      <c r="CFN94" s="39"/>
      <c r="CFO94" s="39"/>
      <c r="CFP94" s="39"/>
      <c r="CFQ94" s="39"/>
      <c r="CFR94" s="39"/>
      <c r="CFS94" s="39"/>
      <c r="CFT94" s="39"/>
      <c r="CFU94" s="39"/>
      <c r="CFV94" s="39"/>
      <c r="CFW94" s="39"/>
      <c r="CFX94" s="39"/>
      <c r="CFY94" s="39"/>
      <c r="CFZ94" s="39"/>
      <c r="CGA94" s="39"/>
      <c r="CGB94" s="39"/>
      <c r="CGC94" s="39"/>
      <c r="CGD94" s="39"/>
      <c r="CGE94" s="39"/>
      <c r="CGF94" s="39"/>
      <c r="CGG94" s="39"/>
      <c r="CGH94" s="39"/>
      <c r="CGI94" s="39"/>
      <c r="CGJ94" s="39"/>
      <c r="CGK94" s="39"/>
      <c r="CGL94" s="39"/>
      <c r="CGM94" s="39"/>
      <c r="CGN94" s="39"/>
      <c r="CGO94" s="39"/>
      <c r="CGP94" s="39"/>
      <c r="CGQ94" s="39"/>
      <c r="CGR94" s="39"/>
      <c r="CGS94" s="39"/>
      <c r="CGT94" s="39"/>
      <c r="CGU94" s="39"/>
      <c r="CGV94" s="39"/>
      <c r="CGW94" s="39"/>
      <c r="CGX94" s="39"/>
      <c r="CGY94" s="39"/>
      <c r="CGZ94" s="39"/>
      <c r="CHA94" s="39"/>
      <c r="CHB94" s="39"/>
      <c r="CHC94" s="39"/>
      <c r="CHD94" s="39"/>
      <c r="CHE94" s="39"/>
      <c r="CHF94" s="39"/>
      <c r="CHG94" s="39"/>
      <c r="CHH94" s="39"/>
      <c r="CHI94" s="39"/>
      <c r="CHJ94" s="39"/>
      <c r="CHK94" s="39"/>
      <c r="CHL94" s="39"/>
      <c r="CHM94" s="39"/>
      <c r="CHN94" s="39"/>
      <c r="CHO94" s="39"/>
      <c r="CHP94" s="39"/>
      <c r="CHQ94" s="39"/>
      <c r="CHR94" s="39"/>
      <c r="CHS94" s="39"/>
      <c r="CHT94" s="39"/>
      <c r="CHU94" s="39"/>
      <c r="CHV94" s="39"/>
      <c r="CHW94" s="39"/>
      <c r="CHX94" s="39"/>
      <c r="CHY94" s="39"/>
      <c r="CHZ94" s="39"/>
      <c r="CIA94" s="39"/>
      <c r="CIB94" s="39"/>
      <c r="CIC94" s="39"/>
      <c r="CID94" s="39"/>
      <c r="CIE94" s="39"/>
      <c r="CIF94" s="39"/>
      <c r="CIG94" s="39"/>
      <c r="CIH94" s="39"/>
      <c r="CII94" s="39"/>
      <c r="CIJ94" s="39"/>
      <c r="CIK94" s="39"/>
      <c r="CIL94" s="39"/>
      <c r="CIM94" s="39"/>
      <c r="CIN94" s="39"/>
      <c r="CIO94" s="39"/>
      <c r="CIP94" s="39"/>
      <c r="CIQ94" s="39"/>
      <c r="CIR94" s="39"/>
      <c r="CIS94" s="39"/>
      <c r="CIT94" s="39"/>
      <c r="CIU94" s="39"/>
      <c r="CIV94" s="39"/>
      <c r="CIW94" s="39"/>
      <c r="CIX94" s="39"/>
      <c r="CIY94" s="39"/>
      <c r="CIZ94" s="39"/>
      <c r="CJA94" s="39"/>
      <c r="CJB94" s="39"/>
      <c r="CJC94" s="39"/>
      <c r="CJD94" s="39"/>
      <c r="CJE94" s="39"/>
      <c r="CJF94" s="39"/>
      <c r="CJG94" s="39"/>
      <c r="CJH94" s="39"/>
      <c r="CJI94" s="39"/>
      <c r="CJJ94" s="39"/>
      <c r="CJK94" s="39"/>
      <c r="CJL94" s="39"/>
      <c r="CJM94" s="39"/>
      <c r="CJN94" s="39"/>
      <c r="CJO94" s="39"/>
      <c r="CJP94" s="39"/>
      <c r="CJQ94" s="39"/>
      <c r="CJR94" s="39"/>
      <c r="CJS94" s="39"/>
      <c r="CJT94" s="39"/>
      <c r="CJU94" s="39"/>
      <c r="CJV94" s="39"/>
      <c r="CJW94" s="39"/>
      <c r="CJX94" s="39"/>
      <c r="CJY94" s="39"/>
      <c r="CJZ94" s="39"/>
      <c r="CKA94" s="39"/>
      <c r="CKB94" s="39"/>
      <c r="CKC94" s="39"/>
      <c r="CKD94" s="39"/>
      <c r="CKE94" s="39"/>
      <c r="CKF94" s="39"/>
      <c r="CKG94" s="39"/>
      <c r="CKH94" s="39"/>
      <c r="CKI94" s="39"/>
      <c r="CKJ94" s="39"/>
      <c r="CKK94" s="39"/>
      <c r="CKL94" s="39"/>
      <c r="CKM94" s="39"/>
      <c r="CKN94" s="39"/>
      <c r="CKO94" s="39"/>
      <c r="CKP94" s="39"/>
      <c r="CKQ94" s="39"/>
      <c r="CKR94" s="39"/>
      <c r="CKS94" s="39"/>
      <c r="CKT94" s="39"/>
      <c r="CKU94" s="39"/>
      <c r="CKV94" s="39"/>
      <c r="CKW94" s="39"/>
      <c r="CKX94" s="39"/>
      <c r="CKY94" s="39"/>
      <c r="CKZ94" s="39"/>
      <c r="CLA94" s="39"/>
      <c r="CLB94" s="39"/>
      <c r="CLC94" s="39"/>
      <c r="CLD94" s="39"/>
      <c r="CLE94" s="39"/>
      <c r="CLF94" s="39"/>
      <c r="CLG94" s="39"/>
      <c r="CLH94" s="39"/>
      <c r="CLI94" s="39"/>
      <c r="CLJ94" s="39"/>
      <c r="CLK94" s="39"/>
      <c r="CLL94" s="39"/>
      <c r="CLM94" s="39"/>
      <c r="CLN94" s="39"/>
      <c r="CLO94" s="39"/>
      <c r="CLP94" s="39"/>
      <c r="CLQ94" s="39"/>
      <c r="CLR94" s="39"/>
      <c r="CLS94" s="39"/>
      <c r="CLT94" s="39"/>
      <c r="CLU94" s="39"/>
      <c r="CLV94" s="39"/>
      <c r="CLW94" s="39"/>
      <c r="CLX94" s="39"/>
      <c r="CLY94" s="39"/>
      <c r="CLZ94" s="39"/>
      <c r="CMA94" s="39"/>
      <c r="CMB94" s="39"/>
      <c r="CMC94" s="39"/>
      <c r="CMD94" s="39"/>
      <c r="CME94" s="39"/>
      <c r="CMF94" s="39"/>
      <c r="CMG94" s="39"/>
      <c r="CMH94" s="39"/>
      <c r="CMI94" s="39"/>
      <c r="CMJ94" s="39"/>
      <c r="CMK94" s="39"/>
      <c r="CML94" s="39"/>
      <c r="CMM94" s="39"/>
      <c r="CMN94" s="39"/>
      <c r="CMO94" s="39"/>
      <c r="CMP94" s="39"/>
      <c r="CMQ94" s="39"/>
      <c r="CMR94" s="39"/>
      <c r="CMS94" s="39"/>
      <c r="CMT94" s="39"/>
      <c r="CMU94" s="39"/>
      <c r="CMV94" s="39"/>
      <c r="CMW94" s="39"/>
      <c r="CMX94" s="39"/>
      <c r="CMY94" s="39"/>
      <c r="CMZ94" s="39"/>
      <c r="CNA94" s="39"/>
      <c r="CNB94" s="39"/>
      <c r="CNC94" s="39"/>
      <c r="CND94" s="39"/>
      <c r="CNE94" s="39"/>
      <c r="CNF94" s="39"/>
      <c r="CNG94" s="39"/>
      <c r="CNH94" s="39"/>
      <c r="CNI94" s="39"/>
      <c r="CNJ94" s="39"/>
      <c r="CNK94" s="39"/>
      <c r="CNL94" s="39"/>
      <c r="CNM94" s="39"/>
      <c r="CNN94" s="39"/>
      <c r="CNO94" s="39"/>
      <c r="CNP94" s="39"/>
      <c r="CNQ94" s="39"/>
      <c r="CNR94" s="39"/>
      <c r="CNS94" s="39"/>
      <c r="CNT94" s="39"/>
      <c r="CNU94" s="39"/>
      <c r="CNV94" s="39"/>
      <c r="CNW94" s="39"/>
      <c r="CNX94" s="39"/>
      <c r="CNY94" s="39"/>
      <c r="CNZ94" s="39"/>
      <c r="COA94" s="39"/>
      <c r="COB94" s="39"/>
      <c r="COC94" s="39"/>
      <c r="COD94" s="39"/>
      <c r="COE94" s="39"/>
      <c r="COF94" s="39"/>
      <c r="COG94" s="39"/>
      <c r="COH94" s="39"/>
      <c r="COI94" s="39"/>
      <c r="COJ94" s="39"/>
      <c r="COK94" s="39"/>
      <c r="COL94" s="39"/>
      <c r="COM94" s="39"/>
      <c r="CON94" s="39"/>
      <c r="COO94" s="39"/>
      <c r="COP94" s="39"/>
      <c r="COQ94" s="39"/>
      <c r="COR94" s="39"/>
      <c r="COS94" s="39"/>
      <c r="COT94" s="39"/>
      <c r="COU94" s="39"/>
      <c r="COV94" s="39"/>
      <c r="COW94" s="39"/>
      <c r="COX94" s="39"/>
      <c r="COY94" s="39"/>
      <c r="COZ94" s="39"/>
      <c r="CPA94" s="39"/>
      <c r="CPB94" s="39"/>
      <c r="CPC94" s="39"/>
      <c r="CPD94" s="39"/>
      <c r="CPE94" s="39"/>
      <c r="CPF94" s="39"/>
      <c r="CPG94" s="39"/>
      <c r="CPH94" s="39"/>
      <c r="CPI94" s="39"/>
      <c r="CPJ94" s="39"/>
      <c r="CPK94" s="39"/>
      <c r="CPL94" s="39"/>
      <c r="CPM94" s="39"/>
      <c r="CPN94" s="39"/>
      <c r="CPO94" s="39"/>
      <c r="CPP94" s="39"/>
      <c r="CPQ94" s="39"/>
      <c r="CPR94" s="39"/>
      <c r="CPS94" s="39"/>
      <c r="CPT94" s="39"/>
      <c r="CPU94" s="39"/>
      <c r="CPV94" s="39"/>
      <c r="CPW94" s="39"/>
      <c r="CPX94" s="39"/>
      <c r="CPY94" s="39"/>
      <c r="CPZ94" s="39"/>
      <c r="CQA94" s="39"/>
      <c r="CQB94" s="39"/>
      <c r="CQC94" s="39"/>
      <c r="CQD94" s="39"/>
      <c r="CQE94" s="39"/>
      <c r="CQF94" s="39"/>
      <c r="CQG94" s="39"/>
      <c r="CQH94" s="39"/>
      <c r="CQI94" s="39"/>
      <c r="CQJ94" s="39"/>
      <c r="CQK94" s="39"/>
      <c r="CQL94" s="39"/>
      <c r="CQM94" s="39"/>
      <c r="CQN94" s="39"/>
      <c r="CQO94" s="39"/>
      <c r="CQP94" s="39"/>
      <c r="CQQ94" s="39"/>
      <c r="CQR94" s="39"/>
      <c r="CQS94" s="39"/>
      <c r="CQT94" s="39"/>
      <c r="CQU94" s="39"/>
      <c r="CQV94" s="39"/>
      <c r="CQW94" s="39"/>
      <c r="CQX94" s="39"/>
      <c r="CQY94" s="39"/>
      <c r="CQZ94" s="39"/>
      <c r="CRA94" s="39"/>
      <c r="CRB94" s="39"/>
      <c r="CRC94" s="39"/>
      <c r="CRD94" s="39"/>
      <c r="CRE94" s="39"/>
      <c r="CRF94" s="39"/>
      <c r="CRG94" s="39"/>
      <c r="CRH94" s="39"/>
      <c r="CRI94" s="39"/>
      <c r="CRJ94" s="39"/>
      <c r="CRK94" s="39"/>
      <c r="CRL94" s="39"/>
      <c r="CRM94" s="39"/>
      <c r="CRN94" s="39"/>
      <c r="CRO94" s="39"/>
      <c r="CRP94" s="39"/>
      <c r="CRQ94" s="39"/>
      <c r="CRR94" s="39"/>
      <c r="CRS94" s="39"/>
      <c r="CRT94" s="39"/>
      <c r="CRU94" s="39"/>
      <c r="CRV94" s="39"/>
      <c r="CRW94" s="39"/>
      <c r="CRX94" s="39"/>
      <c r="CRY94" s="39"/>
      <c r="CRZ94" s="39"/>
      <c r="CSA94" s="39"/>
      <c r="CSB94" s="39"/>
      <c r="CSC94" s="39"/>
      <c r="CSD94" s="39"/>
      <c r="CSE94" s="39"/>
      <c r="CSF94" s="39"/>
      <c r="CSG94" s="39"/>
      <c r="CSH94" s="39"/>
      <c r="CSI94" s="39"/>
      <c r="CSJ94" s="39"/>
      <c r="CSK94" s="39"/>
      <c r="CSL94" s="39"/>
      <c r="CSM94" s="39"/>
      <c r="CSN94" s="39"/>
      <c r="CSO94" s="39"/>
      <c r="CSP94" s="39"/>
      <c r="CSQ94" s="39"/>
      <c r="CSR94" s="39"/>
      <c r="CSS94" s="39"/>
      <c r="CST94" s="39"/>
      <c r="CSU94" s="39"/>
      <c r="CSV94" s="39"/>
      <c r="CSW94" s="39"/>
      <c r="CSX94" s="39"/>
      <c r="CSY94" s="39"/>
      <c r="CSZ94" s="39"/>
      <c r="CTA94" s="39"/>
      <c r="CTB94" s="39"/>
      <c r="CTC94" s="39"/>
      <c r="CTD94" s="39"/>
      <c r="CTE94" s="39"/>
      <c r="CTF94" s="39"/>
      <c r="CTG94" s="39"/>
      <c r="CTH94" s="39"/>
      <c r="CTI94" s="39"/>
      <c r="CTJ94" s="39"/>
      <c r="CTK94" s="39"/>
      <c r="CTL94" s="39"/>
      <c r="CTM94" s="39"/>
      <c r="CTN94" s="39"/>
      <c r="CTO94" s="39"/>
      <c r="CTP94" s="39"/>
      <c r="CTQ94" s="39"/>
      <c r="CTR94" s="39"/>
      <c r="CTS94" s="39"/>
      <c r="CTT94" s="39"/>
      <c r="CTU94" s="39"/>
      <c r="CTV94" s="39"/>
      <c r="CTW94" s="39"/>
      <c r="CTX94" s="39"/>
      <c r="CTY94" s="39"/>
      <c r="CTZ94" s="39"/>
      <c r="CUA94" s="39"/>
      <c r="CUB94" s="39"/>
      <c r="CUC94" s="39"/>
      <c r="CUD94" s="39"/>
      <c r="CUE94" s="39"/>
      <c r="CUF94" s="39"/>
      <c r="CUG94" s="39"/>
      <c r="CUH94" s="39"/>
      <c r="CUI94" s="39"/>
      <c r="CUJ94" s="39"/>
      <c r="CUK94" s="39"/>
      <c r="CUL94" s="39"/>
      <c r="CUM94" s="39"/>
      <c r="CUN94" s="39"/>
      <c r="CUO94" s="39"/>
      <c r="CUP94" s="39"/>
      <c r="CUQ94" s="39"/>
      <c r="CUR94" s="39"/>
      <c r="CUS94" s="39"/>
      <c r="CUT94" s="39"/>
      <c r="CUU94" s="39"/>
      <c r="CUV94" s="39"/>
      <c r="CUW94" s="39"/>
      <c r="CUX94" s="39"/>
      <c r="CUY94" s="39"/>
      <c r="CUZ94" s="39"/>
      <c r="CVA94" s="39"/>
      <c r="CVB94" s="39"/>
      <c r="CVC94" s="39"/>
      <c r="CVD94" s="39"/>
      <c r="CVE94" s="39"/>
      <c r="CVF94" s="39"/>
      <c r="CVG94" s="39"/>
      <c r="CVH94" s="39"/>
      <c r="CVI94" s="39"/>
      <c r="CVJ94" s="39"/>
      <c r="CVK94" s="39"/>
      <c r="CVL94" s="39"/>
      <c r="CVM94" s="39"/>
      <c r="CVN94" s="39"/>
      <c r="CVO94" s="39"/>
      <c r="CVP94" s="39"/>
      <c r="CVQ94" s="39"/>
      <c r="CVR94" s="39"/>
      <c r="CVS94" s="39"/>
      <c r="CVT94" s="39"/>
      <c r="CVU94" s="39"/>
      <c r="CVV94" s="39"/>
      <c r="CVW94" s="39"/>
      <c r="CVX94" s="39"/>
      <c r="CVY94" s="39"/>
      <c r="CVZ94" s="39"/>
      <c r="CWA94" s="39"/>
      <c r="CWB94" s="39"/>
      <c r="CWC94" s="39"/>
      <c r="CWD94" s="39"/>
      <c r="CWE94" s="39"/>
      <c r="CWF94" s="39"/>
      <c r="CWG94" s="39"/>
      <c r="CWH94" s="39"/>
      <c r="CWI94" s="39"/>
      <c r="CWJ94" s="39"/>
      <c r="CWK94" s="39"/>
      <c r="CWL94" s="39"/>
      <c r="CWM94" s="39"/>
      <c r="CWN94" s="39"/>
      <c r="CWO94" s="39"/>
      <c r="CWP94" s="39"/>
      <c r="CWQ94" s="39"/>
      <c r="CWR94" s="39"/>
      <c r="CWS94" s="39"/>
      <c r="CWT94" s="39"/>
      <c r="CWU94" s="39"/>
      <c r="CWV94" s="39"/>
      <c r="CWW94" s="39"/>
      <c r="CWX94" s="39"/>
      <c r="CWY94" s="39"/>
      <c r="CWZ94" s="39"/>
      <c r="CXA94" s="39"/>
      <c r="CXB94" s="39"/>
      <c r="CXC94" s="39"/>
      <c r="CXD94" s="39"/>
      <c r="CXE94" s="39"/>
      <c r="CXF94" s="39"/>
      <c r="CXG94" s="39"/>
      <c r="CXH94" s="39"/>
      <c r="CXI94" s="39"/>
      <c r="CXJ94" s="39"/>
      <c r="CXK94" s="39"/>
      <c r="CXL94" s="39"/>
      <c r="CXM94" s="39"/>
      <c r="CXN94" s="39"/>
      <c r="CXO94" s="39"/>
      <c r="CXP94" s="39"/>
      <c r="CXQ94" s="39"/>
      <c r="CXR94" s="39"/>
      <c r="CXS94" s="39"/>
      <c r="CXT94" s="39"/>
      <c r="CXU94" s="39"/>
      <c r="CXV94" s="39"/>
      <c r="CXW94" s="39"/>
      <c r="CXX94" s="39"/>
      <c r="CXY94" s="39"/>
      <c r="CXZ94" s="39"/>
      <c r="CYA94" s="39"/>
      <c r="CYB94" s="39"/>
      <c r="CYC94" s="39"/>
      <c r="CYD94" s="39"/>
      <c r="CYE94" s="39"/>
      <c r="CYF94" s="39"/>
      <c r="CYG94" s="39"/>
      <c r="CYH94" s="39"/>
      <c r="CYI94" s="39"/>
      <c r="CYJ94" s="39"/>
      <c r="CYK94" s="39"/>
      <c r="CYL94" s="39"/>
      <c r="CYM94" s="39"/>
      <c r="CYN94" s="39"/>
      <c r="CYO94" s="39"/>
      <c r="CYP94" s="39"/>
      <c r="CYQ94" s="39"/>
      <c r="CYR94" s="39"/>
      <c r="CYS94" s="39"/>
      <c r="CYT94" s="39"/>
      <c r="CYU94" s="39"/>
      <c r="CYV94" s="39"/>
      <c r="CYW94" s="39"/>
      <c r="CYX94" s="39"/>
      <c r="CYY94" s="39"/>
      <c r="CYZ94" s="39"/>
      <c r="CZA94" s="39"/>
      <c r="CZB94" s="39"/>
      <c r="CZC94" s="39"/>
      <c r="CZD94" s="39"/>
      <c r="CZE94" s="39"/>
      <c r="CZF94" s="39"/>
      <c r="CZG94" s="39"/>
      <c r="CZH94" s="39"/>
      <c r="CZI94" s="39"/>
      <c r="CZJ94" s="39"/>
      <c r="CZK94" s="39"/>
      <c r="CZL94" s="39"/>
      <c r="CZM94" s="39"/>
      <c r="CZN94" s="39"/>
      <c r="CZO94" s="39"/>
      <c r="CZP94" s="39"/>
      <c r="CZQ94" s="39"/>
      <c r="CZR94" s="39"/>
      <c r="CZS94" s="39"/>
      <c r="CZT94" s="39"/>
      <c r="CZU94" s="39"/>
      <c r="CZV94" s="39"/>
      <c r="CZW94" s="39"/>
      <c r="CZX94" s="39"/>
      <c r="CZY94" s="39"/>
      <c r="CZZ94" s="39"/>
      <c r="DAA94" s="39"/>
      <c r="DAB94" s="39"/>
      <c r="DAC94" s="39"/>
      <c r="DAD94" s="39"/>
      <c r="DAE94" s="39"/>
      <c r="DAF94" s="39"/>
      <c r="DAG94" s="39"/>
      <c r="DAH94" s="39"/>
      <c r="DAI94" s="39"/>
      <c r="DAJ94" s="39"/>
      <c r="DAK94" s="39"/>
      <c r="DAL94" s="39"/>
      <c r="DAM94" s="39"/>
      <c r="DAN94" s="39"/>
      <c r="DAO94" s="39"/>
      <c r="DAP94" s="39"/>
      <c r="DAQ94" s="39"/>
      <c r="DAR94" s="39"/>
      <c r="DAS94" s="39"/>
      <c r="DAT94" s="39"/>
      <c r="DAU94" s="39"/>
      <c r="DAV94" s="39"/>
      <c r="DAW94" s="39"/>
      <c r="DAX94" s="39"/>
      <c r="DAY94" s="39"/>
      <c r="DAZ94" s="39"/>
      <c r="DBA94" s="39"/>
      <c r="DBB94" s="39"/>
      <c r="DBC94" s="39"/>
      <c r="DBD94" s="39"/>
      <c r="DBE94" s="39"/>
      <c r="DBF94" s="39"/>
      <c r="DBG94" s="39"/>
      <c r="DBH94" s="39"/>
      <c r="DBI94" s="39"/>
      <c r="DBJ94" s="39"/>
      <c r="DBK94" s="39"/>
      <c r="DBL94" s="39"/>
      <c r="DBM94" s="39"/>
      <c r="DBN94" s="39"/>
      <c r="DBO94" s="39"/>
      <c r="DBP94" s="39"/>
      <c r="DBQ94" s="39"/>
      <c r="DBR94" s="39"/>
      <c r="DBS94" s="39"/>
      <c r="DBT94" s="39"/>
      <c r="DBU94" s="39"/>
      <c r="DBV94" s="39"/>
      <c r="DBW94" s="39"/>
      <c r="DBX94" s="39"/>
      <c r="DBY94" s="39"/>
      <c r="DBZ94" s="39"/>
      <c r="DCA94" s="39"/>
      <c r="DCB94" s="39"/>
      <c r="DCC94" s="39"/>
      <c r="DCD94" s="39"/>
      <c r="DCE94" s="39"/>
      <c r="DCF94" s="39"/>
      <c r="DCG94" s="39"/>
      <c r="DCH94" s="39"/>
      <c r="DCI94" s="39"/>
      <c r="DCJ94" s="39"/>
      <c r="DCK94" s="39"/>
      <c r="DCL94" s="39"/>
      <c r="DCM94" s="39"/>
      <c r="DCN94" s="39"/>
      <c r="DCO94" s="39"/>
      <c r="DCP94" s="39"/>
      <c r="DCQ94" s="39"/>
      <c r="DCR94" s="39"/>
      <c r="DCS94" s="39"/>
      <c r="DCT94" s="39"/>
      <c r="DCU94" s="39"/>
      <c r="DCV94" s="39"/>
      <c r="DCW94" s="39"/>
      <c r="DCX94" s="39"/>
      <c r="DCY94" s="39"/>
      <c r="DCZ94" s="39"/>
      <c r="DDA94" s="39"/>
      <c r="DDB94" s="39"/>
      <c r="DDC94" s="39"/>
      <c r="DDD94" s="39"/>
      <c r="DDE94" s="39"/>
      <c r="DDF94" s="39"/>
      <c r="DDG94" s="39"/>
      <c r="DDH94" s="39"/>
      <c r="DDI94" s="39"/>
      <c r="DDJ94" s="39"/>
      <c r="DDK94" s="39"/>
      <c r="DDL94" s="39"/>
      <c r="DDM94" s="39"/>
      <c r="DDN94" s="39"/>
      <c r="DDO94" s="39"/>
      <c r="DDP94" s="39"/>
      <c r="DDQ94" s="39"/>
      <c r="DDR94" s="39"/>
      <c r="DDS94" s="39"/>
      <c r="DDT94" s="39"/>
      <c r="DDU94" s="39"/>
      <c r="DDV94" s="39"/>
      <c r="DDW94" s="39"/>
      <c r="DDX94" s="39"/>
      <c r="DDY94" s="39"/>
      <c r="DDZ94" s="39"/>
      <c r="DEA94" s="39"/>
      <c r="DEB94" s="39"/>
      <c r="DEC94" s="39"/>
      <c r="DED94" s="39"/>
      <c r="DEE94" s="39"/>
      <c r="DEF94" s="39"/>
      <c r="DEG94" s="39"/>
      <c r="DEH94" s="39"/>
      <c r="DEI94" s="39"/>
      <c r="DEJ94" s="39"/>
      <c r="DEK94" s="39"/>
      <c r="DEL94" s="39"/>
      <c r="DEM94" s="39"/>
      <c r="DEN94" s="39"/>
      <c r="DEO94" s="39"/>
      <c r="DEP94" s="39"/>
      <c r="DEQ94" s="39"/>
      <c r="DER94" s="39"/>
      <c r="DES94" s="39"/>
      <c r="DET94" s="39"/>
      <c r="DEU94" s="39"/>
      <c r="DEV94" s="39"/>
      <c r="DEW94" s="39"/>
      <c r="DEX94" s="39"/>
      <c r="DEY94" s="39"/>
      <c r="DEZ94" s="39"/>
      <c r="DFA94" s="39"/>
      <c r="DFB94" s="39"/>
      <c r="DFC94" s="39"/>
      <c r="DFD94" s="39"/>
      <c r="DFE94" s="39"/>
      <c r="DFF94" s="39"/>
      <c r="DFG94" s="39"/>
      <c r="DFH94" s="39"/>
      <c r="DFI94" s="39"/>
      <c r="DFJ94" s="39"/>
      <c r="DFK94" s="39"/>
      <c r="DFL94" s="39"/>
      <c r="DFM94" s="39"/>
      <c r="DFN94" s="39"/>
      <c r="DFO94" s="39"/>
      <c r="DFP94" s="39"/>
      <c r="DFQ94" s="39"/>
      <c r="DFR94" s="39"/>
      <c r="DFS94" s="39"/>
      <c r="DFT94" s="39"/>
      <c r="DFU94" s="39"/>
      <c r="DFV94" s="39"/>
      <c r="DFW94" s="39"/>
      <c r="DFX94" s="39"/>
      <c r="DFY94" s="39"/>
      <c r="DFZ94" s="39"/>
      <c r="DGA94" s="39"/>
      <c r="DGB94" s="39"/>
      <c r="DGC94" s="39"/>
      <c r="DGD94" s="39"/>
      <c r="DGE94" s="39"/>
      <c r="DGF94" s="39"/>
      <c r="DGG94" s="39"/>
      <c r="DGH94" s="39"/>
      <c r="DGI94" s="39"/>
      <c r="DGJ94" s="39"/>
      <c r="DGK94" s="39"/>
      <c r="DGL94" s="39"/>
      <c r="DGM94" s="39"/>
      <c r="DGN94" s="39"/>
      <c r="DGO94" s="39"/>
      <c r="DGP94" s="39"/>
      <c r="DGQ94" s="39"/>
      <c r="DGR94" s="39"/>
      <c r="DGS94" s="39"/>
      <c r="DGT94" s="39"/>
      <c r="DGU94" s="39"/>
      <c r="DGV94" s="39"/>
      <c r="DGW94" s="39"/>
      <c r="DGX94" s="39"/>
      <c r="DGY94" s="39"/>
      <c r="DGZ94" s="39"/>
      <c r="DHA94" s="39"/>
      <c r="DHB94" s="39"/>
      <c r="DHC94" s="39"/>
      <c r="DHD94" s="39"/>
      <c r="DHE94" s="39"/>
      <c r="DHF94" s="39"/>
      <c r="DHG94" s="39"/>
      <c r="DHH94" s="39"/>
      <c r="DHI94" s="39"/>
      <c r="DHJ94" s="39"/>
      <c r="DHK94" s="39"/>
      <c r="DHL94" s="39"/>
      <c r="DHM94" s="39"/>
      <c r="DHN94" s="39"/>
      <c r="DHO94" s="39"/>
      <c r="DHP94" s="39"/>
      <c r="DHQ94" s="39"/>
      <c r="DHR94" s="39"/>
      <c r="DHS94" s="39"/>
      <c r="DHT94" s="39"/>
      <c r="DHU94" s="39"/>
      <c r="DHV94" s="39"/>
      <c r="DHW94" s="39"/>
      <c r="DHX94" s="39"/>
      <c r="DHY94" s="39"/>
      <c r="DHZ94" s="39"/>
      <c r="DIA94" s="39"/>
      <c r="DIB94" s="39"/>
      <c r="DIC94" s="39"/>
      <c r="DID94" s="39"/>
      <c r="DIE94" s="39"/>
      <c r="DIF94" s="39"/>
      <c r="DIG94" s="39"/>
      <c r="DIH94" s="39"/>
      <c r="DII94" s="39"/>
      <c r="DIJ94" s="39"/>
      <c r="DIK94" s="39"/>
      <c r="DIL94" s="39"/>
      <c r="DIM94" s="39"/>
      <c r="DIN94" s="39"/>
      <c r="DIO94" s="39"/>
      <c r="DIP94" s="39"/>
      <c r="DIQ94" s="39"/>
      <c r="DIR94" s="39"/>
      <c r="DIS94" s="39"/>
      <c r="DIT94" s="39"/>
      <c r="DIU94" s="39"/>
      <c r="DIV94" s="39"/>
      <c r="DIW94" s="39"/>
      <c r="DIX94" s="39"/>
      <c r="DIY94" s="39"/>
      <c r="DIZ94" s="39"/>
      <c r="DJA94" s="39"/>
      <c r="DJB94" s="39"/>
      <c r="DJC94" s="39"/>
      <c r="DJD94" s="39"/>
      <c r="DJE94" s="39"/>
      <c r="DJF94" s="39"/>
      <c r="DJG94" s="39"/>
      <c r="DJH94" s="39"/>
      <c r="DJI94" s="39"/>
      <c r="DJJ94" s="39"/>
      <c r="DJK94" s="39"/>
      <c r="DJL94" s="39"/>
      <c r="DJM94" s="39"/>
      <c r="DJN94" s="39"/>
      <c r="DJO94" s="39"/>
      <c r="DJP94" s="39"/>
      <c r="DJQ94" s="39"/>
      <c r="DJR94" s="39"/>
      <c r="DJS94" s="39"/>
      <c r="DJT94" s="39"/>
      <c r="DJU94" s="39"/>
      <c r="DJV94" s="39"/>
      <c r="DJW94" s="39"/>
      <c r="DJX94" s="39"/>
      <c r="DJY94" s="39"/>
      <c r="DJZ94" s="39"/>
      <c r="DKA94" s="39"/>
      <c r="DKB94" s="39"/>
      <c r="DKC94" s="39"/>
      <c r="DKD94" s="39"/>
      <c r="DKE94" s="39"/>
      <c r="DKF94" s="39"/>
      <c r="DKG94" s="39"/>
      <c r="DKH94" s="39"/>
      <c r="DKI94" s="39"/>
      <c r="DKJ94" s="39"/>
      <c r="DKK94" s="39"/>
      <c r="DKL94" s="39"/>
      <c r="DKM94" s="39"/>
      <c r="DKN94" s="39"/>
      <c r="DKO94" s="39"/>
      <c r="DKP94" s="39"/>
      <c r="DKQ94" s="39"/>
      <c r="DKR94" s="39"/>
      <c r="DKS94" s="39"/>
      <c r="DKT94" s="39"/>
      <c r="DKU94" s="39"/>
      <c r="DKV94" s="39"/>
      <c r="DKW94" s="39"/>
      <c r="DKX94" s="39"/>
      <c r="DKY94" s="39"/>
      <c r="DKZ94" s="39"/>
      <c r="DLA94" s="39"/>
      <c r="DLB94" s="39"/>
      <c r="DLC94" s="39"/>
      <c r="DLD94" s="39"/>
      <c r="DLE94" s="39"/>
      <c r="DLF94" s="39"/>
      <c r="DLG94" s="39"/>
      <c r="DLH94" s="39"/>
      <c r="DLI94" s="39"/>
      <c r="DLJ94" s="39"/>
      <c r="DLK94" s="39"/>
      <c r="DLL94" s="39"/>
      <c r="DLM94" s="39"/>
      <c r="DLN94" s="39"/>
      <c r="DLO94" s="39"/>
      <c r="DLP94" s="39"/>
      <c r="DLQ94" s="39"/>
      <c r="DLR94" s="39"/>
      <c r="DLS94" s="39"/>
      <c r="DLT94" s="39"/>
      <c r="DLU94" s="39"/>
      <c r="DLV94" s="39"/>
      <c r="DLW94" s="39"/>
      <c r="DLX94" s="39"/>
      <c r="DLY94" s="39"/>
      <c r="DLZ94" s="39"/>
      <c r="DMA94" s="39"/>
      <c r="DMB94" s="39"/>
      <c r="DMC94" s="39"/>
      <c r="DMD94" s="39"/>
      <c r="DME94" s="39"/>
      <c r="DMF94" s="39"/>
      <c r="DMG94" s="39"/>
      <c r="DMH94" s="39"/>
      <c r="DMI94" s="39"/>
      <c r="DMJ94" s="39"/>
      <c r="DMK94" s="39"/>
      <c r="DML94" s="39"/>
      <c r="DMM94" s="39"/>
      <c r="DMN94" s="39"/>
      <c r="DMO94" s="39"/>
      <c r="DMP94" s="39"/>
      <c r="DMQ94" s="39"/>
      <c r="DMR94" s="39"/>
      <c r="DMS94" s="39"/>
      <c r="DMT94" s="39"/>
      <c r="DMU94" s="39"/>
      <c r="DMV94" s="39"/>
      <c r="DMW94" s="39"/>
      <c r="DMX94" s="39"/>
      <c r="DMY94" s="39"/>
      <c r="DMZ94" s="39"/>
      <c r="DNA94" s="39"/>
      <c r="DNB94" s="39"/>
      <c r="DNC94" s="39"/>
      <c r="DND94" s="39"/>
      <c r="DNE94" s="39"/>
      <c r="DNF94" s="39"/>
      <c r="DNG94" s="39"/>
      <c r="DNH94" s="39"/>
      <c r="DNI94" s="39"/>
      <c r="DNJ94" s="39"/>
      <c r="DNK94" s="39"/>
      <c r="DNL94" s="39"/>
      <c r="DNM94" s="39"/>
      <c r="DNN94" s="39"/>
      <c r="DNO94" s="39"/>
      <c r="DNP94" s="39"/>
      <c r="DNQ94" s="39"/>
      <c r="DNR94" s="39"/>
      <c r="DNS94" s="39"/>
      <c r="DNT94" s="39"/>
      <c r="DNU94" s="39"/>
      <c r="DNV94" s="39"/>
      <c r="DNW94" s="39"/>
      <c r="DNX94" s="39"/>
      <c r="DNY94" s="39"/>
      <c r="DNZ94" s="39"/>
      <c r="DOA94" s="39"/>
      <c r="DOB94" s="39"/>
      <c r="DOC94" s="39"/>
      <c r="DOD94" s="39"/>
      <c r="DOE94" s="39"/>
      <c r="DOF94" s="39"/>
      <c r="DOG94" s="39"/>
      <c r="DOH94" s="39"/>
      <c r="DOI94" s="39"/>
      <c r="DOJ94" s="39"/>
      <c r="DOK94" s="39"/>
      <c r="DOL94" s="39"/>
      <c r="DOM94" s="39"/>
      <c r="DON94" s="39"/>
      <c r="DOO94" s="39"/>
      <c r="DOP94" s="39"/>
      <c r="DOQ94" s="39"/>
      <c r="DOR94" s="39"/>
      <c r="DOS94" s="39"/>
      <c r="DOT94" s="39"/>
      <c r="DOU94" s="39"/>
      <c r="DOV94" s="39"/>
      <c r="DOW94" s="39"/>
      <c r="DOX94" s="39"/>
      <c r="DOY94" s="39"/>
      <c r="DOZ94" s="39"/>
      <c r="DPA94" s="39"/>
      <c r="DPB94" s="39"/>
      <c r="DPC94" s="39"/>
      <c r="DPD94" s="39"/>
      <c r="DPE94" s="39"/>
      <c r="DPF94" s="39"/>
      <c r="DPG94" s="39"/>
      <c r="DPH94" s="39"/>
      <c r="DPI94" s="39"/>
      <c r="DPJ94" s="39"/>
      <c r="DPK94" s="39"/>
      <c r="DPL94" s="39"/>
      <c r="DPM94" s="39"/>
      <c r="DPN94" s="39"/>
      <c r="DPO94" s="39"/>
      <c r="DPP94" s="39"/>
      <c r="DPQ94" s="39"/>
      <c r="DPR94" s="39"/>
      <c r="DPS94" s="39"/>
      <c r="DPT94" s="39"/>
      <c r="DPU94" s="39"/>
      <c r="DPV94" s="39"/>
      <c r="DPW94" s="39"/>
      <c r="DPX94" s="39"/>
      <c r="DPY94" s="39"/>
      <c r="DPZ94" s="39"/>
      <c r="DQA94" s="39"/>
      <c r="DQB94" s="39"/>
      <c r="DQC94" s="39"/>
      <c r="DQD94" s="39"/>
      <c r="DQE94" s="39"/>
      <c r="DQF94" s="39"/>
      <c r="DQG94" s="39"/>
      <c r="DQH94" s="39"/>
      <c r="DQI94" s="39"/>
      <c r="DQJ94" s="39"/>
      <c r="DQK94" s="39"/>
      <c r="DQL94" s="39"/>
      <c r="DQM94" s="39"/>
      <c r="DQN94" s="39"/>
      <c r="DQO94" s="39"/>
      <c r="DQP94" s="39"/>
      <c r="DQQ94" s="39"/>
      <c r="DQR94" s="39"/>
      <c r="DQS94" s="39"/>
      <c r="DQT94" s="39"/>
      <c r="DQU94" s="39"/>
      <c r="DQV94" s="39"/>
      <c r="DQW94" s="39"/>
      <c r="DQX94" s="39"/>
      <c r="DQY94" s="39"/>
      <c r="DQZ94" s="39"/>
      <c r="DRA94" s="39"/>
      <c r="DRB94" s="39"/>
      <c r="DRC94" s="39"/>
      <c r="DRD94" s="39"/>
      <c r="DRE94" s="39"/>
      <c r="DRF94" s="39"/>
      <c r="DRG94" s="39"/>
      <c r="DRH94" s="39"/>
      <c r="DRI94" s="39"/>
      <c r="DRJ94" s="39"/>
      <c r="DRK94" s="39"/>
      <c r="DRL94" s="39"/>
      <c r="DRM94" s="39"/>
      <c r="DRN94" s="39"/>
      <c r="DRO94" s="39"/>
      <c r="DRP94" s="39"/>
      <c r="DRQ94" s="39"/>
      <c r="DRR94" s="39"/>
      <c r="DRS94" s="39"/>
      <c r="DRT94" s="39"/>
      <c r="DRU94" s="39"/>
      <c r="DRV94" s="39"/>
      <c r="DRW94" s="39"/>
      <c r="DRX94" s="39"/>
      <c r="DRY94" s="39"/>
      <c r="DRZ94" s="39"/>
      <c r="DSA94" s="39"/>
      <c r="DSB94" s="39"/>
      <c r="DSC94" s="39"/>
      <c r="DSD94" s="39"/>
      <c r="DSE94" s="39"/>
      <c r="DSF94" s="39"/>
      <c r="DSG94" s="39"/>
      <c r="DSH94" s="39"/>
      <c r="DSI94" s="39"/>
      <c r="DSJ94" s="39"/>
      <c r="DSK94" s="39"/>
      <c r="DSL94" s="39"/>
      <c r="DSM94" s="39"/>
      <c r="DSN94" s="39"/>
      <c r="DSO94" s="39"/>
      <c r="DSP94" s="39"/>
      <c r="DSQ94" s="39"/>
      <c r="DSR94" s="39"/>
      <c r="DSS94" s="39"/>
      <c r="DST94" s="39"/>
      <c r="DSU94" s="39"/>
      <c r="DSV94" s="39"/>
      <c r="DSW94" s="39"/>
      <c r="DSX94" s="39"/>
      <c r="DSY94" s="39"/>
      <c r="DSZ94" s="39"/>
      <c r="DTA94" s="39"/>
      <c r="DTB94" s="39"/>
      <c r="DTC94" s="39"/>
      <c r="DTD94" s="39"/>
      <c r="DTE94" s="39"/>
      <c r="DTF94" s="39"/>
      <c r="DTG94" s="39"/>
      <c r="DTH94" s="39"/>
      <c r="DTI94" s="39"/>
      <c r="DTJ94" s="39"/>
      <c r="DTK94" s="39"/>
      <c r="DTL94" s="39"/>
      <c r="DTM94" s="39"/>
      <c r="DTN94" s="39"/>
      <c r="DTO94" s="39"/>
      <c r="DTP94" s="39"/>
      <c r="DTQ94" s="39"/>
      <c r="DTR94" s="39"/>
      <c r="DTS94" s="39"/>
      <c r="DTT94" s="39"/>
      <c r="DTU94" s="39"/>
      <c r="DTV94" s="39"/>
      <c r="DTW94" s="39"/>
      <c r="DTX94" s="39"/>
      <c r="DTY94" s="39"/>
      <c r="DTZ94" s="39"/>
      <c r="DUA94" s="39"/>
      <c r="DUB94" s="39"/>
      <c r="DUC94" s="39"/>
      <c r="DUD94" s="39"/>
      <c r="DUE94" s="39"/>
      <c r="DUF94" s="39"/>
      <c r="DUG94" s="39"/>
      <c r="DUH94" s="39"/>
      <c r="DUI94" s="39"/>
      <c r="DUJ94" s="39"/>
      <c r="DUK94" s="39"/>
      <c r="DUL94" s="39"/>
      <c r="DUM94" s="39"/>
      <c r="DUN94" s="39"/>
      <c r="DUO94" s="39"/>
      <c r="DUP94" s="39"/>
      <c r="DUQ94" s="39"/>
      <c r="DUR94" s="39"/>
      <c r="DUS94" s="39"/>
      <c r="DUT94" s="39"/>
      <c r="DUU94" s="39"/>
      <c r="DUV94" s="39"/>
      <c r="DUW94" s="39"/>
      <c r="DUX94" s="39"/>
      <c r="DUY94" s="39"/>
      <c r="DUZ94" s="39"/>
      <c r="DVA94" s="39"/>
      <c r="DVB94" s="39"/>
      <c r="DVC94" s="39"/>
      <c r="DVD94" s="39"/>
      <c r="DVE94" s="39"/>
      <c r="DVF94" s="39"/>
      <c r="DVG94" s="39"/>
      <c r="DVH94" s="39"/>
      <c r="DVI94" s="39"/>
      <c r="DVJ94" s="39"/>
      <c r="DVK94" s="39"/>
      <c r="DVL94" s="39"/>
      <c r="DVM94" s="39"/>
      <c r="DVN94" s="39"/>
      <c r="DVO94" s="39"/>
      <c r="DVP94" s="39"/>
      <c r="DVQ94" s="39"/>
      <c r="DVR94" s="39"/>
      <c r="DVS94" s="39"/>
      <c r="DVT94" s="39"/>
      <c r="DVU94" s="39"/>
      <c r="DVV94" s="39"/>
      <c r="DVW94" s="39"/>
      <c r="DVX94" s="39"/>
      <c r="DVY94" s="39"/>
      <c r="DVZ94" s="39"/>
      <c r="DWA94" s="39"/>
      <c r="DWB94" s="39"/>
      <c r="DWC94" s="39"/>
      <c r="DWD94" s="39"/>
      <c r="DWE94" s="39"/>
      <c r="DWF94" s="39"/>
      <c r="DWG94" s="39"/>
      <c r="DWH94" s="39"/>
      <c r="DWI94" s="39"/>
      <c r="DWJ94" s="39"/>
      <c r="DWK94" s="39"/>
      <c r="DWL94" s="39"/>
      <c r="DWM94" s="39"/>
      <c r="DWN94" s="39"/>
      <c r="DWO94" s="39"/>
      <c r="DWP94" s="39"/>
      <c r="DWQ94" s="39"/>
      <c r="DWR94" s="39"/>
      <c r="DWS94" s="39"/>
      <c r="DWT94" s="39"/>
      <c r="DWU94" s="39"/>
      <c r="DWV94" s="39"/>
      <c r="DWW94" s="39"/>
      <c r="DWX94" s="39"/>
      <c r="DWY94" s="39"/>
      <c r="DWZ94" s="39"/>
      <c r="DXA94" s="39"/>
      <c r="DXB94" s="39"/>
      <c r="DXC94" s="39"/>
      <c r="DXD94" s="39"/>
      <c r="DXE94" s="39"/>
      <c r="DXF94" s="39"/>
      <c r="DXG94" s="39"/>
      <c r="DXH94" s="39"/>
      <c r="DXI94" s="39"/>
      <c r="DXJ94" s="39"/>
      <c r="DXK94" s="39"/>
      <c r="DXL94" s="39"/>
      <c r="DXM94" s="39"/>
      <c r="DXN94" s="39"/>
      <c r="DXO94" s="39"/>
      <c r="DXP94" s="39"/>
      <c r="DXQ94" s="39"/>
      <c r="DXR94" s="39"/>
      <c r="DXS94" s="39"/>
      <c r="DXT94" s="39"/>
      <c r="DXU94" s="39"/>
      <c r="DXV94" s="39"/>
      <c r="DXW94" s="39"/>
      <c r="DXX94" s="39"/>
      <c r="DXY94" s="39"/>
      <c r="DXZ94" s="39"/>
      <c r="DYA94" s="39"/>
      <c r="DYB94" s="39"/>
      <c r="DYC94" s="39"/>
      <c r="DYD94" s="39"/>
      <c r="DYE94" s="39"/>
      <c r="DYF94" s="39"/>
      <c r="DYG94" s="39"/>
      <c r="DYH94" s="39"/>
      <c r="DYI94" s="39"/>
      <c r="DYJ94" s="39"/>
      <c r="DYK94" s="39"/>
      <c r="DYL94" s="39"/>
      <c r="DYM94" s="39"/>
      <c r="DYN94" s="39"/>
      <c r="DYO94" s="39"/>
      <c r="DYP94" s="39"/>
      <c r="DYQ94" s="39"/>
      <c r="DYR94" s="39"/>
      <c r="DYS94" s="39"/>
      <c r="DYT94" s="39"/>
      <c r="DYU94" s="39"/>
      <c r="DYV94" s="39"/>
      <c r="DYW94" s="39"/>
      <c r="DYX94" s="39"/>
      <c r="DYY94" s="39"/>
      <c r="DYZ94" s="39"/>
      <c r="DZA94" s="39"/>
      <c r="DZB94" s="39"/>
      <c r="DZC94" s="39"/>
      <c r="DZD94" s="39"/>
      <c r="DZE94" s="39"/>
      <c r="DZF94" s="39"/>
      <c r="DZG94" s="39"/>
      <c r="DZH94" s="39"/>
      <c r="DZI94" s="39"/>
      <c r="DZJ94" s="39"/>
      <c r="DZK94" s="39"/>
      <c r="DZL94" s="39"/>
      <c r="DZM94" s="39"/>
      <c r="DZN94" s="39"/>
      <c r="DZO94" s="39"/>
      <c r="DZP94" s="39"/>
      <c r="DZQ94" s="39"/>
      <c r="DZR94" s="39"/>
      <c r="DZS94" s="39"/>
      <c r="DZT94" s="39"/>
      <c r="DZU94" s="39"/>
      <c r="DZV94" s="39"/>
      <c r="DZW94" s="39"/>
      <c r="DZX94" s="39"/>
      <c r="DZY94" s="39"/>
      <c r="DZZ94" s="39"/>
      <c r="EAA94" s="39"/>
      <c r="EAB94" s="39"/>
      <c r="EAC94" s="39"/>
      <c r="EAD94" s="39"/>
      <c r="EAE94" s="39"/>
      <c r="EAF94" s="39"/>
      <c r="EAG94" s="39"/>
      <c r="EAH94" s="39"/>
      <c r="EAI94" s="39"/>
      <c r="EAJ94" s="39"/>
      <c r="EAK94" s="39"/>
      <c r="EAL94" s="39"/>
      <c r="EAM94" s="39"/>
      <c r="EAN94" s="39"/>
      <c r="EAO94" s="39"/>
      <c r="EAP94" s="39"/>
      <c r="EAQ94" s="39"/>
      <c r="EAR94" s="39"/>
      <c r="EAS94" s="39"/>
      <c r="EAT94" s="39"/>
      <c r="EAU94" s="39"/>
      <c r="EAV94" s="39"/>
      <c r="EAW94" s="39"/>
      <c r="EAX94" s="39"/>
      <c r="EAY94" s="39"/>
      <c r="EAZ94" s="39"/>
      <c r="EBA94" s="39"/>
      <c r="EBB94" s="39"/>
      <c r="EBC94" s="39"/>
      <c r="EBD94" s="39"/>
      <c r="EBE94" s="39"/>
      <c r="EBF94" s="39"/>
      <c r="EBG94" s="39"/>
      <c r="EBH94" s="39"/>
      <c r="EBI94" s="39"/>
      <c r="EBJ94" s="39"/>
      <c r="EBK94" s="39"/>
      <c r="EBL94" s="39"/>
      <c r="EBM94" s="39"/>
      <c r="EBN94" s="39"/>
      <c r="EBO94" s="39"/>
      <c r="EBP94" s="39"/>
      <c r="EBQ94" s="39"/>
      <c r="EBR94" s="39"/>
      <c r="EBS94" s="39"/>
      <c r="EBT94" s="39"/>
      <c r="EBU94" s="39"/>
      <c r="EBV94" s="39"/>
      <c r="EBW94" s="39"/>
      <c r="EBX94" s="39"/>
      <c r="EBY94" s="39"/>
      <c r="EBZ94" s="39"/>
      <c r="ECA94" s="39"/>
      <c r="ECB94" s="39"/>
      <c r="ECC94" s="39"/>
      <c r="ECD94" s="39"/>
      <c r="ECE94" s="39"/>
      <c r="ECF94" s="39"/>
      <c r="ECG94" s="39"/>
      <c r="ECH94" s="39"/>
      <c r="ECI94" s="39"/>
      <c r="ECJ94" s="39"/>
      <c r="ECK94" s="39"/>
      <c r="ECL94" s="39"/>
      <c r="ECM94" s="39"/>
      <c r="ECN94" s="39"/>
      <c r="ECO94" s="39"/>
      <c r="ECP94" s="39"/>
      <c r="ECQ94" s="39"/>
      <c r="ECR94" s="39"/>
      <c r="ECS94" s="39"/>
      <c r="ECT94" s="39"/>
      <c r="ECU94" s="39"/>
      <c r="ECV94" s="39"/>
      <c r="ECW94" s="39"/>
      <c r="ECX94" s="39"/>
      <c r="ECY94" s="39"/>
      <c r="ECZ94" s="39"/>
      <c r="EDA94" s="39"/>
      <c r="EDB94" s="39"/>
      <c r="EDC94" s="39"/>
      <c r="EDD94" s="39"/>
      <c r="EDE94" s="39"/>
      <c r="EDF94" s="39"/>
      <c r="EDG94" s="39"/>
      <c r="EDH94" s="39"/>
      <c r="EDI94" s="39"/>
      <c r="EDJ94" s="39"/>
      <c r="EDK94" s="39"/>
      <c r="EDL94" s="39"/>
      <c r="EDM94" s="39"/>
      <c r="EDN94" s="39"/>
      <c r="EDO94" s="39"/>
      <c r="EDP94" s="39"/>
      <c r="EDQ94" s="39"/>
      <c r="EDR94" s="39"/>
      <c r="EDS94" s="39"/>
      <c r="EDT94" s="39"/>
      <c r="EDU94" s="39"/>
      <c r="EDV94" s="39"/>
      <c r="EDW94" s="39"/>
      <c r="EDX94" s="39"/>
      <c r="EDY94" s="39"/>
      <c r="EDZ94" s="39"/>
      <c r="EEA94" s="39"/>
      <c r="EEB94" s="39"/>
      <c r="EEC94" s="39"/>
      <c r="EED94" s="39"/>
      <c r="EEE94" s="39"/>
      <c r="EEF94" s="39"/>
      <c r="EEG94" s="39"/>
      <c r="EEH94" s="39"/>
      <c r="EEI94" s="39"/>
      <c r="EEJ94" s="39"/>
      <c r="EEK94" s="39"/>
      <c r="EEL94" s="39"/>
      <c r="EEM94" s="39"/>
      <c r="EEN94" s="39"/>
      <c r="EEO94" s="39"/>
      <c r="EEP94" s="39"/>
      <c r="EEQ94" s="39"/>
      <c r="EER94" s="39"/>
      <c r="EES94" s="39"/>
      <c r="EET94" s="39"/>
      <c r="EEU94" s="39"/>
      <c r="EEV94" s="39"/>
      <c r="EEW94" s="39"/>
      <c r="EEX94" s="39"/>
      <c r="EEY94" s="39"/>
      <c r="EEZ94" s="39"/>
      <c r="EFA94" s="39"/>
      <c r="EFB94" s="39"/>
      <c r="EFC94" s="39"/>
      <c r="EFD94" s="39"/>
      <c r="EFE94" s="39"/>
      <c r="EFF94" s="39"/>
      <c r="EFG94" s="39"/>
      <c r="EFH94" s="39"/>
      <c r="EFI94" s="39"/>
      <c r="EFJ94" s="39"/>
      <c r="EFK94" s="39"/>
      <c r="EFL94" s="39"/>
      <c r="EFM94" s="39"/>
      <c r="EFN94" s="39"/>
      <c r="EFO94" s="39"/>
      <c r="EFP94" s="39"/>
      <c r="EFQ94" s="39"/>
      <c r="EFR94" s="39"/>
      <c r="EFS94" s="39"/>
      <c r="EFT94" s="39"/>
      <c r="EFU94" s="39"/>
      <c r="EFV94" s="39"/>
      <c r="EFW94" s="39"/>
      <c r="EFX94" s="39"/>
      <c r="EFY94" s="39"/>
      <c r="EFZ94" s="39"/>
      <c r="EGA94" s="39"/>
      <c r="EGB94" s="39"/>
      <c r="EGC94" s="39"/>
      <c r="EGD94" s="39"/>
      <c r="EGE94" s="39"/>
      <c r="EGF94" s="39"/>
      <c r="EGG94" s="39"/>
      <c r="EGH94" s="39"/>
      <c r="EGI94" s="39"/>
      <c r="EGJ94" s="39"/>
      <c r="EGK94" s="39"/>
      <c r="EGL94" s="39"/>
      <c r="EGM94" s="39"/>
      <c r="EGN94" s="39"/>
      <c r="EGO94" s="39"/>
      <c r="EGP94" s="39"/>
      <c r="EGQ94" s="39"/>
      <c r="EGR94" s="39"/>
      <c r="EGS94" s="39"/>
      <c r="EGT94" s="39"/>
      <c r="EGU94" s="39"/>
      <c r="EGV94" s="39"/>
      <c r="EGW94" s="39"/>
      <c r="EGX94" s="39"/>
      <c r="EGY94" s="39"/>
      <c r="EGZ94" s="39"/>
      <c r="EHA94" s="39"/>
      <c r="EHB94" s="39"/>
      <c r="EHC94" s="39"/>
      <c r="EHD94" s="39"/>
      <c r="EHE94" s="39"/>
      <c r="EHF94" s="39"/>
      <c r="EHG94" s="39"/>
      <c r="EHH94" s="39"/>
      <c r="EHI94" s="39"/>
      <c r="EHJ94" s="39"/>
      <c r="EHK94" s="39"/>
      <c r="EHL94" s="39"/>
      <c r="EHM94" s="39"/>
      <c r="EHN94" s="39"/>
      <c r="EHO94" s="39"/>
      <c r="EHP94" s="39"/>
      <c r="EHQ94" s="39"/>
      <c r="EHR94" s="39"/>
      <c r="EHS94" s="39"/>
      <c r="EHT94" s="39"/>
      <c r="EHU94" s="39"/>
      <c r="EHV94" s="39"/>
      <c r="EHW94" s="39"/>
      <c r="EHX94" s="39"/>
      <c r="EHY94" s="39"/>
      <c r="EHZ94" s="39"/>
      <c r="EIA94" s="39"/>
      <c r="EIB94" s="39"/>
      <c r="EIC94" s="39"/>
      <c r="EID94" s="39"/>
      <c r="EIE94" s="39"/>
      <c r="EIF94" s="39"/>
      <c r="EIG94" s="39"/>
      <c r="EIH94" s="39"/>
      <c r="EII94" s="39"/>
      <c r="EIJ94" s="39"/>
      <c r="EIK94" s="39"/>
      <c r="EIL94" s="39"/>
      <c r="EIM94" s="39"/>
      <c r="EIN94" s="39"/>
      <c r="EIO94" s="39"/>
      <c r="EIP94" s="39"/>
      <c r="EIQ94" s="39"/>
      <c r="EIR94" s="39"/>
      <c r="EIS94" s="39"/>
      <c r="EIT94" s="39"/>
      <c r="EIU94" s="39"/>
      <c r="EIV94" s="39"/>
      <c r="EIW94" s="39"/>
      <c r="EIX94" s="39"/>
      <c r="EIY94" s="39"/>
      <c r="EIZ94" s="39"/>
      <c r="EJA94" s="39"/>
      <c r="EJB94" s="39"/>
      <c r="EJC94" s="39"/>
      <c r="EJD94" s="39"/>
      <c r="EJE94" s="39"/>
      <c r="EJF94" s="39"/>
      <c r="EJG94" s="39"/>
      <c r="EJH94" s="39"/>
      <c r="EJI94" s="39"/>
      <c r="EJJ94" s="39"/>
      <c r="EJK94" s="39"/>
      <c r="EJL94" s="39"/>
      <c r="EJM94" s="39"/>
      <c r="EJN94" s="39"/>
      <c r="EJO94" s="39"/>
      <c r="EJP94" s="39"/>
      <c r="EJQ94" s="39"/>
      <c r="EJR94" s="39"/>
      <c r="EJS94" s="39"/>
      <c r="EJT94" s="39"/>
      <c r="EJU94" s="39"/>
      <c r="EJV94" s="39"/>
      <c r="EJW94" s="39"/>
      <c r="EJX94" s="39"/>
      <c r="EJY94" s="39"/>
      <c r="EJZ94" s="39"/>
      <c r="EKA94" s="39"/>
      <c r="EKB94" s="39"/>
      <c r="EKC94" s="39"/>
      <c r="EKD94" s="39"/>
      <c r="EKE94" s="39"/>
      <c r="EKF94" s="39"/>
      <c r="EKG94" s="39"/>
      <c r="EKH94" s="39"/>
      <c r="EKI94" s="39"/>
      <c r="EKJ94" s="39"/>
      <c r="EKK94" s="39"/>
      <c r="EKL94" s="39"/>
      <c r="EKM94" s="39"/>
      <c r="EKN94" s="39"/>
      <c r="EKO94" s="39"/>
      <c r="EKP94" s="39"/>
      <c r="EKQ94" s="39"/>
      <c r="EKR94" s="39"/>
      <c r="EKS94" s="39"/>
      <c r="EKT94" s="39"/>
      <c r="EKU94" s="39"/>
      <c r="EKV94" s="39"/>
      <c r="EKW94" s="39"/>
      <c r="EKX94" s="39"/>
      <c r="EKY94" s="39"/>
      <c r="EKZ94" s="39"/>
      <c r="ELA94" s="39"/>
      <c r="ELB94" s="39"/>
      <c r="ELC94" s="39"/>
      <c r="ELD94" s="39"/>
      <c r="ELE94" s="39"/>
      <c r="ELF94" s="39"/>
      <c r="ELG94" s="39"/>
      <c r="ELH94" s="39"/>
      <c r="ELI94" s="39"/>
      <c r="ELJ94" s="39"/>
      <c r="ELK94" s="39"/>
      <c r="ELL94" s="39"/>
      <c r="ELM94" s="39"/>
      <c r="ELN94" s="39"/>
      <c r="ELO94" s="39"/>
      <c r="ELP94" s="39"/>
      <c r="ELQ94" s="39"/>
      <c r="ELR94" s="39"/>
      <c r="ELS94" s="39"/>
      <c r="ELT94" s="39"/>
      <c r="ELU94" s="39"/>
      <c r="ELV94" s="39"/>
      <c r="ELW94" s="39"/>
      <c r="ELX94" s="39"/>
      <c r="ELY94" s="39"/>
      <c r="ELZ94" s="39"/>
      <c r="EMA94" s="39"/>
      <c r="EMB94" s="39"/>
      <c r="EMC94" s="39"/>
      <c r="EMD94" s="39"/>
      <c r="EME94" s="39"/>
      <c r="EMF94" s="39"/>
      <c r="EMG94" s="39"/>
      <c r="EMH94" s="39"/>
      <c r="EMI94" s="39"/>
      <c r="EMJ94" s="39"/>
      <c r="EMK94" s="39"/>
      <c r="EML94" s="39"/>
      <c r="EMM94" s="39"/>
      <c r="EMN94" s="39"/>
      <c r="EMO94" s="39"/>
      <c r="EMP94" s="39"/>
      <c r="EMQ94" s="39"/>
      <c r="EMR94" s="39"/>
      <c r="EMS94" s="39"/>
      <c r="EMT94" s="39"/>
      <c r="EMU94" s="39"/>
      <c r="EMV94" s="39"/>
      <c r="EMW94" s="39"/>
      <c r="EMX94" s="39"/>
      <c r="EMY94" s="39"/>
      <c r="EMZ94" s="39"/>
      <c r="ENA94" s="39"/>
      <c r="ENB94" s="39"/>
      <c r="ENC94" s="39"/>
      <c r="END94" s="39"/>
      <c r="ENE94" s="39"/>
      <c r="ENF94" s="39"/>
      <c r="ENG94" s="39"/>
      <c r="ENH94" s="39"/>
      <c r="ENI94" s="39"/>
      <c r="ENJ94" s="39"/>
      <c r="ENK94" s="39"/>
      <c r="ENL94" s="39"/>
      <c r="ENM94" s="39"/>
      <c r="ENN94" s="39"/>
      <c r="ENO94" s="39"/>
      <c r="ENP94" s="39"/>
      <c r="ENQ94" s="39"/>
      <c r="ENR94" s="39"/>
      <c r="ENS94" s="39"/>
      <c r="ENT94" s="39"/>
      <c r="ENU94" s="39"/>
      <c r="ENV94" s="39"/>
      <c r="ENW94" s="39"/>
      <c r="ENX94" s="39"/>
      <c r="ENY94" s="39"/>
      <c r="ENZ94" s="39"/>
      <c r="EOA94" s="39"/>
      <c r="EOB94" s="39"/>
      <c r="EOC94" s="39"/>
      <c r="EOD94" s="39"/>
      <c r="EOE94" s="39"/>
      <c r="EOF94" s="39"/>
      <c r="EOG94" s="39"/>
      <c r="EOH94" s="39"/>
      <c r="EOI94" s="39"/>
      <c r="EOJ94" s="39"/>
      <c r="EOK94" s="39"/>
      <c r="EOL94" s="39"/>
      <c r="EOM94" s="39"/>
      <c r="EON94" s="39"/>
      <c r="EOO94" s="39"/>
      <c r="EOP94" s="39"/>
      <c r="EOQ94" s="39"/>
      <c r="EOR94" s="39"/>
      <c r="EOS94" s="39"/>
      <c r="EOT94" s="39"/>
      <c r="EOU94" s="39"/>
      <c r="EOV94" s="39"/>
      <c r="EOW94" s="39"/>
      <c r="EOX94" s="39"/>
      <c r="EOY94" s="39"/>
      <c r="EOZ94" s="39"/>
      <c r="EPA94" s="39"/>
      <c r="EPB94" s="39"/>
      <c r="EPC94" s="39"/>
      <c r="EPD94" s="39"/>
      <c r="EPE94" s="39"/>
      <c r="EPF94" s="39"/>
      <c r="EPG94" s="39"/>
      <c r="EPH94" s="39"/>
      <c r="EPI94" s="39"/>
      <c r="EPJ94" s="39"/>
      <c r="EPK94" s="39"/>
      <c r="EPL94" s="39"/>
      <c r="EPM94" s="39"/>
      <c r="EPN94" s="39"/>
      <c r="EPO94" s="39"/>
      <c r="EPP94" s="39"/>
      <c r="EPQ94" s="39"/>
      <c r="EPR94" s="39"/>
      <c r="EPS94" s="39"/>
      <c r="EPT94" s="39"/>
      <c r="EPU94" s="39"/>
      <c r="EPV94" s="39"/>
      <c r="EPW94" s="39"/>
      <c r="EPX94" s="39"/>
      <c r="EPY94" s="39"/>
      <c r="EPZ94" s="39"/>
      <c r="EQA94" s="39"/>
      <c r="EQB94" s="39"/>
      <c r="EQC94" s="39"/>
      <c r="EQD94" s="39"/>
      <c r="EQE94" s="39"/>
      <c r="EQF94" s="39"/>
      <c r="EQG94" s="39"/>
      <c r="EQH94" s="39"/>
      <c r="EQI94" s="39"/>
      <c r="EQJ94" s="39"/>
      <c r="EQK94" s="39"/>
      <c r="EQL94" s="39"/>
      <c r="EQM94" s="39"/>
      <c r="EQN94" s="39"/>
      <c r="EQO94" s="39"/>
      <c r="EQP94" s="39"/>
      <c r="EQQ94" s="39"/>
      <c r="EQR94" s="39"/>
      <c r="EQS94" s="39"/>
      <c r="EQT94" s="39"/>
      <c r="EQU94" s="39"/>
      <c r="EQV94" s="39"/>
      <c r="EQW94" s="39"/>
      <c r="EQX94" s="39"/>
      <c r="EQY94" s="39"/>
      <c r="EQZ94" s="39"/>
      <c r="ERA94" s="39"/>
      <c r="ERB94" s="39"/>
      <c r="ERC94" s="39"/>
      <c r="ERD94" s="39"/>
      <c r="ERE94" s="39"/>
      <c r="ERF94" s="39"/>
      <c r="ERG94" s="39"/>
      <c r="ERH94" s="39"/>
      <c r="ERI94" s="39"/>
      <c r="ERJ94" s="39"/>
      <c r="ERK94" s="39"/>
      <c r="ERL94" s="39"/>
      <c r="ERM94" s="39"/>
      <c r="ERN94" s="39"/>
      <c r="ERO94" s="39"/>
      <c r="ERP94" s="39"/>
      <c r="ERQ94" s="39"/>
      <c r="ERR94" s="39"/>
      <c r="ERS94" s="39"/>
      <c r="ERT94" s="39"/>
      <c r="ERU94" s="39"/>
      <c r="ERV94" s="39"/>
      <c r="ERW94" s="39"/>
      <c r="ERX94" s="39"/>
      <c r="ERY94" s="39"/>
      <c r="ERZ94" s="39"/>
      <c r="ESA94" s="39"/>
      <c r="ESB94" s="39"/>
      <c r="ESC94" s="39"/>
      <c r="ESD94" s="39"/>
      <c r="ESE94" s="39"/>
      <c r="ESF94" s="39"/>
      <c r="ESG94" s="39"/>
      <c r="ESH94" s="39"/>
      <c r="ESI94" s="39"/>
      <c r="ESJ94" s="39"/>
      <c r="ESK94" s="39"/>
      <c r="ESL94" s="39"/>
      <c r="ESM94" s="39"/>
      <c r="ESN94" s="39"/>
      <c r="ESO94" s="39"/>
      <c r="ESP94" s="39"/>
      <c r="ESQ94" s="39"/>
      <c r="ESR94" s="39"/>
      <c r="ESS94" s="39"/>
      <c r="EST94" s="39"/>
      <c r="ESU94" s="39"/>
      <c r="ESV94" s="39"/>
      <c r="ESW94" s="39"/>
      <c r="ESX94" s="39"/>
      <c r="ESY94" s="39"/>
      <c r="ESZ94" s="39"/>
      <c r="ETA94" s="39"/>
      <c r="ETB94" s="39"/>
      <c r="ETC94" s="39"/>
      <c r="ETD94" s="39"/>
      <c r="ETE94" s="39"/>
      <c r="ETF94" s="39"/>
      <c r="ETG94" s="39"/>
      <c r="ETH94" s="39"/>
      <c r="ETI94" s="39"/>
      <c r="ETJ94" s="39"/>
      <c r="ETK94" s="39"/>
      <c r="ETL94" s="39"/>
      <c r="ETM94" s="39"/>
      <c r="ETN94" s="39"/>
      <c r="ETO94" s="39"/>
      <c r="ETP94" s="39"/>
      <c r="ETQ94" s="39"/>
      <c r="ETR94" s="39"/>
      <c r="ETS94" s="39"/>
      <c r="ETT94" s="39"/>
      <c r="ETU94" s="39"/>
      <c r="ETV94" s="39"/>
      <c r="ETW94" s="39"/>
      <c r="ETX94" s="39"/>
      <c r="ETY94" s="39"/>
      <c r="ETZ94" s="39"/>
      <c r="EUA94" s="39"/>
      <c r="EUB94" s="39"/>
      <c r="EUC94" s="39"/>
      <c r="EUD94" s="39"/>
      <c r="EUE94" s="39"/>
      <c r="EUF94" s="39"/>
      <c r="EUG94" s="39"/>
      <c r="EUH94" s="39"/>
      <c r="EUI94" s="39"/>
      <c r="EUJ94" s="39"/>
      <c r="EUK94" s="39"/>
      <c r="EUL94" s="39"/>
      <c r="EUM94" s="39"/>
      <c r="EUN94" s="39"/>
      <c r="EUO94" s="39"/>
      <c r="EUP94" s="39"/>
      <c r="EUQ94" s="39"/>
      <c r="EUR94" s="39"/>
      <c r="EUS94" s="39"/>
      <c r="EUT94" s="39"/>
      <c r="EUU94" s="39"/>
      <c r="EUV94" s="39"/>
      <c r="EUW94" s="39"/>
      <c r="EUX94" s="39"/>
      <c r="EUY94" s="39"/>
      <c r="EUZ94" s="39"/>
      <c r="EVA94" s="39"/>
      <c r="EVB94" s="39"/>
      <c r="EVC94" s="39"/>
      <c r="EVD94" s="39"/>
      <c r="EVE94" s="39"/>
      <c r="EVF94" s="39"/>
      <c r="EVG94" s="39"/>
      <c r="EVH94" s="39"/>
      <c r="EVI94" s="39"/>
      <c r="EVJ94" s="39"/>
      <c r="EVK94" s="39"/>
      <c r="EVL94" s="39"/>
      <c r="EVM94" s="39"/>
      <c r="EVN94" s="39"/>
      <c r="EVO94" s="39"/>
      <c r="EVP94" s="39"/>
      <c r="EVQ94" s="39"/>
      <c r="EVR94" s="39"/>
      <c r="EVS94" s="39"/>
      <c r="EVT94" s="39"/>
      <c r="EVU94" s="39"/>
      <c r="EVV94" s="39"/>
      <c r="EVW94" s="39"/>
      <c r="EVX94" s="39"/>
      <c r="EVY94" s="39"/>
      <c r="EVZ94" s="39"/>
      <c r="EWA94" s="39"/>
      <c r="EWB94" s="39"/>
      <c r="EWC94" s="39"/>
      <c r="EWD94" s="39"/>
      <c r="EWE94" s="39"/>
      <c r="EWF94" s="39"/>
      <c r="EWG94" s="39"/>
      <c r="EWH94" s="39"/>
      <c r="EWI94" s="39"/>
      <c r="EWJ94" s="39"/>
      <c r="EWK94" s="39"/>
      <c r="EWL94" s="39"/>
      <c r="EWM94" s="39"/>
      <c r="EWN94" s="39"/>
      <c r="EWO94" s="39"/>
      <c r="EWP94" s="39"/>
      <c r="EWQ94" s="39"/>
      <c r="EWR94" s="39"/>
      <c r="EWS94" s="39"/>
      <c r="EWT94" s="39"/>
      <c r="EWU94" s="39"/>
      <c r="EWV94" s="39"/>
      <c r="EWW94" s="39"/>
      <c r="EWX94" s="39"/>
      <c r="EWY94" s="39"/>
      <c r="EWZ94" s="39"/>
      <c r="EXA94" s="39"/>
      <c r="EXB94" s="39"/>
      <c r="EXC94" s="39"/>
      <c r="EXD94" s="39"/>
      <c r="EXE94" s="39"/>
      <c r="EXF94" s="39"/>
      <c r="EXG94" s="39"/>
      <c r="EXH94" s="39"/>
      <c r="EXI94" s="39"/>
      <c r="EXJ94" s="39"/>
      <c r="EXK94" s="39"/>
      <c r="EXL94" s="39"/>
      <c r="EXM94" s="39"/>
      <c r="EXN94" s="39"/>
      <c r="EXO94" s="39"/>
      <c r="EXP94" s="39"/>
      <c r="EXQ94" s="39"/>
      <c r="EXR94" s="39"/>
      <c r="EXS94" s="39"/>
      <c r="EXT94" s="39"/>
      <c r="EXU94" s="39"/>
      <c r="EXV94" s="39"/>
      <c r="EXW94" s="39"/>
      <c r="EXX94" s="39"/>
      <c r="EXY94" s="39"/>
      <c r="EXZ94" s="39"/>
      <c r="EYA94" s="39"/>
      <c r="EYB94" s="39"/>
      <c r="EYC94" s="39"/>
      <c r="EYD94" s="39"/>
      <c r="EYE94" s="39"/>
      <c r="EYF94" s="39"/>
      <c r="EYG94" s="39"/>
      <c r="EYH94" s="39"/>
      <c r="EYI94" s="39"/>
      <c r="EYJ94" s="39"/>
      <c r="EYK94" s="39"/>
      <c r="EYL94" s="39"/>
      <c r="EYM94" s="39"/>
      <c r="EYN94" s="39"/>
      <c r="EYO94" s="39"/>
      <c r="EYP94" s="39"/>
      <c r="EYQ94" s="39"/>
      <c r="EYR94" s="39"/>
      <c r="EYS94" s="39"/>
      <c r="EYT94" s="39"/>
      <c r="EYU94" s="39"/>
      <c r="EYV94" s="39"/>
      <c r="EYW94" s="39"/>
      <c r="EYX94" s="39"/>
      <c r="EYY94" s="39"/>
      <c r="EYZ94" s="39"/>
      <c r="EZA94" s="39"/>
      <c r="EZB94" s="39"/>
      <c r="EZC94" s="39"/>
      <c r="EZD94" s="39"/>
      <c r="EZE94" s="39"/>
      <c r="EZF94" s="39"/>
      <c r="EZG94" s="39"/>
      <c r="EZH94" s="39"/>
      <c r="EZI94" s="39"/>
      <c r="EZJ94" s="39"/>
      <c r="EZK94" s="39"/>
      <c r="EZL94" s="39"/>
      <c r="EZM94" s="39"/>
      <c r="EZN94" s="39"/>
      <c r="EZO94" s="39"/>
      <c r="EZP94" s="39"/>
      <c r="EZQ94" s="39"/>
      <c r="EZR94" s="39"/>
      <c r="EZS94" s="39"/>
      <c r="EZT94" s="39"/>
      <c r="EZU94" s="39"/>
      <c r="EZV94" s="39"/>
      <c r="EZW94" s="39"/>
      <c r="EZX94" s="39"/>
      <c r="EZY94" s="39"/>
      <c r="EZZ94" s="39"/>
      <c r="FAA94" s="39"/>
      <c r="FAB94" s="39"/>
      <c r="FAC94" s="39"/>
      <c r="FAD94" s="39"/>
      <c r="FAE94" s="39"/>
      <c r="FAF94" s="39"/>
      <c r="FAG94" s="39"/>
      <c r="FAH94" s="39"/>
      <c r="FAI94" s="39"/>
      <c r="FAJ94" s="39"/>
      <c r="FAK94" s="39"/>
      <c r="FAL94" s="39"/>
      <c r="FAM94" s="39"/>
      <c r="FAN94" s="39"/>
      <c r="FAO94" s="39"/>
      <c r="FAP94" s="39"/>
      <c r="FAQ94" s="39"/>
      <c r="FAR94" s="39"/>
      <c r="FAS94" s="39"/>
      <c r="FAT94" s="39"/>
      <c r="FAU94" s="39"/>
      <c r="FAV94" s="39"/>
      <c r="FAW94" s="39"/>
      <c r="FAX94" s="39"/>
      <c r="FAY94" s="39"/>
      <c r="FAZ94" s="39"/>
      <c r="FBA94" s="39"/>
      <c r="FBB94" s="39"/>
      <c r="FBC94" s="39"/>
      <c r="FBD94" s="39"/>
      <c r="FBE94" s="39"/>
      <c r="FBF94" s="39"/>
      <c r="FBG94" s="39"/>
      <c r="FBH94" s="39"/>
      <c r="FBI94" s="39"/>
      <c r="FBJ94" s="39"/>
      <c r="FBK94" s="39"/>
      <c r="FBL94" s="39"/>
      <c r="FBM94" s="39"/>
      <c r="FBN94" s="39"/>
      <c r="FBO94" s="39"/>
      <c r="FBP94" s="39"/>
      <c r="FBQ94" s="39"/>
      <c r="FBR94" s="39"/>
      <c r="FBS94" s="39"/>
      <c r="FBT94" s="39"/>
      <c r="FBU94" s="39"/>
      <c r="FBV94" s="39"/>
      <c r="FBW94" s="39"/>
      <c r="FBX94" s="39"/>
      <c r="FBY94" s="39"/>
      <c r="FBZ94" s="39"/>
      <c r="FCA94" s="39"/>
      <c r="FCB94" s="39"/>
      <c r="FCC94" s="39"/>
      <c r="FCD94" s="39"/>
      <c r="FCE94" s="39"/>
      <c r="FCF94" s="39"/>
      <c r="FCG94" s="39"/>
      <c r="FCH94" s="39"/>
      <c r="FCI94" s="39"/>
      <c r="FCJ94" s="39"/>
      <c r="FCK94" s="39"/>
      <c r="FCL94" s="39"/>
      <c r="FCM94" s="39"/>
      <c r="FCN94" s="39"/>
      <c r="FCO94" s="39"/>
      <c r="FCP94" s="39"/>
      <c r="FCQ94" s="39"/>
      <c r="FCR94" s="39"/>
      <c r="FCS94" s="39"/>
      <c r="FCT94" s="39"/>
      <c r="FCU94" s="39"/>
      <c r="FCV94" s="39"/>
      <c r="FCW94" s="39"/>
      <c r="FCX94" s="39"/>
      <c r="FCY94" s="39"/>
      <c r="FCZ94" s="39"/>
      <c r="FDA94" s="39"/>
      <c r="FDB94" s="39"/>
      <c r="FDC94" s="39"/>
      <c r="FDD94" s="39"/>
      <c r="FDE94" s="39"/>
      <c r="FDF94" s="39"/>
      <c r="FDG94" s="39"/>
      <c r="FDH94" s="39"/>
      <c r="FDI94" s="39"/>
      <c r="FDJ94" s="39"/>
      <c r="FDK94" s="39"/>
      <c r="FDL94" s="39"/>
      <c r="FDM94" s="39"/>
      <c r="FDN94" s="39"/>
      <c r="FDO94" s="39"/>
      <c r="FDP94" s="39"/>
      <c r="FDQ94" s="39"/>
      <c r="FDR94" s="39"/>
      <c r="FDS94" s="39"/>
      <c r="FDT94" s="39"/>
      <c r="FDU94" s="39"/>
      <c r="FDV94" s="39"/>
      <c r="FDW94" s="39"/>
      <c r="FDX94" s="39"/>
      <c r="FDY94" s="39"/>
      <c r="FDZ94" s="39"/>
      <c r="FEA94" s="39"/>
      <c r="FEB94" s="39"/>
      <c r="FEC94" s="39"/>
      <c r="FED94" s="39"/>
      <c r="FEE94" s="39"/>
      <c r="FEF94" s="39"/>
      <c r="FEG94" s="39"/>
      <c r="FEH94" s="39"/>
      <c r="FEI94" s="39"/>
      <c r="FEJ94" s="39"/>
      <c r="FEK94" s="39"/>
      <c r="FEL94" s="39"/>
      <c r="FEM94" s="39"/>
      <c r="FEN94" s="39"/>
      <c r="FEO94" s="39"/>
      <c r="FEP94" s="39"/>
      <c r="FEQ94" s="39"/>
      <c r="FER94" s="39"/>
      <c r="FES94" s="39"/>
      <c r="FET94" s="39"/>
      <c r="FEU94" s="39"/>
      <c r="FEV94" s="39"/>
      <c r="FEW94" s="39"/>
      <c r="FEX94" s="39"/>
      <c r="FEY94" s="39"/>
      <c r="FEZ94" s="39"/>
      <c r="FFA94" s="39"/>
      <c r="FFB94" s="39"/>
      <c r="FFC94" s="39"/>
      <c r="FFD94" s="39"/>
      <c r="FFE94" s="39"/>
      <c r="FFF94" s="39"/>
      <c r="FFG94" s="39"/>
      <c r="FFH94" s="39"/>
      <c r="FFI94" s="39"/>
      <c r="FFJ94" s="39"/>
      <c r="FFK94" s="39"/>
      <c r="FFL94" s="39"/>
      <c r="FFM94" s="39"/>
      <c r="FFN94" s="39"/>
      <c r="FFO94" s="39"/>
      <c r="FFP94" s="39"/>
      <c r="FFQ94" s="39"/>
      <c r="FFR94" s="39"/>
      <c r="FFS94" s="39"/>
      <c r="FFT94" s="39"/>
      <c r="FFU94" s="39"/>
      <c r="FFV94" s="39"/>
      <c r="FFW94" s="39"/>
      <c r="FFX94" s="39"/>
      <c r="FFY94" s="39"/>
      <c r="FFZ94" s="39"/>
      <c r="FGA94" s="39"/>
      <c r="FGB94" s="39"/>
      <c r="FGC94" s="39"/>
      <c r="FGD94" s="39"/>
      <c r="FGE94" s="39"/>
      <c r="FGF94" s="39"/>
      <c r="FGG94" s="39"/>
      <c r="FGH94" s="39"/>
      <c r="FGI94" s="39"/>
      <c r="FGJ94" s="39"/>
      <c r="FGK94" s="39"/>
      <c r="FGL94" s="39"/>
      <c r="FGM94" s="39"/>
      <c r="FGN94" s="39"/>
      <c r="FGO94" s="39"/>
      <c r="FGP94" s="39"/>
      <c r="FGQ94" s="39"/>
      <c r="FGR94" s="39"/>
      <c r="FGS94" s="39"/>
      <c r="FGT94" s="39"/>
      <c r="FGU94" s="39"/>
      <c r="FGV94" s="39"/>
      <c r="FGW94" s="39"/>
      <c r="FGX94" s="39"/>
      <c r="FGY94" s="39"/>
      <c r="FGZ94" s="39"/>
      <c r="FHA94" s="39"/>
      <c r="FHB94" s="39"/>
      <c r="FHC94" s="39"/>
      <c r="FHD94" s="39"/>
      <c r="FHE94" s="39"/>
      <c r="FHF94" s="39"/>
      <c r="FHG94" s="39"/>
      <c r="FHH94" s="39"/>
      <c r="FHI94" s="39"/>
      <c r="FHJ94" s="39"/>
      <c r="FHK94" s="39"/>
      <c r="FHL94" s="39"/>
      <c r="FHM94" s="39"/>
      <c r="FHN94" s="39"/>
      <c r="FHO94" s="39"/>
      <c r="FHP94" s="39"/>
      <c r="FHQ94" s="39"/>
      <c r="FHR94" s="39"/>
      <c r="FHS94" s="39"/>
      <c r="FHT94" s="39"/>
      <c r="FHU94" s="39"/>
      <c r="FHV94" s="39"/>
      <c r="FHW94" s="39"/>
      <c r="FHX94" s="39"/>
      <c r="FHY94" s="39"/>
      <c r="FHZ94" s="39"/>
      <c r="FIA94" s="39"/>
      <c r="FIB94" s="39"/>
      <c r="FIC94" s="39"/>
      <c r="FID94" s="39"/>
      <c r="FIE94" s="39"/>
      <c r="FIF94" s="39"/>
      <c r="FIG94" s="39"/>
      <c r="FIH94" s="39"/>
      <c r="FII94" s="39"/>
      <c r="FIJ94" s="39"/>
      <c r="FIK94" s="39"/>
      <c r="FIL94" s="39"/>
      <c r="FIM94" s="39"/>
      <c r="FIN94" s="39"/>
      <c r="FIO94" s="39"/>
      <c r="FIP94" s="39"/>
      <c r="FIQ94" s="39"/>
      <c r="FIR94" s="39"/>
      <c r="FIS94" s="39"/>
      <c r="FIT94" s="39"/>
      <c r="FIU94" s="39"/>
      <c r="FIV94" s="39"/>
      <c r="FIW94" s="39"/>
      <c r="FIX94" s="39"/>
      <c r="FIY94" s="39"/>
      <c r="FIZ94" s="39"/>
      <c r="FJA94" s="39"/>
      <c r="FJB94" s="39"/>
      <c r="FJC94" s="39"/>
      <c r="FJD94" s="39"/>
      <c r="FJE94" s="39"/>
      <c r="FJF94" s="39"/>
      <c r="FJG94" s="39"/>
      <c r="FJH94" s="39"/>
      <c r="FJI94" s="39"/>
      <c r="FJJ94" s="39"/>
      <c r="FJK94" s="39"/>
      <c r="FJL94" s="39"/>
      <c r="FJM94" s="39"/>
      <c r="FJN94" s="39"/>
      <c r="FJO94" s="39"/>
      <c r="FJP94" s="39"/>
      <c r="FJQ94" s="39"/>
      <c r="FJR94" s="39"/>
      <c r="FJS94" s="39"/>
      <c r="FJT94" s="39"/>
      <c r="FJU94" s="39"/>
      <c r="FJV94" s="39"/>
      <c r="FJW94" s="39"/>
      <c r="FJX94" s="39"/>
      <c r="FJY94" s="39"/>
      <c r="FJZ94" s="39"/>
      <c r="FKA94" s="39"/>
      <c r="FKB94" s="39"/>
      <c r="FKC94" s="39"/>
      <c r="FKD94" s="39"/>
      <c r="FKE94" s="39"/>
      <c r="FKF94" s="39"/>
      <c r="FKG94" s="39"/>
      <c r="FKH94" s="39"/>
      <c r="FKI94" s="39"/>
      <c r="FKJ94" s="39"/>
      <c r="FKK94" s="39"/>
      <c r="FKL94" s="39"/>
      <c r="FKM94" s="39"/>
      <c r="FKN94" s="39"/>
      <c r="FKO94" s="39"/>
      <c r="FKP94" s="39"/>
      <c r="FKQ94" s="39"/>
      <c r="FKR94" s="39"/>
      <c r="FKS94" s="39"/>
      <c r="FKT94" s="39"/>
      <c r="FKU94" s="39"/>
      <c r="FKV94" s="39"/>
      <c r="FKW94" s="39"/>
      <c r="FKX94" s="39"/>
      <c r="FKY94" s="39"/>
      <c r="FKZ94" s="39"/>
      <c r="FLA94" s="39"/>
      <c r="FLB94" s="39"/>
      <c r="FLC94" s="39"/>
      <c r="FLD94" s="39"/>
      <c r="FLE94" s="39"/>
      <c r="FLF94" s="39"/>
      <c r="FLG94" s="39"/>
      <c r="FLH94" s="39"/>
      <c r="FLI94" s="39"/>
      <c r="FLJ94" s="39"/>
      <c r="FLK94" s="39"/>
      <c r="FLL94" s="39"/>
      <c r="FLM94" s="39"/>
      <c r="FLN94" s="39"/>
      <c r="FLO94" s="39"/>
      <c r="FLP94" s="39"/>
      <c r="FLQ94" s="39"/>
      <c r="FLR94" s="39"/>
      <c r="FLS94" s="39"/>
      <c r="FLT94" s="39"/>
      <c r="FLU94" s="39"/>
      <c r="FLV94" s="39"/>
      <c r="FLW94" s="39"/>
      <c r="FLX94" s="39"/>
      <c r="FLY94" s="39"/>
      <c r="FLZ94" s="39"/>
      <c r="FMA94" s="39"/>
      <c r="FMB94" s="39"/>
      <c r="FMC94" s="39"/>
      <c r="FMD94" s="39"/>
      <c r="FME94" s="39"/>
      <c r="FMF94" s="39"/>
      <c r="FMG94" s="39"/>
      <c r="FMH94" s="39"/>
      <c r="FMI94" s="39"/>
      <c r="FMJ94" s="39"/>
      <c r="FMK94" s="39"/>
      <c r="FML94" s="39"/>
      <c r="FMM94" s="39"/>
      <c r="FMN94" s="39"/>
      <c r="FMO94" s="39"/>
      <c r="FMP94" s="39"/>
      <c r="FMQ94" s="39"/>
      <c r="FMR94" s="39"/>
      <c r="FMS94" s="39"/>
      <c r="FMT94" s="39"/>
      <c r="FMU94" s="39"/>
      <c r="FMV94" s="39"/>
      <c r="FMW94" s="39"/>
      <c r="FMX94" s="39"/>
      <c r="FMY94" s="39"/>
      <c r="FMZ94" s="39"/>
      <c r="FNA94" s="39"/>
      <c r="FNB94" s="39"/>
      <c r="FNC94" s="39"/>
      <c r="FND94" s="39"/>
      <c r="FNE94" s="39"/>
      <c r="FNF94" s="39"/>
      <c r="FNG94" s="39"/>
      <c r="FNH94" s="39"/>
      <c r="FNI94" s="39"/>
      <c r="FNJ94" s="39"/>
      <c r="FNK94" s="39"/>
      <c r="FNL94" s="39"/>
      <c r="FNM94" s="39"/>
      <c r="FNN94" s="39"/>
      <c r="FNO94" s="39"/>
      <c r="FNP94" s="39"/>
      <c r="FNQ94" s="39"/>
      <c r="FNR94" s="39"/>
      <c r="FNS94" s="39"/>
      <c r="FNT94" s="39"/>
      <c r="FNU94" s="39"/>
      <c r="FNV94" s="39"/>
      <c r="FNW94" s="39"/>
      <c r="FNX94" s="39"/>
      <c r="FNY94" s="39"/>
      <c r="FNZ94" s="39"/>
      <c r="FOA94" s="39"/>
      <c r="FOB94" s="39"/>
      <c r="FOC94" s="39"/>
      <c r="FOD94" s="39"/>
      <c r="FOE94" s="39"/>
      <c r="FOF94" s="39"/>
      <c r="FOG94" s="39"/>
      <c r="FOH94" s="39"/>
      <c r="FOI94" s="39"/>
      <c r="FOJ94" s="39"/>
      <c r="FOK94" s="39"/>
      <c r="FOL94" s="39"/>
      <c r="FOM94" s="39"/>
      <c r="FON94" s="39"/>
      <c r="FOO94" s="39"/>
      <c r="FOP94" s="39"/>
      <c r="FOQ94" s="39"/>
      <c r="FOR94" s="39"/>
      <c r="FOS94" s="39"/>
      <c r="FOT94" s="39"/>
      <c r="FOU94" s="39"/>
      <c r="FOV94" s="39"/>
      <c r="FOW94" s="39"/>
      <c r="FOX94" s="39"/>
      <c r="FOY94" s="39"/>
      <c r="FOZ94" s="39"/>
      <c r="FPA94" s="39"/>
      <c r="FPB94" s="39"/>
      <c r="FPC94" s="39"/>
      <c r="FPD94" s="39"/>
      <c r="FPE94" s="39"/>
      <c r="FPF94" s="39"/>
      <c r="FPG94" s="39"/>
      <c r="FPH94" s="39"/>
      <c r="FPI94" s="39"/>
      <c r="FPJ94" s="39"/>
      <c r="FPK94" s="39"/>
      <c r="FPL94" s="39"/>
      <c r="FPM94" s="39"/>
      <c r="FPN94" s="39"/>
      <c r="FPO94" s="39"/>
      <c r="FPP94" s="39"/>
      <c r="FPQ94" s="39"/>
      <c r="FPR94" s="39"/>
      <c r="FPS94" s="39"/>
      <c r="FPT94" s="39"/>
      <c r="FPU94" s="39"/>
      <c r="FPV94" s="39"/>
      <c r="FPW94" s="39"/>
      <c r="FPX94" s="39"/>
      <c r="FPY94" s="39"/>
      <c r="FPZ94" s="39"/>
      <c r="FQA94" s="39"/>
      <c r="FQB94" s="39"/>
      <c r="FQC94" s="39"/>
      <c r="FQD94" s="39"/>
      <c r="FQE94" s="39"/>
      <c r="FQF94" s="39"/>
      <c r="FQG94" s="39"/>
      <c r="FQH94" s="39"/>
      <c r="FQI94" s="39"/>
      <c r="FQJ94" s="39"/>
      <c r="FQK94" s="39"/>
      <c r="FQL94" s="39"/>
      <c r="FQM94" s="39"/>
      <c r="FQN94" s="39"/>
      <c r="FQO94" s="39"/>
      <c r="FQP94" s="39"/>
      <c r="FQQ94" s="39"/>
      <c r="FQR94" s="39"/>
      <c r="FQS94" s="39"/>
      <c r="FQT94" s="39"/>
      <c r="FQU94" s="39"/>
      <c r="FQV94" s="39"/>
      <c r="FQW94" s="39"/>
      <c r="FQX94" s="39"/>
      <c r="FQY94" s="39"/>
      <c r="FQZ94" s="39"/>
      <c r="FRA94" s="39"/>
      <c r="FRB94" s="39"/>
      <c r="FRC94" s="39"/>
      <c r="FRD94" s="39"/>
      <c r="FRE94" s="39"/>
      <c r="FRF94" s="39"/>
      <c r="FRG94" s="39"/>
      <c r="FRH94" s="39"/>
      <c r="FRI94" s="39"/>
      <c r="FRJ94" s="39"/>
      <c r="FRK94" s="39"/>
      <c r="FRL94" s="39"/>
      <c r="FRM94" s="39"/>
      <c r="FRN94" s="39"/>
      <c r="FRO94" s="39"/>
      <c r="FRP94" s="39"/>
      <c r="FRQ94" s="39"/>
      <c r="FRR94" s="39"/>
      <c r="FRS94" s="39"/>
      <c r="FRT94" s="39"/>
      <c r="FRU94" s="39"/>
      <c r="FRV94" s="39"/>
      <c r="FRW94" s="39"/>
      <c r="FRX94" s="39"/>
      <c r="FRY94" s="39"/>
      <c r="FRZ94" s="39"/>
      <c r="FSA94" s="39"/>
      <c r="FSB94" s="39"/>
      <c r="FSC94" s="39"/>
      <c r="FSD94" s="39"/>
      <c r="FSE94" s="39"/>
      <c r="FSF94" s="39"/>
      <c r="FSG94" s="39"/>
      <c r="FSH94" s="39"/>
      <c r="FSI94" s="39"/>
      <c r="FSJ94" s="39"/>
      <c r="FSK94" s="39"/>
      <c r="FSL94" s="39"/>
      <c r="FSM94" s="39"/>
      <c r="FSN94" s="39"/>
      <c r="FSO94" s="39"/>
      <c r="FSP94" s="39"/>
      <c r="FSQ94" s="39"/>
      <c r="FSR94" s="39"/>
      <c r="FSS94" s="39"/>
      <c r="FST94" s="39"/>
      <c r="FSU94" s="39"/>
      <c r="FSV94" s="39"/>
      <c r="FSW94" s="39"/>
      <c r="FSX94" s="39"/>
      <c r="FSY94" s="39"/>
      <c r="FSZ94" s="39"/>
      <c r="FTA94" s="39"/>
      <c r="FTB94" s="39"/>
      <c r="FTC94" s="39"/>
      <c r="FTD94" s="39"/>
      <c r="FTE94" s="39"/>
      <c r="FTF94" s="39"/>
      <c r="FTG94" s="39"/>
      <c r="FTH94" s="39"/>
      <c r="FTI94" s="39"/>
      <c r="FTJ94" s="39"/>
      <c r="FTK94" s="39"/>
      <c r="FTL94" s="39"/>
      <c r="FTM94" s="39"/>
      <c r="FTN94" s="39"/>
      <c r="FTO94" s="39"/>
      <c r="FTP94" s="39"/>
      <c r="FTQ94" s="39"/>
      <c r="FTR94" s="39"/>
      <c r="FTS94" s="39"/>
      <c r="FTT94" s="39"/>
      <c r="FTU94" s="39"/>
      <c r="FTV94" s="39"/>
      <c r="FTW94" s="39"/>
      <c r="FTX94" s="39"/>
      <c r="FTY94" s="39"/>
      <c r="FTZ94" s="39"/>
      <c r="FUA94" s="39"/>
      <c r="FUB94" s="39"/>
      <c r="FUC94" s="39"/>
      <c r="FUD94" s="39"/>
      <c r="FUE94" s="39"/>
      <c r="FUF94" s="39"/>
      <c r="FUG94" s="39"/>
      <c r="FUH94" s="39"/>
      <c r="FUI94" s="39"/>
      <c r="FUJ94" s="39"/>
      <c r="FUK94" s="39"/>
      <c r="FUL94" s="39"/>
      <c r="FUM94" s="39"/>
      <c r="FUN94" s="39"/>
      <c r="FUO94" s="39"/>
      <c r="FUP94" s="39"/>
      <c r="FUQ94" s="39"/>
      <c r="FUR94" s="39"/>
      <c r="FUS94" s="39"/>
      <c r="FUT94" s="39"/>
      <c r="FUU94" s="39"/>
      <c r="FUV94" s="39"/>
      <c r="FUW94" s="39"/>
      <c r="FUX94" s="39"/>
      <c r="FUY94" s="39"/>
      <c r="FUZ94" s="39"/>
      <c r="FVA94" s="39"/>
      <c r="FVB94" s="39"/>
      <c r="FVC94" s="39"/>
      <c r="FVD94" s="39"/>
      <c r="FVE94" s="39"/>
      <c r="FVF94" s="39"/>
      <c r="FVG94" s="39"/>
      <c r="FVH94" s="39"/>
      <c r="FVI94" s="39"/>
      <c r="FVJ94" s="39"/>
      <c r="FVK94" s="39"/>
      <c r="FVL94" s="39"/>
      <c r="FVM94" s="39"/>
      <c r="FVN94" s="39"/>
      <c r="FVO94" s="39"/>
      <c r="FVP94" s="39"/>
      <c r="FVQ94" s="39"/>
      <c r="FVR94" s="39"/>
      <c r="FVS94" s="39"/>
      <c r="FVT94" s="39"/>
      <c r="FVU94" s="39"/>
      <c r="FVV94" s="39"/>
      <c r="FVW94" s="39"/>
      <c r="FVX94" s="39"/>
      <c r="FVY94" s="39"/>
      <c r="FVZ94" s="39"/>
      <c r="FWA94" s="39"/>
      <c r="FWB94" s="39"/>
      <c r="FWC94" s="39"/>
      <c r="FWD94" s="39"/>
      <c r="FWE94" s="39"/>
      <c r="FWF94" s="39"/>
      <c r="FWG94" s="39"/>
      <c r="FWH94" s="39"/>
      <c r="FWI94" s="39"/>
      <c r="FWJ94" s="39"/>
      <c r="FWK94" s="39"/>
      <c r="FWL94" s="39"/>
      <c r="FWM94" s="39"/>
      <c r="FWN94" s="39"/>
      <c r="FWO94" s="39"/>
      <c r="FWP94" s="39"/>
      <c r="FWQ94" s="39"/>
      <c r="FWR94" s="39"/>
      <c r="FWS94" s="39"/>
      <c r="FWT94" s="39"/>
      <c r="FWU94" s="39"/>
      <c r="FWV94" s="39"/>
      <c r="FWW94" s="39"/>
      <c r="FWX94" s="39"/>
      <c r="FWY94" s="39"/>
      <c r="FWZ94" s="39"/>
      <c r="FXA94" s="39"/>
      <c r="FXB94" s="39"/>
      <c r="FXC94" s="39"/>
      <c r="FXD94" s="39"/>
      <c r="FXE94" s="39"/>
      <c r="FXF94" s="39"/>
      <c r="FXG94" s="39"/>
      <c r="FXH94" s="39"/>
      <c r="FXI94" s="39"/>
      <c r="FXJ94" s="39"/>
      <c r="FXK94" s="39"/>
      <c r="FXL94" s="39"/>
      <c r="FXM94" s="39"/>
      <c r="FXN94" s="39"/>
      <c r="FXO94" s="39"/>
      <c r="FXP94" s="39"/>
      <c r="FXQ94" s="39"/>
      <c r="FXR94" s="39"/>
      <c r="FXS94" s="39"/>
      <c r="FXT94" s="39"/>
      <c r="FXU94" s="39"/>
      <c r="FXV94" s="39"/>
      <c r="FXW94" s="39"/>
      <c r="FXX94" s="39"/>
      <c r="FXY94" s="39"/>
      <c r="FXZ94" s="39"/>
      <c r="FYA94" s="39"/>
      <c r="FYB94" s="39"/>
      <c r="FYC94" s="39"/>
      <c r="FYD94" s="39"/>
      <c r="FYE94" s="39"/>
      <c r="FYF94" s="39"/>
      <c r="FYG94" s="39"/>
      <c r="FYH94" s="39"/>
      <c r="FYI94" s="39"/>
      <c r="FYJ94" s="39"/>
      <c r="FYK94" s="39"/>
      <c r="FYL94" s="39"/>
      <c r="FYM94" s="39"/>
      <c r="FYN94" s="39"/>
      <c r="FYO94" s="39"/>
      <c r="FYP94" s="39"/>
      <c r="FYQ94" s="39"/>
      <c r="FYR94" s="39"/>
      <c r="FYS94" s="39"/>
      <c r="FYT94" s="39"/>
      <c r="FYU94" s="39"/>
      <c r="FYV94" s="39"/>
      <c r="FYW94" s="39"/>
      <c r="FYX94" s="39"/>
      <c r="FYY94" s="39"/>
      <c r="FYZ94" s="39"/>
      <c r="FZA94" s="39"/>
      <c r="FZB94" s="39"/>
      <c r="FZC94" s="39"/>
      <c r="FZD94" s="39"/>
      <c r="FZE94" s="39"/>
      <c r="FZF94" s="39"/>
      <c r="FZG94" s="39"/>
      <c r="FZH94" s="39"/>
      <c r="FZI94" s="39"/>
      <c r="FZJ94" s="39"/>
      <c r="FZK94" s="39"/>
      <c r="FZL94" s="39"/>
      <c r="FZM94" s="39"/>
      <c r="FZN94" s="39"/>
      <c r="FZO94" s="39"/>
      <c r="FZP94" s="39"/>
      <c r="FZQ94" s="39"/>
      <c r="FZR94" s="39"/>
      <c r="FZS94" s="39"/>
      <c r="FZT94" s="39"/>
      <c r="FZU94" s="39"/>
      <c r="FZV94" s="39"/>
      <c r="FZW94" s="39"/>
      <c r="FZX94" s="39"/>
      <c r="FZY94" s="39"/>
      <c r="FZZ94" s="39"/>
      <c r="GAA94" s="39"/>
      <c r="GAB94" s="39"/>
      <c r="GAC94" s="39"/>
      <c r="GAD94" s="39"/>
      <c r="GAE94" s="39"/>
      <c r="GAF94" s="39"/>
      <c r="GAG94" s="39"/>
      <c r="GAH94" s="39"/>
      <c r="GAI94" s="39"/>
      <c r="GAJ94" s="39"/>
      <c r="GAK94" s="39"/>
      <c r="GAL94" s="39"/>
      <c r="GAM94" s="39"/>
      <c r="GAN94" s="39"/>
      <c r="GAO94" s="39"/>
      <c r="GAP94" s="39"/>
      <c r="GAQ94" s="39"/>
      <c r="GAR94" s="39"/>
      <c r="GAS94" s="39"/>
      <c r="GAT94" s="39"/>
      <c r="GAU94" s="39"/>
      <c r="GAV94" s="39"/>
      <c r="GAW94" s="39"/>
      <c r="GAX94" s="39"/>
      <c r="GAY94" s="39"/>
      <c r="GAZ94" s="39"/>
      <c r="GBA94" s="39"/>
      <c r="GBB94" s="39"/>
      <c r="GBC94" s="39"/>
      <c r="GBD94" s="39"/>
      <c r="GBE94" s="39"/>
      <c r="GBF94" s="39"/>
      <c r="GBG94" s="39"/>
      <c r="GBH94" s="39"/>
      <c r="GBI94" s="39"/>
      <c r="GBJ94" s="39"/>
      <c r="GBK94" s="39"/>
      <c r="GBL94" s="39"/>
      <c r="GBM94" s="39"/>
      <c r="GBN94" s="39"/>
      <c r="GBO94" s="39"/>
      <c r="GBP94" s="39"/>
      <c r="GBQ94" s="39"/>
      <c r="GBR94" s="39"/>
      <c r="GBS94" s="39"/>
      <c r="GBT94" s="39"/>
      <c r="GBU94" s="39"/>
      <c r="GBV94" s="39"/>
      <c r="GBW94" s="39"/>
      <c r="GBX94" s="39"/>
      <c r="GBY94" s="39"/>
      <c r="GBZ94" s="39"/>
      <c r="GCA94" s="39"/>
      <c r="GCB94" s="39"/>
      <c r="GCC94" s="39"/>
      <c r="GCD94" s="39"/>
      <c r="GCE94" s="39"/>
      <c r="GCF94" s="39"/>
      <c r="GCG94" s="39"/>
      <c r="GCH94" s="39"/>
      <c r="GCI94" s="39"/>
      <c r="GCJ94" s="39"/>
      <c r="GCK94" s="39"/>
      <c r="GCL94" s="39"/>
      <c r="GCM94" s="39"/>
      <c r="GCN94" s="39"/>
      <c r="GCO94" s="39"/>
      <c r="GCP94" s="39"/>
      <c r="GCQ94" s="39"/>
      <c r="GCR94" s="39"/>
      <c r="GCS94" s="39"/>
      <c r="GCT94" s="39"/>
      <c r="GCU94" s="39"/>
      <c r="GCV94" s="39"/>
      <c r="GCW94" s="39"/>
      <c r="GCX94" s="39"/>
      <c r="GCY94" s="39"/>
      <c r="GCZ94" s="39"/>
      <c r="GDA94" s="39"/>
      <c r="GDB94" s="39"/>
      <c r="GDC94" s="39"/>
      <c r="GDD94" s="39"/>
      <c r="GDE94" s="39"/>
      <c r="GDF94" s="39"/>
      <c r="GDG94" s="39"/>
      <c r="GDH94" s="39"/>
      <c r="GDI94" s="39"/>
      <c r="GDJ94" s="39"/>
      <c r="GDK94" s="39"/>
      <c r="GDL94" s="39"/>
      <c r="GDM94" s="39"/>
      <c r="GDN94" s="39"/>
      <c r="GDO94" s="39"/>
      <c r="GDP94" s="39"/>
      <c r="GDQ94" s="39"/>
      <c r="GDR94" s="39"/>
      <c r="GDS94" s="39"/>
      <c r="GDT94" s="39"/>
      <c r="GDU94" s="39"/>
      <c r="GDV94" s="39"/>
      <c r="GDW94" s="39"/>
      <c r="GDX94" s="39"/>
      <c r="GDY94" s="39"/>
      <c r="GDZ94" s="39"/>
      <c r="GEA94" s="39"/>
      <c r="GEB94" s="39"/>
      <c r="GEC94" s="39"/>
      <c r="GED94" s="39"/>
      <c r="GEE94" s="39"/>
      <c r="GEF94" s="39"/>
      <c r="GEG94" s="39"/>
      <c r="GEH94" s="39"/>
      <c r="GEI94" s="39"/>
      <c r="GEJ94" s="39"/>
      <c r="GEK94" s="39"/>
      <c r="GEL94" s="39"/>
      <c r="GEM94" s="39"/>
      <c r="GEN94" s="39"/>
      <c r="GEO94" s="39"/>
      <c r="GEP94" s="39"/>
      <c r="GEQ94" s="39"/>
      <c r="GER94" s="39"/>
      <c r="GES94" s="39"/>
      <c r="GET94" s="39"/>
      <c r="GEU94" s="39"/>
      <c r="GEV94" s="39"/>
      <c r="GEW94" s="39"/>
      <c r="GEX94" s="39"/>
      <c r="GEY94" s="39"/>
      <c r="GEZ94" s="39"/>
      <c r="GFA94" s="39"/>
      <c r="GFB94" s="39"/>
      <c r="GFC94" s="39"/>
      <c r="GFD94" s="39"/>
      <c r="GFE94" s="39"/>
      <c r="GFF94" s="39"/>
      <c r="GFG94" s="39"/>
      <c r="GFH94" s="39"/>
      <c r="GFI94" s="39"/>
      <c r="GFJ94" s="39"/>
      <c r="GFK94" s="39"/>
      <c r="GFL94" s="39"/>
      <c r="GFM94" s="39"/>
      <c r="GFN94" s="39"/>
      <c r="GFO94" s="39"/>
      <c r="GFP94" s="39"/>
      <c r="GFQ94" s="39"/>
      <c r="GFR94" s="39"/>
      <c r="GFS94" s="39"/>
      <c r="GFT94" s="39"/>
      <c r="GFU94" s="39"/>
      <c r="GFV94" s="39"/>
      <c r="GFW94" s="39"/>
      <c r="GFX94" s="39"/>
      <c r="GFY94" s="39"/>
      <c r="GFZ94" s="39"/>
      <c r="GGA94" s="39"/>
      <c r="GGB94" s="39"/>
      <c r="GGC94" s="39"/>
      <c r="GGD94" s="39"/>
      <c r="GGE94" s="39"/>
      <c r="GGF94" s="39"/>
      <c r="GGG94" s="39"/>
      <c r="GGH94" s="39"/>
      <c r="GGI94" s="39"/>
      <c r="GGJ94" s="39"/>
      <c r="GGK94" s="39"/>
      <c r="GGL94" s="39"/>
      <c r="GGM94" s="39"/>
      <c r="GGN94" s="39"/>
      <c r="GGO94" s="39"/>
      <c r="GGP94" s="39"/>
      <c r="GGQ94" s="39"/>
      <c r="GGR94" s="39"/>
      <c r="GGS94" s="39"/>
      <c r="GGT94" s="39"/>
      <c r="GGU94" s="39"/>
      <c r="GGV94" s="39"/>
      <c r="GGW94" s="39"/>
      <c r="GGX94" s="39"/>
      <c r="GGY94" s="39"/>
      <c r="GGZ94" s="39"/>
      <c r="GHA94" s="39"/>
      <c r="GHB94" s="39"/>
      <c r="GHC94" s="39"/>
      <c r="GHD94" s="39"/>
      <c r="GHE94" s="39"/>
      <c r="GHF94" s="39"/>
      <c r="GHG94" s="39"/>
      <c r="GHH94" s="39"/>
      <c r="GHI94" s="39"/>
      <c r="GHJ94" s="39"/>
      <c r="GHK94" s="39"/>
      <c r="GHL94" s="39"/>
      <c r="GHM94" s="39"/>
      <c r="GHN94" s="39"/>
      <c r="GHO94" s="39"/>
      <c r="GHP94" s="39"/>
      <c r="GHQ94" s="39"/>
      <c r="GHR94" s="39"/>
      <c r="GHS94" s="39"/>
      <c r="GHT94" s="39"/>
      <c r="GHU94" s="39"/>
      <c r="GHV94" s="39"/>
      <c r="GHW94" s="39"/>
      <c r="GHX94" s="39"/>
      <c r="GHY94" s="39"/>
      <c r="GHZ94" s="39"/>
      <c r="GIA94" s="39"/>
      <c r="GIB94" s="39"/>
      <c r="GIC94" s="39"/>
      <c r="GID94" s="39"/>
      <c r="GIE94" s="39"/>
      <c r="GIF94" s="39"/>
      <c r="GIG94" s="39"/>
      <c r="GIH94" s="39"/>
      <c r="GII94" s="39"/>
      <c r="GIJ94" s="39"/>
      <c r="GIK94" s="39"/>
      <c r="GIL94" s="39"/>
      <c r="GIM94" s="39"/>
      <c r="GIN94" s="39"/>
      <c r="GIO94" s="39"/>
      <c r="GIP94" s="39"/>
      <c r="GIQ94" s="39"/>
      <c r="GIR94" s="39"/>
      <c r="GIS94" s="39"/>
      <c r="GIT94" s="39"/>
      <c r="GIU94" s="39"/>
      <c r="GIV94" s="39"/>
      <c r="GIW94" s="39"/>
      <c r="GIX94" s="39"/>
      <c r="GIY94" s="39"/>
      <c r="GIZ94" s="39"/>
      <c r="GJA94" s="39"/>
      <c r="GJB94" s="39"/>
      <c r="GJC94" s="39"/>
      <c r="GJD94" s="39"/>
      <c r="GJE94" s="39"/>
      <c r="GJF94" s="39"/>
      <c r="GJG94" s="39"/>
      <c r="GJH94" s="39"/>
      <c r="GJI94" s="39"/>
      <c r="GJJ94" s="39"/>
      <c r="GJK94" s="39"/>
      <c r="GJL94" s="39"/>
      <c r="GJM94" s="39"/>
      <c r="GJN94" s="39"/>
      <c r="GJO94" s="39"/>
      <c r="GJP94" s="39"/>
      <c r="GJQ94" s="39"/>
      <c r="GJR94" s="39"/>
      <c r="GJS94" s="39"/>
      <c r="GJT94" s="39"/>
      <c r="GJU94" s="39"/>
      <c r="GJV94" s="39"/>
      <c r="GJW94" s="39"/>
      <c r="GJX94" s="39"/>
      <c r="GJY94" s="39"/>
      <c r="GJZ94" s="39"/>
      <c r="GKA94" s="39"/>
      <c r="GKB94" s="39"/>
      <c r="GKC94" s="39"/>
      <c r="GKD94" s="39"/>
      <c r="GKE94" s="39"/>
      <c r="GKF94" s="39"/>
      <c r="GKG94" s="39"/>
      <c r="GKH94" s="39"/>
      <c r="GKI94" s="39"/>
      <c r="GKJ94" s="39"/>
      <c r="GKK94" s="39"/>
      <c r="GKL94" s="39"/>
      <c r="GKM94" s="39"/>
      <c r="GKN94" s="39"/>
      <c r="GKO94" s="39"/>
      <c r="GKP94" s="39"/>
      <c r="GKQ94" s="39"/>
      <c r="GKR94" s="39"/>
      <c r="GKS94" s="39"/>
      <c r="GKT94" s="39"/>
      <c r="GKU94" s="39"/>
      <c r="GKV94" s="39"/>
      <c r="GKW94" s="39"/>
      <c r="GKX94" s="39"/>
      <c r="GKY94" s="39"/>
      <c r="GKZ94" s="39"/>
      <c r="GLA94" s="39"/>
      <c r="GLB94" s="39"/>
      <c r="GLC94" s="39"/>
      <c r="GLD94" s="39"/>
      <c r="GLE94" s="39"/>
      <c r="GLF94" s="39"/>
      <c r="GLG94" s="39"/>
      <c r="GLH94" s="39"/>
      <c r="GLI94" s="39"/>
      <c r="GLJ94" s="39"/>
      <c r="GLK94" s="39"/>
      <c r="GLL94" s="39"/>
      <c r="GLM94" s="39"/>
      <c r="GLN94" s="39"/>
      <c r="GLO94" s="39"/>
      <c r="GLP94" s="39"/>
      <c r="GLQ94" s="39"/>
      <c r="GLR94" s="39"/>
      <c r="GLS94" s="39"/>
      <c r="GLT94" s="39"/>
      <c r="GLU94" s="39"/>
      <c r="GLV94" s="39"/>
      <c r="GLW94" s="39"/>
      <c r="GLX94" s="39"/>
      <c r="GLY94" s="39"/>
      <c r="GLZ94" s="39"/>
      <c r="GMA94" s="39"/>
      <c r="GMB94" s="39"/>
      <c r="GMC94" s="39"/>
      <c r="GMD94" s="39"/>
      <c r="GME94" s="39"/>
      <c r="GMF94" s="39"/>
      <c r="GMG94" s="39"/>
      <c r="GMH94" s="39"/>
      <c r="GMI94" s="39"/>
      <c r="GMJ94" s="39"/>
      <c r="GMK94" s="39"/>
      <c r="GML94" s="39"/>
      <c r="GMM94" s="39"/>
      <c r="GMN94" s="39"/>
      <c r="GMO94" s="39"/>
      <c r="GMP94" s="39"/>
      <c r="GMQ94" s="39"/>
      <c r="GMR94" s="39"/>
      <c r="GMS94" s="39"/>
      <c r="GMT94" s="39"/>
      <c r="GMU94" s="39"/>
      <c r="GMV94" s="39"/>
      <c r="GMW94" s="39"/>
      <c r="GMX94" s="39"/>
      <c r="GMY94" s="39"/>
      <c r="GMZ94" s="39"/>
      <c r="GNA94" s="39"/>
      <c r="GNB94" s="39"/>
      <c r="GNC94" s="39"/>
      <c r="GND94" s="39"/>
      <c r="GNE94" s="39"/>
      <c r="GNF94" s="39"/>
      <c r="GNG94" s="39"/>
      <c r="GNH94" s="39"/>
      <c r="GNI94" s="39"/>
      <c r="GNJ94" s="39"/>
      <c r="GNK94" s="39"/>
      <c r="GNL94" s="39"/>
      <c r="GNM94" s="39"/>
      <c r="GNN94" s="39"/>
      <c r="GNO94" s="39"/>
      <c r="GNP94" s="39"/>
      <c r="GNQ94" s="39"/>
      <c r="GNR94" s="39"/>
      <c r="GNS94" s="39"/>
      <c r="GNT94" s="39"/>
      <c r="GNU94" s="39"/>
      <c r="GNV94" s="39"/>
      <c r="GNW94" s="39"/>
      <c r="GNX94" s="39"/>
      <c r="GNY94" s="39"/>
      <c r="GNZ94" s="39"/>
      <c r="GOA94" s="39"/>
      <c r="GOB94" s="39"/>
      <c r="GOC94" s="39"/>
      <c r="GOD94" s="39"/>
      <c r="GOE94" s="39"/>
      <c r="GOF94" s="39"/>
      <c r="GOG94" s="39"/>
      <c r="GOH94" s="39"/>
      <c r="GOI94" s="39"/>
      <c r="GOJ94" s="39"/>
      <c r="GOK94" s="39"/>
      <c r="GOL94" s="39"/>
      <c r="GOM94" s="39"/>
      <c r="GON94" s="39"/>
      <c r="GOO94" s="39"/>
      <c r="GOP94" s="39"/>
      <c r="GOQ94" s="39"/>
      <c r="GOR94" s="39"/>
      <c r="GOS94" s="39"/>
      <c r="GOT94" s="39"/>
      <c r="GOU94" s="39"/>
      <c r="GOV94" s="39"/>
      <c r="GOW94" s="39"/>
      <c r="GOX94" s="39"/>
      <c r="GOY94" s="39"/>
      <c r="GOZ94" s="39"/>
      <c r="GPA94" s="39"/>
      <c r="GPB94" s="39"/>
      <c r="GPC94" s="39"/>
      <c r="GPD94" s="39"/>
      <c r="GPE94" s="39"/>
      <c r="GPF94" s="39"/>
      <c r="GPG94" s="39"/>
      <c r="GPH94" s="39"/>
      <c r="GPI94" s="39"/>
      <c r="GPJ94" s="39"/>
      <c r="GPK94" s="39"/>
      <c r="GPL94" s="39"/>
      <c r="GPM94" s="39"/>
      <c r="GPN94" s="39"/>
      <c r="GPO94" s="39"/>
      <c r="GPP94" s="39"/>
      <c r="GPQ94" s="39"/>
      <c r="GPR94" s="39"/>
      <c r="GPS94" s="39"/>
      <c r="GPT94" s="39"/>
      <c r="GPU94" s="39"/>
      <c r="GPV94" s="39"/>
      <c r="GPW94" s="39"/>
      <c r="GPX94" s="39"/>
      <c r="GPY94" s="39"/>
      <c r="GPZ94" s="39"/>
      <c r="GQA94" s="39"/>
      <c r="GQB94" s="39"/>
      <c r="GQC94" s="39"/>
      <c r="GQD94" s="39"/>
      <c r="GQE94" s="39"/>
      <c r="GQF94" s="39"/>
      <c r="GQG94" s="39"/>
      <c r="GQH94" s="39"/>
      <c r="GQI94" s="39"/>
      <c r="GQJ94" s="39"/>
      <c r="GQK94" s="39"/>
      <c r="GQL94" s="39"/>
      <c r="GQM94" s="39"/>
      <c r="GQN94" s="39"/>
      <c r="GQO94" s="39"/>
      <c r="GQP94" s="39"/>
      <c r="GQQ94" s="39"/>
      <c r="GQR94" s="39"/>
      <c r="GQS94" s="39"/>
      <c r="GQT94" s="39"/>
      <c r="GQU94" s="39"/>
      <c r="GQV94" s="39"/>
      <c r="GQW94" s="39"/>
      <c r="GQX94" s="39"/>
      <c r="GQY94" s="39"/>
      <c r="GQZ94" s="39"/>
      <c r="GRA94" s="39"/>
      <c r="GRB94" s="39"/>
      <c r="GRC94" s="39"/>
      <c r="GRD94" s="39"/>
      <c r="GRE94" s="39"/>
      <c r="GRF94" s="39"/>
      <c r="GRG94" s="39"/>
      <c r="GRH94" s="39"/>
      <c r="GRI94" s="39"/>
      <c r="GRJ94" s="39"/>
      <c r="GRK94" s="39"/>
      <c r="GRL94" s="39"/>
      <c r="GRM94" s="39"/>
      <c r="GRN94" s="39"/>
      <c r="GRO94" s="39"/>
      <c r="GRP94" s="39"/>
      <c r="GRQ94" s="39"/>
      <c r="GRR94" s="39"/>
      <c r="GRS94" s="39"/>
      <c r="GRT94" s="39"/>
      <c r="GRU94" s="39"/>
      <c r="GRV94" s="39"/>
      <c r="GRW94" s="39"/>
      <c r="GRX94" s="39"/>
      <c r="GRY94" s="39"/>
      <c r="GRZ94" s="39"/>
      <c r="GSA94" s="39"/>
      <c r="GSB94" s="39"/>
      <c r="GSC94" s="39"/>
      <c r="GSD94" s="39"/>
      <c r="GSE94" s="39"/>
      <c r="GSF94" s="39"/>
      <c r="GSG94" s="39"/>
      <c r="GSH94" s="39"/>
      <c r="GSI94" s="39"/>
      <c r="GSJ94" s="39"/>
      <c r="GSK94" s="39"/>
      <c r="GSL94" s="39"/>
      <c r="GSM94" s="39"/>
      <c r="GSN94" s="39"/>
      <c r="GSO94" s="39"/>
      <c r="GSP94" s="39"/>
      <c r="GSQ94" s="39"/>
      <c r="GSR94" s="39"/>
      <c r="GSS94" s="39"/>
      <c r="GST94" s="39"/>
      <c r="GSU94" s="39"/>
      <c r="GSV94" s="39"/>
      <c r="GSW94" s="39"/>
      <c r="GSX94" s="39"/>
      <c r="GSY94" s="39"/>
      <c r="GSZ94" s="39"/>
      <c r="GTA94" s="39"/>
      <c r="GTB94" s="39"/>
      <c r="GTC94" s="39"/>
      <c r="GTD94" s="39"/>
      <c r="GTE94" s="39"/>
      <c r="GTF94" s="39"/>
      <c r="GTG94" s="39"/>
      <c r="GTH94" s="39"/>
      <c r="GTI94" s="39"/>
      <c r="GTJ94" s="39"/>
      <c r="GTK94" s="39"/>
      <c r="GTL94" s="39"/>
      <c r="GTM94" s="39"/>
      <c r="GTN94" s="39"/>
      <c r="GTO94" s="39"/>
      <c r="GTP94" s="39"/>
      <c r="GTQ94" s="39"/>
      <c r="GTR94" s="39"/>
      <c r="GTS94" s="39"/>
      <c r="GTT94" s="39"/>
      <c r="GTU94" s="39"/>
      <c r="GTV94" s="39"/>
      <c r="GTW94" s="39"/>
      <c r="GTX94" s="39"/>
      <c r="GTY94" s="39"/>
      <c r="GTZ94" s="39"/>
      <c r="GUA94" s="39"/>
      <c r="GUB94" s="39"/>
      <c r="GUC94" s="39"/>
      <c r="GUD94" s="39"/>
      <c r="GUE94" s="39"/>
      <c r="GUF94" s="39"/>
      <c r="GUG94" s="39"/>
      <c r="GUH94" s="39"/>
      <c r="GUI94" s="39"/>
      <c r="GUJ94" s="39"/>
      <c r="GUK94" s="39"/>
      <c r="GUL94" s="39"/>
      <c r="GUM94" s="39"/>
      <c r="GUN94" s="39"/>
      <c r="GUO94" s="39"/>
      <c r="GUP94" s="39"/>
      <c r="GUQ94" s="39"/>
      <c r="GUR94" s="39"/>
      <c r="GUS94" s="39"/>
      <c r="GUT94" s="39"/>
      <c r="GUU94" s="39"/>
      <c r="GUV94" s="39"/>
      <c r="GUW94" s="39"/>
      <c r="GUX94" s="39"/>
      <c r="GUY94" s="39"/>
      <c r="GUZ94" s="39"/>
      <c r="GVA94" s="39"/>
      <c r="GVB94" s="39"/>
      <c r="GVC94" s="39"/>
      <c r="GVD94" s="39"/>
      <c r="GVE94" s="39"/>
      <c r="GVF94" s="39"/>
      <c r="GVG94" s="39"/>
      <c r="GVH94" s="39"/>
      <c r="GVI94" s="39"/>
      <c r="GVJ94" s="39"/>
      <c r="GVK94" s="39"/>
      <c r="GVL94" s="39"/>
      <c r="GVM94" s="39"/>
      <c r="GVN94" s="39"/>
      <c r="GVO94" s="39"/>
      <c r="GVP94" s="39"/>
      <c r="GVQ94" s="39"/>
      <c r="GVR94" s="39"/>
      <c r="GVS94" s="39"/>
      <c r="GVT94" s="39"/>
      <c r="GVU94" s="39"/>
      <c r="GVV94" s="39"/>
      <c r="GVW94" s="39"/>
      <c r="GVX94" s="39"/>
      <c r="GVY94" s="39"/>
      <c r="GVZ94" s="39"/>
      <c r="GWA94" s="39"/>
      <c r="GWB94" s="39"/>
      <c r="GWC94" s="39"/>
      <c r="GWD94" s="39"/>
      <c r="GWE94" s="39"/>
      <c r="GWF94" s="39"/>
      <c r="GWG94" s="39"/>
      <c r="GWH94" s="39"/>
      <c r="GWI94" s="39"/>
      <c r="GWJ94" s="39"/>
      <c r="GWK94" s="39"/>
      <c r="GWL94" s="39"/>
      <c r="GWM94" s="39"/>
      <c r="GWN94" s="39"/>
      <c r="GWO94" s="39"/>
      <c r="GWP94" s="39"/>
      <c r="GWQ94" s="39"/>
      <c r="GWR94" s="39"/>
      <c r="GWS94" s="39"/>
      <c r="GWT94" s="39"/>
      <c r="GWU94" s="39"/>
      <c r="GWV94" s="39"/>
      <c r="GWW94" s="39"/>
      <c r="GWX94" s="39"/>
      <c r="GWY94" s="39"/>
      <c r="GWZ94" s="39"/>
      <c r="GXA94" s="39"/>
      <c r="GXB94" s="39"/>
      <c r="GXC94" s="39"/>
      <c r="GXD94" s="39"/>
      <c r="GXE94" s="39"/>
      <c r="GXF94" s="39"/>
      <c r="GXG94" s="39"/>
      <c r="GXH94" s="39"/>
      <c r="GXI94" s="39"/>
      <c r="GXJ94" s="39"/>
      <c r="GXK94" s="39"/>
      <c r="GXL94" s="39"/>
      <c r="GXM94" s="39"/>
      <c r="GXN94" s="39"/>
      <c r="GXO94" s="39"/>
      <c r="GXP94" s="39"/>
      <c r="GXQ94" s="39"/>
      <c r="GXR94" s="39"/>
      <c r="GXS94" s="39"/>
      <c r="GXT94" s="39"/>
      <c r="GXU94" s="39"/>
      <c r="GXV94" s="39"/>
      <c r="GXW94" s="39"/>
      <c r="GXX94" s="39"/>
      <c r="GXY94" s="39"/>
      <c r="GXZ94" s="39"/>
      <c r="GYA94" s="39"/>
      <c r="GYB94" s="39"/>
      <c r="GYC94" s="39"/>
      <c r="GYD94" s="39"/>
      <c r="GYE94" s="39"/>
      <c r="GYF94" s="39"/>
      <c r="GYG94" s="39"/>
      <c r="GYH94" s="39"/>
      <c r="GYI94" s="39"/>
      <c r="GYJ94" s="39"/>
      <c r="GYK94" s="39"/>
      <c r="GYL94" s="39"/>
      <c r="GYM94" s="39"/>
      <c r="GYN94" s="39"/>
      <c r="GYO94" s="39"/>
      <c r="GYP94" s="39"/>
      <c r="GYQ94" s="39"/>
      <c r="GYR94" s="39"/>
      <c r="GYS94" s="39"/>
      <c r="GYT94" s="39"/>
      <c r="GYU94" s="39"/>
      <c r="GYV94" s="39"/>
      <c r="GYW94" s="39"/>
      <c r="GYX94" s="39"/>
      <c r="GYY94" s="39"/>
      <c r="GYZ94" s="39"/>
      <c r="GZA94" s="39"/>
      <c r="GZB94" s="39"/>
      <c r="GZC94" s="39"/>
      <c r="GZD94" s="39"/>
      <c r="GZE94" s="39"/>
      <c r="GZF94" s="39"/>
      <c r="GZG94" s="39"/>
      <c r="GZH94" s="39"/>
      <c r="GZI94" s="39"/>
      <c r="GZJ94" s="39"/>
      <c r="GZK94" s="39"/>
      <c r="GZL94" s="39"/>
      <c r="GZM94" s="39"/>
      <c r="GZN94" s="39"/>
      <c r="GZO94" s="39"/>
      <c r="GZP94" s="39"/>
      <c r="GZQ94" s="39"/>
      <c r="GZR94" s="39"/>
      <c r="GZS94" s="39"/>
      <c r="GZT94" s="39"/>
      <c r="GZU94" s="39"/>
      <c r="GZV94" s="39"/>
      <c r="GZW94" s="39"/>
      <c r="GZX94" s="39"/>
      <c r="GZY94" s="39"/>
      <c r="GZZ94" s="39"/>
      <c r="HAA94" s="39"/>
      <c r="HAB94" s="39"/>
      <c r="HAC94" s="39"/>
      <c r="HAD94" s="39"/>
      <c r="HAE94" s="39"/>
      <c r="HAF94" s="39"/>
      <c r="HAG94" s="39"/>
      <c r="HAH94" s="39"/>
      <c r="HAI94" s="39"/>
      <c r="HAJ94" s="39"/>
      <c r="HAK94" s="39"/>
      <c r="HAL94" s="39"/>
      <c r="HAM94" s="39"/>
      <c r="HAN94" s="39"/>
      <c r="HAO94" s="39"/>
      <c r="HAP94" s="39"/>
      <c r="HAQ94" s="39"/>
      <c r="HAR94" s="39"/>
      <c r="HAS94" s="39"/>
      <c r="HAT94" s="39"/>
      <c r="HAU94" s="39"/>
      <c r="HAV94" s="39"/>
      <c r="HAW94" s="39"/>
      <c r="HAX94" s="39"/>
      <c r="HAY94" s="39"/>
      <c r="HAZ94" s="39"/>
      <c r="HBA94" s="39"/>
      <c r="HBB94" s="39"/>
      <c r="HBC94" s="39"/>
      <c r="HBD94" s="39"/>
      <c r="HBE94" s="39"/>
      <c r="HBF94" s="39"/>
      <c r="HBG94" s="39"/>
      <c r="HBH94" s="39"/>
      <c r="HBI94" s="39"/>
      <c r="HBJ94" s="39"/>
      <c r="HBK94" s="39"/>
      <c r="HBL94" s="39"/>
      <c r="HBM94" s="39"/>
      <c r="HBN94" s="39"/>
      <c r="HBO94" s="39"/>
      <c r="HBP94" s="39"/>
      <c r="HBQ94" s="39"/>
      <c r="HBR94" s="39"/>
      <c r="HBS94" s="39"/>
      <c r="HBT94" s="39"/>
      <c r="HBU94" s="39"/>
      <c r="HBV94" s="39"/>
      <c r="HBW94" s="39"/>
      <c r="HBX94" s="39"/>
      <c r="HBY94" s="39"/>
      <c r="HBZ94" s="39"/>
      <c r="HCA94" s="39"/>
      <c r="HCB94" s="39"/>
      <c r="HCC94" s="39"/>
      <c r="HCD94" s="39"/>
      <c r="HCE94" s="39"/>
      <c r="HCF94" s="39"/>
      <c r="HCG94" s="39"/>
      <c r="HCH94" s="39"/>
      <c r="HCI94" s="39"/>
      <c r="HCJ94" s="39"/>
      <c r="HCK94" s="39"/>
      <c r="HCL94" s="39"/>
      <c r="HCM94" s="39"/>
      <c r="HCN94" s="39"/>
      <c r="HCO94" s="39"/>
      <c r="HCP94" s="39"/>
      <c r="HCQ94" s="39"/>
      <c r="HCR94" s="39"/>
      <c r="HCS94" s="39"/>
      <c r="HCT94" s="39"/>
      <c r="HCU94" s="39"/>
      <c r="HCV94" s="39"/>
      <c r="HCW94" s="39"/>
      <c r="HCX94" s="39"/>
      <c r="HCY94" s="39"/>
      <c r="HCZ94" s="39"/>
      <c r="HDA94" s="39"/>
      <c r="HDB94" s="39"/>
      <c r="HDC94" s="39"/>
      <c r="HDD94" s="39"/>
      <c r="HDE94" s="39"/>
      <c r="HDF94" s="39"/>
      <c r="HDG94" s="39"/>
      <c r="HDH94" s="39"/>
      <c r="HDI94" s="39"/>
      <c r="HDJ94" s="39"/>
      <c r="HDK94" s="39"/>
      <c r="HDL94" s="39"/>
      <c r="HDM94" s="39"/>
      <c r="HDN94" s="39"/>
      <c r="HDO94" s="39"/>
      <c r="HDP94" s="39"/>
      <c r="HDQ94" s="39"/>
      <c r="HDR94" s="39"/>
      <c r="HDS94" s="39"/>
      <c r="HDT94" s="39"/>
      <c r="HDU94" s="39"/>
      <c r="HDV94" s="39"/>
      <c r="HDW94" s="39"/>
      <c r="HDX94" s="39"/>
      <c r="HDY94" s="39"/>
      <c r="HDZ94" s="39"/>
      <c r="HEA94" s="39"/>
      <c r="HEB94" s="39"/>
      <c r="HEC94" s="39"/>
      <c r="HED94" s="39"/>
      <c r="HEE94" s="39"/>
      <c r="HEF94" s="39"/>
      <c r="HEG94" s="39"/>
      <c r="HEH94" s="39"/>
      <c r="HEI94" s="39"/>
      <c r="HEJ94" s="39"/>
      <c r="HEK94" s="39"/>
      <c r="HEL94" s="39"/>
      <c r="HEM94" s="39"/>
      <c r="HEN94" s="39"/>
      <c r="HEO94" s="39"/>
      <c r="HEP94" s="39"/>
      <c r="HEQ94" s="39"/>
      <c r="HER94" s="39"/>
      <c r="HES94" s="39"/>
      <c r="HET94" s="39"/>
      <c r="HEU94" s="39"/>
      <c r="HEV94" s="39"/>
      <c r="HEW94" s="39"/>
      <c r="HEX94" s="39"/>
      <c r="HEY94" s="39"/>
      <c r="HEZ94" s="39"/>
      <c r="HFA94" s="39"/>
      <c r="HFB94" s="39"/>
      <c r="HFC94" s="39"/>
      <c r="HFD94" s="39"/>
      <c r="HFE94" s="39"/>
      <c r="HFF94" s="39"/>
      <c r="HFG94" s="39"/>
      <c r="HFH94" s="39"/>
      <c r="HFI94" s="39"/>
      <c r="HFJ94" s="39"/>
      <c r="HFK94" s="39"/>
      <c r="HFL94" s="39"/>
      <c r="HFM94" s="39"/>
      <c r="HFN94" s="39"/>
      <c r="HFO94" s="39"/>
      <c r="HFP94" s="39"/>
      <c r="HFQ94" s="39"/>
      <c r="HFR94" s="39"/>
      <c r="HFS94" s="39"/>
      <c r="HFT94" s="39"/>
      <c r="HFU94" s="39"/>
      <c r="HFV94" s="39"/>
      <c r="HFW94" s="39"/>
      <c r="HFX94" s="39"/>
      <c r="HFY94" s="39"/>
      <c r="HFZ94" s="39"/>
      <c r="HGA94" s="39"/>
      <c r="HGB94" s="39"/>
      <c r="HGC94" s="39"/>
      <c r="HGD94" s="39"/>
      <c r="HGE94" s="39"/>
      <c r="HGF94" s="39"/>
      <c r="HGG94" s="39"/>
      <c r="HGH94" s="39"/>
      <c r="HGI94" s="39"/>
      <c r="HGJ94" s="39"/>
      <c r="HGK94" s="39"/>
      <c r="HGL94" s="39"/>
      <c r="HGM94" s="39"/>
      <c r="HGN94" s="39"/>
      <c r="HGO94" s="39"/>
      <c r="HGP94" s="39"/>
      <c r="HGQ94" s="39"/>
      <c r="HGR94" s="39"/>
      <c r="HGS94" s="39"/>
      <c r="HGT94" s="39"/>
      <c r="HGU94" s="39"/>
      <c r="HGV94" s="39"/>
      <c r="HGW94" s="39"/>
      <c r="HGX94" s="39"/>
      <c r="HGY94" s="39"/>
      <c r="HGZ94" s="39"/>
      <c r="HHA94" s="39"/>
      <c r="HHB94" s="39"/>
      <c r="HHC94" s="39"/>
      <c r="HHD94" s="39"/>
      <c r="HHE94" s="39"/>
      <c r="HHF94" s="39"/>
      <c r="HHG94" s="39"/>
      <c r="HHH94" s="39"/>
      <c r="HHI94" s="39"/>
      <c r="HHJ94" s="39"/>
      <c r="HHK94" s="39"/>
      <c r="HHL94" s="39"/>
      <c r="HHM94" s="39"/>
      <c r="HHN94" s="39"/>
      <c r="HHO94" s="39"/>
      <c r="HHP94" s="39"/>
      <c r="HHQ94" s="39"/>
      <c r="HHR94" s="39"/>
      <c r="HHS94" s="39"/>
      <c r="HHT94" s="39"/>
      <c r="HHU94" s="39"/>
      <c r="HHV94" s="39"/>
      <c r="HHW94" s="39"/>
      <c r="HHX94" s="39"/>
      <c r="HHY94" s="39"/>
      <c r="HHZ94" s="39"/>
      <c r="HIA94" s="39"/>
      <c r="HIB94" s="39"/>
      <c r="HIC94" s="39"/>
      <c r="HID94" s="39"/>
      <c r="HIE94" s="39"/>
      <c r="HIF94" s="39"/>
      <c r="HIG94" s="39"/>
      <c r="HIH94" s="39"/>
      <c r="HII94" s="39"/>
      <c r="HIJ94" s="39"/>
      <c r="HIK94" s="39"/>
      <c r="HIL94" s="39"/>
      <c r="HIM94" s="39"/>
      <c r="HIN94" s="39"/>
      <c r="HIO94" s="39"/>
      <c r="HIP94" s="39"/>
      <c r="HIQ94" s="39"/>
      <c r="HIR94" s="39"/>
      <c r="HIS94" s="39"/>
      <c r="HIT94" s="39"/>
      <c r="HIU94" s="39"/>
      <c r="HIV94" s="39"/>
      <c r="HIW94" s="39"/>
      <c r="HIX94" s="39"/>
      <c r="HIY94" s="39"/>
      <c r="HIZ94" s="39"/>
      <c r="HJA94" s="39"/>
      <c r="HJB94" s="39"/>
      <c r="HJC94" s="39"/>
      <c r="HJD94" s="39"/>
      <c r="HJE94" s="39"/>
      <c r="HJF94" s="39"/>
      <c r="HJG94" s="39"/>
      <c r="HJH94" s="39"/>
      <c r="HJI94" s="39"/>
      <c r="HJJ94" s="39"/>
      <c r="HJK94" s="39"/>
      <c r="HJL94" s="39"/>
      <c r="HJM94" s="39"/>
      <c r="HJN94" s="39"/>
      <c r="HJO94" s="39"/>
      <c r="HJP94" s="39"/>
      <c r="HJQ94" s="39"/>
      <c r="HJR94" s="39"/>
      <c r="HJS94" s="39"/>
      <c r="HJT94" s="39"/>
      <c r="HJU94" s="39"/>
      <c r="HJV94" s="39"/>
      <c r="HJW94" s="39"/>
      <c r="HJX94" s="39"/>
      <c r="HJY94" s="39"/>
      <c r="HJZ94" s="39"/>
      <c r="HKA94" s="39"/>
      <c r="HKB94" s="39"/>
      <c r="HKC94" s="39"/>
      <c r="HKD94" s="39"/>
      <c r="HKE94" s="39"/>
      <c r="HKF94" s="39"/>
      <c r="HKG94" s="39"/>
      <c r="HKH94" s="39"/>
      <c r="HKI94" s="39"/>
      <c r="HKJ94" s="39"/>
      <c r="HKK94" s="39"/>
      <c r="HKL94" s="39"/>
      <c r="HKM94" s="39"/>
      <c r="HKN94" s="39"/>
      <c r="HKO94" s="39"/>
      <c r="HKP94" s="39"/>
      <c r="HKQ94" s="39"/>
      <c r="HKR94" s="39"/>
      <c r="HKS94" s="39"/>
      <c r="HKT94" s="39"/>
      <c r="HKU94" s="39"/>
      <c r="HKV94" s="39"/>
      <c r="HKW94" s="39"/>
      <c r="HKX94" s="39"/>
      <c r="HKY94" s="39"/>
      <c r="HKZ94" s="39"/>
      <c r="HLA94" s="39"/>
      <c r="HLB94" s="39"/>
      <c r="HLC94" s="39"/>
      <c r="HLD94" s="39"/>
      <c r="HLE94" s="39"/>
      <c r="HLF94" s="39"/>
      <c r="HLG94" s="39"/>
      <c r="HLH94" s="39"/>
      <c r="HLI94" s="39"/>
      <c r="HLJ94" s="39"/>
      <c r="HLK94" s="39"/>
      <c r="HLL94" s="39"/>
      <c r="HLM94" s="39"/>
      <c r="HLN94" s="39"/>
      <c r="HLO94" s="39"/>
      <c r="HLP94" s="39"/>
      <c r="HLQ94" s="39"/>
      <c r="HLR94" s="39"/>
      <c r="HLS94" s="39"/>
      <c r="HLT94" s="39"/>
      <c r="HLU94" s="39"/>
      <c r="HLV94" s="39"/>
      <c r="HLW94" s="39"/>
      <c r="HLX94" s="39"/>
      <c r="HLY94" s="39"/>
      <c r="HLZ94" s="39"/>
      <c r="HMA94" s="39"/>
      <c r="HMB94" s="39"/>
      <c r="HMC94" s="39"/>
      <c r="HMD94" s="39"/>
      <c r="HME94" s="39"/>
      <c r="HMF94" s="39"/>
      <c r="HMG94" s="39"/>
      <c r="HMH94" s="39"/>
      <c r="HMI94" s="39"/>
      <c r="HMJ94" s="39"/>
      <c r="HMK94" s="39"/>
      <c r="HML94" s="39"/>
      <c r="HMM94" s="39"/>
      <c r="HMN94" s="39"/>
      <c r="HMO94" s="39"/>
      <c r="HMP94" s="39"/>
      <c r="HMQ94" s="39"/>
      <c r="HMR94" s="39"/>
      <c r="HMS94" s="39"/>
      <c r="HMT94" s="39"/>
      <c r="HMU94" s="39"/>
      <c r="HMV94" s="39"/>
      <c r="HMW94" s="39"/>
      <c r="HMX94" s="39"/>
      <c r="HMY94" s="39"/>
      <c r="HMZ94" s="39"/>
      <c r="HNA94" s="39"/>
      <c r="HNB94" s="39"/>
      <c r="HNC94" s="39"/>
      <c r="HND94" s="39"/>
      <c r="HNE94" s="39"/>
      <c r="HNF94" s="39"/>
      <c r="HNG94" s="39"/>
      <c r="HNH94" s="39"/>
      <c r="HNI94" s="39"/>
      <c r="HNJ94" s="39"/>
      <c r="HNK94" s="39"/>
      <c r="HNL94" s="39"/>
      <c r="HNM94" s="39"/>
      <c r="HNN94" s="39"/>
      <c r="HNO94" s="39"/>
      <c r="HNP94" s="39"/>
      <c r="HNQ94" s="39"/>
      <c r="HNR94" s="39"/>
      <c r="HNS94" s="39"/>
      <c r="HNT94" s="39"/>
      <c r="HNU94" s="39"/>
      <c r="HNV94" s="39"/>
      <c r="HNW94" s="39"/>
      <c r="HNX94" s="39"/>
      <c r="HNY94" s="39"/>
      <c r="HNZ94" s="39"/>
      <c r="HOA94" s="39"/>
      <c r="HOB94" s="39"/>
      <c r="HOC94" s="39"/>
      <c r="HOD94" s="39"/>
      <c r="HOE94" s="39"/>
      <c r="HOF94" s="39"/>
      <c r="HOG94" s="39"/>
      <c r="HOH94" s="39"/>
      <c r="HOI94" s="39"/>
      <c r="HOJ94" s="39"/>
      <c r="HOK94" s="39"/>
      <c r="HOL94" s="39"/>
      <c r="HOM94" s="39"/>
      <c r="HON94" s="39"/>
      <c r="HOO94" s="39"/>
      <c r="HOP94" s="39"/>
      <c r="HOQ94" s="39"/>
      <c r="HOR94" s="39"/>
      <c r="HOS94" s="39"/>
      <c r="HOT94" s="39"/>
      <c r="HOU94" s="39"/>
      <c r="HOV94" s="39"/>
      <c r="HOW94" s="39"/>
      <c r="HOX94" s="39"/>
      <c r="HOY94" s="39"/>
      <c r="HOZ94" s="39"/>
      <c r="HPA94" s="39"/>
      <c r="HPB94" s="39"/>
      <c r="HPC94" s="39"/>
      <c r="HPD94" s="39"/>
      <c r="HPE94" s="39"/>
      <c r="HPF94" s="39"/>
      <c r="HPG94" s="39"/>
      <c r="HPH94" s="39"/>
      <c r="HPI94" s="39"/>
      <c r="HPJ94" s="39"/>
      <c r="HPK94" s="39"/>
      <c r="HPL94" s="39"/>
      <c r="HPM94" s="39"/>
      <c r="HPN94" s="39"/>
      <c r="HPO94" s="39"/>
      <c r="HPP94" s="39"/>
      <c r="HPQ94" s="39"/>
      <c r="HPR94" s="39"/>
      <c r="HPS94" s="39"/>
      <c r="HPT94" s="39"/>
      <c r="HPU94" s="39"/>
      <c r="HPV94" s="39"/>
      <c r="HPW94" s="39"/>
      <c r="HPX94" s="39"/>
      <c r="HPY94" s="39"/>
      <c r="HPZ94" s="39"/>
      <c r="HQA94" s="39"/>
      <c r="HQB94" s="39"/>
      <c r="HQC94" s="39"/>
      <c r="HQD94" s="39"/>
      <c r="HQE94" s="39"/>
      <c r="HQF94" s="39"/>
      <c r="HQG94" s="39"/>
      <c r="HQH94" s="39"/>
      <c r="HQI94" s="39"/>
      <c r="HQJ94" s="39"/>
      <c r="HQK94" s="39"/>
      <c r="HQL94" s="39"/>
      <c r="HQM94" s="39"/>
      <c r="HQN94" s="39"/>
      <c r="HQO94" s="39"/>
      <c r="HQP94" s="39"/>
      <c r="HQQ94" s="39"/>
      <c r="HQR94" s="39"/>
      <c r="HQS94" s="39"/>
      <c r="HQT94" s="39"/>
      <c r="HQU94" s="39"/>
      <c r="HQV94" s="39"/>
      <c r="HQW94" s="39"/>
      <c r="HQX94" s="39"/>
      <c r="HQY94" s="39"/>
      <c r="HQZ94" s="39"/>
      <c r="HRA94" s="39"/>
      <c r="HRB94" s="39"/>
      <c r="HRC94" s="39"/>
      <c r="HRD94" s="39"/>
      <c r="HRE94" s="39"/>
      <c r="HRF94" s="39"/>
      <c r="HRG94" s="39"/>
      <c r="HRH94" s="39"/>
      <c r="HRI94" s="39"/>
      <c r="HRJ94" s="39"/>
      <c r="HRK94" s="39"/>
      <c r="HRL94" s="39"/>
      <c r="HRM94" s="39"/>
      <c r="HRN94" s="39"/>
      <c r="HRO94" s="39"/>
      <c r="HRP94" s="39"/>
      <c r="HRQ94" s="39"/>
      <c r="HRR94" s="39"/>
      <c r="HRS94" s="39"/>
      <c r="HRT94" s="39"/>
      <c r="HRU94" s="39"/>
      <c r="HRV94" s="39"/>
      <c r="HRW94" s="39"/>
      <c r="HRX94" s="39"/>
      <c r="HRY94" s="39"/>
      <c r="HRZ94" s="39"/>
      <c r="HSA94" s="39"/>
      <c r="HSB94" s="39"/>
      <c r="HSC94" s="39"/>
      <c r="HSD94" s="39"/>
      <c r="HSE94" s="39"/>
      <c r="HSF94" s="39"/>
      <c r="HSG94" s="39"/>
      <c r="HSH94" s="39"/>
      <c r="HSI94" s="39"/>
      <c r="HSJ94" s="39"/>
      <c r="HSK94" s="39"/>
      <c r="HSL94" s="39"/>
      <c r="HSM94" s="39"/>
      <c r="HSN94" s="39"/>
      <c r="HSO94" s="39"/>
      <c r="HSP94" s="39"/>
      <c r="HSQ94" s="39"/>
      <c r="HSR94" s="39"/>
      <c r="HSS94" s="39"/>
      <c r="HST94" s="39"/>
      <c r="HSU94" s="39"/>
      <c r="HSV94" s="39"/>
      <c r="HSW94" s="39"/>
      <c r="HSX94" s="39"/>
      <c r="HSY94" s="39"/>
      <c r="HSZ94" s="39"/>
      <c r="HTA94" s="39"/>
      <c r="HTB94" s="39"/>
      <c r="HTC94" s="39"/>
      <c r="HTD94" s="39"/>
      <c r="HTE94" s="39"/>
      <c r="HTF94" s="39"/>
      <c r="HTG94" s="39"/>
      <c r="HTH94" s="39"/>
      <c r="HTI94" s="39"/>
      <c r="HTJ94" s="39"/>
      <c r="HTK94" s="39"/>
      <c r="HTL94" s="39"/>
      <c r="HTM94" s="39"/>
      <c r="HTN94" s="39"/>
      <c r="HTO94" s="39"/>
      <c r="HTP94" s="39"/>
      <c r="HTQ94" s="39"/>
      <c r="HTR94" s="39"/>
      <c r="HTS94" s="39"/>
      <c r="HTT94" s="39"/>
      <c r="HTU94" s="39"/>
      <c r="HTV94" s="39"/>
      <c r="HTW94" s="39"/>
      <c r="HTX94" s="39"/>
      <c r="HTY94" s="39"/>
      <c r="HTZ94" s="39"/>
      <c r="HUA94" s="39"/>
      <c r="HUB94" s="39"/>
      <c r="HUC94" s="39"/>
      <c r="HUD94" s="39"/>
      <c r="HUE94" s="39"/>
      <c r="HUF94" s="39"/>
      <c r="HUG94" s="39"/>
      <c r="HUH94" s="39"/>
      <c r="HUI94" s="39"/>
      <c r="HUJ94" s="39"/>
      <c r="HUK94" s="39"/>
      <c r="HUL94" s="39"/>
      <c r="HUM94" s="39"/>
      <c r="HUN94" s="39"/>
      <c r="HUO94" s="39"/>
      <c r="HUP94" s="39"/>
      <c r="HUQ94" s="39"/>
      <c r="HUR94" s="39"/>
      <c r="HUS94" s="39"/>
      <c r="HUT94" s="39"/>
      <c r="HUU94" s="39"/>
      <c r="HUV94" s="39"/>
      <c r="HUW94" s="39"/>
      <c r="HUX94" s="39"/>
      <c r="HUY94" s="39"/>
      <c r="HUZ94" s="39"/>
      <c r="HVA94" s="39"/>
      <c r="HVB94" s="39"/>
      <c r="HVC94" s="39"/>
      <c r="HVD94" s="39"/>
      <c r="HVE94" s="39"/>
      <c r="HVF94" s="39"/>
      <c r="HVG94" s="39"/>
      <c r="HVH94" s="39"/>
      <c r="HVI94" s="39"/>
      <c r="HVJ94" s="39"/>
      <c r="HVK94" s="39"/>
      <c r="HVL94" s="39"/>
      <c r="HVM94" s="39"/>
      <c r="HVN94" s="39"/>
      <c r="HVO94" s="39"/>
      <c r="HVP94" s="39"/>
      <c r="HVQ94" s="39"/>
      <c r="HVR94" s="39"/>
      <c r="HVS94" s="39"/>
      <c r="HVT94" s="39"/>
      <c r="HVU94" s="39"/>
      <c r="HVV94" s="39"/>
      <c r="HVW94" s="39"/>
      <c r="HVX94" s="39"/>
      <c r="HVY94" s="39"/>
      <c r="HVZ94" s="39"/>
      <c r="HWA94" s="39"/>
      <c r="HWB94" s="39"/>
      <c r="HWC94" s="39"/>
      <c r="HWD94" s="39"/>
      <c r="HWE94" s="39"/>
      <c r="HWF94" s="39"/>
      <c r="HWG94" s="39"/>
      <c r="HWH94" s="39"/>
      <c r="HWI94" s="39"/>
      <c r="HWJ94" s="39"/>
      <c r="HWK94" s="39"/>
      <c r="HWL94" s="39"/>
      <c r="HWM94" s="39"/>
      <c r="HWN94" s="39"/>
      <c r="HWO94" s="39"/>
      <c r="HWP94" s="39"/>
      <c r="HWQ94" s="39"/>
      <c r="HWR94" s="39"/>
      <c r="HWS94" s="39"/>
      <c r="HWT94" s="39"/>
      <c r="HWU94" s="39"/>
      <c r="HWV94" s="39"/>
      <c r="HWW94" s="39"/>
      <c r="HWX94" s="39"/>
      <c r="HWY94" s="39"/>
      <c r="HWZ94" s="39"/>
      <c r="HXA94" s="39"/>
      <c r="HXB94" s="39"/>
      <c r="HXC94" s="39"/>
      <c r="HXD94" s="39"/>
      <c r="HXE94" s="39"/>
      <c r="HXF94" s="39"/>
      <c r="HXG94" s="39"/>
      <c r="HXH94" s="39"/>
      <c r="HXI94" s="39"/>
      <c r="HXJ94" s="39"/>
      <c r="HXK94" s="39"/>
      <c r="HXL94" s="39"/>
      <c r="HXM94" s="39"/>
      <c r="HXN94" s="39"/>
      <c r="HXO94" s="39"/>
      <c r="HXP94" s="39"/>
      <c r="HXQ94" s="39"/>
      <c r="HXR94" s="39"/>
      <c r="HXS94" s="39"/>
      <c r="HXT94" s="39"/>
      <c r="HXU94" s="39"/>
      <c r="HXV94" s="39"/>
      <c r="HXW94" s="39"/>
      <c r="HXX94" s="39"/>
      <c r="HXY94" s="39"/>
      <c r="HXZ94" s="39"/>
      <c r="HYA94" s="39"/>
      <c r="HYB94" s="39"/>
      <c r="HYC94" s="39"/>
      <c r="HYD94" s="39"/>
      <c r="HYE94" s="39"/>
      <c r="HYF94" s="39"/>
      <c r="HYG94" s="39"/>
      <c r="HYH94" s="39"/>
      <c r="HYI94" s="39"/>
      <c r="HYJ94" s="39"/>
      <c r="HYK94" s="39"/>
      <c r="HYL94" s="39"/>
      <c r="HYM94" s="39"/>
      <c r="HYN94" s="39"/>
      <c r="HYO94" s="39"/>
      <c r="HYP94" s="39"/>
      <c r="HYQ94" s="39"/>
      <c r="HYR94" s="39"/>
      <c r="HYS94" s="39"/>
      <c r="HYT94" s="39"/>
      <c r="HYU94" s="39"/>
      <c r="HYV94" s="39"/>
      <c r="HYW94" s="39"/>
      <c r="HYX94" s="39"/>
      <c r="HYY94" s="39"/>
      <c r="HYZ94" s="39"/>
      <c r="HZA94" s="39"/>
      <c r="HZB94" s="39"/>
      <c r="HZC94" s="39"/>
      <c r="HZD94" s="39"/>
      <c r="HZE94" s="39"/>
      <c r="HZF94" s="39"/>
      <c r="HZG94" s="39"/>
      <c r="HZH94" s="39"/>
      <c r="HZI94" s="39"/>
      <c r="HZJ94" s="39"/>
      <c r="HZK94" s="39"/>
      <c r="HZL94" s="39"/>
      <c r="HZM94" s="39"/>
      <c r="HZN94" s="39"/>
      <c r="HZO94" s="39"/>
      <c r="HZP94" s="39"/>
      <c r="HZQ94" s="39"/>
      <c r="HZR94" s="39"/>
      <c r="HZS94" s="39"/>
      <c r="HZT94" s="39"/>
      <c r="HZU94" s="39"/>
      <c r="HZV94" s="39"/>
      <c r="HZW94" s="39"/>
      <c r="HZX94" s="39"/>
      <c r="HZY94" s="39"/>
      <c r="HZZ94" s="39"/>
      <c r="IAA94" s="39"/>
      <c r="IAB94" s="39"/>
      <c r="IAC94" s="39"/>
      <c r="IAD94" s="39"/>
      <c r="IAE94" s="39"/>
      <c r="IAF94" s="39"/>
      <c r="IAG94" s="39"/>
      <c r="IAH94" s="39"/>
      <c r="IAI94" s="39"/>
      <c r="IAJ94" s="39"/>
      <c r="IAK94" s="39"/>
      <c r="IAL94" s="39"/>
      <c r="IAM94" s="39"/>
      <c r="IAN94" s="39"/>
      <c r="IAO94" s="39"/>
      <c r="IAP94" s="39"/>
      <c r="IAQ94" s="39"/>
      <c r="IAR94" s="39"/>
      <c r="IAS94" s="39"/>
      <c r="IAT94" s="39"/>
      <c r="IAU94" s="39"/>
      <c r="IAV94" s="39"/>
      <c r="IAW94" s="39"/>
      <c r="IAX94" s="39"/>
      <c r="IAY94" s="39"/>
      <c r="IAZ94" s="39"/>
      <c r="IBA94" s="39"/>
      <c r="IBB94" s="39"/>
      <c r="IBC94" s="39"/>
      <c r="IBD94" s="39"/>
      <c r="IBE94" s="39"/>
      <c r="IBF94" s="39"/>
      <c r="IBG94" s="39"/>
      <c r="IBH94" s="39"/>
      <c r="IBI94" s="39"/>
      <c r="IBJ94" s="39"/>
      <c r="IBK94" s="39"/>
      <c r="IBL94" s="39"/>
      <c r="IBM94" s="39"/>
      <c r="IBN94" s="39"/>
      <c r="IBO94" s="39"/>
      <c r="IBP94" s="39"/>
      <c r="IBQ94" s="39"/>
      <c r="IBR94" s="39"/>
      <c r="IBS94" s="39"/>
      <c r="IBT94" s="39"/>
      <c r="IBU94" s="39"/>
      <c r="IBV94" s="39"/>
      <c r="IBW94" s="39"/>
      <c r="IBX94" s="39"/>
      <c r="IBY94" s="39"/>
      <c r="IBZ94" s="39"/>
      <c r="ICA94" s="39"/>
      <c r="ICB94" s="39"/>
      <c r="ICC94" s="39"/>
      <c r="ICD94" s="39"/>
      <c r="ICE94" s="39"/>
      <c r="ICF94" s="39"/>
      <c r="ICG94" s="39"/>
      <c r="ICH94" s="39"/>
      <c r="ICI94" s="39"/>
      <c r="ICJ94" s="39"/>
      <c r="ICK94" s="39"/>
      <c r="ICL94" s="39"/>
      <c r="ICM94" s="39"/>
      <c r="ICN94" s="39"/>
      <c r="ICO94" s="39"/>
      <c r="ICP94" s="39"/>
      <c r="ICQ94" s="39"/>
      <c r="ICR94" s="39"/>
      <c r="ICS94" s="39"/>
      <c r="ICT94" s="39"/>
      <c r="ICU94" s="39"/>
      <c r="ICV94" s="39"/>
      <c r="ICW94" s="39"/>
      <c r="ICX94" s="39"/>
      <c r="ICY94" s="39"/>
      <c r="ICZ94" s="39"/>
      <c r="IDA94" s="39"/>
      <c r="IDB94" s="39"/>
      <c r="IDC94" s="39"/>
      <c r="IDD94" s="39"/>
      <c r="IDE94" s="39"/>
      <c r="IDF94" s="39"/>
      <c r="IDG94" s="39"/>
      <c r="IDH94" s="39"/>
      <c r="IDI94" s="39"/>
      <c r="IDJ94" s="39"/>
      <c r="IDK94" s="39"/>
      <c r="IDL94" s="39"/>
      <c r="IDM94" s="39"/>
      <c r="IDN94" s="39"/>
      <c r="IDO94" s="39"/>
      <c r="IDP94" s="39"/>
      <c r="IDQ94" s="39"/>
      <c r="IDR94" s="39"/>
      <c r="IDS94" s="39"/>
      <c r="IDT94" s="39"/>
      <c r="IDU94" s="39"/>
      <c r="IDV94" s="39"/>
      <c r="IDW94" s="39"/>
      <c r="IDX94" s="39"/>
      <c r="IDY94" s="39"/>
      <c r="IDZ94" s="39"/>
      <c r="IEA94" s="39"/>
      <c r="IEB94" s="39"/>
      <c r="IEC94" s="39"/>
      <c r="IED94" s="39"/>
      <c r="IEE94" s="39"/>
      <c r="IEF94" s="39"/>
      <c r="IEG94" s="39"/>
      <c r="IEH94" s="39"/>
      <c r="IEI94" s="39"/>
      <c r="IEJ94" s="39"/>
      <c r="IEK94" s="39"/>
      <c r="IEL94" s="39"/>
      <c r="IEM94" s="39"/>
      <c r="IEN94" s="39"/>
      <c r="IEO94" s="39"/>
      <c r="IEP94" s="39"/>
      <c r="IEQ94" s="39"/>
      <c r="IER94" s="39"/>
      <c r="IES94" s="39"/>
      <c r="IET94" s="39"/>
      <c r="IEU94" s="39"/>
      <c r="IEV94" s="39"/>
      <c r="IEW94" s="39"/>
      <c r="IEX94" s="39"/>
      <c r="IEY94" s="39"/>
      <c r="IEZ94" s="39"/>
      <c r="IFA94" s="39"/>
      <c r="IFB94" s="39"/>
      <c r="IFC94" s="39"/>
      <c r="IFD94" s="39"/>
      <c r="IFE94" s="39"/>
      <c r="IFF94" s="39"/>
      <c r="IFG94" s="39"/>
      <c r="IFH94" s="39"/>
      <c r="IFI94" s="39"/>
      <c r="IFJ94" s="39"/>
      <c r="IFK94" s="39"/>
      <c r="IFL94" s="39"/>
      <c r="IFM94" s="39"/>
      <c r="IFN94" s="39"/>
      <c r="IFO94" s="39"/>
      <c r="IFP94" s="39"/>
      <c r="IFQ94" s="39"/>
      <c r="IFR94" s="39"/>
      <c r="IFS94" s="39"/>
      <c r="IFT94" s="39"/>
      <c r="IFU94" s="39"/>
      <c r="IFV94" s="39"/>
      <c r="IFW94" s="39"/>
      <c r="IFX94" s="39"/>
      <c r="IFY94" s="39"/>
      <c r="IFZ94" s="39"/>
      <c r="IGA94" s="39"/>
      <c r="IGB94" s="39"/>
      <c r="IGC94" s="39"/>
      <c r="IGD94" s="39"/>
      <c r="IGE94" s="39"/>
      <c r="IGF94" s="39"/>
      <c r="IGG94" s="39"/>
      <c r="IGH94" s="39"/>
      <c r="IGI94" s="39"/>
      <c r="IGJ94" s="39"/>
      <c r="IGK94" s="39"/>
      <c r="IGL94" s="39"/>
      <c r="IGM94" s="39"/>
      <c r="IGN94" s="39"/>
      <c r="IGO94" s="39"/>
      <c r="IGP94" s="39"/>
      <c r="IGQ94" s="39"/>
      <c r="IGR94" s="39"/>
      <c r="IGS94" s="39"/>
      <c r="IGT94" s="39"/>
      <c r="IGU94" s="39"/>
      <c r="IGV94" s="39"/>
      <c r="IGW94" s="39"/>
      <c r="IGX94" s="39"/>
      <c r="IGY94" s="39"/>
      <c r="IGZ94" s="39"/>
      <c r="IHA94" s="39"/>
      <c r="IHB94" s="39"/>
      <c r="IHC94" s="39"/>
      <c r="IHD94" s="39"/>
      <c r="IHE94" s="39"/>
      <c r="IHF94" s="39"/>
      <c r="IHG94" s="39"/>
      <c r="IHH94" s="39"/>
      <c r="IHI94" s="39"/>
      <c r="IHJ94" s="39"/>
      <c r="IHK94" s="39"/>
      <c r="IHL94" s="39"/>
      <c r="IHM94" s="39"/>
      <c r="IHN94" s="39"/>
      <c r="IHO94" s="39"/>
      <c r="IHP94" s="39"/>
      <c r="IHQ94" s="39"/>
      <c r="IHR94" s="39"/>
      <c r="IHS94" s="39"/>
      <c r="IHT94" s="39"/>
      <c r="IHU94" s="39"/>
      <c r="IHV94" s="39"/>
      <c r="IHW94" s="39"/>
      <c r="IHX94" s="39"/>
      <c r="IHY94" s="39"/>
      <c r="IHZ94" s="39"/>
      <c r="IIA94" s="39"/>
      <c r="IIB94" s="39"/>
      <c r="IIC94" s="39"/>
      <c r="IID94" s="39"/>
      <c r="IIE94" s="39"/>
      <c r="IIF94" s="39"/>
      <c r="IIG94" s="39"/>
      <c r="IIH94" s="39"/>
      <c r="III94" s="39"/>
      <c r="IIJ94" s="39"/>
      <c r="IIK94" s="39"/>
      <c r="IIL94" s="39"/>
      <c r="IIM94" s="39"/>
      <c r="IIN94" s="39"/>
      <c r="IIO94" s="39"/>
      <c r="IIP94" s="39"/>
      <c r="IIQ94" s="39"/>
      <c r="IIR94" s="39"/>
      <c r="IIS94" s="39"/>
      <c r="IIT94" s="39"/>
      <c r="IIU94" s="39"/>
      <c r="IIV94" s="39"/>
      <c r="IIW94" s="39"/>
      <c r="IIX94" s="39"/>
      <c r="IIY94" s="39"/>
      <c r="IIZ94" s="39"/>
      <c r="IJA94" s="39"/>
      <c r="IJB94" s="39"/>
      <c r="IJC94" s="39"/>
      <c r="IJD94" s="39"/>
      <c r="IJE94" s="39"/>
      <c r="IJF94" s="39"/>
      <c r="IJG94" s="39"/>
      <c r="IJH94" s="39"/>
      <c r="IJI94" s="39"/>
      <c r="IJJ94" s="39"/>
      <c r="IJK94" s="39"/>
      <c r="IJL94" s="39"/>
      <c r="IJM94" s="39"/>
      <c r="IJN94" s="39"/>
      <c r="IJO94" s="39"/>
      <c r="IJP94" s="39"/>
      <c r="IJQ94" s="39"/>
      <c r="IJR94" s="39"/>
      <c r="IJS94" s="39"/>
      <c r="IJT94" s="39"/>
      <c r="IJU94" s="39"/>
      <c r="IJV94" s="39"/>
      <c r="IJW94" s="39"/>
      <c r="IJX94" s="39"/>
      <c r="IJY94" s="39"/>
      <c r="IJZ94" s="39"/>
      <c r="IKA94" s="39"/>
      <c r="IKB94" s="39"/>
      <c r="IKC94" s="39"/>
      <c r="IKD94" s="39"/>
      <c r="IKE94" s="39"/>
      <c r="IKF94" s="39"/>
      <c r="IKG94" s="39"/>
      <c r="IKH94" s="39"/>
      <c r="IKI94" s="39"/>
      <c r="IKJ94" s="39"/>
      <c r="IKK94" s="39"/>
      <c r="IKL94" s="39"/>
      <c r="IKM94" s="39"/>
      <c r="IKN94" s="39"/>
      <c r="IKO94" s="39"/>
      <c r="IKP94" s="39"/>
      <c r="IKQ94" s="39"/>
      <c r="IKR94" s="39"/>
      <c r="IKS94" s="39"/>
      <c r="IKT94" s="39"/>
      <c r="IKU94" s="39"/>
      <c r="IKV94" s="39"/>
      <c r="IKW94" s="39"/>
      <c r="IKX94" s="39"/>
      <c r="IKY94" s="39"/>
      <c r="IKZ94" s="39"/>
      <c r="ILA94" s="39"/>
      <c r="ILB94" s="39"/>
      <c r="ILC94" s="39"/>
      <c r="ILD94" s="39"/>
      <c r="ILE94" s="39"/>
      <c r="ILF94" s="39"/>
      <c r="ILG94" s="39"/>
      <c r="ILH94" s="39"/>
      <c r="ILI94" s="39"/>
      <c r="ILJ94" s="39"/>
      <c r="ILK94" s="39"/>
      <c r="ILL94" s="39"/>
      <c r="ILM94" s="39"/>
      <c r="ILN94" s="39"/>
      <c r="ILO94" s="39"/>
      <c r="ILP94" s="39"/>
      <c r="ILQ94" s="39"/>
      <c r="ILR94" s="39"/>
      <c r="ILS94" s="39"/>
      <c r="ILT94" s="39"/>
      <c r="ILU94" s="39"/>
      <c r="ILV94" s="39"/>
      <c r="ILW94" s="39"/>
      <c r="ILX94" s="39"/>
      <c r="ILY94" s="39"/>
      <c r="ILZ94" s="39"/>
      <c r="IMA94" s="39"/>
      <c r="IMB94" s="39"/>
      <c r="IMC94" s="39"/>
      <c r="IMD94" s="39"/>
      <c r="IME94" s="39"/>
      <c r="IMF94" s="39"/>
      <c r="IMG94" s="39"/>
      <c r="IMH94" s="39"/>
      <c r="IMI94" s="39"/>
      <c r="IMJ94" s="39"/>
      <c r="IMK94" s="39"/>
      <c r="IML94" s="39"/>
      <c r="IMM94" s="39"/>
      <c r="IMN94" s="39"/>
      <c r="IMO94" s="39"/>
      <c r="IMP94" s="39"/>
      <c r="IMQ94" s="39"/>
      <c r="IMR94" s="39"/>
      <c r="IMS94" s="39"/>
      <c r="IMT94" s="39"/>
      <c r="IMU94" s="39"/>
      <c r="IMV94" s="39"/>
      <c r="IMW94" s="39"/>
      <c r="IMX94" s="39"/>
      <c r="IMY94" s="39"/>
      <c r="IMZ94" s="39"/>
      <c r="INA94" s="39"/>
      <c r="INB94" s="39"/>
      <c r="INC94" s="39"/>
      <c r="IND94" s="39"/>
      <c r="INE94" s="39"/>
      <c r="INF94" s="39"/>
      <c r="ING94" s="39"/>
      <c r="INH94" s="39"/>
      <c r="INI94" s="39"/>
      <c r="INJ94" s="39"/>
      <c r="INK94" s="39"/>
      <c r="INL94" s="39"/>
      <c r="INM94" s="39"/>
      <c r="INN94" s="39"/>
      <c r="INO94" s="39"/>
      <c r="INP94" s="39"/>
      <c r="INQ94" s="39"/>
      <c r="INR94" s="39"/>
      <c r="INS94" s="39"/>
      <c r="INT94" s="39"/>
      <c r="INU94" s="39"/>
      <c r="INV94" s="39"/>
      <c r="INW94" s="39"/>
      <c r="INX94" s="39"/>
      <c r="INY94" s="39"/>
      <c r="INZ94" s="39"/>
      <c r="IOA94" s="39"/>
      <c r="IOB94" s="39"/>
      <c r="IOC94" s="39"/>
      <c r="IOD94" s="39"/>
      <c r="IOE94" s="39"/>
      <c r="IOF94" s="39"/>
      <c r="IOG94" s="39"/>
      <c r="IOH94" s="39"/>
      <c r="IOI94" s="39"/>
      <c r="IOJ94" s="39"/>
      <c r="IOK94" s="39"/>
      <c r="IOL94" s="39"/>
      <c r="IOM94" s="39"/>
      <c r="ION94" s="39"/>
      <c r="IOO94" s="39"/>
      <c r="IOP94" s="39"/>
      <c r="IOQ94" s="39"/>
      <c r="IOR94" s="39"/>
      <c r="IOS94" s="39"/>
      <c r="IOT94" s="39"/>
      <c r="IOU94" s="39"/>
      <c r="IOV94" s="39"/>
      <c r="IOW94" s="39"/>
      <c r="IOX94" s="39"/>
      <c r="IOY94" s="39"/>
      <c r="IOZ94" s="39"/>
      <c r="IPA94" s="39"/>
      <c r="IPB94" s="39"/>
      <c r="IPC94" s="39"/>
      <c r="IPD94" s="39"/>
      <c r="IPE94" s="39"/>
      <c r="IPF94" s="39"/>
      <c r="IPG94" s="39"/>
      <c r="IPH94" s="39"/>
      <c r="IPI94" s="39"/>
      <c r="IPJ94" s="39"/>
      <c r="IPK94" s="39"/>
      <c r="IPL94" s="39"/>
      <c r="IPM94" s="39"/>
      <c r="IPN94" s="39"/>
      <c r="IPO94" s="39"/>
      <c r="IPP94" s="39"/>
      <c r="IPQ94" s="39"/>
      <c r="IPR94" s="39"/>
      <c r="IPS94" s="39"/>
      <c r="IPT94" s="39"/>
      <c r="IPU94" s="39"/>
      <c r="IPV94" s="39"/>
      <c r="IPW94" s="39"/>
      <c r="IPX94" s="39"/>
      <c r="IPY94" s="39"/>
      <c r="IPZ94" s="39"/>
      <c r="IQA94" s="39"/>
      <c r="IQB94" s="39"/>
      <c r="IQC94" s="39"/>
      <c r="IQD94" s="39"/>
      <c r="IQE94" s="39"/>
      <c r="IQF94" s="39"/>
      <c r="IQG94" s="39"/>
      <c r="IQH94" s="39"/>
      <c r="IQI94" s="39"/>
      <c r="IQJ94" s="39"/>
      <c r="IQK94" s="39"/>
      <c r="IQL94" s="39"/>
      <c r="IQM94" s="39"/>
      <c r="IQN94" s="39"/>
      <c r="IQO94" s="39"/>
      <c r="IQP94" s="39"/>
      <c r="IQQ94" s="39"/>
      <c r="IQR94" s="39"/>
      <c r="IQS94" s="39"/>
      <c r="IQT94" s="39"/>
      <c r="IQU94" s="39"/>
      <c r="IQV94" s="39"/>
      <c r="IQW94" s="39"/>
      <c r="IQX94" s="39"/>
      <c r="IQY94" s="39"/>
      <c r="IQZ94" s="39"/>
      <c r="IRA94" s="39"/>
      <c r="IRB94" s="39"/>
      <c r="IRC94" s="39"/>
      <c r="IRD94" s="39"/>
      <c r="IRE94" s="39"/>
      <c r="IRF94" s="39"/>
      <c r="IRG94" s="39"/>
      <c r="IRH94" s="39"/>
      <c r="IRI94" s="39"/>
      <c r="IRJ94" s="39"/>
      <c r="IRK94" s="39"/>
      <c r="IRL94" s="39"/>
      <c r="IRM94" s="39"/>
      <c r="IRN94" s="39"/>
      <c r="IRO94" s="39"/>
      <c r="IRP94" s="39"/>
      <c r="IRQ94" s="39"/>
      <c r="IRR94" s="39"/>
      <c r="IRS94" s="39"/>
      <c r="IRT94" s="39"/>
      <c r="IRU94" s="39"/>
      <c r="IRV94" s="39"/>
      <c r="IRW94" s="39"/>
      <c r="IRX94" s="39"/>
      <c r="IRY94" s="39"/>
      <c r="IRZ94" s="39"/>
      <c r="ISA94" s="39"/>
      <c r="ISB94" s="39"/>
      <c r="ISC94" s="39"/>
      <c r="ISD94" s="39"/>
      <c r="ISE94" s="39"/>
      <c r="ISF94" s="39"/>
      <c r="ISG94" s="39"/>
      <c r="ISH94" s="39"/>
      <c r="ISI94" s="39"/>
      <c r="ISJ94" s="39"/>
      <c r="ISK94" s="39"/>
      <c r="ISL94" s="39"/>
      <c r="ISM94" s="39"/>
      <c r="ISN94" s="39"/>
      <c r="ISO94" s="39"/>
      <c r="ISP94" s="39"/>
      <c r="ISQ94" s="39"/>
      <c r="ISR94" s="39"/>
      <c r="ISS94" s="39"/>
      <c r="IST94" s="39"/>
      <c r="ISU94" s="39"/>
      <c r="ISV94" s="39"/>
      <c r="ISW94" s="39"/>
      <c r="ISX94" s="39"/>
      <c r="ISY94" s="39"/>
      <c r="ISZ94" s="39"/>
      <c r="ITA94" s="39"/>
      <c r="ITB94" s="39"/>
      <c r="ITC94" s="39"/>
      <c r="ITD94" s="39"/>
      <c r="ITE94" s="39"/>
      <c r="ITF94" s="39"/>
      <c r="ITG94" s="39"/>
      <c r="ITH94" s="39"/>
      <c r="ITI94" s="39"/>
      <c r="ITJ94" s="39"/>
      <c r="ITK94" s="39"/>
      <c r="ITL94" s="39"/>
      <c r="ITM94" s="39"/>
      <c r="ITN94" s="39"/>
      <c r="ITO94" s="39"/>
      <c r="ITP94" s="39"/>
      <c r="ITQ94" s="39"/>
      <c r="ITR94" s="39"/>
      <c r="ITS94" s="39"/>
      <c r="ITT94" s="39"/>
      <c r="ITU94" s="39"/>
      <c r="ITV94" s="39"/>
      <c r="ITW94" s="39"/>
      <c r="ITX94" s="39"/>
      <c r="ITY94" s="39"/>
      <c r="ITZ94" s="39"/>
      <c r="IUA94" s="39"/>
      <c r="IUB94" s="39"/>
      <c r="IUC94" s="39"/>
      <c r="IUD94" s="39"/>
      <c r="IUE94" s="39"/>
      <c r="IUF94" s="39"/>
      <c r="IUG94" s="39"/>
      <c r="IUH94" s="39"/>
      <c r="IUI94" s="39"/>
      <c r="IUJ94" s="39"/>
      <c r="IUK94" s="39"/>
      <c r="IUL94" s="39"/>
      <c r="IUM94" s="39"/>
      <c r="IUN94" s="39"/>
      <c r="IUO94" s="39"/>
      <c r="IUP94" s="39"/>
      <c r="IUQ94" s="39"/>
      <c r="IUR94" s="39"/>
      <c r="IUS94" s="39"/>
      <c r="IUT94" s="39"/>
      <c r="IUU94" s="39"/>
      <c r="IUV94" s="39"/>
      <c r="IUW94" s="39"/>
      <c r="IUX94" s="39"/>
      <c r="IUY94" s="39"/>
      <c r="IUZ94" s="39"/>
      <c r="IVA94" s="39"/>
      <c r="IVB94" s="39"/>
      <c r="IVC94" s="39"/>
      <c r="IVD94" s="39"/>
      <c r="IVE94" s="39"/>
      <c r="IVF94" s="39"/>
      <c r="IVG94" s="39"/>
      <c r="IVH94" s="39"/>
      <c r="IVI94" s="39"/>
      <c r="IVJ94" s="39"/>
      <c r="IVK94" s="39"/>
      <c r="IVL94" s="39"/>
      <c r="IVM94" s="39"/>
      <c r="IVN94" s="39"/>
      <c r="IVO94" s="39"/>
      <c r="IVP94" s="39"/>
      <c r="IVQ94" s="39"/>
      <c r="IVR94" s="39"/>
      <c r="IVS94" s="39"/>
      <c r="IVT94" s="39"/>
      <c r="IVU94" s="39"/>
      <c r="IVV94" s="39"/>
      <c r="IVW94" s="39"/>
      <c r="IVX94" s="39"/>
      <c r="IVY94" s="39"/>
      <c r="IVZ94" s="39"/>
      <c r="IWA94" s="39"/>
      <c r="IWB94" s="39"/>
      <c r="IWC94" s="39"/>
      <c r="IWD94" s="39"/>
      <c r="IWE94" s="39"/>
      <c r="IWF94" s="39"/>
      <c r="IWG94" s="39"/>
      <c r="IWH94" s="39"/>
      <c r="IWI94" s="39"/>
      <c r="IWJ94" s="39"/>
      <c r="IWK94" s="39"/>
      <c r="IWL94" s="39"/>
      <c r="IWM94" s="39"/>
      <c r="IWN94" s="39"/>
      <c r="IWO94" s="39"/>
      <c r="IWP94" s="39"/>
      <c r="IWQ94" s="39"/>
      <c r="IWR94" s="39"/>
      <c r="IWS94" s="39"/>
      <c r="IWT94" s="39"/>
      <c r="IWU94" s="39"/>
      <c r="IWV94" s="39"/>
      <c r="IWW94" s="39"/>
      <c r="IWX94" s="39"/>
      <c r="IWY94" s="39"/>
      <c r="IWZ94" s="39"/>
      <c r="IXA94" s="39"/>
      <c r="IXB94" s="39"/>
      <c r="IXC94" s="39"/>
      <c r="IXD94" s="39"/>
      <c r="IXE94" s="39"/>
      <c r="IXF94" s="39"/>
      <c r="IXG94" s="39"/>
      <c r="IXH94" s="39"/>
      <c r="IXI94" s="39"/>
      <c r="IXJ94" s="39"/>
      <c r="IXK94" s="39"/>
      <c r="IXL94" s="39"/>
      <c r="IXM94" s="39"/>
      <c r="IXN94" s="39"/>
      <c r="IXO94" s="39"/>
      <c r="IXP94" s="39"/>
      <c r="IXQ94" s="39"/>
      <c r="IXR94" s="39"/>
      <c r="IXS94" s="39"/>
      <c r="IXT94" s="39"/>
      <c r="IXU94" s="39"/>
      <c r="IXV94" s="39"/>
      <c r="IXW94" s="39"/>
      <c r="IXX94" s="39"/>
      <c r="IXY94" s="39"/>
      <c r="IXZ94" s="39"/>
      <c r="IYA94" s="39"/>
      <c r="IYB94" s="39"/>
      <c r="IYC94" s="39"/>
      <c r="IYD94" s="39"/>
      <c r="IYE94" s="39"/>
      <c r="IYF94" s="39"/>
      <c r="IYG94" s="39"/>
      <c r="IYH94" s="39"/>
      <c r="IYI94" s="39"/>
      <c r="IYJ94" s="39"/>
      <c r="IYK94" s="39"/>
      <c r="IYL94" s="39"/>
      <c r="IYM94" s="39"/>
      <c r="IYN94" s="39"/>
      <c r="IYO94" s="39"/>
      <c r="IYP94" s="39"/>
      <c r="IYQ94" s="39"/>
      <c r="IYR94" s="39"/>
      <c r="IYS94" s="39"/>
      <c r="IYT94" s="39"/>
      <c r="IYU94" s="39"/>
      <c r="IYV94" s="39"/>
      <c r="IYW94" s="39"/>
      <c r="IYX94" s="39"/>
      <c r="IYY94" s="39"/>
      <c r="IYZ94" s="39"/>
      <c r="IZA94" s="39"/>
      <c r="IZB94" s="39"/>
      <c r="IZC94" s="39"/>
      <c r="IZD94" s="39"/>
      <c r="IZE94" s="39"/>
      <c r="IZF94" s="39"/>
      <c r="IZG94" s="39"/>
      <c r="IZH94" s="39"/>
      <c r="IZI94" s="39"/>
      <c r="IZJ94" s="39"/>
      <c r="IZK94" s="39"/>
      <c r="IZL94" s="39"/>
      <c r="IZM94" s="39"/>
      <c r="IZN94" s="39"/>
      <c r="IZO94" s="39"/>
      <c r="IZP94" s="39"/>
      <c r="IZQ94" s="39"/>
      <c r="IZR94" s="39"/>
      <c r="IZS94" s="39"/>
      <c r="IZT94" s="39"/>
      <c r="IZU94" s="39"/>
      <c r="IZV94" s="39"/>
      <c r="IZW94" s="39"/>
      <c r="IZX94" s="39"/>
      <c r="IZY94" s="39"/>
      <c r="IZZ94" s="39"/>
      <c r="JAA94" s="39"/>
      <c r="JAB94" s="39"/>
      <c r="JAC94" s="39"/>
      <c r="JAD94" s="39"/>
      <c r="JAE94" s="39"/>
      <c r="JAF94" s="39"/>
      <c r="JAG94" s="39"/>
      <c r="JAH94" s="39"/>
      <c r="JAI94" s="39"/>
      <c r="JAJ94" s="39"/>
      <c r="JAK94" s="39"/>
      <c r="JAL94" s="39"/>
      <c r="JAM94" s="39"/>
      <c r="JAN94" s="39"/>
      <c r="JAO94" s="39"/>
      <c r="JAP94" s="39"/>
      <c r="JAQ94" s="39"/>
      <c r="JAR94" s="39"/>
      <c r="JAS94" s="39"/>
      <c r="JAT94" s="39"/>
      <c r="JAU94" s="39"/>
      <c r="JAV94" s="39"/>
      <c r="JAW94" s="39"/>
      <c r="JAX94" s="39"/>
      <c r="JAY94" s="39"/>
      <c r="JAZ94" s="39"/>
      <c r="JBA94" s="39"/>
      <c r="JBB94" s="39"/>
      <c r="JBC94" s="39"/>
      <c r="JBD94" s="39"/>
      <c r="JBE94" s="39"/>
      <c r="JBF94" s="39"/>
      <c r="JBG94" s="39"/>
      <c r="JBH94" s="39"/>
      <c r="JBI94" s="39"/>
      <c r="JBJ94" s="39"/>
      <c r="JBK94" s="39"/>
      <c r="JBL94" s="39"/>
      <c r="JBM94" s="39"/>
      <c r="JBN94" s="39"/>
      <c r="JBO94" s="39"/>
      <c r="JBP94" s="39"/>
      <c r="JBQ94" s="39"/>
      <c r="JBR94" s="39"/>
      <c r="JBS94" s="39"/>
      <c r="JBT94" s="39"/>
      <c r="JBU94" s="39"/>
      <c r="JBV94" s="39"/>
      <c r="JBW94" s="39"/>
      <c r="JBX94" s="39"/>
      <c r="JBY94" s="39"/>
      <c r="JBZ94" s="39"/>
      <c r="JCA94" s="39"/>
      <c r="JCB94" s="39"/>
      <c r="JCC94" s="39"/>
      <c r="JCD94" s="39"/>
      <c r="JCE94" s="39"/>
      <c r="JCF94" s="39"/>
      <c r="JCG94" s="39"/>
      <c r="JCH94" s="39"/>
      <c r="JCI94" s="39"/>
      <c r="JCJ94" s="39"/>
      <c r="JCK94" s="39"/>
      <c r="JCL94" s="39"/>
      <c r="JCM94" s="39"/>
      <c r="JCN94" s="39"/>
      <c r="JCO94" s="39"/>
      <c r="JCP94" s="39"/>
      <c r="JCQ94" s="39"/>
      <c r="JCR94" s="39"/>
      <c r="JCS94" s="39"/>
      <c r="JCT94" s="39"/>
      <c r="JCU94" s="39"/>
      <c r="JCV94" s="39"/>
      <c r="JCW94" s="39"/>
      <c r="JCX94" s="39"/>
      <c r="JCY94" s="39"/>
      <c r="JCZ94" s="39"/>
      <c r="JDA94" s="39"/>
      <c r="JDB94" s="39"/>
      <c r="JDC94" s="39"/>
      <c r="JDD94" s="39"/>
      <c r="JDE94" s="39"/>
      <c r="JDF94" s="39"/>
      <c r="JDG94" s="39"/>
      <c r="JDH94" s="39"/>
      <c r="JDI94" s="39"/>
      <c r="JDJ94" s="39"/>
      <c r="JDK94" s="39"/>
      <c r="JDL94" s="39"/>
      <c r="JDM94" s="39"/>
      <c r="JDN94" s="39"/>
      <c r="JDO94" s="39"/>
      <c r="JDP94" s="39"/>
      <c r="JDQ94" s="39"/>
      <c r="JDR94" s="39"/>
      <c r="JDS94" s="39"/>
      <c r="JDT94" s="39"/>
      <c r="JDU94" s="39"/>
      <c r="JDV94" s="39"/>
      <c r="JDW94" s="39"/>
      <c r="JDX94" s="39"/>
      <c r="JDY94" s="39"/>
      <c r="JDZ94" s="39"/>
      <c r="JEA94" s="39"/>
      <c r="JEB94" s="39"/>
      <c r="JEC94" s="39"/>
      <c r="JED94" s="39"/>
      <c r="JEE94" s="39"/>
      <c r="JEF94" s="39"/>
      <c r="JEG94" s="39"/>
      <c r="JEH94" s="39"/>
      <c r="JEI94" s="39"/>
      <c r="JEJ94" s="39"/>
      <c r="JEK94" s="39"/>
      <c r="JEL94" s="39"/>
      <c r="JEM94" s="39"/>
      <c r="JEN94" s="39"/>
      <c r="JEO94" s="39"/>
      <c r="JEP94" s="39"/>
      <c r="JEQ94" s="39"/>
      <c r="JER94" s="39"/>
      <c r="JES94" s="39"/>
      <c r="JET94" s="39"/>
      <c r="JEU94" s="39"/>
      <c r="JEV94" s="39"/>
      <c r="JEW94" s="39"/>
      <c r="JEX94" s="39"/>
      <c r="JEY94" s="39"/>
      <c r="JEZ94" s="39"/>
      <c r="JFA94" s="39"/>
      <c r="JFB94" s="39"/>
      <c r="JFC94" s="39"/>
      <c r="JFD94" s="39"/>
      <c r="JFE94" s="39"/>
      <c r="JFF94" s="39"/>
      <c r="JFG94" s="39"/>
      <c r="JFH94" s="39"/>
      <c r="JFI94" s="39"/>
      <c r="JFJ94" s="39"/>
      <c r="JFK94" s="39"/>
      <c r="JFL94" s="39"/>
      <c r="JFM94" s="39"/>
      <c r="JFN94" s="39"/>
      <c r="JFO94" s="39"/>
      <c r="JFP94" s="39"/>
      <c r="JFQ94" s="39"/>
      <c r="JFR94" s="39"/>
      <c r="JFS94" s="39"/>
      <c r="JFT94" s="39"/>
      <c r="JFU94" s="39"/>
      <c r="JFV94" s="39"/>
      <c r="JFW94" s="39"/>
      <c r="JFX94" s="39"/>
      <c r="JFY94" s="39"/>
      <c r="JFZ94" s="39"/>
      <c r="JGA94" s="39"/>
      <c r="JGB94" s="39"/>
      <c r="JGC94" s="39"/>
      <c r="JGD94" s="39"/>
      <c r="JGE94" s="39"/>
      <c r="JGF94" s="39"/>
      <c r="JGG94" s="39"/>
      <c r="JGH94" s="39"/>
      <c r="JGI94" s="39"/>
      <c r="JGJ94" s="39"/>
      <c r="JGK94" s="39"/>
      <c r="JGL94" s="39"/>
      <c r="JGM94" s="39"/>
      <c r="JGN94" s="39"/>
      <c r="JGO94" s="39"/>
      <c r="JGP94" s="39"/>
      <c r="JGQ94" s="39"/>
      <c r="JGR94" s="39"/>
      <c r="JGS94" s="39"/>
      <c r="JGT94" s="39"/>
      <c r="JGU94" s="39"/>
      <c r="JGV94" s="39"/>
      <c r="JGW94" s="39"/>
      <c r="JGX94" s="39"/>
      <c r="JGY94" s="39"/>
      <c r="JGZ94" s="39"/>
      <c r="JHA94" s="39"/>
      <c r="JHB94" s="39"/>
      <c r="JHC94" s="39"/>
      <c r="JHD94" s="39"/>
      <c r="JHE94" s="39"/>
      <c r="JHF94" s="39"/>
      <c r="JHG94" s="39"/>
      <c r="JHH94" s="39"/>
      <c r="JHI94" s="39"/>
      <c r="JHJ94" s="39"/>
      <c r="JHK94" s="39"/>
      <c r="JHL94" s="39"/>
      <c r="JHM94" s="39"/>
      <c r="JHN94" s="39"/>
      <c r="JHO94" s="39"/>
      <c r="JHP94" s="39"/>
      <c r="JHQ94" s="39"/>
      <c r="JHR94" s="39"/>
      <c r="JHS94" s="39"/>
      <c r="JHT94" s="39"/>
      <c r="JHU94" s="39"/>
      <c r="JHV94" s="39"/>
      <c r="JHW94" s="39"/>
      <c r="JHX94" s="39"/>
      <c r="JHY94" s="39"/>
      <c r="JHZ94" s="39"/>
      <c r="JIA94" s="39"/>
      <c r="JIB94" s="39"/>
      <c r="JIC94" s="39"/>
      <c r="JID94" s="39"/>
      <c r="JIE94" s="39"/>
      <c r="JIF94" s="39"/>
      <c r="JIG94" s="39"/>
      <c r="JIH94" s="39"/>
      <c r="JII94" s="39"/>
      <c r="JIJ94" s="39"/>
      <c r="JIK94" s="39"/>
      <c r="JIL94" s="39"/>
      <c r="JIM94" s="39"/>
      <c r="JIN94" s="39"/>
      <c r="JIO94" s="39"/>
      <c r="JIP94" s="39"/>
      <c r="JIQ94" s="39"/>
      <c r="JIR94" s="39"/>
      <c r="JIS94" s="39"/>
      <c r="JIT94" s="39"/>
      <c r="JIU94" s="39"/>
      <c r="JIV94" s="39"/>
      <c r="JIW94" s="39"/>
      <c r="JIX94" s="39"/>
      <c r="JIY94" s="39"/>
      <c r="JIZ94" s="39"/>
      <c r="JJA94" s="39"/>
      <c r="JJB94" s="39"/>
      <c r="JJC94" s="39"/>
      <c r="JJD94" s="39"/>
      <c r="JJE94" s="39"/>
      <c r="JJF94" s="39"/>
      <c r="JJG94" s="39"/>
      <c r="JJH94" s="39"/>
      <c r="JJI94" s="39"/>
      <c r="JJJ94" s="39"/>
      <c r="JJK94" s="39"/>
      <c r="JJL94" s="39"/>
      <c r="JJM94" s="39"/>
      <c r="JJN94" s="39"/>
      <c r="JJO94" s="39"/>
      <c r="JJP94" s="39"/>
      <c r="JJQ94" s="39"/>
      <c r="JJR94" s="39"/>
      <c r="JJS94" s="39"/>
      <c r="JJT94" s="39"/>
      <c r="JJU94" s="39"/>
      <c r="JJV94" s="39"/>
      <c r="JJW94" s="39"/>
      <c r="JJX94" s="39"/>
      <c r="JJY94" s="39"/>
      <c r="JJZ94" s="39"/>
      <c r="JKA94" s="39"/>
      <c r="JKB94" s="39"/>
      <c r="JKC94" s="39"/>
      <c r="JKD94" s="39"/>
      <c r="JKE94" s="39"/>
      <c r="JKF94" s="39"/>
      <c r="JKG94" s="39"/>
      <c r="JKH94" s="39"/>
      <c r="JKI94" s="39"/>
      <c r="JKJ94" s="39"/>
      <c r="JKK94" s="39"/>
      <c r="JKL94" s="39"/>
      <c r="JKM94" s="39"/>
      <c r="JKN94" s="39"/>
      <c r="JKO94" s="39"/>
      <c r="JKP94" s="39"/>
      <c r="JKQ94" s="39"/>
      <c r="JKR94" s="39"/>
      <c r="JKS94" s="39"/>
      <c r="JKT94" s="39"/>
      <c r="JKU94" s="39"/>
      <c r="JKV94" s="39"/>
      <c r="JKW94" s="39"/>
      <c r="JKX94" s="39"/>
      <c r="JKY94" s="39"/>
      <c r="JKZ94" s="39"/>
      <c r="JLA94" s="39"/>
      <c r="JLB94" s="39"/>
      <c r="JLC94" s="39"/>
      <c r="JLD94" s="39"/>
      <c r="JLE94" s="39"/>
      <c r="JLF94" s="39"/>
      <c r="JLG94" s="39"/>
      <c r="JLH94" s="39"/>
      <c r="JLI94" s="39"/>
      <c r="JLJ94" s="39"/>
      <c r="JLK94" s="39"/>
      <c r="JLL94" s="39"/>
      <c r="JLM94" s="39"/>
      <c r="JLN94" s="39"/>
      <c r="JLO94" s="39"/>
      <c r="JLP94" s="39"/>
      <c r="JLQ94" s="39"/>
      <c r="JLR94" s="39"/>
      <c r="JLS94" s="39"/>
      <c r="JLT94" s="39"/>
      <c r="JLU94" s="39"/>
      <c r="JLV94" s="39"/>
      <c r="JLW94" s="39"/>
      <c r="JLX94" s="39"/>
      <c r="JLY94" s="39"/>
      <c r="JLZ94" s="39"/>
      <c r="JMA94" s="39"/>
      <c r="JMB94" s="39"/>
      <c r="JMC94" s="39"/>
      <c r="JMD94" s="39"/>
      <c r="JME94" s="39"/>
      <c r="JMF94" s="39"/>
      <c r="JMG94" s="39"/>
      <c r="JMH94" s="39"/>
      <c r="JMI94" s="39"/>
      <c r="JMJ94" s="39"/>
      <c r="JMK94" s="39"/>
      <c r="JML94" s="39"/>
      <c r="JMM94" s="39"/>
      <c r="JMN94" s="39"/>
      <c r="JMO94" s="39"/>
      <c r="JMP94" s="39"/>
      <c r="JMQ94" s="39"/>
      <c r="JMR94" s="39"/>
      <c r="JMS94" s="39"/>
      <c r="JMT94" s="39"/>
      <c r="JMU94" s="39"/>
      <c r="JMV94" s="39"/>
      <c r="JMW94" s="39"/>
      <c r="JMX94" s="39"/>
      <c r="JMY94" s="39"/>
      <c r="JMZ94" s="39"/>
      <c r="JNA94" s="39"/>
      <c r="JNB94" s="39"/>
      <c r="JNC94" s="39"/>
      <c r="JND94" s="39"/>
      <c r="JNE94" s="39"/>
      <c r="JNF94" s="39"/>
      <c r="JNG94" s="39"/>
      <c r="JNH94" s="39"/>
      <c r="JNI94" s="39"/>
      <c r="JNJ94" s="39"/>
      <c r="JNK94" s="39"/>
      <c r="JNL94" s="39"/>
      <c r="JNM94" s="39"/>
      <c r="JNN94" s="39"/>
      <c r="JNO94" s="39"/>
      <c r="JNP94" s="39"/>
      <c r="JNQ94" s="39"/>
      <c r="JNR94" s="39"/>
      <c r="JNS94" s="39"/>
      <c r="JNT94" s="39"/>
      <c r="JNU94" s="39"/>
      <c r="JNV94" s="39"/>
      <c r="JNW94" s="39"/>
      <c r="JNX94" s="39"/>
      <c r="JNY94" s="39"/>
      <c r="JNZ94" s="39"/>
      <c r="JOA94" s="39"/>
      <c r="JOB94" s="39"/>
      <c r="JOC94" s="39"/>
      <c r="JOD94" s="39"/>
      <c r="JOE94" s="39"/>
      <c r="JOF94" s="39"/>
      <c r="JOG94" s="39"/>
      <c r="JOH94" s="39"/>
      <c r="JOI94" s="39"/>
      <c r="JOJ94" s="39"/>
      <c r="JOK94" s="39"/>
      <c r="JOL94" s="39"/>
      <c r="JOM94" s="39"/>
      <c r="JON94" s="39"/>
      <c r="JOO94" s="39"/>
      <c r="JOP94" s="39"/>
      <c r="JOQ94" s="39"/>
      <c r="JOR94" s="39"/>
      <c r="JOS94" s="39"/>
      <c r="JOT94" s="39"/>
      <c r="JOU94" s="39"/>
      <c r="JOV94" s="39"/>
      <c r="JOW94" s="39"/>
      <c r="JOX94" s="39"/>
      <c r="JOY94" s="39"/>
      <c r="JOZ94" s="39"/>
      <c r="JPA94" s="39"/>
      <c r="JPB94" s="39"/>
      <c r="JPC94" s="39"/>
      <c r="JPD94" s="39"/>
      <c r="JPE94" s="39"/>
      <c r="JPF94" s="39"/>
      <c r="JPG94" s="39"/>
      <c r="JPH94" s="39"/>
      <c r="JPI94" s="39"/>
      <c r="JPJ94" s="39"/>
      <c r="JPK94" s="39"/>
      <c r="JPL94" s="39"/>
      <c r="JPM94" s="39"/>
      <c r="JPN94" s="39"/>
      <c r="JPO94" s="39"/>
      <c r="JPP94" s="39"/>
      <c r="JPQ94" s="39"/>
      <c r="JPR94" s="39"/>
      <c r="JPS94" s="39"/>
      <c r="JPT94" s="39"/>
      <c r="JPU94" s="39"/>
      <c r="JPV94" s="39"/>
      <c r="JPW94" s="39"/>
      <c r="JPX94" s="39"/>
      <c r="JPY94" s="39"/>
      <c r="JPZ94" s="39"/>
      <c r="JQA94" s="39"/>
      <c r="JQB94" s="39"/>
      <c r="JQC94" s="39"/>
      <c r="JQD94" s="39"/>
      <c r="JQE94" s="39"/>
      <c r="JQF94" s="39"/>
      <c r="JQG94" s="39"/>
      <c r="JQH94" s="39"/>
      <c r="JQI94" s="39"/>
      <c r="JQJ94" s="39"/>
      <c r="JQK94" s="39"/>
      <c r="JQL94" s="39"/>
      <c r="JQM94" s="39"/>
      <c r="JQN94" s="39"/>
      <c r="JQO94" s="39"/>
      <c r="JQP94" s="39"/>
      <c r="JQQ94" s="39"/>
      <c r="JQR94" s="39"/>
      <c r="JQS94" s="39"/>
      <c r="JQT94" s="39"/>
      <c r="JQU94" s="39"/>
      <c r="JQV94" s="39"/>
      <c r="JQW94" s="39"/>
      <c r="JQX94" s="39"/>
      <c r="JQY94" s="39"/>
      <c r="JQZ94" s="39"/>
      <c r="JRA94" s="39"/>
      <c r="JRB94" s="39"/>
      <c r="JRC94" s="39"/>
      <c r="JRD94" s="39"/>
      <c r="JRE94" s="39"/>
      <c r="JRF94" s="39"/>
      <c r="JRG94" s="39"/>
      <c r="JRH94" s="39"/>
      <c r="JRI94" s="39"/>
      <c r="JRJ94" s="39"/>
      <c r="JRK94" s="39"/>
      <c r="JRL94" s="39"/>
      <c r="JRM94" s="39"/>
      <c r="JRN94" s="39"/>
      <c r="JRO94" s="39"/>
      <c r="JRP94" s="39"/>
      <c r="JRQ94" s="39"/>
      <c r="JRR94" s="39"/>
      <c r="JRS94" s="39"/>
      <c r="JRT94" s="39"/>
      <c r="JRU94" s="39"/>
      <c r="JRV94" s="39"/>
      <c r="JRW94" s="39"/>
      <c r="JRX94" s="39"/>
      <c r="JRY94" s="39"/>
      <c r="JRZ94" s="39"/>
      <c r="JSA94" s="39"/>
      <c r="JSB94" s="39"/>
      <c r="JSC94" s="39"/>
      <c r="JSD94" s="39"/>
      <c r="JSE94" s="39"/>
      <c r="JSF94" s="39"/>
      <c r="JSG94" s="39"/>
      <c r="JSH94" s="39"/>
      <c r="JSI94" s="39"/>
      <c r="JSJ94" s="39"/>
      <c r="JSK94" s="39"/>
      <c r="JSL94" s="39"/>
      <c r="JSM94" s="39"/>
      <c r="JSN94" s="39"/>
      <c r="JSO94" s="39"/>
      <c r="JSP94" s="39"/>
      <c r="JSQ94" s="39"/>
      <c r="JSR94" s="39"/>
      <c r="JSS94" s="39"/>
      <c r="JST94" s="39"/>
      <c r="JSU94" s="39"/>
      <c r="JSV94" s="39"/>
      <c r="JSW94" s="39"/>
      <c r="JSX94" s="39"/>
      <c r="JSY94" s="39"/>
      <c r="JSZ94" s="39"/>
      <c r="JTA94" s="39"/>
      <c r="JTB94" s="39"/>
      <c r="JTC94" s="39"/>
      <c r="JTD94" s="39"/>
      <c r="JTE94" s="39"/>
      <c r="JTF94" s="39"/>
      <c r="JTG94" s="39"/>
      <c r="JTH94" s="39"/>
      <c r="JTI94" s="39"/>
      <c r="JTJ94" s="39"/>
      <c r="JTK94" s="39"/>
      <c r="JTL94" s="39"/>
      <c r="JTM94" s="39"/>
      <c r="JTN94" s="39"/>
      <c r="JTO94" s="39"/>
      <c r="JTP94" s="39"/>
      <c r="JTQ94" s="39"/>
      <c r="JTR94" s="39"/>
      <c r="JTS94" s="39"/>
      <c r="JTT94" s="39"/>
      <c r="JTU94" s="39"/>
      <c r="JTV94" s="39"/>
      <c r="JTW94" s="39"/>
      <c r="JTX94" s="39"/>
      <c r="JTY94" s="39"/>
      <c r="JTZ94" s="39"/>
      <c r="JUA94" s="39"/>
      <c r="JUB94" s="39"/>
      <c r="JUC94" s="39"/>
      <c r="JUD94" s="39"/>
      <c r="JUE94" s="39"/>
      <c r="JUF94" s="39"/>
      <c r="JUG94" s="39"/>
      <c r="JUH94" s="39"/>
      <c r="JUI94" s="39"/>
      <c r="JUJ94" s="39"/>
      <c r="JUK94" s="39"/>
      <c r="JUL94" s="39"/>
      <c r="JUM94" s="39"/>
      <c r="JUN94" s="39"/>
      <c r="JUO94" s="39"/>
      <c r="JUP94" s="39"/>
      <c r="JUQ94" s="39"/>
      <c r="JUR94" s="39"/>
      <c r="JUS94" s="39"/>
      <c r="JUT94" s="39"/>
      <c r="JUU94" s="39"/>
      <c r="JUV94" s="39"/>
      <c r="JUW94" s="39"/>
      <c r="JUX94" s="39"/>
      <c r="JUY94" s="39"/>
      <c r="JUZ94" s="39"/>
      <c r="JVA94" s="39"/>
      <c r="JVB94" s="39"/>
      <c r="JVC94" s="39"/>
      <c r="JVD94" s="39"/>
      <c r="JVE94" s="39"/>
      <c r="JVF94" s="39"/>
      <c r="JVG94" s="39"/>
      <c r="JVH94" s="39"/>
      <c r="JVI94" s="39"/>
      <c r="JVJ94" s="39"/>
      <c r="JVK94" s="39"/>
      <c r="JVL94" s="39"/>
      <c r="JVM94" s="39"/>
      <c r="JVN94" s="39"/>
      <c r="JVO94" s="39"/>
      <c r="JVP94" s="39"/>
      <c r="JVQ94" s="39"/>
      <c r="JVR94" s="39"/>
      <c r="JVS94" s="39"/>
      <c r="JVT94" s="39"/>
      <c r="JVU94" s="39"/>
      <c r="JVV94" s="39"/>
      <c r="JVW94" s="39"/>
      <c r="JVX94" s="39"/>
      <c r="JVY94" s="39"/>
      <c r="JVZ94" s="39"/>
      <c r="JWA94" s="39"/>
      <c r="JWB94" s="39"/>
      <c r="JWC94" s="39"/>
      <c r="JWD94" s="39"/>
      <c r="JWE94" s="39"/>
      <c r="JWF94" s="39"/>
      <c r="JWG94" s="39"/>
      <c r="JWH94" s="39"/>
      <c r="JWI94" s="39"/>
      <c r="JWJ94" s="39"/>
      <c r="JWK94" s="39"/>
      <c r="JWL94" s="39"/>
      <c r="JWM94" s="39"/>
      <c r="JWN94" s="39"/>
      <c r="JWO94" s="39"/>
      <c r="JWP94" s="39"/>
      <c r="JWQ94" s="39"/>
      <c r="JWR94" s="39"/>
      <c r="JWS94" s="39"/>
      <c r="JWT94" s="39"/>
      <c r="JWU94" s="39"/>
      <c r="JWV94" s="39"/>
      <c r="JWW94" s="39"/>
      <c r="JWX94" s="39"/>
      <c r="JWY94" s="39"/>
      <c r="JWZ94" s="39"/>
      <c r="JXA94" s="39"/>
      <c r="JXB94" s="39"/>
      <c r="JXC94" s="39"/>
      <c r="JXD94" s="39"/>
      <c r="JXE94" s="39"/>
      <c r="JXF94" s="39"/>
      <c r="JXG94" s="39"/>
      <c r="JXH94" s="39"/>
      <c r="JXI94" s="39"/>
      <c r="JXJ94" s="39"/>
      <c r="JXK94" s="39"/>
      <c r="JXL94" s="39"/>
      <c r="JXM94" s="39"/>
      <c r="JXN94" s="39"/>
      <c r="JXO94" s="39"/>
      <c r="JXP94" s="39"/>
      <c r="JXQ94" s="39"/>
      <c r="JXR94" s="39"/>
      <c r="JXS94" s="39"/>
      <c r="JXT94" s="39"/>
      <c r="JXU94" s="39"/>
      <c r="JXV94" s="39"/>
      <c r="JXW94" s="39"/>
      <c r="JXX94" s="39"/>
      <c r="JXY94" s="39"/>
      <c r="JXZ94" s="39"/>
      <c r="JYA94" s="39"/>
      <c r="JYB94" s="39"/>
      <c r="JYC94" s="39"/>
      <c r="JYD94" s="39"/>
      <c r="JYE94" s="39"/>
      <c r="JYF94" s="39"/>
      <c r="JYG94" s="39"/>
      <c r="JYH94" s="39"/>
      <c r="JYI94" s="39"/>
      <c r="JYJ94" s="39"/>
      <c r="JYK94" s="39"/>
      <c r="JYL94" s="39"/>
      <c r="JYM94" s="39"/>
      <c r="JYN94" s="39"/>
      <c r="JYO94" s="39"/>
      <c r="JYP94" s="39"/>
      <c r="JYQ94" s="39"/>
      <c r="JYR94" s="39"/>
      <c r="JYS94" s="39"/>
      <c r="JYT94" s="39"/>
      <c r="JYU94" s="39"/>
      <c r="JYV94" s="39"/>
      <c r="JYW94" s="39"/>
      <c r="JYX94" s="39"/>
      <c r="JYY94" s="39"/>
      <c r="JYZ94" s="39"/>
      <c r="JZA94" s="39"/>
      <c r="JZB94" s="39"/>
      <c r="JZC94" s="39"/>
      <c r="JZD94" s="39"/>
      <c r="JZE94" s="39"/>
      <c r="JZF94" s="39"/>
      <c r="JZG94" s="39"/>
      <c r="JZH94" s="39"/>
      <c r="JZI94" s="39"/>
      <c r="JZJ94" s="39"/>
      <c r="JZK94" s="39"/>
      <c r="JZL94" s="39"/>
      <c r="JZM94" s="39"/>
      <c r="JZN94" s="39"/>
      <c r="JZO94" s="39"/>
      <c r="JZP94" s="39"/>
      <c r="JZQ94" s="39"/>
      <c r="JZR94" s="39"/>
      <c r="JZS94" s="39"/>
      <c r="JZT94" s="39"/>
      <c r="JZU94" s="39"/>
      <c r="JZV94" s="39"/>
      <c r="JZW94" s="39"/>
      <c r="JZX94" s="39"/>
      <c r="JZY94" s="39"/>
      <c r="JZZ94" s="39"/>
      <c r="KAA94" s="39"/>
      <c r="KAB94" s="39"/>
      <c r="KAC94" s="39"/>
      <c r="KAD94" s="39"/>
      <c r="KAE94" s="39"/>
      <c r="KAF94" s="39"/>
      <c r="KAG94" s="39"/>
      <c r="KAH94" s="39"/>
      <c r="KAI94" s="39"/>
      <c r="KAJ94" s="39"/>
      <c r="KAK94" s="39"/>
      <c r="KAL94" s="39"/>
      <c r="KAM94" s="39"/>
      <c r="KAN94" s="39"/>
      <c r="KAO94" s="39"/>
      <c r="KAP94" s="39"/>
      <c r="KAQ94" s="39"/>
      <c r="KAR94" s="39"/>
      <c r="KAS94" s="39"/>
      <c r="KAT94" s="39"/>
      <c r="KAU94" s="39"/>
      <c r="KAV94" s="39"/>
      <c r="KAW94" s="39"/>
      <c r="KAX94" s="39"/>
      <c r="KAY94" s="39"/>
      <c r="KAZ94" s="39"/>
      <c r="KBA94" s="39"/>
      <c r="KBB94" s="39"/>
      <c r="KBC94" s="39"/>
      <c r="KBD94" s="39"/>
      <c r="KBE94" s="39"/>
      <c r="KBF94" s="39"/>
      <c r="KBG94" s="39"/>
      <c r="KBH94" s="39"/>
      <c r="KBI94" s="39"/>
      <c r="KBJ94" s="39"/>
      <c r="KBK94" s="39"/>
      <c r="KBL94" s="39"/>
      <c r="KBM94" s="39"/>
      <c r="KBN94" s="39"/>
      <c r="KBO94" s="39"/>
      <c r="KBP94" s="39"/>
      <c r="KBQ94" s="39"/>
      <c r="KBR94" s="39"/>
      <c r="KBS94" s="39"/>
      <c r="KBT94" s="39"/>
      <c r="KBU94" s="39"/>
      <c r="KBV94" s="39"/>
      <c r="KBW94" s="39"/>
      <c r="KBX94" s="39"/>
      <c r="KBY94" s="39"/>
      <c r="KBZ94" s="39"/>
      <c r="KCA94" s="39"/>
      <c r="KCB94" s="39"/>
      <c r="KCC94" s="39"/>
      <c r="KCD94" s="39"/>
      <c r="KCE94" s="39"/>
      <c r="KCF94" s="39"/>
      <c r="KCG94" s="39"/>
      <c r="KCH94" s="39"/>
      <c r="KCI94" s="39"/>
      <c r="KCJ94" s="39"/>
      <c r="KCK94" s="39"/>
      <c r="KCL94" s="39"/>
      <c r="KCM94" s="39"/>
      <c r="KCN94" s="39"/>
      <c r="KCO94" s="39"/>
      <c r="KCP94" s="39"/>
      <c r="KCQ94" s="39"/>
      <c r="KCR94" s="39"/>
      <c r="KCS94" s="39"/>
      <c r="KCT94" s="39"/>
      <c r="KCU94" s="39"/>
      <c r="KCV94" s="39"/>
      <c r="KCW94" s="39"/>
      <c r="KCX94" s="39"/>
      <c r="KCY94" s="39"/>
      <c r="KCZ94" s="39"/>
      <c r="KDA94" s="39"/>
      <c r="KDB94" s="39"/>
      <c r="KDC94" s="39"/>
      <c r="KDD94" s="39"/>
      <c r="KDE94" s="39"/>
      <c r="KDF94" s="39"/>
      <c r="KDG94" s="39"/>
      <c r="KDH94" s="39"/>
      <c r="KDI94" s="39"/>
      <c r="KDJ94" s="39"/>
      <c r="KDK94" s="39"/>
      <c r="KDL94" s="39"/>
      <c r="KDM94" s="39"/>
      <c r="KDN94" s="39"/>
      <c r="KDO94" s="39"/>
      <c r="KDP94" s="39"/>
      <c r="KDQ94" s="39"/>
      <c r="KDR94" s="39"/>
      <c r="KDS94" s="39"/>
      <c r="KDT94" s="39"/>
      <c r="KDU94" s="39"/>
      <c r="KDV94" s="39"/>
      <c r="KDW94" s="39"/>
      <c r="KDX94" s="39"/>
      <c r="KDY94" s="39"/>
      <c r="KDZ94" s="39"/>
      <c r="KEA94" s="39"/>
      <c r="KEB94" s="39"/>
      <c r="KEC94" s="39"/>
      <c r="KED94" s="39"/>
      <c r="KEE94" s="39"/>
      <c r="KEF94" s="39"/>
      <c r="KEG94" s="39"/>
      <c r="KEH94" s="39"/>
      <c r="KEI94" s="39"/>
      <c r="KEJ94" s="39"/>
      <c r="KEK94" s="39"/>
      <c r="KEL94" s="39"/>
      <c r="KEM94" s="39"/>
      <c r="KEN94" s="39"/>
      <c r="KEO94" s="39"/>
      <c r="KEP94" s="39"/>
      <c r="KEQ94" s="39"/>
      <c r="KER94" s="39"/>
      <c r="KES94" s="39"/>
      <c r="KET94" s="39"/>
      <c r="KEU94" s="39"/>
      <c r="KEV94" s="39"/>
      <c r="KEW94" s="39"/>
      <c r="KEX94" s="39"/>
      <c r="KEY94" s="39"/>
      <c r="KEZ94" s="39"/>
      <c r="KFA94" s="39"/>
      <c r="KFB94" s="39"/>
      <c r="KFC94" s="39"/>
      <c r="KFD94" s="39"/>
      <c r="KFE94" s="39"/>
      <c r="KFF94" s="39"/>
      <c r="KFG94" s="39"/>
      <c r="KFH94" s="39"/>
      <c r="KFI94" s="39"/>
      <c r="KFJ94" s="39"/>
      <c r="KFK94" s="39"/>
      <c r="KFL94" s="39"/>
      <c r="KFM94" s="39"/>
      <c r="KFN94" s="39"/>
      <c r="KFO94" s="39"/>
      <c r="KFP94" s="39"/>
      <c r="KFQ94" s="39"/>
      <c r="KFR94" s="39"/>
      <c r="KFS94" s="39"/>
      <c r="KFT94" s="39"/>
      <c r="KFU94" s="39"/>
      <c r="KFV94" s="39"/>
      <c r="KFW94" s="39"/>
      <c r="KFX94" s="39"/>
      <c r="KFY94" s="39"/>
      <c r="KFZ94" s="39"/>
      <c r="KGA94" s="39"/>
      <c r="KGB94" s="39"/>
      <c r="KGC94" s="39"/>
      <c r="KGD94" s="39"/>
      <c r="KGE94" s="39"/>
      <c r="KGF94" s="39"/>
      <c r="KGG94" s="39"/>
      <c r="KGH94" s="39"/>
      <c r="KGI94" s="39"/>
      <c r="KGJ94" s="39"/>
      <c r="KGK94" s="39"/>
      <c r="KGL94" s="39"/>
      <c r="KGM94" s="39"/>
      <c r="KGN94" s="39"/>
      <c r="KGO94" s="39"/>
      <c r="KGP94" s="39"/>
      <c r="KGQ94" s="39"/>
      <c r="KGR94" s="39"/>
      <c r="KGS94" s="39"/>
      <c r="KGT94" s="39"/>
      <c r="KGU94" s="39"/>
      <c r="KGV94" s="39"/>
      <c r="KGW94" s="39"/>
      <c r="KGX94" s="39"/>
      <c r="KGY94" s="39"/>
      <c r="KGZ94" s="39"/>
      <c r="KHA94" s="39"/>
      <c r="KHB94" s="39"/>
      <c r="KHC94" s="39"/>
      <c r="KHD94" s="39"/>
      <c r="KHE94" s="39"/>
      <c r="KHF94" s="39"/>
      <c r="KHG94" s="39"/>
      <c r="KHH94" s="39"/>
      <c r="KHI94" s="39"/>
      <c r="KHJ94" s="39"/>
      <c r="KHK94" s="39"/>
      <c r="KHL94" s="39"/>
      <c r="KHM94" s="39"/>
      <c r="KHN94" s="39"/>
      <c r="KHO94" s="39"/>
      <c r="KHP94" s="39"/>
      <c r="KHQ94" s="39"/>
      <c r="KHR94" s="39"/>
      <c r="KHS94" s="39"/>
      <c r="KHT94" s="39"/>
      <c r="KHU94" s="39"/>
      <c r="KHV94" s="39"/>
      <c r="KHW94" s="39"/>
      <c r="KHX94" s="39"/>
      <c r="KHY94" s="39"/>
      <c r="KHZ94" s="39"/>
      <c r="KIA94" s="39"/>
      <c r="KIB94" s="39"/>
      <c r="KIC94" s="39"/>
      <c r="KID94" s="39"/>
      <c r="KIE94" s="39"/>
      <c r="KIF94" s="39"/>
      <c r="KIG94" s="39"/>
      <c r="KIH94" s="39"/>
      <c r="KII94" s="39"/>
      <c r="KIJ94" s="39"/>
      <c r="KIK94" s="39"/>
      <c r="KIL94" s="39"/>
      <c r="KIM94" s="39"/>
      <c r="KIN94" s="39"/>
      <c r="KIO94" s="39"/>
      <c r="KIP94" s="39"/>
      <c r="KIQ94" s="39"/>
      <c r="KIR94" s="39"/>
      <c r="KIS94" s="39"/>
      <c r="KIT94" s="39"/>
      <c r="KIU94" s="39"/>
      <c r="KIV94" s="39"/>
      <c r="KIW94" s="39"/>
      <c r="KIX94" s="39"/>
      <c r="KIY94" s="39"/>
      <c r="KIZ94" s="39"/>
      <c r="KJA94" s="39"/>
      <c r="KJB94" s="39"/>
      <c r="KJC94" s="39"/>
      <c r="KJD94" s="39"/>
      <c r="KJE94" s="39"/>
      <c r="KJF94" s="39"/>
      <c r="KJG94" s="39"/>
      <c r="KJH94" s="39"/>
      <c r="KJI94" s="39"/>
      <c r="KJJ94" s="39"/>
      <c r="KJK94" s="39"/>
      <c r="KJL94" s="39"/>
      <c r="KJM94" s="39"/>
      <c r="KJN94" s="39"/>
      <c r="KJO94" s="39"/>
      <c r="KJP94" s="39"/>
      <c r="KJQ94" s="39"/>
      <c r="KJR94" s="39"/>
      <c r="KJS94" s="39"/>
      <c r="KJT94" s="39"/>
      <c r="KJU94" s="39"/>
      <c r="KJV94" s="39"/>
      <c r="KJW94" s="39"/>
      <c r="KJX94" s="39"/>
      <c r="KJY94" s="39"/>
      <c r="KJZ94" s="39"/>
      <c r="KKA94" s="39"/>
      <c r="KKB94" s="39"/>
      <c r="KKC94" s="39"/>
      <c r="KKD94" s="39"/>
      <c r="KKE94" s="39"/>
      <c r="KKF94" s="39"/>
      <c r="KKG94" s="39"/>
      <c r="KKH94" s="39"/>
      <c r="KKI94" s="39"/>
      <c r="KKJ94" s="39"/>
      <c r="KKK94" s="39"/>
      <c r="KKL94" s="39"/>
      <c r="KKM94" s="39"/>
      <c r="KKN94" s="39"/>
      <c r="KKO94" s="39"/>
      <c r="KKP94" s="39"/>
      <c r="KKQ94" s="39"/>
      <c r="KKR94" s="39"/>
      <c r="KKS94" s="39"/>
      <c r="KKT94" s="39"/>
      <c r="KKU94" s="39"/>
      <c r="KKV94" s="39"/>
      <c r="KKW94" s="39"/>
      <c r="KKX94" s="39"/>
      <c r="KKY94" s="39"/>
      <c r="KKZ94" s="39"/>
      <c r="KLA94" s="39"/>
      <c r="KLB94" s="39"/>
      <c r="KLC94" s="39"/>
      <c r="KLD94" s="39"/>
      <c r="KLE94" s="39"/>
      <c r="KLF94" s="39"/>
      <c r="KLG94" s="39"/>
      <c r="KLH94" s="39"/>
      <c r="KLI94" s="39"/>
      <c r="KLJ94" s="39"/>
      <c r="KLK94" s="39"/>
      <c r="KLL94" s="39"/>
      <c r="KLM94" s="39"/>
      <c r="KLN94" s="39"/>
      <c r="KLO94" s="39"/>
      <c r="KLP94" s="39"/>
      <c r="KLQ94" s="39"/>
      <c r="KLR94" s="39"/>
      <c r="KLS94" s="39"/>
      <c r="KLT94" s="39"/>
      <c r="KLU94" s="39"/>
      <c r="KLV94" s="39"/>
      <c r="KLW94" s="39"/>
      <c r="KLX94" s="39"/>
      <c r="KLY94" s="39"/>
      <c r="KLZ94" s="39"/>
      <c r="KMA94" s="39"/>
      <c r="KMB94" s="39"/>
      <c r="KMC94" s="39"/>
      <c r="KMD94" s="39"/>
      <c r="KME94" s="39"/>
      <c r="KMF94" s="39"/>
      <c r="KMG94" s="39"/>
      <c r="KMH94" s="39"/>
      <c r="KMI94" s="39"/>
      <c r="KMJ94" s="39"/>
      <c r="KMK94" s="39"/>
      <c r="KML94" s="39"/>
      <c r="KMM94" s="39"/>
      <c r="KMN94" s="39"/>
      <c r="KMO94" s="39"/>
      <c r="KMP94" s="39"/>
      <c r="KMQ94" s="39"/>
      <c r="KMR94" s="39"/>
      <c r="KMS94" s="39"/>
      <c r="KMT94" s="39"/>
      <c r="KMU94" s="39"/>
      <c r="KMV94" s="39"/>
      <c r="KMW94" s="39"/>
      <c r="KMX94" s="39"/>
      <c r="KMY94" s="39"/>
      <c r="KMZ94" s="39"/>
      <c r="KNA94" s="39"/>
      <c r="KNB94" s="39"/>
      <c r="KNC94" s="39"/>
      <c r="KND94" s="39"/>
      <c r="KNE94" s="39"/>
      <c r="KNF94" s="39"/>
      <c r="KNG94" s="39"/>
      <c r="KNH94" s="39"/>
      <c r="KNI94" s="39"/>
      <c r="KNJ94" s="39"/>
      <c r="KNK94" s="39"/>
      <c r="KNL94" s="39"/>
      <c r="KNM94" s="39"/>
      <c r="KNN94" s="39"/>
      <c r="KNO94" s="39"/>
      <c r="KNP94" s="39"/>
      <c r="KNQ94" s="39"/>
      <c r="KNR94" s="39"/>
      <c r="KNS94" s="39"/>
      <c r="KNT94" s="39"/>
      <c r="KNU94" s="39"/>
      <c r="KNV94" s="39"/>
      <c r="KNW94" s="39"/>
      <c r="KNX94" s="39"/>
      <c r="KNY94" s="39"/>
      <c r="KNZ94" s="39"/>
      <c r="KOA94" s="39"/>
      <c r="KOB94" s="39"/>
      <c r="KOC94" s="39"/>
      <c r="KOD94" s="39"/>
      <c r="KOE94" s="39"/>
      <c r="KOF94" s="39"/>
      <c r="KOG94" s="39"/>
      <c r="KOH94" s="39"/>
      <c r="KOI94" s="39"/>
      <c r="KOJ94" s="39"/>
      <c r="KOK94" s="39"/>
      <c r="KOL94" s="39"/>
      <c r="KOM94" s="39"/>
      <c r="KON94" s="39"/>
      <c r="KOO94" s="39"/>
      <c r="KOP94" s="39"/>
      <c r="KOQ94" s="39"/>
      <c r="KOR94" s="39"/>
      <c r="KOS94" s="39"/>
      <c r="KOT94" s="39"/>
      <c r="KOU94" s="39"/>
      <c r="KOV94" s="39"/>
      <c r="KOW94" s="39"/>
      <c r="KOX94" s="39"/>
      <c r="KOY94" s="39"/>
      <c r="KOZ94" s="39"/>
      <c r="KPA94" s="39"/>
      <c r="KPB94" s="39"/>
      <c r="KPC94" s="39"/>
      <c r="KPD94" s="39"/>
      <c r="KPE94" s="39"/>
      <c r="KPF94" s="39"/>
      <c r="KPG94" s="39"/>
      <c r="KPH94" s="39"/>
      <c r="KPI94" s="39"/>
      <c r="KPJ94" s="39"/>
      <c r="KPK94" s="39"/>
      <c r="KPL94" s="39"/>
      <c r="KPM94" s="39"/>
      <c r="KPN94" s="39"/>
      <c r="KPO94" s="39"/>
      <c r="KPP94" s="39"/>
      <c r="KPQ94" s="39"/>
      <c r="KPR94" s="39"/>
      <c r="KPS94" s="39"/>
      <c r="KPT94" s="39"/>
      <c r="KPU94" s="39"/>
      <c r="KPV94" s="39"/>
      <c r="KPW94" s="39"/>
      <c r="KPX94" s="39"/>
      <c r="KPY94" s="39"/>
      <c r="KPZ94" s="39"/>
      <c r="KQA94" s="39"/>
      <c r="KQB94" s="39"/>
      <c r="KQC94" s="39"/>
      <c r="KQD94" s="39"/>
      <c r="KQE94" s="39"/>
      <c r="KQF94" s="39"/>
      <c r="KQG94" s="39"/>
      <c r="KQH94" s="39"/>
      <c r="KQI94" s="39"/>
      <c r="KQJ94" s="39"/>
      <c r="KQK94" s="39"/>
      <c r="KQL94" s="39"/>
      <c r="KQM94" s="39"/>
      <c r="KQN94" s="39"/>
      <c r="KQO94" s="39"/>
      <c r="KQP94" s="39"/>
      <c r="KQQ94" s="39"/>
      <c r="KQR94" s="39"/>
      <c r="KQS94" s="39"/>
      <c r="KQT94" s="39"/>
      <c r="KQU94" s="39"/>
      <c r="KQV94" s="39"/>
      <c r="KQW94" s="39"/>
      <c r="KQX94" s="39"/>
      <c r="KQY94" s="39"/>
      <c r="KQZ94" s="39"/>
      <c r="KRA94" s="39"/>
      <c r="KRB94" s="39"/>
      <c r="KRC94" s="39"/>
      <c r="KRD94" s="39"/>
      <c r="KRE94" s="39"/>
      <c r="KRF94" s="39"/>
      <c r="KRG94" s="39"/>
      <c r="KRH94" s="39"/>
      <c r="KRI94" s="39"/>
      <c r="KRJ94" s="39"/>
      <c r="KRK94" s="39"/>
      <c r="KRL94" s="39"/>
      <c r="KRM94" s="39"/>
      <c r="KRN94" s="39"/>
      <c r="KRO94" s="39"/>
      <c r="KRP94" s="39"/>
      <c r="KRQ94" s="39"/>
      <c r="KRR94" s="39"/>
      <c r="KRS94" s="39"/>
      <c r="KRT94" s="39"/>
      <c r="KRU94" s="39"/>
      <c r="KRV94" s="39"/>
      <c r="KRW94" s="39"/>
      <c r="KRX94" s="39"/>
      <c r="KRY94" s="39"/>
      <c r="KRZ94" s="39"/>
      <c r="KSA94" s="39"/>
      <c r="KSB94" s="39"/>
      <c r="KSC94" s="39"/>
      <c r="KSD94" s="39"/>
      <c r="KSE94" s="39"/>
      <c r="KSF94" s="39"/>
      <c r="KSG94" s="39"/>
      <c r="KSH94" s="39"/>
      <c r="KSI94" s="39"/>
      <c r="KSJ94" s="39"/>
      <c r="KSK94" s="39"/>
      <c r="KSL94" s="39"/>
      <c r="KSM94" s="39"/>
      <c r="KSN94" s="39"/>
      <c r="KSO94" s="39"/>
      <c r="KSP94" s="39"/>
      <c r="KSQ94" s="39"/>
      <c r="KSR94" s="39"/>
      <c r="KSS94" s="39"/>
      <c r="KST94" s="39"/>
      <c r="KSU94" s="39"/>
      <c r="KSV94" s="39"/>
      <c r="KSW94" s="39"/>
      <c r="KSX94" s="39"/>
      <c r="KSY94" s="39"/>
      <c r="KSZ94" s="39"/>
      <c r="KTA94" s="39"/>
      <c r="KTB94" s="39"/>
      <c r="KTC94" s="39"/>
      <c r="KTD94" s="39"/>
      <c r="KTE94" s="39"/>
      <c r="KTF94" s="39"/>
      <c r="KTG94" s="39"/>
      <c r="KTH94" s="39"/>
      <c r="KTI94" s="39"/>
      <c r="KTJ94" s="39"/>
      <c r="KTK94" s="39"/>
      <c r="KTL94" s="39"/>
      <c r="KTM94" s="39"/>
      <c r="KTN94" s="39"/>
      <c r="KTO94" s="39"/>
      <c r="KTP94" s="39"/>
      <c r="KTQ94" s="39"/>
      <c r="KTR94" s="39"/>
      <c r="KTS94" s="39"/>
      <c r="KTT94" s="39"/>
      <c r="KTU94" s="39"/>
      <c r="KTV94" s="39"/>
      <c r="KTW94" s="39"/>
      <c r="KTX94" s="39"/>
      <c r="KTY94" s="39"/>
      <c r="KTZ94" s="39"/>
      <c r="KUA94" s="39"/>
      <c r="KUB94" s="39"/>
      <c r="KUC94" s="39"/>
      <c r="KUD94" s="39"/>
      <c r="KUE94" s="39"/>
      <c r="KUF94" s="39"/>
      <c r="KUG94" s="39"/>
      <c r="KUH94" s="39"/>
      <c r="KUI94" s="39"/>
      <c r="KUJ94" s="39"/>
      <c r="KUK94" s="39"/>
      <c r="KUL94" s="39"/>
      <c r="KUM94" s="39"/>
      <c r="KUN94" s="39"/>
      <c r="KUO94" s="39"/>
      <c r="KUP94" s="39"/>
      <c r="KUQ94" s="39"/>
      <c r="KUR94" s="39"/>
      <c r="KUS94" s="39"/>
      <c r="KUT94" s="39"/>
      <c r="KUU94" s="39"/>
      <c r="KUV94" s="39"/>
      <c r="KUW94" s="39"/>
      <c r="KUX94" s="39"/>
      <c r="KUY94" s="39"/>
      <c r="KUZ94" s="39"/>
      <c r="KVA94" s="39"/>
      <c r="KVB94" s="39"/>
      <c r="KVC94" s="39"/>
      <c r="KVD94" s="39"/>
      <c r="KVE94" s="39"/>
      <c r="KVF94" s="39"/>
      <c r="KVG94" s="39"/>
      <c r="KVH94" s="39"/>
      <c r="KVI94" s="39"/>
      <c r="KVJ94" s="39"/>
      <c r="KVK94" s="39"/>
      <c r="KVL94" s="39"/>
      <c r="KVM94" s="39"/>
      <c r="KVN94" s="39"/>
      <c r="KVO94" s="39"/>
      <c r="KVP94" s="39"/>
      <c r="KVQ94" s="39"/>
      <c r="KVR94" s="39"/>
      <c r="KVS94" s="39"/>
      <c r="KVT94" s="39"/>
      <c r="KVU94" s="39"/>
      <c r="KVV94" s="39"/>
      <c r="KVW94" s="39"/>
      <c r="KVX94" s="39"/>
      <c r="KVY94" s="39"/>
      <c r="KVZ94" s="39"/>
      <c r="KWA94" s="39"/>
      <c r="KWB94" s="39"/>
      <c r="KWC94" s="39"/>
      <c r="KWD94" s="39"/>
      <c r="KWE94" s="39"/>
      <c r="KWF94" s="39"/>
      <c r="KWG94" s="39"/>
      <c r="KWH94" s="39"/>
      <c r="KWI94" s="39"/>
      <c r="KWJ94" s="39"/>
      <c r="KWK94" s="39"/>
      <c r="KWL94" s="39"/>
      <c r="KWM94" s="39"/>
      <c r="KWN94" s="39"/>
      <c r="KWO94" s="39"/>
      <c r="KWP94" s="39"/>
      <c r="KWQ94" s="39"/>
      <c r="KWR94" s="39"/>
      <c r="KWS94" s="39"/>
      <c r="KWT94" s="39"/>
      <c r="KWU94" s="39"/>
      <c r="KWV94" s="39"/>
      <c r="KWW94" s="39"/>
      <c r="KWX94" s="39"/>
      <c r="KWY94" s="39"/>
      <c r="KWZ94" s="39"/>
      <c r="KXA94" s="39"/>
      <c r="KXB94" s="39"/>
      <c r="KXC94" s="39"/>
      <c r="KXD94" s="39"/>
      <c r="KXE94" s="39"/>
      <c r="KXF94" s="39"/>
      <c r="KXG94" s="39"/>
      <c r="KXH94" s="39"/>
      <c r="KXI94" s="39"/>
      <c r="KXJ94" s="39"/>
      <c r="KXK94" s="39"/>
      <c r="KXL94" s="39"/>
      <c r="KXM94" s="39"/>
      <c r="KXN94" s="39"/>
      <c r="KXO94" s="39"/>
      <c r="KXP94" s="39"/>
      <c r="KXQ94" s="39"/>
      <c r="KXR94" s="39"/>
      <c r="KXS94" s="39"/>
      <c r="KXT94" s="39"/>
      <c r="KXU94" s="39"/>
      <c r="KXV94" s="39"/>
      <c r="KXW94" s="39"/>
      <c r="KXX94" s="39"/>
      <c r="KXY94" s="39"/>
      <c r="KXZ94" s="39"/>
      <c r="KYA94" s="39"/>
      <c r="KYB94" s="39"/>
      <c r="KYC94" s="39"/>
      <c r="KYD94" s="39"/>
      <c r="KYE94" s="39"/>
      <c r="KYF94" s="39"/>
      <c r="KYG94" s="39"/>
      <c r="KYH94" s="39"/>
      <c r="KYI94" s="39"/>
      <c r="KYJ94" s="39"/>
      <c r="KYK94" s="39"/>
      <c r="KYL94" s="39"/>
      <c r="KYM94" s="39"/>
      <c r="KYN94" s="39"/>
      <c r="KYO94" s="39"/>
      <c r="KYP94" s="39"/>
      <c r="KYQ94" s="39"/>
      <c r="KYR94" s="39"/>
      <c r="KYS94" s="39"/>
      <c r="KYT94" s="39"/>
      <c r="KYU94" s="39"/>
      <c r="KYV94" s="39"/>
      <c r="KYW94" s="39"/>
      <c r="KYX94" s="39"/>
      <c r="KYY94" s="39"/>
      <c r="KYZ94" s="39"/>
      <c r="KZA94" s="39"/>
      <c r="KZB94" s="39"/>
      <c r="KZC94" s="39"/>
      <c r="KZD94" s="39"/>
      <c r="KZE94" s="39"/>
      <c r="KZF94" s="39"/>
      <c r="KZG94" s="39"/>
      <c r="KZH94" s="39"/>
      <c r="KZI94" s="39"/>
      <c r="KZJ94" s="39"/>
      <c r="KZK94" s="39"/>
      <c r="KZL94" s="39"/>
      <c r="KZM94" s="39"/>
      <c r="KZN94" s="39"/>
      <c r="KZO94" s="39"/>
      <c r="KZP94" s="39"/>
      <c r="KZQ94" s="39"/>
      <c r="KZR94" s="39"/>
      <c r="KZS94" s="39"/>
      <c r="KZT94" s="39"/>
      <c r="KZU94" s="39"/>
      <c r="KZV94" s="39"/>
      <c r="KZW94" s="39"/>
      <c r="KZX94" s="39"/>
      <c r="KZY94" s="39"/>
      <c r="KZZ94" s="39"/>
      <c r="LAA94" s="39"/>
      <c r="LAB94" s="39"/>
      <c r="LAC94" s="39"/>
      <c r="LAD94" s="39"/>
      <c r="LAE94" s="39"/>
      <c r="LAF94" s="39"/>
      <c r="LAG94" s="39"/>
      <c r="LAH94" s="39"/>
      <c r="LAI94" s="39"/>
      <c r="LAJ94" s="39"/>
      <c r="LAK94" s="39"/>
      <c r="LAL94" s="39"/>
      <c r="LAM94" s="39"/>
      <c r="LAN94" s="39"/>
      <c r="LAO94" s="39"/>
      <c r="LAP94" s="39"/>
      <c r="LAQ94" s="39"/>
      <c r="LAR94" s="39"/>
      <c r="LAS94" s="39"/>
      <c r="LAT94" s="39"/>
      <c r="LAU94" s="39"/>
      <c r="LAV94" s="39"/>
      <c r="LAW94" s="39"/>
      <c r="LAX94" s="39"/>
      <c r="LAY94" s="39"/>
      <c r="LAZ94" s="39"/>
      <c r="LBA94" s="39"/>
      <c r="LBB94" s="39"/>
      <c r="LBC94" s="39"/>
      <c r="LBD94" s="39"/>
      <c r="LBE94" s="39"/>
      <c r="LBF94" s="39"/>
      <c r="LBG94" s="39"/>
      <c r="LBH94" s="39"/>
      <c r="LBI94" s="39"/>
      <c r="LBJ94" s="39"/>
      <c r="LBK94" s="39"/>
      <c r="LBL94" s="39"/>
      <c r="LBM94" s="39"/>
      <c r="LBN94" s="39"/>
      <c r="LBO94" s="39"/>
      <c r="LBP94" s="39"/>
      <c r="LBQ94" s="39"/>
      <c r="LBR94" s="39"/>
      <c r="LBS94" s="39"/>
      <c r="LBT94" s="39"/>
      <c r="LBU94" s="39"/>
      <c r="LBV94" s="39"/>
      <c r="LBW94" s="39"/>
      <c r="LBX94" s="39"/>
      <c r="LBY94" s="39"/>
      <c r="LBZ94" s="39"/>
      <c r="LCA94" s="39"/>
      <c r="LCB94" s="39"/>
      <c r="LCC94" s="39"/>
      <c r="LCD94" s="39"/>
      <c r="LCE94" s="39"/>
      <c r="LCF94" s="39"/>
      <c r="LCG94" s="39"/>
      <c r="LCH94" s="39"/>
      <c r="LCI94" s="39"/>
      <c r="LCJ94" s="39"/>
      <c r="LCK94" s="39"/>
      <c r="LCL94" s="39"/>
      <c r="LCM94" s="39"/>
      <c r="LCN94" s="39"/>
      <c r="LCO94" s="39"/>
      <c r="LCP94" s="39"/>
      <c r="LCQ94" s="39"/>
      <c r="LCR94" s="39"/>
      <c r="LCS94" s="39"/>
      <c r="LCT94" s="39"/>
      <c r="LCU94" s="39"/>
      <c r="LCV94" s="39"/>
      <c r="LCW94" s="39"/>
      <c r="LCX94" s="39"/>
      <c r="LCY94" s="39"/>
      <c r="LCZ94" s="39"/>
      <c r="LDA94" s="39"/>
      <c r="LDB94" s="39"/>
      <c r="LDC94" s="39"/>
      <c r="LDD94" s="39"/>
      <c r="LDE94" s="39"/>
      <c r="LDF94" s="39"/>
      <c r="LDG94" s="39"/>
      <c r="LDH94" s="39"/>
      <c r="LDI94" s="39"/>
      <c r="LDJ94" s="39"/>
      <c r="LDK94" s="39"/>
      <c r="LDL94" s="39"/>
      <c r="LDM94" s="39"/>
      <c r="LDN94" s="39"/>
      <c r="LDO94" s="39"/>
      <c r="LDP94" s="39"/>
      <c r="LDQ94" s="39"/>
      <c r="LDR94" s="39"/>
      <c r="LDS94" s="39"/>
      <c r="LDT94" s="39"/>
      <c r="LDU94" s="39"/>
      <c r="LDV94" s="39"/>
      <c r="LDW94" s="39"/>
      <c r="LDX94" s="39"/>
      <c r="LDY94" s="39"/>
      <c r="LDZ94" s="39"/>
      <c r="LEA94" s="39"/>
      <c r="LEB94" s="39"/>
      <c r="LEC94" s="39"/>
      <c r="LED94" s="39"/>
      <c r="LEE94" s="39"/>
      <c r="LEF94" s="39"/>
      <c r="LEG94" s="39"/>
      <c r="LEH94" s="39"/>
      <c r="LEI94" s="39"/>
      <c r="LEJ94" s="39"/>
      <c r="LEK94" s="39"/>
      <c r="LEL94" s="39"/>
      <c r="LEM94" s="39"/>
      <c r="LEN94" s="39"/>
      <c r="LEO94" s="39"/>
      <c r="LEP94" s="39"/>
      <c r="LEQ94" s="39"/>
      <c r="LER94" s="39"/>
      <c r="LES94" s="39"/>
      <c r="LET94" s="39"/>
      <c r="LEU94" s="39"/>
      <c r="LEV94" s="39"/>
      <c r="LEW94" s="39"/>
      <c r="LEX94" s="39"/>
      <c r="LEY94" s="39"/>
      <c r="LEZ94" s="39"/>
      <c r="LFA94" s="39"/>
      <c r="LFB94" s="39"/>
      <c r="LFC94" s="39"/>
      <c r="LFD94" s="39"/>
      <c r="LFE94" s="39"/>
      <c r="LFF94" s="39"/>
      <c r="LFG94" s="39"/>
      <c r="LFH94" s="39"/>
      <c r="LFI94" s="39"/>
      <c r="LFJ94" s="39"/>
      <c r="LFK94" s="39"/>
      <c r="LFL94" s="39"/>
      <c r="LFM94" s="39"/>
      <c r="LFN94" s="39"/>
      <c r="LFO94" s="39"/>
      <c r="LFP94" s="39"/>
      <c r="LFQ94" s="39"/>
      <c r="LFR94" s="39"/>
      <c r="LFS94" s="39"/>
      <c r="LFT94" s="39"/>
      <c r="LFU94" s="39"/>
      <c r="LFV94" s="39"/>
      <c r="LFW94" s="39"/>
      <c r="LFX94" s="39"/>
      <c r="LFY94" s="39"/>
      <c r="LFZ94" s="39"/>
      <c r="LGA94" s="39"/>
      <c r="LGB94" s="39"/>
      <c r="LGC94" s="39"/>
      <c r="LGD94" s="39"/>
      <c r="LGE94" s="39"/>
      <c r="LGF94" s="39"/>
      <c r="LGG94" s="39"/>
      <c r="LGH94" s="39"/>
      <c r="LGI94" s="39"/>
      <c r="LGJ94" s="39"/>
      <c r="LGK94" s="39"/>
      <c r="LGL94" s="39"/>
      <c r="LGM94" s="39"/>
      <c r="LGN94" s="39"/>
      <c r="LGO94" s="39"/>
      <c r="LGP94" s="39"/>
      <c r="LGQ94" s="39"/>
      <c r="LGR94" s="39"/>
      <c r="LGS94" s="39"/>
      <c r="LGT94" s="39"/>
      <c r="LGU94" s="39"/>
      <c r="LGV94" s="39"/>
      <c r="LGW94" s="39"/>
      <c r="LGX94" s="39"/>
      <c r="LGY94" s="39"/>
      <c r="LGZ94" s="39"/>
      <c r="LHA94" s="39"/>
      <c r="LHB94" s="39"/>
      <c r="LHC94" s="39"/>
      <c r="LHD94" s="39"/>
      <c r="LHE94" s="39"/>
      <c r="LHF94" s="39"/>
      <c r="LHG94" s="39"/>
      <c r="LHH94" s="39"/>
      <c r="LHI94" s="39"/>
      <c r="LHJ94" s="39"/>
      <c r="LHK94" s="39"/>
      <c r="LHL94" s="39"/>
      <c r="LHM94" s="39"/>
      <c r="LHN94" s="39"/>
      <c r="LHO94" s="39"/>
      <c r="LHP94" s="39"/>
      <c r="LHQ94" s="39"/>
      <c r="LHR94" s="39"/>
      <c r="LHS94" s="39"/>
      <c r="LHT94" s="39"/>
      <c r="LHU94" s="39"/>
      <c r="LHV94" s="39"/>
      <c r="LHW94" s="39"/>
      <c r="LHX94" s="39"/>
      <c r="LHY94" s="39"/>
      <c r="LHZ94" s="39"/>
      <c r="LIA94" s="39"/>
      <c r="LIB94" s="39"/>
      <c r="LIC94" s="39"/>
      <c r="LID94" s="39"/>
      <c r="LIE94" s="39"/>
      <c r="LIF94" s="39"/>
      <c r="LIG94" s="39"/>
      <c r="LIH94" s="39"/>
      <c r="LII94" s="39"/>
      <c r="LIJ94" s="39"/>
      <c r="LIK94" s="39"/>
      <c r="LIL94" s="39"/>
      <c r="LIM94" s="39"/>
      <c r="LIN94" s="39"/>
      <c r="LIO94" s="39"/>
      <c r="LIP94" s="39"/>
      <c r="LIQ94" s="39"/>
      <c r="LIR94" s="39"/>
      <c r="LIS94" s="39"/>
      <c r="LIT94" s="39"/>
      <c r="LIU94" s="39"/>
      <c r="LIV94" s="39"/>
      <c r="LIW94" s="39"/>
      <c r="LIX94" s="39"/>
      <c r="LIY94" s="39"/>
      <c r="LIZ94" s="39"/>
      <c r="LJA94" s="39"/>
      <c r="LJB94" s="39"/>
      <c r="LJC94" s="39"/>
      <c r="LJD94" s="39"/>
      <c r="LJE94" s="39"/>
      <c r="LJF94" s="39"/>
      <c r="LJG94" s="39"/>
      <c r="LJH94" s="39"/>
      <c r="LJI94" s="39"/>
      <c r="LJJ94" s="39"/>
      <c r="LJK94" s="39"/>
      <c r="LJL94" s="39"/>
      <c r="LJM94" s="39"/>
      <c r="LJN94" s="39"/>
      <c r="LJO94" s="39"/>
      <c r="LJP94" s="39"/>
      <c r="LJQ94" s="39"/>
      <c r="LJR94" s="39"/>
      <c r="LJS94" s="39"/>
      <c r="LJT94" s="39"/>
      <c r="LJU94" s="39"/>
      <c r="LJV94" s="39"/>
      <c r="LJW94" s="39"/>
      <c r="LJX94" s="39"/>
      <c r="LJY94" s="39"/>
      <c r="LJZ94" s="39"/>
      <c r="LKA94" s="39"/>
      <c r="LKB94" s="39"/>
      <c r="LKC94" s="39"/>
      <c r="LKD94" s="39"/>
      <c r="LKE94" s="39"/>
      <c r="LKF94" s="39"/>
      <c r="LKG94" s="39"/>
      <c r="LKH94" s="39"/>
      <c r="LKI94" s="39"/>
      <c r="LKJ94" s="39"/>
      <c r="LKK94" s="39"/>
      <c r="LKL94" s="39"/>
      <c r="LKM94" s="39"/>
      <c r="LKN94" s="39"/>
      <c r="LKO94" s="39"/>
      <c r="LKP94" s="39"/>
      <c r="LKQ94" s="39"/>
      <c r="LKR94" s="39"/>
      <c r="LKS94" s="39"/>
      <c r="LKT94" s="39"/>
      <c r="LKU94" s="39"/>
      <c r="LKV94" s="39"/>
      <c r="LKW94" s="39"/>
      <c r="LKX94" s="39"/>
      <c r="LKY94" s="39"/>
      <c r="LKZ94" s="39"/>
      <c r="LLA94" s="39"/>
      <c r="LLB94" s="39"/>
      <c r="LLC94" s="39"/>
      <c r="LLD94" s="39"/>
      <c r="LLE94" s="39"/>
      <c r="LLF94" s="39"/>
      <c r="LLG94" s="39"/>
      <c r="LLH94" s="39"/>
      <c r="LLI94" s="39"/>
      <c r="LLJ94" s="39"/>
      <c r="LLK94" s="39"/>
      <c r="LLL94" s="39"/>
      <c r="LLM94" s="39"/>
      <c r="LLN94" s="39"/>
      <c r="LLO94" s="39"/>
      <c r="LLP94" s="39"/>
      <c r="LLQ94" s="39"/>
      <c r="LLR94" s="39"/>
      <c r="LLS94" s="39"/>
      <c r="LLT94" s="39"/>
      <c r="LLU94" s="39"/>
      <c r="LLV94" s="39"/>
      <c r="LLW94" s="39"/>
      <c r="LLX94" s="39"/>
      <c r="LLY94" s="39"/>
      <c r="LLZ94" s="39"/>
      <c r="LMA94" s="39"/>
      <c r="LMB94" s="39"/>
      <c r="LMC94" s="39"/>
      <c r="LMD94" s="39"/>
      <c r="LME94" s="39"/>
      <c r="LMF94" s="39"/>
      <c r="LMG94" s="39"/>
      <c r="LMH94" s="39"/>
      <c r="LMI94" s="39"/>
      <c r="LMJ94" s="39"/>
      <c r="LMK94" s="39"/>
      <c r="LML94" s="39"/>
      <c r="LMM94" s="39"/>
      <c r="LMN94" s="39"/>
      <c r="LMO94" s="39"/>
      <c r="LMP94" s="39"/>
      <c r="LMQ94" s="39"/>
      <c r="LMR94" s="39"/>
      <c r="LMS94" s="39"/>
      <c r="LMT94" s="39"/>
      <c r="LMU94" s="39"/>
      <c r="LMV94" s="39"/>
      <c r="LMW94" s="39"/>
      <c r="LMX94" s="39"/>
      <c r="LMY94" s="39"/>
      <c r="LMZ94" s="39"/>
      <c r="LNA94" s="39"/>
      <c r="LNB94" s="39"/>
      <c r="LNC94" s="39"/>
      <c r="LND94" s="39"/>
      <c r="LNE94" s="39"/>
      <c r="LNF94" s="39"/>
      <c r="LNG94" s="39"/>
      <c r="LNH94" s="39"/>
      <c r="LNI94" s="39"/>
      <c r="LNJ94" s="39"/>
      <c r="LNK94" s="39"/>
      <c r="LNL94" s="39"/>
      <c r="LNM94" s="39"/>
      <c r="LNN94" s="39"/>
      <c r="LNO94" s="39"/>
      <c r="LNP94" s="39"/>
      <c r="LNQ94" s="39"/>
      <c r="LNR94" s="39"/>
      <c r="LNS94" s="39"/>
      <c r="LNT94" s="39"/>
      <c r="LNU94" s="39"/>
      <c r="LNV94" s="39"/>
      <c r="LNW94" s="39"/>
      <c r="LNX94" s="39"/>
      <c r="LNY94" s="39"/>
      <c r="LNZ94" s="39"/>
      <c r="LOA94" s="39"/>
      <c r="LOB94" s="39"/>
      <c r="LOC94" s="39"/>
      <c r="LOD94" s="39"/>
      <c r="LOE94" s="39"/>
      <c r="LOF94" s="39"/>
      <c r="LOG94" s="39"/>
      <c r="LOH94" s="39"/>
      <c r="LOI94" s="39"/>
      <c r="LOJ94" s="39"/>
      <c r="LOK94" s="39"/>
      <c r="LOL94" s="39"/>
      <c r="LOM94" s="39"/>
      <c r="LON94" s="39"/>
      <c r="LOO94" s="39"/>
      <c r="LOP94" s="39"/>
      <c r="LOQ94" s="39"/>
      <c r="LOR94" s="39"/>
      <c r="LOS94" s="39"/>
      <c r="LOT94" s="39"/>
      <c r="LOU94" s="39"/>
      <c r="LOV94" s="39"/>
      <c r="LOW94" s="39"/>
      <c r="LOX94" s="39"/>
      <c r="LOY94" s="39"/>
      <c r="LOZ94" s="39"/>
      <c r="LPA94" s="39"/>
      <c r="LPB94" s="39"/>
      <c r="LPC94" s="39"/>
      <c r="LPD94" s="39"/>
      <c r="LPE94" s="39"/>
      <c r="LPF94" s="39"/>
      <c r="LPG94" s="39"/>
      <c r="LPH94" s="39"/>
      <c r="LPI94" s="39"/>
      <c r="LPJ94" s="39"/>
      <c r="LPK94" s="39"/>
      <c r="LPL94" s="39"/>
      <c r="LPM94" s="39"/>
      <c r="LPN94" s="39"/>
      <c r="LPO94" s="39"/>
      <c r="LPP94" s="39"/>
      <c r="LPQ94" s="39"/>
      <c r="LPR94" s="39"/>
      <c r="LPS94" s="39"/>
      <c r="LPT94" s="39"/>
      <c r="LPU94" s="39"/>
      <c r="LPV94" s="39"/>
      <c r="LPW94" s="39"/>
      <c r="LPX94" s="39"/>
      <c r="LPY94" s="39"/>
      <c r="LPZ94" s="39"/>
      <c r="LQA94" s="39"/>
      <c r="LQB94" s="39"/>
      <c r="LQC94" s="39"/>
      <c r="LQD94" s="39"/>
      <c r="LQE94" s="39"/>
      <c r="LQF94" s="39"/>
      <c r="LQG94" s="39"/>
      <c r="LQH94" s="39"/>
      <c r="LQI94" s="39"/>
      <c r="LQJ94" s="39"/>
      <c r="LQK94" s="39"/>
      <c r="LQL94" s="39"/>
      <c r="LQM94" s="39"/>
      <c r="LQN94" s="39"/>
      <c r="LQO94" s="39"/>
      <c r="LQP94" s="39"/>
      <c r="LQQ94" s="39"/>
      <c r="LQR94" s="39"/>
      <c r="LQS94" s="39"/>
      <c r="LQT94" s="39"/>
      <c r="LQU94" s="39"/>
      <c r="LQV94" s="39"/>
      <c r="LQW94" s="39"/>
      <c r="LQX94" s="39"/>
      <c r="LQY94" s="39"/>
      <c r="LQZ94" s="39"/>
      <c r="LRA94" s="39"/>
      <c r="LRB94" s="39"/>
      <c r="LRC94" s="39"/>
      <c r="LRD94" s="39"/>
      <c r="LRE94" s="39"/>
      <c r="LRF94" s="39"/>
      <c r="LRG94" s="39"/>
      <c r="LRH94" s="39"/>
      <c r="LRI94" s="39"/>
      <c r="LRJ94" s="39"/>
      <c r="LRK94" s="39"/>
      <c r="LRL94" s="39"/>
      <c r="LRM94" s="39"/>
      <c r="LRN94" s="39"/>
      <c r="LRO94" s="39"/>
      <c r="LRP94" s="39"/>
      <c r="LRQ94" s="39"/>
      <c r="LRR94" s="39"/>
      <c r="LRS94" s="39"/>
      <c r="LRT94" s="39"/>
      <c r="LRU94" s="39"/>
      <c r="LRV94" s="39"/>
      <c r="LRW94" s="39"/>
      <c r="LRX94" s="39"/>
      <c r="LRY94" s="39"/>
      <c r="LRZ94" s="39"/>
      <c r="LSA94" s="39"/>
      <c r="LSB94" s="39"/>
      <c r="LSC94" s="39"/>
      <c r="LSD94" s="39"/>
      <c r="LSE94" s="39"/>
      <c r="LSF94" s="39"/>
      <c r="LSG94" s="39"/>
      <c r="LSH94" s="39"/>
      <c r="LSI94" s="39"/>
      <c r="LSJ94" s="39"/>
      <c r="LSK94" s="39"/>
      <c r="LSL94" s="39"/>
      <c r="LSM94" s="39"/>
      <c r="LSN94" s="39"/>
      <c r="LSO94" s="39"/>
      <c r="LSP94" s="39"/>
      <c r="LSQ94" s="39"/>
      <c r="LSR94" s="39"/>
      <c r="LSS94" s="39"/>
      <c r="LST94" s="39"/>
      <c r="LSU94" s="39"/>
      <c r="LSV94" s="39"/>
      <c r="LSW94" s="39"/>
      <c r="LSX94" s="39"/>
      <c r="LSY94" s="39"/>
      <c r="LSZ94" s="39"/>
      <c r="LTA94" s="39"/>
      <c r="LTB94" s="39"/>
      <c r="LTC94" s="39"/>
      <c r="LTD94" s="39"/>
      <c r="LTE94" s="39"/>
      <c r="LTF94" s="39"/>
      <c r="LTG94" s="39"/>
      <c r="LTH94" s="39"/>
      <c r="LTI94" s="39"/>
      <c r="LTJ94" s="39"/>
      <c r="LTK94" s="39"/>
      <c r="LTL94" s="39"/>
      <c r="LTM94" s="39"/>
      <c r="LTN94" s="39"/>
      <c r="LTO94" s="39"/>
      <c r="LTP94" s="39"/>
      <c r="LTQ94" s="39"/>
      <c r="LTR94" s="39"/>
      <c r="LTS94" s="39"/>
      <c r="LTT94" s="39"/>
      <c r="LTU94" s="39"/>
      <c r="LTV94" s="39"/>
      <c r="LTW94" s="39"/>
      <c r="LTX94" s="39"/>
      <c r="LTY94" s="39"/>
      <c r="LTZ94" s="39"/>
      <c r="LUA94" s="39"/>
      <c r="LUB94" s="39"/>
      <c r="LUC94" s="39"/>
      <c r="LUD94" s="39"/>
      <c r="LUE94" s="39"/>
      <c r="LUF94" s="39"/>
      <c r="LUG94" s="39"/>
      <c r="LUH94" s="39"/>
      <c r="LUI94" s="39"/>
      <c r="LUJ94" s="39"/>
      <c r="LUK94" s="39"/>
      <c r="LUL94" s="39"/>
      <c r="LUM94" s="39"/>
      <c r="LUN94" s="39"/>
      <c r="LUO94" s="39"/>
      <c r="LUP94" s="39"/>
      <c r="LUQ94" s="39"/>
      <c r="LUR94" s="39"/>
      <c r="LUS94" s="39"/>
      <c r="LUT94" s="39"/>
      <c r="LUU94" s="39"/>
      <c r="LUV94" s="39"/>
      <c r="LUW94" s="39"/>
      <c r="LUX94" s="39"/>
      <c r="LUY94" s="39"/>
      <c r="LUZ94" s="39"/>
      <c r="LVA94" s="39"/>
      <c r="LVB94" s="39"/>
      <c r="LVC94" s="39"/>
      <c r="LVD94" s="39"/>
      <c r="LVE94" s="39"/>
      <c r="LVF94" s="39"/>
      <c r="LVG94" s="39"/>
      <c r="LVH94" s="39"/>
      <c r="LVI94" s="39"/>
      <c r="LVJ94" s="39"/>
      <c r="LVK94" s="39"/>
      <c r="LVL94" s="39"/>
      <c r="LVM94" s="39"/>
      <c r="LVN94" s="39"/>
      <c r="LVO94" s="39"/>
      <c r="LVP94" s="39"/>
      <c r="LVQ94" s="39"/>
      <c r="LVR94" s="39"/>
      <c r="LVS94" s="39"/>
      <c r="LVT94" s="39"/>
      <c r="LVU94" s="39"/>
      <c r="LVV94" s="39"/>
      <c r="LVW94" s="39"/>
      <c r="LVX94" s="39"/>
      <c r="LVY94" s="39"/>
      <c r="LVZ94" s="39"/>
      <c r="LWA94" s="39"/>
      <c r="LWB94" s="39"/>
      <c r="LWC94" s="39"/>
      <c r="LWD94" s="39"/>
      <c r="LWE94" s="39"/>
      <c r="LWF94" s="39"/>
      <c r="LWG94" s="39"/>
      <c r="LWH94" s="39"/>
      <c r="LWI94" s="39"/>
      <c r="LWJ94" s="39"/>
      <c r="LWK94" s="39"/>
      <c r="LWL94" s="39"/>
      <c r="LWM94" s="39"/>
      <c r="LWN94" s="39"/>
      <c r="LWO94" s="39"/>
      <c r="LWP94" s="39"/>
      <c r="LWQ94" s="39"/>
      <c r="LWR94" s="39"/>
      <c r="LWS94" s="39"/>
      <c r="LWT94" s="39"/>
      <c r="LWU94" s="39"/>
      <c r="LWV94" s="39"/>
      <c r="LWW94" s="39"/>
      <c r="LWX94" s="39"/>
      <c r="LWY94" s="39"/>
      <c r="LWZ94" s="39"/>
      <c r="LXA94" s="39"/>
      <c r="LXB94" s="39"/>
      <c r="LXC94" s="39"/>
      <c r="LXD94" s="39"/>
      <c r="LXE94" s="39"/>
      <c r="LXF94" s="39"/>
      <c r="LXG94" s="39"/>
      <c r="LXH94" s="39"/>
      <c r="LXI94" s="39"/>
      <c r="LXJ94" s="39"/>
      <c r="LXK94" s="39"/>
      <c r="LXL94" s="39"/>
      <c r="LXM94" s="39"/>
      <c r="LXN94" s="39"/>
      <c r="LXO94" s="39"/>
      <c r="LXP94" s="39"/>
      <c r="LXQ94" s="39"/>
      <c r="LXR94" s="39"/>
      <c r="LXS94" s="39"/>
      <c r="LXT94" s="39"/>
      <c r="LXU94" s="39"/>
      <c r="LXV94" s="39"/>
      <c r="LXW94" s="39"/>
      <c r="LXX94" s="39"/>
      <c r="LXY94" s="39"/>
      <c r="LXZ94" s="39"/>
      <c r="LYA94" s="39"/>
      <c r="LYB94" s="39"/>
      <c r="LYC94" s="39"/>
      <c r="LYD94" s="39"/>
      <c r="LYE94" s="39"/>
      <c r="LYF94" s="39"/>
      <c r="LYG94" s="39"/>
      <c r="LYH94" s="39"/>
      <c r="LYI94" s="39"/>
      <c r="LYJ94" s="39"/>
      <c r="LYK94" s="39"/>
      <c r="LYL94" s="39"/>
      <c r="LYM94" s="39"/>
      <c r="LYN94" s="39"/>
      <c r="LYO94" s="39"/>
      <c r="LYP94" s="39"/>
      <c r="LYQ94" s="39"/>
      <c r="LYR94" s="39"/>
      <c r="LYS94" s="39"/>
      <c r="LYT94" s="39"/>
      <c r="LYU94" s="39"/>
      <c r="LYV94" s="39"/>
      <c r="LYW94" s="39"/>
      <c r="LYX94" s="39"/>
      <c r="LYY94" s="39"/>
      <c r="LYZ94" s="39"/>
      <c r="LZA94" s="39"/>
      <c r="LZB94" s="39"/>
      <c r="LZC94" s="39"/>
      <c r="LZD94" s="39"/>
      <c r="LZE94" s="39"/>
      <c r="LZF94" s="39"/>
      <c r="LZG94" s="39"/>
      <c r="LZH94" s="39"/>
      <c r="LZI94" s="39"/>
      <c r="LZJ94" s="39"/>
      <c r="LZK94" s="39"/>
      <c r="LZL94" s="39"/>
      <c r="LZM94" s="39"/>
      <c r="LZN94" s="39"/>
      <c r="LZO94" s="39"/>
      <c r="LZP94" s="39"/>
      <c r="LZQ94" s="39"/>
      <c r="LZR94" s="39"/>
      <c r="LZS94" s="39"/>
      <c r="LZT94" s="39"/>
      <c r="LZU94" s="39"/>
      <c r="LZV94" s="39"/>
      <c r="LZW94" s="39"/>
      <c r="LZX94" s="39"/>
      <c r="LZY94" s="39"/>
      <c r="LZZ94" s="39"/>
      <c r="MAA94" s="39"/>
      <c r="MAB94" s="39"/>
      <c r="MAC94" s="39"/>
      <c r="MAD94" s="39"/>
      <c r="MAE94" s="39"/>
      <c r="MAF94" s="39"/>
      <c r="MAG94" s="39"/>
      <c r="MAH94" s="39"/>
      <c r="MAI94" s="39"/>
      <c r="MAJ94" s="39"/>
      <c r="MAK94" s="39"/>
      <c r="MAL94" s="39"/>
      <c r="MAM94" s="39"/>
      <c r="MAN94" s="39"/>
      <c r="MAO94" s="39"/>
      <c r="MAP94" s="39"/>
      <c r="MAQ94" s="39"/>
      <c r="MAR94" s="39"/>
      <c r="MAS94" s="39"/>
      <c r="MAT94" s="39"/>
      <c r="MAU94" s="39"/>
      <c r="MAV94" s="39"/>
      <c r="MAW94" s="39"/>
      <c r="MAX94" s="39"/>
      <c r="MAY94" s="39"/>
      <c r="MAZ94" s="39"/>
      <c r="MBA94" s="39"/>
      <c r="MBB94" s="39"/>
      <c r="MBC94" s="39"/>
      <c r="MBD94" s="39"/>
      <c r="MBE94" s="39"/>
      <c r="MBF94" s="39"/>
      <c r="MBG94" s="39"/>
      <c r="MBH94" s="39"/>
      <c r="MBI94" s="39"/>
      <c r="MBJ94" s="39"/>
      <c r="MBK94" s="39"/>
      <c r="MBL94" s="39"/>
      <c r="MBM94" s="39"/>
      <c r="MBN94" s="39"/>
      <c r="MBO94" s="39"/>
      <c r="MBP94" s="39"/>
      <c r="MBQ94" s="39"/>
      <c r="MBR94" s="39"/>
      <c r="MBS94" s="39"/>
      <c r="MBT94" s="39"/>
      <c r="MBU94" s="39"/>
      <c r="MBV94" s="39"/>
      <c r="MBW94" s="39"/>
      <c r="MBX94" s="39"/>
      <c r="MBY94" s="39"/>
      <c r="MBZ94" s="39"/>
      <c r="MCA94" s="39"/>
      <c r="MCB94" s="39"/>
      <c r="MCC94" s="39"/>
      <c r="MCD94" s="39"/>
      <c r="MCE94" s="39"/>
      <c r="MCF94" s="39"/>
      <c r="MCG94" s="39"/>
      <c r="MCH94" s="39"/>
      <c r="MCI94" s="39"/>
      <c r="MCJ94" s="39"/>
      <c r="MCK94" s="39"/>
      <c r="MCL94" s="39"/>
      <c r="MCM94" s="39"/>
      <c r="MCN94" s="39"/>
      <c r="MCO94" s="39"/>
      <c r="MCP94" s="39"/>
      <c r="MCQ94" s="39"/>
      <c r="MCR94" s="39"/>
      <c r="MCS94" s="39"/>
      <c r="MCT94" s="39"/>
      <c r="MCU94" s="39"/>
      <c r="MCV94" s="39"/>
      <c r="MCW94" s="39"/>
      <c r="MCX94" s="39"/>
      <c r="MCY94" s="39"/>
      <c r="MCZ94" s="39"/>
      <c r="MDA94" s="39"/>
      <c r="MDB94" s="39"/>
      <c r="MDC94" s="39"/>
      <c r="MDD94" s="39"/>
      <c r="MDE94" s="39"/>
      <c r="MDF94" s="39"/>
      <c r="MDG94" s="39"/>
      <c r="MDH94" s="39"/>
      <c r="MDI94" s="39"/>
      <c r="MDJ94" s="39"/>
      <c r="MDK94" s="39"/>
      <c r="MDL94" s="39"/>
      <c r="MDM94" s="39"/>
      <c r="MDN94" s="39"/>
      <c r="MDO94" s="39"/>
      <c r="MDP94" s="39"/>
      <c r="MDQ94" s="39"/>
      <c r="MDR94" s="39"/>
      <c r="MDS94" s="39"/>
      <c r="MDT94" s="39"/>
      <c r="MDU94" s="39"/>
      <c r="MDV94" s="39"/>
      <c r="MDW94" s="39"/>
      <c r="MDX94" s="39"/>
      <c r="MDY94" s="39"/>
      <c r="MDZ94" s="39"/>
      <c r="MEA94" s="39"/>
      <c r="MEB94" s="39"/>
      <c r="MEC94" s="39"/>
      <c r="MED94" s="39"/>
      <c r="MEE94" s="39"/>
      <c r="MEF94" s="39"/>
      <c r="MEG94" s="39"/>
      <c r="MEH94" s="39"/>
      <c r="MEI94" s="39"/>
      <c r="MEJ94" s="39"/>
      <c r="MEK94" s="39"/>
      <c r="MEL94" s="39"/>
      <c r="MEM94" s="39"/>
      <c r="MEN94" s="39"/>
      <c r="MEO94" s="39"/>
      <c r="MEP94" s="39"/>
      <c r="MEQ94" s="39"/>
      <c r="MER94" s="39"/>
      <c r="MES94" s="39"/>
      <c r="MET94" s="39"/>
      <c r="MEU94" s="39"/>
      <c r="MEV94" s="39"/>
      <c r="MEW94" s="39"/>
      <c r="MEX94" s="39"/>
      <c r="MEY94" s="39"/>
      <c r="MEZ94" s="39"/>
      <c r="MFA94" s="39"/>
      <c r="MFB94" s="39"/>
      <c r="MFC94" s="39"/>
      <c r="MFD94" s="39"/>
      <c r="MFE94" s="39"/>
      <c r="MFF94" s="39"/>
      <c r="MFG94" s="39"/>
      <c r="MFH94" s="39"/>
      <c r="MFI94" s="39"/>
      <c r="MFJ94" s="39"/>
      <c r="MFK94" s="39"/>
      <c r="MFL94" s="39"/>
      <c r="MFM94" s="39"/>
      <c r="MFN94" s="39"/>
      <c r="MFO94" s="39"/>
      <c r="MFP94" s="39"/>
      <c r="MFQ94" s="39"/>
      <c r="MFR94" s="39"/>
      <c r="MFS94" s="39"/>
      <c r="MFT94" s="39"/>
      <c r="MFU94" s="39"/>
      <c r="MFV94" s="39"/>
      <c r="MFW94" s="39"/>
      <c r="MFX94" s="39"/>
      <c r="MFY94" s="39"/>
      <c r="MFZ94" s="39"/>
      <c r="MGA94" s="39"/>
      <c r="MGB94" s="39"/>
      <c r="MGC94" s="39"/>
      <c r="MGD94" s="39"/>
      <c r="MGE94" s="39"/>
      <c r="MGF94" s="39"/>
      <c r="MGG94" s="39"/>
      <c r="MGH94" s="39"/>
      <c r="MGI94" s="39"/>
      <c r="MGJ94" s="39"/>
      <c r="MGK94" s="39"/>
      <c r="MGL94" s="39"/>
      <c r="MGM94" s="39"/>
      <c r="MGN94" s="39"/>
      <c r="MGO94" s="39"/>
      <c r="MGP94" s="39"/>
      <c r="MGQ94" s="39"/>
      <c r="MGR94" s="39"/>
      <c r="MGS94" s="39"/>
      <c r="MGT94" s="39"/>
      <c r="MGU94" s="39"/>
      <c r="MGV94" s="39"/>
      <c r="MGW94" s="39"/>
      <c r="MGX94" s="39"/>
      <c r="MGY94" s="39"/>
      <c r="MGZ94" s="39"/>
      <c r="MHA94" s="39"/>
      <c r="MHB94" s="39"/>
      <c r="MHC94" s="39"/>
      <c r="MHD94" s="39"/>
      <c r="MHE94" s="39"/>
      <c r="MHF94" s="39"/>
      <c r="MHG94" s="39"/>
      <c r="MHH94" s="39"/>
      <c r="MHI94" s="39"/>
      <c r="MHJ94" s="39"/>
      <c r="MHK94" s="39"/>
      <c r="MHL94" s="39"/>
      <c r="MHM94" s="39"/>
      <c r="MHN94" s="39"/>
      <c r="MHO94" s="39"/>
      <c r="MHP94" s="39"/>
      <c r="MHQ94" s="39"/>
      <c r="MHR94" s="39"/>
      <c r="MHS94" s="39"/>
      <c r="MHT94" s="39"/>
      <c r="MHU94" s="39"/>
      <c r="MHV94" s="39"/>
      <c r="MHW94" s="39"/>
      <c r="MHX94" s="39"/>
      <c r="MHY94" s="39"/>
      <c r="MHZ94" s="39"/>
      <c r="MIA94" s="39"/>
      <c r="MIB94" s="39"/>
      <c r="MIC94" s="39"/>
      <c r="MID94" s="39"/>
      <c r="MIE94" s="39"/>
      <c r="MIF94" s="39"/>
      <c r="MIG94" s="39"/>
      <c r="MIH94" s="39"/>
      <c r="MII94" s="39"/>
      <c r="MIJ94" s="39"/>
      <c r="MIK94" s="39"/>
      <c r="MIL94" s="39"/>
      <c r="MIM94" s="39"/>
      <c r="MIN94" s="39"/>
      <c r="MIO94" s="39"/>
      <c r="MIP94" s="39"/>
      <c r="MIQ94" s="39"/>
      <c r="MIR94" s="39"/>
      <c r="MIS94" s="39"/>
      <c r="MIT94" s="39"/>
      <c r="MIU94" s="39"/>
      <c r="MIV94" s="39"/>
      <c r="MIW94" s="39"/>
      <c r="MIX94" s="39"/>
      <c r="MIY94" s="39"/>
      <c r="MIZ94" s="39"/>
      <c r="MJA94" s="39"/>
      <c r="MJB94" s="39"/>
      <c r="MJC94" s="39"/>
      <c r="MJD94" s="39"/>
      <c r="MJE94" s="39"/>
      <c r="MJF94" s="39"/>
      <c r="MJG94" s="39"/>
      <c r="MJH94" s="39"/>
      <c r="MJI94" s="39"/>
      <c r="MJJ94" s="39"/>
      <c r="MJK94" s="39"/>
      <c r="MJL94" s="39"/>
      <c r="MJM94" s="39"/>
      <c r="MJN94" s="39"/>
      <c r="MJO94" s="39"/>
      <c r="MJP94" s="39"/>
      <c r="MJQ94" s="39"/>
      <c r="MJR94" s="39"/>
      <c r="MJS94" s="39"/>
      <c r="MJT94" s="39"/>
      <c r="MJU94" s="39"/>
      <c r="MJV94" s="39"/>
      <c r="MJW94" s="39"/>
      <c r="MJX94" s="39"/>
      <c r="MJY94" s="39"/>
      <c r="MJZ94" s="39"/>
      <c r="MKA94" s="39"/>
      <c r="MKB94" s="39"/>
      <c r="MKC94" s="39"/>
      <c r="MKD94" s="39"/>
      <c r="MKE94" s="39"/>
      <c r="MKF94" s="39"/>
      <c r="MKG94" s="39"/>
      <c r="MKH94" s="39"/>
      <c r="MKI94" s="39"/>
      <c r="MKJ94" s="39"/>
      <c r="MKK94" s="39"/>
      <c r="MKL94" s="39"/>
      <c r="MKM94" s="39"/>
      <c r="MKN94" s="39"/>
      <c r="MKO94" s="39"/>
      <c r="MKP94" s="39"/>
      <c r="MKQ94" s="39"/>
      <c r="MKR94" s="39"/>
      <c r="MKS94" s="39"/>
      <c r="MKT94" s="39"/>
      <c r="MKU94" s="39"/>
      <c r="MKV94" s="39"/>
      <c r="MKW94" s="39"/>
      <c r="MKX94" s="39"/>
      <c r="MKY94" s="39"/>
      <c r="MKZ94" s="39"/>
      <c r="MLA94" s="39"/>
      <c r="MLB94" s="39"/>
      <c r="MLC94" s="39"/>
      <c r="MLD94" s="39"/>
      <c r="MLE94" s="39"/>
      <c r="MLF94" s="39"/>
      <c r="MLG94" s="39"/>
      <c r="MLH94" s="39"/>
      <c r="MLI94" s="39"/>
      <c r="MLJ94" s="39"/>
      <c r="MLK94" s="39"/>
      <c r="MLL94" s="39"/>
      <c r="MLM94" s="39"/>
      <c r="MLN94" s="39"/>
      <c r="MLO94" s="39"/>
      <c r="MLP94" s="39"/>
      <c r="MLQ94" s="39"/>
      <c r="MLR94" s="39"/>
      <c r="MLS94" s="39"/>
      <c r="MLT94" s="39"/>
      <c r="MLU94" s="39"/>
      <c r="MLV94" s="39"/>
      <c r="MLW94" s="39"/>
      <c r="MLX94" s="39"/>
      <c r="MLY94" s="39"/>
      <c r="MLZ94" s="39"/>
      <c r="MMA94" s="39"/>
      <c r="MMB94" s="39"/>
      <c r="MMC94" s="39"/>
      <c r="MMD94" s="39"/>
      <c r="MME94" s="39"/>
      <c r="MMF94" s="39"/>
      <c r="MMG94" s="39"/>
      <c r="MMH94" s="39"/>
      <c r="MMI94" s="39"/>
      <c r="MMJ94" s="39"/>
      <c r="MMK94" s="39"/>
      <c r="MML94" s="39"/>
      <c r="MMM94" s="39"/>
      <c r="MMN94" s="39"/>
      <c r="MMO94" s="39"/>
      <c r="MMP94" s="39"/>
      <c r="MMQ94" s="39"/>
      <c r="MMR94" s="39"/>
      <c r="MMS94" s="39"/>
      <c r="MMT94" s="39"/>
      <c r="MMU94" s="39"/>
      <c r="MMV94" s="39"/>
      <c r="MMW94" s="39"/>
      <c r="MMX94" s="39"/>
      <c r="MMY94" s="39"/>
      <c r="MMZ94" s="39"/>
      <c r="MNA94" s="39"/>
      <c r="MNB94" s="39"/>
      <c r="MNC94" s="39"/>
      <c r="MND94" s="39"/>
      <c r="MNE94" s="39"/>
      <c r="MNF94" s="39"/>
      <c r="MNG94" s="39"/>
      <c r="MNH94" s="39"/>
      <c r="MNI94" s="39"/>
      <c r="MNJ94" s="39"/>
      <c r="MNK94" s="39"/>
      <c r="MNL94" s="39"/>
      <c r="MNM94" s="39"/>
      <c r="MNN94" s="39"/>
      <c r="MNO94" s="39"/>
      <c r="MNP94" s="39"/>
      <c r="MNQ94" s="39"/>
      <c r="MNR94" s="39"/>
      <c r="MNS94" s="39"/>
      <c r="MNT94" s="39"/>
      <c r="MNU94" s="39"/>
      <c r="MNV94" s="39"/>
      <c r="MNW94" s="39"/>
      <c r="MNX94" s="39"/>
      <c r="MNY94" s="39"/>
      <c r="MNZ94" s="39"/>
      <c r="MOA94" s="39"/>
      <c r="MOB94" s="39"/>
      <c r="MOC94" s="39"/>
      <c r="MOD94" s="39"/>
      <c r="MOE94" s="39"/>
      <c r="MOF94" s="39"/>
      <c r="MOG94" s="39"/>
      <c r="MOH94" s="39"/>
      <c r="MOI94" s="39"/>
      <c r="MOJ94" s="39"/>
      <c r="MOK94" s="39"/>
      <c r="MOL94" s="39"/>
      <c r="MOM94" s="39"/>
      <c r="MON94" s="39"/>
      <c r="MOO94" s="39"/>
      <c r="MOP94" s="39"/>
      <c r="MOQ94" s="39"/>
      <c r="MOR94" s="39"/>
      <c r="MOS94" s="39"/>
      <c r="MOT94" s="39"/>
      <c r="MOU94" s="39"/>
      <c r="MOV94" s="39"/>
      <c r="MOW94" s="39"/>
      <c r="MOX94" s="39"/>
      <c r="MOY94" s="39"/>
      <c r="MOZ94" s="39"/>
      <c r="MPA94" s="39"/>
      <c r="MPB94" s="39"/>
      <c r="MPC94" s="39"/>
      <c r="MPD94" s="39"/>
      <c r="MPE94" s="39"/>
      <c r="MPF94" s="39"/>
      <c r="MPG94" s="39"/>
      <c r="MPH94" s="39"/>
      <c r="MPI94" s="39"/>
      <c r="MPJ94" s="39"/>
      <c r="MPK94" s="39"/>
      <c r="MPL94" s="39"/>
      <c r="MPM94" s="39"/>
      <c r="MPN94" s="39"/>
      <c r="MPO94" s="39"/>
      <c r="MPP94" s="39"/>
      <c r="MPQ94" s="39"/>
      <c r="MPR94" s="39"/>
      <c r="MPS94" s="39"/>
      <c r="MPT94" s="39"/>
      <c r="MPU94" s="39"/>
      <c r="MPV94" s="39"/>
      <c r="MPW94" s="39"/>
      <c r="MPX94" s="39"/>
      <c r="MPY94" s="39"/>
      <c r="MPZ94" s="39"/>
      <c r="MQA94" s="39"/>
      <c r="MQB94" s="39"/>
      <c r="MQC94" s="39"/>
      <c r="MQD94" s="39"/>
      <c r="MQE94" s="39"/>
      <c r="MQF94" s="39"/>
      <c r="MQG94" s="39"/>
      <c r="MQH94" s="39"/>
      <c r="MQI94" s="39"/>
      <c r="MQJ94" s="39"/>
      <c r="MQK94" s="39"/>
      <c r="MQL94" s="39"/>
      <c r="MQM94" s="39"/>
      <c r="MQN94" s="39"/>
      <c r="MQO94" s="39"/>
      <c r="MQP94" s="39"/>
      <c r="MQQ94" s="39"/>
      <c r="MQR94" s="39"/>
      <c r="MQS94" s="39"/>
      <c r="MQT94" s="39"/>
      <c r="MQU94" s="39"/>
      <c r="MQV94" s="39"/>
      <c r="MQW94" s="39"/>
      <c r="MQX94" s="39"/>
      <c r="MQY94" s="39"/>
      <c r="MQZ94" s="39"/>
      <c r="MRA94" s="39"/>
      <c r="MRB94" s="39"/>
      <c r="MRC94" s="39"/>
      <c r="MRD94" s="39"/>
      <c r="MRE94" s="39"/>
      <c r="MRF94" s="39"/>
      <c r="MRG94" s="39"/>
      <c r="MRH94" s="39"/>
      <c r="MRI94" s="39"/>
      <c r="MRJ94" s="39"/>
      <c r="MRK94" s="39"/>
      <c r="MRL94" s="39"/>
      <c r="MRM94" s="39"/>
      <c r="MRN94" s="39"/>
      <c r="MRO94" s="39"/>
      <c r="MRP94" s="39"/>
      <c r="MRQ94" s="39"/>
      <c r="MRR94" s="39"/>
      <c r="MRS94" s="39"/>
      <c r="MRT94" s="39"/>
      <c r="MRU94" s="39"/>
      <c r="MRV94" s="39"/>
      <c r="MRW94" s="39"/>
      <c r="MRX94" s="39"/>
      <c r="MRY94" s="39"/>
      <c r="MRZ94" s="39"/>
      <c r="MSA94" s="39"/>
      <c r="MSB94" s="39"/>
      <c r="MSC94" s="39"/>
      <c r="MSD94" s="39"/>
      <c r="MSE94" s="39"/>
      <c r="MSF94" s="39"/>
      <c r="MSG94" s="39"/>
      <c r="MSH94" s="39"/>
      <c r="MSI94" s="39"/>
      <c r="MSJ94" s="39"/>
      <c r="MSK94" s="39"/>
      <c r="MSL94" s="39"/>
      <c r="MSM94" s="39"/>
      <c r="MSN94" s="39"/>
      <c r="MSO94" s="39"/>
      <c r="MSP94" s="39"/>
      <c r="MSQ94" s="39"/>
      <c r="MSR94" s="39"/>
      <c r="MSS94" s="39"/>
      <c r="MST94" s="39"/>
      <c r="MSU94" s="39"/>
      <c r="MSV94" s="39"/>
      <c r="MSW94" s="39"/>
      <c r="MSX94" s="39"/>
      <c r="MSY94" s="39"/>
      <c r="MSZ94" s="39"/>
      <c r="MTA94" s="39"/>
      <c r="MTB94" s="39"/>
      <c r="MTC94" s="39"/>
      <c r="MTD94" s="39"/>
      <c r="MTE94" s="39"/>
      <c r="MTF94" s="39"/>
      <c r="MTG94" s="39"/>
      <c r="MTH94" s="39"/>
      <c r="MTI94" s="39"/>
      <c r="MTJ94" s="39"/>
      <c r="MTK94" s="39"/>
      <c r="MTL94" s="39"/>
      <c r="MTM94" s="39"/>
      <c r="MTN94" s="39"/>
      <c r="MTO94" s="39"/>
      <c r="MTP94" s="39"/>
      <c r="MTQ94" s="39"/>
      <c r="MTR94" s="39"/>
      <c r="MTS94" s="39"/>
      <c r="MTT94" s="39"/>
      <c r="MTU94" s="39"/>
      <c r="MTV94" s="39"/>
      <c r="MTW94" s="39"/>
      <c r="MTX94" s="39"/>
      <c r="MTY94" s="39"/>
      <c r="MTZ94" s="39"/>
      <c r="MUA94" s="39"/>
      <c r="MUB94" s="39"/>
      <c r="MUC94" s="39"/>
      <c r="MUD94" s="39"/>
      <c r="MUE94" s="39"/>
      <c r="MUF94" s="39"/>
      <c r="MUG94" s="39"/>
      <c r="MUH94" s="39"/>
      <c r="MUI94" s="39"/>
      <c r="MUJ94" s="39"/>
      <c r="MUK94" s="39"/>
      <c r="MUL94" s="39"/>
      <c r="MUM94" s="39"/>
      <c r="MUN94" s="39"/>
      <c r="MUO94" s="39"/>
      <c r="MUP94" s="39"/>
      <c r="MUQ94" s="39"/>
      <c r="MUR94" s="39"/>
      <c r="MUS94" s="39"/>
      <c r="MUT94" s="39"/>
      <c r="MUU94" s="39"/>
      <c r="MUV94" s="39"/>
      <c r="MUW94" s="39"/>
      <c r="MUX94" s="39"/>
      <c r="MUY94" s="39"/>
      <c r="MUZ94" s="39"/>
      <c r="MVA94" s="39"/>
      <c r="MVB94" s="39"/>
      <c r="MVC94" s="39"/>
      <c r="MVD94" s="39"/>
      <c r="MVE94" s="39"/>
      <c r="MVF94" s="39"/>
      <c r="MVG94" s="39"/>
      <c r="MVH94" s="39"/>
      <c r="MVI94" s="39"/>
      <c r="MVJ94" s="39"/>
      <c r="MVK94" s="39"/>
      <c r="MVL94" s="39"/>
      <c r="MVM94" s="39"/>
      <c r="MVN94" s="39"/>
      <c r="MVO94" s="39"/>
      <c r="MVP94" s="39"/>
      <c r="MVQ94" s="39"/>
      <c r="MVR94" s="39"/>
      <c r="MVS94" s="39"/>
      <c r="MVT94" s="39"/>
      <c r="MVU94" s="39"/>
      <c r="MVV94" s="39"/>
      <c r="MVW94" s="39"/>
      <c r="MVX94" s="39"/>
      <c r="MVY94" s="39"/>
      <c r="MVZ94" s="39"/>
      <c r="MWA94" s="39"/>
      <c r="MWB94" s="39"/>
      <c r="MWC94" s="39"/>
      <c r="MWD94" s="39"/>
      <c r="MWE94" s="39"/>
      <c r="MWF94" s="39"/>
      <c r="MWG94" s="39"/>
      <c r="MWH94" s="39"/>
      <c r="MWI94" s="39"/>
      <c r="MWJ94" s="39"/>
      <c r="MWK94" s="39"/>
      <c r="MWL94" s="39"/>
      <c r="MWM94" s="39"/>
      <c r="MWN94" s="39"/>
      <c r="MWO94" s="39"/>
      <c r="MWP94" s="39"/>
      <c r="MWQ94" s="39"/>
      <c r="MWR94" s="39"/>
      <c r="MWS94" s="39"/>
      <c r="MWT94" s="39"/>
      <c r="MWU94" s="39"/>
      <c r="MWV94" s="39"/>
      <c r="MWW94" s="39"/>
      <c r="MWX94" s="39"/>
      <c r="MWY94" s="39"/>
      <c r="MWZ94" s="39"/>
      <c r="MXA94" s="39"/>
      <c r="MXB94" s="39"/>
      <c r="MXC94" s="39"/>
      <c r="MXD94" s="39"/>
      <c r="MXE94" s="39"/>
      <c r="MXF94" s="39"/>
      <c r="MXG94" s="39"/>
      <c r="MXH94" s="39"/>
      <c r="MXI94" s="39"/>
      <c r="MXJ94" s="39"/>
      <c r="MXK94" s="39"/>
      <c r="MXL94" s="39"/>
      <c r="MXM94" s="39"/>
      <c r="MXN94" s="39"/>
      <c r="MXO94" s="39"/>
      <c r="MXP94" s="39"/>
      <c r="MXQ94" s="39"/>
      <c r="MXR94" s="39"/>
      <c r="MXS94" s="39"/>
      <c r="MXT94" s="39"/>
      <c r="MXU94" s="39"/>
      <c r="MXV94" s="39"/>
      <c r="MXW94" s="39"/>
      <c r="MXX94" s="39"/>
      <c r="MXY94" s="39"/>
      <c r="MXZ94" s="39"/>
      <c r="MYA94" s="39"/>
      <c r="MYB94" s="39"/>
      <c r="MYC94" s="39"/>
      <c r="MYD94" s="39"/>
      <c r="MYE94" s="39"/>
      <c r="MYF94" s="39"/>
      <c r="MYG94" s="39"/>
      <c r="MYH94" s="39"/>
      <c r="MYI94" s="39"/>
      <c r="MYJ94" s="39"/>
      <c r="MYK94" s="39"/>
      <c r="MYL94" s="39"/>
      <c r="MYM94" s="39"/>
      <c r="MYN94" s="39"/>
      <c r="MYO94" s="39"/>
      <c r="MYP94" s="39"/>
      <c r="MYQ94" s="39"/>
      <c r="MYR94" s="39"/>
      <c r="MYS94" s="39"/>
      <c r="MYT94" s="39"/>
      <c r="MYU94" s="39"/>
      <c r="MYV94" s="39"/>
      <c r="MYW94" s="39"/>
      <c r="MYX94" s="39"/>
      <c r="MYY94" s="39"/>
      <c r="MYZ94" s="39"/>
      <c r="MZA94" s="39"/>
      <c r="MZB94" s="39"/>
      <c r="MZC94" s="39"/>
      <c r="MZD94" s="39"/>
      <c r="MZE94" s="39"/>
      <c r="MZF94" s="39"/>
      <c r="MZG94" s="39"/>
      <c r="MZH94" s="39"/>
      <c r="MZI94" s="39"/>
      <c r="MZJ94" s="39"/>
      <c r="MZK94" s="39"/>
      <c r="MZL94" s="39"/>
      <c r="MZM94" s="39"/>
      <c r="MZN94" s="39"/>
      <c r="MZO94" s="39"/>
      <c r="MZP94" s="39"/>
      <c r="MZQ94" s="39"/>
      <c r="MZR94" s="39"/>
      <c r="MZS94" s="39"/>
      <c r="MZT94" s="39"/>
      <c r="MZU94" s="39"/>
      <c r="MZV94" s="39"/>
      <c r="MZW94" s="39"/>
      <c r="MZX94" s="39"/>
      <c r="MZY94" s="39"/>
      <c r="MZZ94" s="39"/>
      <c r="NAA94" s="39"/>
      <c r="NAB94" s="39"/>
      <c r="NAC94" s="39"/>
      <c r="NAD94" s="39"/>
      <c r="NAE94" s="39"/>
      <c r="NAF94" s="39"/>
      <c r="NAG94" s="39"/>
      <c r="NAH94" s="39"/>
      <c r="NAI94" s="39"/>
      <c r="NAJ94" s="39"/>
      <c r="NAK94" s="39"/>
      <c r="NAL94" s="39"/>
      <c r="NAM94" s="39"/>
      <c r="NAN94" s="39"/>
      <c r="NAO94" s="39"/>
      <c r="NAP94" s="39"/>
      <c r="NAQ94" s="39"/>
      <c r="NAR94" s="39"/>
      <c r="NAS94" s="39"/>
      <c r="NAT94" s="39"/>
      <c r="NAU94" s="39"/>
      <c r="NAV94" s="39"/>
      <c r="NAW94" s="39"/>
      <c r="NAX94" s="39"/>
      <c r="NAY94" s="39"/>
      <c r="NAZ94" s="39"/>
      <c r="NBA94" s="39"/>
      <c r="NBB94" s="39"/>
      <c r="NBC94" s="39"/>
      <c r="NBD94" s="39"/>
      <c r="NBE94" s="39"/>
      <c r="NBF94" s="39"/>
      <c r="NBG94" s="39"/>
      <c r="NBH94" s="39"/>
      <c r="NBI94" s="39"/>
      <c r="NBJ94" s="39"/>
      <c r="NBK94" s="39"/>
      <c r="NBL94" s="39"/>
      <c r="NBM94" s="39"/>
      <c r="NBN94" s="39"/>
      <c r="NBO94" s="39"/>
      <c r="NBP94" s="39"/>
      <c r="NBQ94" s="39"/>
      <c r="NBR94" s="39"/>
      <c r="NBS94" s="39"/>
      <c r="NBT94" s="39"/>
      <c r="NBU94" s="39"/>
      <c r="NBV94" s="39"/>
      <c r="NBW94" s="39"/>
      <c r="NBX94" s="39"/>
      <c r="NBY94" s="39"/>
      <c r="NBZ94" s="39"/>
      <c r="NCA94" s="39"/>
      <c r="NCB94" s="39"/>
      <c r="NCC94" s="39"/>
      <c r="NCD94" s="39"/>
      <c r="NCE94" s="39"/>
      <c r="NCF94" s="39"/>
      <c r="NCG94" s="39"/>
      <c r="NCH94" s="39"/>
      <c r="NCI94" s="39"/>
      <c r="NCJ94" s="39"/>
      <c r="NCK94" s="39"/>
      <c r="NCL94" s="39"/>
      <c r="NCM94" s="39"/>
      <c r="NCN94" s="39"/>
      <c r="NCO94" s="39"/>
      <c r="NCP94" s="39"/>
      <c r="NCQ94" s="39"/>
      <c r="NCR94" s="39"/>
      <c r="NCS94" s="39"/>
      <c r="NCT94" s="39"/>
      <c r="NCU94" s="39"/>
      <c r="NCV94" s="39"/>
      <c r="NCW94" s="39"/>
      <c r="NCX94" s="39"/>
      <c r="NCY94" s="39"/>
      <c r="NCZ94" s="39"/>
      <c r="NDA94" s="39"/>
      <c r="NDB94" s="39"/>
      <c r="NDC94" s="39"/>
      <c r="NDD94" s="39"/>
      <c r="NDE94" s="39"/>
      <c r="NDF94" s="39"/>
      <c r="NDG94" s="39"/>
      <c r="NDH94" s="39"/>
      <c r="NDI94" s="39"/>
      <c r="NDJ94" s="39"/>
      <c r="NDK94" s="39"/>
      <c r="NDL94" s="39"/>
      <c r="NDM94" s="39"/>
      <c r="NDN94" s="39"/>
      <c r="NDO94" s="39"/>
      <c r="NDP94" s="39"/>
      <c r="NDQ94" s="39"/>
      <c r="NDR94" s="39"/>
      <c r="NDS94" s="39"/>
      <c r="NDT94" s="39"/>
      <c r="NDU94" s="39"/>
      <c r="NDV94" s="39"/>
      <c r="NDW94" s="39"/>
      <c r="NDX94" s="39"/>
      <c r="NDY94" s="39"/>
      <c r="NDZ94" s="39"/>
      <c r="NEA94" s="39"/>
      <c r="NEB94" s="39"/>
      <c r="NEC94" s="39"/>
      <c r="NED94" s="39"/>
      <c r="NEE94" s="39"/>
      <c r="NEF94" s="39"/>
      <c r="NEG94" s="39"/>
      <c r="NEH94" s="39"/>
      <c r="NEI94" s="39"/>
      <c r="NEJ94" s="39"/>
      <c r="NEK94" s="39"/>
      <c r="NEL94" s="39"/>
      <c r="NEM94" s="39"/>
      <c r="NEN94" s="39"/>
      <c r="NEO94" s="39"/>
      <c r="NEP94" s="39"/>
      <c r="NEQ94" s="39"/>
      <c r="NER94" s="39"/>
      <c r="NES94" s="39"/>
      <c r="NET94" s="39"/>
      <c r="NEU94" s="39"/>
      <c r="NEV94" s="39"/>
      <c r="NEW94" s="39"/>
      <c r="NEX94" s="39"/>
      <c r="NEY94" s="39"/>
      <c r="NEZ94" s="39"/>
      <c r="NFA94" s="39"/>
      <c r="NFB94" s="39"/>
      <c r="NFC94" s="39"/>
      <c r="NFD94" s="39"/>
      <c r="NFE94" s="39"/>
      <c r="NFF94" s="39"/>
      <c r="NFG94" s="39"/>
      <c r="NFH94" s="39"/>
      <c r="NFI94" s="39"/>
      <c r="NFJ94" s="39"/>
      <c r="NFK94" s="39"/>
      <c r="NFL94" s="39"/>
      <c r="NFM94" s="39"/>
      <c r="NFN94" s="39"/>
      <c r="NFO94" s="39"/>
      <c r="NFP94" s="39"/>
      <c r="NFQ94" s="39"/>
      <c r="NFR94" s="39"/>
      <c r="NFS94" s="39"/>
      <c r="NFT94" s="39"/>
      <c r="NFU94" s="39"/>
      <c r="NFV94" s="39"/>
      <c r="NFW94" s="39"/>
      <c r="NFX94" s="39"/>
      <c r="NFY94" s="39"/>
      <c r="NFZ94" s="39"/>
      <c r="NGA94" s="39"/>
      <c r="NGB94" s="39"/>
      <c r="NGC94" s="39"/>
      <c r="NGD94" s="39"/>
      <c r="NGE94" s="39"/>
      <c r="NGF94" s="39"/>
      <c r="NGG94" s="39"/>
      <c r="NGH94" s="39"/>
      <c r="NGI94" s="39"/>
      <c r="NGJ94" s="39"/>
      <c r="NGK94" s="39"/>
      <c r="NGL94" s="39"/>
      <c r="NGM94" s="39"/>
      <c r="NGN94" s="39"/>
      <c r="NGO94" s="39"/>
      <c r="NGP94" s="39"/>
      <c r="NGQ94" s="39"/>
      <c r="NGR94" s="39"/>
      <c r="NGS94" s="39"/>
      <c r="NGT94" s="39"/>
      <c r="NGU94" s="39"/>
      <c r="NGV94" s="39"/>
      <c r="NGW94" s="39"/>
      <c r="NGX94" s="39"/>
      <c r="NGY94" s="39"/>
      <c r="NGZ94" s="39"/>
      <c r="NHA94" s="39"/>
      <c r="NHB94" s="39"/>
      <c r="NHC94" s="39"/>
      <c r="NHD94" s="39"/>
      <c r="NHE94" s="39"/>
      <c r="NHF94" s="39"/>
      <c r="NHG94" s="39"/>
      <c r="NHH94" s="39"/>
      <c r="NHI94" s="39"/>
      <c r="NHJ94" s="39"/>
      <c r="NHK94" s="39"/>
      <c r="NHL94" s="39"/>
      <c r="NHM94" s="39"/>
      <c r="NHN94" s="39"/>
      <c r="NHO94" s="39"/>
      <c r="NHP94" s="39"/>
      <c r="NHQ94" s="39"/>
      <c r="NHR94" s="39"/>
      <c r="NHS94" s="39"/>
      <c r="NHT94" s="39"/>
      <c r="NHU94" s="39"/>
      <c r="NHV94" s="39"/>
      <c r="NHW94" s="39"/>
      <c r="NHX94" s="39"/>
      <c r="NHY94" s="39"/>
      <c r="NHZ94" s="39"/>
      <c r="NIA94" s="39"/>
      <c r="NIB94" s="39"/>
      <c r="NIC94" s="39"/>
      <c r="NID94" s="39"/>
      <c r="NIE94" s="39"/>
      <c r="NIF94" s="39"/>
      <c r="NIG94" s="39"/>
      <c r="NIH94" s="39"/>
      <c r="NII94" s="39"/>
      <c r="NIJ94" s="39"/>
      <c r="NIK94" s="39"/>
      <c r="NIL94" s="39"/>
      <c r="NIM94" s="39"/>
      <c r="NIN94" s="39"/>
      <c r="NIO94" s="39"/>
      <c r="NIP94" s="39"/>
      <c r="NIQ94" s="39"/>
      <c r="NIR94" s="39"/>
      <c r="NIS94" s="39"/>
      <c r="NIT94" s="39"/>
      <c r="NIU94" s="39"/>
      <c r="NIV94" s="39"/>
      <c r="NIW94" s="39"/>
      <c r="NIX94" s="39"/>
      <c r="NIY94" s="39"/>
      <c r="NIZ94" s="39"/>
      <c r="NJA94" s="39"/>
      <c r="NJB94" s="39"/>
      <c r="NJC94" s="39"/>
      <c r="NJD94" s="39"/>
      <c r="NJE94" s="39"/>
      <c r="NJF94" s="39"/>
      <c r="NJG94" s="39"/>
      <c r="NJH94" s="39"/>
      <c r="NJI94" s="39"/>
      <c r="NJJ94" s="39"/>
      <c r="NJK94" s="39"/>
      <c r="NJL94" s="39"/>
      <c r="NJM94" s="39"/>
      <c r="NJN94" s="39"/>
      <c r="NJO94" s="39"/>
      <c r="NJP94" s="39"/>
      <c r="NJQ94" s="39"/>
      <c r="NJR94" s="39"/>
      <c r="NJS94" s="39"/>
      <c r="NJT94" s="39"/>
      <c r="NJU94" s="39"/>
      <c r="NJV94" s="39"/>
      <c r="NJW94" s="39"/>
      <c r="NJX94" s="39"/>
      <c r="NJY94" s="39"/>
      <c r="NJZ94" s="39"/>
      <c r="NKA94" s="39"/>
      <c r="NKB94" s="39"/>
      <c r="NKC94" s="39"/>
      <c r="NKD94" s="39"/>
      <c r="NKE94" s="39"/>
      <c r="NKF94" s="39"/>
      <c r="NKG94" s="39"/>
      <c r="NKH94" s="39"/>
      <c r="NKI94" s="39"/>
      <c r="NKJ94" s="39"/>
      <c r="NKK94" s="39"/>
      <c r="NKL94" s="39"/>
      <c r="NKM94" s="39"/>
      <c r="NKN94" s="39"/>
      <c r="NKO94" s="39"/>
      <c r="NKP94" s="39"/>
      <c r="NKQ94" s="39"/>
      <c r="NKR94" s="39"/>
      <c r="NKS94" s="39"/>
      <c r="NKT94" s="39"/>
      <c r="NKU94" s="39"/>
      <c r="NKV94" s="39"/>
      <c r="NKW94" s="39"/>
      <c r="NKX94" s="39"/>
      <c r="NKY94" s="39"/>
      <c r="NKZ94" s="39"/>
      <c r="NLA94" s="39"/>
      <c r="NLB94" s="39"/>
      <c r="NLC94" s="39"/>
      <c r="NLD94" s="39"/>
      <c r="NLE94" s="39"/>
      <c r="NLF94" s="39"/>
      <c r="NLG94" s="39"/>
      <c r="NLH94" s="39"/>
      <c r="NLI94" s="39"/>
      <c r="NLJ94" s="39"/>
      <c r="NLK94" s="39"/>
      <c r="NLL94" s="39"/>
      <c r="NLM94" s="39"/>
      <c r="NLN94" s="39"/>
      <c r="NLO94" s="39"/>
      <c r="NLP94" s="39"/>
      <c r="NLQ94" s="39"/>
      <c r="NLR94" s="39"/>
      <c r="NLS94" s="39"/>
      <c r="NLT94" s="39"/>
      <c r="NLU94" s="39"/>
      <c r="NLV94" s="39"/>
      <c r="NLW94" s="39"/>
      <c r="NLX94" s="39"/>
      <c r="NLY94" s="39"/>
      <c r="NLZ94" s="39"/>
      <c r="NMA94" s="39"/>
      <c r="NMB94" s="39"/>
      <c r="NMC94" s="39"/>
      <c r="NMD94" s="39"/>
      <c r="NME94" s="39"/>
      <c r="NMF94" s="39"/>
      <c r="NMG94" s="39"/>
      <c r="NMH94" s="39"/>
      <c r="NMI94" s="39"/>
      <c r="NMJ94" s="39"/>
      <c r="NMK94" s="39"/>
      <c r="NML94" s="39"/>
      <c r="NMM94" s="39"/>
      <c r="NMN94" s="39"/>
      <c r="NMO94" s="39"/>
      <c r="NMP94" s="39"/>
      <c r="NMQ94" s="39"/>
      <c r="NMR94" s="39"/>
      <c r="NMS94" s="39"/>
      <c r="NMT94" s="39"/>
      <c r="NMU94" s="39"/>
      <c r="NMV94" s="39"/>
      <c r="NMW94" s="39"/>
      <c r="NMX94" s="39"/>
      <c r="NMY94" s="39"/>
      <c r="NMZ94" s="39"/>
      <c r="NNA94" s="39"/>
      <c r="NNB94" s="39"/>
      <c r="NNC94" s="39"/>
      <c r="NND94" s="39"/>
      <c r="NNE94" s="39"/>
      <c r="NNF94" s="39"/>
      <c r="NNG94" s="39"/>
      <c r="NNH94" s="39"/>
      <c r="NNI94" s="39"/>
      <c r="NNJ94" s="39"/>
      <c r="NNK94" s="39"/>
      <c r="NNL94" s="39"/>
      <c r="NNM94" s="39"/>
      <c r="NNN94" s="39"/>
      <c r="NNO94" s="39"/>
      <c r="NNP94" s="39"/>
      <c r="NNQ94" s="39"/>
      <c r="NNR94" s="39"/>
      <c r="NNS94" s="39"/>
      <c r="NNT94" s="39"/>
      <c r="NNU94" s="39"/>
      <c r="NNV94" s="39"/>
      <c r="NNW94" s="39"/>
      <c r="NNX94" s="39"/>
      <c r="NNY94" s="39"/>
      <c r="NNZ94" s="39"/>
      <c r="NOA94" s="39"/>
      <c r="NOB94" s="39"/>
      <c r="NOC94" s="39"/>
      <c r="NOD94" s="39"/>
      <c r="NOE94" s="39"/>
      <c r="NOF94" s="39"/>
      <c r="NOG94" s="39"/>
      <c r="NOH94" s="39"/>
      <c r="NOI94" s="39"/>
      <c r="NOJ94" s="39"/>
      <c r="NOK94" s="39"/>
      <c r="NOL94" s="39"/>
      <c r="NOM94" s="39"/>
      <c r="NON94" s="39"/>
      <c r="NOO94" s="39"/>
      <c r="NOP94" s="39"/>
      <c r="NOQ94" s="39"/>
      <c r="NOR94" s="39"/>
      <c r="NOS94" s="39"/>
      <c r="NOT94" s="39"/>
      <c r="NOU94" s="39"/>
      <c r="NOV94" s="39"/>
      <c r="NOW94" s="39"/>
      <c r="NOX94" s="39"/>
      <c r="NOY94" s="39"/>
      <c r="NOZ94" s="39"/>
      <c r="NPA94" s="39"/>
      <c r="NPB94" s="39"/>
      <c r="NPC94" s="39"/>
      <c r="NPD94" s="39"/>
      <c r="NPE94" s="39"/>
      <c r="NPF94" s="39"/>
      <c r="NPG94" s="39"/>
      <c r="NPH94" s="39"/>
      <c r="NPI94" s="39"/>
      <c r="NPJ94" s="39"/>
      <c r="NPK94" s="39"/>
      <c r="NPL94" s="39"/>
      <c r="NPM94" s="39"/>
      <c r="NPN94" s="39"/>
      <c r="NPO94" s="39"/>
      <c r="NPP94" s="39"/>
      <c r="NPQ94" s="39"/>
      <c r="NPR94" s="39"/>
      <c r="NPS94" s="39"/>
      <c r="NPT94" s="39"/>
      <c r="NPU94" s="39"/>
      <c r="NPV94" s="39"/>
      <c r="NPW94" s="39"/>
      <c r="NPX94" s="39"/>
      <c r="NPY94" s="39"/>
      <c r="NPZ94" s="39"/>
      <c r="NQA94" s="39"/>
      <c r="NQB94" s="39"/>
      <c r="NQC94" s="39"/>
      <c r="NQD94" s="39"/>
      <c r="NQE94" s="39"/>
      <c r="NQF94" s="39"/>
      <c r="NQG94" s="39"/>
      <c r="NQH94" s="39"/>
      <c r="NQI94" s="39"/>
      <c r="NQJ94" s="39"/>
      <c r="NQK94" s="39"/>
      <c r="NQL94" s="39"/>
      <c r="NQM94" s="39"/>
      <c r="NQN94" s="39"/>
      <c r="NQO94" s="39"/>
      <c r="NQP94" s="39"/>
      <c r="NQQ94" s="39"/>
      <c r="NQR94" s="39"/>
      <c r="NQS94" s="39"/>
      <c r="NQT94" s="39"/>
      <c r="NQU94" s="39"/>
      <c r="NQV94" s="39"/>
      <c r="NQW94" s="39"/>
      <c r="NQX94" s="39"/>
      <c r="NQY94" s="39"/>
      <c r="NQZ94" s="39"/>
      <c r="NRA94" s="39"/>
      <c r="NRB94" s="39"/>
      <c r="NRC94" s="39"/>
      <c r="NRD94" s="39"/>
      <c r="NRE94" s="39"/>
      <c r="NRF94" s="39"/>
      <c r="NRG94" s="39"/>
      <c r="NRH94" s="39"/>
      <c r="NRI94" s="39"/>
      <c r="NRJ94" s="39"/>
      <c r="NRK94" s="39"/>
      <c r="NRL94" s="39"/>
      <c r="NRM94" s="39"/>
      <c r="NRN94" s="39"/>
      <c r="NRO94" s="39"/>
      <c r="NRP94" s="39"/>
      <c r="NRQ94" s="39"/>
      <c r="NRR94" s="39"/>
      <c r="NRS94" s="39"/>
      <c r="NRT94" s="39"/>
      <c r="NRU94" s="39"/>
      <c r="NRV94" s="39"/>
      <c r="NRW94" s="39"/>
      <c r="NRX94" s="39"/>
      <c r="NRY94" s="39"/>
      <c r="NRZ94" s="39"/>
      <c r="NSA94" s="39"/>
      <c r="NSB94" s="39"/>
      <c r="NSC94" s="39"/>
      <c r="NSD94" s="39"/>
      <c r="NSE94" s="39"/>
      <c r="NSF94" s="39"/>
      <c r="NSG94" s="39"/>
      <c r="NSH94" s="39"/>
      <c r="NSI94" s="39"/>
      <c r="NSJ94" s="39"/>
      <c r="NSK94" s="39"/>
      <c r="NSL94" s="39"/>
      <c r="NSM94" s="39"/>
      <c r="NSN94" s="39"/>
      <c r="NSO94" s="39"/>
      <c r="NSP94" s="39"/>
      <c r="NSQ94" s="39"/>
      <c r="NSR94" s="39"/>
      <c r="NSS94" s="39"/>
      <c r="NST94" s="39"/>
      <c r="NSU94" s="39"/>
      <c r="NSV94" s="39"/>
      <c r="NSW94" s="39"/>
      <c r="NSX94" s="39"/>
      <c r="NSY94" s="39"/>
      <c r="NSZ94" s="39"/>
      <c r="NTA94" s="39"/>
      <c r="NTB94" s="39"/>
      <c r="NTC94" s="39"/>
      <c r="NTD94" s="39"/>
      <c r="NTE94" s="39"/>
      <c r="NTF94" s="39"/>
      <c r="NTG94" s="39"/>
      <c r="NTH94" s="39"/>
      <c r="NTI94" s="39"/>
      <c r="NTJ94" s="39"/>
      <c r="NTK94" s="39"/>
      <c r="NTL94" s="39"/>
      <c r="NTM94" s="39"/>
      <c r="NTN94" s="39"/>
      <c r="NTO94" s="39"/>
      <c r="NTP94" s="39"/>
      <c r="NTQ94" s="39"/>
      <c r="NTR94" s="39"/>
      <c r="NTS94" s="39"/>
      <c r="NTT94" s="39"/>
      <c r="NTU94" s="39"/>
      <c r="NTV94" s="39"/>
      <c r="NTW94" s="39"/>
      <c r="NTX94" s="39"/>
      <c r="NTY94" s="39"/>
      <c r="NTZ94" s="39"/>
      <c r="NUA94" s="39"/>
      <c r="NUB94" s="39"/>
      <c r="NUC94" s="39"/>
      <c r="NUD94" s="39"/>
      <c r="NUE94" s="39"/>
      <c r="NUF94" s="39"/>
      <c r="NUG94" s="39"/>
      <c r="NUH94" s="39"/>
      <c r="NUI94" s="39"/>
      <c r="NUJ94" s="39"/>
      <c r="NUK94" s="39"/>
      <c r="NUL94" s="39"/>
      <c r="NUM94" s="39"/>
      <c r="NUN94" s="39"/>
      <c r="NUO94" s="39"/>
      <c r="NUP94" s="39"/>
      <c r="NUQ94" s="39"/>
      <c r="NUR94" s="39"/>
      <c r="NUS94" s="39"/>
      <c r="NUT94" s="39"/>
      <c r="NUU94" s="39"/>
      <c r="NUV94" s="39"/>
      <c r="NUW94" s="39"/>
      <c r="NUX94" s="39"/>
      <c r="NUY94" s="39"/>
      <c r="NUZ94" s="39"/>
      <c r="NVA94" s="39"/>
      <c r="NVB94" s="39"/>
      <c r="NVC94" s="39"/>
      <c r="NVD94" s="39"/>
      <c r="NVE94" s="39"/>
      <c r="NVF94" s="39"/>
      <c r="NVG94" s="39"/>
      <c r="NVH94" s="39"/>
      <c r="NVI94" s="39"/>
      <c r="NVJ94" s="39"/>
      <c r="NVK94" s="39"/>
      <c r="NVL94" s="39"/>
      <c r="NVM94" s="39"/>
      <c r="NVN94" s="39"/>
      <c r="NVO94" s="39"/>
      <c r="NVP94" s="39"/>
      <c r="NVQ94" s="39"/>
      <c r="NVR94" s="39"/>
      <c r="NVS94" s="39"/>
      <c r="NVT94" s="39"/>
      <c r="NVU94" s="39"/>
      <c r="NVV94" s="39"/>
      <c r="NVW94" s="39"/>
      <c r="NVX94" s="39"/>
      <c r="NVY94" s="39"/>
      <c r="NVZ94" s="39"/>
      <c r="NWA94" s="39"/>
      <c r="NWB94" s="39"/>
      <c r="NWC94" s="39"/>
      <c r="NWD94" s="39"/>
      <c r="NWE94" s="39"/>
      <c r="NWF94" s="39"/>
      <c r="NWG94" s="39"/>
      <c r="NWH94" s="39"/>
      <c r="NWI94" s="39"/>
      <c r="NWJ94" s="39"/>
      <c r="NWK94" s="39"/>
      <c r="NWL94" s="39"/>
      <c r="NWM94" s="39"/>
      <c r="NWN94" s="39"/>
      <c r="NWO94" s="39"/>
      <c r="NWP94" s="39"/>
      <c r="NWQ94" s="39"/>
      <c r="NWR94" s="39"/>
      <c r="NWS94" s="39"/>
      <c r="NWT94" s="39"/>
      <c r="NWU94" s="39"/>
      <c r="NWV94" s="39"/>
      <c r="NWW94" s="39"/>
      <c r="NWX94" s="39"/>
      <c r="NWY94" s="39"/>
      <c r="NWZ94" s="39"/>
      <c r="NXA94" s="39"/>
      <c r="NXB94" s="39"/>
      <c r="NXC94" s="39"/>
      <c r="NXD94" s="39"/>
      <c r="NXE94" s="39"/>
      <c r="NXF94" s="39"/>
      <c r="NXG94" s="39"/>
      <c r="NXH94" s="39"/>
      <c r="NXI94" s="39"/>
      <c r="NXJ94" s="39"/>
      <c r="NXK94" s="39"/>
      <c r="NXL94" s="39"/>
      <c r="NXM94" s="39"/>
      <c r="NXN94" s="39"/>
      <c r="NXO94" s="39"/>
      <c r="NXP94" s="39"/>
      <c r="NXQ94" s="39"/>
      <c r="NXR94" s="39"/>
      <c r="NXS94" s="39"/>
      <c r="NXT94" s="39"/>
      <c r="NXU94" s="39"/>
      <c r="NXV94" s="39"/>
      <c r="NXW94" s="39"/>
      <c r="NXX94" s="39"/>
      <c r="NXY94" s="39"/>
      <c r="NXZ94" s="39"/>
      <c r="NYA94" s="39"/>
      <c r="NYB94" s="39"/>
      <c r="NYC94" s="39"/>
      <c r="NYD94" s="39"/>
      <c r="NYE94" s="39"/>
      <c r="NYF94" s="39"/>
      <c r="NYG94" s="39"/>
      <c r="NYH94" s="39"/>
      <c r="NYI94" s="39"/>
      <c r="NYJ94" s="39"/>
      <c r="NYK94" s="39"/>
      <c r="NYL94" s="39"/>
      <c r="NYM94" s="39"/>
      <c r="NYN94" s="39"/>
      <c r="NYO94" s="39"/>
      <c r="NYP94" s="39"/>
      <c r="NYQ94" s="39"/>
      <c r="NYR94" s="39"/>
      <c r="NYS94" s="39"/>
      <c r="NYT94" s="39"/>
      <c r="NYU94" s="39"/>
      <c r="NYV94" s="39"/>
      <c r="NYW94" s="39"/>
      <c r="NYX94" s="39"/>
      <c r="NYY94" s="39"/>
      <c r="NYZ94" s="39"/>
      <c r="NZA94" s="39"/>
      <c r="NZB94" s="39"/>
      <c r="NZC94" s="39"/>
      <c r="NZD94" s="39"/>
      <c r="NZE94" s="39"/>
      <c r="NZF94" s="39"/>
      <c r="NZG94" s="39"/>
      <c r="NZH94" s="39"/>
      <c r="NZI94" s="39"/>
      <c r="NZJ94" s="39"/>
      <c r="NZK94" s="39"/>
      <c r="NZL94" s="39"/>
      <c r="NZM94" s="39"/>
      <c r="NZN94" s="39"/>
      <c r="NZO94" s="39"/>
      <c r="NZP94" s="39"/>
      <c r="NZQ94" s="39"/>
      <c r="NZR94" s="39"/>
      <c r="NZS94" s="39"/>
      <c r="NZT94" s="39"/>
      <c r="NZU94" s="39"/>
      <c r="NZV94" s="39"/>
      <c r="NZW94" s="39"/>
      <c r="NZX94" s="39"/>
      <c r="NZY94" s="39"/>
      <c r="NZZ94" s="39"/>
      <c r="OAA94" s="39"/>
      <c r="OAB94" s="39"/>
      <c r="OAC94" s="39"/>
      <c r="OAD94" s="39"/>
      <c r="OAE94" s="39"/>
      <c r="OAF94" s="39"/>
      <c r="OAG94" s="39"/>
      <c r="OAH94" s="39"/>
      <c r="OAI94" s="39"/>
      <c r="OAJ94" s="39"/>
      <c r="OAK94" s="39"/>
      <c r="OAL94" s="39"/>
      <c r="OAM94" s="39"/>
      <c r="OAN94" s="39"/>
      <c r="OAO94" s="39"/>
      <c r="OAP94" s="39"/>
      <c r="OAQ94" s="39"/>
      <c r="OAR94" s="39"/>
      <c r="OAS94" s="39"/>
      <c r="OAT94" s="39"/>
      <c r="OAU94" s="39"/>
      <c r="OAV94" s="39"/>
      <c r="OAW94" s="39"/>
      <c r="OAX94" s="39"/>
      <c r="OAY94" s="39"/>
      <c r="OAZ94" s="39"/>
      <c r="OBA94" s="39"/>
      <c r="OBB94" s="39"/>
      <c r="OBC94" s="39"/>
      <c r="OBD94" s="39"/>
      <c r="OBE94" s="39"/>
      <c r="OBF94" s="39"/>
      <c r="OBG94" s="39"/>
      <c r="OBH94" s="39"/>
      <c r="OBI94" s="39"/>
      <c r="OBJ94" s="39"/>
      <c r="OBK94" s="39"/>
      <c r="OBL94" s="39"/>
      <c r="OBM94" s="39"/>
      <c r="OBN94" s="39"/>
      <c r="OBO94" s="39"/>
      <c r="OBP94" s="39"/>
      <c r="OBQ94" s="39"/>
      <c r="OBR94" s="39"/>
      <c r="OBS94" s="39"/>
      <c r="OBT94" s="39"/>
      <c r="OBU94" s="39"/>
      <c r="OBV94" s="39"/>
      <c r="OBW94" s="39"/>
      <c r="OBX94" s="39"/>
      <c r="OBY94" s="39"/>
      <c r="OBZ94" s="39"/>
      <c r="OCA94" s="39"/>
      <c r="OCB94" s="39"/>
      <c r="OCC94" s="39"/>
      <c r="OCD94" s="39"/>
      <c r="OCE94" s="39"/>
      <c r="OCF94" s="39"/>
      <c r="OCG94" s="39"/>
      <c r="OCH94" s="39"/>
      <c r="OCI94" s="39"/>
      <c r="OCJ94" s="39"/>
      <c r="OCK94" s="39"/>
      <c r="OCL94" s="39"/>
      <c r="OCM94" s="39"/>
      <c r="OCN94" s="39"/>
      <c r="OCO94" s="39"/>
      <c r="OCP94" s="39"/>
      <c r="OCQ94" s="39"/>
      <c r="OCR94" s="39"/>
      <c r="OCS94" s="39"/>
      <c r="OCT94" s="39"/>
      <c r="OCU94" s="39"/>
      <c r="OCV94" s="39"/>
      <c r="OCW94" s="39"/>
      <c r="OCX94" s="39"/>
      <c r="OCY94" s="39"/>
      <c r="OCZ94" s="39"/>
      <c r="ODA94" s="39"/>
      <c r="ODB94" s="39"/>
      <c r="ODC94" s="39"/>
      <c r="ODD94" s="39"/>
      <c r="ODE94" s="39"/>
      <c r="ODF94" s="39"/>
      <c r="ODG94" s="39"/>
      <c r="ODH94" s="39"/>
      <c r="ODI94" s="39"/>
      <c r="ODJ94" s="39"/>
      <c r="ODK94" s="39"/>
      <c r="ODL94" s="39"/>
      <c r="ODM94" s="39"/>
      <c r="ODN94" s="39"/>
      <c r="ODO94" s="39"/>
      <c r="ODP94" s="39"/>
      <c r="ODQ94" s="39"/>
      <c r="ODR94" s="39"/>
      <c r="ODS94" s="39"/>
      <c r="ODT94" s="39"/>
      <c r="ODU94" s="39"/>
      <c r="ODV94" s="39"/>
      <c r="ODW94" s="39"/>
      <c r="ODX94" s="39"/>
      <c r="ODY94" s="39"/>
      <c r="ODZ94" s="39"/>
      <c r="OEA94" s="39"/>
      <c r="OEB94" s="39"/>
      <c r="OEC94" s="39"/>
      <c r="OED94" s="39"/>
      <c r="OEE94" s="39"/>
      <c r="OEF94" s="39"/>
      <c r="OEG94" s="39"/>
      <c r="OEH94" s="39"/>
      <c r="OEI94" s="39"/>
      <c r="OEJ94" s="39"/>
      <c r="OEK94" s="39"/>
      <c r="OEL94" s="39"/>
      <c r="OEM94" s="39"/>
      <c r="OEN94" s="39"/>
      <c r="OEO94" s="39"/>
      <c r="OEP94" s="39"/>
      <c r="OEQ94" s="39"/>
      <c r="OER94" s="39"/>
      <c r="OES94" s="39"/>
      <c r="OET94" s="39"/>
      <c r="OEU94" s="39"/>
      <c r="OEV94" s="39"/>
      <c r="OEW94" s="39"/>
      <c r="OEX94" s="39"/>
      <c r="OEY94" s="39"/>
      <c r="OEZ94" s="39"/>
      <c r="OFA94" s="39"/>
      <c r="OFB94" s="39"/>
      <c r="OFC94" s="39"/>
      <c r="OFD94" s="39"/>
      <c r="OFE94" s="39"/>
      <c r="OFF94" s="39"/>
      <c r="OFG94" s="39"/>
      <c r="OFH94" s="39"/>
      <c r="OFI94" s="39"/>
      <c r="OFJ94" s="39"/>
      <c r="OFK94" s="39"/>
      <c r="OFL94" s="39"/>
      <c r="OFM94" s="39"/>
      <c r="OFN94" s="39"/>
      <c r="OFO94" s="39"/>
      <c r="OFP94" s="39"/>
      <c r="OFQ94" s="39"/>
      <c r="OFR94" s="39"/>
      <c r="OFS94" s="39"/>
      <c r="OFT94" s="39"/>
      <c r="OFU94" s="39"/>
      <c r="OFV94" s="39"/>
      <c r="OFW94" s="39"/>
      <c r="OFX94" s="39"/>
      <c r="OFY94" s="39"/>
      <c r="OFZ94" s="39"/>
      <c r="OGA94" s="39"/>
      <c r="OGB94" s="39"/>
      <c r="OGC94" s="39"/>
      <c r="OGD94" s="39"/>
      <c r="OGE94" s="39"/>
      <c r="OGF94" s="39"/>
      <c r="OGG94" s="39"/>
      <c r="OGH94" s="39"/>
      <c r="OGI94" s="39"/>
      <c r="OGJ94" s="39"/>
      <c r="OGK94" s="39"/>
      <c r="OGL94" s="39"/>
      <c r="OGM94" s="39"/>
      <c r="OGN94" s="39"/>
      <c r="OGO94" s="39"/>
      <c r="OGP94" s="39"/>
      <c r="OGQ94" s="39"/>
      <c r="OGR94" s="39"/>
      <c r="OGS94" s="39"/>
      <c r="OGT94" s="39"/>
      <c r="OGU94" s="39"/>
      <c r="OGV94" s="39"/>
      <c r="OGW94" s="39"/>
      <c r="OGX94" s="39"/>
      <c r="OGY94" s="39"/>
      <c r="OGZ94" s="39"/>
      <c r="OHA94" s="39"/>
      <c r="OHB94" s="39"/>
      <c r="OHC94" s="39"/>
      <c r="OHD94" s="39"/>
      <c r="OHE94" s="39"/>
      <c r="OHF94" s="39"/>
      <c r="OHG94" s="39"/>
      <c r="OHH94" s="39"/>
      <c r="OHI94" s="39"/>
      <c r="OHJ94" s="39"/>
      <c r="OHK94" s="39"/>
      <c r="OHL94" s="39"/>
      <c r="OHM94" s="39"/>
      <c r="OHN94" s="39"/>
      <c r="OHO94" s="39"/>
      <c r="OHP94" s="39"/>
      <c r="OHQ94" s="39"/>
      <c r="OHR94" s="39"/>
      <c r="OHS94" s="39"/>
      <c r="OHT94" s="39"/>
      <c r="OHU94" s="39"/>
      <c r="OHV94" s="39"/>
      <c r="OHW94" s="39"/>
      <c r="OHX94" s="39"/>
      <c r="OHY94" s="39"/>
      <c r="OHZ94" s="39"/>
      <c r="OIA94" s="39"/>
      <c r="OIB94" s="39"/>
      <c r="OIC94" s="39"/>
      <c r="OID94" s="39"/>
      <c r="OIE94" s="39"/>
      <c r="OIF94" s="39"/>
      <c r="OIG94" s="39"/>
      <c r="OIH94" s="39"/>
      <c r="OII94" s="39"/>
      <c r="OIJ94" s="39"/>
      <c r="OIK94" s="39"/>
      <c r="OIL94" s="39"/>
      <c r="OIM94" s="39"/>
      <c r="OIN94" s="39"/>
      <c r="OIO94" s="39"/>
      <c r="OIP94" s="39"/>
      <c r="OIQ94" s="39"/>
      <c r="OIR94" s="39"/>
      <c r="OIS94" s="39"/>
      <c r="OIT94" s="39"/>
      <c r="OIU94" s="39"/>
      <c r="OIV94" s="39"/>
      <c r="OIW94" s="39"/>
      <c r="OIX94" s="39"/>
      <c r="OIY94" s="39"/>
      <c r="OIZ94" s="39"/>
      <c r="OJA94" s="39"/>
      <c r="OJB94" s="39"/>
      <c r="OJC94" s="39"/>
      <c r="OJD94" s="39"/>
      <c r="OJE94" s="39"/>
      <c r="OJF94" s="39"/>
      <c r="OJG94" s="39"/>
      <c r="OJH94" s="39"/>
      <c r="OJI94" s="39"/>
      <c r="OJJ94" s="39"/>
      <c r="OJK94" s="39"/>
      <c r="OJL94" s="39"/>
      <c r="OJM94" s="39"/>
      <c r="OJN94" s="39"/>
      <c r="OJO94" s="39"/>
      <c r="OJP94" s="39"/>
      <c r="OJQ94" s="39"/>
      <c r="OJR94" s="39"/>
      <c r="OJS94" s="39"/>
      <c r="OJT94" s="39"/>
      <c r="OJU94" s="39"/>
      <c r="OJV94" s="39"/>
      <c r="OJW94" s="39"/>
      <c r="OJX94" s="39"/>
      <c r="OJY94" s="39"/>
      <c r="OJZ94" s="39"/>
      <c r="OKA94" s="39"/>
      <c r="OKB94" s="39"/>
      <c r="OKC94" s="39"/>
      <c r="OKD94" s="39"/>
      <c r="OKE94" s="39"/>
      <c r="OKF94" s="39"/>
      <c r="OKG94" s="39"/>
      <c r="OKH94" s="39"/>
      <c r="OKI94" s="39"/>
      <c r="OKJ94" s="39"/>
      <c r="OKK94" s="39"/>
      <c r="OKL94" s="39"/>
      <c r="OKM94" s="39"/>
      <c r="OKN94" s="39"/>
      <c r="OKO94" s="39"/>
      <c r="OKP94" s="39"/>
      <c r="OKQ94" s="39"/>
      <c r="OKR94" s="39"/>
      <c r="OKS94" s="39"/>
      <c r="OKT94" s="39"/>
      <c r="OKU94" s="39"/>
      <c r="OKV94" s="39"/>
      <c r="OKW94" s="39"/>
      <c r="OKX94" s="39"/>
      <c r="OKY94" s="39"/>
      <c r="OKZ94" s="39"/>
      <c r="OLA94" s="39"/>
      <c r="OLB94" s="39"/>
      <c r="OLC94" s="39"/>
      <c r="OLD94" s="39"/>
      <c r="OLE94" s="39"/>
      <c r="OLF94" s="39"/>
      <c r="OLG94" s="39"/>
      <c r="OLH94" s="39"/>
      <c r="OLI94" s="39"/>
      <c r="OLJ94" s="39"/>
      <c r="OLK94" s="39"/>
      <c r="OLL94" s="39"/>
      <c r="OLM94" s="39"/>
      <c r="OLN94" s="39"/>
      <c r="OLO94" s="39"/>
      <c r="OLP94" s="39"/>
      <c r="OLQ94" s="39"/>
      <c r="OLR94" s="39"/>
      <c r="OLS94" s="39"/>
      <c r="OLT94" s="39"/>
      <c r="OLU94" s="39"/>
      <c r="OLV94" s="39"/>
      <c r="OLW94" s="39"/>
      <c r="OLX94" s="39"/>
      <c r="OLY94" s="39"/>
      <c r="OLZ94" s="39"/>
      <c r="OMA94" s="39"/>
      <c r="OMB94" s="39"/>
      <c r="OMC94" s="39"/>
      <c r="OMD94" s="39"/>
      <c r="OME94" s="39"/>
      <c r="OMF94" s="39"/>
      <c r="OMG94" s="39"/>
      <c r="OMH94" s="39"/>
      <c r="OMI94" s="39"/>
      <c r="OMJ94" s="39"/>
      <c r="OMK94" s="39"/>
      <c r="OML94" s="39"/>
      <c r="OMM94" s="39"/>
      <c r="OMN94" s="39"/>
      <c r="OMO94" s="39"/>
      <c r="OMP94" s="39"/>
      <c r="OMQ94" s="39"/>
      <c r="OMR94" s="39"/>
      <c r="OMS94" s="39"/>
      <c r="OMT94" s="39"/>
      <c r="OMU94" s="39"/>
      <c r="OMV94" s="39"/>
      <c r="OMW94" s="39"/>
      <c r="OMX94" s="39"/>
      <c r="OMY94" s="39"/>
      <c r="OMZ94" s="39"/>
      <c r="ONA94" s="39"/>
      <c r="ONB94" s="39"/>
      <c r="ONC94" s="39"/>
      <c r="OND94" s="39"/>
      <c r="ONE94" s="39"/>
      <c r="ONF94" s="39"/>
      <c r="ONG94" s="39"/>
      <c r="ONH94" s="39"/>
      <c r="ONI94" s="39"/>
      <c r="ONJ94" s="39"/>
      <c r="ONK94" s="39"/>
      <c r="ONL94" s="39"/>
      <c r="ONM94" s="39"/>
      <c r="ONN94" s="39"/>
      <c r="ONO94" s="39"/>
      <c r="ONP94" s="39"/>
      <c r="ONQ94" s="39"/>
      <c r="ONR94" s="39"/>
      <c r="ONS94" s="39"/>
      <c r="ONT94" s="39"/>
      <c r="ONU94" s="39"/>
      <c r="ONV94" s="39"/>
      <c r="ONW94" s="39"/>
      <c r="ONX94" s="39"/>
      <c r="ONY94" s="39"/>
      <c r="ONZ94" s="39"/>
      <c r="OOA94" s="39"/>
      <c r="OOB94" s="39"/>
      <c r="OOC94" s="39"/>
      <c r="OOD94" s="39"/>
      <c r="OOE94" s="39"/>
      <c r="OOF94" s="39"/>
      <c r="OOG94" s="39"/>
      <c r="OOH94" s="39"/>
      <c r="OOI94" s="39"/>
      <c r="OOJ94" s="39"/>
      <c r="OOK94" s="39"/>
      <c r="OOL94" s="39"/>
      <c r="OOM94" s="39"/>
      <c r="OON94" s="39"/>
      <c r="OOO94" s="39"/>
      <c r="OOP94" s="39"/>
      <c r="OOQ94" s="39"/>
      <c r="OOR94" s="39"/>
      <c r="OOS94" s="39"/>
      <c r="OOT94" s="39"/>
      <c r="OOU94" s="39"/>
      <c r="OOV94" s="39"/>
      <c r="OOW94" s="39"/>
      <c r="OOX94" s="39"/>
      <c r="OOY94" s="39"/>
      <c r="OOZ94" s="39"/>
      <c r="OPA94" s="39"/>
      <c r="OPB94" s="39"/>
      <c r="OPC94" s="39"/>
      <c r="OPD94" s="39"/>
      <c r="OPE94" s="39"/>
      <c r="OPF94" s="39"/>
      <c r="OPG94" s="39"/>
      <c r="OPH94" s="39"/>
      <c r="OPI94" s="39"/>
      <c r="OPJ94" s="39"/>
      <c r="OPK94" s="39"/>
      <c r="OPL94" s="39"/>
      <c r="OPM94" s="39"/>
      <c r="OPN94" s="39"/>
      <c r="OPO94" s="39"/>
      <c r="OPP94" s="39"/>
      <c r="OPQ94" s="39"/>
      <c r="OPR94" s="39"/>
      <c r="OPS94" s="39"/>
      <c r="OPT94" s="39"/>
      <c r="OPU94" s="39"/>
      <c r="OPV94" s="39"/>
      <c r="OPW94" s="39"/>
      <c r="OPX94" s="39"/>
      <c r="OPY94" s="39"/>
      <c r="OPZ94" s="39"/>
      <c r="OQA94" s="39"/>
      <c r="OQB94" s="39"/>
      <c r="OQC94" s="39"/>
      <c r="OQD94" s="39"/>
      <c r="OQE94" s="39"/>
      <c r="OQF94" s="39"/>
      <c r="OQG94" s="39"/>
      <c r="OQH94" s="39"/>
      <c r="OQI94" s="39"/>
      <c r="OQJ94" s="39"/>
      <c r="OQK94" s="39"/>
      <c r="OQL94" s="39"/>
      <c r="OQM94" s="39"/>
      <c r="OQN94" s="39"/>
      <c r="OQO94" s="39"/>
      <c r="OQP94" s="39"/>
      <c r="OQQ94" s="39"/>
      <c r="OQR94" s="39"/>
      <c r="OQS94" s="39"/>
      <c r="OQT94" s="39"/>
      <c r="OQU94" s="39"/>
      <c r="OQV94" s="39"/>
      <c r="OQW94" s="39"/>
      <c r="OQX94" s="39"/>
      <c r="OQY94" s="39"/>
      <c r="OQZ94" s="39"/>
      <c r="ORA94" s="39"/>
      <c r="ORB94" s="39"/>
      <c r="ORC94" s="39"/>
      <c r="ORD94" s="39"/>
      <c r="ORE94" s="39"/>
      <c r="ORF94" s="39"/>
      <c r="ORG94" s="39"/>
      <c r="ORH94" s="39"/>
      <c r="ORI94" s="39"/>
      <c r="ORJ94" s="39"/>
      <c r="ORK94" s="39"/>
      <c r="ORL94" s="39"/>
      <c r="ORM94" s="39"/>
      <c r="ORN94" s="39"/>
      <c r="ORO94" s="39"/>
      <c r="ORP94" s="39"/>
      <c r="ORQ94" s="39"/>
      <c r="ORR94" s="39"/>
      <c r="ORS94" s="39"/>
      <c r="ORT94" s="39"/>
      <c r="ORU94" s="39"/>
      <c r="ORV94" s="39"/>
      <c r="ORW94" s="39"/>
      <c r="ORX94" s="39"/>
      <c r="ORY94" s="39"/>
      <c r="ORZ94" s="39"/>
      <c r="OSA94" s="39"/>
      <c r="OSB94" s="39"/>
      <c r="OSC94" s="39"/>
      <c r="OSD94" s="39"/>
      <c r="OSE94" s="39"/>
      <c r="OSF94" s="39"/>
      <c r="OSG94" s="39"/>
      <c r="OSH94" s="39"/>
      <c r="OSI94" s="39"/>
      <c r="OSJ94" s="39"/>
      <c r="OSK94" s="39"/>
      <c r="OSL94" s="39"/>
      <c r="OSM94" s="39"/>
      <c r="OSN94" s="39"/>
      <c r="OSO94" s="39"/>
      <c r="OSP94" s="39"/>
      <c r="OSQ94" s="39"/>
      <c r="OSR94" s="39"/>
      <c r="OSS94" s="39"/>
      <c r="OST94" s="39"/>
      <c r="OSU94" s="39"/>
      <c r="OSV94" s="39"/>
      <c r="OSW94" s="39"/>
      <c r="OSX94" s="39"/>
      <c r="OSY94" s="39"/>
      <c r="OSZ94" s="39"/>
      <c r="OTA94" s="39"/>
      <c r="OTB94" s="39"/>
      <c r="OTC94" s="39"/>
      <c r="OTD94" s="39"/>
      <c r="OTE94" s="39"/>
      <c r="OTF94" s="39"/>
      <c r="OTG94" s="39"/>
      <c r="OTH94" s="39"/>
      <c r="OTI94" s="39"/>
      <c r="OTJ94" s="39"/>
      <c r="OTK94" s="39"/>
      <c r="OTL94" s="39"/>
      <c r="OTM94" s="39"/>
      <c r="OTN94" s="39"/>
      <c r="OTO94" s="39"/>
      <c r="OTP94" s="39"/>
      <c r="OTQ94" s="39"/>
      <c r="OTR94" s="39"/>
      <c r="OTS94" s="39"/>
      <c r="OTT94" s="39"/>
      <c r="OTU94" s="39"/>
      <c r="OTV94" s="39"/>
      <c r="OTW94" s="39"/>
      <c r="OTX94" s="39"/>
      <c r="OTY94" s="39"/>
      <c r="OTZ94" s="39"/>
      <c r="OUA94" s="39"/>
      <c r="OUB94" s="39"/>
      <c r="OUC94" s="39"/>
      <c r="OUD94" s="39"/>
      <c r="OUE94" s="39"/>
      <c r="OUF94" s="39"/>
      <c r="OUG94" s="39"/>
      <c r="OUH94" s="39"/>
      <c r="OUI94" s="39"/>
      <c r="OUJ94" s="39"/>
      <c r="OUK94" s="39"/>
      <c r="OUL94" s="39"/>
      <c r="OUM94" s="39"/>
      <c r="OUN94" s="39"/>
      <c r="OUO94" s="39"/>
      <c r="OUP94" s="39"/>
      <c r="OUQ94" s="39"/>
      <c r="OUR94" s="39"/>
      <c r="OUS94" s="39"/>
      <c r="OUT94" s="39"/>
      <c r="OUU94" s="39"/>
      <c r="OUV94" s="39"/>
      <c r="OUW94" s="39"/>
      <c r="OUX94" s="39"/>
      <c r="OUY94" s="39"/>
      <c r="OUZ94" s="39"/>
      <c r="OVA94" s="39"/>
      <c r="OVB94" s="39"/>
      <c r="OVC94" s="39"/>
      <c r="OVD94" s="39"/>
      <c r="OVE94" s="39"/>
      <c r="OVF94" s="39"/>
      <c r="OVG94" s="39"/>
      <c r="OVH94" s="39"/>
      <c r="OVI94" s="39"/>
      <c r="OVJ94" s="39"/>
      <c r="OVK94" s="39"/>
      <c r="OVL94" s="39"/>
      <c r="OVM94" s="39"/>
      <c r="OVN94" s="39"/>
      <c r="OVO94" s="39"/>
      <c r="OVP94" s="39"/>
      <c r="OVQ94" s="39"/>
      <c r="OVR94" s="39"/>
      <c r="OVS94" s="39"/>
      <c r="OVT94" s="39"/>
      <c r="OVU94" s="39"/>
      <c r="OVV94" s="39"/>
      <c r="OVW94" s="39"/>
      <c r="OVX94" s="39"/>
      <c r="OVY94" s="39"/>
      <c r="OVZ94" s="39"/>
      <c r="OWA94" s="39"/>
      <c r="OWB94" s="39"/>
      <c r="OWC94" s="39"/>
      <c r="OWD94" s="39"/>
      <c r="OWE94" s="39"/>
      <c r="OWF94" s="39"/>
      <c r="OWG94" s="39"/>
      <c r="OWH94" s="39"/>
      <c r="OWI94" s="39"/>
      <c r="OWJ94" s="39"/>
      <c r="OWK94" s="39"/>
      <c r="OWL94" s="39"/>
      <c r="OWM94" s="39"/>
      <c r="OWN94" s="39"/>
      <c r="OWO94" s="39"/>
      <c r="OWP94" s="39"/>
      <c r="OWQ94" s="39"/>
      <c r="OWR94" s="39"/>
      <c r="OWS94" s="39"/>
      <c r="OWT94" s="39"/>
      <c r="OWU94" s="39"/>
      <c r="OWV94" s="39"/>
      <c r="OWW94" s="39"/>
      <c r="OWX94" s="39"/>
      <c r="OWY94" s="39"/>
      <c r="OWZ94" s="39"/>
      <c r="OXA94" s="39"/>
      <c r="OXB94" s="39"/>
      <c r="OXC94" s="39"/>
      <c r="OXD94" s="39"/>
      <c r="OXE94" s="39"/>
      <c r="OXF94" s="39"/>
      <c r="OXG94" s="39"/>
      <c r="OXH94" s="39"/>
      <c r="OXI94" s="39"/>
      <c r="OXJ94" s="39"/>
      <c r="OXK94" s="39"/>
      <c r="OXL94" s="39"/>
      <c r="OXM94" s="39"/>
      <c r="OXN94" s="39"/>
      <c r="OXO94" s="39"/>
      <c r="OXP94" s="39"/>
      <c r="OXQ94" s="39"/>
      <c r="OXR94" s="39"/>
      <c r="OXS94" s="39"/>
      <c r="OXT94" s="39"/>
      <c r="OXU94" s="39"/>
      <c r="OXV94" s="39"/>
      <c r="OXW94" s="39"/>
      <c r="OXX94" s="39"/>
      <c r="OXY94" s="39"/>
      <c r="OXZ94" s="39"/>
      <c r="OYA94" s="39"/>
      <c r="OYB94" s="39"/>
      <c r="OYC94" s="39"/>
      <c r="OYD94" s="39"/>
      <c r="OYE94" s="39"/>
      <c r="OYF94" s="39"/>
      <c r="OYG94" s="39"/>
      <c r="OYH94" s="39"/>
      <c r="OYI94" s="39"/>
      <c r="OYJ94" s="39"/>
      <c r="OYK94" s="39"/>
      <c r="OYL94" s="39"/>
      <c r="OYM94" s="39"/>
      <c r="OYN94" s="39"/>
      <c r="OYO94" s="39"/>
      <c r="OYP94" s="39"/>
      <c r="OYQ94" s="39"/>
      <c r="OYR94" s="39"/>
      <c r="OYS94" s="39"/>
      <c r="OYT94" s="39"/>
      <c r="OYU94" s="39"/>
      <c r="OYV94" s="39"/>
      <c r="OYW94" s="39"/>
      <c r="OYX94" s="39"/>
      <c r="OYY94" s="39"/>
      <c r="OYZ94" s="39"/>
      <c r="OZA94" s="39"/>
      <c r="OZB94" s="39"/>
      <c r="OZC94" s="39"/>
      <c r="OZD94" s="39"/>
      <c r="OZE94" s="39"/>
      <c r="OZF94" s="39"/>
      <c r="OZG94" s="39"/>
      <c r="OZH94" s="39"/>
      <c r="OZI94" s="39"/>
      <c r="OZJ94" s="39"/>
      <c r="OZK94" s="39"/>
      <c r="OZL94" s="39"/>
      <c r="OZM94" s="39"/>
      <c r="OZN94" s="39"/>
      <c r="OZO94" s="39"/>
      <c r="OZP94" s="39"/>
      <c r="OZQ94" s="39"/>
      <c r="OZR94" s="39"/>
      <c r="OZS94" s="39"/>
      <c r="OZT94" s="39"/>
      <c r="OZU94" s="39"/>
      <c r="OZV94" s="39"/>
      <c r="OZW94" s="39"/>
      <c r="OZX94" s="39"/>
      <c r="OZY94" s="39"/>
      <c r="OZZ94" s="39"/>
      <c r="PAA94" s="39"/>
      <c r="PAB94" s="39"/>
      <c r="PAC94" s="39"/>
      <c r="PAD94" s="39"/>
      <c r="PAE94" s="39"/>
      <c r="PAF94" s="39"/>
      <c r="PAG94" s="39"/>
      <c r="PAH94" s="39"/>
      <c r="PAI94" s="39"/>
      <c r="PAJ94" s="39"/>
      <c r="PAK94" s="39"/>
      <c r="PAL94" s="39"/>
      <c r="PAM94" s="39"/>
      <c r="PAN94" s="39"/>
      <c r="PAO94" s="39"/>
      <c r="PAP94" s="39"/>
      <c r="PAQ94" s="39"/>
      <c r="PAR94" s="39"/>
      <c r="PAS94" s="39"/>
      <c r="PAT94" s="39"/>
      <c r="PAU94" s="39"/>
      <c r="PAV94" s="39"/>
      <c r="PAW94" s="39"/>
      <c r="PAX94" s="39"/>
      <c r="PAY94" s="39"/>
      <c r="PAZ94" s="39"/>
      <c r="PBA94" s="39"/>
      <c r="PBB94" s="39"/>
      <c r="PBC94" s="39"/>
      <c r="PBD94" s="39"/>
      <c r="PBE94" s="39"/>
      <c r="PBF94" s="39"/>
      <c r="PBG94" s="39"/>
      <c r="PBH94" s="39"/>
      <c r="PBI94" s="39"/>
      <c r="PBJ94" s="39"/>
      <c r="PBK94" s="39"/>
      <c r="PBL94" s="39"/>
      <c r="PBM94" s="39"/>
      <c r="PBN94" s="39"/>
      <c r="PBO94" s="39"/>
      <c r="PBP94" s="39"/>
      <c r="PBQ94" s="39"/>
      <c r="PBR94" s="39"/>
      <c r="PBS94" s="39"/>
      <c r="PBT94" s="39"/>
      <c r="PBU94" s="39"/>
      <c r="PBV94" s="39"/>
      <c r="PBW94" s="39"/>
      <c r="PBX94" s="39"/>
      <c r="PBY94" s="39"/>
      <c r="PBZ94" s="39"/>
      <c r="PCA94" s="39"/>
      <c r="PCB94" s="39"/>
      <c r="PCC94" s="39"/>
      <c r="PCD94" s="39"/>
      <c r="PCE94" s="39"/>
      <c r="PCF94" s="39"/>
      <c r="PCG94" s="39"/>
      <c r="PCH94" s="39"/>
      <c r="PCI94" s="39"/>
      <c r="PCJ94" s="39"/>
      <c r="PCK94" s="39"/>
      <c r="PCL94" s="39"/>
      <c r="PCM94" s="39"/>
      <c r="PCN94" s="39"/>
      <c r="PCO94" s="39"/>
      <c r="PCP94" s="39"/>
      <c r="PCQ94" s="39"/>
      <c r="PCR94" s="39"/>
      <c r="PCS94" s="39"/>
      <c r="PCT94" s="39"/>
      <c r="PCU94" s="39"/>
      <c r="PCV94" s="39"/>
      <c r="PCW94" s="39"/>
      <c r="PCX94" s="39"/>
      <c r="PCY94" s="39"/>
      <c r="PCZ94" s="39"/>
      <c r="PDA94" s="39"/>
      <c r="PDB94" s="39"/>
      <c r="PDC94" s="39"/>
      <c r="PDD94" s="39"/>
      <c r="PDE94" s="39"/>
      <c r="PDF94" s="39"/>
      <c r="PDG94" s="39"/>
      <c r="PDH94" s="39"/>
      <c r="PDI94" s="39"/>
      <c r="PDJ94" s="39"/>
      <c r="PDK94" s="39"/>
      <c r="PDL94" s="39"/>
      <c r="PDM94" s="39"/>
      <c r="PDN94" s="39"/>
      <c r="PDO94" s="39"/>
      <c r="PDP94" s="39"/>
      <c r="PDQ94" s="39"/>
      <c r="PDR94" s="39"/>
      <c r="PDS94" s="39"/>
      <c r="PDT94" s="39"/>
      <c r="PDU94" s="39"/>
      <c r="PDV94" s="39"/>
      <c r="PDW94" s="39"/>
      <c r="PDX94" s="39"/>
      <c r="PDY94" s="39"/>
      <c r="PDZ94" s="39"/>
      <c r="PEA94" s="39"/>
      <c r="PEB94" s="39"/>
      <c r="PEC94" s="39"/>
      <c r="PED94" s="39"/>
      <c r="PEE94" s="39"/>
      <c r="PEF94" s="39"/>
      <c r="PEG94" s="39"/>
      <c r="PEH94" s="39"/>
      <c r="PEI94" s="39"/>
      <c r="PEJ94" s="39"/>
      <c r="PEK94" s="39"/>
      <c r="PEL94" s="39"/>
      <c r="PEM94" s="39"/>
      <c r="PEN94" s="39"/>
      <c r="PEO94" s="39"/>
      <c r="PEP94" s="39"/>
      <c r="PEQ94" s="39"/>
      <c r="PER94" s="39"/>
      <c r="PES94" s="39"/>
      <c r="PET94" s="39"/>
      <c r="PEU94" s="39"/>
      <c r="PEV94" s="39"/>
      <c r="PEW94" s="39"/>
      <c r="PEX94" s="39"/>
      <c r="PEY94" s="39"/>
      <c r="PEZ94" s="39"/>
      <c r="PFA94" s="39"/>
      <c r="PFB94" s="39"/>
      <c r="PFC94" s="39"/>
      <c r="PFD94" s="39"/>
      <c r="PFE94" s="39"/>
      <c r="PFF94" s="39"/>
      <c r="PFG94" s="39"/>
      <c r="PFH94" s="39"/>
      <c r="PFI94" s="39"/>
      <c r="PFJ94" s="39"/>
      <c r="PFK94" s="39"/>
      <c r="PFL94" s="39"/>
      <c r="PFM94" s="39"/>
      <c r="PFN94" s="39"/>
      <c r="PFO94" s="39"/>
      <c r="PFP94" s="39"/>
      <c r="PFQ94" s="39"/>
      <c r="PFR94" s="39"/>
      <c r="PFS94" s="39"/>
      <c r="PFT94" s="39"/>
      <c r="PFU94" s="39"/>
      <c r="PFV94" s="39"/>
      <c r="PFW94" s="39"/>
      <c r="PFX94" s="39"/>
      <c r="PFY94" s="39"/>
      <c r="PFZ94" s="39"/>
      <c r="PGA94" s="39"/>
      <c r="PGB94" s="39"/>
      <c r="PGC94" s="39"/>
      <c r="PGD94" s="39"/>
      <c r="PGE94" s="39"/>
      <c r="PGF94" s="39"/>
      <c r="PGG94" s="39"/>
      <c r="PGH94" s="39"/>
      <c r="PGI94" s="39"/>
      <c r="PGJ94" s="39"/>
      <c r="PGK94" s="39"/>
      <c r="PGL94" s="39"/>
      <c r="PGM94" s="39"/>
      <c r="PGN94" s="39"/>
      <c r="PGO94" s="39"/>
      <c r="PGP94" s="39"/>
      <c r="PGQ94" s="39"/>
      <c r="PGR94" s="39"/>
      <c r="PGS94" s="39"/>
      <c r="PGT94" s="39"/>
      <c r="PGU94" s="39"/>
      <c r="PGV94" s="39"/>
      <c r="PGW94" s="39"/>
      <c r="PGX94" s="39"/>
      <c r="PGY94" s="39"/>
      <c r="PGZ94" s="39"/>
      <c r="PHA94" s="39"/>
      <c r="PHB94" s="39"/>
      <c r="PHC94" s="39"/>
      <c r="PHD94" s="39"/>
      <c r="PHE94" s="39"/>
      <c r="PHF94" s="39"/>
      <c r="PHG94" s="39"/>
      <c r="PHH94" s="39"/>
      <c r="PHI94" s="39"/>
      <c r="PHJ94" s="39"/>
      <c r="PHK94" s="39"/>
      <c r="PHL94" s="39"/>
      <c r="PHM94" s="39"/>
      <c r="PHN94" s="39"/>
      <c r="PHO94" s="39"/>
      <c r="PHP94" s="39"/>
      <c r="PHQ94" s="39"/>
      <c r="PHR94" s="39"/>
      <c r="PHS94" s="39"/>
      <c r="PHT94" s="39"/>
      <c r="PHU94" s="39"/>
      <c r="PHV94" s="39"/>
      <c r="PHW94" s="39"/>
      <c r="PHX94" s="39"/>
      <c r="PHY94" s="39"/>
      <c r="PHZ94" s="39"/>
      <c r="PIA94" s="39"/>
      <c r="PIB94" s="39"/>
      <c r="PIC94" s="39"/>
      <c r="PID94" s="39"/>
      <c r="PIE94" s="39"/>
      <c r="PIF94" s="39"/>
      <c r="PIG94" s="39"/>
      <c r="PIH94" s="39"/>
      <c r="PII94" s="39"/>
      <c r="PIJ94" s="39"/>
      <c r="PIK94" s="39"/>
      <c r="PIL94" s="39"/>
      <c r="PIM94" s="39"/>
      <c r="PIN94" s="39"/>
      <c r="PIO94" s="39"/>
      <c r="PIP94" s="39"/>
      <c r="PIQ94" s="39"/>
      <c r="PIR94" s="39"/>
      <c r="PIS94" s="39"/>
      <c r="PIT94" s="39"/>
      <c r="PIU94" s="39"/>
      <c r="PIV94" s="39"/>
      <c r="PIW94" s="39"/>
      <c r="PIX94" s="39"/>
      <c r="PIY94" s="39"/>
      <c r="PIZ94" s="39"/>
      <c r="PJA94" s="39"/>
      <c r="PJB94" s="39"/>
      <c r="PJC94" s="39"/>
      <c r="PJD94" s="39"/>
      <c r="PJE94" s="39"/>
      <c r="PJF94" s="39"/>
      <c r="PJG94" s="39"/>
      <c r="PJH94" s="39"/>
      <c r="PJI94" s="39"/>
      <c r="PJJ94" s="39"/>
      <c r="PJK94" s="39"/>
      <c r="PJL94" s="39"/>
      <c r="PJM94" s="39"/>
      <c r="PJN94" s="39"/>
      <c r="PJO94" s="39"/>
      <c r="PJP94" s="39"/>
      <c r="PJQ94" s="39"/>
      <c r="PJR94" s="39"/>
      <c r="PJS94" s="39"/>
      <c r="PJT94" s="39"/>
      <c r="PJU94" s="39"/>
      <c r="PJV94" s="39"/>
      <c r="PJW94" s="39"/>
      <c r="PJX94" s="39"/>
      <c r="PJY94" s="39"/>
      <c r="PJZ94" s="39"/>
      <c r="PKA94" s="39"/>
      <c r="PKB94" s="39"/>
      <c r="PKC94" s="39"/>
      <c r="PKD94" s="39"/>
      <c r="PKE94" s="39"/>
      <c r="PKF94" s="39"/>
      <c r="PKG94" s="39"/>
      <c r="PKH94" s="39"/>
      <c r="PKI94" s="39"/>
      <c r="PKJ94" s="39"/>
      <c r="PKK94" s="39"/>
      <c r="PKL94" s="39"/>
      <c r="PKM94" s="39"/>
      <c r="PKN94" s="39"/>
      <c r="PKO94" s="39"/>
      <c r="PKP94" s="39"/>
      <c r="PKQ94" s="39"/>
      <c r="PKR94" s="39"/>
      <c r="PKS94" s="39"/>
      <c r="PKT94" s="39"/>
      <c r="PKU94" s="39"/>
      <c r="PKV94" s="39"/>
      <c r="PKW94" s="39"/>
      <c r="PKX94" s="39"/>
      <c r="PKY94" s="39"/>
      <c r="PKZ94" s="39"/>
      <c r="PLA94" s="39"/>
      <c r="PLB94" s="39"/>
      <c r="PLC94" s="39"/>
      <c r="PLD94" s="39"/>
      <c r="PLE94" s="39"/>
      <c r="PLF94" s="39"/>
      <c r="PLG94" s="39"/>
      <c r="PLH94" s="39"/>
      <c r="PLI94" s="39"/>
      <c r="PLJ94" s="39"/>
      <c r="PLK94" s="39"/>
      <c r="PLL94" s="39"/>
      <c r="PLM94" s="39"/>
      <c r="PLN94" s="39"/>
      <c r="PLO94" s="39"/>
      <c r="PLP94" s="39"/>
      <c r="PLQ94" s="39"/>
      <c r="PLR94" s="39"/>
      <c r="PLS94" s="39"/>
      <c r="PLT94" s="39"/>
      <c r="PLU94" s="39"/>
      <c r="PLV94" s="39"/>
      <c r="PLW94" s="39"/>
      <c r="PLX94" s="39"/>
      <c r="PLY94" s="39"/>
      <c r="PLZ94" s="39"/>
      <c r="PMA94" s="39"/>
      <c r="PMB94" s="39"/>
      <c r="PMC94" s="39"/>
      <c r="PMD94" s="39"/>
      <c r="PME94" s="39"/>
      <c r="PMF94" s="39"/>
      <c r="PMG94" s="39"/>
      <c r="PMH94" s="39"/>
      <c r="PMI94" s="39"/>
      <c r="PMJ94" s="39"/>
      <c r="PMK94" s="39"/>
      <c r="PML94" s="39"/>
      <c r="PMM94" s="39"/>
      <c r="PMN94" s="39"/>
      <c r="PMO94" s="39"/>
      <c r="PMP94" s="39"/>
      <c r="PMQ94" s="39"/>
      <c r="PMR94" s="39"/>
      <c r="PMS94" s="39"/>
      <c r="PMT94" s="39"/>
      <c r="PMU94" s="39"/>
      <c r="PMV94" s="39"/>
      <c r="PMW94" s="39"/>
      <c r="PMX94" s="39"/>
      <c r="PMY94" s="39"/>
      <c r="PMZ94" s="39"/>
      <c r="PNA94" s="39"/>
      <c r="PNB94" s="39"/>
      <c r="PNC94" s="39"/>
      <c r="PND94" s="39"/>
      <c r="PNE94" s="39"/>
      <c r="PNF94" s="39"/>
      <c r="PNG94" s="39"/>
      <c r="PNH94" s="39"/>
      <c r="PNI94" s="39"/>
      <c r="PNJ94" s="39"/>
      <c r="PNK94" s="39"/>
      <c r="PNL94" s="39"/>
      <c r="PNM94" s="39"/>
      <c r="PNN94" s="39"/>
      <c r="PNO94" s="39"/>
      <c r="PNP94" s="39"/>
      <c r="PNQ94" s="39"/>
      <c r="PNR94" s="39"/>
      <c r="PNS94" s="39"/>
      <c r="PNT94" s="39"/>
      <c r="PNU94" s="39"/>
      <c r="PNV94" s="39"/>
      <c r="PNW94" s="39"/>
      <c r="PNX94" s="39"/>
      <c r="PNY94" s="39"/>
      <c r="PNZ94" s="39"/>
      <c r="POA94" s="39"/>
      <c r="POB94" s="39"/>
      <c r="POC94" s="39"/>
      <c r="POD94" s="39"/>
      <c r="POE94" s="39"/>
      <c r="POF94" s="39"/>
      <c r="POG94" s="39"/>
      <c r="POH94" s="39"/>
      <c r="POI94" s="39"/>
      <c r="POJ94" s="39"/>
      <c r="POK94" s="39"/>
      <c r="POL94" s="39"/>
      <c r="POM94" s="39"/>
      <c r="PON94" s="39"/>
      <c r="POO94" s="39"/>
      <c r="POP94" s="39"/>
      <c r="POQ94" s="39"/>
      <c r="POR94" s="39"/>
      <c r="POS94" s="39"/>
      <c r="POT94" s="39"/>
      <c r="POU94" s="39"/>
      <c r="POV94" s="39"/>
      <c r="POW94" s="39"/>
      <c r="POX94" s="39"/>
      <c r="POY94" s="39"/>
      <c r="POZ94" s="39"/>
      <c r="PPA94" s="39"/>
      <c r="PPB94" s="39"/>
      <c r="PPC94" s="39"/>
      <c r="PPD94" s="39"/>
      <c r="PPE94" s="39"/>
      <c r="PPF94" s="39"/>
      <c r="PPG94" s="39"/>
      <c r="PPH94" s="39"/>
      <c r="PPI94" s="39"/>
      <c r="PPJ94" s="39"/>
      <c r="PPK94" s="39"/>
      <c r="PPL94" s="39"/>
      <c r="PPM94" s="39"/>
      <c r="PPN94" s="39"/>
      <c r="PPO94" s="39"/>
      <c r="PPP94" s="39"/>
      <c r="PPQ94" s="39"/>
      <c r="PPR94" s="39"/>
      <c r="PPS94" s="39"/>
      <c r="PPT94" s="39"/>
      <c r="PPU94" s="39"/>
      <c r="PPV94" s="39"/>
      <c r="PPW94" s="39"/>
      <c r="PPX94" s="39"/>
      <c r="PPY94" s="39"/>
      <c r="PPZ94" s="39"/>
      <c r="PQA94" s="39"/>
      <c r="PQB94" s="39"/>
      <c r="PQC94" s="39"/>
      <c r="PQD94" s="39"/>
      <c r="PQE94" s="39"/>
      <c r="PQF94" s="39"/>
      <c r="PQG94" s="39"/>
      <c r="PQH94" s="39"/>
      <c r="PQI94" s="39"/>
      <c r="PQJ94" s="39"/>
      <c r="PQK94" s="39"/>
      <c r="PQL94" s="39"/>
      <c r="PQM94" s="39"/>
      <c r="PQN94" s="39"/>
      <c r="PQO94" s="39"/>
      <c r="PQP94" s="39"/>
      <c r="PQQ94" s="39"/>
      <c r="PQR94" s="39"/>
      <c r="PQS94" s="39"/>
      <c r="PQT94" s="39"/>
      <c r="PQU94" s="39"/>
      <c r="PQV94" s="39"/>
      <c r="PQW94" s="39"/>
      <c r="PQX94" s="39"/>
      <c r="PQY94" s="39"/>
      <c r="PQZ94" s="39"/>
      <c r="PRA94" s="39"/>
      <c r="PRB94" s="39"/>
      <c r="PRC94" s="39"/>
      <c r="PRD94" s="39"/>
      <c r="PRE94" s="39"/>
      <c r="PRF94" s="39"/>
      <c r="PRG94" s="39"/>
      <c r="PRH94" s="39"/>
      <c r="PRI94" s="39"/>
      <c r="PRJ94" s="39"/>
      <c r="PRK94" s="39"/>
      <c r="PRL94" s="39"/>
      <c r="PRM94" s="39"/>
      <c r="PRN94" s="39"/>
      <c r="PRO94" s="39"/>
      <c r="PRP94" s="39"/>
      <c r="PRQ94" s="39"/>
      <c r="PRR94" s="39"/>
      <c r="PRS94" s="39"/>
      <c r="PRT94" s="39"/>
      <c r="PRU94" s="39"/>
      <c r="PRV94" s="39"/>
      <c r="PRW94" s="39"/>
      <c r="PRX94" s="39"/>
      <c r="PRY94" s="39"/>
      <c r="PRZ94" s="39"/>
      <c r="PSA94" s="39"/>
      <c r="PSB94" s="39"/>
      <c r="PSC94" s="39"/>
      <c r="PSD94" s="39"/>
      <c r="PSE94" s="39"/>
      <c r="PSF94" s="39"/>
      <c r="PSG94" s="39"/>
      <c r="PSH94" s="39"/>
      <c r="PSI94" s="39"/>
      <c r="PSJ94" s="39"/>
      <c r="PSK94" s="39"/>
      <c r="PSL94" s="39"/>
      <c r="PSM94" s="39"/>
      <c r="PSN94" s="39"/>
      <c r="PSO94" s="39"/>
      <c r="PSP94" s="39"/>
      <c r="PSQ94" s="39"/>
      <c r="PSR94" s="39"/>
      <c r="PSS94" s="39"/>
      <c r="PST94" s="39"/>
      <c r="PSU94" s="39"/>
      <c r="PSV94" s="39"/>
      <c r="PSW94" s="39"/>
      <c r="PSX94" s="39"/>
      <c r="PSY94" s="39"/>
      <c r="PSZ94" s="39"/>
      <c r="PTA94" s="39"/>
      <c r="PTB94" s="39"/>
      <c r="PTC94" s="39"/>
      <c r="PTD94" s="39"/>
      <c r="PTE94" s="39"/>
      <c r="PTF94" s="39"/>
      <c r="PTG94" s="39"/>
      <c r="PTH94" s="39"/>
      <c r="PTI94" s="39"/>
      <c r="PTJ94" s="39"/>
      <c r="PTK94" s="39"/>
      <c r="PTL94" s="39"/>
      <c r="PTM94" s="39"/>
      <c r="PTN94" s="39"/>
      <c r="PTO94" s="39"/>
      <c r="PTP94" s="39"/>
      <c r="PTQ94" s="39"/>
      <c r="PTR94" s="39"/>
      <c r="PTS94" s="39"/>
      <c r="PTT94" s="39"/>
      <c r="PTU94" s="39"/>
      <c r="PTV94" s="39"/>
      <c r="PTW94" s="39"/>
      <c r="PTX94" s="39"/>
      <c r="PTY94" s="39"/>
      <c r="PTZ94" s="39"/>
      <c r="PUA94" s="39"/>
      <c r="PUB94" s="39"/>
      <c r="PUC94" s="39"/>
      <c r="PUD94" s="39"/>
      <c r="PUE94" s="39"/>
      <c r="PUF94" s="39"/>
      <c r="PUG94" s="39"/>
      <c r="PUH94" s="39"/>
      <c r="PUI94" s="39"/>
      <c r="PUJ94" s="39"/>
      <c r="PUK94" s="39"/>
      <c r="PUL94" s="39"/>
      <c r="PUM94" s="39"/>
      <c r="PUN94" s="39"/>
      <c r="PUO94" s="39"/>
      <c r="PUP94" s="39"/>
      <c r="PUQ94" s="39"/>
      <c r="PUR94" s="39"/>
      <c r="PUS94" s="39"/>
      <c r="PUT94" s="39"/>
      <c r="PUU94" s="39"/>
      <c r="PUV94" s="39"/>
      <c r="PUW94" s="39"/>
      <c r="PUX94" s="39"/>
      <c r="PUY94" s="39"/>
      <c r="PUZ94" s="39"/>
      <c r="PVA94" s="39"/>
      <c r="PVB94" s="39"/>
      <c r="PVC94" s="39"/>
      <c r="PVD94" s="39"/>
      <c r="PVE94" s="39"/>
      <c r="PVF94" s="39"/>
      <c r="PVG94" s="39"/>
      <c r="PVH94" s="39"/>
      <c r="PVI94" s="39"/>
      <c r="PVJ94" s="39"/>
      <c r="PVK94" s="39"/>
      <c r="PVL94" s="39"/>
      <c r="PVM94" s="39"/>
      <c r="PVN94" s="39"/>
      <c r="PVO94" s="39"/>
      <c r="PVP94" s="39"/>
      <c r="PVQ94" s="39"/>
      <c r="PVR94" s="39"/>
      <c r="PVS94" s="39"/>
      <c r="PVT94" s="39"/>
      <c r="PVU94" s="39"/>
      <c r="PVV94" s="39"/>
      <c r="PVW94" s="39"/>
      <c r="PVX94" s="39"/>
      <c r="PVY94" s="39"/>
      <c r="PVZ94" s="39"/>
      <c r="PWA94" s="39"/>
      <c r="PWB94" s="39"/>
      <c r="PWC94" s="39"/>
      <c r="PWD94" s="39"/>
      <c r="PWE94" s="39"/>
      <c r="PWF94" s="39"/>
      <c r="PWG94" s="39"/>
      <c r="PWH94" s="39"/>
      <c r="PWI94" s="39"/>
      <c r="PWJ94" s="39"/>
      <c r="PWK94" s="39"/>
      <c r="PWL94" s="39"/>
      <c r="PWM94" s="39"/>
      <c r="PWN94" s="39"/>
      <c r="PWO94" s="39"/>
      <c r="PWP94" s="39"/>
      <c r="PWQ94" s="39"/>
      <c r="PWR94" s="39"/>
      <c r="PWS94" s="39"/>
      <c r="PWT94" s="39"/>
      <c r="PWU94" s="39"/>
      <c r="PWV94" s="39"/>
      <c r="PWW94" s="39"/>
      <c r="PWX94" s="39"/>
      <c r="PWY94" s="39"/>
      <c r="PWZ94" s="39"/>
      <c r="PXA94" s="39"/>
      <c r="PXB94" s="39"/>
      <c r="PXC94" s="39"/>
      <c r="PXD94" s="39"/>
      <c r="PXE94" s="39"/>
      <c r="PXF94" s="39"/>
      <c r="PXG94" s="39"/>
      <c r="PXH94" s="39"/>
      <c r="PXI94" s="39"/>
      <c r="PXJ94" s="39"/>
      <c r="PXK94" s="39"/>
      <c r="PXL94" s="39"/>
      <c r="PXM94" s="39"/>
      <c r="PXN94" s="39"/>
      <c r="PXO94" s="39"/>
      <c r="PXP94" s="39"/>
      <c r="PXQ94" s="39"/>
      <c r="PXR94" s="39"/>
      <c r="PXS94" s="39"/>
      <c r="PXT94" s="39"/>
      <c r="PXU94" s="39"/>
      <c r="PXV94" s="39"/>
      <c r="PXW94" s="39"/>
      <c r="PXX94" s="39"/>
      <c r="PXY94" s="39"/>
      <c r="PXZ94" s="39"/>
      <c r="PYA94" s="39"/>
      <c r="PYB94" s="39"/>
      <c r="PYC94" s="39"/>
      <c r="PYD94" s="39"/>
      <c r="PYE94" s="39"/>
      <c r="PYF94" s="39"/>
      <c r="PYG94" s="39"/>
      <c r="PYH94" s="39"/>
      <c r="PYI94" s="39"/>
      <c r="PYJ94" s="39"/>
      <c r="PYK94" s="39"/>
      <c r="PYL94" s="39"/>
      <c r="PYM94" s="39"/>
      <c r="PYN94" s="39"/>
      <c r="PYO94" s="39"/>
      <c r="PYP94" s="39"/>
      <c r="PYQ94" s="39"/>
      <c r="PYR94" s="39"/>
      <c r="PYS94" s="39"/>
      <c r="PYT94" s="39"/>
      <c r="PYU94" s="39"/>
      <c r="PYV94" s="39"/>
      <c r="PYW94" s="39"/>
      <c r="PYX94" s="39"/>
      <c r="PYY94" s="39"/>
      <c r="PYZ94" s="39"/>
      <c r="PZA94" s="39"/>
      <c r="PZB94" s="39"/>
      <c r="PZC94" s="39"/>
      <c r="PZD94" s="39"/>
      <c r="PZE94" s="39"/>
      <c r="PZF94" s="39"/>
      <c r="PZG94" s="39"/>
      <c r="PZH94" s="39"/>
      <c r="PZI94" s="39"/>
      <c r="PZJ94" s="39"/>
      <c r="PZK94" s="39"/>
      <c r="PZL94" s="39"/>
      <c r="PZM94" s="39"/>
      <c r="PZN94" s="39"/>
      <c r="PZO94" s="39"/>
      <c r="PZP94" s="39"/>
      <c r="PZQ94" s="39"/>
      <c r="PZR94" s="39"/>
      <c r="PZS94" s="39"/>
      <c r="PZT94" s="39"/>
      <c r="PZU94" s="39"/>
      <c r="PZV94" s="39"/>
      <c r="PZW94" s="39"/>
      <c r="PZX94" s="39"/>
      <c r="PZY94" s="39"/>
      <c r="PZZ94" s="39"/>
      <c r="QAA94" s="39"/>
      <c r="QAB94" s="39"/>
      <c r="QAC94" s="39"/>
      <c r="QAD94" s="39"/>
      <c r="QAE94" s="39"/>
      <c r="QAF94" s="39"/>
      <c r="QAG94" s="39"/>
      <c r="QAH94" s="39"/>
      <c r="QAI94" s="39"/>
      <c r="QAJ94" s="39"/>
      <c r="QAK94" s="39"/>
      <c r="QAL94" s="39"/>
      <c r="QAM94" s="39"/>
      <c r="QAN94" s="39"/>
      <c r="QAO94" s="39"/>
      <c r="QAP94" s="39"/>
      <c r="QAQ94" s="39"/>
      <c r="QAR94" s="39"/>
      <c r="QAS94" s="39"/>
      <c r="QAT94" s="39"/>
      <c r="QAU94" s="39"/>
      <c r="QAV94" s="39"/>
      <c r="QAW94" s="39"/>
      <c r="QAX94" s="39"/>
      <c r="QAY94" s="39"/>
      <c r="QAZ94" s="39"/>
      <c r="QBA94" s="39"/>
      <c r="QBB94" s="39"/>
      <c r="QBC94" s="39"/>
      <c r="QBD94" s="39"/>
      <c r="QBE94" s="39"/>
      <c r="QBF94" s="39"/>
      <c r="QBG94" s="39"/>
      <c r="QBH94" s="39"/>
      <c r="QBI94" s="39"/>
      <c r="QBJ94" s="39"/>
      <c r="QBK94" s="39"/>
      <c r="QBL94" s="39"/>
      <c r="QBM94" s="39"/>
      <c r="QBN94" s="39"/>
      <c r="QBO94" s="39"/>
      <c r="QBP94" s="39"/>
      <c r="QBQ94" s="39"/>
      <c r="QBR94" s="39"/>
      <c r="QBS94" s="39"/>
      <c r="QBT94" s="39"/>
      <c r="QBU94" s="39"/>
      <c r="QBV94" s="39"/>
      <c r="QBW94" s="39"/>
      <c r="QBX94" s="39"/>
      <c r="QBY94" s="39"/>
      <c r="QBZ94" s="39"/>
      <c r="QCA94" s="39"/>
      <c r="QCB94" s="39"/>
      <c r="QCC94" s="39"/>
      <c r="QCD94" s="39"/>
      <c r="QCE94" s="39"/>
      <c r="QCF94" s="39"/>
      <c r="QCG94" s="39"/>
      <c r="QCH94" s="39"/>
      <c r="QCI94" s="39"/>
      <c r="QCJ94" s="39"/>
      <c r="QCK94" s="39"/>
      <c r="QCL94" s="39"/>
      <c r="QCM94" s="39"/>
      <c r="QCN94" s="39"/>
      <c r="QCO94" s="39"/>
      <c r="QCP94" s="39"/>
      <c r="QCQ94" s="39"/>
      <c r="QCR94" s="39"/>
      <c r="QCS94" s="39"/>
      <c r="QCT94" s="39"/>
      <c r="QCU94" s="39"/>
      <c r="QCV94" s="39"/>
      <c r="QCW94" s="39"/>
      <c r="QCX94" s="39"/>
      <c r="QCY94" s="39"/>
      <c r="QCZ94" s="39"/>
      <c r="QDA94" s="39"/>
      <c r="QDB94" s="39"/>
      <c r="QDC94" s="39"/>
      <c r="QDD94" s="39"/>
      <c r="QDE94" s="39"/>
      <c r="QDF94" s="39"/>
      <c r="QDG94" s="39"/>
      <c r="QDH94" s="39"/>
      <c r="QDI94" s="39"/>
      <c r="QDJ94" s="39"/>
      <c r="QDK94" s="39"/>
      <c r="QDL94" s="39"/>
      <c r="QDM94" s="39"/>
      <c r="QDN94" s="39"/>
      <c r="QDO94" s="39"/>
      <c r="QDP94" s="39"/>
      <c r="QDQ94" s="39"/>
      <c r="QDR94" s="39"/>
      <c r="QDS94" s="39"/>
      <c r="QDT94" s="39"/>
      <c r="QDU94" s="39"/>
      <c r="QDV94" s="39"/>
      <c r="QDW94" s="39"/>
      <c r="QDX94" s="39"/>
      <c r="QDY94" s="39"/>
      <c r="QDZ94" s="39"/>
      <c r="QEA94" s="39"/>
      <c r="QEB94" s="39"/>
      <c r="QEC94" s="39"/>
      <c r="QED94" s="39"/>
      <c r="QEE94" s="39"/>
      <c r="QEF94" s="39"/>
      <c r="QEG94" s="39"/>
      <c r="QEH94" s="39"/>
      <c r="QEI94" s="39"/>
      <c r="QEJ94" s="39"/>
      <c r="QEK94" s="39"/>
      <c r="QEL94" s="39"/>
      <c r="QEM94" s="39"/>
      <c r="QEN94" s="39"/>
      <c r="QEO94" s="39"/>
      <c r="QEP94" s="39"/>
      <c r="QEQ94" s="39"/>
      <c r="QER94" s="39"/>
      <c r="QES94" s="39"/>
      <c r="QET94" s="39"/>
      <c r="QEU94" s="39"/>
      <c r="QEV94" s="39"/>
      <c r="QEW94" s="39"/>
      <c r="QEX94" s="39"/>
      <c r="QEY94" s="39"/>
      <c r="QEZ94" s="39"/>
      <c r="QFA94" s="39"/>
      <c r="QFB94" s="39"/>
      <c r="QFC94" s="39"/>
      <c r="QFD94" s="39"/>
      <c r="QFE94" s="39"/>
      <c r="QFF94" s="39"/>
      <c r="QFG94" s="39"/>
      <c r="QFH94" s="39"/>
      <c r="QFI94" s="39"/>
      <c r="QFJ94" s="39"/>
      <c r="QFK94" s="39"/>
      <c r="QFL94" s="39"/>
      <c r="QFM94" s="39"/>
      <c r="QFN94" s="39"/>
      <c r="QFO94" s="39"/>
      <c r="QFP94" s="39"/>
      <c r="QFQ94" s="39"/>
      <c r="QFR94" s="39"/>
      <c r="QFS94" s="39"/>
      <c r="QFT94" s="39"/>
      <c r="QFU94" s="39"/>
      <c r="QFV94" s="39"/>
      <c r="QFW94" s="39"/>
      <c r="QFX94" s="39"/>
      <c r="QFY94" s="39"/>
      <c r="QFZ94" s="39"/>
      <c r="QGA94" s="39"/>
      <c r="QGB94" s="39"/>
      <c r="QGC94" s="39"/>
      <c r="QGD94" s="39"/>
      <c r="QGE94" s="39"/>
      <c r="QGF94" s="39"/>
      <c r="QGG94" s="39"/>
      <c r="QGH94" s="39"/>
      <c r="QGI94" s="39"/>
      <c r="QGJ94" s="39"/>
      <c r="QGK94" s="39"/>
      <c r="QGL94" s="39"/>
      <c r="QGM94" s="39"/>
      <c r="QGN94" s="39"/>
      <c r="QGO94" s="39"/>
      <c r="QGP94" s="39"/>
      <c r="QGQ94" s="39"/>
      <c r="QGR94" s="39"/>
      <c r="QGS94" s="39"/>
      <c r="QGT94" s="39"/>
      <c r="QGU94" s="39"/>
      <c r="QGV94" s="39"/>
      <c r="QGW94" s="39"/>
      <c r="QGX94" s="39"/>
      <c r="QGY94" s="39"/>
      <c r="QGZ94" s="39"/>
      <c r="QHA94" s="39"/>
      <c r="QHB94" s="39"/>
      <c r="QHC94" s="39"/>
      <c r="QHD94" s="39"/>
      <c r="QHE94" s="39"/>
      <c r="QHF94" s="39"/>
      <c r="QHG94" s="39"/>
      <c r="QHH94" s="39"/>
      <c r="QHI94" s="39"/>
      <c r="QHJ94" s="39"/>
      <c r="QHK94" s="39"/>
      <c r="QHL94" s="39"/>
      <c r="QHM94" s="39"/>
      <c r="QHN94" s="39"/>
      <c r="QHO94" s="39"/>
      <c r="QHP94" s="39"/>
      <c r="QHQ94" s="39"/>
      <c r="QHR94" s="39"/>
      <c r="QHS94" s="39"/>
      <c r="QHT94" s="39"/>
      <c r="QHU94" s="39"/>
      <c r="QHV94" s="39"/>
      <c r="QHW94" s="39"/>
      <c r="QHX94" s="39"/>
      <c r="QHY94" s="39"/>
      <c r="QHZ94" s="39"/>
      <c r="QIA94" s="39"/>
      <c r="QIB94" s="39"/>
      <c r="QIC94" s="39"/>
      <c r="QID94" s="39"/>
      <c r="QIE94" s="39"/>
      <c r="QIF94" s="39"/>
      <c r="QIG94" s="39"/>
      <c r="QIH94" s="39"/>
      <c r="QII94" s="39"/>
      <c r="QIJ94" s="39"/>
      <c r="QIK94" s="39"/>
      <c r="QIL94" s="39"/>
      <c r="QIM94" s="39"/>
      <c r="QIN94" s="39"/>
      <c r="QIO94" s="39"/>
      <c r="QIP94" s="39"/>
      <c r="QIQ94" s="39"/>
      <c r="QIR94" s="39"/>
      <c r="QIS94" s="39"/>
      <c r="QIT94" s="39"/>
      <c r="QIU94" s="39"/>
      <c r="QIV94" s="39"/>
      <c r="QIW94" s="39"/>
      <c r="QIX94" s="39"/>
      <c r="QIY94" s="39"/>
      <c r="QIZ94" s="39"/>
      <c r="QJA94" s="39"/>
      <c r="QJB94" s="39"/>
      <c r="QJC94" s="39"/>
      <c r="QJD94" s="39"/>
      <c r="QJE94" s="39"/>
      <c r="QJF94" s="39"/>
      <c r="QJG94" s="39"/>
      <c r="QJH94" s="39"/>
      <c r="QJI94" s="39"/>
      <c r="QJJ94" s="39"/>
      <c r="QJK94" s="39"/>
      <c r="QJL94" s="39"/>
      <c r="QJM94" s="39"/>
      <c r="QJN94" s="39"/>
      <c r="QJO94" s="39"/>
      <c r="QJP94" s="39"/>
      <c r="QJQ94" s="39"/>
      <c r="QJR94" s="39"/>
      <c r="QJS94" s="39"/>
      <c r="QJT94" s="39"/>
      <c r="QJU94" s="39"/>
      <c r="QJV94" s="39"/>
      <c r="QJW94" s="39"/>
      <c r="QJX94" s="39"/>
      <c r="QJY94" s="39"/>
      <c r="QJZ94" s="39"/>
      <c r="QKA94" s="39"/>
      <c r="QKB94" s="39"/>
      <c r="QKC94" s="39"/>
      <c r="QKD94" s="39"/>
      <c r="QKE94" s="39"/>
      <c r="QKF94" s="39"/>
      <c r="QKG94" s="39"/>
      <c r="QKH94" s="39"/>
      <c r="QKI94" s="39"/>
      <c r="QKJ94" s="39"/>
      <c r="QKK94" s="39"/>
      <c r="QKL94" s="39"/>
      <c r="QKM94" s="39"/>
      <c r="QKN94" s="39"/>
      <c r="QKO94" s="39"/>
      <c r="QKP94" s="39"/>
      <c r="QKQ94" s="39"/>
      <c r="QKR94" s="39"/>
      <c r="QKS94" s="39"/>
      <c r="QKT94" s="39"/>
      <c r="QKU94" s="39"/>
      <c r="QKV94" s="39"/>
      <c r="QKW94" s="39"/>
      <c r="QKX94" s="39"/>
      <c r="QKY94" s="39"/>
      <c r="QKZ94" s="39"/>
      <c r="QLA94" s="39"/>
      <c r="QLB94" s="39"/>
      <c r="QLC94" s="39"/>
      <c r="QLD94" s="39"/>
      <c r="QLE94" s="39"/>
      <c r="QLF94" s="39"/>
      <c r="QLG94" s="39"/>
      <c r="QLH94" s="39"/>
      <c r="QLI94" s="39"/>
      <c r="QLJ94" s="39"/>
      <c r="QLK94" s="39"/>
      <c r="QLL94" s="39"/>
      <c r="QLM94" s="39"/>
      <c r="QLN94" s="39"/>
      <c r="QLO94" s="39"/>
      <c r="QLP94" s="39"/>
      <c r="QLQ94" s="39"/>
      <c r="QLR94" s="39"/>
      <c r="QLS94" s="39"/>
      <c r="QLT94" s="39"/>
      <c r="QLU94" s="39"/>
      <c r="QLV94" s="39"/>
      <c r="QLW94" s="39"/>
      <c r="QLX94" s="39"/>
      <c r="QLY94" s="39"/>
      <c r="QLZ94" s="39"/>
      <c r="QMA94" s="39"/>
      <c r="QMB94" s="39"/>
      <c r="QMC94" s="39"/>
      <c r="QMD94" s="39"/>
      <c r="QME94" s="39"/>
      <c r="QMF94" s="39"/>
      <c r="QMG94" s="39"/>
      <c r="QMH94" s="39"/>
      <c r="QMI94" s="39"/>
      <c r="QMJ94" s="39"/>
      <c r="QMK94" s="39"/>
      <c r="QML94" s="39"/>
      <c r="QMM94" s="39"/>
      <c r="QMN94" s="39"/>
      <c r="QMO94" s="39"/>
      <c r="QMP94" s="39"/>
      <c r="QMQ94" s="39"/>
      <c r="QMR94" s="39"/>
      <c r="QMS94" s="39"/>
      <c r="QMT94" s="39"/>
      <c r="QMU94" s="39"/>
      <c r="QMV94" s="39"/>
      <c r="QMW94" s="39"/>
      <c r="QMX94" s="39"/>
      <c r="QMY94" s="39"/>
      <c r="QMZ94" s="39"/>
      <c r="QNA94" s="39"/>
      <c r="QNB94" s="39"/>
      <c r="QNC94" s="39"/>
      <c r="QND94" s="39"/>
      <c r="QNE94" s="39"/>
      <c r="QNF94" s="39"/>
      <c r="QNG94" s="39"/>
      <c r="QNH94" s="39"/>
      <c r="QNI94" s="39"/>
      <c r="QNJ94" s="39"/>
      <c r="QNK94" s="39"/>
      <c r="QNL94" s="39"/>
      <c r="QNM94" s="39"/>
      <c r="QNN94" s="39"/>
      <c r="QNO94" s="39"/>
      <c r="QNP94" s="39"/>
      <c r="QNQ94" s="39"/>
      <c r="QNR94" s="39"/>
      <c r="QNS94" s="39"/>
      <c r="QNT94" s="39"/>
      <c r="QNU94" s="39"/>
      <c r="QNV94" s="39"/>
      <c r="QNW94" s="39"/>
      <c r="QNX94" s="39"/>
      <c r="QNY94" s="39"/>
      <c r="QNZ94" s="39"/>
      <c r="QOA94" s="39"/>
      <c r="QOB94" s="39"/>
      <c r="QOC94" s="39"/>
      <c r="QOD94" s="39"/>
      <c r="QOE94" s="39"/>
      <c r="QOF94" s="39"/>
      <c r="QOG94" s="39"/>
      <c r="QOH94" s="39"/>
      <c r="QOI94" s="39"/>
      <c r="QOJ94" s="39"/>
      <c r="QOK94" s="39"/>
      <c r="QOL94" s="39"/>
      <c r="QOM94" s="39"/>
      <c r="QON94" s="39"/>
      <c r="QOO94" s="39"/>
      <c r="QOP94" s="39"/>
      <c r="QOQ94" s="39"/>
      <c r="QOR94" s="39"/>
      <c r="QOS94" s="39"/>
      <c r="QOT94" s="39"/>
      <c r="QOU94" s="39"/>
      <c r="QOV94" s="39"/>
      <c r="QOW94" s="39"/>
      <c r="QOX94" s="39"/>
      <c r="QOY94" s="39"/>
      <c r="QOZ94" s="39"/>
      <c r="QPA94" s="39"/>
      <c r="QPB94" s="39"/>
      <c r="QPC94" s="39"/>
      <c r="QPD94" s="39"/>
      <c r="QPE94" s="39"/>
      <c r="QPF94" s="39"/>
      <c r="QPG94" s="39"/>
      <c r="QPH94" s="39"/>
      <c r="QPI94" s="39"/>
      <c r="QPJ94" s="39"/>
      <c r="QPK94" s="39"/>
      <c r="QPL94" s="39"/>
      <c r="QPM94" s="39"/>
      <c r="QPN94" s="39"/>
      <c r="QPO94" s="39"/>
      <c r="QPP94" s="39"/>
      <c r="QPQ94" s="39"/>
      <c r="QPR94" s="39"/>
      <c r="QPS94" s="39"/>
      <c r="QPT94" s="39"/>
      <c r="QPU94" s="39"/>
      <c r="QPV94" s="39"/>
      <c r="QPW94" s="39"/>
      <c r="QPX94" s="39"/>
      <c r="QPY94" s="39"/>
      <c r="QPZ94" s="39"/>
      <c r="QQA94" s="39"/>
      <c r="QQB94" s="39"/>
      <c r="QQC94" s="39"/>
      <c r="QQD94" s="39"/>
      <c r="QQE94" s="39"/>
      <c r="QQF94" s="39"/>
      <c r="QQG94" s="39"/>
      <c r="QQH94" s="39"/>
      <c r="QQI94" s="39"/>
      <c r="QQJ94" s="39"/>
      <c r="QQK94" s="39"/>
      <c r="QQL94" s="39"/>
      <c r="QQM94" s="39"/>
      <c r="QQN94" s="39"/>
      <c r="QQO94" s="39"/>
      <c r="QQP94" s="39"/>
      <c r="QQQ94" s="39"/>
      <c r="QQR94" s="39"/>
      <c r="QQS94" s="39"/>
      <c r="QQT94" s="39"/>
      <c r="QQU94" s="39"/>
      <c r="QQV94" s="39"/>
      <c r="QQW94" s="39"/>
      <c r="QQX94" s="39"/>
      <c r="QQY94" s="39"/>
      <c r="QQZ94" s="39"/>
      <c r="QRA94" s="39"/>
      <c r="QRB94" s="39"/>
      <c r="QRC94" s="39"/>
      <c r="QRD94" s="39"/>
      <c r="QRE94" s="39"/>
      <c r="QRF94" s="39"/>
      <c r="QRG94" s="39"/>
      <c r="QRH94" s="39"/>
      <c r="QRI94" s="39"/>
      <c r="QRJ94" s="39"/>
      <c r="QRK94" s="39"/>
      <c r="QRL94" s="39"/>
      <c r="QRM94" s="39"/>
      <c r="QRN94" s="39"/>
      <c r="QRO94" s="39"/>
      <c r="QRP94" s="39"/>
      <c r="QRQ94" s="39"/>
      <c r="QRR94" s="39"/>
      <c r="QRS94" s="39"/>
      <c r="QRT94" s="39"/>
      <c r="QRU94" s="39"/>
      <c r="QRV94" s="39"/>
      <c r="QRW94" s="39"/>
      <c r="QRX94" s="39"/>
      <c r="QRY94" s="39"/>
      <c r="QRZ94" s="39"/>
      <c r="QSA94" s="39"/>
      <c r="QSB94" s="39"/>
      <c r="QSC94" s="39"/>
      <c r="QSD94" s="39"/>
      <c r="QSE94" s="39"/>
      <c r="QSF94" s="39"/>
      <c r="QSG94" s="39"/>
      <c r="QSH94" s="39"/>
      <c r="QSI94" s="39"/>
      <c r="QSJ94" s="39"/>
      <c r="QSK94" s="39"/>
      <c r="QSL94" s="39"/>
      <c r="QSM94" s="39"/>
      <c r="QSN94" s="39"/>
      <c r="QSO94" s="39"/>
      <c r="QSP94" s="39"/>
      <c r="QSQ94" s="39"/>
      <c r="QSR94" s="39"/>
      <c r="QSS94" s="39"/>
      <c r="QST94" s="39"/>
      <c r="QSU94" s="39"/>
      <c r="QSV94" s="39"/>
      <c r="QSW94" s="39"/>
      <c r="QSX94" s="39"/>
      <c r="QSY94" s="39"/>
      <c r="QSZ94" s="39"/>
      <c r="QTA94" s="39"/>
      <c r="QTB94" s="39"/>
      <c r="QTC94" s="39"/>
      <c r="QTD94" s="39"/>
      <c r="QTE94" s="39"/>
      <c r="QTF94" s="39"/>
      <c r="QTG94" s="39"/>
      <c r="QTH94" s="39"/>
      <c r="QTI94" s="39"/>
      <c r="QTJ94" s="39"/>
      <c r="QTK94" s="39"/>
      <c r="QTL94" s="39"/>
      <c r="QTM94" s="39"/>
      <c r="QTN94" s="39"/>
      <c r="QTO94" s="39"/>
      <c r="QTP94" s="39"/>
      <c r="QTQ94" s="39"/>
      <c r="QTR94" s="39"/>
      <c r="QTS94" s="39"/>
      <c r="QTT94" s="39"/>
      <c r="QTU94" s="39"/>
      <c r="QTV94" s="39"/>
      <c r="QTW94" s="39"/>
      <c r="QTX94" s="39"/>
      <c r="QTY94" s="39"/>
      <c r="QTZ94" s="39"/>
      <c r="QUA94" s="39"/>
      <c r="QUB94" s="39"/>
      <c r="QUC94" s="39"/>
      <c r="QUD94" s="39"/>
      <c r="QUE94" s="39"/>
      <c r="QUF94" s="39"/>
      <c r="QUG94" s="39"/>
      <c r="QUH94" s="39"/>
      <c r="QUI94" s="39"/>
      <c r="QUJ94" s="39"/>
      <c r="QUK94" s="39"/>
      <c r="QUL94" s="39"/>
      <c r="QUM94" s="39"/>
      <c r="QUN94" s="39"/>
      <c r="QUO94" s="39"/>
      <c r="QUP94" s="39"/>
      <c r="QUQ94" s="39"/>
      <c r="QUR94" s="39"/>
      <c r="QUS94" s="39"/>
      <c r="QUT94" s="39"/>
      <c r="QUU94" s="39"/>
      <c r="QUV94" s="39"/>
      <c r="QUW94" s="39"/>
      <c r="QUX94" s="39"/>
      <c r="QUY94" s="39"/>
      <c r="QUZ94" s="39"/>
      <c r="QVA94" s="39"/>
      <c r="QVB94" s="39"/>
      <c r="QVC94" s="39"/>
      <c r="QVD94" s="39"/>
      <c r="QVE94" s="39"/>
      <c r="QVF94" s="39"/>
      <c r="QVG94" s="39"/>
      <c r="QVH94" s="39"/>
      <c r="QVI94" s="39"/>
      <c r="QVJ94" s="39"/>
      <c r="QVK94" s="39"/>
      <c r="QVL94" s="39"/>
      <c r="QVM94" s="39"/>
      <c r="QVN94" s="39"/>
      <c r="QVO94" s="39"/>
      <c r="QVP94" s="39"/>
      <c r="QVQ94" s="39"/>
      <c r="QVR94" s="39"/>
      <c r="QVS94" s="39"/>
      <c r="QVT94" s="39"/>
      <c r="QVU94" s="39"/>
      <c r="QVV94" s="39"/>
      <c r="QVW94" s="39"/>
      <c r="QVX94" s="39"/>
      <c r="QVY94" s="39"/>
      <c r="QVZ94" s="39"/>
      <c r="QWA94" s="39"/>
      <c r="QWB94" s="39"/>
      <c r="QWC94" s="39"/>
      <c r="QWD94" s="39"/>
      <c r="QWE94" s="39"/>
      <c r="QWF94" s="39"/>
      <c r="QWG94" s="39"/>
      <c r="QWH94" s="39"/>
      <c r="QWI94" s="39"/>
      <c r="QWJ94" s="39"/>
      <c r="QWK94" s="39"/>
      <c r="QWL94" s="39"/>
      <c r="QWM94" s="39"/>
      <c r="QWN94" s="39"/>
      <c r="QWO94" s="39"/>
      <c r="QWP94" s="39"/>
      <c r="QWQ94" s="39"/>
      <c r="QWR94" s="39"/>
      <c r="QWS94" s="39"/>
      <c r="QWT94" s="39"/>
      <c r="QWU94" s="39"/>
      <c r="QWV94" s="39"/>
      <c r="QWW94" s="39"/>
      <c r="QWX94" s="39"/>
      <c r="QWY94" s="39"/>
      <c r="QWZ94" s="39"/>
      <c r="QXA94" s="39"/>
      <c r="QXB94" s="39"/>
      <c r="QXC94" s="39"/>
      <c r="QXD94" s="39"/>
      <c r="QXE94" s="39"/>
      <c r="QXF94" s="39"/>
      <c r="QXG94" s="39"/>
      <c r="QXH94" s="39"/>
      <c r="QXI94" s="39"/>
      <c r="QXJ94" s="39"/>
      <c r="QXK94" s="39"/>
      <c r="QXL94" s="39"/>
      <c r="QXM94" s="39"/>
      <c r="QXN94" s="39"/>
      <c r="QXO94" s="39"/>
      <c r="QXP94" s="39"/>
      <c r="QXQ94" s="39"/>
      <c r="QXR94" s="39"/>
      <c r="QXS94" s="39"/>
      <c r="QXT94" s="39"/>
      <c r="QXU94" s="39"/>
      <c r="QXV94" s="39"/>
      <c r="QXW94" s="39"/>
      <c r="QXX94" s="39"/>
      <c r="QXY94" s="39"/>
      <c r="QXZ94" s="39"/>
      <c r="QYA94" s="39"/>
      <c r="QYB94" s="39"/>
      <c r="QYC94" s="39"/>
      <c r="QYD94" s="39"/>
      <c r="QYE94" s="39"/>
      <c r="QYF94" s="39"/>
      <c r="QYG94" s="39"/>
      <c r="QYH94" s="39"/>
      <c r="QYI94" s="39"/>
      <c r="QYJ94" s="39"/>
      <c r="QYK94" s="39"/>
      <c r="QYL94" s="39"/>
      <c r="QYM94" s="39"/>
      <c r="QYN94" s="39"/>
      <c r="QYO94" s="39"/>
      <c r="QYP94" s="39"/>
      <c r="QYQ94" s="39"/>
      <c r="QYR94" s="39"/>
      <c r="QYS94" s="39"/>
      <c r="QYT94" s="39"/>
      <c r="QYU94" s="39"/>
      <c r="QYV94" s="39"/>
      <c r="QYW94" s="39"/>
      <c r="QYX94" s="39"/>
      <c r="QYY94" s="39"/>
      <c r="QYZ94" s="39"/>
      <c r="QZA94" s="39"/>
      <c r="QZB94" s="39"/>
      <c r="QZC94" s="39"/>
      <c r="QZD94" s="39"/>
      <c r="QZE94" s="39"/>
      <c r="QZF94" s="39"/>
      <c r="QZG94" s="39"/>
      <c r="QZH94" s="39"/>
      <c r="QZI94" s="39"/>
      <c r="QZJ94" s="39"/>
      <c r="QZK94" s="39"/>
      <c r="QZL94" s="39"/>
      <c r="QZM94" s="39"/>
      <c r="QZN94" s="39"/>
      <c r="QZO94" s="39"/>
      <c r="QZP94" s="39"/>
      <c r="QZQ94" s="39"/>
      <c r="QZR94" s="39"/>
      <c r="QZS94" s="39"/>
      <c r="QZT94" s="39"/>
      <c r="QZU94" s="39"/>
      <c r="QZV94" s="39"/>
      <c r="QZW94" s="39"/>
      <c r="QZX94" s="39"/>
      <c r="QZY94" s="39"/>
      <c r="QZZ94" s="39"/>
      <c r="RAA94" s="39"/>
      <c r="RAB94" s="39"/>
      <c r="RAC94" s="39"/>
      <c r="RAD94" s="39"/>
      <c r="RAE94" s="39"/>
      <c r="RAF94" s="39"/>
      <c r="RAG94" s="39"/>
      <c r="RAH94" s="39"/>
      <c r="RAI94" s="39"/>
      <c r="RAJ94" s="39"/>
      <c r="RAK94" s="39"/>
      <c r="RAL94" s="39"/>
      <c r="RAM94" s="39"/>
      <c r="RAN94" s="39"/>
      <c r="RAO94" s="39"/>
      <c r="RAP94" s="39"/>
      <c r="RAQ94" s="39"/>
      <c r="RAR94" s="39"/>
      <c r="RAS94" s="39"/>
      <c r="RAT94" s="39"/>
      <c r="RAU94" s="39"/>
      <c r="RAV94" s="39"/>
      <c r="RAW94" s="39"/>
      <c r="RAX94" s="39"/>
      <c r="RAY94" s="39"/>
      <c r="RAZ94" s="39"/>
      <c r="RBA94" s="39"/>
      <c r="RBB94" s="39"/>
      <c r="RBC94" s="39"/>
      <c r="RBD94" s="39"/>
      <c r="RBE94" s="39"/>
      <c r="RBF94" s="39"/>
      <c r="RBG94" s="39"/>
      <c r="RBH94" s="39"/>
      <c r="RBI94" s="39"/>
      <c r="RBJ94" s="39"/>
      <c r="RBK94" s="39"/>
      <c r="RBL94" s="39"/>
      <c r="RBM94" s="39"/>
      <c r="RBN94" s="39"/>
      <c r="RBO94" s="39"/>
      <c r="RBP94" s="39"/>
      <c r="RBQ94" s="39"/>
      <c r="RBR94" s="39"/>
      <c r="RBS94" s="39"/>
      <c r="RBT94" s="39"/>
      <c r="RBU94" s="39"/>
      <c r="RBV94" s="39"/>
      <c r="RBW94" s="39"/>
      <c r="RBX94" s="39"/>
      <c r="RBY94" s="39"/>
      <c r="RBZ94" s="39"/>
      <c r="RCA94" s="39"/>
      <c r="RCB94" s="39"/>
      <c r="RCC94" s="39"/>
      <c r="RCD94" s="39"/>
      <c r="RCE94" s="39"/>
      <c r="RCF94" s="39"/>
      <c r="RCG94" s="39"/>
      <c r="RCH94" s="39"/>
      <c r="RCI94" s="39"/>
      <c r="RCJ94" s="39"/>
      <c r="RCK94" s="39"/>
      <c r="RCL94" s="39"/>
      <c r="RCM94" s="39"/>
      <c r="RCN94" s="39"/>
      <c r="RCO94" s="39"/>
      <c r="RCP94" s="39"/>
      <c r="RCQ94" s="39"/>
      <c r="RCR94" s="39"/>
      <c r="RCS94" s="39"/>
      <c r="RCT94" s="39"/>
      <c r="RCU94" s="39"/>
      <c r="RCV94" s="39"/>
      <c r="RCW94" s="39"/>
      <c r="RCX94" s="39"/>
      <c r="RCY94" s="39"/>
      <c r="RCZ94" s="39"/>
      <c r="RDA94" s="39"/>
      <c r="RDB94" s="39"/>
      <c r="RDC94" s="39"/>
      <c r="RDD94" s="39"/>
      <c r="RDE94" s="39"/>
      <c r="RDF94" s="39"/>
      <c r="RDG94" s="39"/>
      <c r="RDH94" s="39"/>
      <c r="RDI94" s="39"/>
      <c r="RDJ94" s="39"/>
      <c r="RDK94" s="39"/>
      <c r="RDL94" s="39"/>
      <c r="RDM94" s="39"/>
      <c r="RDN94" s="39"/>
      <c r="RDO94" s="39"/>
      <c r="RDP94" s="39"/>
      <c r="RDQ94" s="39"/>
      <c r="RDR94" s="39"/>
      <c r="RDS94" s="39"/>
      <c r="RDT94" s="39"/>
      <c r="RDU94" s="39"/>
      <c r="RDV94" s="39"/>
      <c r="RDW94" s="39"/>
      <c r="RDX94" s="39"/>
      <c r="RDY94" s="39"/>
      <c r="RDZ94" s="39"/>
      <c r="REA94" s="39"/>
      <c r="REB94" s="39"/>
      <c r="REC94" s="39"/>
      <c r="RED94" s="39"/>
      <c r="REE94" s="39"/>
      <c r="REF94" s="39"/>
      <c r="REG94" s="39"/>
      <c r="REH94" s="39"/>
      <c r="REI94" s="39"/>
      <c r="REJ94" s="39"/>
      <c r="REK94" s="39"/>
      <c r="REL94" s="39"/>
      <c r="REM94" s="39"/>
      <c r="REN94" s="39"/>
      <c r="REO94" s="39"/>
      <c r="REP94" s="39"/>
      <c r="REQ94" s="39"/>
      <c r="RER94" s="39"/>
      <c r="RES94" s="39"/>
      <c r="RET94" s="39"/>
      <c r="REU94" s="39"/>
      <c r="REV94" s="39"/>
      <c r="REW94" s="39"/>
      <c r="REX94" s="39"/>
      <c r="REY94" s="39"/>
      <c r="REZ94" s="39"/>
      <c r="RFA94" s="39"/>
      <c r="RFB94" s="39"/>
      <c r="RFC94" s="39"/>
      <c r="RFD94" s="39"/>
      <c r="RFE94" s="39"/>
      <c r="RFF94" s="39"/>
      <c r="RFG94" s="39"/>
      <c r="RFH94" s="39"/>
      <c r="RFI94" s="39"/>
      <c r="RFJ94" s="39"/>
      <c r="RFK94" s="39"/>
      <c r="RFL94" s="39"/>
      <c r="RFM94" s="39"/>
      <c r="RFN94" s="39"/>
      <c r="RFO94" s="39"/>
      <c r="RFP94" s="39"/>
      <c r="RFQ94" s="39"/>
      <c r="RFR94" s="39"/>
      <c r="RFS94" s="39"/>
      <c r="RFT94" s="39"/>
      <c r="RFU94" s="39"/>
      <c r="RFV94" s="39"/>
      <c r="RFW94" s="39"/>
      <c r="RFX94" s="39"/>
      <c r="RFY94" s="39"/>
      <c r="RFZ94" s="39"/>
      <c r="RGA94" s="39"/>
      <c r="RGB94" s="39"/>
      <c r="RGC94" s="39"/>
      <c r="RGD94" s="39"/>
      <c r="RGE94" s="39"/>
      <c r="RGF94" s="39"/>
      <c r="RGG94" s="39"/>
      <c r="RGH94" s="39"/>
      <c r="RGI94" s="39"/>
      <c r="RGJ94" s="39"/>
      <c r="RGK94" s="39"/>
      <c r="RGL94" s="39"/>
      <c r="RGM94" s="39"/>
      <c r="RGN94" s="39"/>
      <c r="RGO94" s="39"/>
      <c r="RGP94" s="39"/>
      <c r="RGQ94" s="39"/>
      <c r="RGR94" s="39"/>
      <c r="RGS94" s="39"/>
      <c r="RGT94" s="39"/>
      <c r="RGU94" s="39"/>
      <c r="RGV94" s="39"/>
      <c r="RGW94" s="39"/>
      <c r="RGX94" s="39"/>
      <c r="RGY94" s="39"/>
      <c r="RGZ94" s="39"/>
      <c r="RHA94" s="39"/>
      <c r="RHB94" s="39"/>
      <c r="RHC94" s="39"/>
      <c r="RHD94" s="39"/>
      <c r="RHE94" s="39"/>
      <c r="RHF94" s="39"/>
      <c r="RHG94" s="39"/>
      <c r="RHH94" s="39"/>
      <c r="RHI94" s="39"/>
      <c r="RHJ94" s="39"/>
      <c r="RHK94" s="39"/>
      <c r="RHL94" s="39"/>
      <c r="RHM94" s="39"/>
      <c r="RHN94" s="39"/>
      <c r="RHO94" s="39"/>
      <c r="RHP94" s="39"/>
      <c r="RHQ94" s="39"/>
      <c r="RHR94" s="39"/>
      <c r="RHS94" s="39"/>
      <c r="RHT94" s="39"/>
      <c r="RHU94" s="39"/>
      <c r="RHV94" s="39"/>
      <c r="RHW94" s="39"/>
      <c r="RHX94" s="39"/>
      <c r="RHY94" s="39"/>
      <c r="RHZ94" s="39"/>
      <c r="RIA94" s="39"/>
      <c r="RIB94" s="39"/>
      <c r="RIC94" s="39"/>
      <c r="RID94" s="39"/>
      <c r="RIE94" s="39"/>
      <c r="RIF94" s="39"/>
      <c r="RIG94" s="39"/>
      <c r="RIH94" s="39"/>
      <c r="RII94" s="39"/>
      <c r="RIJ94" s="39"/>
      <c r="RIK94" s="39"/>
      <c r="RIL94" s="39"/>
      <c r="RIM94" s="39"/>
      <c r="RIN94" s="39"/>
      <c r="RIO94" s="39"/>
      <c r="RIP94" s="39"/>
      <c r="RIQ94" s="39"/>
      <c r="RIR94" s="39"/>
      <c r="RIS94" s="39"/>
      <c r="RIT94" s="39"/>
      <c r="RIU94" s="39"/>
      <c r="RIV94" s="39"/>
      <c r="RIW94" s="39"/>
      <c r="RIX94" s="39"/>
      <c r="RIY94" s="39"/>
      <c r="RIZ94" s="39"/>
      <c r="RJA94" s="39"/>
      <c r="RJB94" s="39"/>
      <c r="RJC94" s="39"/>
      <c r="RJD94" s="39"/>
      <c r="RJE94" s="39"/>
      <c r="RJF94" s="39"/>
      <c r="RJG94" s="39"/>
      <c r="RJH94" s="39"/>
      <c r="RJI94" s="39"/>
      <c r="RJJ94" s="39"/>
      <c r="RJK94" s="39"/>
      <c r="RJL94" s="39"/>
      <c r="RJM94" s="39"/>
      <c r="RJN94" s="39"/>
      <c r="RJO94" s="39"/>
      <c r="RJP94" s="39"/>
      <c r="RJQ94" s="39"/>
      <c r="RJR94" s="39"/>
      <c r="RJS94" s="39"/>
      <c r="RJT94" s="39"/>
      <c r="RJU94" s="39"/>
      <c r="RJV94" s="39"/>
      <c r="RJW94" s="39"/>
      <c r="RJX94" s="39"/>
      <c r="RJY94" s="39"/>
      <c r="RJZ94" s="39"/>
      <c r="RKA94" s="39"/>
      <c r="RKB94" s="39"/>
      <c r="RKC94" s="39"/>
      <c r="RKD94" s="39"/>
      <c r="RKE94" s="39"/>
      <c r="RKF94" s="39"/>
      <c r="RKG94" s="39"/>
      <c r="RKH94" s="39"/>
      <c r="RKI94" s="39"/>
      <c r="RKJ94" s="39"/>
      <c r="RKK94" s="39"/>
      <c r="RKL94" s="39"/>
      <c r="RKM94" s="39"/>
      <c r="RKN94" s="39"/>
      <c r="RKO94" s="39"/>
      <c r="RKP94" s="39"/>
      <c r="RKQ94" s="39"/>
      <c r="RKR94" s="39"/>
      <c r="RKS94" s="39"/>
      <c r="RKT94" s="39"/>
      <c r="RKU94" s="39"/>
      <c r="RKV94" s="39"/>
      <c r="RKW94" s="39"/>
      <c r="RKX94" s="39"/>
      <c r="RKY94" s="39"/>
      <c r="RKZ94" s="39"/>
      <c r="RLA94" s="39"/>
      <c r="RLB94" s="39"/>
      <c r="RLC94" s="39"/>
      <c r="RLD94" s="39"/>
      <c r="RLE94" s="39"/>
      <c r="RLF94" s="39"/>
      <c r="RLG94" s="39"/>
      <c r="RLH94" s="39"/>
      <c r="RLI94" s="39"/>
      <c r="RLJ94" s="39"/>
      <c r="RLK94" s="39"/>
      <c r="RLL94" s="39"/>
      <c r="RLM94" s="39"/>
      <c r="RLN94" s="39"/>
      <c r="RLO94" s="39"/>
      <c r="RLP94" s="39"/>
      <c r="RLQ94" s="39"/>
      <c r="RLR94" s="39"/>
      <c r="RLS94" s="39"/>
      <c r="RLT94" s="39"/>
      <c r="RLU94" s="39"/>
      <c r="RLV94" s="39"/>
      <c r="RLW94" s="39"/>
      <c r="RLX94" s="39"/>
      <c r="RLY94" s="39"/>
      <c r="RLZ94" s="39"/>
      <c r="RMA94" s="39"/>
      <c r="RMB94" s="39"/>
      <c r="RMC94" s="39"/>
      <c r="RMD94" s="39"/>
      <c r="RME94" s="39"/>
      <c r="RMF94" s="39"/>
      <c r="RMG94" s="39"/>
      <c r="RMH94" s="39"/>
      <c r="RMI94" s="39"/>
      <c r="RMJ94" s="39"/>
      <c r="RMK94" s="39"/>
      <c r="RML94" s="39"/>
      <c r="RMM94" s="39"/>
      <c r="RMN94" s="39"/>
      <c r="RMO94" s="39"/>
      <c r="RMP94" s="39"/>
      <c r="RMQ94" s="39"/>
      <c r="RMR94" s="39"/>
      <c r="RMS94" s="39"/>
      <c r="RMT94" s="39"/>
      <c r="RMU94" s="39"/>
      <c r="RMV94" s="39"/>
      <c r="RMW94" s="39"/>
      <c r="RMX94" s="39"/>
      <c r="RMY94" s="39"/>
      <c r="RMZ94" s="39"/>
      <c r="RNA94" s="39"/>
      <c r="RNB94" s="39"/>
      <c r="RNC94" s="39"/>
      <c r="RND94" s="39"/>
      <c r="RNE94" s="39"/>
      <c r="RNF94" s="39"/>
      <c r="RNG94" s="39"/>
      <c r="RNH94" s="39"/>
      <c r="RNI94" s="39"/>
      <c r="RNJ94" s="39"/>
      <c r="RNK94" s="39"/>
      <c r="RNL94" s="39"/>
      <c r="RNM94" s="39"/>
      <c r="RNN94" s="39"/>
      <c r="RNO94" s="39"/>
      <c r="RNP94" s="39"/>
      <c r="RNQ94" s="39"/>
      <c r="RNR94" s="39"/>
      <c r="RNS94" s="39"/>
      <c r="RNT94" s="39"/>
      <c r="RNU94" s="39"/>
      <c r="RNV94" s="39"/>
      <c r="RNW94" s="39"/>
      <c r="RNX94" s="39"/>
      <c r="RNY94" s="39"/>
      <c r="RNZ94" s="39"/>
      <c r="ROA94" s="39"/>
      <c r="ROB94" s="39"/>
      <c r="ROC94" s="39"/>
      <c r="ROD94" s="39"/>
      <c r="ROE94" s="39"/>
      <c r="ROF94" s="39"/>
      <c r="ROG94" s="39"/>
      <c r="ROH94" s="39"/>
      <c r="ROI94" s="39"/>
      <c r="ROJ94" s="39"/>
      <c r="ROK94" s="39"/>
      <c r="ROL94" s="39"/>
      <c r="ROM94" s="39"/>
      <c r="RON94" s="39"/>
      <c r="ROO94" s="39"/>
      <c r="ROP94" s="39"/>
      <c r="ROQ94" s="39"/>
      <c r="ROR94" s="39"/>
      <c r="ROS94" s="39"/>
      <c r="ROT94" s="39"/>
      <c r="ROU94" s="39"/>
      <c r="ROV94" s="39"/>
      <c r="ROW94" s="39"/>
      <c r="ROX94" s="39"/>
      <c r="ROY94" s="39"/>
      <c r="ROZ94" s="39"/>
      <c r="RPA94" s="39"/>
      <c r="RPB94" s="39"/>
      <c r="RPC94" s="39"/>
      <c r="RPD94" s="39"/>
      <c r="RPE94" s="39"/>
      <c r="RPF94" s="39"/>
      <c r="RPG94" s="39"/>
      <c r="RPH94" s="39"/>
      <c r="RPI94" s="39"/>
      <c r="RPJ94" s="39"/>
      <c r="RPK94" s="39"/>
      <c r="RPL94" s="39"/>
      <c r="RPM94" s="39"/>
      <c r="RPN94" s="39"/>
      <c r="RPO94" s="39"/>
      <c r="RPP94" s="39"/>
      <c r="RPQ94" s="39"/>
      <c r="RPR94" s="39"/>
      <c r="RPS94" s="39"/>
      <c r="RPT94" s="39"/>
      <c r="RPU94" s="39"/>
      <c r="RPV94" s="39"/>
      <c r="RPW94" s="39"/>
      <c r="RPX94" s="39"/>
      <c r="RPY94" s="39"/>
      <c r="RPZ94" s="39"/>
      <c r="RQA94" s="39"/>
      <c r="RQB94" s="39"/>
      <c r="RQC94" s="39"/>
      <c r="RQD94" s="39"/>
      <c r="RQE94" s="39"/>
      <c r="RQF94" s="39"/>
      <c r="RQG94" s="39"/>
      <c r="RQH94" s="39"/>
      <c r="RQI94" s="39"/>
      <c r="RQJ94" s="39"/>
      <c r="RQK94" s="39"/>
      <c r="RQL94" s="39"/>
      <c r="RQM94" s="39"/>
      <c r="RQN94" s="39"/>
      <c r="RQO94" s="39"/>
      <c r="RQP94" s="39"/>
      <c r="RQQ94" s="39"/>
      <c r="RQR94" s="39"/>
      <c r="RQS94" s="39"/>
      <c r="RQT94" s="39"/>
      <c r="RQU94" s="39"/>
      <c r="RQV94" s="39"/>
      <c r="RQW94" s="39"/>
      <c r="RQX94" s="39"/>
      <c r="RQY94" s="39"/>
      <c r="RQZ94" s="39"/>
      <c r="RRA94" s="39"/>
      <c r="RRB94" s="39"/>
      <c r="RRC94" s="39"/>
      <c r="RRD94" s="39"/>
      <c r="RRE94" s="39"/>
      <c r="RRF94" s="39"/>
      <c r="RRG94" s="39"/>
      <c r="RRH94" s="39"/>
      <c r="RRI94" s="39"/>
      <c r="RRJ94" s="39"/>
      <c r="RRK94" s="39"/>
      <c r="RRL94" s="39"/>
      <c r="RRM94" s="39"/>
      <c r="RRN94" s="39"/>
      <c r="RRO94" s="39"/>
      <c r="RRP94" s="39"/>
      <c r="RRQ94" s="39"/>
      <c r="RRR94" s="39"/>
      <c r="RRS94" s="39"/>
      <c r="RRT94" s="39"/>
      <c r="RRU94" s="39"/>
      <c r="RRV94" s="39"/>
      <c r="RRW94" s="39"/>
      <c r="RRX94" s="39"/>
      <c r="RRY94" s="39"/>
      <c r="RRZ94" s="39"/>
      <c r="RSA94" s="39"/>
      <c r="RSB94" s="39"/>
      <c r="RSC94" s="39"/>
      <c r="RSD94" s="39"/>
      <c r="RSE94" s="39"/>
      <c r="RSF94" s="39"/>
      <c r="RSG94" s="39"/>
      <c r="RSH94" s="39"/>
      <c r="RSI94" s="39"/>
      <c r="RSJ94" s="39"/>
      <c r="RSK94" s="39"/>
      <c r="RSL94" s="39"/>
      <c r="RSM94" s="39"/>
      <c r="RSN94" s="39"/>
      <c r="RSO94" s="39"/>
      <c r="RSP94" s="39"/>
      <c r="RSQ94" s="39"/>
      <c r="RSR94" s="39"/>
      <c r="RSS94" s="39"/>
      <c r="RST94" s="39"/>
      <c r="RSU94" s="39"/>
      <c r="RSV94" s="39"/>
      <c r="RSW94" s="39"/>
      <c r="RSX94" s="39"/>
      <c r="RSY94" s="39"/>
      <c r="RSZ94" s="39"/>
      <c r="RTA94" s="39"/>
      <c r="RTB94" s="39"/>
      <c r="RTC94" s="39"/>
      <c r="RTD94" s="39"/>
      <c r="RTE94" s="39"/>
      <c r="RTF94" s="39"/>
      <c r="RTG94" s="39"/>
      <c r="RTH94" s="39"/>
      <c r="RTI94" s="39"/>
      <c r="RTJ94" s="39"/>
      <c r="RTK94" s="39"/>
      <c r="RTL94" s="39"/>
      <c r="RTM94" s="39"/>
      <c r="RTN94" s="39"/>
      <c r="RTO94" s="39"/>
      <c r="RTP94" s="39"/>
      <c r="RTQ94" s="39"/>
      <c r="RTR94" s="39"/>
      <c r="RTS94" s="39"/>
      <c r="RTT94" s="39"/>
      <c r="RTU94" s="39"/>
      <c r="RTV94" s="39"/>
      <c r="RTW94" s="39"/>
      <c r="RTX94" s="39"/>
      <c r="RTY94" s="39"/>
      <c r="RTZ94" s="39"/>
      <c r="RUA94" s="39"/>
      <c r="RUB94" s="39"/>
      <c r="RUC94" s="39"/>
      <c r="RUD94" s="39"/>
      <c r="RUE94" s="39"/>
      <c r="RUF94" s="39"/>
      <c r="RUG94" s="39"/>
      <c r="RUH94" s="39"/>
      <c r="RUI94" s="39"/>
      <c r="RUJ94" s="39"/>
      <c r="RUK94" s="39"/>
      <c r="RUL94" s="39"/>
      <c r="RUM94" s="39"/>
      <c r="RUN94" s="39"/>
      <c r="RUO94" s="39"/>
      <c r="RUP94" s="39"/>
      <c r="RUQ94" s="39"/>
      <c r="RUR94" s="39"/>
      <c r="RUS94" s="39"/>
      <c r="RUT94" s="39"/>
      <c r="RUU94" s="39"/>
      <c r="RUV94" s="39"/>
      <c r="RUW94" s="39"/>
      <c r="RUX94" s="39"/>
      <c r="RUY94" s="39"/>
      <c r="RUZ94" s="39"/>
      <c r="RVA94" s="39"/>
      <c r="RVB94" s="39"/>
      <c r="RVC94" s="39"/>
      <c r="RVD94" s="39"/>
      <c r="RVE94" s="39"/>
      <c r="RVF94" s="39"/>
      <c r="RVG94" s="39"/>
      <c r="RVH94" s="39"/>
      <c r="RVI94" s="39"/>
      <c r="RVJ94" s="39"/>
      <c r="RVK94" s="39"/>
      <c r="RVL94" s="39"/>
      <c r="RVM94" s="39"/>
      <c r="RVN94" s="39"/>
      <c r="RVO94" s="39"/>
      <c r="RVP94" s="39"/>
      <c r="RVQ94" s="39"/>
      <c r="RVR94" s="39"/>
      <c r="RVS94" s="39"/>
      <c r="RVT94" s="39"/>
      <c r="RVU94" s="39"/>
      <c r="RVV94" s="39"/>
      <c r="RVW94" s="39"/>
      <c r="RVX94" s="39"/>
      <c r="RVY94" s="39"/>
      <c r="RVZ94" s="39"/>
      <c r="RWA94" s="39"/>
      <c r="RWB94" s="39"/>
      <c r="RWC94" s="39"/>
      <c r="RWD94" s="39"/>
      <c r="RWE94" s="39"/>
      <c r="RWF94" s="39"/>
      <c r="RWG94" s="39"/>
      <c r="RWH94" s="39"/>
      <c r="RWI94" s="39"/>
      <c r="RWJ94" s="39"/>
      <c r="RWK94" s="39"/>
      <c r="RWL94" s="39"/>
      <c r="RWM94" s="39"/>
      <c r="RWN94" s="39"/>
      <c r="RWO94" s="39"/>
      <c r="RWP94" s="39"/>
      <c r="RWQ94" s="39"/>
      <c r="RWR94" s="39"/>
      <c r="RWS94" s="39"/>
      <c r="RWT94" s="39"/>
      <c r="RWU94" s="39"/>
      <c r="RWV94" s="39"/>
      <c r="RWW94" s="39"/>
      <c r="RWX94" s="39"/>
      <c r="RWY94" s="39"/>
      <c r="RWZ94" s="39"/>
      <c r="RXA94" s="39"/>
      <c r="RXB94" s="39"/>
      <c r="RXC94" s="39"/>
      <c r="RXD94" s="39"/>
      <c r="RXE94" s="39"/>
      <c r="RXF94" s="39"/>
      <c r="RXG94" s="39"/>
      <c r="RXH94" s="39"/>
      <c r="RXI94" s="39"/>
      <c r="RXJ94" s="39"/>
      <c r="RXK94" s="39"/>
      <c r="RXL94" s="39"/>
      <c r="RXM94" s="39"/>
      <c r="RXN94" s="39"/>
      <c r="RXO94" s="39"/>
      <c r="RXP94" s="39"/>
      <c r="RXQ94" s="39"/>
      <c r="RXR94" s="39"/>
      <c r="RXS94" s="39"/>
      <c r="RXT94" s="39"/>
      <c r="RXU94" s="39"/>
      <c r="RXV94" s="39"/>
      <c r="RXW94" s="39"/>
      <c r="RXX94" s="39"/>
      <c r="RXY94" s="39"/>
      <c r="RXZ94" s="39"/>
      <c r="RYA94" s="39"/>
      <c r="RYB94" s="39"/>
      <c r="RYC94" s="39"/>
      <c r="RYD94" s="39"/>
      <c r="RYE94" s="39"/>
      <c r="RYF94" s="39"/>
      <c r="RYG94" s="39"/>
      <c r="RYH94" s="39"/>
      <c r="RYI94" s="39"/>
      <c r="RYJ94" s="39"/>
      <c r="RYK94" s="39"/>
      <c r="RYL94" s="39"/>
      <c r="RYM94" s="39"/>
      <c r="RYN94" s="39"/>
      <c r="RYO94" s="39"/>
      <c r="RYP94" s="39"/>
      <c r="RYQ94" s="39"/>
      <c r="RYR94" s="39"/>
      <c r="RYS94" s="39"/>
      <c r="RYT94" s="39"/>
      <c r="RYU94" s="39"/>
      <c r="RYV94" s="39"/>
      <c r="RYW94" s="39"/>
      <c r="RYX94" s="39"/>
      <c r="RYY94" s="39"/>
      <c r="RYZ94" s="39"/>
      <c r="RZA94" s="39"/>
      <c r="RZB94" s="39"/>
      <c r="RZC94" s="39"/>
      <c r="RZD94" s="39"/>
      <c r="RZE94" s="39"/>
      <c r="RZF94" s="39"/>
      <c r="RZG94" s="39"/>
      <c r="RZH94" s="39"/>
      <c r="RZI94" s="39"/>
      <c r="RZJ94" s="39"/>
      <c r="RZK94" s="39"/>
      <c r="RZL94" s="39"/>
      <c r="RZM94" s="39"/>
      <c r="RZN94" s="39"/>
      <c r="RZO94" s="39"/>
      <c r="RZP94" s="39"/>
      <c r="RZQ94" s="39"/>
      <c r="RZR94" s="39"/>
      <c r="RZS94" s="39"/>
      <c r="RZT94" s="39"/>
      <c r="RZU94" s="39"/>
      <c r="RZV94" s="39"/>
      <c r="RZW94" s="39"/>
      <c r="RZX94" s="39"/>
      <c r="RZY94" s="39"/>
      <c r="RZZ94" s="39"/>
      <c r="SAA94" s="39"/>
      <c r="SAB94" s="39"/>
      <c r="SAC94" s="39"/>
      <c r="SAD94" s="39"/>
      <c r="SAE94" s="39"/>
      <c r="SAF94" s="39"/>
      <c r="SAG94" s="39"/>
      <c r="SAH94" s="39"/>
      <c r="SAI94" s="39"/>
      <c r="SAJ94" s="39"/>
      <c r="SAK94" s="39"/>
      <c r="SAL94" s="39"/>
      <c r="SAM94" s="39"/>
      <c r="SAN94" s="39"/>
      <c r="SAO94" s="39"/>
      <c r="SAP94" s="39"/>
      <c r="SAQ94" s="39"/>
      <c r="SAR94" s="39"/>
      <c r="SAS94" s="39"/>
      <c r="SAT94" s="39"/>
      <c r="SAU94" s="39"/>
      <c r="SAV94" s="39"/>
      <c r="SAW94" s="39"/>
      <c r="SAX94" s="39"/>
      <c r="SAY94" s="39"/>
      <c r="SAZ94" s="39"/>
      <c r="SBA94" s="39"/>
      <c r="SBB94" s="39"/>
      <c r="SBC94" s="39"/>
      <c r="SBD94" s="39"/>
      <c r="SBE94" s="39"/>
      <c r="SBF94" s="39"/>
      <c r="SBG94" s="39"/>
      <c r="SBH94" s="39"/>
      <c r="SBI94" s="39"/>
      <c r="SBJ94" s="39"/>
      <c r="SBK94" s="39"/>
      <c r="SBL94" s="39"/>
      <c r="SBM94" s="39"/>
      <c r="SBN94" s="39"/>
      <c r="SBO94" s="39"/>
      <c r="SBP94" s="39"/>
      <c r="SBQ94" s="39"/>
      <c r="SBR94" s="39"/>
      <c r="SBS94" s="39"/>
      <c r="SBT94" s="39"/>
      <c r="SBU94" s="39"/>
      <c r="SBV94" s="39"/>
      <c r="SBW94" s="39"/>
      <c r="SBX94" s="39"/>
      <c r="SBY94" s="39"/>
      <c r="SBZ94" s="39"/>
      <c r="SCA94" s="39"/>
      <c r="SCB94" s="39"/>
      <c r="SCC94" s="39"/>
      <c r="SCD94" s="39"/>
      <c r="SCE94" s="39"/>
      <c r="SCF94" s="39"/>
      <c r="SCG94" s="39"/>
      <c r="SCH94" s="39"/>
      <c r="SCI94" s="39"/>
      <c r="SCJ94" s="39"/>
      <c r="SCK94" s="39"/>
      <c r="SCL94" s="39"/>
      <c r="SCM94" s="39"/>
      <c r="SCN94" s="39"/>
      <c r="SCO94" s="39"/>
      <c r="SCP94" s="39"/>
      <c r="SCQ94" s="39"/>
      <c r="SCR94" s="39"/>
      <c r="SCS94" s="39"/>
      <c r="SCT94" s="39"/>
      <c r="SCU94" s="39"/>
      <c r="SCV94" s="39"/>
      <c r="SCW94" s="39"/>
      <c r="SCX94" s="39"/>
      <c r="SCY94" s="39"/>
      <c r="SCZ94" s="39"/>
      <c r="SDA94" s="39"/>
      <c r="SDB94" s="39"/>
      <c r="SDC94" s="39"/>
      <c r="SDD94" s="39"/>
      <c r="SDE94" s="39"/>
      <c r="SDF94" s="39"/>
      <c r="SDG94" s="39"/>
      <c r="SDH94" s="39"/>
      <c r="SDI94" s="39"/>
      <c r="SDJ94" s="39"/>
      <c r="SDK94" s="39"/>
      <c r="SDL94" s="39"/>
      <c r="SDM94" s="39"/>
      <c r="SDN94" s="39"/>
      <c r="SDO94" s="39"/>
      <c r="SDP94" s="39"/>
      <c r="SDQ94" s="39"/>
      <c r="SDR94" s="39"/>
      <c r="SDS94" s="39"/>
      <c r="SDT94" s="39"/>
      <c r="SDU94" s="39"/>
      <c r="SDV94" s="39"/>
      <c r="SDW94" s="39"/>
      <c r="SDX94" s="39"/>
      <c r="SDY94" s="39"/>
      <c r="SDZ94" s="39"/>
      <c r="SEA94" s="39"/>
      <c r="SEB94" s="39"/>
      <c r="SEC94" s="39"/>
      <c r="SED94" s="39"/>
      <c r="SEE94" s="39"/>
      <c r="SEF94" s="39"/>
      <c r="SEG94" s="39"/>
      <c r="SEH94" s="39"/>
      <c r="SEI94" s="39"/>
      <c r="SEJ94" s="39"/>
      <c r="SEK94" s="39"/>
      <c r="SEL94" s="39"/>
      <c r="SEM94" s="39"/>
      <c r="SEN94" s="39"/>
      <c r="SEO94" s="39"/>
      <c r="SEP94" s="39"/>
      <c r="SEQ94" s="39"/>
      <c r="SER94" s="39"/>
      <c r="SES94" s="39"/>
      <c r="SET94" s="39"/>
      <c r="SEU94" s="39"/>
      <c r="SEV94" s="39"/>
      <c r="SEW94" s="39"/>
      <c r="SEX94" s="39"/>
      <c r="SEY94" s="39"/>
      <c r="SEZ94" s="39"/>
      <c r="SFA94" s="39"/>
      <c r="SFB94" s="39"/>
      <c r="SFC94" s="39"/>
      <c r="SFD94" s="39"/>
      <c r="SFE94" s="39"/>
      <c r="SFF94" s="39"/>
      <c r="SFG94" s="39"/>
      <c r="SFH94" s="39"/>
      <c r="SFI94" s="39"/>
      <c r="SFJ94" s="39"/>
      <c r="SFK94" s="39"/>
      <c r="SFL94" s="39"/>
      <c r="SFM94" s="39"/>
      <c r="SFN94" s="39"/>
      <c r="SFO94" s="39"/>
      <c r="SFP94" s="39"/>
      <c r="SFQ94" s="39"/>
      <c r="SFR94" s="39"/>
      <c r="SFS94" s="39"/>
      <c r="SFT94" s="39"/>
      <c r="SFU94" s="39"/>
      <c r="SFV94" s="39"/>
      <c r="SFW94" s="39"/>
      <c r="SFX94" s="39"/>
      <c r="SFY94" s="39"/>
      <c r="SFZ94" s="39"/>
      <c r="SGA94" s="39"/>
      <c r="SGB94" s="39"/>
      <c r="SGC94" s="39"/>
      <c r="SGD94" s="39"/>
      <c r="SGE94" s="39"/>
      <c r="SGF94" s="39"/>
      <c r="SGG94" s="39"/>
      <c r="SGH94" s="39"/>
      <c r="SGI94" s="39"/>
      <c r="SGJ94" s="39"/>
      <c r="SGK94" s="39"/>
      <c r="SGL94" s="39"/>
      <c r="SGM94" s="39"/>
      <c r="SGN94" s="39"/>
      <c r="SGO94" s="39"/>
      <c r="SGP94" s="39"/>
      <c r="SGQ94" s="39"/>
      <c r="SGR94" s="39"/>
      <c r="SGS94" s="39"/>
      <c r="SGT94" s="39"/>
      <c r="SGU94" s="39"/>
      <c r="SGV94" s="39"/>
      <c r="SGW94" s="39"/>
      <c r="SGX94" s="39"/>
      <c r="SGY94" s="39"/>
      <c r="SGZ94" s="39"/>
      <c r="SHA94" s="39"/>
      <c r="SHB94" s="39"/>
      <c r="SHC94" s="39"/>
      <c r="SHD94" s="39"/>
      <c r="SHE94" s="39"/>
      <c r="SHF94" s="39"/>
      <c r="SHG94" s="39"/>
      <c r="SHH94" s="39"/>
      <c r="SHI94" s="39"/>
      <c r="SHJ94" s="39"/>
      <c r="SHK94" s="39"/>
      <c r="SHL94" s="39"/>
      <c r="SHM94" s="39"/>
      <c r="SHN94" s="39"/>
      <c r="SHO94" s="39"/>
      <c r="SHP94" s="39"/>
      <c r="SHQ94" s="39"/>
      <c r="SHR94" s="39"/>
      <c r="SHS94" s="39"/>
      <c r="SHT94" s="39"/>
      <c r="SHU94" s="39"/>
      <c r="SHV94" s="39"/>
      <c r="SHW94" s="39"/>
      <c r="SHX94" s="39"/>
      <c r="SHY94" s="39"/>
      <c r="SHZ94" s="39"/>
      <c r="SIA94" s="39"/>
      <c r="SIB94" s="39"/>
      <c r="SIC94" s="39"/>
      <c r="SID94" s="39"/>
      <c r="SIE94" s="39"/>
      <c r="SIF94" s="39"/>
      <c r="SIG94" s="39"/>
      <c r="SIH94" s="39"/>
      <c r="SII94" s="39"/>
      <c r="SIJ94" s="39"/>
      <c r="SIK94" s="39"/>
      <c r="SIL94" s="39"/>
      <c r="SIM94" s="39"/>
      <c r="SIN94" s="39"/>
      <c r="SIO94" s="39"/>
      <c r="SIP94" s="39"/>
      <c r="SIQ94" s="39"/>
      <c r="SIR94" s="39"/>
      <c r="SIS94" s="39"/>
      <c r="SIT94" s="39"/>
      <c r="SIU94" s="39"/>
      <c r="SIV94" s="39"/>
      <c r="SIW94" s="39"/>
      <c r="SIX94" s="39"/>
      <c r="SIY94" s="39"/>
      <c r="SIZ94" s="39"/>
      <c r="SJA94" s="39"/>
      <c r="SJB94" s="39"/>
      <c r="SJC94" s="39"/>
      <c r="SJD94" s="39"/>
      <c r="SJE94" s="39"/>
      <c r="SJF94" s="39"/>
      <c r="SJG94" s="39"/>
      <c r="SJH94" s="39"/>
      <c r="SJI94" s="39"/>
      <c r="SJJ94" s="39"/>
      <c r="SJK94" s="39"/>
      <c r="SJL94" s="39"/>
      <c r="SJM94" s="39"/>
      <c r="SJN94" s="39"/>
      <c r="SJO94" s="39"/>
      <c r="SJP94" s="39"/>
      <c r="SJQ94" s="39"/>
      <c r="SJR94" s="39"/>
      <c r="SJS94" s="39"/>
      <c r="SJT94" s="39"/>
      <c r="SJU94" s="39"/>
      <c r="SJV94" s="39"/>
      <c r="SJW94" s="39"/>
      <c r="SJX94" s="39"/>
      <c r="SJY94" s="39"/>
      <c r="SJZ94" s="39"/>
      <c r="SKA94" s="39"/>
      <c r="SKB94" s="39"/>
      <c r="SKC94" s="39"/>
      <c r="SKD94" s="39"/>
      <c r="SKE94" s="39"/>
      <c r="SKF94" s="39"/>
      <c r="SKG94" s="39"/>
      <c r="SKH94" s="39"/>
      <c r="SKI94" s="39"/>
      <c r="SKJ94" s="39"/>
      <c r="SKK94" s="39"/>
      <c r="SKL94" s="39"/>
      <c r="SKM94" s="39"/>
      <c r="SKN94" s="39"/>
      <c r="SKO94" s="39"/>
      <c r="SKP94" s="39"/>
      <c r="SKQ94" s="39"/>
      <c r="SKR94" s="39"/>
      <c r="SKS94" s="39"/>
      <c r="SKT94" s="39"/>
      <c r="SKU94" s="39"/>
      <c r="SKV94" s="39"/>
      <c r="SKW94" s="39"/>
      <c r="SKX94" s="39"/>
      <c r="SKY94" s="39"/>
      <c r="SKZ94" s="39"/>
      <c r="SLA94" s="39"/>
      <c r="SLB94" s="39"/>
      <c r="SLC94" s="39"/>
      <c r="SLD94" s="39"/>
      <c r="SLE94" s="39"/>
      <c r="SLF94" s="39"/>
      <c r="SLG94" s="39"/>
      <c r="SLH94" s="39"/>
      <c r="SLI94" s="39"/>
      <c r="SLJ94" s="39"/>
      <c r="SLK94" s="39"/>
      <c r="SLL94" s="39"/>
      <c r="SLM94" s="39"/>
      <c r="SLN94" s="39"/>
      <c r="SLO94" s="39"/>
      <c r="SLP94" s="39"/>
      <c r="SLQ94" s="39"/>
      <c r="SLR94" s="39"/>
      <c r="SLS94" s="39"/>
      <c r="SLT94" s="39"/>
      <c r="SLU94" s="39"/>
      <c r="SLV94" s="39"/>
      <c r="SLW94" s="39"/>
      <c r="SLX94" s="39"/>
      <c r="SLY94" s="39"/>
      <c r="SLZ94" s="39"/>
      <c r="SMA94" s="39"/>
      <c r="SMB94" s="39"/>
      <c r="SMC94" s="39"/>
      <c r="SMD94" s="39"/>
      <c r="SME94" s="39"/>
      <c r="SMF94" s="39"/>
      <c r="SMG94" s="39"/>
      <c r="SMH94" s="39"/>
      <c r="SMI94" s="39"/>
      <c r="SMJ94" s="39"/>
      <c r="SMK94" s="39"/>
      <c r="SML94" s="39"/>
      <c r="SMM94" s="39"/>
      <c r="SMN94" s="39"/>
      <c r="SMO94" s="39"/>
      <c r="SMP94" s="39"/>
      <c r="SMQ94" s="39"/>
      <c r="SMR94" s="39"/>
      <c r="SMS94" s="39"/>
      <c r="SMT94" s="39"/>
      <c r="SMU94" s="39"/>
      <c r="SMV94" s="39"/>
      <c r="SMW94" s="39"/>
      <c r="SMX94" s="39"/>
      <c r="SMY94" s="39"/>
      <c r="SMZ94" s="39"/>
      <c r="SNA94" s="39"/>
      <c r="SNB94" s="39"/>
      <c r="SNC94" s="39"/>
      <c r="SND94" s="39"/>
      <c r="SNE94" s="39"/>
      <c r="SNF94" s="39"/>
      <c r="SNG94" s="39"/>
      <c r="SNH94" s="39"/>
      <c r="SNI94" s="39"/>
      <c r="SNJ94" s="39"/>
      <c r="SNK94" s="39"/>
      <c r="SNL94" s="39"/>
      <c r="SNM94" s="39"/>
      <c r="SNN94" s="39"/>
      <c r="SNO94" s="39"/>
      <c r="SNP94" s="39"/>
      <c r="SNQ94" s="39"/>
      <c r="SNR94" s="39"/>
      <c r="SNS94" s="39"/>
      <c r="SNT94" s="39"/>
      <c r="SNU94" s="39"/>
      <c r="SNV94" s="39"/>
      <c r="SNW94" s="39"/>
      <c r="SNX94" s="39"/>
      <c r="SNY94" s="39"/>
      <c r="SNZ94" s="39"/>
      <c r="SOA94" s="39"/>
      <c r="SOB94" s="39"/>
      <c r="SOC94" s="39"/>
      <c r="SOD94" s="39"/>
      <c r="SOE94" s="39"/>
      <c r="SOF94" s="39"/>
      <c r="SOG94" s="39"/>
      <c r="SOH94" s="39"/>
      <c r="SOI94" s="39"/>
      <c r="SOJ94" s="39"/>
      <c r="SOK94" s="39"/>
      <c r="SOL94" s="39"/>
      <c r="SOM94" s="39"/>
      <c r="SON94" s="39"/>
      <c r="SOO94" s="39"/>
      <c r="SOP94" s="39"/>
      <c r="SOQ94" s="39"/>
      <c r="SOR94" s="39"/>
      <c r="SOS94" s="39"/>
      <c r="SOT94" s="39"/>
      <c r="SOU94" s="39"/>
      <c r="SOV94" s="39"/>
      <c r="SOW94" s="39"/>
      <c r="SOX94" s="39"/>
      <c r="SOY94" s="39"/>
      <c r="SOZ94" s="39"/>
      <c r="SPA94" s="39"/>
      <c r="SPB94" s="39"/>
      <c r="SPC94" s="39"/>
      <c r="SPD94" s="39"/>
      <c r="SPE94" s="39"/>
      <c r="SPF94" s="39"/>
      <c r="SPG94" s="39"/>
      <c r="SPH94" s="39"/>
      <c r="SPI94" s="39"/>
      <c r="SPJ94" s="39"/>
      <c r="SPK94" s="39"/>
      <c r="SPL94" s="39"/>
      <c r="SPM94" s="39"/>
      <c r="SPN94" s="39"/>
      <c r="SPO94" s="39"/>
      <c r="SPP94" s="39"/>
      <c r="SPQ94" s="39"/>
      <c r="SPR94" s="39"/>
      <c r="SPS94" s="39"/>
      <c r="SPT94" s="39"/>
      <c r="SPU94" s="39"/>
      <c r="SPV94" s="39"/>
      <c r="SPW94" s="39"/>
      <c r="SPX94" s="39"/>
      <c r="SPY94" s="39"/>
      <c r="SPZ94" s="39"/>
      <c r="SQA94" s="39"/>
      <c r="SQB94" s="39"/>
      <c r="SQC94" s="39"/>
      <c r="SQD94" s="39"/>
      <c r="SQE94" s="39"/>
      <c r="SQF94" s="39"/>
      <c r="SQG94" s="39"/>
      <c r="SQH94" s="39"/>
      <c r="SQI94" s="39"/>
      <c r="SQJ94" s="39"/>
      <c r="SQK94" s="39"/>
      <c r="SQL94" s="39"/>
      <c r="SQM94" s="39"/>
      <c r="SQN94" s="39"/>
      <c r="SQO94" s="39"/>
      <c r="SQP94" s="39"/>
      <c r="SQQ94" s="39"/>
      <c r="SQR94" s="39"/>
      <c r="SQS94" s="39"/>
      <c r="SQT94" s="39"/>
      <c r="SQU94" s="39"/>
      <c r="SQV94" s="39"/>
      <c r="SQW94" s="39"/>
      <c r="SQX94" s="39"/>
      <c r="SQY94" s="39"/>
      <c r="SQZ94" s="39"/>
      <c r="SRA94" s="39"/>
      <c r="SRB94" s="39"/>
      <c r="SRC94" s="39"/>
      <c r="SRD94" s="39"/>
      <c r="SRE94" s="39"/>
      <c r="SRF94" s="39"/>
      <c r="SRG94" s="39"/>
      <c r="SRH94" s="39"/>
      <c r="SRI94" s="39"/>
      <c r="SRJ94" s="39"/>
      <c r="SRK94" s="39"/>
      <c r="SRL94" s="39"/>
      <c r="SRM94" s="39"/>
      <c r="SRN94" s="39"/>
      <c r="SRO94" s="39"/>
      <c r="SRP94" s="39"/>
      <c r="SRQ94" s="39"/>
      <c r="SRR94" s="39"/>
      <c r="SRS94" s="39"/>
      <c r="SRT94" s="39"/>
      <c r="SRU94" s="39"/>
      <c r="SRV94" s="39"/>
      <c r="SRW94" s="39"/>
      <c r="SRX94" s="39"/>
      <c r="SRY94" s="39"/>
      <c r="SRZ94" s="39"/>
      <c r="SSA94" s="39"/>
      <c r="SSB94" s="39"/>
      <c r="SSC94" s="39"/>
      <c r="SSD94" s="39"/>
      <c r="SSE94" s="39"/>
      <c r="SSF94" s="39"/>
      <c r="SSG94" s="39"/>
      <c r="SSH94" s="39"/>
      <c r="SSI94" s="39"/>
      <c r="SSJ94" s="39"/>
      <c r="SSK94" s="39"/>
      <c r="SSL94" s="39"/>
      <c r="SSM94" s="39"/>
      <c r="SSN94" s="39"/>
      <c r="SSO94" s="39"/>
      <c r="SSP94" s="39"/>
      <c r="SSQ94" s="39"/>
      <c r="SSR94" s="39"/>
      <c r="SSS94" s="39"/>
      <c r="SST94" s="39"/>
      <c r="SSU94" s="39"/>
      <c r="SSV94" s="39"/>
      <c r="SSW94" s="39"/>
      <c r="SSX94" s="39"/>
      <c r="SSY94" s="39"/>
      <c r="SSZ94" s="39"/>
      <c r="STA94" s="39"/>
      <c r="STB94" s="39"/>
      <c r="STC94" s="39"/>
      <c r="STD94" s="39"/>
      <c r="STE94" s="39"/>
      <c r="STF94" s="39"/>
      <c r="STG94" s="39"/>
      <c r="STH94" s="39"/>
      <c r="STI94" s="39"/>
      <c r="STJ94" s="39"/>
      <c r="STK94" s="39"/>
      <c r="STL94" s="39"/>
      <c r="STM94" s="39"/>
      <c r="STN94" s="39"/>
      <c r="STO94" s="39"/>
      <c r="STP94" s="39"/>
      <c r="STQ94" s="39"/>
      <c r="STR94" s="39"/>
      <c r="STS94" s="39"/>
      <c r="STT94" s="39"/>
      <c r="STU94" s="39"/>
      <c r="STV94" s="39"/>
      <c r="STW94" s="39"/>
      <c r="STX94" s="39"/>
      <c r="STY94" s="39"/>
      <c r="STZ94" s="39"/>
      <c r="SUA94" s="39"/>
      <c r="SUB94" s="39"/>
      <c r="SUC94" s="39"/>
      <c r="SUD94" s="39"/>
      <c r="SUE94" s="39"/>
      <c r="SUF94" s="39"/>
      <c r="SUG94" s="39"/>
      <c r="SUH94" s="39"/>
      <c r="SUI94" s="39"/>
      <c r="SUJ94" s="39"/>
      <c r="SUK94" s="39"/>
      <c r="SUL94" s="39"/>
      <c r="SUM94" s="39"/>
      <c r="SUN94" s="39"/>
      <c r="SUO94" s="39"/>
      <c r="SUP94" s="39"/>
      <c r="SUQ94" s="39"/>
      <c r="SUR94" s="39"/>
      <c r="SUS94" s="39"/>
      <c r="SUT94" s="39"/>
      <c r="SUU94" s="39"/>
      <c r="SUV94" s="39"/>
      <c r="SUW94" s="39"/>
      <c r="SUX94" s="39"/>
      <c r="SUY94" s="39"/>
      <c r="SUZ94" s="39"/>
      <c r="SVA94" s="39"/>
      <c r="SVB94" s="39"/>
      <c r="SVC94" s="39"/>
      <c r="SVD94" s="39"/>
      <c r="SVE94" s="39"/>
      <c r="SVF94" s="39"/>
      <c r="SVG94" s="39"/>
      <c r="SVH94" s="39"/>
      <c r="SVI94" s="39"/>
      <c r="SVJ94" s="39"/>
      <c r="SVK94" s="39"/>
      <c r="SVL94" s="39"/>
      <c r="SVM94" s="39"/>
      <c r="SVN94" s="39"/>
      <c r="SVO94" s="39"/>
      <c r="SVP94" s="39"/>
      <c r="SVQ94" s="39"/>
      <c r="SVR94" s="39"/>
      <c r="SVS94" s="39"/>
      <c r="SVT94" s="39"/>
      <c r="SVU94" s="39"/>
      <c r="SVV94" s="39"/>
      <c r="SVW94" s="39"/>
      <c r="SVX94" s="39"/>
      <c r="SVY94" s="39"/>
      <c r="SVZ94" s="39"/>
      <c r="SWA94" s="39"/>
      <c r="SWB94" s="39"/>
      <c r="SWC94" s="39"/>
      <c r="SWD94" s="39"/>
      <c r="SWE94" s="39"/>
      <c r="SWF94" s="39"/>
      <c r="SWG94" s="39"/>
      <c r="SWH94" s="39"/>
      <c r="SWI94" s="39"/>
      <c r="SWJ94" s="39"/>
      <c r="SWK94" s="39"/>
      <c r="SWL94" s="39"/>
      <c r="SWM94" s="39"/>
      <c r="SWN94" s="39"/>
      <c r="SWO94" s="39"/>
      <c r="SWP94" s="39"/>
      <c r="SWQ94" s="39"/>
      <c r="SWR94" s="39"/>
      <c r="SWS94" s="39"/>
      <c r="SWT94" s="39"/>
      <c r="SWU94" s="39"/>
      <c r="SWV94" s="39"/>
      <c r="SWW94" s="39"/>
      <c r="SWX94" s="39"/>
      <c r="SWY94" s="39"/>
      <c r="SWZ94" s="39"/>
      <c r="SXA94" s="39"/>
      <c r="SXB94" s="39"/>
      <c r="SXC94" s="39"/>
      <c r="SXD94" s="39"/>
      <c r="SXE94" s="39"/>
      <c r="SXF94" s="39"/>
      <c r="SXG94" s="39"/>
      <c r="SXH94" s="39"/>
      <c r="SXI94" s="39"/>
      <c r="SXJ94" s="39"/>
      <c r="SXK94" s="39"/>
      <c r="SXL94" s="39"/>
      <c r="SXM94" s="39"/>
      <c r="SXN94" s="39"/>
      <c r="SXO94" s="39"/>
      <c r="SXP94" s="39"/>
      <c r="SXQ94" s="39"/>
      <c r="SXR94" s="39"/>
      <c r="SXS94" s="39"/>
      <c r="SXT94" s="39"/>
      <c r="SXU94" s="39"/>
      <c r="SXV94" s="39"/>
      <c r="SXW94" s="39"/>
      <c r="SXX94" s="39"/>
      <c r="SXY94" s="39"/>
      <c r="SXZ94" s="39"/>
      <c r="SYA94" s="39"/>
      <c r="SYB94" s="39"/>
      <c r="SYC94" s="39"/>
      <c r="SYD94" s="39"/>
      <c r="SYE94" s="39"/>
      <c r="SYF94" s="39"/>
      <c r="SYG94" s="39"/>
      <c r="SYH94" s="39"/>
      <c r="SYI94" s="39"/>
      <c r="SYJ94" s="39"/>
      <c r="SYK94" s="39"/>
      <c r="SYL94" s="39"/>
      <c r="SYM94" s="39"/>
      <c r="SYN94" s="39"/>
      <c r="SYO94" s="39"/>
      <c r="SYP94" s="39"/>
      <c r="SYQ94" s="39"/>
      <c r="SYR94" s="39"/>
      <c r="SYS94" s="39"/>
      <c r="SYT94" s="39"/>
      <c r="SYU94" s="39"/>
      <c r="SYV94" s="39"/>
      <c r="SYW94" s="39"/>
      <c r="SYX94" s="39"/>
      <c r="SYY94" s="39"/>
      <c r="SYZ94" s="39"/>
      <c r="SZA94" s="39"/>
      <c r="SZB94" s="39"/>
      <c r="SZC94" s="39"/>
      <c r="SZD94" s="39"/>
      <c r="SZE94" s="39"/>
      <c r="SZF94" s="39"/>
      <c r="SZG94" s="39"/>
      <c r="SZH94" s="39"/>
      <c r="SZI94" s="39"/>
      <c r="SZJ94" s="39"/>
      <c r="SZK94" s="39"/>
      <c r="SZL94" s="39"/>
      <c r="SZM94" s="39"/>
      <c r="SZN94" s="39"/>
      <c r="SZO94" s="39"/>
      <c r="SZP94" s="39"/>
      <c r="SZQ94" s="39"/>
      <c r="SZR94" s="39"/>
      <c r="SZS94" s="39"/>
      <c r="SZT94" s="39"/>
      <c r="SZU94" s="39"/>
      <c r="SZV94" s="39"/>
      <c r="SZW94" s="39"/>
      <c r="SZX94" s="39"/>
      <c r="SZY94" s="39"/>
      <c r="SZZ94" s="39"/>
      <c r="TAA94" s="39"/>
      <c r="TAB94" s="39"/>
      <c r="TAC94" s="39"/>
      <c r="TAD94" s="39"/>
      <c r="TAE94" s="39"/>
      <c r="TAF94" s="39"/>
      <c r="TAG94" s="39"/>
      <c r="TAH94" s="39"/>
      <c r="TAI94" s="39"/>
      <c r="TAJ94" s="39"/>
      <c r="TAK94" s="39"/>
      <c r="TAL94" s="39"/>
      <c r="TAM94" s="39"/>
      <c r="TAN94" s="39"/>
      <c r="TAO94" s="39"/>
      <c r="TAP94" s="39"/>
      <c r="TAQ94" s="39"/>
      <c r="TAR94" s="39"/>
      <c r="TAS94" s="39"/>
      <c r="TAT94" s="39"/>
      <c r="TAU94" s="39"/>
      <c r="TAV94" s="39"/>
      <c r="TAW94" s="39"/>
      <c r="TAX94" s="39"/>
      <c r="TAY94" s="39"/>
      <c r="TAZ94" s="39"/>
      <c r="TBA94" s="39"/>
      <c r="TBB94" s="39"/>
      <c r="TBC94" s="39"/>
      <c r="TBD94" s="39"/>
      <c r="TBE94" s="39"/>
      <c r="TBF94" s="39"/>
      <c r="TBG94" s="39"/>
      <c r="TBH94" s="39"/>
      <c r="TBI94" s="39"/>
      <c r="TBJ94" s="39"/>
      <c r="TBK94" s="39"/>
      <c r="TBL94" s="39"/>
      <c r="TBM94" s="39"/>
      <c r="TBN94" s="39"/>
      <c r="TBO94" s="39"/>
      <c r="TBP94" s="39"/>
      <c r="TBQ94" s="39"/>
      <c r="TBR94" s="39"/>
      <c r="TBS94" s="39"/>
      <c r="TBT94" s="39"/>
      <c r="TBU94" s="39"/>
      <c r="TBV94" s="39"/>
      <c r="TBW94" s="39"/>
      <c r="TBX94" s="39"/>
      <c r="TBY94" s="39"/>
      <c r="TBZ94" s="39"/>
      <c r="TCA94" s="39"/>
      <c r="TCB94" s="39"/>
      <c r="TCC94" s="39"/>
      <c r="TCD94" s="39"/>
      <c r="TCE94" s="39"/>
      <c r="TCF94" s="39"/>
      <c r="TCG94" s="39"/>
      <c r="TCH94" s="39"/>
      <c r="TCI94" s="39"/>
      <c r="TCJ94" s="39"/>
      <c r="TCK94" s="39"/>
      <c r="TCL94" s="39"/>
      <c r="TCM94" s="39"/>
      <c r="TCN94" s="39"/>
      <c r="TCO94" s="39"/>
      <c r="TCP94" s="39"/>
      <c r="TCQ94" s="39"/>
      <c r="TCR94" s="39"/>
      <c r="TCS94" s="39"/>
      <c r="TCT94" s="39"/>
      <c r="TCU94" s="39"/>
      <c r="TCV94" s="39"/>
      <c r="TCW94" s="39"/>
      <c r="TCX94" s="39"/>
      <c r="TCY94" s="39"/>
      <c r="TCZ94" s="39"/>
      <c r="TDA94" s="39"/>
      <c r="TDB94" s="39"/>
      <c r="TDC94" s="39"/>
      <c r="TDD94" s="39"/>
      <c r="TDE94" s="39"/>
      <c r="TDF94" s="39"/>
      <c r="TDG94" s="39"/>
      <c r="TDH94" s="39"/>
      <c r="TDI94" s="39"/>
      <c r="TDJ94" s="39"/>
      <c r="TDK94" s="39"/>
      <c r="TDL94" s="39"/>
      <c r="TDM94" s="39"/>
      <c r="TDN94" s="39"/>
      <c r="TDO94" s="39"/>
      <c r="TDP94" s="39"/>
      <c r="TDQ94" s="39"/>
      <c r="TDR94" s="39"/>
      <c r="TDS94" s="39"/>
      <c r="TDT94" s="39"/>
      <c r="TDU94" s="39"/>
      <c r="TDV94" s="39"/>
      <c r="TDW94" s="39"/>
      <c r="TDX94" s="39"/>
      <c r="TDY94" s="39"/>
      <c r="TDZ94" s="39"/>
      <c r="TEA94" s="39"/>
      <c r="TEB94" s="39"/>
      <c r="TEC94" s="39"/>
      <c r="TED94" s="39"/>
      <c r="TEE94" s="39"/>
      <c r="TEF94" s="39"/>
      <c r="TEG94" s="39"/>
      <c r="TEH94" s="39"/>
      <c r="TEI94" s="39"/>
      <c r="TEJ94" s="39"/>
      <c r="TEK94" s="39"/>
      <c r="TEL94" s="39"/>
      <c r="TEM94" s="39"/>
      <c r="TEN94" s="39"/>
      <c r="TEO94" s="39"/>
      <c r="TEP94" s="39"/>
      <c r="TEQ94" s="39"/>
      <c r="TER94" s="39"/>
      <c r="TES94" s="39"/>
      <c r="TET94" s="39"/>
      <c r="TEU94" s="39"/>
      <c r="TEV94" s="39"/>
      <c r="TEW94" s="39"/>
      <c r="TEX94" s="39"/>
      <c r="TEY94" s="39"/>
      <c r="TEZ94" s="39"/>
      <c r="TFA94" s="39"/>
      <c r="TFB94" s="39"/>
      <c r="TFC94" s="39"/>
      <c r="TFD94" s="39"/>
      <c r="TFE94" s="39"/>
      <c r="TFF94" s="39"/>
      <c r="TFG94" s="39"/>
      <c r="TFH94" s="39"/>
      <c r="TFI94" s="39"/>
      <c r="TFJ94" s="39"/>
      <c r="TFK94" s="39"/>
      <c r="TFL94" s="39"/>
      <c r="TFM94" s="39"/>
      <c r="TFN94" s="39"/>
      <c r="TFO94" s="39"/>
      <c r="TFP94" s="39"/>
      <c r="TFQ94" s="39"/>
      <c r="TFR94" s="39"/>
      <c r="TFS94" s="39"/>
      <c r="TFT94" s="39"/>
      <c r="TFU94" s="39"/>
      <c r="TFV94" s="39"/>
      <c r="TFW94" s="39"/>
      <c r="TFX94" s="39"/>
      <c r="TFY94" s="39"/>
      <c r="TFZ94" s="39"/>
      <c r="TGA94" s="39"/>
      <c r="TGB94" s="39"/>
      <c r="TGC94" s="39"/>
      <c r="TGD94" s="39"/>
      <c r="TGE94" s="39"/>
      <c r="TGF94" s="39"/>
      <c r="TGG94" s="39"/>
      <c r="TGH94" s="39"/>
      <c r="TGI94" s="39"/>
      <c r="TGJ94" s="39"/>
      <c r="TGK94" s="39"/>
      <c r="TGL94" s="39"/>
      <c r="TGM94" s="39"/>
      <c r="TGN94" s="39"/>
      <c r="TGO94" s="39"/>
      <c r="TGP94" s="39"/>
      <c r="TGQ94" s="39"/>
      <c r="TGR94" s="39"/>
      <c r="TGS94" s="39"/>
      <c r="TGT94" s="39"/>
      <c r="TGU94" s="39"/>
      <c r="TGV94" s="39"/>
      <c r="TGW94" s="39"/>
      <c r="TGX94" s="39"/>
      <c r="TGY94" s="39"/>
      <c r="TGZ94" s="39"/>
      <c r="THA94" s="39"/>
      <c r="THB94" s="39"/>
      <c r="THC94" s="39"/>
      <c r="THD94" s="39"/>
      <c r="THE94" s="39"/>
      <c r="THF94" s="39"/>
      <c r="THG94" s="39"/>
      <c r="THH94" s="39"/>
      <c r="THI94" s="39"/>
      <c r="THJ94" s="39"/>
      <c r="THK94" s="39"/>
      <c r="THL94" s="39"/>
      <c r="THM94" s="39"/>
      <c r="THN94" s="39"/>
      <c r="THO94" s="39"/>
      <c r="THP94" s="39"/>
      <c r="THQ94" s="39"/>
      <c r="THR94" s="39"/>
      <c r="THS94" s="39"/>
      <c r="THT94" s="39"/>
      <c r="THU94" s="39"/>
      <c r="THV94" s="39"/>
      <c r="THW94" s="39"/>
      <c r="THX94" s="39"/>
      <c r="THY94" s="39"/>
      <c r="THZ94" s="39"/>
      <c r="TIA94" s="39"/>
      <c r="TIB94" s="39"/>
      <c r="TIC94" s="39"/>
      <c r="TID94" s="39"/>
      <c r="TIE94" s="39"/>
      <c r="TIF94" s="39"/>
      <c r="TIG94" s="39"/>
      <c r="TIH94" s="39"/>
      <c r="TII94" s="39"/>
      <c r="TIJ94" s="39"/>
      <c r="TIK94" s="39"/>
      <c r="TIL94" s="39"/>
      <c r="TIM94" s="39"/>
      <c r="TIN94" s="39"/>
      <c r="TIO94" s="39"/>
      <c r="TIP94" s="39"/>
      <c r="TIQ94" s="39"/>
      <c r="TIR94" s="39"/>
      <c r="TIS94" s="39"/>
      <c r="TIT94" s="39"/>
      <c r="TIU94" s="39"/>
      <c r="TIV94" s="39"/>
      <c r="TIW94" s="39"/>
      <c r="TIX94" s="39"/>
      <c r="TIY94" s="39"/>
      <c r="TIZ94" s="39"/>
      <c r="TJA94" s="39"/>
      <c r="TJB94" s="39"/>
      <c r="TJC94" s="39"/>
      <c r="TJD94" s="39"/>
      <c r="TJE94" s="39"/>
      <c r="TJF94" s="39"/>
      <c r="TJG94" s="39"/>
      <c r="TJH94" s="39"/>
      <c r="TJI94" s="39"/>
      <c r="TJJ94" s="39"/>
      <c r="TJK94" s="39"/>
      <c r="TJL94" s="39"/>
      <c r="TJM94" s="39"/>
      <c r="TJN94" s="39"/>
      <c r="TJO94" s="39"/>
      <c r="TJP94" s="39"/>
      <c r="TJQ94" s="39"/>
      <c r="TJR94" s="39"/>
      <c r="TJS94" s="39"/>
      <c r="TJT94" s="39"/>
      <c r="TJU94" s="39"/>
      <c r="TJV94" s="39"/>
      <c r="TJW94" s="39"/>
      <c r="TJX94" s="39"/>
      <c r="TJY94" s="39"/>
      <c r="TJZ94" s="39"/>
      <c r="TKA94" s="39"/>
      <c r="TKB94" s="39"/>
      <c r="TKC94" s="39"/>
      <c r="TKD94" s="39"/>
      <c r="TKE94" s="39"/>
      <c r="TKF94" s="39"/>
      <c r="TKG94" s="39"/>
      <c r="TKH94" s="39"/>
      <c r="TKI94" s="39"/>
      <c r="TKJ94" s="39"/>
      <c r="TKK94" s="39"/>
      <c r="TKL94" s="39"/>
      <c r="TKM94" s="39"/>
      <c r="TKN94" s="39"/>
      <c r="TKO94" s="39"/>
      <c r="TKP94" s="39"/>
      <c r="TKQ94" s="39"/>
      <c r="TKR94" s="39"/>
      <c r="TKS94" s="39"/>
      <c r="TKT94" s="39"/>
      <c r="TKU94" s="39"/>
      <c r="TKV94" s="39"/>
      <c r="TKW94" s="39"/>
      <c r="TKX94" s="39"/>
      <c r="TKY94" s="39"/>
      <c r="TKZ94" s="39"/>
      <c r="TLA94" s="39"/>
      <c r="TLB94" s="39"/>
      <c r="TLC94" s="39"/>
      <c r="TLD94" s="39"/>
      <c r="TLE94" s="39"/>
      <c r="TLF94" s="39"/>
      <c r="TLG94" s="39"/>
      <c r="TLH94" s="39"/>
      <c r="TLI94" s="39"/>
      <c r="TLJ94" s="39"/>
      <c r="TLK94" s="39"/>
      <c r="TLL94" s="39"/>
      <c r="TLM94" s="39"/>
      <c r="TLN94" s="39"/>
      <c r="TLO94" s="39"/>
      <c r="TLP94" s="39"/>
      <c r="TLQ94" s="39"/>
      <c r="TLR94" s="39"/>
      <c r="TLS94" s="39"/>
      <c r="TLT94" s="39"/>
      <c r="TLU94" s="39"/>
      <c r="TLV94" s="39"/>
      <c r="TLW94" s="39"/>
      <c r="TLX94" s="39"/>
      <c r="TLY94" s="39"/>
      <c r="TLZ94" s="39"/>
      <c r="TMA94" s="39"/>
      <c r="TMB94" s="39"/>
      <c r="TMC94" s="39"/>
      <c r="TMD94" s="39"/>
      <c r="TME94" s="39"/>
      <c r="TMF94" s="39"/>
      <c r="TMG94" s="39"/>
      <c r="TMH94" s="39"/>
      <c r="TMI94" s="39"/>
      <c r="TMJ94" s="39"/>
      <c r="TMK94" s="39"/>
      <c r="TML94" s="39"/>
      <c r="TMM94" s="39"/>
      <c r="TMN94" s="39"/>
      <c r="TMO94" s="39"/>
      <c r="TMP94" s="39"/>
      <c r="TMQ94" s="39"/>
      <c r="TMR94" s="39"/>
      <c r="TMS94" s="39"/>
      <c r="TMT94" s="39"/>
      <c r="TMU94" s="39"/>
      <c r="TMV94" s="39"/>
      <c r="TMW94" s="39"/>
      <c r="TMX94" s="39"/>
      <c r="TMY94" s="39"/>
      <c r="TMZ94" s="39"/>
      <c r="TNA94" s="39"/>
      <c r="TNB94" s="39"/>
      <c r="TNC94" s="39"/>
      <c r="TND94" s="39"/>
      <c r="TNE94" s="39"/>
      <c r="TNF94" s="39"/>
      <c r="TNG94" s="39"/>
      <c r="TNH94" s="39"/>
      <c r="TNI94" s="39"/>
      <c r="TNJ94" s="39"/>
      <c r="TNK94" s="39"/>
      <c r="TNL94" s="39"/>
      <c r="TNM94" s="39"/>
      <c r="TNN94" s="39"/>
      <c r="TNO94" s="39"/>
      <c r="TNP94" s="39"/>
      <c r="TNQ94" s="39"/>
      <c r="TNR94" s="39"/>
      <c r="TNS94" s="39"/>
      <c r="TNT94" s="39"/>
      <c r="TNU94" s="39"/>
      <c r="TNV94" s="39"/>
      <c r="TNW94" s="39"/>
      <c r="TNX94" s="39"/>
      <c r="TNY94" s="39"/>
      <c r="TNZ94" s="39"/>
      <c r="TOA94" s="39"/>
      <c r="TOB94" s="39"/>
      <c r="TOC94" s="39"/>
      <c r="TOD94" s="39"/>
      <c r="TOE94" s="39"/>
      <c r="TOF94" s="39"/>
      <c r="TOG94" s="39"/>
      <c r="TOH94" s="39"/>
      <c r="TOI94" s="39"/>
      <c r="TOJ94" s="39"/>
      <c r="TOK94" s="39"/>
      <c r="TOL94" s="39"/>
      <c r="TOM94" s="39"/>
      <c r="TON94" s="39"/>
      <c r="TOO94" s="39"/>
      <c r="TOP94" s="39"/>
      <c r="TOQ94" s="39"/>
      <c r="TOR94" s="39"/>
      <c r="TOS94" s="39"/>
      <c r="TOT94" s="39"/>
      <c r="TOU94" s="39"/>
      <c r="TOV94" s="39"/>
      <c r="TOW94" s="39"/>
      <c r="TOX94" s="39"/>
      <c r="TOY94" s="39"/>
      <c r="TOZ94" s="39"/>
      <c r="TPA94" s="39"/>
      <c r="TPB94" s="39"/>
      <c r="TPC94" s="39"/>
      <c r="TPD94" s="39"/>
      <c r="TPE94" s="39"/>
      <c r="TPF94" s="39"/>
      <c r="TPG94" s="39"/>
      <c r="TPH94" s="39"/>
      <c r="TPI94" s="39"/>
      <c r="TPJ94" s="39"/>
      <c r="TPK94" s="39"/>
      <c r="TPL94" s="39"/>
      <c r="TPM94" s="39"/>
      <c r="TPN94" s="39"/>
      <c r="TPO94" s="39"/>
      <c r="TPP94" s="39"/>
      <c r="TPQ94" s="39"/>
      <c r="TPR94" s="39"/>
      <c r="TPS94" s="39"/>
      <c r="TPT94" s="39"/>
      <c r="TPU94" s="39"/>
      <c r="TPV94" s="39"/>
      <c r="TPW94" s="39"/>
      <c r="TPX94" s="39"/>
      <c r="TPY94" s="39"/>
      <c r="TPZ94" s="39"/>
      <c r="TQA94" s="39"/>
      <c r="TQB94" s="39"/>
      <c r="TQC94" s="39"/>
      <c r="TQD94" s="39"/>
      <c r="TQE94" s="39"/>
      <c r="TQF94" s="39"/>
      <c r="TQG94" s="39"/>
      <c r="TQH94" s="39"/>
      <c r="TQI94" s="39"/>
      <c r="TQJ94" s="39"/>
      <c r="TQK94" s="39"/>
      <c r="TQL94" s="39"/>
      <c r="TQM94" s="39"/>
      <c r="TQN94" s="39"/>
      <c r="TQO94" s="39"/>
      <c r="TQP94" s="39"/>
      <c r="TQQ94" s="39"/>
      <c r="TQR94" s="39"/>
      <c r="TQS94" s="39"/>
      <c r="TQT94" s="39"/>
      <c r="TQU94" s="39"/>
      <c r="TQV94" s="39"/>
      <c r="TQW94" s="39"/>
      <c r="TQX94" s="39"/>
      <c r="TQY94" s="39"/>
      <c r="TQZ94" s="39"/>
      <c r="TRA94" s="39"/>
      <c r="TRB94" s="39"/>
      <c r="TRC94" s="39"/>
      <c r="TRD94" s="39"/>
      <c r="TRE94" s="39"/>
      <c r="TRF94" s="39"/>
      <c r="TRG94" s="39"/>
      <c r="TRH94" s="39"/>
      <c r="TRI94" s="39"/>
      <c r="TRJ94" s="39"/>
      <c r="TRK94" s="39"/>
      <c r="TRL94" s="39"/>
      <c r="TRM94" s="39"/>
      <c r="TRN94" s="39"/>
      <c r="TRO94" s="39"/>
      <c r="TRP94" s="39"/>
      <c r="TRQ94" s="39"/>
      <c r="TRR94" s="39"/>
      <c r="TRS94" s="39"/>
      <c r="TRT94" s="39"/>
      <c r="TRU94" s="39"/>
      <c r="TRV94" s="39"/>
      <c r="TRW94" s="39"/>
      <c r="TRX94" s="39"/>
      <c r="TRY94" s="39"/>
      <c r="TRZ94" s="39"/>
      <c r="TSA94" s="39"/>
      <c r="TSB94" s="39"/>
      <c r="TSC94" s="39"/>
      <c r="TSD94" s="39"/>
      <c r="TSE94" s="39"/>
      <c r="TSF94" s="39"/>
      <c r="TSG94" s="39"/>
      <c r="TSH94" s="39"/>
      <c r="TSI94" s="39"/>
      <c r="TSJ94" s="39"/>
      <c r="TSK94" s="39"/>
      <c r="TSL94" s="39"/>
      <c r="TSM94" s="39"/>
      <c r="TSN94" s="39"/>
      <c r="TSO94" s="39"/>
      <c r="TSP94" s="39"/>
      <c r="TSQ94" s="39"/>
      <c r="TSR94" s="39"/>
      <c r="TSS94" s="39"/>
      <c r="TST94" s="39"/>
      <c r="TSU94" s="39"/>
      <c r="TSV94" s="39"/>
      <c r="TSW94" s="39"/>
      <c r="TSX94" s="39"/>
      <c r="TSY94" s="39"/>
      <c r="TSZ94" s="39"/>
      <c r="TTA94" s="39"/>
      <c r="TTB94" s="39"/>
      <c r="TTC94" s="39"/>
      <c r="TTD94" s="39"/>
      <c r="TTE94" s="39"/>
      <c r="TTF94" s="39"/>
      <c r="TTG94" s="39"/>
      <c r="TTH94" s="39"/>
      <c r="TTI94" s="39"/>
      <c r="TTJ94" s="39"/>
      <c r="TTK94" s="39"/>
      <c r="TTL94" s="39"/>
      <c r="TTM94" s="39"/>
      <c r="TTN94" s="39"/>
      <c r="TTO94" s="39"/>
      <c r="TTP94" s="39"/>
      <c r="TTQ94" s="39"/>
      <c r="TTR94" s="39"/>
      <c r="TTS94" s="39"/>
      <c r="TTT94" s="39"/>
      <c r="TTU94" s="39"/>
      <c r="TTV94" s="39"/>
      <c r="TTW94" s="39"/>
      <c r="TTX94" s="39"/>
      <c r="TTY94" s="39"/>
      <c r="TTZ94" s="39"/>
      <c r="TUA94" s="39"/>
      <c r="TUB94" s="39"/>
      <c r="TUC94" s="39"/>
      <c r="TUD94" s="39"/>
      <c r="TUE94" s="39"/>
      <c r="TUF94" s="39"/>
      <c r="TUG94" s="39"/>
      <c r="TUH94" s="39"/>
      <c r="TUI94" s="39"/>
      <c r="TUJ94" s="39"/>
      <c r="TUK94" s="39"/>
      <c r="TUL94" s="39"/>
      <c r="TUM94" s="39"/>
      <c r="TUN94" s="39"/>
      <c r="TUO94" s="39"/>
      <c r="TUP94" s="39"/>
      <c r="TUQ94" s="39"/>
      <c r="TUR94" s="39"/>
      <c r="TUS94" s="39"/>
      <c r="TUT94" s="39"/>
      <c r="TUU94" s="39"/>
      <c r="TUV94" s="39"/>
      <c r="TUW94" s="39"/>
      <c r="TUX94" s="39"/>
      <c r="TUY94" s="39"/>
      <c r="TUZ94" s="39"/>
      <c r="TVA94" s="39"/>
      <c r="TVB94" s="39"/>
      <c r="TVC94" s="39"/>
      <c r="TVD94" s="39"/>
      <c r="TVE94" s="39"/>
      <c r="TVF94" s="39"/>
      <c r="TVG94" s="39"/>
      <c r="TVH94" s="39"/>
      <c r="TVI94" s="39"/>
      <c r="TVJ94" s="39"/>
      <c r="TVK94" s="39"/>
      <c r="TVL94" s="39"/>
      <c r="TVM94" s="39"/>
      <c r="TVN94" s="39"/>
      <c r="TVO94" s="39"/>
      <c r="TVP94" s="39"/>
      <c r="TVQ94" s="39"/>
      <c r="TVR94" s="39"/>
      <c r="TVS94" s="39"/>
      <c r="TVT94" s="39"/>
      <c r="TVU94" s="39"/>
      <c r="TVV94" s="39"/>
      <c r="TVW94" s="39"/>
      <c r="TVX94" s="39"/>
      <c r="TVY94" s="39"/>
      <c r="TVZ94" s="39"/>
      <c r="TWA94" s="39"/>
      <c r="TWB94" s="39"/>
      <c r="TWC94" s="39"/>
      <c r="TWD94" s="39"/>
      <c r="TWE94" s="39"/>
      <c r="TWF94" s="39"/>
      <c r="TWG94" s="39"/>
      <c r="TWH94" s="39"/>
      <c r="TWI94" s="39"/>
      <c r="TWJ94" s="39"/>
      <c r="TWK94" s="39"/>
      <c r="TWL94" s="39"/>
      <c r="TWM94" s="39"/>
      <c r="TWN94" s="39"/>
      <c r="TWO94" s="39"/>
      <c r="TWP94" s="39"/>
      <c r="TWQ94" s="39"/>
      <c r="TWR94" s="39"/>
      <c r="TWS94" s="39"/>
      <c r="TWT94" s="39"/>
      <c r="TWU94" s="39"/>
      <c r="TWV94" s="39"/>
      <c r="TWW94" s="39"/>
      <c r="TWX94" s="39"/>
      <c r="TWY94" s="39"/>
      <c r="TWZ94" s="39"/>
      <c r="TXA94" s="39"/>
      <c r="TXB94" s="39"/>
      <c r="TXC94" s="39"/>
      <c r="TXD94" s="39"/>
      <c r="TXE94" s="39"/>
      <c r="TXF94" s="39"/>
      <c r="TXG94" s="39"/>
      <c r="TXH94" s="39"/>
      <c r="TXI94" s="39"/>
      <c r="TXJ94" s="39"/>
      <c r="TXK94" s="39"/>
      <c r="TXL94" s="39"/>
      <c r="TXM94" s="39"/>
      <c r="TXN94" s="39"/>
      <c r="TXO94" s="39"/>
      <c r="TXP94" s="39"/>
      <c r="TXQ94" s="39"/>
      <c r="TXR94" s="39"/>
      <c r="TXS94" s="39"/>
      <c r="TXT94" s="39"/>
      <c r="TXU94" s="39"/>
      <c r="TXV94" s="39"/>
      <c r="TXW94" s="39"/>
      <c r="TXX94" s="39"/>
      <c r="TXY94" s="39"/>
      <c r="TXZ94" s="39"/>
      <c r="TYA94" s="39"/>
      <c r="TYB94" s="39"/>
      <c r="TYC94" s="39"/>
      <c r="TYD94" s="39"/>
      <c r="TYE94" s="39"/>
      <c r="TYF94" s="39"/>
      <c r="TYG94" s="39"/>
      <c r="TYH94" s="39"/>
      <c r="TYI94" s="39"/>
      <c r="TYJ94" s="39"/>
      <c r="TYK94" s="39"/>
      <c r="TYL94" s="39"/>
      <c r="TYM94" s="39"/>
      <c r="TYN94" s="39"/>
      <c r="TYO94" s="39"/>
      <c r="TYP94" s="39"/>
      <c r="TYQ94" s="39"/>
      <c r="TYR94" s="39"/>
      <c r="TYS94" s="39"/>
      <c r="TYT94" s="39"/>
      <c r="TYU94" s="39"/>
      <c r="TYV94" s="39"/>
      <c r="TYW94" s="39"/>
      <c r="TYX94" s="39"/>
      <c r="TYY94" s="39"/>
      <c r="TYZ94" s="39"/>
      <c r="TZA94" s="39"/>
      <c r="TZB94" s="39"/>
      <c r="TZC94" s="39"/>
      <c r="TZD94" s="39"/>
      <c r="TZE94" s="39"/>
      <c r="TZF94" s="39"/>
      <c r="TZG94" s="39"/>
      <c r="TZH94" s="39"/>
      <c r="TZI94" s="39"/>
      <c r="TZJ94" s="39"/>
      <c r="TZK94" s="39"/>
      <c r="TZL94" s="39"/>
      <c r="TZM94" s="39"/>
      <c r="TZN94" s="39"/>
      <c r="TZO94" s="39"/>
      <c r="TZP94" s="39"/>
      <c r="TZQ94" s="39"/>
      <c r="TZR94" s="39"/>
      <c r="TZS94" s="39"/>
      <c r="TZT94" s="39"/>
      <c r="TZU94" s="39"/>
      <c r="TZV94" s="39"/>
      <c r="TZW94" s="39"/>
      <c r="TZX94" s="39"/>
      <c r="TZY94" s="39"/>
      <c r="TZZ94" s="39"/>
      <c r="UAA94" s="39"/>
      <c r="UAB94" s="39"/>
      <c r="UAC94" s="39"/>
      <c r="UAD94" s="39"/>
      <c r="UAE94" s="39"/>
      <c r="UAF94" s="39"/>
      <c r="UAG94" s="39"/>
      <c r="UAH94" s="39"/>
      <c r="UAI94" s="39"/>
      <c r="UAJ94" s="39"/>
      <c r="UAK94" s="39"/>
      <c r="UAL94" s="39"/>
      <c r="UAM94" s="39"/>
      <c r="UAN94" s="39"/>
      <c r="UAO94" s="39"/>
      <c r="UAP94" s="39"/>
      <c r="UAQ94" s="39"/>
      <c r="UAR94" s="39"/>
      <c r="UAS94" s="39"/>
      <c r="UAT94" s="39"/>
      <c r="UAU94" s="39"/>
      <c r="UAV94" s="39"/>
      <c r="UAW94" s="39"/>
      <c r="UAX94" s="39"/>
      <c r="UAY94" s="39"/>
      <c r="UAZ94" s="39"/>
      <c r="UBA94" s="39"/>
      <c r="UBB94" s="39"/>
      <c r="UBC94" s="39"/>
      <c r="UBD94" s="39"/>
      <c r="UBE94" s="39"/>
      <c r="UBF94" s="39"/>
      <c r="UBG94" s="39"/>
      <c r="UBH94" s="39"/>
      <c r="UBI94" s="39"/>
      <c r="UBJ94" s="39"/>
      <c r="UBK94" s="39"/>
      <c r="UBL94" s="39"/>
      <c r="UBM94" s="39"/>
      <c r="UBN94" s="39"/>
      <c r="UBO94" s="39"/>
      <c r="UBP94" s="39"/>
      <c r="UBQ94" s="39"/>
      <c r="UBR94" s="39"/>
      <c r="UBS94" s="39"/>
      <c r="UBT94" s="39"/>
      <c r="UBU94" s="39"/>
      <c r="UBV94" s="39"/>
      <c r="UBW94" s="39"/>
      <c r="UBX94" s="39"/>
      <c r="UBY94" s="39"/>
      <c r="UBZ94" s="39"/>
      <c r="UCA94" s="39"/>
      <c r="UCB94" s="39"/>
      <c r="UCC94" s="39"/>
      <c r="UCD94" s="39"/>
      <c r="UCE94" s="39"/>
      <c r="UCF94" s="39"/>
      <c r="UCG94" s="39"/>
      <c r="UCH94" s="39"/>
      <c r="UCI94" s="39"/>
      <c r="UCJ94" s="39"/>
      <c r="UCK94" s="39"/>
      <c r="UCL94" s="39"/>
      <c r="UCM94" s="39"/>
      <c r="UCN94" s="39"/>
      <c r="UCO94" s="39"/>
      <c r="UCP94" s="39"/>
      <c r="UCQ94" s="39"/>
      <c r="UCR94" s="39"/>
      <c r="UCS94" s="39"/>
      <c r="UCT94" s="39"/>
      <c r="UCU94" s="39"/>
      <c r="UCV94" s="39"/>
      <c r="UCW94" s="39"/>
      <c r="UCX94" s="39"/>
      <c r="UCY94" s="39"/>
      <c r="UCZ94" s="39"/>
      <c r="UDA94" s="39"/>
      <c r="UDB94" s="39"/>
      <c r="UDC94" s="39"/>
      <c r="UDD94" s="39"/>
      <c r="UDE94" s="39"/>
      <c r="UDF94" s="39"/>
      <c r="UDG94" s="39"/>
      <c r="UDH94" s="39"/>
      <c r="UDI94" s="39"/>
      <c r="UDJ94" s="39"/>
      <c r="UDK94" s="39"/>
      <c r="UDL94" s="39"/>
      <c r="UDM94" s="39"/>
      <c r="UDN94" s="39"/>
      <c r="UDO94" s="39"/>
      <c r="UDP94" s="39"/>
      <c r="UDQ94" s="39"/>
      <c r="UDR94" s="39"/>
      <c r="UDS94" s="39"/>
      <c r="UDT94" s="39"/>
      <c r="UDU94" s="39"/>
      <c r="UDV94" s="39"/>
      <c r="UDW94" s="39"/>
      <c r="UDX94" s="39"/>
      <c r="UDY94" s="39"/>
      <c r="UDZ94" s="39"/>
      <c r="UEA94" s="39"/>
      <c r="UEB94" s="39"/>
      <c r="UEC94" s="39"/>
      <c r="UED94" s="39"/>
      <c r="UEE94" s="39"/>
      <c r="UEF94" s="39"/>
      <c r="UEG94" s="39"/>
      <c r="UEH94" s="39"/>
      <c r="UEI94" s="39"/>
      <c r="UEJ94" s="39"/>
      <c r="UEK94" s="39"/>
      <c r="UEL94" s="39"/>
      <c r="UEM94" s="39"/>
      <c r="UEN94" s="39"/>
      <c r="UEO94" s="39"/>
      <c r="UEP94" s="39"/>
      <c r="UEQ94" s="39"/>
      <c r="UER94" s="39"/>
      <c r="UES94" s="39"/>
      <c r="UET94" s="39"/>
      <c r="UEU94" s="39"/>
      <c r="UEV94" s="39"/>
      <c r="UEW94" s="39"/>
      <c r="UEX94" s="39"/>
      <c r="UEY94" s="39"/>
      <c r="UEZ94" s="39"/>
      <c r="UFA94" s="39"/>
      <c r="UFB94" s="39"/>
      <c r="UFC94" s="39"/>
      <c r="UFD94" s="39"/>
      <c r="UFE94" s="39"/>
      <c r="UFF94" s="39"/>
      <c r="UFG94" s="39"/>
      <c r="UFH94" s="39"/>
      <c r="UFI94" s="39"/>
      <c r="UFJ94" s="39"/>
      <c r="UFK94" s="39"/>
      <c r="UFL94" s="39"/>
      <c r="UFM94" s="39"/>
      <c r="UFN94" s="39"/>
      <c r="UFO94" s="39"/>
      <c r="UFP94" s="39"/>
      <c r="UFQ94" s="39"/>
      <c r="UFR94" s="39"/>
      <c r="UFS94" s="39"/>
      <c r="UFT94" s="39"/>
      <c r="UFU94" s="39"/>
      <c r="UFV94" s="39"/>
      <c r="UFW94" s="39"/>
      <c r="UFX94" s="39"/>
      <c r="UFY94" s="39"/>
      <c r="UFZ94" s="39"/>
      <c r="UGA94" s="39"/>
      <c r="UGB94" s="39"/>
      <c r="UGC94" s="39"/>
      <c r="UGD94" s="39"/>
      <c r="UGE94" s="39"/>
      <c r="UGF94" s="39"/>
      <c r="UGG94" s="39"/>
      <c r="UGH94" s="39"/>
      <c r="UGI94" s="39"/>
      <c r="UGJ94" s="39"/>
      <c r="UGK94" s="39"/>
      <c r="UGL94" s="39"/>
      <c r="UGM94" s="39"/>
      <c r="UGN94" s="39"/>
      <c r="UGO94" s="39"/>
      <c r="UGP94" s="39"/>
      <c r="UGQ94" s="39"/>
      <c r="UGR94" s="39"/>
      <c r="UGS94" s="39"/>
      <c r="UGT94" s="39"/>
      <c r="UGU94" s="39"/>
      <c r="UGV94" s="39"/>
      <c r="UGW94" s="39"/>
      <c r="UGX94" s="39"/>
      <c r="UGY94" s="39"/>
      <c r="UGZ94" s="39"/>
      <c r="UHA94" s="39"/>
      <c r="UHB94" s="39"/>
      <c r="UHC94" s="39"/>
      <c r="UHD94" s="39"/>
      <c r="UHE94" s="39"/>
      <c r="UHF94" s="39"/>
      <c r="UHG94" s="39"/>
      <c r="UHH94" s="39"/>
      <c r="UHI94" s="39"/>
      <c r="UHJ94" s="39"/>
      <c r="UHK94" s="39"/>
      <c r="UHL94" s="39"/>
      <c r="UHM94" s="39"/>
      <c r="UHN94" s="39"/>
      <c r="UHO94" s="39"/>
      <c r="UHP94" s="39"/>
      <c r="UHQ94" s="39"/>
      <c r="UHR94" s="39"/>
      <c r="UHS94" s="39"/>
      <c r="UHT94" s="39"/>
      <c r="UHU94" s="39"/>
      <c r="UHV94" s="39"/>
      <c r="UHW94" s="39"/>
      <c r="UHX94" s="39"/>
      <c r="UHY94" s="39"/>
      <c r="UHZ94" s="39"/>
      <c r="UIA94" s="39"/>
      <c r="UIB94" s="39"/>
      <c r="UIC94" s="39"/>
      <c r="UID94" s="39"/>
      <c r="UIE94" s="39"/>
      <c r="UIF94" s="39"/>
      <c r="UIG94" s="39"/>
      <c r="UIH94" s="39"/>
      <c r="UII94" s="39"/>
      <c r="UIJ94" s="39"/>
      <c r="UIK94" s="39"/>
      <c r="UIL94" s="39"/>
      <c r="UIM94" s="39"/>
      <c r="UIN94" s="39"/>
      <c r="UIO94" s="39"/>
      <c r="UIP94" s="39"/>
      <c r="UIQ94" s="39"/>
      <c r="UIR94" s="39"/>
      <c r="UIS94" s="39"/>
      <c r="UIT94" s="39"/>
      <c r="UIU94" s="39"/>
      <c r="UIV94" s="39"/>
      <c r="UIW94" s="39"/>
      <c r="UIX94" s="39"/>
      <c r="UIY94" s="39"/>
      <c r="UIZ94" s="39"/>
      <c r="UJA94" s="39"/>
      <c r="UJB94" s="39"/>
      <c r="UJC94" s="39"/>
      <c r="UJD94" s="39"/>
      <c r="UJE94" s="39"/>
      <c r="UJF94" s="39"/>
      <c r="UJG94" s="39"/>
      <c r="UJH94" s="39"/>
      <c r="UJI94" s="39"/>
      <c r="UJJ94" s="39"/>
      <c r="UJK94" s="39"/>
      <c r="UJL94" s="39"/>
      <c r="UJM94" s="39"/>
      <c r="UJN94" s="39"/>
      <c r="UJO94" s="39"/>
      <c r="UJP94" s="39"/>
      <c r="UJQ94" s="39"/>
      <c r="UJR94" s="39"/>
      <c r="UJS94" s="39"/>
      <c r="UJT94" s="39"/>
      <c r="UJU94" s="39"/>
      <c r="UJV94" s="39"/>
      <c r="UJW94" s="39"/>
      <c r="UJX94" s="39"/>
      <c r="UJY94" s="39"/>
      <c r="UJZ94" s="39"/>
      <c r="UKA94" s="39"/>
      <c r="UKB94" s="39"/>
      <c r="UKC94" s="39"/>
      <c r="UKD94" s="39"/>
      <c r="UKE94" s="39"/>
      <c r="UKF94" s="39"/>
      <c r="UKG94" s="39"/>
      <c r="UKH94" s="39"/>
      <c r="UKI94" s="39"/>
      <c r="UKJ94" s="39"/>
      <c r="UKK94" s="39"/>
      <c r="UKL94" s="39"/>
      <c r="UKM94" s="39"/>
      <c r="UKN94" s="39"/>
      <c r="UKO94" s="39"/>
      <c r="UKP94" s="39"/>
      <c r="UKQ94" s="39"/>
      <c r="UKR94" s="39"/>
      <c r="UKS94" s="39"/>
      <c r="UKT94" s="39"/>
      <c r="UKU94" s="39"/>
      <c r="UKV94" s="39"/>
      <c r="UKW94" s="39"/>
      <c r="UKX94" s="39"/>
      <c r="UKY94" s="39"/>
      <c r="UKZ94" s="39"/>
      <c r="ULA94" s="39"/>
      <c r="ULB94" s="39"/>
      <c r="ULC94" s="39"/>
      <c r="ULD94" s="39"/>
      <c r="ULE94" s="39"/>
      <c r="ULF94" s="39"/>
      <c r="ULG94" s="39"/>
      <c r="ULH94" s="39"/>
      <c r="ULI94" s="39"/>
      <c r="ULJ94" s="39"/>
      <c r="ULK94" s="39"/>
      <c r="ULL94" s="39"/>
      <c r="ULM94" s="39"/>
      <c r="ULN94" s="39"/>
      <c r="ULO94" s="39"/>
      <c r="ULP94" s="39"/>
      <c r="ULQ94" s="39"/>
      <c r="ULR94" s="39"/>
      <c r="ULS94" s="39"/>
      <c r="ULT94" s="39"/>
      <c r="ULU94" s="39"/>
      <c r="ULV94" s="39"/>
      <c r="ULW94" s="39"/>
      <c r="ULX94" s="39"/>
      <c r="ULY94" s="39"/>
      <c r="ULZ94" s="39"/>
      <c r="UMA94" s="39"/>
      <c r="UMB94" s="39"/>
      <c r="UMC94" s="39"/>
      <c r="UMD94" s="39"/>
      <c r="UME94" s="39"/>
      <c r="UMF94" s="39"/>
      <c r="UMG94" s="39"/>
      <c r="UMH94" s="39"/>
      <c r="UMI94" s="39"/>
      <c r="UMJ94" s="39"/>
      <c r="UMK94" s="39"/>
      <c r="UML94" s="39"/>
      <c r="UMM94" s="39"/>
      <c r="UMN94" s="39"/>
      <c r="UMO94" s="39"/>
      <c r="UMP94" s="39"/>
      <c r="UMQ94" s="39"/>
      <c r="UMR94" s="39"/>
      <c r="UMS94" s="39"/>
      <c r="UMT94" s="39"/>
      <c r="UMU94" s="39"/>
      <c r="UMV94" s="39"/>
      <c r="UMW94" s="39"/>
      <c r="UMX94" s="39"/>
      <c r="UMY94" s="39"/>
      <c r="UMZ94" s="39"/>
      <c r="UNA94" s="39"/>
      <c r="UNB94" s="39"/>
      <c r="UNC94" s="39"/>
      <c r="UND94" s="39"/>
      <c r="UNE94" s="39"/>
      <c r="UNF94" s="39"/>
      <c r="UNG94" s="39"/>
      <c r="UNH94" s="39"/>
      <c r="UNI94" s="39"/>
      <c r="UNJ94" s="39"/>
      <c r="UNK94" s="39"/>
      <c r="UNL94" s="39"/>
      <c r="UNM94" s="39"/>
      <c r="UNN94" s="39"/>
      <c r="UNO94" s="39"/>
      <c r="UNP94" s="39"/>
      <c r="UNQ94" s="39"/>
      <c r="UNR94" s="39"/>
      <c r="UNS94" s="39"/>
      <c r="UNT94" s="39"/>
      <c r="UNU94" s="39"/>
      <c r="UNV94" s="39"/>
      <c r="UNW94" s="39"/>
      <c r="UNX94" s="39"/>
      <c r="UNY94" s="39"/>
      <c r="UNZ94" s="39"/>
      <c r="UOA94" s="39"/>
      <c r="UOB94" s="39"/>
      <c r="UOC94" s="39"/>
      <c r="UOD94" s="39"/>
      <c r="UOE94" s="39"/>
      <c r="UOF94" s="39"/>
      <c r="UOG94" s="39"/>
      <c r="UOH94" s="39"/>
      <c r="UOI94" s="39"/>
      <c r="UOJ94" s="39"/>
      <c r="UOK94" s="39"/>
      <c r="UOL94" s="39"/>
      <c r="UOM94" s="39"/>
      <c r="UON94" s="39"/>
      <c r="UOO94" s="39"/>
      <c r="UOP94" s="39"/>
      <c r="UOQ94" s="39"/>
      <c r="UOR94" s="39"/>
      <c r="UOS94" s="39"/>
      <c r="UOT94" s="39"/>
      <c r="UOU94" s="39"/>
      <c r="UOV94" s="39"/>
      <c r="UOW94" s="39"/>
      <c r="UOX94" s="39"/>
      <c r="UOY94" s="39"/>
      <c r="UOZ94" s="39"/>
      <c r="UPA94" s="39"/>
      <c r="UPB94" s="39"/>
      <c r="UPC94" s="39"/>
      <c r="UPD94" s="39"/>
      <c r="UPE94" s="39"/>
      <c r="UPF94" s="39"/>
      <c r="UPG94" s="39"/>
      <c r="UPH94" s="39"/>
      <c r="UPI94" s="39"/>
      <c r="UPJ94" s="39"/>
      <c r="UPK94" s="39"/>
      <c r="UPL94" s="39"/>
      <c r="UPM94" s="39"/>
      <c r="UPN94" s="39"/>
      <c r="UPO94" s="39"/>
      <c r="UPP94" s="39"/>
      <c r="UPQ94" s="39"/>
      <c r="UPR94" s="39"/>
      <c r="UPS94" s="39"/>
      <c r="UPT94" s="39"/>
      <c r="UPU94" s="39"/>
      <c r="UPV94" s="39"/>
      <c r="UPW94" s="39"/>
      <c r="UPX94" s="39"/>
      <c r="UPY94" s="39"/>
      <c r="UPZ94" s="39"/>
      <c r="UQA94" s="39"/>
      <c r="UQB94" s="39"/>
      <c r="UQC94" s="39"/>
      <c r="UQD94" s="39"/>
      <c r="UQE94" s="39"/>
      <c r="UQF94" s="39"/>
      <c r="UQG94" s="39"/>
      <c r="UQH94" s="39"/>
      <c r="UQI94" s="39"/>
      <c r="UQJ94" s="39"/>
      <c r="UQK94" s="39"/>
      <c r="UQL94" s="39"/>
      <c r="UQM94" s="39"/>
      <c r="UQN94" s="39"/>
      <c r="UQO94" s="39"/>
      <c r="UQP94" s="39"/>
      <c r="UQQ94" s="39"/>
      <c r="UQR94" s="39"/>
      <c r="UQS94" s="39"/>
      <c r="UQT94" s="39"/>
      <c r="UQU94" s="39"/>
      <c r="UQV94" s="39"/>
      <c r="UQW94" s="39"/>
      <c r="UQX94" s="39"/>
      <c r="UQY94" s="39"/>
      <c r="UQZ94" s="39"/>
      <c r="URA94" s="39"/>
      <c r="URB94" s="39"/>
      <c r="URC94" s="39"/>
      <c r="URD94" s="39"/>
      <c r="URE94" s="39"/>
      <c r="URF94" s="39"/>
      <c r="URG94" s="39"/>
      <c r="URH94" s="39"/>
      <c r="URI94" s="39"/>
      <c r="URJ94" s="39"/>
      <c r="URK94" s="39"/>
      <c r="URL94" s="39"/>
      <c r="URM94" s="39"/>
      <c r="URN94" s="39"/>
      <c r="URO94" s="39"/>
      <c r="URP94" s="39"/>
      <c r="URQ94" s="39"/>
      <c r="URR94" s="39"/>
      <c r="URS94" s="39"/>
      <c r="URT94" s="39"/>
      <c r="URU94" s="39"/>
      <c r="URV94" s="39"/>
      <c r="URW94" s="39"/>
      <c r="URX94" s="39"/>
      <c r="URY94" s="39"/>
      <c r="URZ94" s="39"/>
      <c r="USA94" s="39"/>
      <c r="USB94" s="39"/>
      <c r="USC94" s="39"/>
      <c r="USD94" s="39"/>
      <c r="USE94" s="39"/>
      <c r="USF94" s="39"/>
      <c r="USG94" s="39"/>
      <c r="USH94" s="39"/>
      <c r="USI94" s="39"/>
      <c r="USJ94" s="39"/>
      <c r="USK94" s="39"/>
      <c r="USL94" s="39"/>
      <c r="USM94" s="39"/>
      <c r="USN94" s="39"/>
      <c r="USO94" s="39"/>
      <c r="USP94" s="39"/>
      <c r="USQ94" s="39"/>
      <c r="USR94" s="39"/>
      <c r="USS94" s="39"/>
      <c r="UST94" s="39"/>
      <c r="USU94" s="39"/>
      <c r="USV94" s="39"/>
      <c r="USW94" s="39"/>
      <c r="USX94" s="39"/>
      <c r="USY94" s="39"/>
      <c r="USZ94" s="39"/>
      <c r="UTA94" s="39"/>
      <c r="UTB94" s="39"/>
      <c r="UTC94" s="39"/>
      <c r="UTD94" s="39"/>
      <c r="UTE94" s="39"/>
      <c r="UTF94" s="39"/>
      <c r="UTG94" s="39"/>
      <c r="UTH94" s="39"/>
      <c r="UTI94" s="39"/>
      <c r="UTJ94" s="39"/>
      <c r="UTK94" s="39"/>
      <c r="UTL94" s="39"/>
      <c r="UTM94" s="39"/>
      <c r="UTN94" s="39"/>
      <c r="UTO94" s="39"/>
      <c r="UTP94" s="39"/>
      <c r="UTQ94" s="39"/>
      <c r="UTR94" s="39"/>
      <c r="UTS94" s="39"/>
      <c r="UTT94" s="39"/>
      <c r="UTU94" s="39"/>
      <c r="UTV94" s="39"/>
      <c r="UTW94" s="39"/>
      <c r="UTX94" s="39"/>
      <c r="UTY94" s="39"/>
      <c r="UTZ94" s="39"/>
      <c r="UUA94" s="39"/>
      <c r="UUB94" s="39"/>
      <c r="UUC94" s="39"/>
      <c r="UUD94" s="39"/>
      <c r="UUE94" s="39"/>
      <c r="UUF94" s="39"/>
      <c r="UUG94" s="39"/>
      <c r="UUH94" s="39"/>
      <c r="UUI94" s="39"/>
      <c r="UUJ94" s="39"/>
      <c r="UUK94" s="39"/>
      <c r="UUL94" s="39"/>
      <c r="UUM94" s="39"/>
      <c r="UUN94" s="39"/>
      <c r="UUO94" s="39"/>
      <c r="UUP94" s="39"/>
      <c r="UUQ94" s="39"/>
      <c r="UUR94" s="39"/>
      <c r="UUS94" s="39"/>
      <c r="UUT94" s="39"/>
      <c r="UUU94" s="39"/>
      <c r="UUV94" s="39"/>
      <c r="UUW94" s="39"/>
      <c r="UUX94" s="39"/>
      <c r="UUY94" s="39"/>
      <c r="UUZ94" s="39"/>
      <c r="UVA94" s="39"/>
      <c r="UVB94" s="39"/>
      <c r="UVC94" s="39"/>
      <c r="UVD94" s="39"/>
      <c r="UVE94" s="39"/>
      <c r="UVF94" s="39"/>
      <c r="UVG94" s="39"/>
      <c r="UVH94" s="39"/>
      <c r="UVI94" s="39"/>
      <c r="UVJ94" s="39"/>
      <c r="UVK94" s="39"/>
      <c r="UVL94" s="39"/>
      <c r="UVM94" s="39"/>
      <c r="UVN94" s="39"/>
      <c r="UVO94" s="39"/>
      <c r="UVP94" s="39"/>
      <c r="UVQ94" s="39"/>
      <c r="UVR94" s="39"/>
      <c r="UVS94" s="39"/>
      <c r="UVT94" s="39"/>
      <c r="UVU94" s="39"/>
      <c r="UVV94" s="39"/>
      <c r="UVW94" s="39"/>
      <c r="UVX94" s="39"/>
      <c r="UVY94" s="39"/>
      <c r="UVZ94" s="39"/>
      <c r="UWA94" s="39"/>
      <c r="UWB94" s="39"/>
      <c r="UWC94" s="39"/>
      <c r="UWD94" s="39"/>
      <c r="UWE94" s="39"/>
      <c r="UWF94" s="39"/>
      <c r="UWG94" s="39"/>
      <c r="UWH94" s="39"/>
      <c r="UWI94" s="39"/>
      <c r="UWJ94" s="39"/>
      <c r="UWK94" s="39"/>
      <c r="UWL94" s="39"/>
      <c r="UWM94" s="39"/>
      <c r="UWN94" s="39"/>
      <c r="UWO94" s="39"/>
      <c r="UWP94" s="39"/>
      <c r="UWQ94" s="39"/>
      <c r="UWR94" s="39"/>
      <c r="UWS94" s="39"/>
      <c r="UWT94" s="39"/>
      <c r="UWU94" s="39"/>
      <c r="UWV94" s="39"/>
      <c r="UWW94" s="39"/>
      <c r="UWX94" s="39"/>
      <c r="UWY94" s="39"/>
      <c r="UWZ94" s="39"/>
      <c r="UXA94" s="39"/>
      <c r="UXB94" s="39"/>
      <c r="UXC94" s="39"/>
      <c r="UXD94" s="39"/>
      <c r="UXE94" s="39"/>
      <c r="UXF94" s="39"/>
      <c r="UXG94" s="39"/>
      <c r="UXH94" s="39"/>
      <c r="UXI94" s="39"/>
      <c r="UXJ94" s="39"/>
      <c r="UXK94" s="39"/>
      <c r="UXL94" s="39"/>
      <c r="UXM94" s="39"/>
      <c r="UXN94" s="39"/>
      <c r="UXO94" s="39"/>
      <c r="UXP94" s="39"/>
      <c r="UXQ94" s="39"/>
      <c r="UXR94" s="39"/>
      <c r="UXS94" s="39"/>
      <c r="UXT94" s="39"/>
      <c r="UXU94" s="39"/>
      <c r="UXV94" s="39"/>
      <c r="UXW94" s="39"/>
      <c r="UXX94" s="39"/>
      <c r="UXY94" s="39"/>
      <c r="UXZ94" s="39"/>
      <c r="UYA94" s="39"/>
      <c r="UYB94" s="39"/>
      <c r="UYC94" s="39"/>
      <c r="UYD94" s="39"/>
      <c r="UYE94" s="39"/>
      <c r="UYF94" s="39"/>
      <c r="UYG94" s="39"/>
      <c r="UYH94" s="39"/>
      <c r="UYI94" s="39"/>
      <c r="UYJ94" s="39"/>
      <c r="UYK94" s="39"/>
      <c r="UYL94" s="39"/>
      <c r="UYM94" s="39"/>
      <c r="UYN94" s="39"/>
      <c r="UYO94" s="39"/>
      <c r="UYP94" s="39"/>
      <c r="UYQ94" s="39"/>
      <c r="UYR94" s="39"/>
      <c r="UYS94" s="39"/>
      <c r="UYT94" s="39"/>
      <c r="UYU94" s="39"/>
      <c r="UYV94" s="39"/>
      <c r="UYW94" s="39"/>
      <c r="UYX94" s="39"/>
      <c r="UYY94" s="39"/>
      <c r="UYZ94" s="39"/>
      <c r="UZA94" s="39"/>
      <c r="UZB94" s="39"/>
      <c r="UZC94" s="39"/>
      <c r="UZD94" s="39"/>
      <c r="UZE94" s="39"/>
      <c r="UZF94" s="39"/>
      <c r="UZG94" s="39"/>
      <c r="UZH94" s="39"/>
      <c r="UZI94" s="39"/>
      <c r="UZJ94" s="39"/>
      <c r="UZK94" s="39"/>
      <c r="UZL94" s="39"/>
      <c r="UZM94" s="39"/>
      <c r="UZN94" s="39"/>
      <c r="UZO94" s="39"/>
      <c r="UZP94" s="39"/>
      <c r="UZQ94" s="39"/>
      <c r="UZR94" s="39"/>
      <c r="UZS94" s="39"/>
      <c r="UZT94" s="39"/>
      <c r="UZU94" s="39"/>
      <c r="UZV94" s="39"/>
      <c r="UZW94" s="39"/>
      <c r="UZX94" s="39"/>
      <c r="UZY94" s="39"/>
      <c r="UZZ94" s="39"/>
      <c r="VAA94" s="39"/>
      <c r="VAB94" s="39"/>
      <c r="VAC94" s="39"/>
      <c r="VAD94" s="39"/>
      <c r="VAE94" s="39"/>
      <c r="VAF94" s="39"/>
      <c r="VAG94" s="39"/>
      <c r="VAH94" s="39"/>
      <c r="VAI94" s="39"/>
      <c r="VAJ94" s="39"/>
      <c r="VAK94" s="39"/>
      <c r="VAL94" s="39"/>
      <c r="VAM94" s="39"/>
      <c r="VAN94" s="39"/>
      <c r="VAO94" s="39"/>
      <c r="VAP94" s="39"/>
      <c r="VAQ94" s="39"/>
      <c r="VAR94" s="39"/>
      <c r="VAS94" s="39"/>
      <c r="VAT94" s="39"/>
      <c r="VAU94" s="39"/>
      <c r="VAV94" s="39"/>
      <c r="VAW94" s="39"/>
      <c r="VAX94" s="39"/>
      <c r="VAY94" s="39"/>
      <c r="VAZ94" s="39"/>
      <c r="VBA94" s="39"/>
      <c r="VBB94" s="39"/>
      <c r="VBC94" s="39"/>
      <c r="VBD94" s="39"/>
      <c r="VBE94" s="39"/>
      <c r="VBF94" s="39"/>
      <c r="VBG94" s="39"/>
      <c r="VBH94" s="39"/>
      <c r="VBI94" s="39"/>
      <c r="VBJ94" s="39"/>
      <c r="VBK94" s="39"/>
      <c r="VBL94" s="39"/>
      <c r="VBM94" s="39"/>
      <c r="VBN94" s="39"/>
      <c r="VBO94" s="39"/>
      <c r="VBP94" s="39"/>
      <c r="VBQ94" s="39"/>
      <c r="VBR94" s="39"/>
      <c r="VBS94" s="39"/>
      <c r="VBT94" s="39"/>
      <c r="VBU94" s="39"/>
      <c r="VBV94" s="39"/>
      <c r="VBW94" s="39"/>
      <c r="VBX94" s="39"/>
      <c r="VBY94" s="39"/>
      <c r="VBZ94" s="39"/>
      <c r="VCA94" s="39"/>
      <c r="VCB94" s="39"/>
      <c r="VCC94" s="39"/>
      <c r="VCD94" s="39"/>
      <c r="VCE94" s="39"/>
      <c r="VCF94" s="39"/>
      <c r="VCG94" s="39"/>
      <c r="VCH94" s="39"/>
      <c r="VCI94" s="39"/>
      <c r="VCJ94" s="39"/>
      <c r="VCK94" s="39"/>
      <c r="VCL94" s="39"/>
      <c r="VCM94" s="39"/>
      <c r="VCN94" s="39"/>
      <c r="VCO94" s="39"/>
      <c r="VCP94" s="39"/>
      <c r="VCQ94" s="39"/>
      <c r="VCR94" s="39"/>
      <c r="VCS94" s="39"/>
      <c r="VCT94" s="39"/>
      <c r="VCU94" s="39"/>
      <c r="VCV94" s="39"/>
      <c r="VCW94" s="39"/>
      <c r="VCX94" s="39"/>
      <c r="VCY94" s="39"/>
      <c r="VCZ94" s="39"/>
      <c r="VDA94" s="39"/>
      <c r="VDB94" s="39"/>
      <c r="VDC94" s="39"/>
      <c r="VDD94" s="39"/>
      <c r="VDE94" s="39"/>
      <c r="VDF94" s="39"/>
      <c r="VDG94" s="39"/>
      <c r="VDH94" s="39"/>
      <c r="VDI94" s="39"/>
      <c r="VDJ94" s="39"/>
      <c r="VDK94" s="39"/>
      <c r="VDL94" s="39"/>
      <c r="VDM94" s="39"/>
      <c r="VDN94" s="39"/>
      <c r="VDO94" s="39"/>
      <c r="VDP94" s="39"/>
      <c r="VDQ94" s="39"/>
      <c r="VDR94" s="39"/>
      <c r="VDS94" s="39"/>
      <c r="VDT94" s="39"/>
      <c r="VDU94" s="39"/>
      <c r="VDV94" s="39"/>
      <c r="VDW94" s="39"/>
      <c r="VDX94" s="39"/>
      <c r="VDY94" s="39"/>
      <c r="VDZ94" s="39"/>
      <c r="VEA94" s="39"/>
      <c r="VEB94" s="39"/>
      <c r="VEC94" s="39"/>
      <c r="VED94" s="39"/>
      <c r="VEE94" s="39"/>
      <c r="VEF94" s="39"/>
      <c r="VEG94" s="39"/>
      <c r="VEH94" s="39"/>
      <c r="VEI94" s="39"/>
      <c r="VEJ94" s="39"/>
      <c r="VEK94" s="39"/>
      <c r="VEL94" s="39"/>
      <c r="VEM94" s="39"/>
      <c r="VEN94" s="39"/>
      <c r="VEO94" s="39"/>
      <c r="VEP94" s="39"/>
      <c r="VEQ94" s="39"/>
      <c r="VER94" s="39"/>
      <c r="VES94" s="39"/>
      <c r="VET94" s="39"/>
      <c r="VEU94" s="39"/>
      <c r="VEV94" s="39"/>
      <c r="VEW94" s="39"/>
      <c r="VEX94" s="39"/>
      <c r="VEY94" s="39"/>
      <c r="VEZ94" s="39"/>
      <c r="VFA94" s="39"/>
      <c r="VFB94" s="39"/>
      <c r="VFC94" s="39"/>
      <c r="VFD94" s="39"/>
      <c r="VFE94" s="39"/>
      <c r="VFF94" s="39"/>
      <c r="VFG94" s="39"/>
      <c r="VFH94" s="39"/>
      <c r="VFI94" s="39"/>
      <c r="VFJ94" s="39"/>
      <c r="VFK94" s="39"/>
      <c r="VFL94" s="39"/>
      <c r="VFM94" s="39"/>
      <c r="VFN94" s="39"/>
      <c r="VFO94" s="39"/>
      <c r="VFP94" s="39"/>
      <c r="VFQ94" s="39"/>
      <c r="VFR94" s="39"/>
      <c r="VFS94" s="39"/>
      <c r="VFT94" s="39"/>
      <c r="VFU94" s="39"/>
      <c r="VFV94" s="39"/>
      <c r="VFW94" s="39"/>
      <c r="VFX94" s="39"/>
      <c r="VFY94" s="39"/>
      <c r="VFZ94" s="39"/>
      <c r="VGA94" s="39"/>
      <c r="VGB94" s="39"/>
      <c r="VGC94" s="39"/>
      <c r="VGD94" s="39"/>
      <c r="VGE94" s="39"/>
      <c r="VGF94" s="39"/>
      <c r="VGG94" s="39"/>
      <c r="VGH94" s="39"/>
      <c r="VGI94" s="39"/>
      <c r="VGJ94" s="39"/>
      <c r="VGK94" s="39"/>
      <c r="VGL94" s="39"/>
      <c r="VGM94" s="39"/>
      <c r="VGN94" s="39"/>
      <c r="VGO94" s="39"/>
      <c r="VGP94" s="39"/>
      <c r="VGQ94" s="39"/>
      <c r="VGR94" s="39"/>
      <c r="VGS94" s="39"/>
      <c r="VGT94" s="39"/>
      <c r="VGU94" s="39"/>
      <c r="VGV94" s="39"/>
      <c r="VGW94" s="39"/>
      <c r="VGX94" s="39"/>
      <c r="VGY94" s="39"/>
      <c r="VGZ94" s="39"/>
      <c r="VHA94" s="39"/>
      <c r="VHB94" s="39"/>
      <c r="VHC94" s="39"/>
      <c r="VHD94" s="39"/>
      <c r="VHE94" s="39"/>
      <c r="VHF94" s="39"/>
      <c r="VHG94" s="39"/>
      <c r="VHH94" s="39"/>
      <c r="VHI94" s="39"/>
      <c r="VHJ94" s="39"/>
      <c r="VHK94" s="39"/>
      <c r="VHL94" s="39"/>
      <c r="VHM94" s="39"/>
      <c r="VHN94" s="39"/>
      <c r="VHO94" s="39"/>
      <c r="VHP94" s="39"/>
      <c r="VHQ94" s="39"/>
      <c r="VHR94" s="39"/>
      <c r="VHS94" s="39"/>
      <c r="VHT94" s="39"/>
      <c r="VHU94" s="39"/>
      <c r="VHV94" s="39"/>
      <c r="VHW94" s="39"/>
      <c r="VHX94" s="39"/>
      <c r="VHY94" s="39"/>
      <c r="VHZ94" s="39"/>
      <c r="VIA94" s="39"/>
      <c r="VIB94" s="39"/>
      <c r="VIC94" s="39"/>
      <c r="VID94" s="39"/>
      <c r="VIE94" s="39"/>
      <c r="VIF94" s="39"/>
      <c r="VIG94" s="39"/>
      <c r="VIH94" s="39"/>
      <c r="VII94" s="39"/>
      <c r="VIJ94" s="39"/>
      <c r="VIK94" s="39"/>
      <c r="VIL94" s="39"/>
      <c r="VIM94" s="39"/>
      <c r="VIN94" s="39"/>
      <c r="VIO94" s="39"/>
      <c r="VIP94" s="39"/>
      <c r="VIQ94" s="39"/>
      <c r="VIR94" s="39"/>
      <c r="VIS94" s="39"/>
      <c r="VIT94" s="39"/>
      <c r="VIU94" s="39"/>
      <c r="VIV94" s="39"/>
      <c r="VIW94" s="39"/>
      <c r="VIX94" s="39"/>
      <c r="VIY94" s="39"/>
      <c r="VIZ94" s="39"/>
      <c r="VJA94" s="39"/>
      <c r="VJB94" s="39"/>
      <c r="VJC94" s="39"/>
      <c r="VJD94" s="39"/>
      <c r="VJE94" s="39"/>
      <c r="VJF94" s="39"/>
      <c r="VJG94" s="39"/>
      <c r="VJH94" s="39"/>
      <c r="VJI94" s="39"/>
      <c r="VJJ94" s="39"/>
      <c r="VJK94" s="39"/>
      <c r="VJL94" s="39"/>
      <c r="VJM94" s="39"/>
      <c r="VJN94" s="39"/>
      <c r="VJO94" s="39"/>
      <c r="VJP94" s="39"/>
      <c r="VJQ94" s="39"/>
      <c r="VJR94" s="39"/>
      <c r="VJS94" s="39"/>
      <c r="VJT94" s="39"/>
      <c r="VJU94" s="39"/>
      <c r="VJV94" s="39"/>
      <c r="VJW94" s="39"/>
      <c r="VJX94" s="39"/>
      <c r="VJY94" s="39"/>
      <c r="VJZ94" s="39"/>
      <c r="VKA94" s="39"/>
      <c r="VKB94" s="39"/>
      <c r="VKC94" s="39"/>
      <c r="VKD94" s="39"/>
      <c r="VKE94" s="39"/>
      <c r="VKF94" s="39"/>
      <c r="VKG94" s="39"/>
      <c r="VKH94" s="39"/>
      <c r="VKI94" s="39"/>
      <c r="VKJ94" s="39"/>
      <c r="VKK94" s="39"/>
      <c r="VKL94" s="39"/>
      <c r="VKM94" s="39"/>
      <c r="VKN94" s="39"/>
      <c r="VKO94" s="39"/>
      <c r="VKP94" s="39"/>
      <c r="VKQ94" s="39"/>
      <c r="VKR94" s="39"/>
      <c r="VKS94" s="39"/>
      <c r="VKT94" s="39"/>
      <c r="VKU94" s="39"/>
      <c r="VKV94" s="39"/>
      <c r="VKW94" s="39"/>
      <c r="VKX94" s="39"/>
      <c r="VKY94" s="39"/>
      <c r="VKZ94" s="39"/>
      <c r="VLA94" s="39"/>
      <c r="VLB94" s="39"/>
      <c r="VLC94" s="39"/>
      <c r="VLD94" s="39"/>
      <c r="VLE94" s="39"/>
      <c r="VLF94" s="39"/>
      <c r="VLG94" s="39"/>
      <c r="VLH94" s="39"/>
      <c r="VLI94" s="39"/>
      <c r="VLJ94" s="39"/>
      <c r="VLK94" s="39"/>
      <c r="VLL94" s="39"/>
      <c r="VLM94" s="39"/>
      <c r="VLN94" s="39"/>
      <c r="VLO94" s="39"/>
      <c r="VLP94" s="39"/>
      <c r="VLQ94" s="39"/>
      <c r="VLR94" s="39"/>
      <c r="VLS94" s="39"/>
      <c r="VLT94" s="39"/>
      <c r="VLU94" s="39"/>
      <c r="VLV94" s="39"/>
      <c r="VLW94" s="39"/>
      <c r="VLX94" s="39"/>
      <c r="VLY94" s="39"/>
      <c r="VLZ94" s="39"/>
      <c r="VMA94" s="39"/>
      <c r="VMB94" s="39"/>
      <c r="VMC94" s="39"/>
      <c r="VMD94" s="39"/>
      <c r="VME94" s="39"/>
      <c r="VMF94" s="39"/>
      <c r="VMG94" s="39"/>
      <c r="VMH94" s="39"/>
      <c r="VMI94" s="39"/>
      <c r="VMJ94" s="39"/>
      <c r="VMK94" s="39"/>
      <c r="VML94" s="39"/>
      <c r="VMM94" s="39"/>
      <c r="VMN94" s="39"/>
      <c r="VMO94" s="39"/>
      <c r="VMP94" s="39"/>
      <c r="VMQ94" s="39"/>
      <c r="VMR94" s="39"/>
      <c r="VMS94" s="39"/>
      <c r="VMT94" s="39"/>
      <c r="VMU94" s="39"/>
      <c r="VMV94" s="39"/>
      <c r="VMW94" s="39"/>
      <c r="VMX94" s="39"/>
      <c r="VMY94" s="39"/>
      <c r="VMZ94" s="39"/>
      <c r="VNA94" s="39"/>
      <c r="VNB94" s="39"/>
      <c r="VNC94" s="39"/>
      <c r="VND94" s="39"/>
      <c r="VNE94" s="39"/>
      <c r="VNF94" s="39"/>
      <c r="VNG94" s="39"/>
      <c r="VNH94" s="39"/>
      <c r="VNI94" s="39"/>
      <c r="VNJ94" s="39"/>
      <c r="VNK94" s="39"/>
      <c r="VNL94" s="39"/>
      <c r="VNM94" s="39"/>
      <c r="VNN94" s="39"/>
      <c r="VNO94" s="39"/>
      <c r="VNP94" s="39"/>
      <c r="VNQ94" s="39"/>
      <c r="VNR94" s="39"/>
      <c r="VNS94" s="39"/>
      <c r="VNT94" s="39"/>
      <c r="VNU94" s="39"/>
      <c r="VNV94" s="39"/>
      <c r="VNW94" s="39"/>
      <c r="VNX94" s="39"/>
      <c r="VNY94" s="39"/>
      <c r="VNZ94" s="39"/>
      <c r="VOA94" s="39"/>
      <c r="VOB94" s="39"/>
      <c r="VOC94" s="39"/>
      <c r="VOD94" s="39"/>
      <c r="VOE94" s="39"/>
      <c r="VOF94" s="39"/>
      <c r="VOG94" s="39"/>
      <c r="VOH94" s="39"/>
      <c r="VOI94" s="39"/>
      <c r="VOJ94" s="39"/>
      <c r="VOK94" s="39"/>
      <c r="VOL94" s="39"/>
      <c r="VOM94" s="39"/>
      <c r="VON94" s="39"/>
      <c r="VOO94" s="39"/>
      <c r="VOP94" s="39"/>
      <c r="VOQ94" s="39"/>
      <c r="VOR94" s="39"/>
      <c r="VOS94" s="39"/>
      <c r="VOT94" s="39"/>
      <c r="VOU94" s="39"/>
      <c r="VOV94" s="39"/>
      <c r="VOW94" s="39"/>
      <c r="VOX94" s="39"/>
      <c r="VOY94" s="39"/>
      <c r="VOZ94" s="39"/>
      <c r="VPA94" s="39"/>
      <c r="VPB94" s="39"/>
      <c r="VPC94" s="39"/>
      <c r="VPD94" s="39"/>
      <c r="VPE94" s="39"/>
      <c r="VPF94" s="39"/>
      <c r="VPG94" s="39"/>
      <c r="VPH94" s="39"/>
      <c r="VPI94" s="39"/>
      <c r="VPJ94" s="39"/>
      <c r="VPK94" s="39"/>
      <c r="VPL94" s="39"/>
      <c r="VPM94" s="39"/>
      <c r="VPN94" s="39"/>
      <c r="VPO94" s="39"/>
      <c r="VPP94" s="39"/>
      <c r="VPQ94" s="39"/>
      <c r="VPR94" s="39"/>
      <c r="VPS94" s="39"/>
      <c r="VPT94" s="39"/>
      <c r="VPU94" s="39"/>
      <c r="VPV94" s="39"/>
      <c r="VPW94" s="39"/>
      <c r="VPX94" s="39"/>
      <c r="VPY94" s="39"/>
      <c r="VPZ94" s="39"/>
      <c r="VQA94" s="39"/>
      <c r="VQB94" s="39"/>
      <c r="VQC94" s="39"/>
      <c r="VQD94" s="39"/>
      <c r="VQE94" s="39"/>
      <c r="VQF94" s="39"/>
      <c r="VQG94" s="39"/>
      <c r="VQH94" s="39"/>
      <c r="VQI94" s="39"/>
      <c r="VQJ94" s="39"/>
      <c r="VQK94" s="39"/>
      <c r="VQL94" s="39"/>
      <c r="VQM94" s="39"/>
      <c r="VQN94" s="39"/>
      <c r="VQO94" s="39"/>
      <c r="VQP94" s="39"/>
      <c r="VQQ94" s="39"/>
      <c r="VQR94" s="39"/>
      <c r="VQS94" s="39"/>
      <c r="VQT94" s="39"/>
      <c r="VQU94" s="39"/>
      <c r="VQV94" s="39"/>
      <c r="VQW94" s="39"/>
      <c r="VQX94" s="39"/>
      <c r="VQY94" s="39"/>
      <c r="VQZ94" s="39"/>
      <c r="VRA94" s="39"/>
      <c r="VRB94" s="39"/>
      <c r="VRC94" s="39"/>
      <c r="VRD94" s="39"/>
      <c r="VRE94" s="39"/>
      <c r="VRF94" s="39"/>
      <c r="VRG94" s="39"/>
      <c r="VRH94" s="39"/>
      <c r="VRI94" s="39"/>
      <c r="VRJ94" s="39"/>
      <c r="VRK94" s="39"/>
      <c r="VRL94" s="39"/>
      <c r="VRM94" s="39"/>
      <c r="VRN94" s="39"/>
      <c r="VRO94" s="39"/>
      <c r="VRP94" s="39"/>
      <c r="VRQ94" s="39"/>
      <c r="VRR94" s="39"/>
      <c r="VRS94" s="39"/>
      <c r="VRT94" s="39"/>
      <c r="VRU94" s="39"/>
      <c r="VRV94" s="39"/>
      <c r="VRW94" s="39"/>
      <c r="VRX94" s="39"/>
      <c r="VRY94" s="39"/>
      <c r="VRZ94" s="39"/>
      <c r="VSA94" s="39"/>
      <c r="VSB94" s="39"/>
      <c r="VSC94" s="39"/>
      <c r="VSD94" s="39"/>
      <c r="VSE94" s="39"/>
      <c r="VSF94" s="39"/>
      <c r="VSG94" s="39"/>
      <c r="VSH94" s="39"/>
      <c r="VSI94" s="39"/>
      <c r="VSJ94" s="39"/>
      <c r="VSK94" s="39"/>
      <c r="VSL94" s="39"/>
      <c r="VSM94" s="39"/>
      <c r="VSN94" s="39"/>
      <c r="VSO94" s="39"/>
      <c r="VSP94" s="39"/>
      <c r="VSQ94" s="39"/>
      <c r="VSR94" s="39"/>
      <c r="VSS94" s="39"/>
      <c r="VST94" s="39"/>
      <c r="VSU94" s="39"/>
      <c r="VSV94" s="39"/>
      <c r="VSW94" s="39"/>
      <c r="VSX94" s="39"/>
      <c r="VSY94" s="39"/>
      <c r="VSZ94" s="39"/>
      <c r="VTA94" s="39"/>
      <c r="VTB94" s="39"/>
      <c r="VTC94" s="39"/>
      <c r="VTD94" s="39"/>
      <c r="VTE94" s="39"/>
      <c r="VTF94" s="39"/>
      <c r="VTG94" s="39"/>
      <c r="VTH94" s="39"/>
      <c r="VTI94" s="39"/>
      <c r="VTJ94" s="39"/>
      <c r="VTK94" s="39"/>
      <c r="VTL94" s="39"/>
      <c r="VTM94" s="39"/>
      <c r="VTN94" s="39"/>
      <c r="VTO94" s="39"/>
      <c r="VTP94" s="39"/>
      <c r="VTQ94" s="39"/>
      <c r="VTR94" s="39"/>
      <c r="VTS94" s="39"/>
      <c r="VTT94" s="39"/>
      <c r="VTU94" s="39"/>
      <c r="VTV94" s="39"/>
      <c r="VTW94" s="39"/>
      <c r="VTX94" s="39"/>
      <c r="VTY94" s="39"/>
      <c r="VTZ94" s="39"/>
      <c r="VUA94" s="39"/>
      <c r="VUB94" s="39"/>
      <c r="VUC94" s="39"/>
      <c r="VUD94" s="39"/>
      <c r="VUE94" s="39"/>
      <c r="VUF94" s="39"/>
      <c r="VUG94" s="39"/>
      <c r="VUH94" s="39"/>
      <c r="VUI94" s="39"/>
      <c r="VUJ94" s="39"/>
      <c r="VUK94" s="39"/>
      <c r="VUL94" s="39"/>
      <c r="VUM94" s="39"/>
      <c r="VUN94" s="39"/>
      <c r="VUO94" s="39"/>
      <c r="VUP94" s="39"/>
      <c r="VUQ94" s="39"/>
      <c r="VUR94" s="39"/>
      <c r="VUS94" s="39"/>
      <c r="VUT94" s="39"/>
      <c r="VUU94" s="39"/>
      <c r="VUV94" s="39"/>
      <c r="VUW94" s="39"/>
      <c r="VUX94" s="39"/>
      <c r="VUY94" s="39"/>
      <c r="VUZ94" s="39"/>
      <c r="VVA94" s="39"/>
      <c r="VVB94" s="39"/>
      <c r="VVC94" s="39"/>
      <c r="VVD94" s="39"/>
      <c r="VVE94" s="39"/>
      <c r="VVF94" s="39"/>
      <c r="VVG94" s="39"/>
      <c r="VVH94" s="39"/>
      <c r="VVI94" s="39"/>
      <c r="VVJ94" s="39"/>
      <c r="VVK94" s="39"/>
      <c r="VVL94" s="39"/>
      <c r="VVM94" s="39"/>
      <c r="VVN94" s="39"/>
      <c r="VVO94" s="39"/>
      <c r="VVP94" s="39"/>
      <c r="VVQ94" s="39"/>
      <c r="VVR94" s="39"/>
      <c r="VVS94" s="39"/>
      <c r="VVT94" s="39"/>
      <c r="VVU94" s="39"/>
      <c r="VVV94" s="39"/>
      <c r="VVW94" s="39"/>
      <c r="VVX94" s="39"/>
      <c r="VVY94" s="39"/>
      <c r="VVZ94" s="39"/>
      <c r="VWA94" s="39"/>
      <c r="VWB94" s="39"/>
      <c r="VWC94" s="39"/>
      <c r="VWD94" s="39"/>
      <c r="VWE94" s="39"/>
      <c r="VWF94" s="39"/>
      <c r="VWG94" s="39"/>
      <c r="VWH94" s="39"/>
      <c r="VWI94" s="39"/>
      <c r="VWJ94" s="39"/>
      <c r="VWK94" s="39"/>
      <c r="VWL94" s="39"/>
      <c r="VWM94" s="39"/>
      <c r="VWN94" s="39"/>
      <c r="VWO94" s="39"/>
      <c r="VWP94" s="39"/>
      <c r="VWQ94" s="39"/>
      <c r="VWR94" s="39"/>
      <c r="VWS94" s="39"/>
      <c r="VWT94" s="39"/>
      <c r="VWU94" s="39"/>
      <c r="VWV94" s="39"/>
      <c r="VWW94" s="39"/>
      <c r="VWX94" s="39"/>
      <c r="VWY94" s="39"/>
      <c r="VWZ94" s="39"/>
      <c r="VXA94" s="39"/>
      <c r="VXB94" s="39"/>
      <c r="VXC94" s="39"/>
      <c r="VXD94" s="39"/>
      <c r="VXE94" s="39"/>
      <c r="VXF94" s="39"/>
      <c r="VXG94" s="39"/>
      <c r="VXH94" s="39"/>
      <c r="VXI94" s="39"/>
      <c r="VXJ94" s="39"/>
      <c r="VXK94" s="39"/>
      <c r="VXL94" s="39"/>
      <c r="VXM94" s="39"/>
      <c r="VXN94" s="39"/>
      <c r="VXO94" s="39"/>
      <c r="VXP94" s="39"/>
      <c r="VXQ94" s="39"/>
      <c r="VXR94" s="39"/>
      <c r="VXS94" s="39"/>
      <c r="VXT94" s="39"/>
      <c r="VXU94" s="39"/>
      <c r="VXV94" s="39"/>
      <c r="VXW94" s="39"/>
      <c r="VXX94" s="39"/>
      <c r="VXY94" s="39"/>
      <c r="VXZ94" s="39"/>
      <c r="VYA94" s="39"/>
      <c r="VYB94" s="39"/>
      <c r="VYC94" s="39"/>
      <c r="VYD94" s="39"/>
      <c r="VYE94" s="39"/>
      <c r="VYF94" s="39"/>
      <c r="VYG94" s="39"/>
      <c r="VYH94" s="39"/>
      <c r="VYI94" s="39"/>
      <c r="VYJ94" s="39"/>
      <c r="VYK94" s="39"/>
      <c r="VYL94" s="39"/>
      <c r="VYM94" s="39"/>
      <c r="VYN94" s="39"/>
      <c r="VYO94" s="39"/>
      <c r="VYP94" s="39"/>
      <c r="VYQ94" s="39"/>
      <c r="VYR94" s="39"/>
      <c r="VYS94" s="39"/>
      <c r="VYT94" s="39"/>
      <c r="VYU94" s="39"/>
      <c r="VYV94" s="39"/>
      <c r="VYW94" s="39"/>
      <c r="VYX94" s="39"/>
      <c r="VYY94" s="39"/>
      <c r="VYZ94" s="39"/>
      <c r="VZA94" s="39"/>
      <c r="VZB94" s="39"/>
      <c r="VZC94" s="39"/>
      <c r="VZD94" s="39"/>
      <c r="VZE94" s="39"/>
      <c r="VZF94" s="39"/>
      <c r="VZG94" s="39"/>
      <c r="VZH94" s="39"/>
      <c r="VZI94" s="39"/>
      <c r="VZJ94" s="39"/>
      <c r="VZK94" s="39"/>
      <c r="VZL94" s="39"/>
      <c r="VZM94" s="39"/>
      <c r="VZN94" s="39"/>
      <c r="VZO94" s="39"/>
      <c r="VZP94" s="39"/>
      <c r="VZQ94" s="39"/>
      <c r="VZR94" s="39"/>
      <c r="VZS94" s="39"/>
      <c r="VZT94" s="39"/>
      <c r="VZU94" s="39"/>
      <c r="VZV94" s="39"/>
      <c r="VZW94" s="39"/>
      <c r="VZX94" s="39"/>
      <c r="VZY94" s="39"/>
      <c r="VZZ94" s="39"/>
      <c r="WAA94" s="39"/>
      <c r="WAB94" s="39"/>
      <c r="WAC94" s="39"/>
      <c r="WAD94" s="39"/>
      <c r="WAE94" s="39"/>
      <c r="WAF94" s="39"/>
      <c r="WAG94" s="39"/>
      <c r="WAH94" s="39"/>
      <c r="WAI94" s="39"/>
      <c r="WAJ94" s="39"/>
      <c r="WAK94" s="39"/>
      <c r="WAL94" s="39"/>
      <c r="WAM94" s="39"/>
      <c r="WAN94" s="39"/>
      <c r="WAO94" s="39"/>
      <c r="WAP94" s="39"/>
      <c r="WAQ94" s="39"/>
      <c r="WAR94" s="39"/>
      <c r="WAS94" s="39"/>
      <c r="WAT94" s="39"/>
      <c r="WAU94" s="39"/>
      <c r="WAV94" s="39"/>
      <c r="WAW94" s="39"/>
      <c r="WAX94" s="39"/>
      <c r="WAY94" s="39"/>
      <c r="WAZ94" s="39"/>
      <c r="WBA94" s="39"/>
      <c r="WBB94" s="39"/>
      <c r="WBC94" s="39"/>
      <c r="WBD94" s="39"/>
      <c r="WBE94" s="39"/>
      <c r="WBF94" s="39"/>
      <c r="WBG94" s="39"/>
      <c r="WBH94" s="39"/>
      <c r="WBI94" s="39"/>
      <c r="WBJ94" s="39"/>
      <c r="WBK94" s="39"/>
      <c r="WBL94" s="39"/>
      <c r="WBM94" s="39"/>
      <c r="WBN94" s="39"/>
      <c r="WBO94" s="39"/>
      <c r="WBP94" s="39"/>
      <c r="WBQ94" s="39"/>
      <c r="WBR94" s="39"/>
      <c r="WBS94" s="39"/>
      <c r="WBT94" s="39"/>
      <c r="WBU94" s="39"/>
      <c r="WBV94" s="39"/>
      <c r="WBW94" s="39"/>
      <c r="WBX94" s="39"/>
      <c r="WBY94" s="39"/>
      <c r="WBZ94" s="39"/>
      <c r="WCA94" s="39"/>
      <c r="WCB94" s="39"/>
      <c r="WCC94" s="39"/>
      <c r="WCD94" s="39"/>
      <c r="WCE94" s="39"/>
      <c r="WCF94" s="39"/>
      <c r="WCG94" s="39"/>
      <c r="WCH94" s="39"/>
      <c r="WCI94" s="39"/>
      <c r="WCJ94" s="39"/>
      <c r="WCK94" s="39"/>
      <c r="WCL94" s="39"/>
      <c r="WCM94" s="39"/>
      <c r="WCN94" s="39"/>
      <c r="WCO94" s="39"/>
      <c r="WCP94" s="39"/>
      <c r="WCQ94" s="39"/>
      <c r="WCR94" s="39"/>
      <c r="WCS94" s="39"/>
      <c r="WCT94" s="39"/>
      <c r="WCU94" s="39"/>
      <c r="WCV94" s="39"/>
      <c r="WCW94" s="39"/>
      <c r="WCX94" s="39"/>
      <c r="WCY94" s="39"/>
      <c r="WCZ94" s="39"/>
      <c r="WDA94" s="39"/>
      <c r="WDB94" s="39"/>
      <c r="WDC94" s="39"/>
      <c r="WDD94" s="39"/>
      <c r="WDE94" s="39"/>
      <c r="WDF94" s="39"/>
      <c r="WDG94" s="39"/>
      <c r="WDH94" s="39"/>
      <c r="WDI94" s="39"/>
      <c r="WDJ94" s="39"/>
      <c r="WDK94" s="39"/>
      <c r="WDL94" s="39"/>
      <c r="WDM94" s="39"/>
      <c r="WDN94" s="39"/>
      <c r="WDO94" s="39"/>
      <c r="WDP94" s="39"/>
      <c r="WDQ94" s="39"/>
      <c r="WDR94" s="39"/>
      <c r="WDS94" s="39"/>
      <c r="WDT94" s="39"/>
      <c r="WDU94" s="39"/>
      <c r="WDV94" s="39"/>
      <c r="WDW94" s="39"/>
      <c r="WDX94" s="39"/>
      <c r="WDY94" s="39"/>
      <c r="WDZ94" s="39"/>
      <c r="WEA94" s="39"/>
      <c r="WEB94" s="39"/>
      <c r="WEC94" s="39"/>
      <c r="WED94" s="39"/>
      <c r="WEE94" s="39"/>
      <c r="WEF94" s="39"/>
      <c r="WEG94" s="39"/>
      <c r="WEH94" s="39"/>
      <c r="WEI94" s="39"/>
      <c r="WEJ94" s="39"/>
      <c r="WEK94" s="39"/>
      <c r="WEL94" s="39"/>
      <c r="WEM94" s="39"/>
      <c r="WEN94" s="39"/>
      <c r="WEO94" s="39"/>
      <c r="WEP94" s="39"/>
      <c r="WEQ94" s="39"/>
      <c r="WER94" s="39"/>
      <c r="WES94" s="39"/>
      <c r="WET94" s="39"/>
      <c r="WEU94" s="39"/>
      <c r="WEV94" s="39"/>
      <c r="WEW94" s="39"/>
      <c r="WEX94" s="39"/>
      <c r="WEY94" s="39"/>
      <c r="WEZ94" s="39"/>
      <c r="WFA94" s="39"/>
      <c r="WFB94" s="39"/>
      <c r="WFC94" s="39"/>
      <c r="WFD94" s="39"/>
      <c r="WFE94" s="39"/>
      <c r="WFF94" s="39"/>
      <c r="WFG94" s="39"/>
      <c r="WFH94" s="39"/>
      <c r="WFI94" s="39"/>
      <c r="WFJ94" s="39"/>
      <c r="WFK94" s="39"/>
      <c r="WFL94" s="39"/>
      <c r="WFM94" s="39"/>
      <c r="WFN94" s="39"/>
      <c r="WFO94" s="39"/>
      <c r="WFP94" s="39"/>
      <c r="WFQ94" s="39"/>
      <c r="WFR94" s="39"/>
      <c r="WFS94" s="39"/>
      <c r="WFT94" s="39"/>
      <c r="WFU94" s="39"/>
      <c r="WFV94" s="39"/>
      <c r="WFW94" s="39"/>
      <c r="WFX94" s="39"/>
      <c r="WFY94" s="39"/>
      <c r="WFZ94" s="39"/>
      <c r="WGA94" s="39"/>
      <c r="WGB94" s="39"/>
      <c r="WGC94" s="39"/>
      <c r="WGD94" s="39"/>
      <c r="WGE94" s="39"/>
      <c r="WGF94" s="39"/>
      <c r="WGG94" s="39"/>
      <c r="WGH94" s="39"/>
      <c r="WGI94" s="39"/>
      <c r="WGJ94" s="39"/>
      <c r="WGK94" s="39"/>
      <c r="WGL94" s="39"/>
      <c r="WGM94" s="39"/>
      <c r="WGN94" s="39"/>
      <c r="WGO94" s="39"/>
      <c r="WGP94" s="39"/>
      <c r="WGQ94" s="39"/>
      <c r="WGR94" s="39"/>
      <c r="WGS94" s="39"/>
      <c r="WGT94" s="39"/>
      <c r="WGU94" s="39"/>
      <c r="WGV94" s="39"/>
      <c r="WGW94" s="39"/>
      <c r="WGX94" s="39"/>
      <c r="WGY94" s="39"/>
      <c r="WGZ94" s="39"/>
      <c r="WHA94" s="39"/>
      <c r="WHB94" s="39"/>
      <c r="WHC94" s="39"/>
      <c r="WHD94" s="39"/>
      <c r="WHE94" s="39"/>
      <c r="WHF94" s="39"/>
      <c r="WHG94" s="39"/>
      <c r="WHH94" s="39"/>
      <c r="WHI94" s="39"/>
      <c r="WHJ94" s="39"/>
      <c r="WHK94" s="39"/>
      <c r="WHL94" s="39"/>
      <c r="WHM94" s="39"/>
      <c r="WHN94" s="39"/>
      <c r="WHO94" s="39"/>
      <c r="WHP94" s="39"/>
      <c r="WHQ94" s="39"/>
      <c r="WHR94" s="39"/>
      <c r="WHS94" s="39"/>
      <c r="WHT94" s="39"/>
      <c r="WHU94" s="39"/>
      <c r="WHV94" s="39"/>
      <c r="WHW94" s="39"/>
      <c r="WHX94" s="39"/>
      <c r="WHY94" s="39"/>
      <c r="WHZ94" s="39"/>
      <c r="WIA94" s="39"/>
      <c r="WIB94" s="39"/>
      <c r="WIC94" s="39"/>
      <c r="WID94" s="39"/>
      <c r="WIE94" s="39"/>
      <c r="WIF94" s="39"/>
      <c r="WIG94" s="39"/>
      <c r="WIH94" s="39"/>
      <c r="WII94" s="39"/>
      <c r="WIJ94" s="39"/>
      <c r="WIK94" s="39"/>
      <c r="WIL94" s="39"/>
      <c r="WIM94" s="39"/>
      <c r="WIN94" s="39"/>
      <c r="WIO94" s="39"/>
      <c r="WIP94" s="39"/>
      <c r="WIQ94" s="39"/>
      <c r="WIR94" s="39"/>
      <c r="WIS94" s="39"/>
      <c r="WIT94" s="39"/>
      <c r="WIU94" s="39"/>
      <c r="WIV94" s="39"/>
      <c r="WIW94" s="39"/>
      <c r="WIX94" s="39"/>
      <c r="WIY94" s="39"/>
      <c r="WIZ94" s="39"/>
      <c r="WJA94" s="39"/>
      <c r="WJB94" s="39"/>
      <c r="WJC94" s="39"/>
      <c r="WJD94" s="39"/>
      <c r="WJE94" s="39"/>
      <c r="WJF94" s="39"/>
      <c r="WJG94" s="39"/>
      <c r="WJH94" s="39"/>
      <c r="WJI94" s="39"/>
      <c r="WJJ94" s="39"/>
      <c r="WJK94" s="39"/>
      <c r="WJL94" s="39"/>
      <c r="WJM94" s="39"/>
      <c r="WJN94" s="39"/>
      <c r="WJO94" s="39"/>
      <c r="WJP94" s="39"/>
      <c r="WJQ94" s="39"/>
      <c r="WJR94" s="39"/>
      <c r="WJS94" s="39"/>
      <c r="WJT94" s="39"/>
      <c r="WJU94" s="39"/>
      <c r="WJV94" s="39"/>
      <c r="WJW94" s="39"/>
      <c r="WJX94" s="39"/>
      <c r="WJY94" s="39"/>
      <c r="WJZ94" s="39"/>
      <c r="WKA94" s="39"/>
      <c r="WKB94" s="39"/>
      <c r="WKC94" s="39"/>
      <c r="WKD94" s="39"/>
      <c r="WKE94" s="39"/>
      <c r="WKF94" s="39"/>
      <c r="WKG94" s="39"/>
      <c r="WKH94" s="39"/>
      <c r="WKI94" s="39"/>
      <c r="WKJ94" s="39"/>
      <c r="WKK94" s="39"/>
      <c r="WKL94" s="39"/>
      <c r="WKM94" s="39"/>
      <c r="WKN94" s="39"/>
      <c r="WKO94" s="39"/>
      <c r="WKP94" s="39"/>
      <c r="WKQ94" s="39"/>
      <c r="WKR94" s="39"/>
      <c r="WKS94" s="39"/>
      <c r="WKT94" s="39"/>
      <c r="WKU94" s="39"/>
      <c r="WKV94" s="39"/>
      <c r="WKW94" s="39"/>
      <c r="WKX94" s="39"/>
      <c r="WKY94" s="39"/>
      <c r="WKZ94" s="39"/>
      <c r="WLA94" s="39"/>
      <c r="WLB94" s="39"/>
      <c r="WLC94" s="39"/>
      <c r="WLD94" s="39"/>
      <c r="WLE94" s="39"/>
      <c r="WLF94" s="39"/>
      <c r="WLG94" s="39"/>
      <c r="WLH94" s="39"/>
      <c r="WLI94" s="39"/>
      <c r="WLJ94" s="39"/>
      <c r="WLK94" s="39"/>
      <c r="WLL94" s="39"/>
      <c r="WLM94" s="39"/>
      <c r="WLN94" s="39"/>
      <c r="WLO94" s="39"/>
      <c r="WLP94" s="39"/>
      <c r="WLQ94" s="39"/>
      <c r="WLR94" s="39"/>
      <c r="WLS94" s="39"/>
      <c r="WLT94" s="39"/>
      <c r="WLU94" s="39"/>
      <c r="WLV94" s="39"/>
      <c r="WLW94" s="39"/>
      <c r="WLX94" s="39"/>
      <c r="WLY94" s="39"/>
      <c r="WLZ94" s="39"/>
      <c r="WMA94" s="39"/>
      <c r="WMB94" s="39"/>
      <c r="WMC94" s="39"/>
      <c r="WMD94" s="39"/>
      <c r="WME94" s="39"/>
      <c r="WMF94" s="39"/>
      <c r="WMG94" s="39"/>
      <c r="WMH94" s="39"/>
      <c r="WMI94" s="39"/>
      <c r="WMJ94" s="39"/>
      <c r="WMK94" s="39"/>
      <c r="WML94" s="39"/>
      <c r="WMM94" s="39"/>
      <c r="WMN94" s="39"/>
      <c r="WMO94" s="39"/>
      <c r="WMP94" s="39"/>
      <c r="WMQ94" s="39"/>
      <c r="WMR94" s="39"/>
      <c r="WMS94" s="39"/>
      <c r="WMT94" s="39"/>
      <c r="WMU94" s="39"/>
      <c r="WMV94" s="39"/>
      <c r="WMW94" s="39"/>
      <c r="WMX94" s="39"/>
      <c r="WMY94" s="39"/>
      <c r="WMZ94" s="39"/>
      <c r="WNA94" s="39"/>
      <c r="WNB94" s="39"/>
      <c r="WNC94" s="39"/>
      <c r="WND94" s="39"/>
      <c r="WNE94" s="39"/>
      <c r="WNF94" s="39"/>
      <c r="WNG94" s="39"/>
      <c r="WNH94" s="39"/>
      <c r="WNI94" s="39"/>
      <c r="WNJ94" s="39"/>
      <c r="WNK94" s="39"/>
      <c r="WNL94" s="39"/>
      <c r="WNM94" s="39"/>
      <c r="WNN94" s="39"/>
      <c r="WNO94" s="39"/>
      <c r="WNP94" s="39"/>
      <c r="WNQ94" s="39"/>
      <c r="WNR94" s="39"/>
      <c r="WNS94" s="39"/>
      <c r="WNT94" s="39"/>
      <c r="WNU94" s="39"/>
      <c r="WNV94" s="39"/>
      <c r="WNW94" s="39"/>
      <c r="WNX94" s="39"/>
      <c r="WNY94" s="39"/>
      <c r="WNZ94" s="39"/>
      <c r="WOA94" s="39"/>
      <c r="WOB94" s="39"/>
      <c r="WOC94" s="39"/>
      <c r="WOD94" s="39"/>
      <c r="WOE94" s="39"/>
      <c r="WOF94" s="39"/>
      <c r="WOG94" s="39"/>
      <c r="WOH94" s="39"/>
      <c r="WOI94" s="39"/>
      <c r="WOJ94" s="39"/>
      <c r="WOK94" s="39"/>
      <c r="WOL94" s="39"/>
      <c r="WOM94" s="39"/>
      <c r="WON94" s="39"/>
      <c r="WOO94" s="39"/>
      <c r="WOP94" s="39"/>
      <c r="WOQ94" s="39"/>
      <c r="WOR94" s="39"/>
      <c r="WOS94" s="39"/>
      <c r="WOT94" s="39"/>
      <c r="WOU94" s="39"/>
      <c r="WOV94" s="39"/>
      <c r="WOW94" s="39"/>
      <c r="WOX94" s="39"/>
      <c r="WOY94" s="39"/>
      <c r="WOZ94" s="39"/>
      <c r="WPA94" s="39"/>
      <c r="WPB94" s="39"/>
      <c r="WPC94" s="39"/>
      <c r="WPD94" s="39"/>
      <c r="WPE94" s="39"/>
      <c r="WPF94" s="39"/>
      <c r="WPG94" s="39"/>
      <c r="WPH94" s="39"/>
      <c r="WPI94" s="39"/>
      <c r="WPJ94" s="39"/>
      <c r="WPK94" s="39"/>
      <c r="WPL94" s="39"/>
      <c r="WPM94" s="39"/>
      <c r="WPN94" s="39"/>
      <c r="WPO94" s="39"/>
      <c r="WPP94" s="39"/>
      <c r="WPQ94" s="39"/>
      <c r="WPR94" s="39"/>
      <c r="WPS94" s="39"/>
      <c r="WPT94" s="39"/>
      <c r="WPU94" s="39"/>
      <c r="WPV94" s="39"/>
      <c r="WPW94" s="39"/>
      <c r="WPX94" s="39"/>
      <c r="WPY94" s="39"/>
      <c r="WPZ94" s="39"/>
      <c r="WQA94" s="39"/>
      <c r="WQB94" s="39"/>
      <c r="WQC94" s="39"/>
      <c r="WQD94" s="39"/>
      <c r="WQE94" s="39"/>
      <c r="WQF94" s="39"/>
      <c r="WQG94" s="39"/>
      <c r="WQH94" s="39"/>
      <c r="WQI94" s="39"/>
      <c r="WQJ94" s="39"/>
      <c r="WQK94" s="39"/>
      <c r="WQL94" s="39"/>
      <c r="WQM94" s="39"/>
      <c r="WQN94" s="39"/>
      <c r="WQO94" s="39"/>
      <c r="WQP94" s="39"/>
      <c r="WQQ94" s="39"/>
      <c r="WQR94" s="39"/>
      <c r="WQS94" s="39"/>
      <c r="WQT94" s="39"/>
      <c r="WQU94" s="39"/>
      <c r="WQV94" s="39"/>
      <c r="WQW94" s="39"/>
      <c r="WQX94" s="39"/>
      <c r="WQY94" s="39"/>
      <c r="WQZ94" s="39"/>
      <c r="WRA94" s="39"/>
      <c r="WRB94" s="39"/>
      <c r="WRC94" s="39"/>
      <c r="WRD94" s="39"/>
      <c r="WRE94" s="39"/>
      <c r="WRF94" s="39"/>
      <c r="WRG94" s="39"/>
      <c r="WRH94" s="39"/>
      <c r="WRI94" s="39"/>
      <c r="WRJ94" s="39"/>
      <c r="WRK94" s="39"/>
      <c r="WRL94" s="39"/>
      <c r="WRM94" s="39"/>
      <c r="WRN94" s="39"/>
      <c r="WRO94" s="39"/>
      <c r="WRP94" s="39"/>
      <c r="WRQ94" s="39"/>
      <c r="WRR94" s="39"/>
      <c r="WRS94" s="39"/>
      <c r="WRT94" s="39"/>
      <c r="WRU94" s="39"/>
      <c r="WRV94" s="39"/>
      <c r="WRW94" s="39"/>
      <c r="WRX94" s="39"/>
      <c r="WRY94" s="39"/>
      <c r="WRZ94" s="39"/>
      <c r="WSA94" s="39"/>
      <c r="WSB94" s="39"/>
      <c r="WSC94" s="39"/>
      <c r="WSD94" s="39"/>
      <c r="WSE94" s="39"/>
      <c r="WSF94" s="39"/>
      <c r="WSG94" s="39"/>
      <c r="WSH94" s="39"/>
      <c r="WSI94" s="39"/>
      <c r="WSJ94" s="39"/>
      <c r="WSK94" s="39"/>
      <c r="WSL94" s="39"/>
      <c r="WSM94" s="39"/>
      <c r="WSN94" s="39"/>
      <c r="WSO94" s="39"/>
      <c r="WSP94" s="39"/>
      <c r="WSQ94" s="39"/>
      <c r="WSR94" s="39"/>
      <c r="WSS94" s="39"/>
      <c r="WST94" s="39"/>
      <c r="WSU94" s="39"/>
      <c r="WSV94" s="39"/>
      <c r="WSW94" s="39"/>
      <c r="WSX94" s="39"/>
      <c r="WSY94" s="39"/>
      <c r="WSZ94" s="39"/>
      <c r="WTA94" s="39"/>
      <c r="WTB94" s="39"/>
      <c r="WTC94" s="39"/>
      <c r="WTD94" s="39"/>
      <c r="WTE94" s="39"/>
      <c r="WTF94" s="39"/>
      <c r="WTG94" s="39"/>
      <c r="WTH94" s="39"/>
      <c r="WTI94" s="39"/>
      <c r="WTJ94" s="39"/>
      <c r="WTK94" s="39"/>
      <c r="WTL94" s="39"/>
      <c r="WTM94" s="39"/>
      <c r="WTN94" s="39"/>
      <c r="WTO94" s="39"/>
      <c r="WTP94" s="39"/>
      <c r="WTQ94" s="39"/>
      <c r="WTR94" s="39"/>
      <c r="WTS94" s="39"/>
      <c r="WTT94" s="39"/>
      <c r="WTU94" s="39"/>
      <c r="WTV94" s="39"/>
      <c r="WTW94" s="39"/>
      <c r="WTX94" s="39"/>
      <c r="WTY94" s="39"/>
      <c r="WTZ94" s="39"/>
      <c r="WUA94" s="39"/>
      <c r="WUB94" s="39"/>
      <c r="WUC94" s="39"/>
      <c r="WUD94" s="39"/>
      <c r="WUE94" s="39"/>
      <c r="WUF94" s="39"/>
      <c r="WUG94" s="39"/>
      <c r="WUH94" s="39"/>
      <c r="WUI94" s="39"/>
      <c r="WUJ94" s="39"/>
      <c r="WUK94" s="39"/>
      <c r="WUL94" s="39"/>
      <c r="WUM94" s="39"/>
      <c r="WUN94" s="39"/>
      <c r="WUO94" s="39"/>
      <c r="WUP94" s="39"/>
      <c r="WUQ94" s="39"/>
      <c r="WUR94" s="39"/>
      <c r="WUS94" s="39"/>
      <c r="WUT94" s="39"/>
      <c r="WUU94" s="39"/>
      <c r="WUV94" s="39"/>
      <c r="WUW94" s="39"/>
      <c r="WUX94" s="39"/>
      <c r="WUY94" s="39"/>
      <c r="WUZ94" s="39"/>
      <c r="WVA94" s="39"/>
      <c r="WVB94" s="39"/>
      <c r="WVC94" s="39"/>
      <c r="WVD94" s="39"/>
      <c r="WVE94" s="39"/>
      <c r="WVF94" s="39"/>
      <c r="WVG94" s="39"/>
      <c r="WVH94" s="39"/>
      <c r="WVI94" s="39"/>
      <c r="WVJ94" s="39"/>
      <c r="WVK94" s="39"/>
      <c r="WVL94" s="39"/>
      <c r="WVM94" s="39"/>
      <c r="WVN94" s="39"/>
      <c r="WVO94" s="39"/>
      <c r="WVP94" s="39"/>
      <c r="WVQ94" s="39"/>
      <c r="WVR94" s="39"/>
      <c r="WVS94" s="39"/>
      <c r="WVT94" s="39"/>
      <c r="WVU94" s="39"/>
      <c r="WVV94" s="39"/>
      <c r="WVW94" s="39"/>
      <c r="WVX94" s="39"/>
      <c r="WVY94" s="39"/>
      <c r="WVZ94" s="39"/>
      <c r="WWA94" s="39"/>
      <c r="WWB94" s="39"/>
      <c r="WWC94" s="39"/>
      <c r="WWD94" s="39"/>
      <c r="WWE94" s="39"/>
      <c r="WWF94" s="39"/>
      <c r="WWG94" s="39"/>
      <c r="WWH94" s="39"/>
      <c r="WWI94" s="39"/>
      <c r="WWJ94" s="39"/>
      <c r="WWK94" s="39"/>
      <c r="WWL94" s="39"/>
      <c r="WWM94" s="39"/>
      <c r="WWN94" s="39"/>
      <c r="WWO94" s="39"/>
      <c r="WWP94" s="39"/>
      <c r="WWQ94" s="39"/>
      <c r="WWR94" s="39"/>
      <c r="WWS94" s="39"/>
      <c r="WWT94" s="39"/>
      <c r="WWU94" s="39"/>
      <c r="WWV94" s="39"/>
      <c r="WWW94" s="39"/>
      <c r="WWX94" s="39"/>
      <c r="WWY94" s="39"/>
      <c r="WWZ94" s="39"/>
      <c r="WXA94" s="39"/>
      <c r="WXB94" s="39"/>
      <c r="WXC94" s="39"/>
      <c r="WXD94" s="39"/>
      <c r="WXE94" s="39"/>
      <c r="WXF94" s="39"/>
      <c r="WXG94" s="39"/>
      <c r="WXH94" s="39"/>
      <c r="WXI94" s="39"/>
      <c r="WXJ94" s="39"/>
      <c r="WXK94" s="39"/>
      <c r="WXL94" s="39"/>
      <c r="WXM94" s="39"/>
      <c r="WXN94" s="39"/>
      <c r="WXO94" s="39"/>
      <c r="WXP94" s="39"/>
      <c r="WXQ94" s="39"/>
      <c r="WXR94" s="39"/>
      <c r="WXS94" s="39"/>
      <c r="WXT94" s="39"/>
      <c r="WXU94" s="39"/>
      <c r="WXV94" s="39"/>
      <c r="WXW94" s="39"/>
      <c r="WXX94" s="39"/>
      <c r="WXY94" s="39"/>
      <c r="WXZ94" s="39"/>
      <c r="WYA94" s="39"/>
      <c r="WYB94" s="39"/>
      <c r="WYC94" s="39"/>
      <c r="WYD94" s="39"/>
      <c r="WYE94" s="39"/>
      <c r="WYF94" s="39"/>
      <c r="WYG94" s="39"/>
      <c r="WYH94" s="39"/>
      <c r="WYI94" s="39"/>
      <c r="WYJ94" s="39"/>
      <c r="WYK94" s="39"/>
      <c r="WYL94" s="39"/>
      <c r="WYM94" s="39"/>
      <c r="WYN94" s="39"/>
      <c r="WYO94" s="39"/>
      <c r="WYP94" s="39"/>
      <c r="WYQ94" s="39"/>
      <c r="WYR94" s="39"/>
      <c r="WYS94" s="39"/>
      <c r="WYT94" s="39"/>
      <c r="WYU94" s="39"/>
      <c r="WYV94" s="39"/>
      <c r="WYW94" s="39"/>
      <c r="WYX94" s="39"/>
      <c r="WYY94" s="39"/>
      <c r="WYZ94" s="39"/>
      <c r="WZA94" s="39"/>
      <c r="WZB94" s="39"/>
      <c r="WZC94" s="39"/>
      <c r="WZD94" s="39"/>
      <c r="WZE94" s="39"/>
      <c r="WZF94" s="39"/>
      <c r="WZG94" s="39"/>
      <c r="WZH94" s="39"/>
      <c r="WZI94" s="39"/>
      <c r="WZJ94" s="39"/>
      <c r="WZK94" s="39"/>
      <c r="WZL94" s="39"/>
      <c r="WZM94" s="39"/>
      <c r="WZN94" s="39"/>
      <c r="WZO94" s="39"/>
      <c r="WZP94" s="39"/>
      <c r="WZQ94" s="39"/>
      <c r="WZR94" s="39"/>
      <c r="WZS94" s="39"/>
      <c r="WZT94" s="39"/>
      <c r="WZU94" s="39"/>
      <c r="WZV94" s="39"/>
      <c r="WZW94" s="39"/>
      <c r="WZX94" s="39"/>
      <c r="WZY94" s="39"/>
      <c r="WZZ94" s="39"/>
      <c r="XAA94" s="39"/>
      <c r="XAB94" s="39"/>
      <c r="XAC94" s="39"/>
      <c r="XAD94" s="39"/>
      <c r="XAE94" s="39"/>
      <c r="XAF94" s="39"/>
      <c r="XAG94" s="39"/>
      <c r="XAH94" s="39"/>
      <c r="XAI94" s="39"/>
      <c r="XAJ94" s="39"/>
      <c r="XAK94" s="39"/>
      <c r="XAL94" s="39"/>
      <c r="XAM94" s="39"/>
      <c r="XAN94" s="39"/>
      <c r="XAO94" s="39"/>
      <c r="XAP94" s="39"/>
      <c r="XAQ94" s="39"/>
      <c r="XAR94" s="39"/>
      <c r="XAS94" s="39"/>
      <c r="XAT94" s="39"/>
      <c r="XAU94" s="39"/>
      <c r="XAV94" s="39"/>
      <c r="XAW94" s="39"/>
      <c r="XAX94" s="39"/>
      <c r="XAY94" s="39"/>
      <c r="XAZ94" s="39"/>
      <c r="XBA94" s="39"/>
      <c r="XBB94" s="39"/>
      <c r="XBC94" s="39"/>
      <c r="XBD94" s="39"/>
      <c r="XBE94" s="39"/>
      <c r="XBF94" s="39"/>
      <c r="XBG94" s="39"/>
      <c r="XBH94" s="39"/>
      <c r="XBI94" s="39"/>
      <c r="XBJ94" s="39"/>
      <c r="XBK94" s="39"/>
      <c r="XBL94" s="39"/>
      <c r="XBM94" s="39"/>
      <c r="XBN94" s="39"/>
      <c r="XBO94" s="39"/>
      <c r="XBP94" s="39"/>
      <c r="XBQ94" s="39"/>
      <c r="XBR94" s="39"/>
      <c r="XBS94" s="39"/>
      <c r="XBT94" s="39"/>
      <c r="XBU94" s="39"/>
      <c r="XBV94" s="39"/>
      <c r="XBW94" s="39"/>
      <c r="XBX94" s="39"/>
      <c r="XBY94" s="39"/>
      <c r="XBZ94" s="39"/>
      <c r="XCA94" s="39"/>
      <c r="XCB94" s="39"/>
      <c r="XCC94" s="39"/>
      <c r="XCD94" s="39"/>
      <c r="XCE94" s="39"/>
      <c r="XCF94" s="39"/>
      <c r="XCG94" s="39"/>
      <c r="XCH94" s="39"/>
      <c r="XCI94" s="39"/>
      <c r="XCJ94" s="39"/>
      <c r="XCK94" s="39"/>
      <c r="XCL94" s="39"/>
      <c r="XCM94" s="39"/>
      <c r="XCN94" s="39"/>
      <c r="XCO94" s="39"/>
      <c r="XCP94" s="39"/>
      <c r="XCQ94" s="39"/>
      <c r="XCR94" s="39"/>
      <c r="XCS94" s="39"/>
      <c r="XCT94" s="39"/>
      <c r="XCU94" s="39"/>
      <c r="XCV94" s="39"/>
      <c r="XCW94" s="39"/>
      <c r="XCX94" s="39"/>
      <c r="XCY94" s="39"/>
      <c r="XCZ94" s="39"/>
      <c r="XDA94" s="39"/>
      <c r="XDB94" s="39"/>
      <c r="XDC94" s="39"/>
      <c r="XDD94" s="39"/>
      <c r="XDE94" s="39"/>
      <c r="XDF94" s="39"/>
      <c r="XDG94" s="39"/>
      <c r="XDH94" s="39"/>
      <c r="XDI94" s="39"/>
      <c r="XDJ94" s="39"/>
      <c r="XDK94" s="39"/>
      <c r="XDL94" s="39"/>
      <c r="XDM94" s="39"/>
      <c r="XDN94" s="39"/>
      <c r="XDO94" s="39"/>
      <c r="XDP94" s="39"/>
      <c r="XDQ94" s="39"/>
      <c r="XDR94" s="39"/>
      <c r="XDS94" s="39"/>
      <c r="XDT94" s="39"/>
      <c r="XDU94" s="39"/>
      <c r="XDV94" s="39"/>
      <c r="XDW94" s="39"/>
      <c r="XDX94" s="39"/>
      <c r="XDY94" s="39"/>
      <c r="XDZ94" s="39"/>
      <c r="XEA94" s="39"/>
      <c r="XEB94" s="39"/>
      <c r="XEC94" s="39"/>
      <c r="XED94" s="39"/>
      <c r="XEE94" s="39"/>
      <c r="XEF94" s="39"/>
      <c r="XEG94" s="39"/>
      <c r="XEH94" s="39"/>
      <c r="XEI94" s="39"/>
      <c r="XEJ94" s="39"/>
      <c r="XEK94" s="39"/>
      <c r="XEL94" s="39"/>
      <c r="XEM94" s="39"/>
      <c r="XEN94" s="39"/>
      <c r="XEO94" s="39"/>
      <c r="XEP94" s="39"/>
      <c r="XEQ94" s="39"/>
      <c r="XER94" s="39"/>
      <c r="XES94" s="39"/>
      <c r="XET94" s="39"/>
      <c r="XEU94" s="39"/>
      <c r="XEV94" s="39"/>
      <c r="XEW94" s="39"/>
      <c r="XEX94" s="39"/>
      <c r="XEY94" s="39"/>
      <c r="XEZ94" s="39"/>
      <c r="XFA94" s="39"/>
      <c r="XFB94" s="39"/>
      <c r="XFC94" s="39"/>
    </row>
    <row r="95" spans="1:16383" ht="15" customHeight="1">
      <c r="A95" s="24" t="s">
        <v>764</v>
      </c>
      <c r="B95" s="25" t="s">
        <v>573</v>
      </c>
      <c r="C95" s="26">
        <v>42716</v>
      </c>
      <c r="D95" s="38" t="s">
        <v>29</v>
      </c>
      <c r="E95" s="38" t="s">
        <v>29</v>
      </c>
      <c r="F95" s="38" t="s">
        <v>95</v>
      </c>
      <c r="G95" s="38">
        <v>2</v>
      </c>
      <c r="H95" s="39" t="s">
        <v>574</v>
      </c>
      <c r="I95" s="39" t="s">
        <v>575</v>
      </c>
      <c r="J95" s="39" t="s">
        <v>576</v>
      </c>
      <c r="K95" s="39" t="s">
        <v>577</v>
      </c>
      <c r="L95" s="39" t="s">
        <v>376</v>
      </c>
      <c r="M95" s="45" t="s">
        <v>765</v>
      </c>
      <c r="N95" s="40" t="s">
        <v>579</v>
      </c>
      <c r="O95" s="94">
        <v>42626.541666666664</v>
      </c>
      <c r="P95" s="41" t="s">
        <v>102</v>
      </c>
      <c r="Q95" s="41" t="s">
        <v>102</v>
      </c>
      <c r="R95" s="153" t="s">
        <v>39</v>
      </c>
      <c r="S95" s="154">
        <v>42461</v>
      </c>
      <c r="T95" s="155" t="s">
        <v>65</v>
      </c>
      <c r="U95" s="52">
        <v>42690</v>
      </c>
      <c r="V95" s="209"/>
      <c r="W95" s="207" t="s">
        <v>580</v>
      </c>
      <c r="X95" s="50" t="s">
        <v>149</v>
      </c>
      <c r="Y95" s="156">
        <v>113</v>
      </c>
      <c r="Z95" s="25" t="s">
        <v>44</v>
      </c>
      <c r="AA95" s="25">
        <f t="shared" si="1"/>
        <v>0</v>
      </c>
    </row>
    <row r="96" spans="1:16383" ht="15" customHeight="1">
      <c r="A96" s="24" t="s">
        <v>766</v>
      </c>
      <c r="B96" s="25"/>
      <c r="C96" s="26">
        <v>42787</v>
      </c>
      <c r="D96" s="38" t="s">
        <v>29</v>
      </c>
      <c r="E96" s="38" t="s">
        <v>29</v>
      </c>
      <c r="F96" s="38" t="s">
        <v>95</v>
      </c>
      <c r="G96" s="38">
        <v>5</v>
      </c>
      <c r="H96" s="39" t="s">
        <v>767</v>
      </c>
      <c r="I96" s="39" t="s">
        <v>768</v>
      </c>
      <c r="J96" s="39" t="s">
        <v>769</v>
      </c>
      <c r="K96" s="39" t="s">
        <v>770</v>
      </c>
      <c r="L96" s="39" t="s">
        <v>676</v>
      </c>
      <c r="M96" s="201" t="s">
        <v>771</v>
      </c>
      <c r="N96" s="40" t="s">
        <v>13</v>
      </c>
      <c r="O96" s="94">
        <v>42719.458333333336</v>
      </c>
      <c r="P96" s="41" t="s">
        <v>102</v>
      </c>
      <c r="Q96" s="41" t="s">
        <v>102</v>
      </c>
      <c r="R96" s="153"/>
      <c r="S96" s="154"/>
      <c r="T96" s="155" t="s">
        <v>40</v>
      </c>
      <c r="U96" s="52">
        <v>42749</v>
      </c>
      <c r="V96" s="209"/>
      <c r="W96" s="207" t="s">
        <v>772</v>
      </c>
      <c r="X96" s="50" t="s">
        <v>57</v>
      </c>
      <c r="Y96" s="156">
        <v>786</v>
      </c>
      <c r="Z96" s="25" t="s">
        <v>44</v>
      </c>
      <c r="AA96" s="25">
        <f t="shared" si="1"/>
        <v>0</v>
      </c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  <c r="FU96" s="39"/>
      <c r="FV96" s="39"/>
      <c r="FW96" s="39"/>
      <c r="FX96" s="39"/>
      <c r="FY96" s="39"/>
      <c r="FZ96" s="39"/>
      <c r="GA96" s="39"/>
      <c r="GB96" s="39"/>
      <c r="GC96" s="39"/>
      <c r="GD96" s="39"/>
      <c r="GE96" s="39"/>
      <c r="GF96" s="39"/>
      <c r="GG96" s="39"/>
      <c r="GH96" s="39"/>
      <c r="GI96" s="39"/>
      <c r="GJ96" s="39"/>
      <c r="GK96" s="39"/>
      <c r="GL96" s="39"/>
      <c r="GM96" s="39"/>
      <c r="GN96" s="39"/>
      <c r="GO96" s="39"/>
      <c r="GP96" s="39"/>
      <c r="GQ96" s="39"/>
      <c r="GR96" s="39"/>
      <c r="GS96" s="39"/>
      <c r="GT96" s="39"/>
      <c r="GU96" s="39"/>
      <c r="GV96" s="39"/>
      <c r="GW96" s="39"/>
      <c r="GX96" s="39"/>
      <c r="GY96" s="39"/>
      <c r="GZ96" s="39"/>
      <c r="HA96" s="39"/>
      <c r="HB96" s="39"/>
      <c r="HC96" s="39"/>
      <c r="HD96" s="39"/>
      <c r="HE96" s="39"/>
      <c r="HF96" s="39"/>
      <c r="HG96" s="39"/>
      <c r="HH96" s="39"/>
      <c r="HI96" s="39"/>
      <c r="HJ96" s="39"/>
      <c r="HK96" s="39"/>
      <c r="HL96" s="39"/>
      <c r="HM96" s="39"/>
      <c r="HN96" s="39"/>
      <c r="HO96" s="39"/>
      <c r="HP96" s="39"/>
      <c r="HQ96" s="39"/>
      <c r="HR96" s="39"/>
      <c r="HS96" s="39"/>
      <c r="HT96" s="39"/>
      <c r="HU96" s="39"/>
      <c r="HV96" s="39"/>
      <c r="HW96" s="39"/>
      <c r="HX96" s="39"/>
      <c r="HY96" s="39"/>
      <c r="HZ96" s="39"/>
      <c r="IA96" s="39"/>
      <c r="IB96" s="39"/>
      <c r="IC96" s="39"/>
      <c r="ID96" s="39"/>
      <c r="IE96" s="39"/>
      <c r="IF96" s="39"/>
      <c r="IG96" s="39"/>
      <c r="IH96" s="39"/>
      <c r="II96" s="39"/>
      <c r="IJ96" s="39"/>
      <c r="IK96" s="39"/>
      <c r="IL96" s="39"/>
      <c r="IM96" s="39"/>
      <c r="IN96" s="39"/>
      <c r="IO96" s="39"/>
      <c r="IP96" s="39"/>
      <c r="IQ96" s="39"/>
      <c r="IR96" s="39"/>
      <c r="IS96" s="39"/>
      <c r="IT96" s="39"/>
      <c r="IU96" s="39"/>
      <c r="IV96" s="39"/>
      <c r="IW96" s="39"/>
      <c r="IX96" s="39"/>
      <c r="IY96" s="39"/>
      <c r="IZ96" s="39"/>
      <c r="JA96" s="39"/>
      <c r="JB96" s="39"/>
      <c r="JC96" s="39"/>
      <c r="JD96" s="39"/>
      <c r="JE96" s="39"/>
      <c r="JF96" s="39"/>
      <c r="JG96" s="39"/>
      <c r="JH96" s="39"/>
      <c r="JI96" s="39"/>
      <c r="JJ96" s="39"/>
      <c r="JK96" s="39"/>
      <c r="JL96" s="39"/>
      <c r="JM96" s="39"/>
      <c r="JN96" s="39"/>
      <c r="JO96" s="39"/>
      <c r="JP96" s="39"/>
      <c r="JQ96" s="39"/>
      <c r="JR96" s="39"/>
      <c r="JS96" s="39"/>
      <c r="JT96" s="39"/>
      <c r="JU96" s="39"/>
      <c r="JV96" s="39"/>
      <c r="JW96" s="39"/>
      <c r="JX96" s="39"/>
      <c r="JY96" s="39"/>
      <c r="JZ96" s="39"/>
      <c r="KA96" s="39"/>
      <c r="KB96" s="39"/>
      <c r="KC96" s="39"/>
      <c r="KD96" s="39"/>
      <c r="KE96" s="39"/>
      <c r="KF96" s="39"/>
      <c r="KG96" s="39"/>
      <c r="KH96" s="39"/>
      <c r="KI96" s="39"/>
      <c r="KJ96" s="39"/>
      <c r="KK96" s="39"/>
      <c r="KL96" s="39"/>
      <c r="KM96" s="39"/>
      <c r="KN96" s="39"/>
      <c r="KO96" s="39"/>
      <c r="KP96" s="39"/>
      <c r="KQ96" s="39"/>
      <c r="KR96" s="39"/>
      <c r="KS96" s="39"/>
      <c r="KT96" s="39"/>
      <c r="KU96" s="39"/>
      <c r="KV96" s="39"/>
      <c r="KW96" s="39"/>
      <c r="KX96" s="39"/>
      <c r="KY96" s="39"/>
      <c r="KZ96" s="39"/>
      <c r="LA96" s="39"/>
      <c r="LB96" s="39"/>
      <c r="LC96" s="39"/>
      <c r="LD96" s="39"/>
      <c r="LE96" s="39"/>
      <c r="LF96" s="39"/>
      <c r="LG96" s="39"/>
      <c r="LH96" s="39"/>
      <c r="LI96" s="39"/>
      <c r="LJ96" s="39"/>
      <c r="LK96" s="39"/>
      <c r="LL96" s="39"/>
      <c r="LM96" s="39"/>
      <c r="LN96" s="39"/>
      <c r="LO96" s="39"/>
      <c r="LP96" s="39"/>
      <c r="LQ96" s="39"/>
      <c r="LR96" s="39"/>
      <c r="LS96" s="39"/>
      <c r="LT96" s="39"/>
      <c r="LU96" s="39"/>
      <c r="LV96" s="39"/>
      <c r="LW96" s="39"/>
      <c r="LX96" s="39"/>
      <c r="LY96" s="39"/>
      <c r="LZ96" s="39"/>
      <c r="MA96" s="39"/>
      <c r="MB96" s="39"/>
      <c r="MC96" s="39"/>
      <c r="MD96" s="39"/>
      <c r="ME96" s="39"/>
      <c r="MF96" s="39"/>
      <c r="MG96" s="39"/>
      <c r="MH96" s="39"/>
      <c r="MI96" s="39"/>
      <c r="MJ96" s="39"/>
      <c r="MK96" s="39"/>
      <c r="ML96" s="39"/>
      <c r="MM96" s="39"/>
      <c r="MN96" s="39"/>
      <c r="MO96" s="39"/>
      <c r="MP96" s="39"/>
      <c r="MQ96" s="39"/>
      <c r="MR96" s="39"/>
      <c r="MS96" s="39"/>
      <c r="MT96" s="39"/>
      <c r="MU96" s="39"/>
      <c r="MV96" s="39"/>
      <c r="MW96" s="39"/>
      <c r="MX96" s="39"/>
      <c r="MY96" s="39"/>
      <c r="MZ96" s="39"/>
      <c r="NA96" s="39"/>
      <c r="NB96" s="39"/>
      <c r="NC96" s="39"/>
      <c r="ND96" s="39"/>
      <c r="NE96" s="39"/>
      <c r="NF96" s="39"/>
      <c r="NG96" s="39"/>
      <c r="NH96" s="39"/>
      <c r="NI96" s="39"/>
      <c r="NJ96" s="39"/>
      <c r="NK96" s="39"/>
      <c r="NL96" s="39"/>
      <c r="NM96" s="39"/>
      <c r="NN96" s="39"/>
      <c r="NO96" s="39"/>
      <c r="NP96" s="39"/>
      <c r="NQ96" s="39"/>
      <c r="NR96" s="39"/>
      <c r="NS96" s="39"/>
      <c r="NT96" s="39"/>
      <c r="NU96" s="39"/>
      <c r="NV96" s="39"/>
      <c r="NW96" s="39"/>
      <c r="NX96" s="39"/>
      <c r="NY96" s="39"/>
      <c r="NZ96" s="39"/>
      <c r="OA96" s="39"/>
      <c r="OB96" s="39"/>
      <c r="OC96" s="39"/>
      <c r="OD96" s="39"/>
      <c r="OE96" s="39"/>
      <c r="OF96" s="39"/>
      <c r="OG96" s="39"/>
      <c r="OH96" s="39"/>
      <c r="OI96" s="39"/>
      <c r="OJ96" s="39"/>
      <c r="OK96" s="39"/>
      <c r="OL96" s="39"/>
      <c r="OM96" s="39"/>
      <c r="ON96" s="39"/>
      <c r="OO96" s="39"/>
      <c r="OP96" s="39"/>
      <c r="OQ96" s="39"/>
      <c r="OR96" s="39"/>
      <c r="OS96" s="39"/>
      <c r="OT96" s="39"/>
      <c r="OU96" s="39"/>
      <c r="OV96" s="39"/>
      <c r="OW96" s="39"/>
      <c r="OX96" s="39"/>
      <c r="OY96" s="39"/>
      <c r="OZ96" s="39"/>
      <c r="PA96" s="39"/>
      <c r="PB96" s="39"/>
      <c r="PC96" s="39"/>
      <c r="PD96" s="39"/>
      <c r="PE96" s="39"/>
      <c r="PF96" s="39"/>
      <c r="PG96" s="39"/>
      <c r="PH96" s="39"/>
      <c r="PI96" s="39"/>
      <c r="PJ96" s="39"/>
      <c r="PK96" s="39"/>
      <c r="PL96" s="39"/>
      <c r="PM96" s="39"/>
      <c r="PN96" s="39"/>
      <c r="PO96" s="39"/>
      <c r="PP96" s="39"/>
      <c r="PQ96" s="39"/>
      <c r="PR96" s="39"/>
      <c r="PS96" s="39"/>
      <c r="PT96" s="39"/>
      <c r="PU96" s="39"/>
      <c r="PV96" s="39"/>
      <c r="PW96" s="39"/>
      <c r="PX96" s="39"/>
      <c r="PY96" s="39"/>
      <c r="PZ96" s="39"/>
      <c r="QA96" s="39"/>
      <c r="QB96" s="39"/>
      <c r="QC96" s="39"/>
      <c r="QD96" s="39"/>
      <c r="QE96" s="39"/>
      <c r="QF96" s="39"/>
      <c r="QG96" s="39"/>
      <c r="QH96" s="39"/>
      <c r="QI96" s="39"/>
      <c r="QJ96" s="39"/>
      <c r="QK96" s="39"/>
      <c r="QL96" s="39"/>
      <c r="QM96" s="39"/>
      <c r="QN96" s="39"/>
      <c r="QO96" s="39"/>
      <c r="QP96" s="39"/>
      <c r="QQ96" s="39"/>
      <c r="QR96" s="39"/>
      <c r="QS96" s="39"/>
      <c r="QT96" s="39"/>
      <c r="QU96" s="39"/>
      <c r="QV96" s="39"/>
      <c r="QW96" s="39"/>
      <c r="QX96" s="39"/>
      <c r="QY96" s="39"/>
      <c r="QZ96" s="39"/>
      <c r="RA96" s="39"/>
      <c r="RB96" s="39"/>
      <c r="RC96" s="39"/>
      <c r="RD96" s="39"/>
      <c r="RE96" s="39"/>
      <c r="RF96" s="39"/>
      <c r="RG96" s="39"/>
      <c r="RH96" s="39"/>
      <c r="RI96" s="39"/>
      <c r="RJ96" s="39"/>
      <c r="RK96" s="39"/>
      <c r="RL96" s="39"/>
      <c r="RM96" s="39"/>
      <c r="RN96" s="39"/>
      <c r="RO96" s="39"/>
      <c r="RP96" s="39"/>
      <c r="RQ96" s="39"/>
      <c r="RR96" s="39"/>
      <c r="RS96" s="39"/>
      <c r="RT96" s="39"/>
      <c r="RU96" s="39"/>
      <c r="RV96" s="39"/>
      <c r="RW96" s="39"/>
      <c r="RX96" s="39"/>
      <c r="RY96" s="39"/>
      <c r="RZ96" s="39"/>
      <c r="SA96" s="39"/>
      <c r="SB96" s="39"/>
      <c r="SC96" s="39"/>
      <c r="SD96" s="39"/>
      <c r="SE96" s="39"/>
      <c r="SF96" s="39"/>
      <c r="SG96" s="39"/>
      <c r="SH96" s="39"/>
      <c r="SI96" s="39"/>
      <c r="SJ96" s="39"/>
      <c r="SK96" s="39"/>
      <c r="SL96" s="39"/>
      <c r="SM96" s="39"/>
      <c r="SN96" s="39"/>
      <c r="SO96" s="39"/>
      <c r="SP96" s="39"/>
      <c r="SQ96" s="39"/>
      <c r="SR96" s="39"/>
      <c r="SS96" s="39"/>
      <c r="ST96" s="39"/>
      <c r="SU96" s="39"/>
      <c r="SV96" s="39"/>
      <c r="SW96" s="39"/>
      <c r="SX96" s="39"/>
      <c r="SY96" s="39"/>
      <c r="SZ96" s="39"/>
      <c r="TA96" s="39"/>
      <c r="TB96" s="39"/>
      <c r="TC96" s="39"/>
      <c r="TD96" s="39"/>
      <c r="TE96" s="39"/>
      <c r="TF96" s="39"/>
      <c r="TG96" s="39"/>
      <c r="TH96" s="39"/>
      <c r="TI96" s="39"/>
      <c r="TJ96" s="39"/>
      <c r="TK96" s="39"/>
      <c r="TL96" s="39"/>
      <c r="TM96" s="39"/>
      <c r="TN96" s="39"/>
      <c r="TO96" s="39"/>
      <c r="TP96" s="39"/>
      <c r="TQ96" s="39"/>
      <c r="TR96" s="39"/>
      <c r="TS96" s="39"/>
      <c r="TT96" s="39"/>
      <c r="TU96" s="39"/>
      <c r="TV96" s="39"/>
      <c r="TW96" s="39"/>
      <c r="TX96" s="39"/>
      <c r="TY96" s="39"/>
      <c r="TZ96" s="39"/>
      <c r="UA96" s="39"/>
      <c r="UB96" s="39"/>
      <c r="UC96" s="39"/>
      <c r="UD96" s="39"/>
      <c r="UE96" s="39"/>
      <c r="UF96" s="39"/>
      <c r="UG96" s="39"/>
      <c r="UH96" s="39"/>
      <c r="UI96" s="39"/>
      <c r="UJ96" s="39"/>
      <c r="UK96" s="39"/>
      <c r="UL96" s="39"/>
      <c r="UM96" s="39"/>
      <c r="UN96" s="39"/>
      <c r="UO96" s="39"/>
      <c r="UP96" s="39"/>
      <c r="UQ96" s="39"/>
      <c r="UR96" s="39"/>
      <c r="US96" s="39"/>
      <c r="UT96" s="39"/>
      <c r="UU96" s="39"/>
      <c r="UV96" s="39"/>
      <c r="UW96" s="39"/>
      <c r="UX96" s="39"/>
      <c r="UY96" s="39"/>
      <c r="UZ96" s="39"/>
      <c r="VA96" s="39"/>
      <c r="VB96" s="39"/>
      <c r="VC96" s="39"/>
      <c r="VD96" s="39"/>
      <c r="VE96" s="39"/>
      <c r="VF96" s="39"/>
      <c r="VG96" s="39"/>
      <c r="VH96" s="39"/>
      <c r="VI96" s="39"/>
      <c r="VJ96" s="39"/>
      <c r="VK96" s="39"/>
      <c r="VL96" s="39"/>
      <c r="VM96" s="39"/>
      <c r="VN96" s="39"/>
      <c r="VO96" s="39"/>
      <c r="VP96" s="39"/>
      <c r="VQ96" s="39"/>
      <c r="VR96" s="39"/>
      <c r="VS96" s="39"/>
      <c r="VT96" s="39"/>
      <c r="VU96" s="39"/>
      <c r="VV96" s="39"/>
      <c r="VW96" s="39"/>
      <c r="VX96" s="39"/>
      <c r="VY96" s="39"/>
      <c r="VZ96" s="39"/>
      <c r="WA96" s="39"/>
      <c r="WB96" s="39"/>
      <c r="WC96" s="39"/>
      <c r="WD96" s="39"/>
      <c r="WE96" s="39"/>
      <c r="WF96" s="39"/>
      <c r="WG96" s="39"/>
      <c r="WH96" s="39"/>
      <c r="WI96" s="39"/>
      <c r="WJ96" s="39"/>
      <c r="WK96" s="39"/>
      <c r="WL96" s="39"/>
      <c r="WM96" s="39"/>
      <c r="WN96" s="39"/>
      <c r="WO96" s="39"/>
      <c r="WP96" s="39"/>
      <c r="WQ96" s="39"/>
      <c r="WR96" s="39"/>
      <c r="WS96" s="39"/>
      <c r="WT96" s="39"/>
      <c r="WU96" s="39"/>
      <c r="WV96" s="39"/>
      <c r="WW96" s="39"/>
      <c r="WX96" s="39"/>
      <c r="WY96" s="39"/>
      <c r="WZ96" s="39"/>
      <c r="XA96" s="39"/>
      <c r="XB96" s="39"/>
      <c r="XC96" s="39"/>
      <c r="XD96" s="39"/>
      <c r="XE96" s="39"/>
      <c r="XF96" s="39"/>
      <c r="XG96" s="39"/>
      <c r="XH96" s="39"/>
      <c r="XI96" s="39"/>
      <c r="XJ96" s="39"/>
      <c r="XK96" s="39"/>
      <c r="XL96" s="39"/>
      <c r="XM96" s="39"/>
      <c r="XN96" s="39"/>
      <c r="XO96" s="39"/>
      <c r="XP96" s="39"/>
      <c r="XQ96" s="39"/>
      <c r="XR96" s="39"/>
      <c r="XS96" s="39"/>
      <c r="XT96" s="39"/>
      <c r="XU96" s="39"/>
      <c r="XV96" s="39"/>
      <c r="XW96" s="39"/>
      <c r="XX96" s="39"/>
      <c r="XY96" s="39"/>
      <c r="XZ96" s="39"/>
      <c r="YA96" s="39"/>
      <c r="YB96" s="39"/>
      <c r="YC96" s="39"/>
      <c r="YD96" s="39"/>
      <c r="YE96" s="39"/>
      <c r="YF96" s="39"/>
      <c r="YG96" s="39"/>
      <c r="YH96" s="39"/>
      <c r="YI96" s="39"/>
      <c r="YJ96" s="39"/>
      <c r="YK96" s="39"/>
      <c r="YL96" s="39"/>
      <c r="YM96" s="39"/>
      <c r="YN96" s="39"/>
      <c r="YO96" s="39"/>
      <c r="YP96" s="39"/>
      <c r="YQ96" s="39"/>
      <c r="YR96" s="39"/>
      <c r="YS96" s="39"/>
      <c r="YT96" s="39"/>
      <c r="YU96" s="39"/>
      <c r="YV96" s="39"/>
      <c r="YW96" s="39"/>
      <c r="YX96" s="39"/>
      <c r="YY96" s="39"/>
      <c r="YZ96" s="39"/>
      <c r="ZA96" s="39"/>
      <c r="ZB96" s="39"/>
      <c r="ZC96" s="39"/>
      <c r="ZD96" s="39"/>
      <c r="ZE96" s="39"/>
      <c r="ZF96" s="39"/>
      <c r="ZG96" s="39"/>
      <c r="ZH96" s="39"/>
      <c r="ZI96" s="39"/>
      <c r="ZJ96" s="39"/>
      <c r="ZK96" s="39"/>
      <c r="ZL96" s="39"/>
      <c r="ZM96" s="39"/>
      <c r="ZN96" s="39"/>
      <c r="ZO96" s="39"/>
      <c r="ZP96" s="39"/>
      <c r="ZQ96" s="39"/>
      <c r="ZR96" s="39"/>
      <c r="ZS96" s="39"/>
      <c r="ZT96" s="39"/>
      <c r="ZU96" s="39"/>
      <c r="ZV96" s="39"/>
      <c r="ZW96" s="39"/>
      <c r="ZX96" s="39"/>
      <c r="ZY96" s="39"/>
      <c r="ZZ96" s="39"/>
      <c r="AAA96" s="39"/>
      <c r="AAB96" s="39"/>
      <c r="AAC96" s="39"/>
      <c r="AAD96" s="39"/>
      <c r="AAE96" s="39"/>
      <c r="AAF96" s="39"/>
      <c r="AAG96" s="39"/>
      <c r="AAH96" s="39"/>
      <c r="AAI96" s="39"/>
      <c r="AAJ96" s="39"/>
      <c r="AAK96" s="39"/>
      <c r="AAL96" s="39"/>
      <c r="AAM96" s="39"/>
      <c r="AAN96" s="39"/>
      <c r="AAO96" s="39"/>
      <c r="AAP96" s="39"/>
      <c r="AAQ96" s="39"/>
      <c r="AAR96" s="39"/>
      <c r="AAS96" s="39"/>
      <c r="AAT96" s="39"/>
      <c r="AAU96" s="39"/>
      <c r="AAV96" s="39"/>
      <c r="AAW96" s="39"/>
      <c r="AAX96" s="39"/>
      <c r="AAY96" s="39"/>
      <c r="AAZ96" s="39"/>
      <c r="ABA96" s="39"/>
      <c r="ABB96" s="39"/>
      <c r="ABC96" s="39"/>
      <c r="ABD96" s="39"/>
      <c r="ABE96" s="39"/>
      <c r="ABF96" s="39"/>
      <c r="ABG96" s="39"/>
      <c r="ABH96" s="39"/>
      <c r="ABI96" s="39"/>
      <c r="ABJ96" s="39"/>
      <c r="ABK96" s="39"/>
      <c r="ABL96" s="39"/>
      <c r="ABM96" s="39"/>
      <c r="ABN96" s="39"/>
      <c r="ABO96" s="39"/>
      <c r="ABP96" s="39"/>
      <c r="ABQ96" s="39"/>
      <c r="ABR96" s="39"/>
      <c r="ABS96" s="39"/>
      <c r="ABT96" s="39"/>
      <c r="ABU96" s="39"/>
      <c r="ABV96" s="39"/>
      <c r="ABW96" s="39"/>
      <c r="ABX96" s="39"/>
      <c r="ABY96" s="39"/>
      <c r="ABZ96" s="39"/>
      <c r="ACA96" s="39"/>
      <c r="ACB96" s="39"/>
      <c r="ACC96" s="39"/>
      <c r="ACD96" s="39"/>
      <c r="ACE96" s="39"/>
      <c r="ACF96" s="39"/>
      <c r="ACG96" s="39"/>
      <c r="ACH96" s="39"/>
      <c r="ACI96" s="39"/>
      <c r="ACJ96" s="39"/>
      <c r="ACK96" s="39"/>
      <c r="ACL96" s="39"/>
      <c r="ACM96" s="39"/>
      <c r="ACN96" s="39"/>
      <c r="ACO96" s="39"/>
      <c r="ACP96" s="39"/>
      <c r="ACQ96" s="39"/>
      <c r="ACR96" s="39"/>
      <c r="ACS96" s="39"/>
      <c r="ACT96" s="39"/>
      <c r="ACU96" s="39"/>
      <c r="ACV96" s="39"/>
      <c r="ACW96" s="39"/>
      <c r="ACX96" s="39"/>
      <c r="ACY96" s="39"/>
      <c r="ACZ96" s="39"/>
      <c r="ADA96" s="39"/>
      <c r="ADB96" s="39"/>
      <c r="ADC96" s="39"/>
      <c r="ADD96" s="39"/>
      <c r="ADE96" s="39"/>
      <c r="ADF96" s="39"/>
      <c r="ADG96" s="39"/>
      <c r="ADH96" s="39"/>
      <c r="ADI96" s="39"/>
      <c r="ADJ96" s="39"/>
      <c r="ADK96" s="39"/>
      <c r="ADL96" s="39"/>
      <c r="ADM96" s="39"/>
      <c r="ADN96" s="39"/>
      <c r="ADO96" s="39"/>
      <c r="ADP96" s="39"/>
      <c r="ADQ96" s="39"/>
      <c r="ADR96" s="39"/>
      <c r="ADS96" s="39"/>
      <c r="ADT96" s="39"/>
      <c r="ADU96" s="39"/>
      <c r="ADV96" s="39"/>
      <c r="ADW96" s="39"/>
      <c r="ADX96" s="39"/>
      <c r="ADY96" s="39"/>
      <c r="ADZ96" s="39"/>
      <c r="AEA96" s="39"/>
      <c r="AEB96" s="39"/>
      <c r="AEC96" s="39"/>
      <c r="AED96" s="39"/>
      <c r="AEE96" s="39"/>
      <c r="AEF96" s="39"/>
      <c r="AEG96" s="39"/>
      <c r="AEH96" s="39"/>
      <c r="AEI96" s="39"/>
      <c r="AEJ96" s="39"/>
      <c r="AEK96" s="39"/>
      <c r="AEL96" s="39"/>
      <c r="AEM96" s="39"/>
      <c r="AEN96" s="39"/>
      <c r="AEO96" s="39"/>
      <c r="AEP96" s="39"/>
      <c r="AEQ96" s="39"/>
      <c r="AER96" s="39"/>
      <c r="AES96" s="39"/>
      <c r="AET96" s="39"/>
      <c r="AEU96" s="39"/>
      <c r="AEV96" s="39"/>
      <c r="AEW96" s="39"/>
      <c r="AEX96" s="39"/>
      <c r="AEY96" s="39"/>
      <c r="AEZ96" s="39"/>
      <c r="AFA96" s="39"/>
      <c r="AFB96" s="39"/>
      <c r="AFC96" s="39"/>
      <c r="AFD96" s="39"/>
      <c r="AFE96" s="39"/>
      <c r="AFF96" s="39"/>
      <c r="AFG96" s="39"/>
      <c r="AFH96" s="39"/>
      <c r="AFI96" s="39"/>
      <c r="AFJ96" s="39"/>
      <c r="AFK96" s="39"/>
      <c r="AFL96" s="39"/>
      <c r="AFM96" s="39"/>
      <c r="AFN96" s="39"/>
      <c r="AFO96" s="39"/>
      <c r="AFP96" s="39"/>
      <c r="AFQ96" s="39"/>
      <c r="AFR96" s="39"/>
      <c r="AFS96" s="39"/>
      <c r="AFT96" s="39"/>
      <c r="AFU96" s="39"/>
      <c r="AFV96" s="39"/>
      <c r="AFW96" s="39"/>
      <c r="AFX96" s="39"/>
      <c r="AFY96" s="39"/>
      <c r="AFZ96" s="39"/>
      <c r="AGA96" s="39"/>
      <c r="AGB96" s="39"/>
      <c r="AGC96" s="39"/>
      <c r="AGD96" s="39"/>
      <c r="AGE96" s="39"/>
      <c r="AGF96" s="39"/>
      <c r="AGG96" s="39"/>
      <c r="AGH96" s="39"/>
      <c r="AGI96" s="39"/>
      <c r="AGJ96" s="39"/>
      <c r="AGK96" s="39"/>
      <c r="AGL96" s="39"/>
      <c r="AGM96" s="39"/>
      <c r="AGN96" s="39"/>
      <c r="AGO96" s="39"/>
      <c r="AGP96" s="39"/>
      <c r="AGQ96" s="39"/>
      <c r="AGR96" s="39"/>
      <c r="AGS96" s="39"/>
      <c r="AGT96" s="39"/>
      <c r="AGU96" s="39"/>
      <c r="AGV96" s="39"/>
      <c r="AGW96" s="39"/>
      <c r="AGX96" s="39"/>
      <c r="AGY96" s="39"/>
      <c r="AGZ96" s="39"/>
      <c r="AHA96" s="39"/>
      <c r="AHB96" s="39"/>
      <c r="AHC96" s="39"/>
      <c r="AHD96" s="39"/>
      <c r="AHE96" s="39"/>
      <c r="AHF96" s="39"/>
      <c r="AHG96" s="39"/>
      <c r="AHH96" s="39"/>
      <c r="AHI96" s="39"/>
      <c r="AHJ96" s="39"/>
      <c r="AHK96" s="39"/>
      <c r="AHL96" s="39"/>
      <c r="AHM96" s="39"/>
      <c r="AHN96" s="39"/>
      <c r="AHO96" s="39"/>
      <c r="AHP96" s="39"/>
      <c r="AHQ96" s="39"/>
      <c r="AHR96" s="39"/>
      <c r="AHS96" s="39"/>
      <c r="AHT96" s="39"/>
      <c r="AHU96" s="39"/>
      <c r="AHV96" s="39"/>
      <c r="AHW96" s="39"/>
      <c r="AHX96" s="39"/>
      <c r="AHY96" s="39"/>
      <c r="AHZ96" s="39"/>
      <c r="AIA96" s="39"/>
      <c r="AIB96" s="39"/>
      <c r="AIC96" s="39"/>
      <c r="AID96" s="39"/>
      <c r="AIE96" s="39"/>
      <c r="AIF96" s="39"/>
      <c r="AIG96" s="39"/>
      <c r="AIH96" s="39"/>
      <c r="AII96" s="39"/>
      <c r="AIJ96" s="39"/>
      <c r="AIK96" s="39"/>
      <c r="AIL96" s="39"/>
      <c r="AIM96" s="39"/>
      <c r="AIN96" s="39"/>
      <c r="AIO96" s="39"/>
      <c r="AIP96" s="39"/>
      <c r="AIQ96" s="39"/>
      <c r="AIR96" s="39"/>
      <c r="AIS96" s="39"/>
      <c r="AIT96" s="39"/>
      <c r="AIU96" s="39"/>
      <c r="AIV96" s="39"/>
      <c r="AIW96" s="39"/>
      <c r="AIX96" s="39"/>
      <c r="AIY96" s="39"/>
      <c r="AIZ96" s="39"/>
      <c r="AJA96" s="39"/>
      <c r="AJB96" s="39"/>
      <c r="AJC96" s="39"/>
      <c r="AJD96" s="39"/>
      <c r="AJE96" s="39"/>
      <c r="AJF96" s="39"/>
      <c r="AJG96" s="39"/>
      <c r="AJH96" s="39"/>
      <c r="AJI96" s="39"/>
      <c r="AJJ96" s="39"/>
      <c r="AJK96" s="39"/>
      <c r="AJL96" s="39"/>
      <c r="AJM96" s="39"/>
      <c r="AJN96" s="39"/>
      <c r="AJO96" s="39"/>
      <c r="AJP96" s="39"/>
      <c r="AJQ96" s="39"/>
      <c r="AJR96" s="39"/>
      <c r="AJS96" s="39"/>
      <c r="AJT96" s="39"/>
      <c r="AJU96" s="39"/>
      <c r="AJV96" s="39"/>
      <c r="AJW96" s="39"/>
      <c r="AJX96" s="39"/>
      <c r="AJY96" s="39"/>
      <c r="AJZ96" s="39"/>
      <c r="AKA96" s="39"/>
      <c r="AKB96" s="39"/>
      <c r="AKC96" s="39"/>
      <c r="AKD96" s="39"/>
      <c r="AKE96" s="39"/>
      <c r="AKF96" s="39"/>
      <c r="AKG96" s="39"/>
      <c r="AKH96" s="39"/>
      <c r="AKI96" s="39"/>
      <c r="AKJ96" s="39"/>
      <c r="AKK96" s="39"/>
      <c r="AKL96" s="39"/>
      <c r="AKM96" s="39"/>
      <c r="AKN96" s="39"/>
      <c r="AKO96" s="39"/>
      <c r="AKP96" s="39"/>
      <c r="AKQ96" s="39"/>
      <c r="AKR96" s="39"/>
      <c r="AKS96" s="39"/>
      <c r="AKT96" s="39"/>
      <c r="AKU96" s="39"/>
      <c r="AKV96" s="39"/>
      <c r="AKW96" s="39"/>
      <c r="AKX96" s="39"/>
      <c r="AKY96" s="39"/>
      <c r="AKZ96" s="39"/>
      <c r="ALA96" s="39"/>
      <c r="ALB96" s="39"/>
      <c r="ALC96" s="39"/>
      <c r="ALD96" s="39"/>
      <c r="ALE96" s="39"/>
      <c r="ALF96" s="39"/>
      <c r="ALG96" s="39"/>
      <c r="ALH96" s="39"/>
      <c r="ALI96" s="39"/>
      <c r="ALJ96" s="39"/>
      <c r="ALK96" s="39"/>
      <c r="ALL96" s="39"/>
      <c r="ALM96" s="39"/>
      <c r="ALN96" s="39"/>
      <c r="ALO96" s="39"/>
      <c r="ALP96" s="39"/>
      <c r="ALQ96" s="39"/>
      <c r="ALR96" s="39"/>
      <c r="ALS96" s="39"/>
      <c r="ALT96" s="39"/>
      <c r="ALU96" s="39"/>
      <c r="ALV96" s="39"/>
      <c r="ALW96" s="39"/>
      <c r="ALX96" s="39"/>
      <c r="ALY96" s="39"/>
      <c r="ALZ96" s="39"/>
      <c r="AMA96" s="39"/>
      <c r="AMB96" s="39"/>
      <c r="AMC96" s="39"/>
      <c r="AMD96" s="39"/>
      <c r="AME96" s="39"/>
      <c r="AMF96" s="39"/>
      <c r="AMG96" s="39"/>
      <c r="AMH96" s="39"/>
      <c r="AMI96" s="39"/>
      <c r="AMJ96" s="39"/>
      <c r="AMK96" s="39"/>
      <c r="AML96" s="39"/>
      <c r="AMM96" s="39"/>
      <c r="AMN96" s="39"/>
      <c r="AMO96" s="39"/>
      <c r="AMP96" s="39"/>
      <c r="AMQ96" s="39"/>
      <c r="AMR96" s="39"/>
      <c r="AMS96" s="39"/>
      <c r="AMT96" s="39"/>
      <c r="AMU96" s="39"/>
      <c r="AMV96" s="39"/>
      <c r="AMW96" s="39"/>
      <c r="AMX96" s="39"/>
      <c r="AMY96" s="39"/>
      <c r="AMZ96" s="39"/>
      <c r="ANA96" s="39"/>
      <c r="ANB96" s="39"/>
      <c r="ANC96" s="39"/>
      <c r="AND96" s="39"/>
      <c r="ANE96" s="39"/>
      <c r="ANF96" s="39"/>
      <c r="ANG96" s="39"/>
      <c r="ANH96" s="39"/>
      <c r="ANI96" s="39"/>
      <c r="ANJ96" s="39"/>
      <c r="ANK96" s="39"/>
      <c r="ANL96" s="39"/>
      <c r="ANM96" s="39"/>
      <c r="ANN96" s="39"/>
      <c r="ANO96" s="39"/>
      <c r="ANP96" s="39"/>
      <c r="ANQ96" s="39"/>
      <c r="ANR96" s="39"/>
      <c r="ANS96" s="39"/>
      <c r="ANT96" s="39"/>
      <c r="ANU96" s="39"/>
      <c r="ANV96" s="39"/>
      <c r="ANW96" s="39"/>
      <c r="ANX96" s="39"/>
      <c r="ANY96" s="39"/>
      <c r="ANZ96" s="39"/>
      <c r="AOA96" s="39"/>
      <c r="AOB96" s="39"/>
      <c r="AOC96" s="39"/>
      <c r="AOD96" s="39"/>
      <c r="AOE96" s="39"/>
      <c r="AOF96" s="39"/>
      <c r="AOG96" s="39"/>
      <c r="AOH96" s="39"/>
      <c r="AOI96" s="39"/>
      <c r="AOJ96" s="39"/>
      <c r="AOK96" s="39"/>
      <c r="AOL96" s="39"/>
      <c r="AOM96" s="39"/>
      <c r="AON96" s="39"/>
      <c r="AOO96" s="39"/>
      <c r="AOP96" s="39"/>
      <c r="AOQ96" s="39"/>
      <c r="AOR96" s="39"/>
      <c r="AOS96" s="39"/>
      <c r="AOT96" s="39"/>
      <c r="AOU96" s="39"/>
      <c r="AOV96" s="39"/>
      <c r="AOW96" s="39"/>
      <c r="AOX96" s="39"/>
      <c r="AOY96" s="39"/>
      <c r="AOZ96" s="39"/>
      <c r="APA96" s="39"/>
      <c r="APB96" s="39"/>
      <c r="APC96" s="39"/>
      <c r="APD96" s="39"/>
      <c r="APE96" s="39"/>
      <c r="APF96" s="39"/>
      <c r="APG96" s="39"/>
      <c r="APH96" s="39"/>
      <c r="API96" s="39"/>
      <c r="APJ96" s="39"/>
      <c r="APK96" s="39"/>
      <c r="APL96" s="39"/>
      <c r="APM96" s="39"/>
      <c r="APN96" s="39"/>
      <c r="APO96" s="39"/>
      <c r="APP96" s="39"/>
      <c r="APQ96" s="39"/>
      <c r="APR96" s="39"/>
      <c r="APS96" s="39"/>
      <c r="APT96" s="39"/>
      <c r="APU96" s="39"/>
      <c r="APV96" s="39"/>
      <c r="APW96" s="39"/>
      <c r="APX96" s="39"/>
      <c r="APY96" s="39"/>
      <c r="APZ96" s="39"/>
      <c r="AQA96" s="39"/>
      <c r="AQB96" s="39"/>
      <c r="AQC96" s="39"/>
      <c r="AQD96" s="39"/>
      <c r="AQE96" s="39"/>
      <c r="AQF96" s="39"/>
      <c r="AQG96" s="39"/>
      <c r="AQH96" s="39"/>
      <c r="AQI96" s="39"/>
      <c r="AQJ96" s="39"/>
      <c r="AQK96" s="39"/>
      <c r="AQL96" s="39"/>
      <c r="AQM96" s="39"/>
      <c r="AQN96" s="39"/>
      <c r="AQO96" s="39"/>
      <c r="AQP96" s="39"/>
      <c r="AQQ96" s="39"/>
      <c r="AQR96" s="39"/>
      <c r="AQS96" s="39"/>
      <c r="AQT96" s="39"/>
      <c r="AQU96" s="39"/>
      <c r="AQV96" s="39"/>
      <c r="AQW96" s="39"/>
      <c r="AQX96" s="39"/>
      <c r="AQY96" s="39"/>
      <c r="AQZ96" s="39"/>
      <c r="ARA96" s="39"/>
      <c r="ARB96" s="39"/>
      <c r="ARC96" s="39"/>
      <c r="ARD96" s="39"/>
      <c r="ARE96" s="39"/>
      <c r="ARF96" s="39"/>
      <c r="ARG96" s="39"/>
      <c r="ARH96" s="39"/>
      <c r="ARI96" s="39"/>
      <c r="ARJ96" s="39"/>
      <c r="ARK96" s="39"/>
      <c r="ARL96" s="39"/>
      <c r="ARM96" s="39"/>
      <c r="ARN96" s="39"/>
      <c r="ARO96" s="39"/>
      <c r="ARP96" s="39"/>
      <c r="ARQ96" s="39"/>
      <c r="ARR96" s="39"/>
      <c r="ARS96" s="39"/>
      <c r="ART96" s="39"/>
      <c r="ARU96" s="39"/>
      <c r="ARV96" s="39"/>
      <c r="ARW96" s="39"/>
      <c r="ARX96" s="39"/>
      <c r="ARY96" s="39"/>
      <c r="ARZ96" s="39"/>
      <c r="ASA96" s="39"/>
      <c r="ASB96" s="39"/>
      <c r="ASC96" s="39"/>
      <c r="ASD96" s="39"/>
      <c r="ASE96" s="39"/>
      <c r="ASF96" s="39"/>
      <c r="ASG96" s="39"/>
      <c r="ASH96" s="39"/>
      <c r="ASI96" s="39"/>
      <c r="ASJ96" s="39"/>
      <c r="ASK96" s="39"/>
      <c r="ASL96" s="39"/>
      <c r="ASM96" s="39"/>
      <c r="ASN96" s="39"/>
      <c r="ASO96" s="39"/>
      <c r="ASP96" s="39"/>
      <c r="ASQ96" s="39"/>
      <c r="ASR96" s="39"/>
      <c r="ASS96" s="39"/>
      <c r="AST96" s="39"/>
      <c r="ASU96" s="39"/>
      <c r="ASV96" s="39"/>
      <c r="ASW96" s="39"/>
      <c r="ASX96" s="39"/>
      <c r="ASY96" s="39"/>
      <c r="ASZ96" s="39"/>
      <c r="ATA96" s="39"/>
      <c r="ATB96" s="39"/>
      <c r="ATC96" s="39"/>
      <c r="ATD96" s="39"/>
      <c r="ATE96" s="39"/>
      <c r="ATF96" s="39"/>
      <c r="ATG96" s="39"/>
      <c r="ATH96" s="39"/>
      <c r="ATI96" s="39"/>
      <c r="ATJ96" s="39"/>
      <c r="ATK96" s="39"/>
      <c r="ATL96" s="39"/>
      <c r="ATM96" s="39"/>
      <c r="ATN96" s="39"/>
      <c r="ATO96" s="39"/>
      <c r="ATP96" s="39"/>
      <c r="ATQ96" s="39"/>
      <c r="ATR96" s="39"/>
      <c r="ATS96" s="39"/>
      <c r="ATT96" s="39"/>
      <c r="ATU96" s="39"/>
      <c r="ATV96" s="39"/>
      <c r="ATW96" s="39"/>
      <c r="ATX96" s="39"/>
      <c r="ATY96" s="39"/>
      <c r="ATZ96" s="39"/>
      <c r="AUA96" s="39"/>
      <c r="AUB96" s="39"/>
      <c r="AUC96" s="39"/>
      <c r="AUD96" s="39"/>
      <c r="AUE96" s="39"/>
      <c r="AUF96" s="39"/>
      <c r="AUG96" s="39"/>
      <c r="AUH96" s="39"/>
      <c r="AUI96" s="39"/>
      <c r="AUJ96" s="39"/>
      <c r="AUK96" s="39"/>
      <c r="AUL96" s="39"/>
      <c r="AUM96" s="39"/>
      <c r="AUN96" s="39"/>
      <c r="AUO96" s="39"/>
      <c r="AUP96" s="39"/>
      <c r="AUQ96" s="39"/>
      <c r="AUR96" s="39"/>
      <c r="AUS96" s="39"/>
      <c r="AUT96" s="39"/>
      <c r="AUU96" s="39"/>
      <c r="AUV96" s="39"/>
      <c r="AUW96" s="39"/>
      <c r="AUX96" s="39"/>
      <c r="AUY96" s="39"/>
      <c r="AUZ96" s="39"/>
      <c r="AVA96" s="39"/>
      <c r="AVB96" s="39"/>
      <c r="AVC96" s="39"/>
      <c r="AVD96" s="39"/>
      <c r="AVE96" s="39"/>
      <c r="AVF96" s="39"/>
      <c r="AVG96" s="39"/>
      <c r="AVH96" s="39"/>
      <c r="AVI96" s="39"/>
      <c r="AVJ96" s="39"/>
      <c r="AVK96" s="39"/>
      <c r="AVL96" s="39"/>
      <c r="AVM96" s="39"/>
      <c r="AVN96" s="39"/>
      <c r="AVO96" s="39"/>
      <c r="AVP96" s="39"/>
      <c r="AVQ96" s="39"/>
      <c r="AVR96" s="39"/>
      <c r="AVS96" s="39"/>
      <c r="AVT96" s="39"/>
      <c r="AVU96" s="39"/>
      <c r="AVV96" s="39"/>
      <c r="AVW96" s="39"/>
      <c r="AVX96" s="39"/>
      <c r="AVY96" s="39"/>
      <c r="AVZ96" s="39"/>
      <c r="AWA96" s="39"/>
      <c r="AWB96" s="39"/>
      <c r="AWC96" s="39"/>
      <c r="AWD96" s="39"/>
      <c r="AWE96" s="39"/>
      <c r="AWF96" s="39"/>
      <c r="AWG96" s="39"/>
      <c r="AWH96" s="39"/>
      <c r="AWI96" s="39"/>
      <c r="AWJ96" s="39"/>
      <c r="AWK96" s="39"/>
      <c r="AWL96" s="39"/>
      <c r="AWM96" s="39"/>
      <c r="AWN96" s="39"/>
      <c r="AWO96" s="39"/>
      <c r="AWP96" s="39"/>
      <c r="AWQ96" s="39"/>
      <c r="AWR96" s="39"/>
      <c r="AWS96" s="39"/>
      <c r="AWT96" s="39"/>
      <c r="AWU96" s="39"/>
      <c r="AWV96" s="39"/>
      <c r="AWW96" s="39"/>
      <c r="AWX96" s="39"/>
      <c r="AWY96" s="39"/>
      <c r="AWZ96" s="39"/>
      <c r="AXA96" s="39"/>
      <c r="AXB96" s="39"/>
      <c r="AXC96" s="39"/>
      <c r="AXD96" s="39"/>
      <c r="AXE96" s="39"/>
      <c r="AXF96" s="39"/>
      <c r="AXG96" s="39"/>
      <c r="AXH96" s="39"/>
      <c r="AXI96" s="39"/>
      <c r="AXJ96" s="39"/>
      <c r="AXK96" s="39"/>
      <c r="AXL96" s="39"/>
      <c r="AXM96" s="39"/>
      <c r="AXN96" s="39"/>
      <c r="AXO96" s="39"/>
      <c r="AXP96" s="39"/>
      <c r="AXQ96" s="39"/>
      <c r="AXR96" s="39"/>
      <c r="AXS96" s="39"/>
      <c r="AXT96" s="39"/>
      <c r="AXU96" s="39"/>
      <c r="AXV96" s="39"/>
      <c r="AXW96" s="39"/>
      <c r="AXX96" s="39"/>
      <c r="AXY96" s="39"/>
      <c r="AXZ96" s="39"/>
      <c r="AYA96" s="39"/>
      <c r="AYB96" s="39"/>
      <c r="AYC96" s="39"/>
      <c r="AYD96" s="39"/>
      <c r="AYE96" s="39"/>
      <c r="AYF96" s="39"/>
      <c r="AYG96" s="39"/>
      <c r="AYH96" s="39"/>
      <c r="AYI96" s="39"/>
      <c r="AYJ96" s="39"/>
      <c r="AYK96" s="39"/>
      <c r="AYL96" s="39"/>
      <c r="AYM96" s="39"/>
      <c r="AYN96" s="39"/>
      <c r="AYO96" s="39"/>
      <c r="AYP96" s="39"/>
      <c r="AYQ96" s="39"/>
      <c r="AYR96" s="39"/>
      <c r="AYS96" s="39"/>
      <c r="AYT96" s="39"/>
      <c r="AYU96" s="39"/>
      <c r="AYV96" s="39"/>
      <c r="AYW96" s="39"/>
      <c r="AYX96" s="39"/>
      <c r="AYY96" s="39"/>
      <c r="AYZ96" s="39"/>
      <c r="AZA96" s="39"/>
      <c r="AZB96" s="39"/>
      <c r="AZC96" s="39"/>
      <c r="AZD96" s="39"/>
      <c r="AZE96" s="39"/>
      <c r="AZF96" s="39"/>
      <c r="AZG96" s="39"/>
      <c r="AZH96" s="39"/>
      <c r="AZI96" s="39"/>
      <c r="AZJ96" s="39"/>
      <c r="AZK96" s="39"/>
      <c r="AZL96" s="39"/>
      <c r="AZM96" s="39"/>
      <c r="AZN96" s="39"/>
      <c r="AZO96" s="39"/>
      <c r="AZP96" s="39"/>
      <c r="AZQ96" s="39"/>
      <c r="AZR96" s="39"/>
      <c r="AZS96" s="39"/>
      <c r="AZT96" s="39"/>
      <c r="AZU96" s="39"/>
      <c r="AZV96" s="39"/>
      <c r="AZW96" s="39"/>
      <c r="AZX96" s="39"/>
      <c r="AZY96" s="39"/>
      <c r="AZZ96" s="39"/>
      <c r="BAA96" s="39"/>
      <c r="BAB96" s="39"/>
      <c r="BAC96" s="39"/>
      <c r="BAD96" s="39"/>
      <c r="BAE96" s="39"/>
      <c r="BAF96" s="39"/>
      <c r="BAG96" s="39"/>
      <c r="BAH96" s="39"/>
      <c r="BAI96" s="39"/>
      <c r="BAJ96" s="39"/>
      <c r="BAK96" s="39"/>
      <c r="BAL96" s="39"/>
      <c r="BAM96" s="39"/>
      <c r="BAN96" s="39"/>
      <c r="BAO96" s="39"/>
      <c r="BAP96" s="39"/>
      <c r="BAQ96" s="39"/>
      <c r="BAR96" s="39"/>
      <c r="BAS96" s="39"/>
      <c r="BAT96" s="39"/>
      <c r="BAU96" s="39"/>
      <c r="BAV96" s="39"/>
      <c r="BAW96" s="39"/>
      <c r="BAX96" s="39"/>
      <c r="BAY96" s="39"/>
      <c r="BAZ96" s="39"/>
      <c r="BBA96" s="39"/>
      <c r="BBB96" s="39"/>
      <c r="BBC96" s="39"/>
      <c r="BBD96" s="39"/>
      <c r="BBE96" s="39"/>
      <c r="BBF96" s="39"/>
      <c r="BBG96" s="39"/>
      <c r="BBH96" s="39"/>
      <c r="BBI96" s="39"/>
      <c r="BBJ96" s="39"/>
      <c r="BBK96" s="39"/>
      <c r="BBL96" s="39"/>
      <c r="BBM96" s="39"/>
      <c r="BBN96" s="39"/>
      <c r="BBO96" s="39"/>
      <c r="BBP96" s="39"/>
      <c r="BBQ96" s="39"/>
      <c r="BBR96" s="39"/>
      <c r="BBS96" s="39"/>
      <c r="BBT96" s="39"/>
      <c r="BBU96" s="39"/>
      <c r="BBV96" s="39"/>
      <c r="BBW96" s="39"/>
      <c r="BBX96" s="39"/>
      <c r="BBY96" s="39"/>
      <c r="BBZ96" s="39"/>
      <c r="BCA96" s="39"/>
      <c r="BCB96" s="39"/>
      <c r="BCC96" s="39"/>
      <c r="BCD96" s="39"/>
      <c r="BCE96" s="39"/>
      <c r="BCF96" s="39"/>
      <c r="BCG96" s="39"/>
      <c r="BCH96" s="39"/>
      <c r="BCI96" s="39"/>
      <c r="BCJ96" s="39"/>
      <c r="BCK96" s="39"/>
      <c r="BCL96" s="39"/>
      <c r="BCM96" s="39"/>
      <c r="BCN96" s="39"/>
      <c r="BCO96" s="39"/>
      <c r="BCP96" s="39"/>
      <c r="BCQ96" s="39"/>
      <c r="BCR96" s="39"/>
      <c r="BCS96" s="39"/>
      <c r="BCT96" s="39"/>
      <c r="BCU96" s="39"/>
      <c r="BCV96" s="39"/>
      <c r="BCW96" s="39"/>
      <c r="BCX96" s="39"/>
      <c r="BCY96" s="39"/>
      <c r="BCZ96" s="39"/>
      <c r="BDA96" s="39"/>
      <c r="BDB96" s="39"/>
      <c r="BDC96" s="39"/>
      <c r="BDD96" s="39"/>
      <c r="BDE96" s="39"/>
      <c r="BDF96" s="39"/>
      <c r="BDG96" s="39"/>
      <c r="BDH96" s="39"/>
      <c r="BDI96" s="39"/>
      <c r="BDJ96" s="39"/>
      <c r="BDK96" s="39"/>
      <c r="BDL96" s="39"/>
      <c r="BDM96" s="39"/>
      <c r="BDN96" s="39"/>
      <c r="BDO96" s="39"/>
      <c r="BDP96" s="39"/>
      <c r="BDQ96" s="39"/>
      <c r="BDR96" s="39"/>
      <c r="BDS96" s="39"/>
      <c r="BDT96" s="39"/>
      <c r="BDU96" s="39"/>
      <c r="BDV96" s="39"/>
      <c r="BDW96" s="39"/>
      <c r="BDX96" s="39"/>
      <c r="BDY96" s="39"/>
      <c r="BDZ96" s="39"/>
      <c r="BEA96" s="39"/>
      <c r="BEB96" s="39"/>
      <c r="BEC96" s="39"/>
      <c r="BED96" s="39"/>
      <c r="BEE96" s="39"/>
      <c r="BEF96" s="39"/>
      <c r="BEG96" s="39"/>
      <c r="BEH96" s="39"/>
      <c r="BEI96" s="39"/>
      <c r="BEJ96" s="39"/>
      <c r="BEK96" s="39"/>
      <c r="BEL96" s="39"/>
      <c r="BEM96" s="39"/>
      <c r="BEN96" s="39"/>
      <c r="BEO96" s="39"/>
      <c r="BEP96" s="39"/>
      <c r="BEQ96" s="39"/>
      <c r="BER96" s="39"/>
      <c r="BES96" s="39"/>
      <c r="BET96" s="39"/>
      <c r="BEU96" s="39"/>
      <c r="BEV96" s="39"/>
      <c r="BEW96" s="39"/>
      <c r="BEX96" s="39"/>
      <c r="BEY96" s="39"/>
      <c r="BEZ96" s="39"/>
      <c r="BFA96" s="39"/>
      <c r="BFB96" s="39"/>
      <c r="BFC96" s="39"/>
      <c r="BFD96" s="39"/>
      <c r="BFE96" s="39"/>
      <c r="BFF96" s="39"/>
      <c r="BFG96" s="39"/>
      <c r="BFH96" s="39"/>
      <c r="BFI96" s="39"/>
      <c r="BFJ96" s="39"/>
      <c r="BFK96" s="39"/>
      <c r="BFL96" s="39"/>
      <c r="BFM96" s="39"/>
      <c r="BFN96" s="39"/>
      <c r="BFO96" s="39"/>
      <c r="BFP96" s="39"/>
      <c r="BFQ96" s="39"/>
      <c r="BFR96" s="39"/>
      <c r="BFS96" s="39"/>
      <c r="BFT96" s="39"/>
      <c r="BFU96" s="39"/>
      <c r="BFV96" s="39"/>
      <c r="BFW96" s="39"/>
      <c r="BFX96" s="39"/>
      <c r="BFY96" s="39"/>
      <c r="BFZ96" s="39"/>
      <c r="BGA96" s="39"/>
      <c r="BGB96" s="39"/>
      <c r="BGC96" s="39"/>
      <c r="BGD96" s="39"/>
      <c r="BGE96" s="39"/>
      <c r="BGF96" s="39"/>
      <c r="BGG96" s="39"/>
      <c r="BGH96" s="39"/>
      <c r="BGI96" s="39"/>
      <c r="BGJ96" s="39"/>
      <c r="BGK96" s="39"/>
      <c r="BGL96" s="39"/>
      <c r="BGM96" s="39"/>
      <c r="BGN96" s="39"/>
      <c r="BGO96" s="39"/>
      <c r="BGP96" s="39"/>
      <c r="BGQ96" s="39"/>
      <c r="BGR96" s="39"/>
      <c r="BGS96" s="39"/>
      <c r="BGT96" s="39"/>
      <c r="BGU96" s="39"/>
      <c r="BGV96" s="39"/>
      <c r="BGW96" s="39"/>
      <c r="BGX96" s="39"/>
      <c r="BGY96" s="39"/>
      <c r="BGZ96" s="39"/>
      <c r="BHA96" s="39"/>
      <c r="BHB96" s="39"/>
      <c r="BHC96" s="39"/>
      <c r="BHD96" s="39"/>
      <c r="BHE96" s="39"/>
      <c r="BHF96" s="39"/>
      <c r="BHG96" s="39"/>
      <c r="BHH96" s="39"/>
      <c r="BHI96" s="39"/>
      <c r="BHJ96" s="39"/>
      <c r="BHK96" s="39"/>
      <c r="BHL96" s="39"/>
      <c r="BHM96" s="39"/>
      <c r="BHN96" s="39"/>
      <c r="BHO96" s="39"/>
      <c r="BHP96" s="39"/>
      <c r="BHQ96" s="39"/>
      <c r="BHR96" s="39"/>
      <c r="BHS96" s="39"/>
      <c r="BHT96" s="39"/>
      <c r="BHU96" s="39"/>
      <c r="BHV96" s="39"/>
      <c r="BHW96" s="39"/>
      <c r="BHX96" s="39"/>
      <c r="BHY96" s="39"/>
      <c r="BHZ96" s="39"/>
      <c r="BIA96" s="39"/>
      <c r="BIB96" s="39"/>
      <c r="BIC96" s="39"/>
      <c r="BID96" s="39"/>
      <c r="BIE96" s="39"/>
      <c r="BIF96" s="39"/>
      <c r="BIG96" s="39"/>
      <c r="BIH96" s="39"/>
      <c r="BII96" s="39"/>
      <c r="BIJ96" s="39"/>
      <c r="BIK96" s="39"/>
      <c r="BIL96" s="39"/>
      <c r="BIM96" s="39"/>
      <c r="BIN96" s="39"/>
      <c r="BIO96" s="39"/>
      <c r="BIP96" s="39"/>
      <c r="BIQ96" s="39"/>
      <c r="BIR96" s="39"/>
      <c r="BIS96" s="39"/>
      <c r="BIT96" s="39"/>
      <c r="BIU96" s="39"/>
      <c r="BIV96" s="39"/>
      <c r="BIW96" s="39"/>
      <c r="BIX96" s="39"/>
      <c r="BIY96" s="39"/>
      <c r="BIZ96" s="39"/>
      <c r="BJA96" s="39"/>
      <c r="BJB96" s="39"/>
      <c r="BJC96" s="39"/>
      <c r="BJD96" s="39"/>
      <c r="BJE96" s="39"/>
      <c r="BJF96" s="39"/>
      <c r="BJG96" s="39"/>
      <c r="BJH96" s="39"/>
      <c r="BJI96" s="39"/>
      <c r="BJJ96" s="39"/>
      <c r="BJK96" s="39"/>
      <c r="BJL96" s="39"/>
      <c r="BJM96" s="39"/>
      <c r="BJN96" s="39"/>
      <c r="BJO96" s="39"/>
      <c r="BJP96" s="39"/>
      <c r="BJQ96" s="39"/>
      <c r="BJR96" s="39"/>
      <c r="BJS96" s="39"/>
      <c r="BJT96" s="39"/>
      <c r="BJU96" s="39"/>
      <c r="BJV96" s="39"/>
      <c r="BJW96" s="39"/>
      <c r="BJX96" s="39"/>
      <c r="BJY96" s="39"/>
      <c r="BJZ96" s="39"/>
      <c r="BKA96" s="39"/>
      <c r="BKB96" s="39"/>
      <c r="BKC96" s="39"/>
      <c r="BKD96" s="39"/>
      <c r="BKE96" s="39"/>
      <c r="BKF96" s="39"/>
      <c r="BKG96" s="39"/>
      <c r="BKH96" s="39"/>
      <c r="BKI96" s="39"/>
      <c r="BKJ96" s="39"/>
      <c r="BKK96" s="39"/>
      <c r="BKL96" s="39"/>
      <c r="BKM96" s="39"/>
      <c r="BKN96" s="39"/>
      <c r="BKO96" s="39"/>
      <c r="BKP96" s="39"/>
      <c r="BKQ96" s="39"/>
      <c r="BKR96" s="39"/>
      <c r="BKS96" s="39"/>
      <c r="BKT96" s="39"/>
      <c r="BKU96" s="39"/>
      <c r="BKV96" s="39"/>
      <c r="BKW96" s="39"/>
      <c r="BKX96" s="39"/>
      <c r="BKY96" s="39"/>
      <c r="BKZ96" s="39"/>
      <c r="BLA96" s="39"/>
      <c r="BLB96" s="39"/>
      <c r="BLC96" s="39"/>
      <c r="BLD96" s="39"/>
      <c r="BLE96" s="39"/>
      <c r="BLF96" s="39"/>
      <c r="BLG96" s="39"/>
      <c r="BLH96" s="39"/>
      <c r="BLI96" s="39"/>
      <c r="BLJ96" s="39"/>
      <c r="BLK96" s="39"/>
      <c r="BLL96" s="39"/>
      <c r="BLM96" s="39"/>
      <c r="BLN96" s="39"/>
      <c r="BLO96" s="39"/>
      <c r="BLP96" s="39"/>
      <c r="BLQ96" s="39"/>
      <c r="BLR96" s="39"/>
      <c r="BLS96" s="39"/>
      <c r="BLT96" s="39"/>
      <c r="BLU96" s="39"/>
      <c r="BLV96" s="39"/>
      <c r="BLW96" s="39"/>
      <c r="BLX96" s="39"/>
      <c r="BLY96" s="39"/>
      <c r="BLZ96" s="39"/>
      <c r="BMA96" s="39"/>
      <c r="BMB96" s="39"/>
      <c r="BMC96" s="39"/>
      <c r="BMD96" s="39"/>
      <c r="BME96" s="39"/>
      <c r="BMF96" s="39"/>
      <c r="BMG96" s="39"/>
      <c r="BMH96" s="39"/>
      <c r="BMI96" s="39"/>
      <c r="BMJ96" s="39"/>
      <c r="BMK96" s="39"/>
      <c r="BML96" s="39"/>
      <c r="BMM96" s="39"/>
      <c r="BMN96" s="39"/>
      <c r="BMO96" s="39"/>
      <c r="BMP96" s="39"/>
      <c r="BMQ96" s="39"/>
      <c r="BMR96" s="39"/>
      <c r="BMS96" s="39"/>
      <c r="BMT96" s="39"/>
      <c r="BMU96" s="39"/>
      <c r="BMV96" s="39"/>
      <c r="BMW96" s="39"/>
      <c r="BMX96" s="39"/>
      <c r="BMY96" s="39"/>
      <c r="BMZ96" s="39"/>
      <c r="BNA96" s="39"/>
      <c r="BNB96" s="39"/>
      <c r="BNC96" s="39"/>
      <c r="BND96" s="39"/>
      <c r="BNE96" s="39"/>
      <c r="BNF96" s="39"/>
      <c r="BNG96" s="39"/>
      <c r="BNH96" s="39"/>
      <c r="BNI96" s="39"/>
      <c r="BNJ96" s="39"/>
      <c r="BNK96" s="39"/>
      <c r="BNL96" s="39"/>
      <c r="BNM96" s="39"/>
      <c r="BNN96" s="39"/>
      <c r="BNO96" s="39"/>
      <c r="BNP96" s="39"/>
      <c r="BNQ96" s="39"/>
      <c r="BNR96" s="39"/>
      <c r="BNS96" s="39"/>
      <c r="BNT96" s="39"/>
      <c r="BNU96" s="39"/>
      <c r="BNV96" s="39"/>
      <c r="BNW96" s="39"/>
      <c r="BNX96" s="39"/>
      <c r="BNY96" s="39"/>
      <c r="BNZ96" s="39"/>
      <c r="BOA96" s="39"/>
      <c r="BOB96" s="39"/>
      <c r="BOC96" s="39"/>
      <c r="BOD96" s="39"/>
      <c r="BOE96" s="39"/>
      <c r="BOF96" s="39"/>
      <c r="BOG96" s="39"/>
      <c r="BOH96" s="39"/>
      <c r="BOI96" s="39"/>
      <c r="BOJ96" s="39"/>
      <c r="BOK96" s="39"/>
      <c r="BOL96" s="39"/>
      <c r="BOM96" s="39"/>
      <c r="BON96" s="39"/>
      <c r="BOO96" s="39"/>
      <c r="BOP96" s="39"/>
      <c r="BOQ96" s="39"/>
      <c r="BOR96" s="39"/>
      <c r="BOS96" s="39"/>
      <c r="BOT96" s="39"/>
      <c r="BOU96" s="39"/>
      <c r="BOV96" s="39"/>
      <c r="BOW96" s="39"/>
      <c r="BOX96" s="39"/>
      <c r="BOY96" s="39"/>
      <c r="BOZ96" s="39"/>
      <c r="BPA96" s="39"/>
      <c r="BPB96" s="39"/>
      <c r="BPC96" s="39"/>
      <c r="BPD96" s="39"/>
      <c r="BPE96" s="39"/>
      <c r="BPF96" s="39"/>
      <c r="BPG96" s="39"/>
      <c r="BPH96" s="39"/>
      <c r="BPI96" s="39"/>
      <c r="BPJ96" s="39"/>
      <c r="BPK96" s="39"/>
      <c r="BPL96" s="39"/>
      <c r="BPM96" s="39"/>
      <c r="BPN96" s="39"/>
      <c r="BPO96" s="39"/>
      <c r="BPP96" s="39"/>
      <c r="BPQ96" s="39"/>
      <c r="BPR96" s="39"/>
      <c r="BPS96" s="39"/>
      <c r="BPT96" s="39"/>
      <c r="BPU96" s="39"/>
      <c r="BPV96" s="39"/>
      <c r="BPW96" s="39"/>
      <c r="BPX96" s="39"/>
      <c r="BPY96" s="39"/>
      <c r="BPZ96" s="39"/>
      <c r="BQA96" s="39"/>
      <c r="BQB96" s="39"/>
      <c r="BQC96" s="39"/>
      <c r="BQD96" s="39"/>
      <c r="BQE96" s="39"/>
      <c r="BQF96" s="39"/>
      <c r="BQG96" s="39"/>
      <c r="BQH96" s="39"/>
      <c r="BQI96" s="39"/>
      <c r="BQJ96" s="39"/>
      <c r="BQK96" s="39"/>
      <c r="BQL96" s="39"/>
      <c r="BQM96" s="39"/>
      <c r="BQN96" s="39"/>
      <c r="BQO96" s="39"/>
      <c r="BQP96" s="39"/>
      <c r="BQQ96" s="39"/>
      <c r="BQR96" s="39"/>
      <c r="BQS96" s="39"/>
      <c r="BQT96" s="39"/>
      <c r="BQU96" s="39"/>
      <c r="BQV96" s="39"/>
      <c r="BQW96" s="39"/>
      <c r="BQX96" s="39"/>
      <c r="BQY96" s="39"/>
      <c r="BQZ96" s="39"/>
      <c r="BRA96" s="39"/>
      <c r="BRB96" s="39"/>
      <c r="BRC96" s="39"/>
      <c r="BRD96" s="39"/>
      <c r="BRE96" s="39"/>
      <c r="BRF96" s="39"/>
      <c r="BRG96" s="39"/>
      <c r="BRH96" s="39"/>
      <c r="BRI96" s="39"/>
      <c r="BRJ96" s="39"/>
      <c r="BRK96" s="39"/>
      <c r="BRL96" s="39"/>
      <c r="BRM96" s="39"/>
      <c r="BRN96" s="39"/>
      <c r="BRO96" s="39"/>
      <c r="BRP96" s="39"/>
      <c r="BRQ96" s="39"/>
      <c r="BRR96" s="39"/>
      <c r="BRS96" s="39"/>
      <c r="BRT96" s="39"/>
      <c r="BRU96" s="39"/>
      <c r="BRV96" s="39"/>
      <c r="BRW96" s="39"/>
      <c r="BRX96" s="39"/>
      <c r="BRY96" s="39"/>
      <c r="BRZ96" s="39"/>
      <c r="BSA96" s="39"/>
      <c r="BSB96" s="39"/>
      <c r="BSC96" s="39"/>
      <c r="BSD96" s="39"/>
      <c r="BSE96" s="39"/>
      <c r="BSF96" s="39"/>
      <c r="BSG96" s="39"/>
      <c r="BSH96" s="39"/>
      <c r="BSI96" s="39"/>
      <c r="BSJ96" s="39"/>
      <c r="BSK96" s="39"/>
      <c r="BSL96" s="39"/>
      <c r="BSM96" s="39"/>
      <c r="BSN96" s="39"/>
      <c r="BSO96" s="39"/>
      <c r="BSP96" s="39"/>
      <c r="BSQ96" s="39"/>
      <c r="BSR96" s="39"/>
      <c r="BSS96" s="39"/>
      <c r="BST96" s="39"/>
      <c r="BSU96" s="39"/>
      <c r="BSV96" s="39"/>
      <c r="BSW96" s="39"/>
      <c r="BSX96" s="39"/>
      <c r="BSY96" s="39"/>
      <c r="BSZ96" s="39"/>
      <c r="BTA96" s="39"/>
      <c r="BTB96" s="39"/>
      <c r="BTC96" s="39"/>
      <c r="BTD96" s="39"/>
      <c r="BTE96" s="39"/>
      <c r="BTF96" s="39"/>
      <c r="BTG96" s="39"/>
      <c r="BTH96" s="39"/>
      <c r="BTI96" s="39"/>
      <c r="BTJ96" s="39"/>
      <c r="BTK96" s="39"/>
      <c r="BTL96" s="39"/>
      <c r="BTM96" s="39"/>
      <c r="BTN96" s="39"/>
      <c r="BTO96" s="39"/>
      <c r="BTP96" s="39"/>
      <c r="BTQ96" s="39"/>
      <c r="BTR96" s="39"/>
      <c r="BTS96" s="39"/>
      <c r="BTT96" s="39"/>
      <c r="BTU96" s="39"/>
      <c r="BTV96" s="39"/>
      <c r="BTW96" s="39"/>
      <c r="BTX96" s="39"/>
      <c r="BTY96" s="39"/>
      <c r="BTZ96" s="39"/>
      <c r="BUA96" s="39"/>
      <c r="BUB96" s="39"/>
      <c r="BUC96" s="39"/>
      <c r="BUD96" s="39"/>
      <c r="BUE96" s="39"/>
      <c r="BUF96" s="39"/>
      <c r="BUG96" s="39"/>
      <c r="BUH96" s="39"/>
      <c r="BUI96" s="39"/>
      <c r="BUJ96" s="39"/>
      <c r="BUK96" s="39"/>
      <c r="BUL96" s="39"/>
      <c r="BUM96" s="39"/>
      <c r="BUN96" s="39"/>
      <c r="BUO96" s="39"/>
      <c r="BUP96" s="39"/>
      <c r="BUQ96" s="39"/>
      <c r="BUR96" s="39"/>
      <c r="BUS96" s="39"/>
      <c r="BUT96" s="39"/>
      <c r="BUU96" s="39"/>
      <c r="BUV96" s="39"/>
      <c r="BUW96" s="39"/>
      <c r="BUX96" s="39"/>
      <c r="BUY96" s="39"/>
      <c r="BUZ96" s="39"/>
      <c r="BVA96" s="39"/>
      <c r="BVB96" s="39"/>
      <c r="BVC96" s="39"/>
      <c r="BVD96" s="39"/>
      <c r="BVE96" s="39"/>
      <c r="BVF96" s="39"/>
      <c r="BVG96" s="39"/>
      <c r="BVH96" s="39"/>
      <c r="BVI96" s="39"/>
      <c r="BVJ96" s="39"/>
      <c r="BVK96" s="39"/>
      <c r="BVL96" s="39"/>
      <c r="BVM96" s="39"/>
      <c r="BVN96" s="39"/>
      <c r="BVO96" s="39"/>
      <c r="BVP96" s="39"/>
      <c r="BVQ96" s="39"/>
      <c r="BVR96" s="39"/>
      <c r="BVS96" s="39"/>
      <c r="BVT96" s="39"/>
      <c r="BVU96" s="39"/>
      <c r="BVV96" s="39"/>
      <c r="BVW96" s="39"/>
      <c r="BVX96" s="39"/>
      <c r="BVY96" s="39"/>
      <c r="BVZ96" s="39"/>
      <c r="BWA96" s="39"/>
      <c r="BWB96" s="39"/>
      <c r="BWC96" s="39"/>
      <c r="BWD96" s="39"/>
      <c r="BWE96" s="39"/>
      <c r="BWF96" s="39"/>
      <c r="BWG96" s="39"/>
      <c r="BWH96" s="39"/>
      <c r="BWI96" s="39"/>
      <c r="BWJ96" s="39"/>
      <c r="BWK96" s="39"/>
      <c r="BWL96" s="39"/>
      <c r="BWM96" s="39"/>
      <c r="BWN96" s="39"/>
      <c r="BWO96" s="39"/>
      <c r="BWP96" s="39"/>
      <c r="BWQ96" s="39"/>
      <c r="BWR96" s="39"/>
      <c r="BWS96" s="39"/>
      <c r="BWT96" s="39"/>
      <c r="BWU96" s="39"/>
      <c r="BWV96" s="39"/>
      <c r="BWW96" s="39"/>
      <c r="BWX96" s="39"/>
      <c r="BWY96" s="39"/>
      <c r="BWZ96" s="39"/>
      <c r="BXA96" s="39"/>
      <c r="BXB96" s="39"/>
      <c r="BXC96" s="39"/>
      <c r="BXD96" s="39"/>
      <c r="BXE96" s="39"/>
      <c r="BXF96" s="39"/>
      <c r="BXG96" s="39"/>
      <c r="BXH96" s="39"/>
      <c r="BXI96" s="39"/>
      <c r="BXJ96" s="39"/>
      <c r="BXK96" s="39"/>
      <c r="BXL96" s="39"/>
      <c r="BXM96" s="39"/>
      <c r="BXN96" s="39"/>
      <c r="BXO96" s="39"/>
      <c r="BXP96" s="39"/>
      <c r="BXQ96" s="39"/>
      <c r="BXR96" s="39"/>
      <c r="BXS96" s="39"/>
      <c r="BXT96" s="39"/>
      <c r="BXU96" s="39"/>
      <c r="BXV96" s="39"/>
      <c r="BXW96" s="39"/>
      <c r="BXX96" s="39"/>
      <c r="BXY96" s="39"/>
      <c r="BXZ96" s="39"/>
      <c r="BYA96" s="39"/>
      <c r="BYB96" s="39"/>
      <c r="BYC96" s="39"/>
      <c r="BYD96" s="39"/>
      <c r="BYE96" s="39"/>
      <c r="BYF96" s="39"/>
      <c r="BYG96" s="39"/>
      <c r="BYH96" s="39"/>
      <c r="BYI96" s="39"/>
      <c r="BYJ96" s="39"/>
      <c r="BYK96" s="39"/>
      <c r="BYL96" s="39"/>
      <c r="BYM96" s="39"/>
      <c r="BYN96" s="39"/>
      <c r="BYO96" s="39"/>
      <c r="BYP96" s="39"/>
      <c r="BYQ96" s="39"/>
      <c r="BYR96" s="39"/>
      <c r="BYS96" s="39"/>
      <c r="BYT96" s="39"/>
      <c r="BYU96" s="39"/>
      <c r="BYV96" s="39"/>
      <c r="BYW96" s="39"/>
      <c r="BYX96" s="39"/>
      <c r="BYY96" s="39"/>
      <c r="BYZ96" s="39"/>
      <c r="BZA96" s="39"/>
      <c r="BZB96" s="39"/>
      <c r="BZC96" s="39"/>
      <c r="BZD96" s="39"/>
      <c r="BZE96" s="39"/>
      <c r="BZF96" s="39"/>
      <c r="BZG96" s="39"/>
      <c r="BZH96" s="39"/>
      <c r="BZI96" s="39"/>
      <c r="BZJ96" s="39"/>
      <c r="BZK96" s="39"/>
      <c r="BZL96" s="39"/>
      <c r="BZM96" s="39"/>
      <c r="BZN96" s="39"/>
      <c r="BZO96" s="39"/>
      <c r="BZP96" s="39"/>
      <c r="BZQ96" s="39"/>
      <c r="BZR96" s="39"/>
      <c r="BZS96" s="39"/>
      <c r="BZT96" s="39"/>
      <c r="BZU96" s="39"/>
      <c r="BZV96" s="39"/>
      <c r="BZW96" s="39"/>
      <c r="BZX96" s="39"/>
      <c r="BZY96" s="39"/>
      <c r="BZZ96" s="39"/>
      <c r="CAA96" s="39"/>
      <c r="CAB96" s="39"/>
      <c r="CAC96" s="39"/>
      <c r="CAD96" s="39"/>
      <c r="CAE96" s="39"/>
      <c r="CAF96" s="39"/>
      <c r="CAG96" s="39"/>
      <c r="CAH96" s="39"/>
      <c r="CAI96" s="39"/>
      <c r="CAJ96" s="39"/>
      <c r="CAK96" s="39"/>
      <c r="CAL96" s="39"/>
      <c r="CAM96" s="39"/>
      <c r="CAN96" s="39"/>
      <c r="CAO96" s="39"/>
      <c r="CAP96" s="39"/>
      <c r="CAQ96" s="39"/>
      <c r="CAR96" s="39"/>
      <c r="CAS96" s="39"/>
      <c r="CAT96" s="39"/>
      <c r="CAU96" s="39"/>
      <c r="CAV96" s="39"/>
      <c r="CAW96" s="39"/>
      <c r="CAX96" s="39"/>
      <c r="CAY96" s="39"/>
      <c r="CAZ96" s="39"/>
      <c r="CBA96" s="39"/>
      <c r="CBB96" s="39"/>
      <c r="CBC96" s="39"/>
      <c r="CBD96" s="39"/>
      <c r="CBE96" s="39"/>
      <c r="CBF96" s="39"/>
      <c r="CBG96" s="39"/>
      <c r="CBH96" s="39"/>
      <c r="CBI96" s="39"/>
      <c r="CBJ96" s="39"/>
      <c r="CBK96" s="39"/>
      <c r="CBL96" s="39"/>
      <c r="CBM96" s="39"/>
      <c r="CBN96" s="39"/>
      <c r="CBO96" s="39"/>
      <c r="CBP96" s="39"/>
      <c r="CBQ96" s="39"/>
      <c r="CBR96" s="39"/>
      <c r="CBS96" s="39"/>
      <c r="CBT96" s="39"/>
      <c r="CBU96" s="39"/>
      <c r="CBV96" s="39"/>
      <c r="CBW96" s="39"/>
      <c r="CBX96" s="39"/>
      <c r="CBY96" s="39"/>
      <c r="CBZ96" s="39"/>
      <c r="CCA96" s="39"/>
      <c r="CCB96" s="39"/>
      <c r="CCC96" s="39"/>
      <c r="CCD96" s="39"/>
      <c r="CCE96" s="39"/>
      <c r="CCF96" s="39"/>
      <c r="CCG96" s="39"/>
      <c r="CCH96" s="39"/>
      <c r="CCI96" s="39"/>
      <c r="CCJ96" s="39"/>
      <c r="CCK96" s="39"/>
      <c r="CCL96" s="39"/>
      <c r="CCM96" s="39"/>
      <c r="CCN96" s="39"/>
      <c r="CCO96" s="39"/>
      <c r="CCP96" s="39"/>
      <c r="CCQ96" s="39"/>
      <c r="CCR96" s="39"/>
      <c r="CCS96" s="39"/>
      <c r="CCT96" s="39"/>
      <c r="CCU96" s="39"/>
      <c r="CCV96" s="39"/>
      <c r="CCW96" s="39"/>
      <c r="CCX96" s="39"/>
      <c r="CCY96" s="39"/>
      <c r="CCZ96" s="39"/>
      <c r="CDA96" s="39"/>
      <c r="CDB96" s="39"/>
      <c r="CDC96" s="39"/>
      <c r="CDD96" s="39"/>
      <c r="CDE96" s="39"/>
      <c r="CDF96" s="39"/>
      <c r="CDG96" s="39"/>
      <c r="CDH96" s="39"/>
      <c r="CDI96" s="39"/>
      <c r="CDJ96" s="39"/>
      <c r="CDK96" s="39"/>
      <c r="CDL96" s="39"/>
      <c r="CDM96" s="39"/>
      <c r="CDN96" s="39"/>
      <c r="CDO96" s="39"/>
      <c r="CDP96" s="39"/>
      <c r="CDQ96" s="39"/>
      <c r="CDR96" s="39"/>
      <c r="CDS96" s="39"/>
      <c r="CDT96" s="39"/>
      <c r="CDU96" s="39"/>
      <c r="CDV96" s="39"/>
      <c r="CDW96" s="39"/>
      <c r="CDX96" s="39"/>
      <c r="CDY96" s="39"/>
      <c r="CDZ96" s="39"/>
      <c r="CEA96" s="39"/>
      <c r="CEB96" s="39"/>
      <c r="CEC96" s="39"/>
      <c r="CED96" s="39"/>
      <c r="CEE96" s="39"/>
      <c r="CEF96" s="39"/>
      <c r="CEG96" s="39"/>
      <c r="CEH96" s="39"/>
      <c r="CEI96" s="39"/>
      <c r="CEJ96" s="39"/>
      <c r="CEK96" s="39"/>
      <c r="CEL96" s="39"/>
      <c r="CEM96" s="39"/>
      <c r="CEN96" s="39"/>
      <c r="CEO96" s="39"/>
      <c r="CEP96" s="39"/>
      <c r="CEQ96" s="39"/>
      <c r="CER96" s="39"/>
      <c r="CES96" s="39"/>
      <c r="CET96" s="39"/>
      <c r="CEU96" s="39"/>
      <c r="CEV96" s="39"/>
      <c r="CEW96" s="39"/>
      <c r="CEX96" s="39"/>
      <c r="CEY96" s="39"/>
      <c r="CEZ96" s="39"/>
      <c r="CFA96" s="39"/>
      <c r="CFB96" s="39"/>
      <c r="CFC96" s="39"/>
      <c r="CFD96" s="39"/>
      <c r="CFE96" s="39"/>
      <c r="CFF96" s="39"/>
      <c r="CFG96" s="39"/>
      <c r="CFH96" s="39"/>
      <c r="CFI96" s="39"/>
      <c r="CFJ96" s="39"/>
      <c r="CFK96" s="39"/>
      <c r="CFL96" s="39"/>
      <c r="CFM96" s="39"/>
      <c r="CFN96" s="39"/>
      <c r="CFO96" s="39"/>
      <c r="CFP96" s="39"/>
      <c r="CFQ96" s="39"/>
      <c r="CFR96" s="39"/>
      <c r="CFS96" s="39"/>
      <c r="CFT96" s="39"/>
      <c r="CFU96" s="39"/>
      <c r="CFV96" s="39"/>
      <c r="CFW96" s="39"/>
      <c r="CFX96" s="39"/>
      <c r="CFY96" s="39"/>
      <c r="CFZ96" s="39"/>
      <c r="CGA96" s="39"/>
      <c r="CGB96" s="39"/>
      <c r="CGC96" s="39"/>
      <c r="CGD96" s="39"/>
      <c r="CGE96" s="39"/>
      <c r="CGF96" s="39"/>
      <c r="CGG96" s="39"/>
      <c r="CGH96" s="39"/>
      <c r="CGI96" s="39"/>
      <c r="CGJ96" s="39"/>
      <c r="CGK96" s="39"/>
      <c r="CGL96" s="39"/>
      <c r="CGM96" s="39"/>
      <c r="CGN96" s="39"/>
      <c r="CGO96" s="39"/>
      <c r="CGP96" s="39"/>
      <c r="CGQ96" s="39"/>
      <c r="CGR96" s="39"/>
      <c r="CGS96" s="39"/>
      <c r="CGT96" s="39"/>
      <c r="CGU96" s="39"/>
      <c r="CGV96" s="39"/>
      <c r="CGW96" s="39"/>
      <c r="CGX96" s="39"/>
      <c r="CGY96" s="39"/>
      <c r="CGZ96" s="39"/>
      <c r="CHA96" s="39"/>
      <c r="CHB96" s="39"/>
      <c r="CHC96" s="39"/>
      <c r="CHD96" s="39"/>
      <c r="CHE96" s="39"/>
      <c r="CHF96" s="39"/>
      <c r="CHG96" s="39"/>
      <c r="CHH96" s="39"/>
      <c r="CHI96" s="39"/>
      <c r="CHJ96" s="39"/>
      <c r="CHK96" s="39"/>
      <c r="CHL96" s="39"/>
      <c r="CHM96" s="39"/>
      <c r="CHN96" s="39"/>
      <c r="CHO96" s="39"/>
      <c r="CHP96" s="39"/>
      <c r="CHQ96" s="39"/>
      <c r="CHR96" s="39"/>
      <c r="CHS96" s="39"/>
      <c r="CHT96" s="39"/>
      <c r="CHU96" s="39"/>
      <c r="CHV96" s="39"/>
      <c r="CHW96" s="39"/>
      <c r="CHX96" s="39"/>
      <c r="CHY96" s="39"/>
      <c r="CHZ96" s="39"/>
      <c r="CIA96" s="39"/>
      <c r="CIB96" s="39"/>
      <c r="CIC96" s="39"/>
      <c r="CID96" s="39"/>
      <c r="CIE96" s="39"/>
      <c r="CIF96" s="39"/>
      <c r="CIG96" s="39"/>
      <c r="CIH96" s="39"/>
      <c r="CII96" s="39"/>
      <c r="CIJ96" s="39"/>
      <c r="CIK96" s="39"/>
      <c r="CIL96" s="39"/>
      <c r="CIM96" s="39"/>
      <c r="CIN96" s="39"/>
      <c r="CIO96" s="39"/>
      <c r="CIP96" s="39"/>
      <c r="CIQ96" s="39"/>
      <c r="CIR96" s="39"/>
      <c r="CIS96" s="39"/>
      <c r="CIT96" s="39"/>
      <c r="CIU96" s="39"/>
      <c r="CIV96" s="39"/>
      <c r="CIW96" s="39"/>
      <c r="CIX96" s="39"/>
      <c r="CIY96" s="39"/>
      <c r="CIZ96" s="39"/>
      <c r="CJA96" s="39"/>
      <c r="CJB96" s="39"/>
      <c r="CJC96" s="39"/>
      <c r="CJD96" s="39"/>
      <c r="CJE96" s="39"/>
      <c r="CJF96" s="39"/>
      <c r="CJG96" s="39"/>
      <c r="CJH96" s="39"/>
      <c r="CJI96" s="39"/>
      <c r="CJJ96" s="39"/>
      <c r="CJK96" s="39"/>
      <c r="CJL96" s="39"/>
      <c r="CJM96" s="39"/>
      <c r="CJN96" s="39"/>
      <c r="CJO96" s="39"/>
      <c r="CJP96" s="39"/>
      <c r="CJQ96" s="39"/>
      <c r="CJR96" s="39"/>
      <c r="CJS96" s="39"/>
      <c r="CJT96" s="39"/>
      <c r="CJU96" s="39"/>
      <c r="CJV96" s="39"/>
      <c r="CJW96" s="39"/>
      <c r="CJX96" s="39"/>
      <c r="CJY96" s="39"/>
      <c r="CJZ96" s="39"/>
      <c r="CKA96" s="39"/>
      <c r="CKB96" s="39"/>
      <c r="CKC96" s="39"/>
      <c r="CKD96" s="39"/>
      <c r="CKE96" s="39"/>
      <c r="CKF96" s="39"/>
      <c r="CKG96" s="39"/>
      <c r="CKH96" s="39"/>
      <c r="CKI96" s="39"/>
      <c r="CKJ96" s="39"/>
      <c r="CKK96" s="39"/>
      <c r="CKL96" s="39"/>
      <c r="CKM96" s="39"/>
      <c r="CKN96" s="39"/>
      <c r="CKO96" s="39"/>
      <c r="CKP96" s="39"/>
      <c r="CKQ96" s="39"/>
      <c r="CKR96" s="39"/>
      <c r="CKS96" s="39"/>
      <c r="CKT96" s="39"/>
      <c r="CKU96" s="39"/>
      <c r="CKV96" s="39"/>
      <c r="CKW96" s="39"/>
      <c r="CKX96" s="39"/>
      <c r="CKY96" s="39"/>
      <c r="CKZ96" s="39"/>
      <c r="CLA96" s="39"/>
      <c r="CLB96" s="39"/>
      <c r="CLC96" s="39"/>
      <c r="CLD96" s="39"/>
      <c r="CLE96" s="39"/>
      <c r="CLF96" s="39"/>
      <c r="CLG96" s="39"/>
      <c r="CLH96" s="39"/>
      <c r="CLI96" s="39"/>
      <c r="CLJ96" s="39"/>
      <c r="CLK96" s="39"/>
      <c r="CLL96" s="39"/>
      <c r="CLM96" s="39"/>
      <c r="CLN96" s="39"/>
      <c r="CLO96" s="39"/>
      <c r="CLP96" s="39"/>
      <c r="CLQ96" s="39"/>
      <c r="CLR96" s="39"/>
      <c r="CLS96" s="39"/>
      <c r="CLT96" s="39"/>
      <c r="CLU96" s="39"/>
      <c r="CLV96" s="39"/>
      <c r="CLW96" s="39"/>
      <c r="CLX96" s="39"/>
      <c r="CLY96" s="39"/>
      <c r="CLZ96" s="39"/>
      <c r="CMA96" s="39"/>
      <c r="CMB96" s="39"/>
      <c r="CMC96" s="39"/>
      <c r="CMD96" s="39"/>
      <c r="CME96" s="39"/>
      <c r="CMF96" s="39"/>
      <c r="CMG96" s="39"/>
      <c r="CMH96" s="39"/>
      <c r="CMI96" s="39"/>
      <c r="CMJ96" s="39"/>
      <c r="CMK96" s="39"/>
      <c r="CML96" s="39"/>
      <c r="CMM96" s="39"/>
      <c r="CMN96" s="39"/>
      <c r="CMO96" s="39"/>
      <c r="CMP96" s="39"/>
      <c r="CMQ96" s="39"/>
      <c r="CMR96" s="39"/>
      <c r="CMS96" s="39"/>
      <c r="CMT96" s="39"/>
      <c r="CMU96" s="39"/>
      <c r="CMV96" s="39"/>
      <c r="CMW96" s="39"/>
      <c r="CMX96" s="39"/>
      <c r="CMY96" s="39"/>
      <c r="CMZ96" s="39"/>
      <c r="CNA96" s="39"/>
      <c r="CNB96" s="39"/>
      <c r="CNC96" s="39"/>
      <c r="CND96" s="39"/>
      <c r="CNE96" s="39"/>
      <c r="CNF96" s="39"/>
      <c r="CNG96" s="39"/>
      <c r="CNH96" s="39"/>
      <c r="CNI96" s="39"/>
      <c r="CNJ96" s="39"/>
      <c r="CNK96" s="39"/>
      <c r="CNL96" s="39"/>
      <c r="CNM96" s="39"/>
      <c r="CNN96" s="39"/>
      <c r="CNO96" s="39"/>
      <c r="CNP96" s="39"/>
      <c r="CNQ96" s="39"/>
      <c r="CNR96" s="39"/>
      <c r="CNS96" s="39"/>
      <c r="CNT96" s="39"/>
      <c r="CNU96" s="39"/>
      <c r="CNV96" s="39"/>
      <c r="CNW96" s="39"/>
      <c r="CNX96" s="39"/>
      <c r="CNY96" s="39"/>
      <c r="CNZ96" s="39"/>
      <c r="COA96" s="39"/>
      <c r="COB96" s="39"/>
      <c r="COC96" s="39"/>
      <c r="COD96" s="39"/>
      <c r="COE96" s="39"/>
      <c r="COF96" s="39"/>
      <c r="COG96" s="39"/>
      <c r="COH96" s="39"/>
      <c r="COI96" s="39"/>
      <c r="COJ96" s="39"/>
      <c r="COK96" s="39"/>
      <c r="COL96" s="39"/>
      <c r="COM96" s="39"/>
      <c r="CON96" s="39"/>
      <c r="COO96" s="39"/>
      <c r="COP96" s="39"/>
      <c r="COQ96" s="39"/>
      <c r="COR96" s="39"/>
      <c r="COS96" s="39"/>
      <c r="COT96" s="39"/>
      <c r="COU96" s="39"/>
      <c r="COV96" s="39"/>
      <c r="COW96" s="39"/>
      <c r="COX96" s="39"/>
      <c r="COY96" s="39"/>
      <c r="COZ96" s="39"/>
      <c r="CPA96" s="39"/>
      <c r="CPB96" s="39"/>
      <c r="CPC96" s="39"/>
      <c r="CPD96" s="39"/>
      <c r="CPE96" s="39"/>
      <c r="CPF96" s="39"/>
      <c r="CPG96" s="39"/>
      <c r="CPH96" s="39"/>
      <c r="CPI96" s="39"/>
      <c r="CPJ96" s="39"/>
      <c r="CPK96" s="39"/>
      <c r="CPL96" s="39"/>
      <c r="CPM96" s="39"/>
      <c r="CPN96" s="39"/>
      <c r="CPO96" s="39"/>
      <c r="CPP96" s="39"/>
      <c r="CPQ96" s="39"/>
      <c r="CPR96" s="39"/>
      <c r="CPS96" s="39"/>
      <c r="CPT96" s="39"/>
      <c r="CPU96" s="39"/>
      <c r="CPV96" s="39"/>
      <c r="CPW96" s="39"/>
      <c r="CPX96" s="39"/>
      <c r="CPY96" s="39"/>
      <c r="CPZ96" s="39"/>
      <c r="CQA96" s="39"/>
      <c r="CQB96" s="39"/>
      <c r="CQC96" s="39"/>
      <c r="CQD96" s="39"/>
      <c r="CQE96" s="39"/>
      <c r="CQF96" s="39"/>
      <c r="CQG96" s="39"/>
      <c r="CQH96" s="39"/>
      <c r="CQI96" s="39"/>
      <c r="CQJ96" s="39"/>
      <c r="CQK96" s="39"/>
      <c r="CQL96" s="39"/>
      <c r="CQM96" s="39"/>
      <c r="CQN96" s="39"/>
      <c r="CQO96" s="39"/>
      <c r="CQP96" s="39"/>
      <c r="CQQ96" s="39"/>
      <c r="CQR96" s="39"/>
      <c r="CQS96" s="39"/>
      <c r="CQT96" s="39"/>
      <c r="CQU96" s="39"/>
      <c r="CQV96" s="39"/>
      <c r="CQW96" s="39"/>
      <c r="CQX96" s="39"/>
      <c r="CQY96" s="39"/>
      <c r="CQZ96" s="39"/>
      <c r="CRA96" s="39"/>
      <c r="CRB96" s="39"/>
      <c r="CRC96" s="39"/>
      <c r="CRD96" s="39"/>
      <c r="CRE96" s="39"/>
      <c r="CRF96" s="39"/>
      <c r="CRG96" s="39"/>
      <c r="CRH96" s="39"/>
      <c r="CRI96" s="39"/>
      <c r="CRJ96" s="39"/>
      <c r="CRK96" s="39"/>
      <c r="CRL96" s="39"/>
      <c r="CRM96" s="39"/>
      <c r="CRN96" s="39"/>
      <c r="CRO96" s="39"/>
      <c r="CRP96" s="39"/>
      <c r="CRQ96" s="39"/>
      <c r="CRR96" s="39"/>
      <c r="CRS96" s="39"/>
      <c r="CRT96" s="39"/>
      <c r="CRU96" s="39"/>
      <c r="CRV96" s="39"/>
      <c r="CRW96" s="39"/>
      <c r="CRX96" s="39"/>
      <c r="CRY96" s="39"/>
      <c r="CRZ96" s="39"/>
      <c r="CSA96" s="39"/>
      <c r="CSB96" s="39"/>
      <c r="CSC96" s="39"/>
      <c r="CSD96" s="39"/>
      <c r="CSE96" s="39"/>
      <c r="CSF96" s="39"/>
      <c r="CSG96" s="39"/>
      <c r="CSH96" s="39"/>
      <c r="CSI96" s="39"/>
      <c r="CSJ96" s="39"/>
      <c r="CSK96" s="39"/>
      <c r="CSL96" s="39"/>
      <c r="CSM96" s="39"/>
      <c r="CSN96" s="39"/>
      <c r="CSO96" s="39"/>
      <c r="CSP96" s="39"/>
      <c r="CSQ96" s="39"/>
      <c r="CSR96" s="39"/>
      <c r="CSS96" s="39"/>
      <c r="CST96" s="39"/>
      <c r="CSU96" s="39"/>
      <c r="CSV96" s="39"/>
      <c r="CSW96" s="39"/>
      <c r="CSX96" s="39"/>
      <c r="CSY96" s="39"/>
      <c r="CSZ96" s="39"/>
      <c r="CTA96" s="39"/>
      <c r="CTB96" s="39"/>
      <c r="CTC96" s="39"/>
      <c r="CTD96" s="39"/>
      <c r="CTE96" s="39"/>
      <c r="CTF96" s="39"/>
      <c r="CTG96" s="39"/>
      <c r="CTH96" s="39"/>
      <c r="CTI96" s="39"/>
      <c r="CTJ96" s="39"/>
      <c r="CTK96" s="39"/>
      <c r="CTL96" s="39"/>
      <c r="CTM96" s="39"/>
      <c r="CTN96" s="39"/>
      <c r="CTO96" s="39"/>
      <c r="CTP96" s="39"/>
      <c r="CTQ96" s="39"/>
      <c r="CTR96" s="39"/>
      <c r="CTS96" s="39"/>
      <c r="CTT96" s="39"/>
      <c r="CTU96" s="39"/>
      <c r="CTV96" s="39"/>
      <c r="CTW96" s="39"/>
      <c r="CTX96" s="39"/>
      <c r="CTY96" s="39"/>
      <c r="CTZ96" s="39"/>
      <c r="CUA96" s="39"/>
      <c r="CUB96" s="39"/>
      <c r="CUC96" s="39"/>
      <c r="CUD96" s="39"/>
      <c r="CUE96" s="39"/>
      <c r="CUF96" s="39"/>
      <c r="CUG96" s="39"/>
      <c r="CUH96" s="39"/>
      <c r="CUI96" s="39"/>
      <c r="CUJ96" s="39"/>
      <c r="CUK96" s="39"/>
      <c r="CUL96" s="39"/>
      <c r="CUM96" s="39"/>
      <c r="CUN96" s="39"/>
      <c r="CUO96" s="39"/>
      <c r="CUP96" s="39"/>
      <c r="CUQ96" s="39"/>
      <c r="CUR96" s="39"/>
      <c r="CUS96" s="39"/>
      <c r="CUT96" s="39"/>
      <c r="CUU96" s="39"/>
      <c r="CUV96" s="39"/>
      <c r="CUW96" s="39"/>
      <c r="CUX96" s="39"/>
      <c r="CUY96" s="39"/>
      <c r="CUZ96" s="39"/>
      <c r="CVA96" s="39"/>
      <c r="CVB96" s="39"/>
      <c r="CVC96" s="39"/>
      <c r="CVD96" s="39"/>
      <c r="CVE96" s="39"/>
      <c r="CVF96" s="39"/>
      <c r="CVG96" s="39"/>
      <c r="CVH96" s="39"/>
      <c r="CVI96" s="39"/>
      <c r="CVJ96" s="39"/>
      <c r="CVK96" s="39"/>
      <c r="CVL96" s="39"/>
      <c r="CVM96" s="39"/>
      <c r="CVN96" s="39"/>
      <c r="CVO96" s="39"/>
      <c r="CVP96" s="39"/>
      <c r="CVQ96" s="39"/>
      <c r="CVR96" s="39"/>
      <c r="CVS96" s="39"/>
      <c r="CVT96" s="39"/>
      <c r="CVU96" s="39"/>
      <c r="CVV96" s="39"/>
      <c r="CVW96" s="39"/>
      <c r="CVX96" s="39"/>
      <c r="CVY96" s="39"/>
      <c r="CVZ96" s="39"/>
      <c r="CWA96" s="39"/>
      <c r="CWB96" s="39"/>
      <c r="CWC96" s="39"/>
      <c r="CWD96" s="39"/>
      <c r="CWE96" s="39"/>
      <c r="CWF96" s="39"/>
      <c r="CWG96" s="39"/>
      <c r="CWH96" s="39"/>
      <c r="CWI96" s="39"/>
      <c r="CWJ96" s="39"/>
      <c r="CWK96" s="39"/>
      <c r="CWL96" s="39"/>
      <c r="CWM96" s="39"/>
      <c r="CWN96" s="39"/>
      <c r="CWO96" s="39"/>
      <c r="CWP96" s="39"/>
      <c r="CWQ96" s="39"/>
      <c r="CWR96" s="39"/>
      <c r="CWS96" s="39"/>
      <c r="CWT96" s="39"/>
      <c r="CWU96" s="39"/>
      <c r="CWV96" s="39"/>
      <c r="CWW96" s="39"/>
      <c r="CWX96" s="39"/>
      <c r="CWY96" s="39"/>
      <c r="CWZ96" s="39"/>
      <c r="CXA96" s="39"/>
      <c r="CXB96" s="39"/>
      <c r="CXC96" s="39"/>
      <c r="CXD96" s="39"/>
      <c r="CXE96" s="39"/>
      <c r="CXF96" s="39"/>
      <c r="CXG96" s="39"/>
      <c r="CXH96" s="39"/>
      <c r="CXI96" s="39"/>
      <c r="CXJ96" s="39"/>
      <c r="CXK96" s="39"/>
      <c r="CXL96" s="39"/>
      <c r="CXM96" s="39"/>
      <c r="CXN96" s="39"/>
      <c r="CXO96" s="39"/>
      <c r="CXP96" s="39"/>
      <c r="CXQ96" s="39"/>
      <c r="CXR96" s="39"/>
      <c r="CXS96" s="39"/>
      <c r="CXT96" s="39"/>
      <c r="CXU96" s="39"/>
      <c r="CXV96" s="39"/>
      <c r="CXW96" s="39"/>
      <c r="CXX96" s="39"/>
      <c r="CXY96" s="39"/>
      <c r="CXZ96" s="39"/>
      <c r="CYA96" s="39"/>
      <c r="CYB96" s="39"/>
      <c r="CYC96" s="39"/>
      <c r="CYD96" s="39"/>
      <c r="CYE96" s="39"/>
      <c r="CYF96" s="39"/>
      <c r="CYG96" s="39"/>
      <c r="CYH96" s="39"/>
      <c r="CYI96" s="39"/>
      <c r="CYJ96" s="39"/>
      <c r="CYK96" s="39"/>
      <c r="CYL96" s="39"/>
      <c r="CYM96" s="39"/>
      <c r="CYN96" s="39"/>
      <c r="CYO96" s="39"/>
      <c r="CYP96" s="39"/>
      <c r="CYQ96" s="39"/>
      <c r="CYR96" s="39"/>
      <c r="CYS96" s="39"/>
      <c r="CYT96" s="39"/>
      <c r="CYU96" s="39"/>
      <c r="CYV96" s="39"/>
      <c r="CYW96" s="39"/>
      <c r="CYX96" s="39"/>
      <c r="CYY96" s="39"/>
      <c r="CYZ96" s="39"/>
      <c r="CZA96" s="39"/>
      <c r="CZB96" s="39"/>
      <c r="CZC96" s="39"/>
      <c r="CZD96" s="39"/>
      <c r="CZE96" s="39"/>
      <c r="CZF96" s="39"/>
      <c r="CZG96" s="39"/>
      <c r="CZH96" s="39"/>
      <c r="CZI96" s="39"/>
      <c r="CZJ96" s="39"/>
      <c r="CZK96" s="39"/>
      <c r="CZL96" s="39"/>
      <c r="CZM96" s="39"/>
      <c r="CZN96" s="39"/>
      <c r="CZO96" s="39"/>
      <c r="CZP96" s="39"/>
      <c r="CZQ96" s="39"/>
      <c r="CZR96" s="39"/>
      <c r="CZS96" s="39"/>
      <c r="CZT96" s="39"/>
      <c r="CZU96" s="39"/>
      <c r="CZV96" s="39"/>
      <c r="CZW96" s="39"/>
      <c r="CZX96" s="39"/>
      <c r="CZY96" s="39"/>
      <c r="CZZ96" s="39"/>
      <c r="DAA96" s="39"/>
      <c r="DAB96" s="39"/>
      <c r="DAC96" s="39"/>
      <c r="DAD96" s="39"/>
      <c r="DAE96" s="39"/>
      <c r="DAF96" s="39"/>
      <c r="DAG96" s="39"/>
      <c r="DAH96" s="39"/>
      <c r="DAI96" s="39"/>
      <c r="DAJ96" s="39"/>
      <c r="DAK96" s="39"/>
      <c r="DAL96" s="39"/>
      <c r="DAM96" s="39"/>
      <c r="DAN96" s="39"/>
      <c r="DAO96" s="39"/>
      <c r="DAP96" s="39"/>
      <c r="DAQ96" s="39"/>
      <c r="DAR96" s="39"/>
      <c r="DAS96" s="39"/>
      <c r="DAT96" s="39"/>
      <c r="DAU96" s="39"/>
      <c r="DAV96" s="39"/>
      <c r="DAW96" s="39"/>
      <c r="DAX96" s="39"/>
      <c r="DAY96" s="39"/>
      <c r="DAZ96" s="39"/>
      <c r="DBA96" s="39"/>
      <c r="DBB96" s="39"/>
      <c r="DBC96" s="39"/>
      <c r="DBD96" s="39"/>
      <c r="DBE96" s="39"/>
      <c r="DBF96" s="39"/>
      <c r="DBG96" s="39"/>
      <c r="DBH96" s="39"/>
      <c r="DBI96" s="39"/>
      <c r="DBJ96" s="39"/>
      <c r="DBK96" s="39"/>
      <c r="DBL96" s="39"/>
      <c r="DBM96" s="39"/>
      <c r="DBN96" s="39"/>
      <c r="DBO96" s="39"/>
      <c r="DBP96" s="39"/>
      <c r="DBQ96" s="39"/>
      <c r="DBR96" s="39"/>
      <c r="DBS96" s="39"/>
      <c r="DBT96" s="39"/>
      <c r="DBU96" s="39"/>
      <c r="DBV96" s="39"/>
      <c r="DBW96" s="39"/>
      <c r="DBX96" s="39"/>
      <c r="DBY96" s="39"/>
      <c r="DBZ96" s="39"/>
      <c r="DCA96" s="39"/>
      <c r="DCB96" s="39"/>
      <c r="DCC96" s="39"/>
      <c r="DCD96" s="39"/>
      <c r="DCE96" s="39"/>
      <c r="DCF96" s="39"/>
      <c r="DCG96" s="39"/>
      <c r="DCH96" s="39"/>
      <c r="DCI96" s="39"/>
      <c r="DCJ96" s="39"/>
      <c r="DCK96" s="39"/>
      <c r="DCL96" s="39"/>
      <c r="DCM96" s="39"/>
      <c r="DCN96" s="39"/>
      <c r="DCO96" s="39"/>
      <c r="DCP96" s="39"/>
      <c r="DCQ96" s="39"/>
      <c r="DCR96" s="39"/>
      <c r="DCS96" s="39"/>
      <c r="DCT96" s="39"/>
      <c r="DCU96" s="39"/>
      <c r="DCV96" s="39"/>
      <c r="DCW96" s="39"/>
      <c r="DCX96" s="39"/>
      <c r="DCY96" s="39"/>
      <c r="DCZ96" s="39"/>
      <c r="DDA96" s="39"/>
      <c r="DDB96" s="39"/>
      <c r="DDC96" s="39"/>
      <c r="DDD96" s="39"/>
      <c r="DDE96" s="39"/>
      <c r="DDF96" s="39"/>
      <c r="DDG96" s="39"/>
      <c r="DDH96" s="39"/>
      <c r="DDI96" s="39"/>
      <c r="DDJ96" s="39"/>
      <c r="DDK96" s="39"/>
      <c r="DDL96" s="39"/>
      <c r="DDM96" s="39"/>
      <c r="DDN96" s="39"/>
      <c r="DDO96" s="39"/>
      <c r="DDP96" s="39"/>
      <c r="DDQ96" s="39"/>
      <c r="DDR96" s="39"/>
      <c r="DDS96" s="39"/>
      <c r="DDT96" s="39"/>
      <c r="DDU96" s="39"/>
      <c r="DDV96" s="39"/>
      <c r="DDW96" s="39"/>
      <c r="DDX96" s="39"/>
      <c r="DDY96" s="39"/>
      <c r="DDZ96" s="39"/>
      <c r="DEA96" s="39"/>
      <c r="DEB96" s="39"/>
      <c r="DEC96" s="39"/>
      <c r="DED96" s="39"/>
      <c r="DEE96" s="39"/>
      <c r="DEF96" s="39"/>
      <c r="DEG96" s="39"/>
      <c r="DEH96" s="39"/>
      <c r="DEI96" s="39"/>
      <c r="DEJ96" s="39"/>
      <c r="DEK96" s="39"/>
      <c r="DEL96" s="39"/>
      <c r="DEM96" s="39"/>
      <c r="DEN96" s="39"/>
      <c r="DEO96" s="39"/>
      <c r="DEP96" s="39"/>
      <c r="DEQ96" s="39"/>
      <c r="DER96" s="39"/>
      <c r="DES96" s="39"/>
      <c r="DET96" s="39"/>
      <c r="DEU96" s="39"/>
      <c r="DEV96" s="39"/>
      <c r="DEW96" s="39"/>
      <c r="DEX96" s="39"/>
      <c r="DEY96" s="39"/>
      <c r="DEZ96" s="39"/>
      <c r="DFA96" s="39"/>
      <c r="DFB96" s="39"/>
      <c r="DFC96" s="39"/>
      <c r="DFD96" s="39"/>
      <c r="DFE96" s="39"/>
      <c r="DFF96" s="39"/>
      <c r="DFG96" s="39"/>
      <c r="DFH96" s="39"/>
      <c r="DFI96" s="39"/>
      <c r="DFJ96" s="39"/>
      <c r="DFK96" s="39"/>
      <c r="DFL96" s="39"/>
      <c r="DFM96" s="39"/>
      <c r="DFN96" s="39"/>
      <c r="DFO96" s="39"/>
      <c r="DFP96" s="39"/>
      <c r="DFQ96" s="39"/>
      <c r="DFR96" s="39"/>
      <c r="DFS96" s="39"/>
      <c r="DFT96" s="39"/>
      <c r="DFU96" s="39"/>
      <c r="DFV96" s="39"/>
      <c r="DFW96" s="39"/>
      <c r="DFX96" s="39"/>
      <c r="DFY96" s="39"/>
      <c r="DFZ96" s="39"/>
      <c r="DGA96" s="39"/>
      <c r="DGB96" s="39"/>
      <c r="DGC96" s="39"/>
      <c r="DGD96" s="39"/>
      <c r="DGE96" s="39"/>
      <c r="DGF96" s="39"/>
      <c r="DGG96" s="39"/>
      <c r="DGH96" s="39"/>
      <c r="DGI96" s="39"/>
      <c r="DGJ96" s="39"/>
      <c r="DGK96" s="39"/>
      <c r="DGL96" s="39"/>
      <c r="DGM96" s="39"/>
      <c r="DGN96" s="39"/>
      <c r="DGO96" s="39"/>
      <c r="DGP96" s="39"/>
      <c r="DGQ96" s="39"/>
      <c r="DGR96" s="39"/>
      <c r="DGS96" s="39"/>
      <c r="DGT96" s="39"/>
      <c r="DGU96" s="39"/>
      <c r="DGV96" s="39"/>
      <c r="DGW96" s="39"/>
      <c r="DGX96" s="39"/>
      <c r="DGY96" s="39"/>
      <c r="DGZ96" s="39"/>
      <c r="DHA96" s="39"/>
      <c r="DHB96" s="39"/>
      <c r="DHC96" s="39"/>
      <c r="DHD96" s="39"/>
      <c r="DHE96" s="39"/>
      <c r="DHF96" s="39"/>
      <c r="DHG96" s="39"/>
      <c r="DHH96" s="39"/>
      <c r="DHI96" s="39"/>
      <c r="DHJ96" s="39"/>
      <c r="DHK96" s="39"/>
      <c r="DHL96" s="39"/>
      <c r="DHM96" s="39"/>
      <c r="DHN96" s="39"/>
      <c r="DHO96" s="39"/>
      <c r="DHP96" s="39"/>
      <c r="DHQ96" s="39"/>
      <c r="DHR96" s="39"/>
      <c r="DHS96" s="39"/>
      <c r="DHT96" s="39"/>
      <c r="DHU96" s="39"/>
      <c r="DHV96" s="39"/>
      <c r="DHW96" s="39"/>
      <c r="DHX96" s="39"/>
      <c r="DHY96" s="39"/>
      <c r="DHZ96" s="39"/>
      <c r="DIA96" s="39"/>
      <c r="DIB96" s="39"/>
      <c r="DIC96" s="39"/>
      <c r="DID96" s="39"/>
      <c r="DIE96" s="39"/>
      <c r="DIF96" s="39"/>
      <c r="DIG96" s="39"/>
      <c r="DIH96" s="39"/>
      <c r="DII96" s="39"/>
      <c r="DIJ96" s="39"/>
      <c r="DIK96" s="39"/>
      <c r="DIL96" s="39"/>
      <c r="DIM96" s="39"/>
      <c r="DIN96" s="39"/>
      <c r="DIO96" s="39"/>
      <c r="DIP96" s="39"/>
      <c r="DIQ96" s="39"/>
      <c r="DIR96" s="39"/>
      <c r="DIS96" s="39"/>
      <c r="DIT96" s="39"/>
      <c r="DIU96" s="39"/>
      <c r="DIV96" s="39"/>
      <c r="DIW96" s="39"/>
      <c r="DIX96" s="39"/>
      <c r="DIY96" s="39"/>
      <c r="DIZ96" s="39"/>
      <c r="DJA96" s="39"/>
      <c r="DJB96" s="39"/>
      <c r="DJC96" s="39"/>
      <c r="DJD96" s="39"/>
      <c r="DJE96" s="39"/>
      <c r="DJF96" s="39"/>
      <c r="DJG96" s="39"/>
      <c r="DJH96" s="39"/>
      <c r="DJI96" s="39"/>
      <c r="DJJ96" s="39"/>
      <c r="DJK96" s="39"/>
      <c r="DJL96" s="39"/>
      <c r="DJM96" s="39"/>
      <c r="DJN96" s="39"/>
      <c r="DJO96" s="39"/>
      <c r="DJP96" s="39"/>
      <c r="DJQ96" s="39"/>
      <c r="DJR96" s="39"/>
      <c r="DJS96" s="39"/>
      <c r="DJT96" s="39"/>
      <c r="DJU96" s="39"/>
      <c r="DJV96" s="39"/>
      <c r="DJW96" s="39"/>
      <c r="DJX96" s="39"/>
      <c r="DJY96" s="39"/>
      <c r="DJZ96" s="39"/>
      <c r="DKA96" s="39"/>
      <c r="DKB96" s="39"/>
      <c r="DKC96" s="39"/>
      <c r="DKD96" s="39"/>
      <c r="DKE96" s="39"/>
      <c r="DKF96" s="39"/>
      <c r="DKG96" s="39"/>
      <c r="DKH96" s="39"/>
      <c r="DKI96" s="39"/>
      <c r="DKJ96" s="39"/>
      <c r="DKK96" s="39"/>
      <c r="DKL96" s="39"/>
      <c r="DKM96" s="39"/>
      <c r="DKN96" s="39"/>
      <c r="DKO96" s="39"/>
      <c r="DKP96" s="39"/>
      <c r="DKQ96" s="39"/>
      <c r="DKR96" s="39"/>
      <c r="DKS96" s="39"/>
      <c r="DKT96" s="39"/>
      <c r="DKU96" s="39"/>
      <c r="DKV96" s="39"/>
      <c r="DKW96" s="39"/>
      <c r="DKX96" s="39"/>
      <c r="DKY96" s="39"/>
      <c r="DKZ96" s="39"/>
      <c r="DLA96" s="39"/>
      <c r="DLB96" s="39"/>
      <c r="DLC96" s="39"/>
      <c r="DLD96" s="39"/>
      <c r="DLE96" s="39"/>
      <c r="DLF96" s="39"/>
      <c r="DLG96" s="39"/>
      <c r="DLH96" s="39"/>
      <c r="DLI96" s="39"/>
      <c r="DLJ96" s="39"/>
      <c r="DLK96" s="39"/>
      <c r="DLL96" s="39"/>
      <c r="DLM96" s="39"/>
      <c r="DLN96" s="39"/>
      <c r="DLO96" s="39"/>
      <c r="DLP96" s="39"/>
      <c r="DLQ96" s="39"/>
      <c r="DLR96" s="39"/>
      <c r="DLS96" s="39"/>
      <c r="DLT96" s="39"/>
      <c r="DLU96" s="39"/>
      <c r="DLV96" s="39"/>
      <c r="DLW96" s="39"/>
      <c r="DLX96" s="39"/>
      <c r="DLY96" s="39"/>
      <c r="DLZ96" s="39"/>
      <c r="DMA96" s="39"/>
      <c r="DMB96" s="39"/>
      <c r="DMC96" s="39"/>
      <c r="DMD96" s="39"/>
      <c r="DME96" s="39"/>
      <c r="DMF96" s="39"/>
      <c r="DMG96" s="39"/>
      <c r="DMH96" s="39"/>
      <c r="DMI96" s="39"/>
      <c r="DMJ96" s="39"/>
      <c r="DMK96" s="39"/>
      <c r="DML96" s="39"/>
      <c r="DMM96" s="39"/>
      <c r="DMN96" s="39"/>
      <c r="DMO96" s="39"/>
      <c r="DMP96" s="39"/>
      <c r="DMQ96" s="39"/>
      <c r="DMR96" s="39"/>
      <c r="DMS96" s="39"/>
      <c r="DMT96" s="39"/>
      <c r="DMU96" s="39"/>
      <c r="DMV96" s="39"/>
      <c r="DMW96" s="39"/>
      <c r="DMX96" s="39"/>
      <c r="DMY96" s="39"/>
      <c r="DMZ96" s="39"/>
      <c r="DNA96" s="39"/>
      <c r="DNB96" s="39"/>
      <c r="DNC96" s="39"/>
      <c r="DND96" s="39"/>
      <c r="DNE96" s="39"/>
      <c r="DNF96" s="39"/>
      <c r="DNG96" s="39"/>
      <c r="DNH96" s="39"/>
      <c r="DNI96" s="39"/>
      <c r="DNJ96" s="39"/>
      <c r="DNK96" s="39"/>
      <c r="DNL96" s="39"/>
      <c r="DNM96" s="39"/>
      <c r="DNN96" s="39"/>
      <c r="DNO96" s="39"/>
      <c r="DNP96" s="39"/>
      <c r="DNQ96" s="39"/>
      <c r="DNR96" s="39"/>
      <c r="DNS96" s="39"/>
      <c r="DNT96" s="39"/>
      <c r="DNU96" s="39"/>
      <c r="DNV96" s="39"/>
      <c r="DNW96" s="39"/>
      <c r="DNX96" s="39"/>
      <c r="DNY96" s="39"/>
      <c r="DNZ96" s="39"/>
      <c r="DOA96" s="39"/>
      <c r="DOB96" s="39"/>
      <c r="DOC96" s="39"/>
      <c r="DOD96" s="39"/>
      <c r="DOE96" s="39"/>
      <c r="DOF96" s="39"/>
      <c r="DOG96" s="39"/>
      <c r="DOH96" s="39"/>
      <c r="DOI96" s="39"/>
      <c r="DOJ96" s="39"/>
      <c r="DOK96" s="39"/>
      <c r="DOL96" s="39"/>
      <c r="DOM96" s="39"/>
      <c r="DON96" s="39"/>
      <c r="DOO96" s="39"/>
      <c r="DOP96" s="39"/>
      <c r="DOQ96" s="39"/>
      <c r="DOR96" s="39"/>
      <c r="DOS96" s="39"/>
      <c r="DOT96" s="39"/>
      <c r="DOU96" s="39"/>
      <c r="DOV96" s="39"/>
      <c r="DOW96" s="39"/>
      <c r="DOX96" s="39"/>
      <c r="DOY96" s="39"/>
      <c r="DOZ96" s="39"/>
      <c r="DPA96" s="39"/>
      <c r="DPB96" s="39"/>
      <c r="DPC96" s="39"/>
      <c r="DPD96" s="39"/>
      <c r="DPE96" s="39"/>
      <c r="DPF96" s="39"/>
      <c r="DPG96" s="39"/>
      <c r="DPH96" s="39"/>
      <c r="DPI96" s="39"/>
      <c r="DPJ96" s="39"/>
      <c r="DPK96" s="39"/>
      <c r="DPL96" s="39"/>
      <c r="DPM96" s="39"/>
      <c r="DPN96" s="39"/>
      <c r="DPO96" s="39"/>
      <c r="DPP96" s="39"/>
      <c r="DPQ96" s="39"/>
      <c r="DPR96" s="39"/>
      <c r="DPS96" s="39"/>
      <c r="DPT96" s="39"/>
      <c r="DPU96" s="39"/>
      <c r="DPV96" s="39"/>
      <c r="DPW96" s="39"/>
      <c r="DPX96" s="39"/>
      <c r="DPY96" s="39"/>
      <c r="DPZ96" s="39"/>
      <c r="DQA96" s="39"/>
      <c r="DQB96" s="39"/>
      <c r="DQC96" s="39"/>
      <c r="DQD96" s="39"/>
      <c r="DQE96" s="39"/>
      <c r="DQF96" s="39"/>
      <c r="DQG96" s="39"/>
      <c r="DQH96" s="39"/>
      <c r="DQI96" s="39"/>
      <c r="DQJ96" s="39"/>
      <c r="DQK96" s="39"/>
      <c r="DQL96" s="39"/>
      <c r="DQM96" s="39"/>
      <c r="DQN96" s="39"/>
      <c r="DQO96" s="39"/>
      <c r="DQP96" s="39"/>
      <c r="DQQ96" s="39"/>
      <c r="DQR96" s="39"/>
      <c r="DQS96" s="39"/>
      <c r="DQT96" s="39"/>
      <c r="DQU96" s="39"/>
      <c r="DQV96" s="39"/>
      <c r="DQW96" s="39"/>
      <c r="DQX96" s="39"/>
      <c r="DQY96" s="39"/>
      <c r="DQZ96" s="39"/>
      <c r="DRA96" s="39"/>
      <c r="DRB96" s="39"/>
      <c r="DRC96" s="39"/>
      <c r="DRD96" s="39"/>
      <c r="DRE96" s="39"/>
      <c r="DRF96" s="39"/>
      <c r="DRG96" s="39"/>
      <c r="DRH96" s="39"/>
      <c r="DRI96" s="39"/>
      <c r="DRJ96" s="39"/>
      <c r="DRK96" s="39"/>
      <c r="DRL96" s="39"/>
      <c r="DRM96" s="39"/>
      <c r="DRN96" s="39"/>
      <c r="DRO96" s="39"/>
      <c r="DRP96" s="39"/>
      <c r="DRQ96" s="39"/>
      <c r="DRR96" s="39"/>
      <c r="DRS96" s="39"/>
      <c r="DRT96" s="39"/>
      <c r="DRU96" s="39"/>
      <c r="DRV96" s="39"/>
      <c r="DRW96" s="39"/>
      <c r="DRX96" s="39"/>
      <c r="DRY96" s="39"/>
      <c r="DRZ96" s="39"/>
      <c r="DSA96" s="39"/>
      <c r="DSB96" s="39"/>
      <c r="DSC96" s="39"/>
      <c r="DSD96" s="39"/>
      <c r="DSE96" s="39"/>
      <c r="DSF96" s="39"/>
      <c r="DSG96" s="39"/>
      <c r="DSH96" s="39"/>
      <c r="DSI96" s="39"/>
      <c r="DSJ96" s="39"/>
      <c r="DSK96" s="39"/>
      <c r="DSL96" s="39"/>
      <c r="DSM96" s="39"/>
      <c r="DSN96" s="39"/>
      <c r="DSO96" s="39"/>
      <c r="DSP96" s="39"/>
      <c r="DSQ96" s="39"/>
      <c r="DSR96" s="39"/>
      <c r="DSS96" s="39"/>
      <c r="DST96" s="39"/>
      <c r="DSU96" s="39"/>
      <c r="DSV96" s="39"/>
      <c r="DSW96" s="39"/>
      <c r="DSX96" s="39"/>
      <c r="DSY96" s="39"/>
      <c r="DSZ96" s="39"/>
      <c r="DTA96" s="39"/>
      <c r="DTB96" s="39"/>
      <c r="DTC96" s="39"/>
      <c r="DTD96" s="39"/>
      <c r="DTE96" s="39"/>
      <c r="DTF96" s="39"/>
      <c r="DTG96" s="39"/>
      <c r="DTH96" s="39"/>
      <c r="DTI96" s="39"/>
      <c r="DTJ96" s="39"/>
      <c r="DTK96" s="39"/>
      <c r="DTL96" s="39"/>
      <c r="DTM96" s="39"/>
      <c r="DTN96" s="39"/>
      <c r="DTO96" s="39"/>
      <c r="DTP96" s="39"/>
      <c r="DTQ96" s="39"/>
      <c r="DTR96" s="39"/>
      <c r="DTS96" s="39"/>
      <c r="DTT96" s="39"/>
      <c r="DTU96" s="39"/>
      <c r="DTV96" s="39"/>
      <c r="DTW96" s="39"/>
      <c r="DTX96" s="39"/>
      <c r="DTY96" s="39"/>
      <c r="DTZ96" s="39"/>
      <c r="DUA96" s="39"/>
      <c r="DUB96" s="39"/>
      <c r="DUC96" s="39"/>
      <c r="DUD96" s="39"/>
      <c r="DUE96" s="39"/>
      <c r="DUF96" s="39"/>
      <c r="DUG96" s="39"/>
      <c r="DUH96" s="39"/>
      <c r="DUI96" s="39"/>
      <c r="DUJ96" s="39"/>
      <c r="DUK96" s="39"/>
      <c r="DUL96" s="39"/>
      <c r="DUM96" s="39"/>
      <c r="DUN96" s="39"/>
      <c r="DUO96" s="39"/>
      <c r="DUP96" s="39"/>
      <c r="DUQ96" s="39"/>
      <c r="DUR96" s="39"/>
      <c r="DUS96" s="39"/>
      <c r="DUT96" s="39"/>
      <c r="DUU96" s="39"/>
      <c r="DUV96" s="39"/>
      <c r="DUW96" s="39"/>
      <c r="DUX96" s="39"/>
      <c r="DUY96" s="39"/>
      <c r="DUZ96" s="39"/>
      <c r="DVA96" s="39"/>
      <c r="DVB96" s="39"/>
      <c r="DVC96" s="39"/>
      <c r="DVD96" s="39"/>
      <c r="DVE96" s="39"/>
      <c r="DVF96" s="39"/>
      <c r="DVG96" s="39"/>
      <c r="DVH96" s="39"/>
      <c r="DVI96" s="39"/>
      <c r="DVJ96" s="39"/>
      <c r="DVK96" s="39"/>
      <c r="DVL96" s="39"/>
      <c r="DVM96" s="39"/>
      <c r="DVN96" s="39"/>
      <c r="DVO96" s="39"/>
      <c r="DVP96" s="39"/>
      <c r="DVQ96" s="39"/>
      <c r="DVR96" s="39"/>
      <c r="DVS96" s="39"/>
      <c r="DVT96" s="39"/>
      <c r="DVU96" s="39"/>
      <c r="DVV96" s="39"/>
      <c r="DVW96" s="39"/>
      <c r="DVX96" s="39"/>
      <c r="DVY96" s="39"/>
      <c r="DVZ96" s="39"/>
      <c r="DWA96" s="39"/>
      <c r="DWB96" s="39"/>
      <c r="DWC96" s="39"/>
      <c r="DWD96" s="39"/>
      <c r="DWE96" s="39"/>
      <c r="DWF96" s="39"/>
      <c r="DWG96" s="39"/>
      <c r="DWH96" s="39"/>
      <c r="DWI96" s="39"/>
      <c r="DWJ96" s="39"/>
      <c r="DWK96" s="39"/>
      <c r="DWL96" s="39"/>
      <c r="DWM96" s="39"/>
      <c r="DWN96" s="39"/>
      <c r="DWO96" s="39"/>
      <c r="DWP96" s="39"/>
      <c r="DWQ96" s="39"/>
      <c r="DWR96" s="39"/>
      <c r="DWS96" s="39"/>
      <c r="DWT96" s="39"/>
      <c r="DWU96" s="39"/>
      <c r="DWV96" s="39"/>
      <c r="DWW96" s="39"/>
      <c r="DWX96" s="39"/>
      <c r="DWY96" s="39"/>
      <c r="DWZ96" s="39"/>
      <c r="DXA96" s="39"/>
      <c r="DXB96" s="39"/>
      <c r="DXC96" s="39"/>
      <c r="DXD96" s="39"/>
      <c r="DXE96" s="39"/>
      <c r="DXF96" s="39"/>
      <c r="DXG96" s="39"/>
      <c r="DXH96" s="39"/>
      <c r="DXI96" s="39"/>
      <c r="DXJ96" s="39"/>
      <c r="DXK96" s="39"/>
      <c r="DXL96" s="39"/>
      <c r="DXM96" s="39"/>
      <c r="DXN96" s="39"/>
      <c r="DXO96" s="39"/>
      <c r="DXP96" s="39"/>
      <c r="DXQ96" s="39"/>
      <c r="DXR96" s="39"/>
      <c r="DXS96" s="39"/>
      <c r="DXT96" s="39"/>
      <c r="DXU96" s="39"/>
      <c r="DXV96" s="39"/>
      <c r="DXW96" s="39"/>
      <c r="DXX96" s="39"/>
      <c r="DXY96" s="39"/>
      <c r="DXZ96" s="39"/>
      <c r="DYA96" s="39"/>
      <c r="DYB96" s="39"/>
      <c r="DYC96" s="39"/>
      <c r="DYD96" s="39"/>
      <c r="DYE96" s="39"/>
      <c r="DYF96" s="39"/>
      <c r="DYG96" s="39"/>
      <c r="DYH96" s="39"/>
      <c r="DYI96" s="39"/>
      <c r="DYJ96" s="39"/>
      <c r="DYK96" s="39"/>
      <c r="DYL96" s="39"/>
      <c r="DYM96" s="39"/>
      <c r="DYN96" s="39"/>
      <c r="DYO96" s="39"/>
      <c r="DYP96" s="39"/>
      <c r="DYQ96" s="39"/>
      <c r="DYR96" s="39"/>
      <c r="DYS96" s="39"/>
      <c r="DYT96" s="39"/>
      <c r="DYU96" s="39"/>
      <c r="DYV96" s="39"/>
      <c r="DYW96" s="39"/>
      <c r="DYX96" s="39"/>
      <c r="DYY96" s="39"/>
      <c r="DYZ96" s="39"/>
      <c r="DZA96" s="39"/>
      <c r="DZB96" s="39"/>
      <c r="DZC96" s="39"/>
      <c r="DZD96" s="39"/>
      <c r="DZE96" s="39"/>
      <c r="DZF96" s="39"/>
      <c r="DZG96" s="39"/>
      <c r="DZH96" s="39"/>
      <c r="DZI96" s="39"/>
      <c r="DZJ96" s="39"/>
      <c r="DZK96" s="39"/>
      <c r="DZL96" s="39"/>
      <c r="DZM96" s="39"/>
      <c r="DZN96" s="39"/>
      <c r="DZO96" s="39"/>
      <c r="DZP96" s="39"/>
      <c r="DZQ96" s="39"/>
      <c r="DZR96" s="39"/>
      <c r="DZS96" s="39"/>
      <c r="DZT96" s="39"/>
      <c r="DZU96" s="39"/>
      <c r="DZV96" s="39"/>
      <c r="DZW96" s="39"/>
      <c r="DZX96" s="39"/>
      <c r="DZY96" s="39"/>
      <c r="DZZ96" s="39"/>
      <c r="EAA96" s="39"/>
      <c r="EAB96" s="39"/>
      <c r="EAC96" s="39"/>
      <c r="EAD96" s="39"/>
      <c r="EAE96" s="39"/>
      <c r="EAF96" s="39"/>
      <c r="EAG96" s="39"/>
      <c r="EAH96" s="39"/>
      <c r="EAI96" s="39"/>
      <c r="EAJ96" s="39"/>
      <c r="EAK96" s="39"/>
      <c r="EAL96" s="39"/>
      <c r="EAM96" s="39"/>
      <c r="EAN96" s="39"/>
      <c r="EAO96" s="39"/>
      <c r="EAP96" s="39"/>
      <c r="EAQ96" s="39"/>
      <c r="EAR96" s="39"/>
      <c r="EAS96" s="39"/>
      <c r="EAT96" s="39"/>
      <c r="EAU96" s="39"/>
      <c r="EAV96" s="39"/>
      <c r="EAW96" s="39"/>
      <c r="EAX96" s="39"/>
      <c r="EAY96" s="39"/>
      <c r="EAZ96" s="39"/>
      <c r="EBA96" s="39"/>
      <c r="EBB96" s="39"/>
      <c r="EBC96" s="39"/>
      <c r="EBD96" s="39"/>
      <c r="EBE96" s="39"/>
      <c r="EBF96" s="39"/>
      <c r="EBG96" s="39"/>
      <c r="EBH96" s="39"/>
      <c r="EBI96" s="39"/>
      <c r="EBJ96" s="39"/>
      <c r="EBK96" s="39"/>
      <c r="EBL96" s="39"/>
      <c r="EBM96" s="39"/>
      <c r="EBN96" s="39"/>
      <c r="EBO96" s="39"/>
      <c r="EBP96" s="39"/>
      <c r="EBQ96" s="39"/>
      <c r="EBR96" s="39"/>
      <c r="EBS96" s="39"/>
      <c r="EBT96" s="39"/>
      <c r="EBU96" s="39"/>
      <c r="EBV96" s="39"/>
      <c r="EBW96" s="39"/>
      <c r="EBX96" s="39"/>
      <c r="EBY96" s="39"/>
      <c r="EBZ96" s="39"/>
      <c r="ECA96" s="39"/>
      <c r="ECB96" s="39"/>
      <c r="ECC96" s="39"/>
      <c r="ECD96" s="39"/>
      <c r="ECE96" s="39"/>
      <c r="ECF96" s="39"/>
      <c r="ECG96" s="39"/>
      <c r="ECH96" s="39"/>
      <c r="ECI96" s="39"/>
      <c r="ECJ96" s="39"/>
      <c r="ECK96" s="39"/>
      <c r="ECL96" s="39"/>
      <c r="ECM96" s="39"/>
      <c r="ECN96" s="39"/>
      <c r="ECO96" s="39"/>
      <c r="ECP96" s="39"/>
      <c r="ECQ96" s="39"/>
      <c r="ECR96" s="39"/>
      <c r="ECS96" s="39"/>
      <c r="ECT96" s="39"/>
      <c r="ECU96" s="39"/>
      <c r="ECV96" s="39"/>
      <c r="ECW96" s="39"/>
      <c r="ECX96" s="39"/>
      <c r="ECY96" s="39"/>
      <c r="ECZ96" s="39"/>
      <c r="EDA96" s="39"/>
      <c r="EDB96" s="39"/>
      <c r="EDC96" s="39"/>
      <c r="EDD96" s="39"/>
      <c r="EDE96" s="39"/>
      <c r="EDF96" s="39"/>
      <c r="EDG96" s="39"/>
      <c r="EDH96" s="39"/>
      <c r="EDI96" s="39"/>
      <c r="EDJ96" s="39"/>
      <c r="EDK96" s="39"/>
      <c r="EDL96" s="39"/>
      <c r="EDM96" s="39"/>
      <c r="EDN96" s="39"/>
      <c r="EDO96" s="39"/>
      <c r="EDP96" s="39"/>
      <c r="EDQ96" s="39"/>
      <c r="EDR96" s="39"/>
      <c r="EDS96" s="39"/>
      <c r="EDT96" s="39"/>
      <c r="EDU96" s="39"/>
      <c r="EDV96" s="39"/>
      <c r="EDW96" s="39"/>
      <c r="EDX96" s="39"/>
      <c r="EDY96" s="39"/>
      <c r="EDZ96" s="39"/>
      <c r="EEA96" s="39"/>
      <c r="EEB96" s="39"/>
      <c r="EEC96" s="39"/>
      <c r="EED96" s="39"/>
      <c r="EEE96" s="39"/>
      <c r="EEF96" s="39"/>
      <c r="EEG96" s="39"/>
      <c r="EEH96" s="39"/>
      <c r="EEI96" s="39"/>
      <c r="EEJ96" s="39"/>
      <c r="EEK96" s="39"/>
      <c r="EEL96" s="39"/>
      <c r="EEM96" s="39"/>
      <c r="EEN96" s="39"/>
      <c r="EEO96" s="39"/>
      <c r="EEP96" s="39"/>
      <c r="EEQ96" s="39"/>
      <c r="EER96" s="39"/>
      <c r="EES96" s="39"/>
      <c r="EET96" s="39"/>
      <c r="EEU96" s="39"/>
      <c r="EEV96" s="39"/>
      <c r="EEW96" s="39"/>
      <c r="EEX96" s="39"/>
      <c r="EEY96" s="39"/>
      <c r="EEZ96" s="39"/>
      <c r="EFA96" s="39"/>
      <c r="EFB96" s="39"/>
      <c r="EFC96" s="39"/>
      <c r="EFD96" s="39"/>
      <c r="EFE96" s="39"/>
      <c r="EFF96" s="39"/>
      <c r="EFG96" s="39"/>
      <c r="EFH96" s="39"/>
      <c r="EFI96" s="39"/>
      <c r="EFJ96" s="39"/>
      <c r="EFK96" s="39"/>
      <c r="EFL96" s="39"/>
      <c r="EFM96" s="39"/>
      <c r="EFN96" s="39"/>
      <c r="EFO96" s="39"/>
      <c r="EFP96" s="39"/>
      <c r="EFQ96" s="39"/>
      <c r="EFR96" s="39"/>
      <c r="EFS96" s="39"/>
      <c r="EFT96" s="39"/>
      <c r="EFU96" s="39"/>
      <c r="EFV96" s="39"/>
      <c r="EFW96" s="39"/>
      <c r="EFX96" s="39"/>
      <c r="EFY96" s="39"/>
      <c r="EFZ96" s="39"/>
      <c r="EGA96" s="39"/>
      <c r="EGB96" s="39"/>
      <c r="EGC96" s="39"/>
      <c r="EGD96" s="39"/>
      <c r="EGE96" s="39"/>
      <c r="EGF96" s="39"/>
      <c r="EGG96" s="39"/>
      <c r="EGH96" s="39"/>
      <c r="EGI96" s="39"/>
      <c r="EGJ96" s="39"/>
      <c r="EGK96" s="39"/>
      <c r="EGL96" s="39"/>
      <c r="EGM96" s="39"/>
      <c r="EGN96" s="39"/>
      <c r="EGO96" s="39"/>
      <c r="EGP96" s="39"/>
      <c r="EGQ96" s="39"/>
      <c r="EGR96" s="39"/>
      <c r="EGS96" s="39"/>
      <c r="EGT96" s="39"/>
      <c r="EGU96" s="39"/>
      <c r="EGV96" s="39"/>
      <c r="EGW96" s="39"/>
      <c r="EGX96" s="39"/>
      <c r="EGY96" s="39"/>
      <c r="EGZ96" s="39"/>
      <c r="EHA96" s="39"/>
      <c r="EHB96" s="39"/>
      <c r="EHC96" s="39"/>
      <c r="EHD96" s="39"/>
      <c r="EHE96" s="39"/>
      <c r="EHF96" s="39"/>
      <c r="EHG96" s="39"/>
      <c r="EHH96" s="39"/>
      <c r="EHI96" s="39"/>
      <c r="EHJ96" s="39"/>
      <c r="EHK96" s="39"/>
      <c r="EHL96" s="39"/>
      <c r="EHM96" s="39"/>
      <c r="EHN96" s="39"/>
      <c r="EHO96" s="39"/>
      <c r="EHP96" s="39"/>
      <c r="EHQ96" s="39"/>
      <c r="EHR96" s="39"/>
      <c r="EHS96" s="39"/>
      <c r="EHT96" s="39"/>
      <c r="EHU96" s="39"/>
      <c r="EHV96" s="39"/>
      <c r="EHW96" s="39"/>
      <c r="EHX96" s="39"/>
      <c r="EHY96" s="39"/>
      <c r="EHZ96" s="39"/>
      <c r="EIA96" s="39"/>
      <c r="EIB96" s="39"/>
      <c r="EIC96" s="39"/>
      <c r="EID96" s="39"/>
      <c r="EIE96" s="39"/>
      <c r="EIF96" s="39"/>
      <c r="EIG96" s="39"/>
      <c r="EIH96" s="39"/>
      <c r="EII96" s="39"/>
      <c r="EIJ96" s="39"/>
      <c r="EIK96" s="39"/>
      <c r="EIL96" s="39"/>
      <c r="EIM96" s="39"/>
      <c r="EIN96" s="39"/>
      <c r="EIO96" s="39"/>
      <c r="EIP96" s="39"/>
      <c r="EIQ96" s="39"/>
      <c r="EIR96" s="39"/>
      <c r="EIS96" s="39"/>
      <c r="EIT96" s="39"/>
      <c r="EIU96" s="39"/>
      <c r="EIV96" s="39"/>
      <c r="EIW96" s="39"/>
      <c r="EIX96" s="39"/>
      <c r="EIY96" s="39"/>
      <c r="EIZ96" s="39"/>
      <c r="EJA96" s="39"/>
      <c r="EJB96" s="39"/>
      <c r="EJC96" s="39"/>
      <c r="EJD96" s="39"/>
      <c r="EJE96" s="39"/>
      <c r="EJF96" s="39"/>
      <c r="EJG96" s="39"/>
      <c r="EJH96" s="39"/>
      <c r="EJI96" s="39"/>
      <c r="EJJ96" s="39"/>
      <c r="EJK96" s="39"/>
      <c r="EJL96" s="39"/>
      <c r="EJM96" s="39"/>
      <c r="EJN96" s="39"/>
      <c r="EJO96" s="39"/>
      <c r="EJP96" s="39"/>
      <c r="EJQ96" s="39"/>
      <c r="EJR96" s="39"/>
      <c r="EJS96" s="39"/>
      <c r="EJT96" s="39"/>
      <c r="EJU96" s="39"/>
      <c r="EJV96" s="39"/>
      <c r="EJW96" s="39"/>
      <c r="EJX96" s="39"/>
      <c r="EJY96" s="39"/>
      <c r="EJZ96" s="39"/>
      <c r="EKA96" s="39"/>
      <c r="EKB96" s="39"/>
      <c r="EKC96" s="39"/>
      <c r="EKD96" s="39"/>
      <c r="EKE96" s="39"/>
      <c r="EKF96" s="39"/>
      <c r="EKG96" s="39"/>
      <c r="EKH96" s="39"/>
      <c r="EKI96" s="39"/>
      <c r="EKJ96" s="39"/>
      <c r="EKK96" s="39"/>
      <c r="EKL96" s="39"/>
      <c r="EKM96" s="39"/>
      <c r="EKN96" s="39"/>
      <c r="EKO96" s="39"/>
      <c r="EKP96" s="39"/>
      <c r="EKQ96" s="39"/>
      <c r="EKR96" s="39"/>
      <c r="EKS96" s="39"/>
      <c r="EKT96" s="39"/>
      <c r="EKU96" s="39"/>
      <c r="EKV96" s="39"/>
      <c r="EKW96" s="39"/>
      <c r="EKX96" s="39"/>
      <c r="EKY96" s="39"/>
      <c r="EKZ96" s="39"/>
      <c r="ELA96" s="39"/>
      <c r="ELB96" s="39"/>
      <c r="ELC96" s="39"/>
      <c r="ELD96" s="39"/>
      <c r="ELE96" s="39"/>
      <c r="ELF96" s="39"/>
      <c r="ELG96" s="39"/>
      <c r="ELH96" s="39"/>
      <c r="ELI96" s="39"/>
      <c r="ELJ96" s="39"/>
      <c r="ELK96" s="39"/>
      <c r="ELL96" s="39"/>
      <c r="ELM96" s="39"/>
      <c r="ELN96" s="39"/>
      <c r="ELO96" s="39"/>
      <c r="ELP96" s="39"/>
      <c r="ELQ96" s="39"/>
      <c r="ELR96" s="39"/>
      <c r="ELS96" s="39"/>
      <c r="ELT96" s="39"/>
      <c r="ELU96" s="39"/>
      <c r="ELV96" s="39"/>
      <c r="ELW96" s="39"/>
      <c r="ELX96" s="39"/>
      <c r="ELY96" s="39"/>
      <c r="ELZ96" s="39"/>
      <c r="EMA96" s="39"/>
      <c r="EMB96" s="39"/>
      <c r="EMC96" s="39"/>
      <c r="EMD96" s="39"/>
      <c r="EME96" s="39"/>
      <c r="EMF96" s="39"/>
      <c r="EMG96" s="39"/>
      <c r="EMH96" s="39"/>
      <c r="EMI96" s="39"/>
      <c r="EMJ96" s="39"/>
      <c r="EMK96" s="39"/>
      <c r="EML96" s="39"/>
      <c r="EMM96" s="39"/>
      <c r="EMN96" s="39"/>
      <c r="EMO96" s="39"/>
      <c r="EMP96" s="39"/>
      <c r="EMQ96" s="39"/>
      <c r="EMR96" s="39"/>
      <c r="EMS96" s="39"/>
      <c r="EMT96" s="39"/>
      <c r="EMU96" s="39"/>
      <c r="EMV96" s="39"/>
      <c r="EMW96" s="39"/>
      <c r="EMX96" s="39"/>
      <c r="EMY96" s="39"/>
      <c r="EMZ96" s="39"/>
      <c r="ENA96" s="39"/>
      <c r="ENB96" s="39"/>
      <c r="ENC96" s="39"/>
      <c r="END96" s="39"/>
      <c r="ENE96" s="39"/>
      <c r="ENF96" s="39"/>
      <c r="ENG96" s="39"/>
      <c r="ENH96" s="39"/>
      <c r="ENI96" s="39"/>
      <c r="ENJ96" s="39"/>
      <c r="ENK96" s="39"/>
      <c r="ENL96" s="39"/>
      <c r="ENM96" s="39"/>
      <c r="ENN96" s="39"/>
      <c r="ENO96" s="39"/>
      <c r="ENP96" s="39"/>
      <c r="ENQ96" s="39"/>
      <c r="ENR96" s="39"/>
      <c r="ENS96" s="39"/>
      <c r="ENT96" s="39"/>
      <c r="ENU96" s="39"/>
      <c r="ENV96" s="39"/>
      <c r="ENW96" s="39"/>
      <c r="ENX96" s="39"/>
      <c r="ENY96" s="39"/>
      <c r="ENZ96" s="39"/>
      <c r="EOA96" s="39"/>
      <c r="EOB96" s="39"/>
      <c r="EOC96" s="39"/>
      <c r="EOD96" s="39"/>
      <c r="EOE96" s="39"/>
      <c r="EOF96" s="39"/>
      <c r="EOG96" s="39"/>
      <c r="EOH96" s="39"/>
      <c r="EOI96" s="39"/>
      <c r="EOJ96" s="39"/>
      <c r="EOK96" s="39"/>
      <c r="EOL96" s="39"/>
      <c r="EOM96" s="39"/>
      <c r="EON96" s="39"/>
      <c r="EOO96" s="39"/>
      <c r="EOP96" s="39"/>
      <c r="EOQ96" s="39"/>
      <c r="EOR96" s="39"/>
      <c r="EOS96" s="39"/>
      <c r="EOT96" s="39"/>
      <c r="EOU96" s="39"/>
      <c r="EOV96" s="39"/>
      <c r="EOW96" s="39"/>
      <c r="EOX96" s="39"/>
      <c r="EOY96" s="39"/>
      <c r="EOZ96" s="39"/>
      <c r="EPA96" s="39"/>
      <c r="EPB96" s="39"/>
      <c r="EPC96" s="39"/>
      <c r="EPD96" s="39"/>
      <c r="EPE96" s="39"/>
      <c r="EPF96" s="39"/>
      <c r="EPG96" s="39"/>
      <c r="EPH96" s="39"/>
      <c r="EPI96" s="39"/>
      <c r="EPJ96" s="39"/>
      <c r="EPK96" s="39"/>
      <c r="EPL96" s="39"/>
      <c r="EPM96" s="39"/>
      <c r="EPN96" s="39"/>
      <c r="EPO96" s="39"/>
      <c r="EPP96" s="39"/>
      <c r="EPQ96" s="39"/>
      <c r="EPR96" s="39"/>
      <c r="EPS96" s="39"/>
      <c r="EPT96" s="39"/>
      <c r="EPU96" s="39"/>
      <c r="EPV96" s="39"/>
      <c r="EPW96" s="39"/>
      <c r="EPX96" s="39"/>
      <c r="EPY96" s="39"/>
      <c r="EPZ96" s="39"/>
      <c r="EQA96" s="39"/>
      <c r="EQB96" s="39"/>
      <c r="EQC96" s="39"/>
      <c r="EQD96" s="39"/>
      <c r="EQE96" s="39"/>
      <c r="EQF96" s="39"/>
      <c r="EQG96" s="39"/>
      <c r="EQH96" s="39"/>
      <c r="EQI96" s="39"/>
      <c r="EQJ96" s="39"/>
      <c r="EQK96" s="39"/>
      <c r="EQL96" s="39"/>
      <c r="EQM96" s="39"/>
      <c r="EQN96" s="39"/>
      <c r="EQO96" s="39"/>
      <c r="EQP96" s="39"/>
      <c r="EQQ96" s="39"/>
      <c r="EQR96" s="39"/>
      <c r="EQS96" s="39"/>
      <c r="EQT96" s="39"/>
      <c r="EQU96" s="39"/>
      <c r="EQV96" s="39"/>
      <c r="EQW96" s="39"/>
      <c r="EQX96" s="39"/>
      <c r="EQY96" s="39"/>
      <c r="EQZ96" s="39"/>
      <c r="ERA96" s="39"/>
      <c r="ERB96" s="39"/>
      <c r="ERC96" s="39"/>
      <c r="ERD96" s="39"/>
      <c r="ERE96" s="39"/>
      <c r="ERF96" s="39"/>
      <c r="ERG96" s="39"/>
      <c r="ERH96" s="39"/>
      <c r="ERI96" s="39"/>
      <c r="ERJ96" s="39"/>
      <c r="ERK96" s="39"/>
      <c r="ERL96" s="39"/>
      <c r="ERM96" s="39"/>
      <c r="ERN96" s="39"/>
      <c r="ERO96" s="39"/>
      <c r="ERP96" s="39"/>
      <c r="ERQ96" s="39"/>
      <c r="ERR96" s="39"/>
      <c r="ERS96" s="39"/>
      <c r="ERT96" s="39"/>
      <c r="ERU96" s="39"/>
      <c r="ERV96" s="39"/>
      <c r="ERW96" s="39"/>
      <c r="ERX96" s="39"/>
      <c r="ERY96" s="39"/>
      <c r="ERZ96" s="39"/>
      <c r="ESA96" s="39"/>
      <c r="ESB96" s="39"/>
      <c r="ESC96" s="39"/>
      <c r="ESD96" s="39"/>
      <c r="ESE96" s="39"/>
      <c r="ESF96" s="39"/>
      <c r="ESG96" s="39"/>
      <c r="ESH96" s="39"/>
      <c r="ESI96" s="39"/>
      <c r="ESJ96" s="39"/>
      <c r="ESK96" s="39"/>
      <c r="ESL96" s="39"/>
      <c r="ESM96" s="39"/>
      <c r="ESN96" s="39"/>
      <c r="ESO96" s="39"/>
      <c r="ESP96" s="39"/>
      <c r="ESQ96" s="39"/>
      <c r="ESR96" s="39"/>
      <c r="ESS96" s="39"/>
      <c r="EST96" s="39"/>
      <c r="ESU96" s="39"/>
      <c r="ESV96" s="39"/>
      <c r="ESW96" s="39"/>
      <c r="ESX96" s="39"/>
      <c r="ESY96" s="39"/>
      <c r="ESZ96" s="39"/>
      <c r="ETA96" s="39"/>
      <c r="ETB96" s="39"/>
      <c r="ETC96" s="39"/>
      <c r="ETD96" s="39"/>
      <c r="ETE96" s="39"/>
      <c r="ETF96" s="39"/>
      <c r="ETG96" s="39"/>
      <c r="ETH96" s="39"/>
      <c r="ETI96" s="39"/>
      <c r="ETJ96" s="39"/>
      <c r="ETK96" s="39"/>
      <c r="ETL96" s="39"/>
      <c r="ETM96" s="39"/>
      <c r="ETN96" s="39"/>
      <c r="ETO96" s="39"/>
      <c r="ETP96" s="39"/>
      <c r="ETQ96" s="39"/>
      <c r="ETR96" s="39"/>
      <c r="ETS96" s="39"/>
      <c r="ETT96" s="39"/>
      <c r="ETU96" s="39"/>
      <c r="ETV96" s="39"/>
      <c r="ETW96" s="39"/>
      <c r="ETX96" s="39"/>
      <c r="ETY96" s="39"/>
      <c r="ETZ96" s="39"/>
      <c r="EUA96" s="39"/>
      <c r="EUB96" s="39"/>
      <c r="EUC96" s="39"/>
      <c r="EUD96" s="39"/>
      <c r="EUE96" s="39"/>
      <c r="EUF96" s="39"/>
      <c r="EUG96" s="39"/>
      <c r="EUH96" s="39"/>
      <c r="EUI96" s="39"/>
      <c r="EUJ96" s="39"/>
      <c r="EUK96" s="39"/>
      <c r="EUL96" s="39"/>
      <c r="EUM96" s="39"/>
      <c r="EUN96" s="39"/>
      <c r="EUO96" s="39"/>
      <c r="EUP96" s="39"/>
      <c r="EUQ96" s="39"/>
      <c r="EUR96" s="39"/>
      <c r="EUS96" s="39"/>
      <c r="EUT96" s="39"/>
      <c r="EUU96" s="39"/>
      <c r="EUV96" s="39"/>
      <c r="EUW96" s="39"/>
      <c r="EUX96" s="39"/>
      <c r="EUY96" s="39"/>
      <c r="EUZ96" s="39"/>
      <c r="EVA96" s="39"/>
      <c r="EVB96" s="39"/>
      <c r="EVC96" s="39"/>
      <c r="EVD96" s="39"/>
      <c r="EVE96" s="39"/>
      <c r="EVF96" s="39"/>
      <c r="EVG96" s="39"/>
      <c r="EVH96" s="39"/>
      <c r="EVI96" s="39"/>
      <c r="EVJ96" s="39"/>
      <c r="EVK96" s="39"/>
      <c r="EVL96" s="39"/>
      <c r="EVM96" s="39"/>
      <c r="EVN96" s="39"/>
      <c r="EVO96" s="39"/>
      <c r="EVP96" s="39"/>
      <c r="EVQ96" s="39"/>
      <c r="EVR96" s="39"/>
      <c r="EVS96" s="39"/>
      <c r="EVT96" s="39"/>
      <c r="EVU96" s="39"/>
      <c r="EVV96" s="39"/>
      <c r="EVW96" s="39"/>
      <c r="EVX96" s="39"/>
      <c r="EVY96" s="39"/>
      <c r="EVZ96" s="39"/>
      <c r="EWA96" s="39"/>
      <c r="EWB96" s="39"/>
      <c r="EWC96" s="39"/>
      <c r="EWD96" s="39"/>
      <c r="EWE96" s="39"/>
      <c r="EWF96" s="39"/>
      <c r="EWG96" s="39"/>
      <c r="EWH96" s="39"/>
      <c r="EWI96" s="39"/>
      <c r="EWJ96" s="39"/>
      <c r="EWK96" s="39"/>
      <c r="EWL96" s="39"/>
      <c r="EWM96" s="39"/>
      <c r="EWN96" s="39"/>
      <c r="EWO96" s="39"/>
      <c r="EWP96" s="39"/>
      <c r="EWQ96" s="39"/>
      <c r="EWR96" s="39"/>
      <c r="EWS96" s="39"/>
      <c r="EWT96" s="39"/>
      <c r="EWU96" s="39"/>
      <c r="EWV96" s="39"/>
      <c r="EWW96" s="39"/>
      <c r="EWX96" s="39"/>
      <c r="EWY96" s="39"/>
      <c r="EWZ96" s="39"/>
      <c r="EXA96" s="39"/>
      <c r="EXB96" s="39"/>
      <c r="EXC96" s="39"/>
      <c r="EXD96" s="39"/>
      <c r="EXE96" s="39"/>
      <c r="EXF96" s="39"/>
      <c r="EXG96" s="39"/>
      <c r="EXH96" s="39"/>
      <c r="EXI96" s="39"/>
      <c r="EXJ96" s="39"/>
      <c r="EXK96" s="39"/>
      <c r="EXL96" s="39"/>
      <c r="EXM96" s="39"/>
      <c r="EXN96" s="39"/>
      <c r="EXO96" s="39"/>
      <c r="EXP96" s="39"/>
      <c r="EXQ96" s="39"/>
      <c r="EXR96" s="39"/>
      <c r="EXS96" s="39"/>
      <c r="EXT96" s="39"/>
      <c r="EXU96" s="39"/>
      <c r="EXV96" s="39"/>
      <c r="EXW96" s="39"/>
      <c r="EXX96" s="39"/>
      <c r="EXY96" s="39"/>
      <c r="EXZ96" s="39"/>
      <c r="EYA96" s="39"/>
      <c r="EYB96" s="39"/>
      <c r="EYC96" s="39"/>
      <c r="EYD96" s="39"/>
      <c r="EYE96" s="39"/>
      <c r="EYF96" s="39"/>
      <c r="EYG96" s="39"/>
      <c r="EYH96" s="39"/>
      <c r="EYI96" s="39"/>
      <c r="EYJ96" s="39"/>
      <c r="EYK96" s="39"/>
      <c r="EYL96" s="39"/>
      <c r="EYM96" s="39"/>
      <c r="EYN96" s="39"/>
      <c r="EYO96" s="39"/>
      <c r="EYP96" s="39"/>
      <c r="EYQ96" s="39"/>
      <c r="EYR96" s="39"/>
      <c r="EYS96" s="39"/>
      <c r="EYT96" s="39"/>
      <c r="EYU96" s="39"/>
      <c r="EYV96" s="39"/>
      <c r="EYW96" s="39"/>
      <c r="EYX96" s="39"/>
      <c r="EYY96" s="39"/>
      <c r="EYZ96" s="39"/>
      <c r="EZA96" s="39"/>
      <c r="EZB96" s="39"/>
      <c r="EZC96" s="39"/>
      <c r="EZD96" s="39"/>
      <c r="EZE96" s="39"/>
      <c r="EZF96" s="39"/>
      <c r="EZG96" s="39"/>
      <c r="EZH96" s="39"/>
      <c r="EZI96" s="39"/>
      <c r="EZJ96" s="39"/>
      <c r="EZK96" s="39"/>
      <c r="EZL96" s="39"/>
      <c r="EZM96" s="39"/>
      <c r="EZN96" s="39"/>
      <c r="EZO96" s="39"/>
      <c r="EZP96" s="39"/>
      <c r="EZQ96" s="39"/>
      <c r="EZR96" s="39"/>
      <c r="EZS96" s="39"/>
      <c r="EZT96" s="39"/>
      <c r="EZU96" s="39"/>
      <c r="EZV96" s="39"/>
      <c r="EZW96" s="39"/>
      <c r="EZX96" s="39"/>
      <c r="EZY96" s="39"/>
      <c r="EZZ96" s="39"/>
      <c r="FAA96" s="39"/>
      <c r="FAB96" s="39"/>
      <c r="FAC96" s="39"/>
      <c r="FAD96" s="39"/>
      <c r="FAE96" s="39"/>
      <c r="FAF96" s="39"/>
      <c r="FAG96" s="39"/>
      <c r="FAH96" s="39"/>
      <c r="FAI96" s="39"/>
      <c r="FAJ96" s="39"/>
      <c r="FAK96" s="39"/>
      <c r="FAL96" s="39"/>
      <c r="FAM96" s="39"/>
      <c r="FAN96" s="39"/>
      <c r="FAO96" s="39"/>
      <c r="FAP96" s="39"/>
      <c r="FAQ96" s="39"/>
      <c r="FAR96" s="39"/>
      <c r="FAS96" s="39"/>
      <c r="FAT96" s="39"/>
      <c r="FAU96" s="39"/>
      <c r="FAV96" s="39"/>
      <c r="FAW96" s="39"/>
      <c r="FAX96" s="39"/>
      <c r="FAY96" s="39"/>
      <c r="FAZ96" s="39"/>
      <c r="FBA96" s="39"/>
      <c r="FBB96" s="39"/>
      <c r="FBC96" s="39"/>
      <c r="FBD96" s="39"/>
      <c r="FBE96" s="39"/>
      <c r="FBF96" s="39"/>
      <c r="FBG96" s="39"/>
      <c r="FBH96" s="39"/>
      <c r="FBI96" s="39"/>
      <c r="FBJ96" s="39"/>
      <c r="FBK96" s="39"/>
      <c r="FBL96" s="39"/>
      <c r="FBM96" s="39"/>
      <c r="FBN96" s="39"/>
      <c r="FBO96" s="39"/>
      <c r="FBP96" s="39"/>
      <c r="FBQ96" s="39"/>
      <c r="FBR96" s="39"/>
      <c r="FBS96" s="39"/>
      <c r="FBT96" s="39"/>
      <c r="FBU96" s="39"/>
      <c r="FBV96" s="39"/>
      <c r="FBW96" s="39"/>
      <c r="FBX96" s="39"/>
      <c r="FBY96" s="39"/>
      <c r="FBZ96" s="39"/>
      <c r="FCA96" s="39"/>
      <c r="FCB96" s="39"/>
      <c r="FCC96" s="39"/>
      <c r="FCD96" s="39"/>
      <c r="FCE96" s="39"/>
      <c r="FCF96" s="39"/>
      <c r="FCG96" s="39"/>
      <c r="FCH96" s="39"/>
      <c r="FCI96" s="39"/>
      <c r="FCJ96" s="39"/>
      <c r="FCK96" s="39"/>
      <c r="FCL96" s="39"/>
      <c r="FCM96" s="39"/>
      <c r="FCN96" s="39"/>
      <c r="FCO96" s="39"/>
      <c r="FCP96" s="39"/>
      <c r="FCQ96" s="39"/>
      <c r="FCR96" s="39"/>
      <c r="FCS96" s="39"/>
      <c r="FCT96" s="39"/>
      <c r="FCU96" s="39"/>
      <c r="FCV96" s="39"/>
      <c r="FCW96" s="39"/>
      <c r="FCX96" s="39"/>
      <c r="FCY96" s="39"/>
      <c r="FCZ96" s="39"/>
      <c r="FDA96" s="39"/>
      <c r="FDB96" s="39"/>
      <c r="FDC96" s="39"/>
      <c r="FDD96" s="39"/>
      <c r="FDE96" s="39"/>
      <c r="FDF96" s="39"/>
      <c r="FDG96" s="39"/>
      <c r="FDH96" s="39"/>
      <c r="FDI96" s="39"/>
      <c r="FDJ96" s="39"/>
      <c r="FDK96" s="39"/>
      <c r="FDL96" s="39"/>
      <c r="FDM96" s="39"/>
      <c r="FDN96" s="39"/>
      <c r="FDO96" s="39"/>
      <c r="FDP96" s="39"/>
      <c r="FDQ96" s="39"/>
      <c r="FDR96" s="39"/>
      <c r="FDS96" s="39"/>
      <c r="FDT96" s="39"/>
      <c r="FDU96" s="39"/>
      <c r="FDV96" s="39"/>
      <c r="FDW96" s="39"/>
      <c r="FDX96" s="39"/>
      <c r="FDY96" s="39"/>
      <c r="FDZ96" s="39"/>
      <c r="FEA96" s="39"/>
      <c r="FEB96" s="39"/>
      <c r="FEC96" s="39"/>
      <c r="FED96" s="39"/>
      <c r="FEE96" s="39"/>
      <c r="FEF96" s="39"/>
      <c r="FEG96" s="39"/>
      <c r="FEH96" s="39"/>
      <c r="FEI96" s="39"/>
      <c r="FEJ96" s="39"/>
      <c r="FEK96" s="39"/>
      <c r="FEL96" s="39"/>
      <c r="FEM96" s="39"/>
      <c r="FEN96" s="39"/>
      <c r="FEO96" s="39"/>
      <c r="FEP96" s="39"/>
      <c r="FEQ96" s="39"/>
      <c r="FER96" s="39"/>
      <c r="FES96" s="39"/>
      <c r="FET96" s="39"/>
      <c r="FEU96" s="39"/>
      <c r="FEV96" s="39"/>
      <c r="FEW96" s="39"/>
      <c r="FEX96" s="39"/>
      <c r="FEY96" s="39"/>
      <c r="FEZ96" s="39"/>
      <c r="FFA96" s="39"/>
      <c r="FFB96" s="39"/>
      <c r="FFC96" s="39"/>
      <c r="FFD96" s="39"/>
      <c r="FFE96" s="39"/>
      <c r="FFF96" s="39"/>
      <c r="FFG96" s="39"/>
      <c r="FFH96" s="39"/>
      <c r="FFI96" s="39"/>
      <c r="FFJ96" s="39"/>
      <c r="FFK96" s="39"/>
      <c r="FFL96" s="39"/>
      <c r="FFM96" s="39"/>
      <c r="FFN96" s="39"/>
      <c r="FFO96" s="39"/>
      <c r="FFP96" s="39"/>
      <c r="FFQ96" s="39"/>
      <c r="FFR96" s="39"/>
      <c r="FFS96" s="39"/>
      <c r="FFT96" s="39"/>
      <c r="FFU96" s="39"/>
      <c r="FFV96" s="39"/>
      <c r="FFW96" s="39"/>
      <c r="FFX96" s="39"/>
      <c r="FFY96" s="39"/>
      <c r="FFZ96" s="39"/>
      <c r="FGA96" s="39"/>
      <c r="FGB96" s="39"/>
      <c r="FGC96" s="39"/>
      <c r="FGD96" s="39"/>
      <c r="FGE96" s="39"/>
      <c r="FGF96" s="39"/>
      <c r="FGG96" s="39"/>
      <c r="FGH96" s="39"/>
      <c r="FGI96" s="39"/>
      <c r="FGJ96" s="39"/>
      <c r="FGK96" s="39"/>
      <c r="FGL96" s="39"/>
      <c r="FGM96" s="39"/>
      <c r="FGN96" s="39"/>
      <c r="FGO96" s="39"/>
      <c r="FGP96" s="39"/>
      <c r="FGQ96" s="39"/>
      <c r="FGR96" s="39"/>
      <c r="FGS96" s="39"/>
      <c r="FGT96" s="39"/>
      <c r="FGU96" s="39"/>
      <c r="FGV96" s="39"/>
      <c r="FGW96" s="39"/>
      <c r="FGX96" s="39"/>
      <c r="FGY96" s="39"/>
      <c r="FGZ96" s="39"/>
      <c r="FHA96" s="39"/>
      <c r="FHB96" s="39"/>
      <c r="FHC96" s="39"/>
      <c r="FHD96" s="39"/>
      <c r="FHE96" s="39"/>
      <c r="FHF96" s="39"/>
      <c r="FHG96" s="39"/>
      <c r="FHH96" s="39"/>
      <c r="FHI96" s="39"/>
      <c r="FHJ96" s="39"/>
      <c r="FHK96" s="39"/>
      <c r="FHL96" s="39"/>
      <c r="FHM96" s="39"/>
      <c r="FHN96" s="39"/>
      <c r="FHO96" s="39"/>
      <c r="FHP96" s="39"/>
      <c r="FHQ96" s="39"/>
      <c r="FHR96" s="39"/>
      <c r="FHS96" s="39"/>
      <c r="FHT96" s="39"/>
      <c r="FHU96" s="39"/>
      <c r="FHV96" s="39"/>
      <c r="FHW96" s="39"/>
      <c r="FHX96" s="39"/>
      <c r="FHY96" s="39"/>
      <c r="FHZ96" s="39"/>
      <c r="FIA96" s="39"/>
      <c r="FIB96" s="39"/>
      <c r="FIC96" s="39"/>
      <c r="FID96" s="39"/>
      <c r="FIE96" s="39"/>
      <c r="FIF96" s="39"/>
      <c r="FIG96" s="39"/>
      <c r="FIH96" s="39"/>
      <c r="FII96" s="39"/>
      <c r="FIJ96" s="39"/>
      <c r="FIK96" s="39"/>
      <c r="FIL96" s="39"/>
      <c r="FIM96" s="39"/>
      <c r="FIN96" s="39"/>
      <c r="FIO96" s="39"/>
      <c r="FIP96" s="39"/>
      <c r="FIQ96" s="39"/>
      <c r="FIR96" s="39"/>
      <c r="FIS96" s="39"/>
      <c r="FIT96" s="39"/>
      <c r="FIU96" s="39"/>
      <c r="FIV96" s="39"/>
      <c r="FIW96" s="39"/>
      <c r="FIX96" s="39"/>
      <c r="FIY96" s="39"/>
      <c r="FIZ96" s="39"/>
      <c r="FJA96" s="39"/>
      <c r="FJB96" s="39"/>
      <c r="FJC96" s="39"/>
      <c r="FJD96" s="39"/>
      <c r="FJE96" s="39"/>
      <c r="FJF96" s="39"/>
      <c r="FJG96" s="39"/>
      <c r="FJH96" s="39"/>
      <c r="FJI96" s="39"/>
      <c r="FJJ96" s="39"/>
      <c r="FJK96" s="39"/>
      <c r="FJL96" s="39"/>
      <c r="FJM96" s="39"/>
      <c r="FJN96" s="39"/>
      <c r="FJO96" s="39"/>
      <c r="FJP96" s="39"/>
      <c r="FJQ96" s="39"/>
      <c r="FJR96" s="39"/>
      <c r="FJS96" s="39"/>
      <c r="FJT96" s="39"/>
      <c r="FJU96" s="39"/>
      <c r="FJV96" s="39"/>
      <c r="FJW96" s="39"/>
      <c r="FJX96" s="39"/>
      <c r="FJY96" s="39"/>
      <c r="FJZ96" s="39"/>
      <c r="FKA96" s="39"/>
      <c r="FKB96" s="39"/>
      <c r="FKC96" s="39"/>
      <c r="FKD96" s="39"/>
      <c r="FKE96" s="39"/>
      <c r="FKF96" s="39"/>
      <c r="FKG96" s="39"/>
      <c r="FKH96" s="39"/>
      <c r="FKI96" s="39"/>
      <c r="FKJ96" s="39"/>
      <c r="FKK96" s="39"/>
      <c r="FKL96" s="39"/>
      <c r="FKM96" s="39"/>
      <c r="FKN96" s="39"/>
      <c r="FKO96" s="39"/>
      <c r="FKP96" s="39"/>
      <c r="FKQ96" s="39"/>
      <c r="FKR96" s="39"/>
      <c r="FKS96" s="39"/>
      <c r="FKT96" s="39"/>
      <c r="FKU96" s="39"/>
      <c r="FKV96" s="39"/>
      <c r="FKW96" s="39"/>
      <c r="FKX96" s="39"/>
      <c r="FKY96" s="39"/>
      <c r="FKZ96" s="39"/>
      <c r="FLA96" s="39"/>
      <c r="FLB96" s="39"/>
      <c r="FLC96" s="39"/>
      <c r="FLD96" s="39"/>
      <c r="FLE96" s="39"/>
      <c r="FLF96" s="39"/>
      <c r="FLG96" s="39"/>
      <c r="FLH96" s="39"/>
      <c r="FLI96" s="39"/>
      <c r="FLJ96" s="39"/>
      <c r="FLK96" s="39"/>
      <c r="FLL96" s="39"/>
      <c r="FLM96" s="39"/>
      <c r="FLN96" s="39"/>
      <c r="FLO96" s="39"/>
      <c r="FLP96" s="39"/>
      <c r="FLQ96" s="39"/>
      <c r="FLR96" s="39"/>
      <c r="FLS96" s="39"/>
      <c r="FLT96" s="39"/>
      <c r="FLU96" s="39"/>
      <c r="FLV96" s="39"/>
      <c r="FLW96" s="39"/>
      <c r="FLX96" s="39"/>
      <c r="FLY96" s="39"/>
      <c r="FLZ96" s="39"/>
      <c r="FMA96" s="39"/>
      <c r="FMB96" s="39"/>
      <c r="FMC96" s="39"/>
      <c r="FMD96" s="39"/>
      <c r="FME96" s="39"/>
      <c r="FMF96" s="39"/>
      <c r="FMG96" s="39"/>
      <c r="FMH96" s="39"/>
      <c r="FMI96" s="39"/>
      <c r="FMJ96" s="39"/>
      <c r="FMK96" s="39"/>
      <c r="FML96" s="39"/>
      <c r="FMM96" s="39"/>
      <c r="FMN96" s="39"/>
      <c r="FMO96" s="39"/>
      <c r="FMP96" s="39"/>
      <c r="FMQ96" s="39"/>
      <c r="FMR96" s="39"/>
      <c r="FMS96" s="39"/>
      <c r="FMT96" s="39"/>
      <c r="FMU96" s="39"/>
      <c r="FMV96" s="39"/>
      <c r="FMW96" s="39"/>
      <c r="FMX96" s="39"/>
      <c r="FMY96" s="39"/>
      <c r="FMZ96" s="39"/>
      <c r="FNA96" s="39"/>
      <c r="FNB96" s="39"/>
      <c r="FNC96" s="39"/>
      <c r="FND96" s="39"/>
      <c r="FNE96" s="39"/>
      <c r="FNF96" s="39"/>
      <c r="FNG96" s="39"/>
      <c r="FNH96" s="39"/>
      <c r="FNI96" s="39"/>
      <c r="FNJ96" s="39"/>
      <c r="FNK96" s="39"/>
      <c r="FNL96" s="39"/>
      <c r="FNM96" s="39"/>
      <c r="FNN96" s="39"/>
      <c r="FNO96" s="39"/>
      <c r="FNP96" s="39"/>
      <c r="FNQ96" s="39"/>
      <c r="FNR96" s="39"/>
      <c r="FNS96" s="39"/>
      <c r="FNT96" s="39"/>
      <c r="FNU96" s="39"/>
      <c r="FNV96" s="39"/>
      <c r="FNW96" s="39"/>
      <c r="FNX96" s="39"/>
      <c r="FNY96" s="39"/>
      <c r="FNZ96" s="39"/>
      <c r="FOA96" s="39"/>
      <c r="FOB96" s="39"/>
      <c r="FOC96" s="39"/>
      <c r="FOD96" s="39"/>
      <c r="FOE96" s="39"/>
      <c r="FOF96" s="39"/>
      <c r="FOG96" s="39"/>
      <c r="FOH96" s="39"/>
      <c r="FOI96" s="39"/>
      <c r="FOJ96" s="39"/>
      <c r="FOK96" s="39"/>
      <c r="FOL96" s="39"/>
      <c r="FOM96" s="39"/>
      <c r="FON96" s="39"/>
      <c r="FOO96" s="39"/>
      <c r="FOP96" s="39"/>
      <c r="FOQ96" s="39"/>
      <c r="FOR96" s="39"/>
      <c r="FOS96" s="39"/>
      <c r="FOT96" s="39"/>
      <c r="FOU96" s="39"/>
      <c r="FOV96" s="39"/>
      <c r="FOW96" s="39"/>
      <c r="FOX96" s="39"/>
      <c r="FOY96" s="39"/>
      <c r="FOZ96" s="39"/>
      <c r="FPA96" s="39"/>
      <c r="FPB96" s="39"/>
      <c r="FPC96" s="39"/>
      <c r="FPD96" s="39"/>
      <c r="FPE96" s="39"/>
      <c r="FPF96" s="39"/>
      <c r="FPG96" s="39"/>
      <c r="FPH96" s="39"/>
      <c r="FPI96" s="39"/>
      <c r="FPJ96" s="39"/>
      <c r="FPK96" s="39"/>
      <c r="FPL96" s="39"/>
      <c r="FPM96" s="39"/>
      <c r="FPN96" s="39"/>
      <c r="FPO96" s="39"/>
      <c r="FPP96" s="39"/>
      <c r="FPQ96" s="39"/>
      <c r="FPR96" s="39"/>
      <c r="FPS96" s="39"/>
      <c r="FPT96" s="39"/>
      <c r="FPU96" s="39"/>
      <c r="FPV96" s="39"/>
      <c r="FPW96" s="39"/>
      <c r="FPX96" s="39"/>
      <c r="FPY96" s="39"/>
      <c r="FPZ96" s="39"/>
      <c r="FQA96" s="39"/>
      <c r="FQB96" s="39"/>
      <c r="FQC96" s="39"/>
      <c r="FQD96" s="39"/>
      <c r="FQE96" s="39"/>
      <c r="FQF96" s="39"/>
      <c r="FQG96" s="39"/>
      <c r="FQH96" s="39"/>
      <c r="FQI96" s="39"/>
      <c r="FQJ96" s="39"/>
      <c r="FQK96" s="39"/>
      <c r="FQL96" s="39"/>
      <c r="FQM96" s="39"/>
      <c r="FQN96" s="39"/>
      <c r="FQO96" s="39"/>
      <c r="FQP96" s="39"/>
      <c r="FQQ96" s="39"/>
      <c r="FQR96" s="39"/>
      <c r="FQS96" s="39"/>
      <c r="FQT96" s="39"/>
      <c r="FQU96" s="39"/>
      <c r="FQV96" s="39"/>
      <c r="FQW96" s="39"/>
      <c r="FQX96" s="39"/>
      <c r="FQY96" s="39"/>
      <c r="FQZ96" s="39"/>
      <c r="FRA96" s="39"/>
      <c r="FRB96" s="39"/>
      <c r="FRC96" s="39"/>
      <c r="FRD96" s="39"/>
      <c r="FRE96" s="39"/>
      <c r="FRF96" s="39"/>
      <c r="FRG96" s="39"/>
      <c r="FRH96" s="39"/>
      <c r="FRI96" s="39"/>
      <c r="FRJ96" s="39"/>
      <c r="FRK96" s="39"/>
      <c r="FRL96" s="39"/>
      <c r="FRM96" s="39"/>
      <c r="FRN96" s="39"/>
      <c r="FRO96" s="39"/>
      <c r="FRP96" s="39"/>
      <c r="FRQ96" s="39"/>
      <c r="FRR96" s="39"/>
      <c r="FRS96" s="39"/>
      <c r="FRT96" s="39"/>
      <c r="FRU96" s="39"/>
      <c r="FRV96" s="39"/>
      <c r="FRW96" s="39"/>
      <c r="FRX96" s="39"/>
      <c r="FRY96" s="39"/>
      <c r="FRZ96" s="39"/>
      <c r="FSA96" s="39"/>
      <c r="FSB96" s="39"/>
      <c r="FSC96" s="39"/>
      <c r="FSD96" s="39"/>
      <c r="FSE96" s="39"/>
      <c r="FSF96" s="39"/>
      <c r="FSG96" s="39"/>
      <c r="FSH96" s="39"/>
      <c r="FSI96" s="39"/>
      <c r="FSJ96" s="39"/>
      <c r="FSK96" s="39"/>
      <c r="FSL96" s="39"/>
      <c r="FSM96" s="39"/>
      <c r="FSN96" s="39"/>
      <c r="FSO96" s="39"/>
      <c r="FSP96" s="39"/>
      <c r="FSQ96" s="39"/>
      <c r="FSR96" s="39"/>
      <c r="FSS96" s="39"/>
      <c r="FST96" s="39"/>
      <c r="FSU96" s="39"/>
      <c r="FSV96" s="39"/>
      <c r="FSW96" s="39"/>
      <c r="FSX96" s="39"/>
      <c r="FSY96" s="39"/>
      <c r="FSZ96" s="39"/>
      <c r="FTA96" s="39"/>
      <c r="FTB96" s="39"/>
      <c r="FTC96" s="39"/>
      <c r="FTD96" s="39"/>
      <c r="FTE96" s="39"/>
      <c r="FTF96" s="39"/>
      <c r="FTG96" s="39"/>
      <c r="FTH96" s="39"/>
      <c r="FTI96" s="39"/>
      <c r="FTJ96" s="39"/>
      <c r="FTK96" s="39"/>
      <c r="FTL96" s="39"/>
      <c r="FTM96" s="39"/>
      <c r="FTN96" s="39"/>
      <c r="FTO96" s="39"/>
      <c r="FTP96" s="39"/>
      <c r="FTQ96" s="39"/>
      <c r="FTR96" s="39"/>
      <c r="FTS96" s="39"/>
      <c r="FTT96" s="39"/>
      <c r="FTU96" s="39"/>
      <c r="FTV96" s="39"/>
      <c r="FTW96" s="39"/>
      <c r="FTX96" s="39"/>
      <c r="FTY96" s="39"/>
      <c r="FTZ96" s="39"/>
      <c r="FUA96" s="39"/>
      <c r="FUB96" s="39"/>
      <c r="FUC96" s="39"/>
      <c r="FUD96" s="39"/>
      <c r="FUE96" s="39"/>
      <c r="FUF96" s="39"/>
      <c r="FUG96" s="39"/>
      <c r="FUH96" s="39"/>
      <c r="FUI96" s="39"/>
      <c r="FUJ96" s="39"/>
      <c r="FUK96" s="39"/>
      <c r="FUL96" s="39"/>
      <c r="FUM96" s="39"/>
      <c r="FUN96" s="39"/>
      <c r="FUO96" s="39"/>
      <c r="FUP96" s="39"/>
      <c r="FUQ96" s="39"/>
      <c r="FUR96" s="39"/>
      <c r="FUS96" s="39"/>
      <c r="FUT96" s="39"/>
      <c r="FUU96" s="39"/>
      <c r="FUV96" s="39"/>
      <c r="FUW96" s="39"/>
      <c r="FUX96" s="39"/>
      <c r="FUY96" s="39"/>
      <c r="FUZ96" s="39"/>
      <c r="FVA96" s="39"/>
      <c r="FVB96" s="39"/>
      <c r="FVC96" s="39"/>
      <c r="FVD96" s="39"/>
      <c r="FVE96" s="39"/>
      <c r="FVF96" s="39"/>
      <c r="FVG96" s="39"/>
      <c r="FVH96" s="39"/>
      <c r="FVI96" s="39"/>
      <c r="FVJ96" s="39"/>
      <c r="FVK96" s="39"/>
      <c r="FVL96" s="39"/>
      <c r="FVM96" s="39"/>
      <c r="FVN96" s="39"/>
      <c r="FVO96" s="39"/>
      <c r="FVP96" s="39"/>
      <c r="FVQ96" s="39"/>
      <c r="FVR96" s="39"/>
      <c r="FVS96" s="39"/>
      <c r="FVT96" s="39"/>
      <c r="FVU96" s="39"/>
      <c r="FVV96" s="39"/>
      <c r="FVW96" s="39"/>
      <c r="FVX96" s="39"/>
      <c r="FVY96" s="39"/>
      <c r="FVZ96" s="39"/>
      <c r="FWA96" s="39"/>
      <c r="FWB96" s="39"/>
      <c r="FWC96" s="39"/>
      <c r="FWD96" s="39"/>
      <c r="FWE96" s="39"/>
      <c r="FWF96" s="39"/>
      <c r="FWG96" s="39"/>
      <c r="FWH96" s="39"/>
      <c r="FWI96" s="39"/>
      <c r="FWJ96" s="39"/>
      <c r="FWK96" s="39"/>
      <c r="FWL96" s="39"/>
      <c r="FWM96" s="39"/>
      <c r="FWN96" s="39"/>
      <c r="FWO96" s="39"/>
      <c r="FWP96" s="39"/>
      <c r="FWQ96" s="39"/>
      <c r="FWR96" s="39"/>
      <c r="FWS96" s="39"/>
      <c r="FWT96" s="39"/>
      <c r="FWU96" s="39"/>
      <c r="FWV96" s="39"/>
      <c r="FWW96" s="39"/>
      <c r="FWX96" s="39"/>
      <c r="FWY96" s="39"/>
      <c r="FWZ96" s="39"/>
      <c r="FXA96" s="39"/>
      <c r="FXB96" s="39"/>
      <c r="FXC96" s="39"/>
      <c r="FXD96" s="39"/>
      <c r="FXE96" s="39"/>
      <c r="FXF96" s="39"/>
      <c r="FXG96" s="39"/>
      <c r="FXH96" s="39"/>
      <c r="FXI96" s="39"/>
      <c r="FXJ96" s="39"/>
      <c r="FXK96" s="39"/>
      <c r="FXL96" s="39"/>
      <c r="FXM96" s="39"/>
      <c r="FXN96" s="39"/>
      <c r="FXO96" s="39"/>
      <c r="FXP96" s="39"/>
      <c r="FXQ96" s="39"/>
      <c r="FXR96" s="39"/>
      <c r="FXS96" s="39"/>
      <c r="FXT96" s="39"/>
      <c r="FXU96" s="39"/>
      <c r="FXV96" s="39"/>
      <c r="FXW96" s="39"/>
      <c r="FXX96" s="39"/>
      <c r="FXY96" s="39"/>
      <c r="FXZ96" s="39"/>
      <c r="FYA96" s="39"/>
      <c r="FYB96" s="39"/>
      <c r="FYC96" s="39"/>
      <c r="FYD96" s="39"/>
      <c r="FYE96" s="39"/>
      <c r="FYF96" s="39"/>
      <c r="FYG96" s="39"/>
      <c r="FYH96" s="39"/>
      <c r="FYI96" s="39"/>
      <c r="FYJ96" s="39"/>
      <c r="FYK96" s="39"/>
      <c r="FYL96" s="39"/>
      <c r="FYM96" s="39"/>
      <c r="FYN96" s="39"/>
      <c r="FYO96" s="39"/>
      <c r="FYP96" s="39"/>
      <c r="FYQ96" s="39"/>
      <c r="FYR96" s="39"/>
      <c r="FYS96" s="39"/>
      <c r="FYT96" s="39"/>
      <c r="FYU96" s="39"/>
      <c r="FYV96" s="39"/>
      <c r="FYW96" s="39"/>
      <c r="FYX96" s="39"/>
      <c r="FYY96" s="39"/>
      <c r="FYZ96" s="39"/>
      <c r="FZA96" s="39"/>
      <c r="FZB96" s="39"/>
      <c r="FZC96" s="39"/>
      <c r="FZD96" s="39"/>
      <c r="FZE96" s="39"/>
      <c r="FZF96" s="39"/>
      <c r="FZG96" s="39"/>
      <c r="FZH96" s="39"/>
      <c r="FZI96" s="39"/>
      <c r="FZJ96" s="39"/>
      <c r="FZK96" s="39"/>
      <c r="FZL96" s="39"/>
      <c r="FZM96" s="39"/>
      <c r="FZN96" s="39"/>
      <c r="FZO96" s="39"/>
      <c r="FZP96" s="39"/>
      <c r="FZQ96" s="39"/>
      <c r="FZR96" s="39"/>
      <c r="FZS96" s="39"/>
      <c r="FZT96" s="39"/>
      <c r="FZU96" s="39"/>
      <c r="FZV96" s="39"/>
      <c r="FZW96" s="39"/>
      <c r="FZX96" s="39"/>
      <c r="FZY96" s="39"/>
      <c r="FZZ96" s="39"/>
      <c r="GAA96" s="39"/>
      <c r="GAB96" s="39"/>
      <c r="GAC96" s="39"/>
      <c r="GAD96" s="39"/>
      <c r="GAE96" s="39"/>
      <c r="GAF96" s="39"/>
      <c r="GAG96" s="39"/>
      <c r="GAH96" s="39"/>
      <c r="GAI96" s="39"/>
      <c r="GAJ96" s="39"/>
      <c r="GAK96" s="39"/>
      <c r="GAL96" s="39"/>
      <c r="GAM96" s="39"/>
      <c r="GAN96" s="39"/>
      <c r="GAO96" s="39"/>
      <c r="GAP96" s="39"/>
      <c r="GAQ96" s="39"/>
      <c r="GAR96" s="39"/>
      <c r="GAS96" s="39"/>
      <c r="GAT96" s="39"/>
      <c r="GAU96" s="39"/>
      <c r="GAV96" s="39"/>
      <c r="GAW96" s="39"/>
      <c r="GAX96" s="39"/>
      <c r="GAY96" s="39"/>
      <c r="GAZ96" s="39"/>
      <c r="GBA96" s="39"/>
      <c r="GBB96" s="39"/>
      <c r="GBC96" s="39"/>
      <c r="GBD96" s="39"/>
      <c r="GBE96" s="39"/>
      <c r="GBF96" s="39"/>
      <c r="GBG96" s="39"/>
      <c r="GBH96" s="39"/>
      <c r="GBI96" s="39"/>
      <c r="GBJ96" s="39"/>
      <c r="GBK96" s="39"/>
      <c r="GBL96" s="39"/>
      <c r="GBM96" s="39"/>
      <c r="GBN96" s="39"/>
      <c r="GBO96" s="39"/>
      <c r="GBP96" s="39"/>
      <c r="GBQ96" s="39"/>
      <c r="GBR96" s="39"/>
      <c r="GBS96" s="39"/>
      <c r="GBT96" s="39"/>
      <c r="GBU96" s="39"/>
      <c r="GBV96" s="39"/>
      <c r="GBW96" s="39"/>
      <c r="GBX96" s="39"/>
      <c r="GBY96" s="39"/>
      <c r="GBZ96" s="39"/>
      <c r="GCA96" s="39"/>
      <c r="GCB96" s="39"/>
      <c r="GCC96" s="39"/>
      <c r="GCD96" s="39"/>
      <c r="GCE96" s="39"/>
      <c r="GCF96" s="39"/>
      <c r="GCG96" s="39"/>
      <c r="GCH96" s="39"/>
      <c r="GCI96" s="39"/>
      <c r="GCJ96" s="39"/>
      <c r="GCK96" s="39"/>
      <c r="GCL96" s="39"/>
      <c r="GCM96" s="39"/>
      <c r="GCN96" s="39"/>
      <c r="GCO96" s="39"/>
      <c r="GCP96" s="39"/>
      <c r="GCQ96" s="39"/>
      <c r="GCR96" s="39"/>
      <c r="GCS96" s="39"/>
      <c r="GCT96" s="39"/>
      <c r="GCU96" s="39"/>
      <c r="GCV96" s="39"/>
      <c r="GCW96" s="39"/>
      <c r="GCX96" s="39"/>
      <c r="GCY96" s="39"/>
      <c r="GCZ96" s="39"/>
      <c r="GDA96" s="39"/>
      <c r="GDB96" s="39"/>
      <c r="GDC96" s="39"/>
      <c r="GDD96" s="39"/>
      <c r="GDE96" s="39"/>
      <c r="GDF96" s="39"/>
      <c r="GDG96" s="39"/>
      <c r="GDH96" s="39"/>
      <c r="GDI96" s="39"/>
      <c r="GDJ96" s="39"/>
      <c r="GDK96" s="39"/>
      <c r="GDL96" s="39"/>
      <c r="GDM96" s="39"/>
      <c r="GDN96" s="39"/>
      <c r="GDO96" s="39"/>
      <c r="GDP96" s="39"/>
      <c r="GDQ96" s="39"/>
      <c r="GDR96" s="39"/>
      <c r="GDS96" s="39"/>
      <c r="GDT96" s="39"/>
      <c r="GDU96" s="39"/>
      <c r="GDV96" s="39"/>
      <c r="GDW96" s="39"/>
      <c r="GDX96" s="39"/>
      <c r="GDY96" s="39"/>
      <c r="GDZ96" s="39"/>
      <c r="GEA96" s="39"/>
      <c r="GEB96" s="39"/>
      <c r="GEC96" s="39"/>
      <c r="GED96" s="39"/>
      <c r="GEE96" s="39"/>
      <c r="GEF96" s="39"/>
      <c r="GEG96" s="39"/>
      <c r="GEH96" s="39"/>
      <c r="GEI96" s="39"/>
      <c r="GEJ96" s="39"/>
      <c r="GEK96" s="39"/>
      <c r="GEL96" s="39"/>
      <c r="GEM96" s="39"/>
      <c r="GEN96" s="39"/>
      <c r="GEO96" s="39"/>
      <c r="GEP96" s="39"/>
      <c r="GEQ96" s="39"/>
      <c r="GER96" s="39"/>
      <c r="GES96" s="39"/>
      <c r="GET96" s="39"/>
      <c r="GEU96" s="39"/>
      <c r="GEV96" s="39"/>
      <c r="GEW96" s="39"/>
      <c r="GEX96" s="39"/>
      <c r="GEY96" s="39"/>
      <c r="GEZ96" s="39"/>
      <c r="GFA96" s="39"/>
      <c r="GFB96" s="39"/>
      <c r="GFC96" s="39"/>
      <c r="GFD96" s="39"/>
      <c r="GFE96" s="39"/>
      <c r="GFF96" s="39"/>
      <c r="GFG96" s="39"/>
      <c r="GFH96" s="39"/>
      <c r="GFI96" s="39"/>
      <c r="GFJ96" s="39"/>
      <c r="GFK96" s="39"/>
      <c r="GFL96" s="39"/>
      <c r="GFM96" s="39"/>
      <c r="GFN96" s="39"/>
      <c r="GFO96" s="39"/>
      <c r="GFP96" s="39"/>
      <c r="GFQ96" s="39"/>
      <c r="GFR96" s="39"/>
      <c r="GFS96" s="39"/>
      <c r="GFT96" s="39"/>
      <c r="GFU96" s="39"/>
      <c r="GFV96" s="39"/>
      <c r="GFW96" s="39"/>
      <c r="GFX96" s="39"/>
      <c r="GFY96" s="39"/>
      <c r="GFZ96" s="39"/>
      <c r="GGA96" s="39"/>
      <c r="GGB96" s="39"/>
      <c r="GGC96" s="39"/>
      <c r="GGD96" s="39"/>
      <c r="GGE96" s="39"/>
      <c r="GGF96" s="39"/>
      <c r="GGG96" s="39"/>
      <c r="GGH96" s="39"/>
      <c r="GGI96" s="39"/>
      <c r="GGJ96" s="39"/>
      <c r="GGK96" s="39"/>
      <c r="GGL96" s="39"/>
      <c r="GGM96" s="39"/>
      <c r="GGN96" s="39"/>
      <c r="GGO96" s="39"/>
      <c r="GGP96" s="39"/>
      <c r="GGQ96" s="39"/>
      <c r="GGR96" s="39"/>
      <c r="GGS96" s="39"/>
      <c r="GGT96" s="39"/>
      <c r="GGU96" s="39"/>
      <c r="GGV96" s="39"/>
      <c r="GGW96" s="39"/>
      <c r="GGX96" s="39"/>
      <c r="GGY96" s="39"/>
      <c r="GGZ96" s="39"/>
      <c r="GHA96" s="39"/>
      <c r="GHB96" s="39"/>
      <c r="GHC96" s="39"/>
      <c r="GHD96" s="39"/>
      <c r="GHE96" s="39"/>
      <c r="GHF96" s="39"/>
      <c r="GHG96" s="39"/>
      <c r="GHH96" s="39"/>
      <c r="GHI96" s="39"/>
      <c r="GHJ96" s="39"/>
      <c r="GHK96" s="39"/>
      <c r="GHL96" s="39"/>
      <c r="GHM96" s="39"/>
      <c r="GHN96" s="39"/>
      <c r="GHO96" s="39"/>
      <c r="GHP96" s="39"/>
      <c r="GHQ96" s="39"/>
      <c r="GHR96" s="39"/>
      <c r="GHS96" s="39"/>
      <c r="GHT96" s="39"/>
      <c r="GHU96" s="39"/>
      <c r="GHV96" s="39"/>
      <c r="GHW96" s="39"/>
      <c r="GHX96" s="39"/>
      <c r="GHY96" s="39"/>
      <c r="GHZ96" s="39"/>
      <c r="GIA96" s="39"/>
      <c r="GIB96" s="39"/>
      <c r="GIC96" s="39"/>
      <c r="GID96" s="39"/>
      <c r="GIE96" s="39"/>
      <c r="GIF96" s="39"/>
      <c r="GIG96" s="39"/>
      <c r="GIH96" s="39"/>
      <c r="GII96" s="39"/>
      <c r="GIJ96" s="39"/>
      <c r="GIK96" s="39"/>
      <c r="GIL96" s="39"/>
      <c r="GIM96" s="39"/>
      <c r="GIN96" s="39"/>
      <c r="GIO96" s="39"/>
      <c r="GIP96" s="39"/>
      <c r="GIQ96" s="39"/>
      <c r="GIR96" s="39"/>
      <c r="GIS96" s="39"/>
      <c r="GIT96" s="39"/>
      <c r="GIU96" s="39"/>
      <c r="GIV96" s="39"/>
      <c r="GIW96" s="39"/>
      <c r="GIX96" s="39"/>
      <c r="GIY96" s="39"/>
      <c r="GIZ96" s="39"/>
      <c r="GJA96" s="39"/>
      <c r="GJB96" s="39"/>
      <c r="GJC96" s="39"/>
      <c r="GJD96" s="39"/>
      <c r="GJE96" s="39"/>
      <c r="GJF96" s="39"/>
      <c r="GJG96" s="39"/>
      <c r="GJH96" s="39"/>
      <c r="GJI96" s="39"/>
      <c r="GJJ96" s="39"/>
      <c r="GJK96" s="39"/>
      <c r="GJL96" s="39"/>
      <c r="GJM96" s="39"/>
      <c r="GJN96" s="39"/>
      <c r="GJO96" s="39"/>
      <c r="GJP96" s="39"/>
      <c r="GJQ96" s="39"/>
      <c r="GJR96" s="39"/>
      <c r="GJS96" s="39"/>
      <c r="GJT96" s="39"/>
      <c r="GJU96" s="39"/>
      <c r="GJV96" s="39"/>
      <c r="GJW96" s="39"/>
      <c r="GJX96" s="39"/>
      <c r="GJY96" s="39"/>
      <c r="GJZ96" s="39"/>
      <c r="GKA96" s="39"/>
      <c r="GKB96" s="39"/>
      <c r="GKC96" s="39"/>
      <c r="GKD96" s="39"/>
      <c r="GKE96" s="39"/>
      <c r="GKF96" s="39"/>
      <c r="GKG96" s="39"/>
      <c r="GKH96" s="39"/>
      <c r="GKI96" s="39"/>
      <c r="GKJ96" s="39"/>
      <c r="GKK96" s="39"/>
      <c r="GKL96" s="39"/>
      <c r="GKM96" s="39"/>
      <c r="GKN96" s="39"/>
      <c r="GKO96" s="39"/>
      <c r="GKP96" s="39"/>
      <c r="GKQ96" s="39"/>
      <c r="GKR96" s="39"/>
      <c r="GKS96" s="39"/>
      <c r="GKT96" s="39"/>
      <c r="GKU96" s="39"/>
      <c r="GKV96" s="39"/>
      <c r="GKW96" s="39"/>
      <c r="GKX96" s="39"/>
      <c r="GKY96" s="39"/>
      <c r="GKZ96" s="39"/>
      <c r="GLA96" s="39"/>
      <c r="GLB96" s="39"/>
      <c r="GLC96" s="39"/>
      <c r="GLD96" s="39"/>
      <c r="GLE96" s="39"/>
      <c r="GLF96" s="39"/>
      <c r="GLG96" s="39"/>
      <c r="GLH96" s="39"/>
      <c r="GLI96" s="39"/>
      <c r="GLJ96" s="39"/>
      <c r="GLK96" s="39"/>
      <c r="GLL96" s="39"/>
      <c r="GLM96" s="39"/>
      <c r="GLN96" s="39"/>
      <c r="GLO96" s="39"/>
      <c r="GLP96" s="39"/>
      <c r="GLQ96" s="39"/>
      <c r="GLR96" s="39"/>
      <c r="GLS96" s="39"/>
      <c r="GLT96" s="39"/>
      <c r="GLU96" s="39"/>
      <c r="GLV96" s="39"/>
      <c r="GLW96" s="39"/>
      <c r="GLX96" s="39"/>
      <c r="GLY96" s="39"/>
      <c r="GLZ96" s="39"/>
      <c r="GMA96" s="39"/>
      <c r="GMB96" s="39"/>
      <c r="GMC96" s="39"/>
      <c r="GMD96" s="39"/>
      <c r="GME96" s="39"/>
      <c r="GMF96" s="39"/>
      <c r="GMG96" s="39"/>
      <c r="GMH96" s="39"/>
      <c r="GMI96" s="39"/>
      <c r="GMJ96" s="39"/>
      <c r="GMK96" s="39"/>
      <c r="GML96" s="39"/>
      <c r="GMM96" s="39"/>
      <c r="GMN96" s="39"/>
      <c r="GMO96" s="39"/>
      <c r="GMP96" s="39"/>
      <c r="GMQ96" s="39"/>
      <c r="GMR96" s="39"/>
      <c r="GMS96" s="39"/>
      <c r="GMT96" s="39"/>
      <c r="GMU96" s="39"/>
      <c r="GMV96" s="39"/>
      <c r="GMW96" s="39"/>
      <c r="GMX96" s="39"/>
      <c r="GMY96" s="39"/>
      <c r="GMZ96" s="39"/>
      <c r="GNA96" s="39"/>
      <c r="GNB96" s="39"/>
      <c r="GNC96" s="39"/>
      <c r="GND96" s="39"/>
      <c r="GNE96" s="39"/>
      <c r="GNF96" s="39"/>
      <c r="GNG96" s="39"/>
      <c r="GNH96" s="39"/>
      <c r="GNI96" s="39"/>
      <c r="GNJ96" s="39"/>
      <c r="GNK96" s="39"/>
      <c r="GNL96" s="39"/>
      <c r="GNM96" s="39"/>
      <c r="GNN96" s="39"/>
      <c r="GNO96" s="39"/>
      <c r="GNP96" s="39"/>
      <c r="GNQ96" s="39"/>
      <c r="GNR96" s="39"/>
      <c r="GNS96" s="39"/>
      <c r="GNT96" s="39"/>
      <c r="GNU96" s="39"/>
      <c r="GNV96" s="39"/>
      <c r="GNW96" s="39"/>
      <c r="GNX96" s="39"/>
      <c r="GNY96" s="39"/>
      <c r="GNZ96" s="39"/>
      <c r="GOA96" s="39"/>
      <c r="GOB96" s="39"/>
      <c r="GOC96" s="39"/>
      <c r="GOD96" s="39"/>
      <c r="GOE96" s="39"/>
      <c r="GOF96" s="39"/>
      <c r="GOG96" s="39"/>
      <c r="GOH96" s="39"/>
      <c r="GOI96" s="39"/>
      <c r="GOJ96" s="39"/>
      <c r="GOK96" s="39"/>
      <c r="GOL96" s="39"/>
      <c r="GOM96" s="39"/>
      <c r="GON96" s="39"/>
      <c r="GOO96" s="39"/>
      <c r="GOP96" s="39"/>
      <c r="GOQ96" s="39"/>
      <c r="GOR96" s="39"/>
      <c r="GOS96" s="39"/>
      <c r="GOT96" s="39"/>
      <c r="GOU96" s="39"/>
      <c r="GOV96" s="39"/>
      <c r="GOW96" s="39"/>
      <c r="GOX96" s="39"/>
      <c r="GOY96" s="39"/>
      <c r="GOZ96" s="39"/>
      <c r="GPA96" s="39"/>
      <c r="GPB96" s="39"/>
      <c r="GPC96" s="39"/>
      <c r="GPD96" s="39"/>
      <c r="GPE96" s="39"/>
      <c r="GPF96" s="39"/>
      <c r="GPG96" s="39"/>
      <c r="GPH96" s="39"/>
      <c r="GPI96" s="39"/>
      <c r="GPJ96" s="39"/>
      <c r="GPK96" s="39"/>
      <c r="GPL96" s="39"/>
      <c r="GPM96" s="39"/>
      <c r="GPN96" s="39"/>
      <c r="GPO96" s="39"/>
      <c r="GPP96" s="39"/>
      <c r="GPQ96" s="39"/>
      <c r="GPR96" s="39"/>
      <c r="GPS96" s="39"/>
      <c r="GPT96" s="39"/>
      <c r="GPU96" s="39"/>
      <c r="GPV96" s="39"/>
      <c r="GPW96" s="39"/>
      <c r="GPX96" s="39"/>
      <c r="GPY96" s="39"/>
      <c r="GPZ96" s="39"/>
      <c r="GQA96" s="39"/>
      <c r="GQB96" s="39"/>
      <c r="GQC96" s="39"/>
      <c r="GQD96" s="39"/>
      <c r="GQE96" s="39"/>
      <c r="GQF96" s="39"/>
      <c r="GQG96" s="39"/>
      <c r="GQH96" s="39"/>
      <c r="GQI96" s="39"/>
      <c r="GQJ96" s="39"/>
      <c r="GQK96" s="39"/>
      <c r="GQL96" s="39"/>
      <c r="GQM96" s="39"/>
      <c r="GQN96" s="39"/>
      <c r="GQO96" s="39"/>
      <c r="GQP96" s="39"/>
      <c r="GQQ96" s="39"/>
      <c r="GQR96" s="39"/>
      <c r="GQS96" s="39"/>
      <c r="GQT96" s="39"/>
      <c r="GQU96" s="39"/>
      <c r="GQV96" s="39"/>
      <c r="GQW96" s="39"/>
      <c r="GQX96" s="39"/>
      <c r="GQY96" s="39"/>
      <c r="GQZ96" s="39"/>
      <c r="GRA96" s="39"/>
      <c r="GRB96" s="39"/>
      <c r="GRC96" s="39"/>
      <c r="GRD96" s="39"/>
      <c r="GRE96" s="39"/>
      <c r="GRF96" s="39"/>
      <c r="GRG96" s="39"/>
      <c r="GRH96" s="39"/>
      <c r="GRI96" s="39"/>
      <c r="GRJ96" s="39"/>
      <c r="GRK96" s="39"/>
      <c r="GRL96" s="39"/>
      <c r="GRM96" s="39"/>
      <c r="GRN96" s="39"/>
      <c r="GRO96" s="39"/>
      <c r="GRP96" s="39"/>
      <c r="GRQ96" s="39"/>
      <c r="GRR96" s="39"/>
      <c r="GRS96" s="39"/>
      <c r="GRT96" s="39"/>
      <c r="GRU96" s="39"/>
      <c r="GRV96" s="39"/>
      <c r="GRW96" s="39"/>
      <c r="GRX96" s="39"/>
      <c r="GRY96" s="39"/>
      <c r="GRZ96" s="39"/>
      <c r="GSA96" s="39"/>
      <c r="GSB96" s="39"/>
      <c r="GSC96" s="39"/>
      <c r="GSD96" s="39"/>
      <c r="GSE96" s="39"/>
      <c r="GSF96" s="39"/>
      <c r="GSG96" s="39"/>
      <c r="GSH96" s="39"/>
      <c r="GSI96" s="39"/>
      <c r="GSJ96" s="39"/>
      <c r="GSK96" s="39"/>
      <c r="GSL96" s="39"/>
      <c r="GSM96" s="39"/>
      <c r="GSN96" s="39"/>
      <c r="GSO96" s="39"/>
      <c r="GSP96" s="39"/>
      <c r="GSQ96" s="39"/>
      <c r="GSR96" s="39"/>
      <c r="GSS96" s="39"/>
      <c r="GST96" s="39"/>
      <c r="GSU96" s="39"/>
      <c r="GSV96" s="39"/>
      <c r="GSW96" s="39"/>
      <c r="GSX96" s="39"/>
      <c r="GSY96" s="39"/>
      <c r="GSZ96" s="39"/>
      <c r="GTA96" s="39"/>
      <c r="GTB96" s="39"/>
      <c r="GTC96" s="39"/>
      <c r="GTD96" s="39"/>
      <c r="GTE96" s="39"/>
      <c r="GTF96" s="39"/>
      <c r="GTG96" s="39"/>
      <c r="GTH96" s="39"/>
      <c r="GTI96" s="39"/>
      <c r="GTJ96" s="39"/>
      <c r="GTK96" s="39"/>
      <c r="GTL96" s="39"/>
      <c r="GTM96" s="39"/>
      <c r="GTN96" s="39"/>
      <c r="GTO96" s="39"/>
      <c r="GTP96" s="39"/>
      <c r="GTQ96" s="39"/>
      <c r="GTR96" s="39"/>
      <c r="GTS96" s="39"/>
      <c r="GTT96" s="39"/>
      <c r="GTU96" s="39"/>
      <c r="GTV96" s="39"/>
      <c r="GTW96" s="39"/>
      <c r="GTX96" s="39"/>
      <c r="GTY96" s="39"/>
      <c r="GTZ96" s="39"/>
      <c r="GUA96" s="39"/>
      <c r="GUB96" s="39"/>
      <c r="GUC96" s="39"/>
      <c r="GUD96" s="39"/>
      <c r="GUE96" s="39"/>
      <c r="GUF96" s="39"/>
      <c r="GUG96" s="39"/>
      <c r="GUH96" s="39"/>
      <c r="GUI96" s="39"/>
      <c r="GUJ96" s="39"/>
      <c r="GUK96" s="39"/>
      <c r="GUL96" s="39"/>
      <c r="GUM96" s="39"/>
      <c r="GUN96" s="39"/>
      <c r="GUO96" s="39"/>
      <c r="GUP96" s="39"/>
      <c r="GUQ96" s="39"/>
      <c r="GUR96" s="39"/>
      <c r="GUS96" s="39"/>
      <c r="GUT96" s="39"/>
      <c r="GUU96" s="39"/>
      <c r="GUV96" s="39"/>
      <c r="GUW96" s="39"/>
      <c r="GUX96" s="39"/>
      <c r="GUY96" s="39"/>
      <c r="GUZ96" s="39"/>
      <c r="GVA96" s="39"/>
      <c r="GVB96" s="39"/>
      <c r="GVC96" s="39"/>
      <c r="GVD96" s="39"/>
      <c r="GVE96" s="39"/>
      <c r="GVF96" s="39"/>
      <c r="GVG96" s="39"/>
      <c r="GVH96" s="39"/>
      <c r="GVI96" s="39"/>
      <c r="GVJ96" s="39"/>
      <c r="GVK96" s="39"/>
      <c r="GVL96" s="39"/>
      <c r="GVM96" s="39"/>
      <c r="GVN96" s="39"/>
      <c r="GVO96" s="39"/>
      <c r="GVP96" s="39"/>
      <c r="GVQ96" s="39"/>
      <c r="GVR96" s="39"/>
      <c r="GVS96" s="39"/>
      <c r="GVT96" s="39"/>
      <c r="GVU96" s="39"/>
      <c r="GVV96" s="39"/>
      <c r="GVW96" s="39"/>
      <c r="GVX96" s="39"/>
      <c r="GVY96" s="39"/>
      <c r="GVZ96" s="39"/>
      <c r="GWA96" s="39"/>
      <c r="GWB96" s="39"/>
      <c r="GWC96" s="39"/>
      <c r="GWD96" s="39"/>
      <c r="GWE96" s="39"/>
      <c r="GWF96" s="39"/>
      <c r="GWG96" s="39"/>
      <c r="GWH96" s="39"/>
      <c r="GWI96" s="39"/>
      <c r="GWJ96" s="39"/>
      <c r="GWK96" s="39"/>
      <c r="GWL96" s="39"/>
      <c r="GWM96" s="39"/>
      <c r="GWN96" s="39"/>
      <c r="GWO96" s="39"/>
      <c r="GWP96" s="39"/>
      <c r="GWQ96" s="39"/>
      <c r="GWR96" s="39"/>
      <c r="GWS96" s="39"/>
      <c r="GWT96" s="39"/>
      <c r="GWU96" s="39"/>
      <c r="GWV96" s="39"/>
      <c r="GWW96" s="39"/>
      <c r="GWX96" s="39"/>
      <c r="GWY96" s="39"/>
      <c r="GWZ96" s="39"/>
      <c r="GXA96" s="39"/>
      <c r="GXB96" s="39"/>
      <c r="GXC96" s="39"/>
      <c r="GXD96" s="39"/>
      <c r="GXE96" s="39"/>
      <c r="GXF96" s="39"/>
      <c r="GXG96" s="39"/>
      <c r="GXH96" s="39"/>
      <c r="GXI96" s="39"/>
      <c r="GXJ96" s="39"/>
      <c r="GXK96" s="39"/>
      <c r="GXL96" s="39"/>
      <c r="GXM96" s="39"/>
      <c r="GXN96" s="39"/>
      <c r="GXO96" s="39"/>
      <c r="GXP96" s="39"/>
      <c r="GXQ96" s="39"/>
      <c r="GXR96" s="39"/>
      <c r="GXS96" s="39"/>
      <c r="GXT96" s="39"/>
      <c r="GXU96" s="39"/>
      <c r="GXV96" s="39"/>
      <c r="GXW96" s="39"/>
      <c r="GXX96" s="39"/>
      <c r="GXY96" s="39"/>
      <c r="GXZ96" s="39"/>
      <c r="GYA96" s="39"/>
      <c r="GYB96" s="39"/>
      <c r="GYC96" s="39"/>
      <c r="GYD96" s="39"/>
      <c r="GYE96" s="39"/>
      <c r="GYF96" s="39"/>
      <c r="GYG96" s="39"/>
      <c r="GYH96" s="39"/>
      <c r="GYI96" s="39"/>
      <c r="GYJ96" s="39"/>
      <c r="GYK96" s="39"/>
      <c r="GYL96" s="39"/>
      <c r="GYM96" s="39"/>
      <c r="GYN96" s="39"/>
      <c r="GYO96" s="39"/>
      <c r="GYP96" s="39"/>
      <c r="GYQ96" s="39"/>
      <c r="GYR96" s="39"/>
      <c r="GYS96" s="39"/>
      <c r="GYT96" s="39"/>
      <c r="GYU96" s="39"/>
      <c r="GYV96" s="39"/>
      <c r="GYW96" s="39"/>
      <c r="GYX96" s="39"/>
      <c r="GYY96" s="39"/>
      <c r="GYZ96" s="39"/>
      <c r="GZA96" s="39"/>
      <c r="GZB96" s="39"/>
      <c r="GZC96" s="39"/>
      <c r="GZD96" s="39"/>
      <c r="GZE96" s="39"/>
      <c r="GZF96" s="39"/>
      <c r="GZG96" s="39"/>
      <c r="GZH96" s="39"/>
      <c r="GZI96" s="39"/>
      <c r="GZJ96" s="39"/>
      <c r="GZK96" s="39"/>
      <c r="GZL96" s="39"/>
      <c r="GZM96" s="39"/>
      <c r="GZN96" s="39"/>
      <c r="GZO96" s="39"/>
      <c r="GZP96" s="39"/>
      <c r="GZQ96" s="39"/>
      <c r="GZR96" s="39"/>
      <c r="GZS96" s="39"/>
      <c r="GZT96" s="39"/>
      <c r="GZU96" s="39"/>
      <c r="GZV96" s="39"/>
      <c r="GZW96" s="39"/>
      <c r="GZX96" s="39"/>
      <c r="GZY96" s="39"/>
      <c r="GZZ96" s="39"/>
      <c r="HAA96" s="39"/>
      <c r="HAB96" s="39"/>
      <c r="HAC96" s="39"/>
      <c r="HAD96" s="39"/>
      <c r="HAE96" s="39"/>
      <c r="HAF96" s="39"/>
      <c r="HAG96" s="39"/>
      <c r="HAH96" s="39"/>
      <c r="HAI96" s="39"/>
      <c r="HAJ96" s="39"/>
      <c r="HAK96" s="39"/>
      <c r="HAL96" s="39"/>
      <c r="HAM96" s="39"/>
      <c r="HAN96" s="39"/>
      <c r="HAO96" s="39"/>
      <c r="HAP96" s="39"/>
      <c r="HAQ96" s="39"/>
      <c r="HAR96" s="39"/>
      <c r="HAS96" s="39"/>
      <c r="HAT96" s="39"/>
      <c r="HAU96" s="39"/>
      <c r="HAV96" s="39"/>
      <c r="HAW96" s="39"/>
      <c r="HAX96" s="39"/>
      <c r="HAY96" s="39"/>
      <c r="HAZ96" s="39"/>
      <c r="HBA96" s="39"/>
      <c r="HBB96" s="39"/>
      <c r="HBC96" s="39"/>
      <c r="HBD96" s="39"/>
      <c r="HBE96" s="39"/>
      <c r="HBF96" s="39"/>
      <c r="HBG96" s="39"/>
      <c r="HBH96" s="39"/>
      <c r="HBI96" s="39"/>
      <c r="HBJ96" s="39"/>
      <c r="HBK96" s="39"/>
      <c r="HBL96" s="39"/>
      <c r="HBM96" s="39"/>
      <c r="HBN96" s="39"/>
      <c r="HBO96" s="39"/>
      <c r="HBP96" s="39"/>
      <c r="HBQ96" s="39"/>
      <c r="HBR96" s="39"/>
      <c r="HBS96" s="39"/>
      <c r="HBT96" s="39"/>
      <c r="HBU96" s="39"/>
      <c r="HBV96" s="39"/>
      <c r="HBW96" s="39"/>
      <c r="HBX96" s="39"/>
      <c r="HBY96" s="39"/>
      <c r="HBZ96" s="39"/>
      <c r="HCA96" s="39"/>
      <c r="HCB96" s="39"/>
      <c r="HCC96" s="39"/>
      <c r="HCD96" s="39"/>
      <c r="HCE96" s="39"/>
      <c r="HCF96" s="39"/>
      <c r="HCG96" s="39"/>
      <c r="HCH96" s="39"/>
      <c r="HCI96" s="39"/>
      <c r="HCJ96" s="39"/>
      <c r="HCK96" s="39"/>
      <c r="HCL96" s="39"/>
      <c r="HCM96" s="39"/>
      <c r="HCN96" s="39"/>
      <c r="HCO96" s="39"/>
      <c r="HCP96" s="39"/>
      <c r="HCQ96" s="39"/>
      <c r="HCR96" s="39"/>
      <c r="HCS96" s="39"/>
      <c r="HCT96" s="39"/>
      <c r="HCU96" s="39"/>
      <c r="HCV96" s="39"/>
      <c r="HCW96" s="39"/>
      <c r="HCX96" s="39"/>
      <c r="HCY96" s="39"/>
      <c r="HCZ96" s="39"/>
      <c r="HDA96" s="39"/>
      <c r="HDB96" s="39"/>
      <c r="HDC96" s="39"/>
      <c r="HDD96" s="39"/>
      <c r="HDE96" s="39"/>
      <c r="HDF96" s="39"/>
      <c r="HDG96" s="39"/>
      <c r="HDH96" s="39"/>
      <c r="HDI96" s="39"/>
      <c r="HDJ96" s="39"/>
      <c r="HDK96" s="39"/>
      <c r="HDL96" s="39"/>
      <c r="HDM96" s="39"/>
      <c r="HDN96" s="39"/>
      <c r="HDO96" s="39"/>
      <c r="HDP96" s="39"/>
      <c r="HDQ96" s="39"/>
      <c r="HDR96" s="39"/>
      <c r="HDS96" s="39"/>
      <c r="HDT96" s="39"/>
      <c r="HDU96" s="39"/>
      <c r="HDV96" s="39"/>
      <c r="HDW96" s="39"/>
      <c r="HDX96" s="39"/>
      <c r="HDY96" s="39"/>
      <c r="HDZ96" s="39"/>
      <c r="HEA96" s="39"/>
      <c r="HEB96" s="39"/>
      <c r="HEC96" s="39"/>
      <c r="HED96" s="39"/>
      <c r="HEE96" s="39"/>
      <c r="HEF96" s="39"/>
      <c r="HEG96" s="39"/>
      <c r="HEH96" s="39"/>
      <c r="HEI96" s="39"/>
      <c r="HEJ96" s="39"/>
      <c r="HEK96" s="39"/>
      <c r="HEL96" s="39"/>
      <c r="HEM96" s="39"/>
      <c r="HEN96" s="39"/>
      <c r="HEO96" s="39"/>
      <c r="HEP96" s="39"/>
      <c r="HEQ96" s="39"/>
      <c r="HER96" s="39"/>
      <c r="HES96" s="39"/>
      <c r="HET96" s="39"/>
      <c r="HEU96" s="39"/>
      <c r="HEV96" s="39"/>
      <c r="HEW96" s="39"/>
      <c r="HEX96" s="39"/>
      <c r="HEY96" s="39"/>
      <c r="HEZ96" s="39"/>
      <c r="HFA96" s="39"/>
      <c r="HFB96" s="39"/>
      <c r="HFC96" s="39"/>
      <c r="HFD96" s="39"/>
      <c r="HFE96" s="39"/>
      <c r="HFF96" s="39"/>
      <c r="HFG96" s="39"/>
      <c r="HFH96" s="39"/>
      <c r="HFI96" s="39"/>
      <c r="HFJ96" s="39"/>
      <c r="HFK96" s="39"/>
      <c r="HFL96" s="39"/>
      <c r="HFM96" s="39"/>
      <c r="HFN96" s="39"/>
      <c r="HFO96" s="39"/>
      <c r="HFP96" s="39"/>
      <c r="HFQ96" s="39"/>
      <c r="HFR96" s="39"/>
      <c r="HFS96" s="39"/>
      <c r="HFT96" s="39"/>
      <c r="HFU96" s="39"/>
      <c r="HFV96" s="39"/>
      <c r="HFW96" s="39"/>
      <c r="HFX96" s="39"/>
      <c r="HFY96" s="39"/>
      <c r="HFZ96" s="39"/>
      <c r="HGA96" s="39"/>
      <c r="HGB96" s="39"/>
      <c r="HGC96" s="39"/>
      <c r="HGD96" s="39"/>
      <c r="HGE96" s="39"/>
      <c r="HGF96" s="39"/>
      <c r="HGG96" s="39"/>
      <c r="HGH96" s="39"/>
      <c r="HGI96" s="39"/>
      <c r="HGJ96" s="39"/>
      <c r="HGK96" s="39"/>
      <c r="HGL96" s="39"/>
      <c r="HGM96" s="39"/>
      <c r="HGN96" s="39"/>
      <c r="HGO96" s="39"/>
      <c r="HGP96" s="39"/>
      <c r="HGQ96" s="39"/>
      <c r="HGR96" s="39"/>
      <c r="HGS96" s="39"/>
      <c r="HGT96" s="39"/>
      <c r="HGU96" s="39"/>
      <c r="HGV96" s="39"/>
      <c r="HGW96" s="39"/>
      <c r="HGX96" s="39"/>
      <c r="HGY96" s="39"/>
      <c r="HGZ96" s="39"/>
      <c r="HHA96" s="39"/>
      <c r="HHB96" s="39"/>
      <c r="HHC96" s="39"/>
      <c r="HHD96" s="39"/>
      <c r="HHE96" s="39"/>
      <c r="HHF96" s="39"/>
      <c r="HHG96" s="39"/>
      <c r="HHH96" s="39"/>
      <c r="HHI96" s="39"/>
      <c r="HHJ96" s="39"/>
      <c r="HHK96" s="39"/>
      <c r="HHL96" s="39"/>
      <c r="HHM96" s="39"/>
      <c r="HHN96" s="39"/>
      <c r="HHO96" s="39"/>
      <c r="HHP96" s="39"/>
      <c r="HHQ96" s="39"/>
      <c r="HHR96" s="39"/>
      <c r="HHS96" s="39"/>
      <c r="HHT96" s="39"/>
      <c r="HHU96" s="39"/>
      <c r="HHV96" s="39"/>
      <c r="HHW96" s="39"/>
      <c r="HHX96" s="39"/>
      <c r="HHY96" s="39"/>
      <c r="HHZ96" s="39"/>
      <c r="HIA96" s="39"/>
      <c r="HIB96" s="39"/>
      <c r="HIC96" s="39"/>
      <c r="HID96" s="39"/>
      <c r="HIE96" s="39"/>
      <c r="HIF96" s="39"/>
      <c r="HIG96" s="39"/>
      <c r="HIH96" s="39"/>
      <c r="HII96" s="39"/>
      <c r="HIJ96" s="39"/>
      <c r="HIK96" s="39"/>
      <c r="HIL96" s="39"/>
      <c r="HIM96" s="39"/>
      <c r="HIN96" s="39"/>
      <c r="HIO96" s="39"/>
      <c r="HIP96" s="39"/>
      <c r="HIQ96" s="39"/>
      <c r="HIR96" s="39"/>
      <c r="HIS96" s="39"/>
      <c r="HIT96" s="39"/>
      <c r="HIU96" s="39"/>
      <c r="HIV96" s="39"/>
      <c r="HIW96" s="39"/>
      <c r="HIX96" s="39"/>
      <c r="HIY96" s="39"/>
      <c r="HIZ96" s="39"/>
      <c r="HJA96" s="39"/>
      <c r="HJB96" s="39"/>
      <c r="HJC96" s="39"/>
      <c r="HJD96" s="39"/>
      <c r="HJE96" s="39"/>
      <c r="HJF96" s="39"/>
      <c r="HJG96" s="39"/>
      <c r="HJH96" s="39"/>
      <c r="HJI96" s="39"/>
      <c r="HJJ96" s="39"/>
      <c r="HJK96" s="39"/>
      <c r="HJL96" s="39"/>
      <c r="HJM96" s="39"/>
      <c r="HJN96" s="39"/>
      <c r="HJO96" s="39"/>
      <c r="HJP96" s="39"/>
      <c r="HJQ96" s="39"/>
      <c r="HJR96" s="39"/>
      <c r="HJS96" s="39"/>
      <c r="HJT96" s="39"/>
      <c r="HJU96" s="39"/>
      <c r="HJV96" s="39"/>
      <c r="HJW96" s="39"/>
      <c r="HJX96" s="39"/>
      <c r="HJY96" s="39"/>
      <c r="HJZ96" s="39"/>
      <c r="HKA96" s="39"/>
      <c r="HKB96" s="39"/>
      <c r="HKC96" s="39"/>
      <c r="HKD96" s="39"/>
      <c r="HKE96" s="39"/>
      <c r="HKF96" s="39"/>
      <c r="HKG96" s="39"/>
      <c r="HKH96" s="39"/>
      <c r="HKI96" s="39"/>
      <c r="HKJ96" s="39"/>
      <c r="HKK96" s="39"/>
      <c r="HKL96" s="39"/>
      <c r="HKM96" s="39"/>
      <c r="HKN96" s="39"/>
      <c r="HKO96" s="39"/>
      <c r="HKP96" s="39"/>
      <c r="HKQ96" s="39"/>
      <c r="HKR96" s="39"/>
      <c r="HKS96" s="39"/>
      <c r="HKT96" s="39"/>
      <c r="HKU96" s="39"/>
      <c r="HKV96" s="39"/>
      <c r="HKW96" s="39"/>
      <c r="HKX96" s="39"/>
      <c r="HKY96" s="39"/>
      <c r="HKZ96" s="39"/>
      <c r="HLA96" s="39"/>
      <c r="HLB96" s="39"/>
      <c r="HLC96" s="39"/>
      <c r="HLD96" s="39"/>
      <c r="HLE96" s="39"/>
      <c r="HLF96" s="39"/>
      <c r="HLG96" s="39"/>
      <c r="HLH96" s="39"/>
      <c r="HLI96" s="39"/>
      <c r="HLJ96" s="39"/>
      <c r="HLK96" s="39"/>
      <c r="HLL96" s="39"/>
      <c r="HLM96" s="39"/>
      <c r="HLN96" s="39"/>
      <c r="HLO96" s="39"/>
      <c r="HLP96" s="39"/>
      <c r="HLQ96" s="39"/>
      <c r="HLR96" s="39"/>
      <c r="HLS96" s="39"/>
      <c r="HLT96" s="39"/>
      <c r="HLU96" s="39"/>
      <c r="HLV96" s="39"/>
      <c r="HLW96" s="39"/>
      <c r="HLX96" s="39"/>
      <c r="HLY96" s="39"/>
      <c r="HLZ96" s="39"/>
      <c r="HMA96" s="39"/>
      <c r="HMB96" s="39"/>
      <c r="HMC96" s="39"/>
      <c r="HMD96" s="39"/>
      <c r="HME96" s="39"/>
      <c r="HMF96" s="39"/>
      <c r="HMG96" s="39"/>
      <c r="HMH96" s="39"/>
      <c r="HMI96" s="39"/>
      <c r="HMJ96" s="39"/>
      <c r="HMK96" s="39"/>
      <c r="HML96" s="39"/>
      <c r="HMM96" s="39"/>
      <c r="HMN96" s="39"/>
      <c r="HMO96" s="39"/>
      <c r="HMP96" s="39"/>
      <c r="HMQ96" s="39"/>
      <c r="HMR96" s="39"/>
      <c r="HMS96" s="39"/>
      <c r="HMT96" s="39"/>
      <c r="HMU96" s="39"/>
      <c r="HMV96" s="39"/>
      <c r="HMW96" s="39"/>
      <c r="HMX96" s="39"/>
      <c r="HMY96" s="39"/>
      <c r="HMZ96" s="39"/>
      <c r="HNA96" s="39"/>
      <c r="HNB96" s="39"/>
      <c r="HNC96" s="39"/>
      <c r="HND96" s="39"/>
      <c r="HNE96" s="39"/>
      <c r="HNF96" s="39"/>
      <c r="HNG96" s="39"/>
      <c r="HNH96" s="39"/>
      <c r="HNI96" s="39"/>
      <c r="HNJ96" s="39"/>
      <c r="HNK96" s="39"/>
      <c r="HNL96" s="39"/>
      <c r="HNM96" s="39"/>
      <c r="HNN96" s="39"/>
      <c r="HNO96" s="39"/>
      <c r="HNP96" s="39"/>
      <c r="HNQ96" s="39"/>
      <c r="HNR96" s="39"/>
      <c r="HNS96" s="39"/>
      <c r="HNT96" s="39"/>
      <c r="HNU96" s="39"/>
      <c r="HNV96" s="39"/>
      <c r="HNW96" s="39"/>
      <c r="HNX96" s="39"/>
      <c r="HNY96" s="39"/>
      <c r="HNZ96" s="39"/>
      <c r="HOA96" s="39"/>
      <c r="HOB96" s="39"/>
      <c r="HOC96" s="39"/>
      <c r="HOD96" s="39"/>
      <c r="HOE96" s="39"/>
      <c r="HOF96" s="39"/>
      <c r="HOG96" s="39"/>
      <c r="HOH96" s="39"/>
      <c r="HOI96" s="39"/>
      <c r="HOJ96" s="39"/>
      <c r="HOK96" s="39"/>
      <c r="HOL96" s="39"/>
      <c r="HOM96" s="39"/>
      <c r="HON96" s="39"/>
      <c r="HOO96" s="39"/>
      <c r="HOP96" s="39"/>
      <c r="HOQ96" s="39"/>
      <c r="HOR96" s="39"/>
      <c r="HOS96" s="39"/>
      <c r="HOT96" s="39"/>
      <c r="HOU96" s="39"/>
      <c r="HOV96" s="39"/>
      <c r="HOW96" s="39"/>
      <c r="HOX96" s="39"/>
      <c r="HOY96" s="39"/>
      <c r="HOZ96" s="39"/>
      <c r="HPA96" s="39"/>
      <c r="HPB96" s="39"/>
      <c r="HPC96" s="39"/>
      <c r="HPD96" s="39"/>
      <c r="HPE96" s="39"/>
      <c r="HPF96" s="39"/>
      <c r="HPG96" s="39"/>
      <c r="HPH96" s="39"/>
      <c r="HPI96" s="39"/>
      <c r="HPJ96" s="39"/>
      <c r="HPK96" s="39"/>
      <c r="HPL96" s="39"/>
      <c r="HPM96" s="39"/>
      <c r="HPN96" s="39"/>
      <c r="HPO96" s="39"/>
      <c r="HPP96" s="39"/>
      <c r="HPQ96" s="39"/>
      <c r="HPR96" s="39"/>
      <c r="HPS96" s="39"/>
      <c r="HPT96" s="39"/>
      <c r="HPU96" s="39"/>
      <c r="HPV96" s="39"/>
      <c r="HPW96" s="39"/>
      <c r="HPX96" s="39"/>
      <c r="HPY96" s="39"/>
      <c r="HPZ96" s="39"/>
      <c r="HQA96" s="39"/>
      <c r="HQB96" s="39"/>
      <c r="HQC96" s="39"/>
      <c r="HQD96" s="39"/>
      <c r="HQE96" s="39"/>
      <c r="HQF96" s="39"/>
      <c r="HQG96" s="39"/>
      <c r="HQH96" s="39"/>
      <c r="HQI96" s="39"/>
      <c r="HQJ96" s="39"/>
      <c r="HQK96" s="39"/>
      <c r="HQL96" s="39"/>
      <c r="HQM96" s="39"/>
      <c r="HQN96" s="39"/>
      <c r="HQO96" s="39"/>
      <c r="HQP96" s="39"/>
      <c r="HQQ96" s="39"/>
      <c r="HQR96" s="39"/>
      <c r="HQS96" s="39"/>
      <c r="HQT96" s="39"/>
      <c r="HQU96" s="39"/>
      <c r="HQV96" s="39"/>
      <c r="HQW96" s="39"/>
      <c r="HQX96" s="39"/>
      <c r="HQY96" s="39"/>
      <c r="HQZ96" s="39"/>
      <c r="HRA96" s="39"/>
      <c r="HRB96" s="39"/>
      <c r="HRC96" s="39"/>
      <c r="HRD96" s="39"/>
      <c r="HRE96" s="39"/>
      <c r="HRF96" s="39"/>
      <c r="HRG96" s="39"/>
      <c r="HRH96" s="39"/>
      <c r="HRI96" s="39"/>
      <c r="HRJ96" s="39"/>
      <c r="HRK96" s="39"/>
      <c r="HRL96" s="39"/>
      <c r="HRM96" s="39"/>
      <c r="HRN96" s="39"/>
      <c r="HRO96" s="39"/>
      <c r="HRP96" s="39"/>
      <c r="HRQ96" s="39"/>
      <c r="HRR96" s="39"/>
      <c r="HRS96" s="39"/>
      <c r="HRT96" s="39"/>
      <c r="HRU96" s="39"/>
      <c r="HRV96" s="39"/>
      <c r="HRW96" s="39"/>
      <c r="HRX96" s="39"/>
      <c r="HRY96" s="39"/>
      <c r="HRZ96" s="39"/>
      <c r="HSA96" s="39"/>
      <c r="HSB96" s="39"/>
      <c r="HSC96" s="39"/>
      <c r="HSD96" s="39"/>
      <c r="HSE96" s="39"/>
      <c r="HSF96" s="39"/>
      <c r="HSG96" s="39"/>
      <c r="HSH96" s="39"/>
      <c r="HSI96" s="39"/>
      <c r="HSJ96" s="39"/>
      <c r="HSK96" s="39"/>
      <c r="HSL96" s="39"/>
      <c r="HSM96" s="39"/>
      <c r="HSN96" s="39"/>
      <c r="HSO96" s="39"/>
      <c r="HSP96" s="39"/>
      <c r="HSQ96" s="39"/>
      <c r="HSR96" s="39"/>
      <c r="HSS96" s="39"/>
      <c r="HST96" s="39"/>
      <c r="HSU96" s="39"/>
      <c r="HSV96" s="39"/>
      <c r="HSW96" s="39"/>
      <c r="HSX96" s="39"/>
      <c r="HSY96" s="39"/>
      <c r="HSZ96" s="39"/>
      <c r="HTA96" s="39"/>
      <c r="HTB96" s="39"/>
      <c r="HTC96" s="39"/>
      <c r="HTD96" s="39"/>
      <c r="HTE96" s="39"/>
      <c r="HTF96" s="39"/>
      <c r="HTG96" s="39"/>
      <c r="HTH96" s="39"/>
      <c r="HTI96" s="39"/>
      <c r="HTJ96" s="39"/>
      <c r="HTK96" s="39"/>
      <c r="HTL96" s="39"/>
      <c r="HTM96" s="39"/>
      <c r="HTN96" s="39"/>
      <c r="HTO96" s="39"/>
      <c r="HTP96" s="39"/>
      <c r="HTQ96" s="39"/>
      <c r="HTR96" s="39"/>
      <c r="HTS96" s="39"/>
      <c r="HTT96" s="39"/>
      <c r="HTU96" s="39"/>
      <c r="HTV96" s="39"/>
      <c r="HTW96" s="39"/>
      <c r="HTX96" s="39"/>
      <c r="HTY96" s="39"/>
      <c r="HTZ96" s="39"/>
      <c r="HUA96" s="39"/>
      <c r="HUB96" s="39"/>
      <c r="HUC96" s="39"/>
      <c r="HUD96" s="39"/>
      <c r="HUE96" s="39"/>
      <c r="HUF96" s="39"/>
      <c r="HUG96" s="39"/>
      <c r="HUH96" s="39"/>
      <c r="HUI96" s="39"/>
      <c r="HUJ96" s="39"/>
      <c r="HUK96" s="39"/>
      <c r="HUL96" s="39"/>
      <c r="HUM96" s="39"/>
      <c r="HUN96" s="39"/>
      <c r="HUO96" s="39"/>
      <c r="HUP96" s="39"/>
      <c r="HUQ96" s="39"/>
      <c r="HUR96" s="39"/>
      <c r="HUS96" s="39"/>
      <c r="HUT96" s="39"/>
      <c r="HUU96" s="39"/>
      <c r="HUV96" s="39"/>
      <c r="HUW96" s="39"/>
      <c r="HUX96" s="39"/>
      <c r="HUY96" s="39"/>
      <c r="HUZ96" s="39"/>
      <c r="HVA96" s="39"/>
      <c r="HVB96" s="39"/>
      <c r="HVC96" s="39"/>
      <c r="HVD96" s="39"/>
      <c r="HVE96" s="39"/>
      <c r="HVF96" s="39"/>
      <c r="HVG96" s="39"/>
      <c r="HVH96" s="39"/>
      <c r="HVI96" s="39"/>
      <c r="HVJ96" s="39"/>
      <c r="HVK96" s="39"/>
      <c r="HVL96" s="39"/>
      <c r="HVM96" s="39"/>
      <c r="HVN96" s="39"/>
      <c r="HVO96" s="39"/>
      <c r="HVP96" s="39"/>
      <c r="HVQ96" s="39"/>
      <c r="HVR96" s="39"/>
      <c r="HVS96" s="39"/>
      <c r="HVT96" s="39"/>
      <c r="HVU96" s="39"/>
      <c r="HVV96" s="39"/>
      <c r="HVW96" s="39"/>
      <c r="HVX96" s="39"/>
      <c r="HVY96" s="39"/>
      <c r="HVZ96" s="39"/>
      <c r="HWA96" s="39"/>
      <c r="HWB96" s="39"/>
      <c r="HWC96" s="39"/>
      <c r="HWD96" s="39"/>
      <c r="HWE96" s="39"/>
      <c r="HWF96" s="39"/>
      <c r="HWG96" s="39"/>
      <c r="HWH96" s="39"/>
      <c r="HWI96" s="39"/>
      <c r="HWJ96" s="39"/>
      <c r="HWK96" s="39"/>
      <c r="HWL96" s="39"/>
      <c r="HWM96" s="39"/>
      <c r="HWN96" s="39"/>
      <c r="HWO96" s="39"/>
      <c r="HWP96" s="39"/>
      <c r="HWQ96" s="39"/>
      <c r="HWR96" s="39"/>
      <c r="HWS96" s="39"/>
      <c r="HWT96" s="39"/>
      <c r="HWU96" s="39"/>
      <c r="HWV96" s="39"/>
      <c r="HWW96" s="39"/>
      <c r="HWX96" s="39"/>
      <c r="HWY96" s="39"/>
      <c r="HWZ96" s="39"/>
      <c r="HXA96" s="39"/>
      <c r="HXB96" s="39"/>
      <c r="HXC96" s="39"/>
      <c r="HXD96" s="39"/>
      <c r="HXE96" s="39"/>
      <c r="HXF96" s="39"/>
      <c r="HXG96" s="39"/>
      <c r="HXH96" s="39"/>
      <c r="HXI96" s="39"/>
      <c r="HXJ96" s="39"/>
      <c r="HXK96" s="39"/>
      <c r="HXL96" s="39"/>
      <c r="HXM96" s="39"/>
      <c r="HXN96" s="39"/>
      <c r="HXO96" s="39"/>
      <c r="HXP96" s="39"/>
      <c r="HXQ96" s="39"/>
      <c r="HXR96" s="39"/>
      <c r="HXS96" s="39"/>
      <c r="HXT96" s="39"/>
      <c r="HXU96" s="39"/>
      <c r="HXV96" s="39"/>
      <c r="HXW96" s="39"/>
      <c r="HXX96" s="39"/>
      <c r="HXY96" s="39"/>
      <c r="HXZ96" s="39"/>
      <c r="HYA96" s="39"/>
      <c r="HYB96" s="39"/>
      <c r="HYC96" s="39"/>
      <c r="HYD96" s="39"/>
      <c r="HYE96" s="39"/>
      <c r="HYF96" s="39"/>
      <c r="HYG96" s="39"/>
      <c r="HYH96" s="39"/>
      <c r="HYI96" s="39"/>
      <c r="HYJ96" s="39"/>
      <c r="HYK96" s="39"/>
      <c r="HYL96" s="39"/>
      <c r="HYM96" s="39"/>
      <c r="HYN96" s="39"/>
      <c r="HYO96" s="39"/>
      <c r="HYP96" s="39"/>
      <c r="HYQ96" s="39"/>
      <c r="HYR96" s="39"/>
      <c r="HYS96" s="39"/>
      <c r="HYT96" s="39"/>
      <c r="HYU96" s="39"/>
      <c r="HYV96" s="39"/>
      <c r="HYW96" s="39"/>
      <c r="HYX96" s="39"/>
      <c r="HYY96" s="39"/>
      <c r="HYZ96" s="39"/>
      <c r="HZA96" s="39"/>
      <c r="HZB96" s="39"/>
      <c r="HZC96" s="39"/>
      <c r="HZD96" s="39"/>
      <c r="HZE96" s="39"/>
      <c r="HZF96" s="39"/>
      <c r="HZG96" s="39"/>
      <c r="HZH96" s="39"/>
      <c r="HZI96" s="39"/>
      <c r="HZJ96" s="39"/>
      <c r="HZK96" s="39"/>
      <c r="HZL96" s="39"/>
      <c r="HZM96" s="39"/>
      <c r="HZN96" s="39"/>
      <c r="HZO96" s="39"/>
      <c r="HZP96" s="39"/>
      <c r="HZQ96" s="39"/>
      <c r="HZR96" s="39"/>
      <c r="HZS96" s="39"/>
      <c r="HZT96" s="39"/>
      <c r="HZU96" s="39"/>
      <c r="HZV96" s="39"/>
      <c r="HZW96" s="39"/>
      <c r="HZX96" s="39"/>
      <c r="HZY96" s="39"/>
      <c r="HZZ96" s="39"/>
      <c r="IAA96" s="39"/>
      <c r="IAB96" s="39"/>
      <c r="IAC96" s="39"/>
      <c r="IAD96" s="39"/>
      <c r="IAE96" s="39"/>
      <c r="IAF96" s="39"/>
      <c r="IAG96" s="39"/>
      <c r="IAH96" s="39"/>
      <c r="IAI96" s="39"/>
      <c r="IAJ96" s="39"/>
      <c r="IAK96" s="39"/>
      <c r="IAL96" s="39"/>
      <c r="IAM96" s="39"/>
      <c r="IAN96" s="39"/>
      <c r="IAO96" s="39"/>
      <c r="IAP96" s="39"/>
      <c r="IAQ96" s="39"/>
      <c r="IAR96" s="39"/>
      <c r="IAS96" s="39"/>
      <c r="IAT96" s="39"/>
      <c r="IAU96" s="39"/>
      <c r="IAV96" s="39"/>
      <c r="IAW96" s="39"/>
      <c r="IAX96" s="39"/>
      <c r="IAY96" s="39"/>
      <c r="IAZ96" s="39"/>
      <c r="IBA96" s="39"/>
      <c r="IBB96" s="39"/>
      <c r="IBC96" s="39"/>
      <c r="IBD96" s="39"/>
      <c r="IBE96" s="39"/>
      <c r="IBF96" s="39"/>
      <c r="IBG96" s="39"/>
      <c r="IBH96" s="39"/>
      <c r="IBI96" s="39"/>
      <c r="IBJ96" s="39"/>
      <c r="IBK96" s="39"/>
      <c r="IBL96" s="39"/>
      <c r="IBM96" s="39"/>
      <c r="IBN96" s="39"/>
      <c r="IBO96" s="39"/>
      <c r="IBP96" s="39"/>
      <c r="IBQ96" s="39"/>
      <c r="IBR96" s="39"/>
      <c r="IBS96" s="39"/>
      <c r="IBT96" s="39"/>
      <c r="IBU96" s="39"/>
      <c r="IBV96" s="39"/>
      <c r="IBW96" s="39"/>
      <c r="IBX96" s="39"/>
      <c r="IBY96" s="39"/>
      <c r="IBZ96" s="39"/>
      <c r="ICA96" s="39"/>
      <c r="ICB96" s="39"/>
      <c r="ICC96" s="39"/>
      <c r="ICD96" s="39"/>
      <c r="ICE96" s="39"/>
      <c r="ICF96" s="39"/>
      <c r="ICG96" s="39"/>
      <c r="ICH96" s="39"/>
      <c r="ICI96" s="39"/>
      <c r="ICJ96" s="39"/>
      <c r="ICK96" s="39"/>
      <c r="ICL96" s="39"/>
      <c r="ICM96" s="39"/>
      <c r="ICN96" s="39"/>
      <c r="ICO96" s="39"/>
      <c r="ICP96" s="39"/>
      <c r="ICQ96" s="39"/>
      <c r="ICR96" s="39"/>
      <c r="ICS96" s="39"/>
      <c r="ICT96" s="39"/>
      <c r="ICU96" s="39"/>
      <c r="ICV96" s="39"/>
      <c r="ICW96" s="39"/>
      <c r="ICX96" s="39"/>
      <c r="ICY96" s="39"/>
      <c r="ICZ96" s="39"/>
      <c r="IDA96" s="39"/>
      <c r="IDB96" s="39"/>
      <c r="IDC96" s="39"/>
      <c r="IDD96" s="39"/>
      <c r="IDE96" s="39"/>
      <c r="IDF96" s="39"/>
      <c r="IDG96" s="39"/>
      <c r="IDH96" s="39"/>
      <c r="IDI96" s="39"/>
      <c r="IDJ96" s="39"/>
      <c r="IDK96" s="39"/>
      <c r="IDL96" s="39"/>
      <c r="IDM96" s="39"/>
      <c r="IDN96" s="39"/>
      <c r="IDO96" s="39"/>
      <c r="IDP96" s="39"/>
      <c r="IDQ96" s="39"/>
      <c r="IDR96" s="39"/>
      <c r="IDS96" s="39"/>
      <c r="IDT96" s="39"/>
      <c r="IDU96" s="39"/>
      <c r="IDV96" s="39"/>
      <c r="IDW96" s="39"/>
      <c r="IDX96" s="39"/>
      <c r="IDY96" s="39"/>
      <c r="IDZ96" s="39"/>
      <c r="IEA96" s="39"/>
      <c r="IEB96" s="39"/>
      <c r="IEC96" s="39"/>
      <c r="IED96" s="39"/>
      <c r="IEE96" s="39"/>
      <c r="IEF96" s="39"/>
      <c r="IEG96" s="39"/>
      <c r="IEH96" s="39"/>
      <c r="IEI96" s="39"/>
      <c r="IEJ96" s="39"/>
      <c r="IEK96" s="39"/>
      <c r="IEL96" s="39"/>
      <c r="IEM96" s="39"/>
      <c r="IEN96" s="39"/>
      <c r="IEO96" s="39"/>
      <c r="IEP96" s="39"/>
      <c r="IEQ96" s="39"/>
      <c r="IER96" s="39"/>
      <c r="IES96" s="39"/>
      <c r="IET96" s="39"/>
      <c r="IEU96" s="39"/>
      <c r="IEV96" s="39"/>
      <c r="IEW96" s="39"/>
      <c r="IEX96" s="39"/>
      <c r="IEY96" s="39"/>
      <c r="IEZ96" s="39"/>
      <c r="IFA96" s="39"/>
      <c r="IFB96" s="39"/>
      <c r="IFC96" s="39"/>
      <c r="IFD96" s="39"/>
      <c r="IFE96" s="39"/>
      <c r="IFF96" s="39"/>
      <c r="IFG96" s="39"/>
      <c r="IFH96" s="39"/>
      <c r="IFI96" s="39"/>
      <c r="IFJ96" s="39"/>
      <c r="IFK96" s="39"/>
      <c r="IFL96" s="39"/>
      <c r="IFM96" s="39"/>
      <c r="IFN96" s="39"/>
      <c r="IFO96" s="39"/>
      <c r="IFP96" s="39"/>
      <c r="IFQ96" s="39"/>
      <c r="IFR96" s="39"/>
      <c r="IFS96" s="39"/>
      <c r="IFT96" s="39"/>
      <c r="IFU96" s="39"/>
      <c r="IFV96" s="39"/>
      <c r="IFW96" s="39"/>
      <c r="IFX96" s="39"/>
      <c r="IFY96" s="39"/>
      <c r="IFZ96" s="39"/>
      <c r="IGA96" s="39"/>
      <c r="IGB96" s="39"/>
      <c r="IGC96" s="39"/>
      <c r="IGD96" s="39"/>
      <c r="IGE96" s="39"/>
      <c r="IGF96" s="39"/>
      <c r="IGG96" s="39"/>
      <c r="IGH96" s="39"/>
      <c r="IGI96" s="39"/>
      <c r="IGJ96" s="39"/>
      <c r="IGK96" s="39"/>
      <c r="IGL96" s="39"/>
      <c r="IGM96" s="39"/>
      <c r="IGN96" s="39"/>
      <c r="IGO96" s="39"/>
      <c r="IGP96" s="39"/>
      <c r="IGQ96" s="39"/>
      <c r="IGR96" s="39"/>
      <c r="IGS96" s="39"/>
      <c r="IGT96" s="39"/>
      <c r="IGU96" s="39"/>
      <c r="IGV96" s="39"/>
      <c r="IGW96" s="39"/>
      <c r="IGX96" s="39"/>
      <c r="IGY96" s="39"/>
      <c r="IGZ96" s="39"/>
      <c r="IHA96" s="39"/>
      <c r="IHB96" s="39"/>
      <c r="IHC96" s="39"/>
      <c r="IHD96" s="39"/>
      <c r="IHE96" s="39"/>
      <c r="IHF96" s="39"/>
      <c r="IHG96" s="39"/>
      <c r="IHH96" s="39"/>
      <c r="IHI96" s="39"/>
      <c r="IHJ96" s="39"/>
      <c r="IHK96" s="39"/>
      <c r="IHL96" s="39"/>
      <c r="IHM96" s="39"/>
      <c r="IHN96" s="39"/>
      <c r="IHO96" s="39"/>
      <c r="IHP96" s="39"/>
      <c r="IHQ96" s="39"/>
      <c r="IHR96" s="39"/>
      <c r="IHS96" s="39"/>
      <c r="IHT96" s="39"/>
      <c r="IHU96" s="39"/>
      <c r="IHV96" s="39"/>
      <c r="IHW96" s="39"/>
      <c r="IHX96" s="39"/>
      <c r="IHY96" s="39"/>
      <c r="IHZ96" s="39"/>
      <c r="IIA96" s="39"/>
      <c r="IIB96" s="39"/>
      <c r="IIC96" s="39"/>
      <c r="IID96" s="39"/>
      <c r="IIE96" s="39"/>
      <c r="IIF96" s="39"/>
      <c r="IIG96" s="39"/>
      <c r="IIH96" s="39"/>
      <c r="III96" s="39"/>
      <c r="IIJ96" s="39"/>
      <c r="IIK96" s="39"/>
      <c r="IIL96" s="39"/>
      <c r="IIM96" s="39"/>
      <c r="IIN96" s="39"/>
      <c r="IIO96" s="39"/>
      <c r="IIP96" s="39"/>
      <c r="IIQ96" s="39"/>
      <c r="IIR96" s="39"/>
      <c r="IIS96" s="39"/>
      <c r="IIT96" s="39"/>
      <c r="IIU96" s="39"/>
      <c r="IIV96" s="39"/>
      <c r="IIW96" s="39"/>
      <c r="IIX96" s="39"/>
      <c r="IIY96" s="39"/>
      <c r="IIZ96" s="39"/>
      <c r="IJA96" s="39"/>
      <c r="IJB96" s="39"/>
      <c r="IJC96" s="39"/>
      <c r="IJD96" s="39"/>
      <c r="IJE96" s="39"/>
      <c r="IJF96" s="39"/>
      <c r="IJG96" s="39"/>
      <c r="IJH96" s="39"/>
      <c r="IJI96" s="39"/>
      <c r="IJJ96" s="39"/>
      <c r="IJK96" s="39"/>
      <c r="IJL96" s="39"/>
      <c r="IJM96" s="39"/>
      <c r="IJN96" s="39"/>
      <c r="IJO96" s="39"/>
      <c r="IJP96" s="39"/>
      <c r="IJQ96" s="39"/>
      <c r="IJR96" s="39"/>
      <c r="IJS96" s="39"/>
      <c r="IJT96" s="39"/>
      <c r="IJU96" s="39"/>
      <c r="IJV96" s="39"/>
      <c r="IJW96" s="39"/>
      <c r="IJX96" s="39"/>
      <c r="IJY96" s="39"/>
      <c r="IJZ96" s="39"/>
      <c r="IKA96" s="39"/>
      <c r="IKB96" s="39"/>
      <c r="IKC96" s="39"/>
      <c r="IKD96" s="39"/>
      <c r="IKE96" s="39"/>
      <c r="IKF96" s="39"/>
      <c r="IKG96" s="39"/>
      <c r="IKH96" s="39"/>
      <c r="IKI96" s="39"/>
      <c r="IKJ96" s="39"/>
      <c r="IKK96" s="39"/>
      <c r="IKL96" s="39"/>
      <c r="IKM96" s="39"/>
      <c r="IKN96" s="39"/>
      <c r="IKO96" s="39"/>
      <c r="IKP96" s="39"/>
      <c r="IKQ96" s="39"/>
      <c r="IKR96" s="39"/>
      <c r="IKS96" s="39"/>
      <c r="IKT96" s="39"/>
      <c r="IKU96" s="39"/>
      <c r="IKV96" s="39"/>
      <c r="IKW96" s="39"/>
      <c r="IKX96" s="39"/>
      <c r="IKY96" s="39"/>
      <c r="IKZ96" s="39"/>
      <c r="ILA96" s="39"/>
      <c r="ILB96" s="39"/>
      <c r="ILC96" s="39"/>
      <c r="ILD96" s="39"/>
      <c r="ILE96" s="39"/>
      <c r="ILF96" s="39"/>
      <c r="ILG96" s="39"/>
      <c r="ILH96" s="39"/>
      <c r="ILI96" s="39"/>
      <c r="ILJ96" s="39"/>
      <c r="ILK96" s="39"/>
      <c r="ILL96" s="39"/>
      <c r="ILM96" s="39"/>
      <c r="ILN96" s="39"/>
      <c r="ILO96" s="39"/>
      <c r="ILP96" s="39"/>
      <c r="ILQ96" s="39"/>
      <c r="ILR96" s="39"/>
      <c r="ILS96" s="39"/>
      <c r="ILT96" s="39"/>
      <c r="ILU96" s="39"/>
      <c r="ILV96" s="39"/>
      <c r="ILW96" s="39"/>
      <c r="ILX96" s="39"/>
      <c r="ILY96" s="39"/>
      <c r="ILZ96" s="39"/>
      <c r="IMA96" s="39"/>
      <c r="IMB96" s="39"/>
      <c r="IMC96" s="39"/>
      <c r="IMD96" s="39"/>
      <c r="IME96" s="39"/>
      <c r="IMF96" s="39"/>
      <c r="IMG96" s="39"/>
      <c r="IMH96" s="39"/>
      <c r="IMI96" s="39"/>
      <c r="IMJ96" s="39"/>
      <c r="IMK96" s="39"/>
      <c r="IML96" s="39"/>
      <c r="IMM96" s="39"/>
      <c r="IMN96" s="39"/>
      <c r="IMO96" s="39"/>
      <c r="IMP96" s="39"/>
      <c r="IMQ96" s="39"/>
      <c r="IMR96" s="39"/>
      <c r="IMS96" s="39"/>
      <c r="IMT96" s="39"/>
      <c r="IMU96" s="39"/>
      <c r="IMV96" s="39"/>
      <c r="IMW96" s="39"/>
      <c r="IMX96" s="39"/>
      <c r="IMY96" s="39"/>
      <c r="IMZ96" s="39"/>
      <c r="INA96" s="39"/>
      <c r="INB96" s="39"/>
      <c r="INC96" s="39"/>
      <c r="IND96" s="39"/>
      <c r="INE96" s="39"/>
      <c r="INF96" s="39"/>
      <c r="ING96" s="39"/>
      <c r="INH96" s="39"/>
      <c r="INI96" s="39"/>
      <c r="INJ96" s="39"/>
      <c r="INK96" s="39"/>
      <c r="INL96" s="39"/>
      <c r="INM96" s="39"/>
      <c r="INN96" s="39"/>
      <c r="INO96" s="39"/>
      <c r="INP96" s="39"/>
      <c r="INQ96" s="39"/>
      <c r="INR96" s="39"/>
      <c r="INS96" s="39"/>
      <c r="INT96" s="39"/>
      <c r="INU96" s="39"/>
      <c r="INV96" s="39"/>
      <c r="INW96" s="39"/>
      <c r="INX96" s="39"/>
      <c r="INY96" s="39"/>
      <c r="INZ96" s="39"/>
      <c r="IOA96" s="39"/>
      <c r="IOB96" s="39"/>
      <c r="IOC96" s="39"/>
      <c r="IOD96" s="39"/>
      <c r="IOE96" s="39"/>
      <c r="IOF96" s="39"/>
      <c r="IOG96" s="39"/>
      <c r="IOH96" s="39"/>
      <c r="IOI96" s="39"/>
      <c r="IOJ96" s="39"/>
      <c r="IOK96" s="39"/>
      <c r="IOL96" s="39"/>
      <c r="IOM96" s="39"/>
      <c r="ION96" s="39"/>
      <c r="IOO96" s="39"/>
      <c r="IOP96" s="39"/>
      <c r="IOQ96" s="39"/>
      <c r="IOR96" s="39"/>
      <c r="IOS96" s="39"/>
      <c r="IOT96" s="39"/>
      <c r="IOU96" s="39"/>
      <c r="IOV96" s="39"/>
      <c r="IOW96" s="39"/>
      <c r="IOX96" s="39"/>
      <c r="IOY96" s="39"/>
      <c r="IOZ96" s="39"/>
      <c r="IPA96" s="39"/>
      <c r="IPB96" s="39"/>
      <c r="IPC96" s="39"/>
      <c r="IPD96" s="39"/>
      <c r="IPE96" s="39"/>
      <c r="IPF96" s="39"/>
      <c r="IPG96" s="39"/>
      <c r="IPH96" s="39"/>
      <c r="IPI96" s="39"/>
      <c r="IPJ96" s="39"/>
      <c r="IPK96" s="39"/>
      <c r="IPL96" s="39"/>
      <c r="IPM96" s="39"/>
      <c r="IPN96" s="39"/>
      <c r="IPO96" s="39"/>
      <c r="IPP96" s="39"/>
      <c r="IPQ96" s="39"/>
      <c r="IPR96" s="39"/>
      <c r="IPS96" s="39"/>
      <c r="IPT96" s="39"/>
      <c r="IPU96" s="39"/>
      <c r="IPV96" s="39"/>
      <c r="IPW96" s="39"/>
      <c r="IPX96" s="39"/>
      <c r="IPY96" s="39"/>
      <c r="IPZ96" s="39"/>
      <c r="IQA96" s="39"/>
      <c r="IQB96" s="39"/>
      <c r="IQC96" s="39"/>
      <c r="IQD96" s="39"/>
      <c r="IQE96" s="39"/>
      <c r="IQF96" s="39"/>
      <c r="IQG96" s="39"/>
      <c r="IQH96" s="39"/>
      <c r="IQI96" s="39"/>
      <c r="IQJ96" s="39"/>
      <c r="IQK96" s="39"/>
      <c r="IQL96" s="39"/>
      <c r="IQM96" s="39"/>
      <c r="IQN96" s="39"/>
      <c r="IQO96" s="39"/>
      <c r="IQP96" s="39"/>
      <c r="IQQ96" s="39"/>
      <c r="IQR96" s="39"/>
      <c r="IQS96" s="39"/>
      <c r="IQT96" s="39"/>
      <c r="IQU96" s="39"/>
      <c r="IQV96" s="39"/>
      <c r="IQW96" s="39"/>
      <c r="IQX96" s="39"/>
      <c r="IQY96" s="39"/>
      <c r="IQZ96" s="39"/>
      <c r="IRA96" s="39"/>
      <c r="IRB96" s="39"/>
      <c r="IRC96" s="39"/>
      <c r="IRD96" s="39"/>
      <c r="IRE96" s="39"/>
      <c r="IRF96" s="39"/>
      <c r="IRG96" s="39"/>
      <c r="IRH96" s="39"/>
      <c r="IRI96" s="39"/>
      <c r="IRJ96" s="39"/>
      <c r="IRK96" s="39"/>
      <c r="IRL96" s="39"/>
      <c r="IRM96" s="39"/>
      <c r="IRN96" s="39"/>
      <c r="IRO96" s="39"/>
      <c r="IRP96" s="39"/>
      <c r="IRQ96" s="39"/>
      <c r="IRR96" s="39"/>
      <c r="IRS96" s="39"/>
      <c r="IRT96" s="39"/>
      <c r="IRU96" s="39"/>
      <c r="IRV96" s="39"/>
      <c r="IRW96" s="39"/>
      <c r="IRX96" s="39"/>
      <c r="IRY96" s="39"/>
      <c r="IRZ96" s="39"/>
      <c r="ISA96" s="39"/>
      <c r="ISB96" s="39"/>
      <c r="ISC96" s="39"/>
      <c r="ISD96" s="39"/>
      <c r="ISE96" s="39"/>
      <c r="ISF96" s="39"/>
      <c r="ISG96" s="39"/>
      <c r="ISH96" s="39"/>
      <c r="ISI96" s="39"/>
      <c r="ISJ96" s="39"/>
      <c r="ISK96" s="39"/>
      <c r="ISL96" s="39"/>
      <c r="ISM96" s="39"/>
      <c r="ISN96" s="39"/>
      <c r="ISO96" s="39"/>
      <c r="ISP96" s="39"/>
      <c r="ISQ96" s="39"/>
      <c r="ISR96" s="39"/>
      <c r="ISS96" s="39"/>
      <c r="IST96" s="39"/>
      <c r="ISU96" s="39"/>
      <c r="ISV96" s="39"/>
      <c r="ISW96" s="39"/>
      <c r="ISX96" s="39"/>
      <c r="ISY96" s="39"/>
      <c r="ISZ96" s="39"/>
      <c r="ITA96" s="39"/>
      <c r="ITB96" s="39"/>
      <c r="ITC96" s="39"/>
      <c r="ITD96" s="39"/>
      <c r="ITE96" s="39"/>
      <c r="ITF96" s="39"/>
      <c r="ITG96" s="39"/>
      <c r="ITH96" s="39"/>
      <c r="ITI96" s="39"/>
      <c r="ITJ96" s="39"/>
      <c r="ITK96" s="39"/>
      <c r="ITL96" s="39"/>
      <c r="ITM96" s="39"/>
      <c r="ITN96" s="39"/>
      <c r="ITO96" s="39"/>
      <c r="ITP96" s="39"/>
      <c r="ITQ96" s="39"/>
      <c r="ITR96" s="39"/>
      <c r="ITS96" s="39"/>
      <c r="ITT96" s="39"/>
      <c r="ITU96" s="39"/>
      <c r="ITV96" s="39"/>
      <c r="ITW96" s="39"/>
      <c r="ITX96" s="39"/>
      <c r="ITY96" s="39"/>
      <c r="ITZ96" s="39"/>
      <c r="IUA96" s="39"/>
      <c r="IUB96" s="39"/>
      <c r="IUC96" s="39"/>
      <c r="IUD96" s="39"/>
      <c r="IUE96" s="39"/>
      <c r="IUF96" s="39"/>
      <c r="IUG96" s="39"/>
      <c r="IUH96" s="39"/>
      <c r="IUI96" s="39"/>
      <c r="IUJ96" s="39"/>
      <c r="IUK96" s="39"/>
      <c r="IUL96" s="39"/>
      <c r="IUM96" s="39"/>
      <c r="IUN96" s="39"/>
      <c r="IUO96" s="39"/>
      <c r="IUP96" s="39"/>
      <c r="IUQ96" s="39"/>
      <c r="IUR96" s="39"/>
      <c r="IUS96" s="39"/>
      <c r="IUT96" s="39"/>
      <c r="IUU96" s="39"/>
      <c r="IUV96" s="39"/>
      <c r="IUW96" s="39"/>
      <c r="IUX96" s="39"/>
      <c r="IUY96" s="39"/>
      <c r="IUZ96" s="39"/>
      <c r="IVA96" s="39"/>
      <c r="IVB96" s="39"/>
      <c r="IVC96" s="39"/>
      <c r="IVD96" s="39"/>
      <c r="IVE96" s="39"/>
      <c r="IVF96" s="39"/>
      <c r="IVG96" s="39"/>
      <c r="IVH96" s="39"/>
      <c r="IVI96" s="39"/>
      <c r="IVJ96" s="39"/>
      <c r="IVK96" s="39"/>
      <c r="IVL96" s="39"/>
      <c r="IVM96" s="39"/>
      <c r="IVN96" s="39"/>
      <c r="IVO96" s="39"/>
      <c r="IVP96" s="39"/>
      <c r="IVQ96" s="39"/>
      <c r="IVR96" s="39"/>
      <c r="IVS96" s="39"/>
      <c r="IVT96" s="39"/>
      <c r="IVU96" s="39"/>
      <c r="IVV96" s="39"/>
      <c r="IVW96" s="39"/>
      <c r="IVX96" s="39"/>
      <c r="IVY96" s="39"/>
      <c r="IVZ96" s="39"/>
      <c r="IWA96" s="39"/>
      <c r="IWB96" s="39"/>
      <c r="IWC96" s="39"/>
      <c r="IWD96" s="39"/>
      <c r="IWE96" s="39"/>
      <c r="IWF96" s="39"/>
      <c r="IWG96" s="39"/>
      <c r="IWH96" s="39"/>
      <c r="IWI96" s="39"/>
      <c r="IWJ96" s="39"/>
      <c r="IWK96" s="39"/>
      <c r="IWL96" s="39"/>
      <c r="IWM96" s="39"/>
      <c r="IWN96" s="39"/>
      <c r="IWO96" s="39"/>
      <c r="IWP96" s="39"/>
      <c r="IWQ96" s="39"/>
      <c r="IWR96" s="39"/>
      <c r="IWS96" s="39"/>
      <c r="IWT96" s="39"/>
      <c r="IWU96" s="39"/>
      <c r="IWV96" s="39"/>
      <c r="IWW96" s="39"/>
      <c r="IWX96" s="39"/>
      <c r="IWY96" s="39"/>
      <c r="IWZ96" s="39"/>
      <c r="IXA96" s="39"/>
      <c r="IXB96" s="39"/>
      <c r="IXC96" s="39"/>
      <c r="IXD96" s="39"/>
      <c r="IXE96" s="39"/>
      <c r="IXF96" s="39"/>
      <c r="IXG96" s="39"/>
      <c r="IXH96" s="39"/>
      <c r="IXI96" s="39"/>
      <c r="IXJ96" s="39"/>
      <c r="IXK96" s="39"/>
      <c r="IXL96" s="39"/>
      <c r="IXM96" s="39"/>
      <c r="IXN96" s="39"/>
      <c r="IXO96" s="39"/>
      <c r="IXP96" s="39"/>
      <c r="IXQ96" s="39"/>
      <c r="IXR96" s="39"/>
      <c r="IXS96" s="39"/>
      <c r="IXT96" s="39"/>
      <c r="IXU96" s="39"/>
      <c r="IXV96" s="39"/>
      <c r="IXW96" s="39"/>
      <c r="IXX96" s="39"/>
      <c r="IXY96" s="39"/>
      <c r="IXZ96" s="39"/>
      <c r="IYA96" s="39"/>
      <c r="IYB96" s="39"/>
      <c r="IYC96" s="39"/>
      <c r="IYD96" s="39"/>
      <c r="IYE96" s="39"/>
      <c r="IYF96" s="39"/>
      <c r="IYG96" s="39"/>
      <c r="IYH96" s="39"/>
      <c r="IYI96" s="39"/>
      <c r="IYJ96" s="39"/>
      <c r="IYK96" s="39"/>
      <c r="IYL96" s="39"/>
      <c r="IYM96" s="39"/>
      <c r="IYN96" s="39"/>
      <c r="IYO96" s="39"/>
      <c r="IYP96" s="39"/>
      <c r="IYQ96" s="39"/>
      <c r="IYR96" s="39"/>
      <c r="IYS96" s="39"/>
      <c r="IYT96" s="39"/>
      <c r="IYU96" s="39"/>
      <c r="IYV96" s="39"/>
      <c r="IYW96" s="39"/>
      <c r="IYX96" s="39"/>
      <c r="IYY96" s="39"/>
      <c r="IYZ96" s="39"/>
      <c r="IZA96" s="39"/>
      <c r="IZB96" s="39"/>
      <c r="IZC96" s="39"/>
      <c r="IZD96" s="39"/>
      <c r="IZE96" s="39"/>
      <c r="IZF96" s="39"/>
      <c r="IZG96" s="39"/>
      <c r="IZH96" s="39"/>
      <c r="IZI96" s="39"/>
      <c r="IZJ96" s="39"/>
      <c r="IZK96" s="39"/>
      <c r="IZL96" s="39"/>
      <c r="IZM96" s="39"/>
      <c r="IZN96" s="39"/>
      <c r="IZO96" s="39"/>
      <c r="IZP96" s="39"/>
      <c r="IZQ96" s="39"/>
      <c r="IZR96" s="39"/>
      <c r="IZS96" s="39"/>
      <c r="IZT96" s="39"/>
      <c r="IZU96" s="39"/>
      <c r="IZV96" s="39"/>
      <c r="IZW96" s="39"/>
      <c r="IZX96" s="39"/>
      <c r="IZY96" s="39"/>
      <c r="IZZ96" s="39"/>
      <c r="JAA96" s="39"/>
      <c r="JAB96" s="39"/>
      <c r="JAC96" s="39"/>
      <c r="JAD96" s="39"/>
      <c r="JAE96" s="39"/>
      <c r="JAF96" s="39"/>
      <c r="JAG96" s="39"/>
      <c r="JAH96" s="39"/>
      <c r="JAI96" s="39"/>
      <c r="JAJ96" s="39"/>
      <c r="JAK96" s="39"/>
      <c r="JAL96" s="39"/>
      <c r="JAM96" s="39"/>
      <c r="JAN96" s="39"/>
      <c r="JAO96" s="39"/>
      <c r="JAP96" s="39"/>
      <c r="JAQ96" s="39"/>
      <c r="JAR96" s="39"/>
      <c r="JAS96" s="39"/>
      <c r="JAT96" s="39"/>
      <c r="JAU96" s="39"/>
      <c r="JAV96" s="39"/>
      <c r="JAW96" s="39"/>
      <c r="JAX96" s="39"/>
      <c r="JAY96" s="39"/>
      <c r="JAZ96" s="39"/>
      <c r="JBA96" s="39"/>
      <c r="JBB96" s="39"/>
      <c r="JBC96" s="39"/>
      <c r="JBD96" s="39"/>
      <c r="JBE96" s="39"/>
      <c r="JBF96" s="39"/>
      <c r="JBG96" s="39"/>
      <c r="JBH96" s="39"/>
      <c r="JBI96" s="39"/>
      <c r="JBJ96" s="39"/>
      <c r="JBK96" s="39"/>
      <c r="JBL96" s="39"/>
      <c r="JBM96" s="39"/>
      <c r="JBN96" s="39"/>
      <c r="JBO96" s="39"/>
      <c r="JBP96" s="39"/>
      <c r="JBQ96" s="39"/>
      <c r="JBR96" s="39"/>
      <c r="JBS96" s="39"/>
      <c r="JBT96" s="39"/>
      <c r="JBU96" s="39"/>
      <c r="JBV96" s="39"/>
      <c r="JBW96" s="39"/>
      <c r="JBX96" s="39"/>
      <c r="JBY96" s="39"/>
      <c r="JBZ96" s="39"/>
      <c r="JCA96" s="39"/>
      <c r="JCB96" s="39"/>
      <c r="JCC96" s="39"/>
      <c r="JCD96" s="39"/>
      <c r="JCE96" s="39"/>
      <c r="JCF96" s="39"/>
      <c r="JCG96" s="39"/>
      <c r="JCH96" s="39"/>
      <c r="JCI96" s="39"/>
      <c r="JCJ96" s="39"/>
      <c r="JCK96" s="39"/>
      <c r="JCL96" s="39"/>
      <c r="JCM96" s="39"/>
      <c r="JCN96" s="39"/>
      <c r="JCO96" s="39"/>
      <c r="JCP96" s="39"/>
      <c r="JCQ96" s="39"/>
      <c r="JCR96" s="39"/>
      <c r="JCS96" s="39"/>
      <c r="JCT96" s="39"/>
      <c r="JCU96" s="39"/>
      <c r="JCV96" s="39"/>
      <c r="JCW96" s="39"/>
      <c r="JCX96" s="39"/>
      <c r="JCY96" s="39"/>
      <c r="JCZ96" s="39"/>
      <c r="JDA96" s="39"/>
      <c r="JDB96" s="39"/>
      <c r="JDC96" s="39"/>
      <c r="JDD96" s="39"/>
      <c r="JDE96" s="39"/>
      <c r="JDF96" s="39"/>
      <c r="JDG96" s="39"/>
      <c r="JDH96" s="39"/>
      <c r="JDI96" s="39"/>
      <c r="JDJ96" s="39"/>
      <c r="JDK96" s="39"/>
      <c r="JDL96" s="39"/>
      <c r="JDM96" s="39"/>
      <c r="JDN96" s="39"/>
      <c r="JDO96" s="39"/>
      <c r="JDP96" s="39"/>
      <c r="JDQ96" s="39"/>
      <c r="JDR96" s="39"/>
      <c r="JDS96" s="39"/>
      <c r="JDT96" s="39"/>
      <c r="JDU96" s="39"/>
      <c r="JDV96" s="39"/>
      <c r="JDW96" s="39"/>
      <c r="JDX96" s="39"/>
      <c r="JDY96" s="39"/>
      <c r="JDZ96" s="39"/>
      <c r="JEA96" s="39"/>
      <c r="JEB96" s="39"/>
      <c r="JEC96" s="39"/>
      <c r="JED96" s="39"/>
      <c r="JEE96" s="39"/>
      <c r="JEF96" s="39"/>
      <c r="JEG96" s="39"/>
      <c r="JEH96" s="39"/>
      <c r="JEI96" s="39"/>
      <c r="JEJ96" s="39"/>
      <c r="JEK96" s="39"/>
      <c r="JEL96" s="39"/>
      <c r="JEM96" s="39"/>
      <c r="JEN96" s="39"/>
      <c r="JEO96" s="39"/>
      <c r="JEP96" s="39"/>
      <c r="JEQ96" s="39"/>
      <c r="JER96" s="39"/>
      <c r="JES96" s="39"/>
      <c r="JET96" s="39"/>
      <c r="JEU96" s="39"/>
      <c r="JEV96" s="39"/>
      <c r="JEW96" s="39"/>
      <c r="JEX96" s="39"/>
      <c r="JEY96" s="39"/>
      <c r="JEZ96" s="39"/>
      <c r="JFA96" s="39"/>
      <c r="JFB96" s="39"/>
      <c r="JFC96" s="39"/>
      <c r="JFD96" s="39"/>
      <c r="JFE96" s="39"/>
      <c r="JFF96" s="39"/>
      <c r="JFG96" s="39"/>
      <c r="JFH96" s="39"/>
      <c r="JFI96" s="39"/>
      <c r="JFJ96" s="39"/>
      <c r="JFK96" s="39"/>
      <c r="JFL96" s="39"/>
      <c r="JFM96" s="39"/>
      <c r="JFN96" s="39"/>
      <c r="JFO96" s="39"/>
      <c r="JFP96" s="39"/>
      <c r="JFQ96" s="39"/>
      <c r="JFR96" s="39"/>
      <c r="JFS96" s="39"/>
      <c r="JFT96" s="39"/>
      <c r="JFU96" s="39"/>
      <c r="JFV96" s="39"/>
      <c r="JFW96" s="39"/>
      <c r="JFX96" s="39"/>
      <c r="JFY96" s="39"/>
      <c r="JFZ96" s="39"/>
      <c r="JGA96" s="39"/>
      <c r="JGB96" s="39"/>
      <c r="JGC96" s="39"/>
      <c r="JGD96" s="39"/>
      <c r="JGE96" s="39"/>
      <c r="JGF96" s="39"/>
      <c r="JGG96" s="39"/>
      <c r="JGH96" s="39"/>
      <c r="JGI96" s="39"/>
      <c r="JGJ96" s="39"/>
      <c r="JGK96" s="39"/>
      <c r="JGL96" s="39"/>
      <c r="JGM96" s="39"/>
      <c r="JGN96" s="39"/>
      <c r="JGO96" s="39"/>
      <c r="JGP96" s="39"/>
      <c r="JGQ96" s="39"/>
      <c r="JGR96" s="39"/>
      <c r="JGS96" s="39"/>
      <c r="JGT96" s="39"/>
      <c r="JGU96" s="39"/>
      <c r="JGV96" s="39"/>
      <c r="JGW96" s="39"/>
      <c r="JGX96" s="39"/>
      <c r="JGY96" s="39"/>
      <c r="JGZ96" s="39"/>
      <c r="JHA96" s="39"/>
      <c r="JHB96" s="39"/>
      <c r="JHC96" s="39"/>
      <c r="JHD96" s="39"/>
      <c r="JHE96" s="39"/>
      <c r="JHF96" s="39"/>
      <c r="JHG96" s="39"/>
      <c r="JHH96" s="39"/>
      <c r="JHI96" s="39"/>
      <c r="JHJ96" s="39"/>
      <c r="JHK96" s="39"/>
      <c r="JHL96" s="39"/>
      <c r="JHM96" s="39"/>
      <c r="JHN96" s="39"/>
      <c r="JHO96" s="39"/>
      <c r="JHP96" s="39"/>
      <c r="JHQ96" s="39"/>
      <c r="JHR96" s="39"/>
      <c r="JHS96" s="39"/>
      <c r="JHT96" s="39"/>
      <c r="JHU96" s="39"/>
      <c r="JHV96" s="39"/>
      <c r="JHW96" s="39"/>
      <c r="JHX96" s="39"/>
      <c r="JHY96" s="39"/>
      <c r="JHZ96" s="39"/>
      <c r="JIA96" s="39"/>
      <c r="JIB96" s="39"/>
      <c r="JIC96" s="39"/>
      <c r="JID96" s="39"/>
      <c r="JIE96" s="39"/>
      <c r="JIF96" s="39"/>
      <c r="JIG96" s="39"/>
      <c r="JIH96" s="39"/>
      <c r="JII96" s="39"/>
      <c r="JIJ96" s="39"/>
      <c r="JIK96" s="39"/>
      <c r="JIL96" s="39"/>
      <c r="JIM96" s="39"/>
      <c r="JIN96" s="39"/>
      <c r="JIO96" s="39"/>
      <c r="JIP96" s="39"/>
      <c r="JIQ96" s="39"/>
      <c r="JIR96" s="39"/>
      <c r="JIS96" s="39"/>
      <c r="JIT96" s="39"/>
      <c r="JIU96" s="39"/>
      <c r="JIV96" s="39"/>
      <c r="JIW96" s="39"/>
      <c r="JIX96" s="39"/>
      <c r="JIY96" s="39"/>
      <c r="JIZ96" s="39"/>
      <c r="JJA96" s="39"/>
      <c r="JJB96" s="39"/>
      <c r="JJC96" s="39"/>
      <c r="JJD96" s="39"/>
      <c r="JJE96" s="39"/>
      <c r="JJF96" s="39"/>
      <c r="JJG96" s="39"/>
      <c r="JJH96" s="39"/>
      <c r="JJI96" s="39"/>
      <c r="JJJ96" s="39"/>
      <c r="JJK96" s="39"/>
      <c r="JJL96" s="39"/>
      <c r="JJM96" s="39"/>
      <c r="JJN96" s="39"/>
      <c r="JJO96" s="39"/>
      <c r="JJP96" s="39"/>
      <c r="JJQ96" s="39"/>
      <c r="JJR96" s="39"/>
      <c r="JJS96" s="39"/>
      <c r="JJT96" s="39"/>
      <c r="JJU96" s="39"/>
      <c r="JJV96" s="39"/>
      <c r="JJW96" s="39"/>
      <c r="JJX96" s="39"/>
      <c r="JJY96" s="39"/>
      <c r="JJZ96" s="39"/>
      <c r="JKA96" s="39"/>
      <c r="JKB96" s="39"/>
      <c r="JKC96" s="39"/>
      <c r="JKD96" s="39"/>
      <c r="JKE96" s="39"/>
      <c r="JKF96" s="39"/>
      <c r="JKG96" s="39"/>
      <c r="JKH96" s="39"/>
      <c r="JKI96" s="39"/>
      <c r="JKJ96" s="39"/>
      <c r="JKK96" s="39"/>
      <c r="JKL96" s="39"/>
      <c r="JKM96" s="39"/>
      <c r="JKN96" s="39"/>
      <c r="JKO96" s="39"/>
      <c r="JKP96" s="39"/>
      <c r="JKQ96" s="39"/>
      <c r="JKR96" s="39"/>
      <c r="JKS96" s="39"/>
      <c r="JKT96" s="39"/>
      <c r="JKU96" s="39"/>
      <c r="JKV96" s="39"/>
      <c r="JKW96" s="39"/>
      <c r="JKX96" s="39"/>
      <c r="JKY96" s="39"/>
      <c r="JKZ96" s="39"/>
      <c r="JLA96" s="39"/>
      <c r="JLB96" s="39"/>
      <c r="JLC96" s="39"/>
      <c r="JLD96" s="39"/>
      <c r="JLE96" s="39"/>
      <c r="JLF96" s="39"/>
      <c r="JLG96" s="39"/>
      <c r="JLH96" s="39"/>
      <c r="JLI96" s="39"/>
      <c r="JLJ96" s="39"/>
      <c r="JLK96" s="39"/>
      <c r="JLL96" s="39"/>
      <c r="JLM96" s="39"/>
      <c r="JLN96" s="39"/>
      <c r="JLO96" s="39"/>
      <c r="JLP96" s="39"/>
      <c r="JLQ96" s="39"/>
      <c r="JLR96" s="39"/>
      <c r="JLS96" s="39"/>
      <c r="JLT96" s="39"/>
      <c r="JLU96" s="39"/>
      <c r="JLV96" s="39"/>
      <c r="JLW96" s="39"/>
      <c r="JLX96" s="39"/>
      <c r="JLY96" s="39"/>
      <c r="JLZ96" s="39"/>
      <c r="JMA96" s="39"/>
      <c r="JMB96" s="39"/>
      <c r="JMC96" s="39"/>
      <c r="JMD96" s="39"/>
      <c r="JME96" s="39"/>
      <c r="JMF96" s="39"/>
      <c r="JMG96" s="39"/>
      <c r="JMH96" s="39"/>
      <c r="JMI96" s="39"/>
      <c r="JMJ96" s="39"/>
      <c r="JMK96" s="39"/>
      <c r="JML96" s="39"/>
      <c r="JMM96" s="39"/>
      <c r="JMN96" s="39"/>
      <c r="JMO96" s="39"/>
      <c r="JMP96" s="39"/>
      <c r="JMQ96" s="39"/>
      <c r="JMR96" s="39"/>
      <c r="JMS96" s="39"/>
      <c r="JMT96" s="39"/>
      <c r="JMU96" s="39"/>
      <c r="JMV96" s="39"/>
      <c r="JMW96" s="39"/>
      <c r="JMX96" s="39"/>
      <c r="JMY96" s="39"/>
      <c r="JMZ96" s="39"/>
      <c r="JNA96" s="39"/>
      <c r="JNB96" s="39"/>
      <c r="JNC96" s="39"/>
      <c r="JND96" s="39"/>
      <c r="JNE96" s="39"/>
      <c r="JNF96" s="39"/>
      <c r="JNG96" s="39"/>
      <c r="JNH96" s="39"/>
      <c r="JNI96" s="39"/>
      <c r="JNJ96" s="39"/>
      <c r="JNK96" s="39"/>
      <c r="JNL96" s="39"/>
      <c r="JNM96" s="39"/>
      <c r="JNN96" s="39"/>
      <c r="JNO96" s="39"/>
      <c r="JNP96" s="39"/>
      <c r="JNQ96" s="39"/>
      <c r="JNR96" s="39"/>
      <c r="JNS96" s="39"/>
      <c r="JNT96" s="39"/>
      <c r="JNU96" s="39"/>
      <c r="JNV96" s="39"/>
      <c r="JNW96" s="39"/>
      <c r="JNX96" s="39"/>
      <c r="JNY96" s="39"/>
      <c r="JNZ96" s="39"/>
      <c r="JOA96" s="39"/>
      <c r="JOB96" s="39"/>
      <c r="JOC96" s="39"/>
      <c r="JOD96" s="39"/>
      <c r="JOE96" s="39"/>
      <c r="JOF96" s="39"/>
      <c r="JOG96" s="39"/>
      <c r="JOH96" s="39"/>
      <c r="JOI96" s="39"/>
      <c r="JOJ96" s="39"/>
      <c r="JOK96" s="39"/>
      <c r="JOL96" s="39"/>
      <c r="JOM96" s="39"/>
      <c r="JON96" s="39"/>
      <c r="JOO96" s="39"/>
      <c r="JOP96" s="39"/>
      <c r="JOQ96" s="39"/>
      <c r="JOR96" s="39"/>
      <c r="JOS96" s="39"/>
      <c r="JOT96" s="39"/>
      <c r="JOU96" s="39"/>
      <c r="JOV96" s="39"/>
      <c r="JOW96" s="39"/>
      <c r="JOX96" s="39"/>
      <c r="JOY96" s="39"/>
      <c r="JOZ96" s="39"/>
      <c r="JPA96" s="39"/>
      <c r="JPB96" s="39"/>
      <c r="JPC96" s="39"/>
      <c r="JPD96" s="39"/>
      <c r="JPE96" s="39"/>
      <c r="JPF96" s="39"/>
      <c r="JPG96" s="39"/>
      <c r="JPH96" s="39"/>
      <c r="JPI96" s="39"/>
      <c r="JPJ96" s="39"/>
      <c r="JPK96" s="39"/>
      <c r="JPL96" s="39"/>
      <c r="JPM96" s="39"/>
      <c r="JPN96" s="39"/>
      <c r="JPO96" s="39"/>
      <c r="JPP96" s="39"/>
      <c r="JPQ96" s="39"/>
      <c r="JPR96" s="39"/>
      <c r="JPS96" s="39"/>
      <c r="JPT96" s="39"/>
      <c r="JPU96" s="39"/>
      <c r="JPV96" s="39"/>
      <c r="JPW96" s="39"/>
      <c r="JPX96" s="39"/>
      <c r="JPY96" s="39"/>
      <c r="JPZ96" s="39"/>
      <c r="JQA96" s="39"/>
      <c r="JQB96" s="39"/>
      <c r="JQC96" s="39"/>
      <c r="JQD96" s="39"/>
      <c r="JQE96" s="39"/>
      <c r="JQF96" s="39"/>
      <c r="JQG96" s="39"/>
      <c r="JQH96" s="39"/>
      <c r="JQI96" s="39"/>
      <c r="JQJ96" s="39"/>
      <c r="JQK96" s="39"/>
      <c r="JQL96" s="39"/>
      <c r="JQM96" s="39"/>
      <c r="JQN96" s="39"/>
      <c r="JQO96" s="39"/>
      <c r="JQP96" s="39"/>
      <c r="JQQ96" s="39"/>
      <c r="JQR96" s="39"/>
      <c r="JQS96" s="39"/>
      <c r="JQT96" s="39"/>
      <c r="JQU96" s="39"/>
      <c r="JQV96" s="39"/>
      <c r="JQW96" s="39"/>
      <c r="JQX96" s="39"/>
      <c r="JQY96" s="39"/>
      <c r="JQZ96" s="39"/>
      <c r="JRA96" s="39"/>
      <c r="JRB96" s="39"/>
      <c r="JRC96" s="39"/>
      <c r="JRD96" s="39"/>
      <c r="JRE96" s="39"/>
      <c r="JRF96" s="39"/>
      <c r="JRG96" s="39"/>
      <c r="JRH96" s="39"/>
      <c r="JRI96" s="39"/>
      <c r="JRJ96" s="39"/>
      <c r="JRK96" s="39"/>
      <c r="JRL96" s="39"/>
      <c r="JRM96" s="39"/>
      <c r="JRN96" s="39"/>
      <c r="JRO96" s="39"/>
      <c r="JRP96" s="39"/>
      <c r="JRQ96" s="39"/>
      <c r="JRR96" s="39"/>
      <c r="JRS96" s="39"/>
      <c r="JRT96" s="39"/>
      <c r="JRU96" s="39"/>
      <c r="JRV96" s="39"/>
      <c r="JRW96" s="39"/>
      <c r="JRX96" s="39"/>
      <c r="JRY96" s="39"/>
      <c r="JRZ96" s="39"/>
      <c r="JSA96" s="39"/>
      <c r="JSB96" s="39"/>
      <c r="JSC96" s="39"/>
      <c r="JSD96" s="39"/>
      <c r="JSE96" s="39"/>
      <c r="JSF96" s="39"/>
      <c r="JSG96" s="39"/>
      <c r="JSH96" s="39"/>
      <c r="JSI96" s="39"/>
      <c r="JSJ96" s="39"/>
      <c r="JSK96" s="39"/>
      <c r="JSL96" s="39"/>
      <c r="JSM96" s="39"/>
      <c r="JSN96" s="39"/>
      <c r="JSO96" s="39"/>
      <c r="JSP96" s="39"/>
      <c r="JSQ96" s="39"/>
      <c r="JSR96" s="39"/>
      <c r="JSS96" s="39"/>
      <c r="JST96" s="39"/>
      <c r="JSU96" s="39"/>
      <c r="JSV96" s="39"/>
      <c r="JSW96" s="39"/>
      <c r="JSX96" s="39"/>
      <c r="JSY96" s="39"/>
      <c r="JSZ96" s="39"/>
      <c r="JTA96" s="39"/>
      <c r="JTB96" s="39"/>
      <c r="JTC96" s="39"/>
      <c r="JTD96" s="39"/>
      <c r="JTE96" s="39"/>
      <c r="JTF96" s="39"/>
      <c r="JTG96" s="39"/>
      <c r="JTH96" s="39"/>
      <c r="JTI96" s="39"/>
      <c r="JTJ96" s="39"/>
      <c r="JTK96" s="39"/>
      <c r="JTL96" s="39"/>
      <c r="JTM96" s="39"/>
      <c r="JTN96" s="39"/>
      <c r="JTO96" s="39"/>
      <c r="JTP96" s="39"/>
      <c r="JTQ96" s="39"/>
      <c r="JTR96" s="39"/>
      <c r="JTS96" s="39"/>
      <c r="JTT96" s="39"/>
      <c r="JTU96" s="39"/>
      <c r="JTV96" s="39"/>
      <c r="JTW96" s="39"/>
      <c r="JTX96" s="39"/>
      <c r="JTY96" s="39"/>
      <c r="JTZ96" s="39"/>
      <c r="JUA96" s="39"/>
      <c r="JUB96" s="39"/>
      <c r="JUC96" s="39"/>
      <c r="JUD96" s="39"/>
      <c r="JUE96" s="39"/>
      <c r="JUF96" s="39"/>
      <c r="JUG96" s="39"/>
      <c r="JUH96" s="39"/>
      <c r="JUI96" s="39"/>
      <c r="JUJ96" s="39"/>
      <c r="JUK96" s="39"/>
      <c r="JUL96" s="39"/>
      <c r="JUM96" s="39"/>
      <c r="JUN96" s="39"/>
      <c r="JUO96" s="39"/>
      <c r="JUP96" s="39"/>
      <c r="JUQ96" s="39"/>
      <c r="JUR96" s="39"/>
      <c r="JUS96" s="39"/>
      <c r="JUT96" s="39"/>
      <c r="JUU96" s="39"/>
      <c r="JUV96" s="39"/>
      <c r="JUW96" s="39"/>
      <c r="JUX96" s="39"/>
      <c r="JUY96" s="39"/>
      <c r="JUZ96" s="39"/>
      <c r="JVA96" s="39"/>
      <c r="JVB96" s="39"/>
      <c r="JVC96" s="39"/>
      <c r="JVD96" s="39"/>
      <c r="JVE96" s="39"/>
      <c r="JVF96" s="39"/>
      <c r="JVG96" s="39"/>
      <c r="JVH96" s="39"/>
      <c r="JVI96" s="39"/>
      <c r="JVJ96" s="39"/>
      <c r="JVK96" s="39"/>
      <c r="JVL96" s="39"/>
      <c r="JVM96" s="39"/>
      <c r="JVN96" s="39"/>
      <c r="JVO96" s="39"/>
      <c r="JVP96" s="39"/>
      <c r="JVQ96" s="39"/>
      <c r="JVR96" s="39"/>
      <c r="JVS96" s="39"/>
      <c r="JVT96" s="39"/>
      <c r="JVU96" s="39"/>
      <c r="JVV96" s="39"/>
      <c r="JVW96" s="39"/>
      <c r="JVX96" s="39"/>
      <c r="JVY96" s="39"/>
      <c r="JVZ96" s="39"/>
      <c r="JWA96" s="39"/>
      <c r="JWB96" s="39"/>
      <c r="JWC96" s="39"/>
      <c r="JWD96" s="39"/>
      <c r="JWE96" s="39"/>
      <c r="JWF96" s="39"/>
      <c r="JWG96" s="39"/>
      <c r="JWH96" s="39"/>
      <c r="JWI96" s="39"/>
      <c r="JWJ96" s="39"/>
      <c r="JWK96" s="39"/>
      <c r="JWL96" s="39"/>
      <c r="JWM96" s="39"/>
      <c r="JWN96" s="39"/>
      <c r="JWO96" s="39"/>
      <c r="JWP96" s="39"/>
      <c r="JWQ96" s="39"/>
      <c r="JWR96" s="39"/>
      <c r="JWS96" s="39"/>
      <c r="JWT96" s="39"/>
      <c r="JWU96" s="39"/>
      <c r="JWV96" s="39"/>
      <c r="JWW96" s="39"/>
      <c r="JWX96" s="39"/>
      <c r="JWY96" s="39"/>
      <c r="JWZ96" s="39"/>
      <c r="JXA96" s="39"/>
      <c r="JXB96" s="39"/>
      <c r="JXC96" s="39"/>
      <c r="JXD96" s="39"/>
      <c r="JXE96" s="39"/>
      <c r="JXF96" s="39"/>
      <c r="JXG96" s="39"/>
      <c r="JXH96" s="39"/>
      <c r="JXI96" s="39"/>
      <c r="JXJ96" s="39"/>
      <c r="JXK96" s="39"/>
      <c r="JXL96" s="39"/>
      <c r="JXM96" s="39"/>
      <c r="JXN96" s="39"/>
      <c r="JXO96" s="39"/>
      <c r="JXP96" s="39"/>
      <c r="JXQ96" s="39"/>
      <c r="JXR96" s="39"/>
      <c r="JXS96" s="39"/>
      <c r="JXT96" s="39"/>
      <c r="JXU96" s="39"/>
      <c r="JXV96" s="39"/>
      <c r="JXW96" s="39"/>
      <c r="JXX96" s="39"/>
      <c r="JXY96" s="39"/>
      <c r="JXZ96" s="39"/>
      <c r="JYA96" s="39"/>
      <c r="JYB96" s="39"/>
      <c r="JYC96" s="39"/>
      <c r="JYD96" s="39"/>
      <c r="JYE96" s="39"/>
      <c r="JYF96" s="39"/>
      <c r="JYG96" s="39"/>
      <c r="JYH96" s="39"/>
      <c r="JYI96" s="39"/>
      <c r="JYJ96" s="39"/>
      <c r="JYK96" s="39"/>
      <c r="JYL96" s="39"/>
      <c r="JYM96" s="39"/>
      <c r="JYN96" s="39"/>
      <c r="JYO96" s="39"/>
      <c r="JYP96" s="39"/>
      <c r="JYQ96" s="39"/>
      <c r="JYR96" s="39"/>
      <c r="JYS96" s="39"/>
      <c r="JYT96" s="39"/>
      <c r="JYU96" s="39"/>
      <c r="JYV96" s="39"/>
      <c r="JYW96" s="39"/>
      <c r="JYX96" s="39"/>
      <c r="JYY96" s="39"/>
      <c r="JYZ96" s="39"/>
      <c r="JZA96" s="39"/>
      <c r="JZB96" s="39"/>
      <c r="JZC96" s="39"/>
      <c r="JZD96" s="39"/>
      <c r="JZE96" s="39"/>
      <c r="JZF96" s="39"/>
      <c r="JZG96" s="39"/>
      <c r="JZH96" s="39"/>
      <c r="JZI96" s="39"/>
      <c r="JZJ96" s="39"/>
      <c r="JZK96" s="39"/>
      <c r="JZL96" s="39"/>
      <c r="JZM96" s="39"/>
      <c r="JZN96" s="39"/>
      <c r="JZO96" s="39"/>
      <c r="JZP96" s="39"/>
      <c r="JZQ96" s="39"/>
      <c r="JZR96" s="39"/>
      <c r="JZS96" s="39"/>
      <c r="JZT96" s="39"/>
      <c r="JZU96" s="39"/>
      <c r="JZV96" s="39"/>
      <c r="JZW96" s="39"/>
      <c r="JZX96" s="39"/>
      <c r="JZY96" s="39"/>
      <c r="JZZ96" s="39"/>
      <c r="KAA96" s="39"/>
      <c r="KAB96" s="39"/>
      <c r="KAC96" s="39"/>
      <c r="KAD96" s="39"/>
      <c r="KAE96" s="39"/>
      <c r="KAF96" s="39"/>
      <c r="KAG96" s="39"/>
      <c r="KAH96" s="39"/>
      <c r="KAI96" s="39"/>
      <c r="KAJ96" s="39"/>
      <c r="KAK96" s="39"/>
      <c r="KAL96" s="39"/>
      <c r="KAM96" s="39"/>
      <c r="KAN96" s="39"/>
      <c r="KAO96" s="39"/>
      <c r="KAP96" s="39"/>
      <c r="KAQ96" s="39"/>
      <c r="KAR96" s="39"/>
      <c r="KAS96" s="39"/>
      <c r="KAT96" s="39"/>
      <c r="KAU96" s="39"/>
      <c r="KAV96" s="39"/>
      <c r="KAW96" s="39"/>
      <c r="KAX96" s="39"/>
      <c r="KAY96" s="39"/>
      <c r="KAZ96" s="39"/>
      <c r="KBA96" s="39"/>
      <c r="KBB96" s="39"/>
      <c r="KBC96" s="39"/>
      <c r="KBD96" s="39"/>
      <c r="KBE96" s="39"/>
      <c r="KBF96" s="39"/>
      <c r="KBG96" s="39"/>
      <c r="KBH96" s="39"/>
      <c r="KBI96" s="39"/>
      <c r="KBJ96" s="39"/>
      <c r="KBK96" s="39"/>
      <c r="KBL96" s="39"/>
      <c r="KBM96" s="39"/>
      <c r="KBN96" s="39"/>
      <c r="KBO96" s="39"/>
      <c r="KBP96" s="39"/>
      <c r="KBQ96" s="39"/>
      <c r="KBR96" s="39"/>
      <c r="KBS96" s="39"/>
      <c r="KBT96" s="39"/>
      <c r="KBU96" s="39"/>
      <c r="KBV96" s="39"/>
      <c r="KBW96" s="39"/>
      <c r="KBX96" s="39"/>
      <c r="KBY96" s="39"/>
      <c r="KBZ96" s="39"/>
      <c r="KCA96" s="39"/>
      <c r="KCB96" s="39"/>
      <c r="KCC96" s="39"/>
      <c r="KCD96" s="39"/>
      <c r="KCE96" s="39"/>
      <c r="KCF96" s="39"/>
      <c r="KCG96" s="39"/>
      <c r="KCH96" s="39"/>
      <c r="KCI96" s="39"/>
      <c r="KCJ96" s="39"/>
      <c r="KCK96" s="39"/>
      <c r="KCL96" s="39"/>
      <c r="KCM96" s="39"/>
      <c r="KCN96" s="39"/>
      <c r="KCO96" s="39"/>
      <c r="KCP96" s="39"/>
      <c r="KCQ96" s="39"/>
      <c r="KCR96" s="39"/>
      <c r="KCS96" s="39"/>
      <c r="KCT96" s="39"/>
      <c r="KCU96" s="39"/>
      <c r="KCV96" s="39"/>
      <c r="KCW96" s="39"/>
      <c r="KCX96" s="39"/>
      <c r="KCY96" s="39"/>
      <c r="KCZ96" s="39"/>
      <c r="KDA96" s="39"/>
      <c r="KDB96" s="39"/>
      <c r="KDC96" s="39"/>
      <c r="KDD96" s="39"/>
      <c r="KDE96" s="39"/>
      <c r="KDF96" s="39"/>
      <c r="KDG96" s="39"/>
      <c r="KDH96" s="39"/>
      <c r="KDI96" s="39"/>
      <c r="KDJ96" s="39"/>
      <c r="KDK96" s="39"/>
      <c r="KDL96" s="39"/>
      <c r="KDM96" s="39"/>
      <c r="KDN96" s="39"/>
      <c r="KDO96" s="39"/>
      <c r="KDP96" s="39"/>
      <c r="KDQ96" s="39"/>
      <c r="KDR96" s="39"/>
      <c r="KDS96" s="39"/>
      <c r="KDT96" s="39"/>
      <c r="KDU96" s="39"/>
      <c r="KDV96" s="39"/>
      <c r="KDW96" s="39"/>
      <c r="KDX96" s="39"/>
      <c r="KDY96" s="39"/>
      <c r="KDZ96" s="39"/>
      <c r="KEA96" s="39"/>
      <c r="KEB96" s="39"/>
      <c r="KEC96" s="39"/>
      <c r="KED96" s="39"/>
      <c r="KEE96" s="39"/>
      <c r="KEF96" s="39"/>
      <c r="KEG96" s="39"/>
      <c r="KEH96" s="39"/>
      <c r="KEI96" s="39"/>
      <c r="KEJ96" s="39"/>
      <c r="KEK96" s="39"/>
      <c r="KEL96" s="39"/>
      <c r="KEM96" s="39"/>
      <c r="KEN96" s="39"/>
      <c r="KEO96" s="39"/>
      <c r="KEP96" s="39"/>
      <c r="KEQ96" s="39"/>
      <c r="KER96" s="39"/>
      <c r="KES96" s="39"/>
      <c r="KET96" s="39"/>
      <c r="KEU96" s="39"/>
      <c r="KEV96" s="39"/>
      <c r="KEW96" s="39"/>
      <c r="KEX96" s="39"/>
      <c r="KEY96" s="39"/>
      <c r="KEZ96" s="39"/>
      <c r="KFA96" s="39"/>
      <c r="KFB96" s="39"/>
      <c r="KFC96" s="39"/>
      <c r="KFD96" s="39"/>
      <c r="KFE96" s="39"/>
      <c r="KFF96" s="39"/>
      <c r="KFG96" s="39"/>
      <c r="KFH96" s="39"/>
      <c r="KFI96" s="39"/>
      <c r="KFJ96" s="39"/>
      <c r="KFK96" s="39"/>
      <c r="KFL96" s="39"/>
      <c r="KFM96" s="39"/>
      <c r="KFN96" s="39"/>
      <c r="KFO96" s="39"/>
      <c r="KFP96" s="39"/>
      <c r="KFQ96" s="39"/>
      <c r="KFR96" s="39"/>
      <c r="KFS96" s="39"/>
      <c r="KFT96" s="39"/>
      <c r="KFU96" s="39"/>
      <c r="KFV96" s="39"/>
      <c r="KFW96" s="39"/>
      <c r="KFX96" s="39"/>
      <c r="KFY96" s="39"/>
      <c r="KFZ96" s="39"/>
      <c r="KGA96" s="39"/>
      <c r="KGB96" s="39"/>
      <c r="KGC96" s="39"/>
      <c r="KGD96" s="39"/>
      <c r="KGE96" s="39"/>
      <c r="KGF96" s="39"/>
      <c r="KGG96" s="39"/>
      <c r="KGH96" s="39"/>
      <c r="KGI96" s="39"/>
      <c r="KGJ96" s="39"/>
      <c r="KGK96" s="39"/>
      <c r="KGL96" s="39"/>
      <c r="KGM96" s="39"/>
      <c r="KGN96" s="39"/>
      <c r="KGO96" s="39"/>
      <c r="KGP96" s="39"/>
      <c r="KGQ96" s="39"/>
      <c r="KGR96" s="39"/>
      <c r="KGS96" s="39"/>
      <c r="KGT96" s="39"/>
      <c r="KGU96" s="39"/>
      <c r="KGV96" s="39"/>
      <c r="KGW96" s="39"/>
      <c r="KGX96" s="39"/>
      <c r="KGY96" s="39"/>
      <c r="KGZ96" s="39"/>
      <c r="KHA96" s="39"/>
      <c r="KHB96" s="39"/>
      <c r="KHC96" s="39"/>
      <c r="KHD96" s="39"/>
      <c r="KHE96" s="39"/>
      <c r="KHF96" s="39"/>
      <c r="KHG96" s="39"/>
      <c r="KHH96" s="39"/>
      <c r="KHI96" s="39"/>
      <c r="KHJ96" s="39"/>
      <c r="KHK96" s="39"/>
      <c r="KHL96" s="39"/>
      <c r="KHM96" s="39"/>
      <c r="KHN96" s="39"/>
      <c r="KHO96" s="39"/>
      <c r="KHP96" s="39"/>
      <c r="KHQ96" s="39"/>
      <c r="KHR96" s="39"/>
      <c r="KHS96" s="39"/>
      <c r="KHT96" s="39"/>
      <c r="KHU96" s="39"/>
      <c r="KHV96" s="39"/>
      <c r="KHW96" s="39"/>
      <c r="KHX96" s="39"/>
      <c r="KHY96" s="39"/>
      <c r="KHZ96" s="39"/>
      <c r="KIA96" s="39"/>
      <c r="KIB96" s="39"/>
      <c r="KIC96" s="39"/>
      <c r="KID96" s="39"/>
      <c r="KIE96" s="39"/>
      <c r="KIF96" s="39"/>
      <c r="KIG96" s="39"/>
      <c r="KIH96" s="39"/>
      <c r="KII96" s="39"/>
      <c r="KIJ96" s="39"/>
      <c r="KIK96" s="39"/>
      <c r="KIL96" s="39"/>
      <c r="KIM96" s="39"/>
      <c r="KIN96" s="39"/>
      <c r="KIO96" s="39"/>
      <c r="KIP96" s="39"/>
      <c r="KIQ96" s="39"/>
      <c r="KIR96" s="39"/>
      <c r="KIS96" s="39"/>
      <c r="KIT96" s="39"/>
      <c r="KIU96" s="39"/>
      <c r="KIV96" s="39"/>
      <c r="KIW96" s="39"/>
      <c r="KIX96" s="39"/>
      <c r="KIY96" s="39"/>
      <c r="KIZ96" s="39"/>
      <c r="KJA96" s="39"/>
      <c r="KJB96" s="39"/>
      <c r="KJC96" s="39"/>
      <c r="KJD96" s="39"/>
      <c r="KJE96" s="39"/>
      <c r="KJF96" s="39"/>
      <c r="KJG96" s="39"/>
      <c r="KJH96" s="39"/>
      <c r="KJI96" s="39"/>
      <c r="KJJ96" s="39"/>
      <c r="KJK96" s="39"/>
      <c r="KJL96" s="39"/>
      <c r="KJM96" s="39"/>
      <c r="KJN96" s="39"/>
      <c r="KJO96" s="39"/>
      <c r="KJP96" s="39"/>
      <c r="KJQ96" s="39"/>
      <c r="KJR96" s="39"/>
      <c r="KJS96" s="39"/>
      <c r="KJT96" s="39"/>
      <c r="KJU96" s="39"/>
      <c r="KJV96" s="39"/>
      <c r="KJW96" s="39"/>
      <c r="KJX96" s="39"/>
      <c r="KJY96" s="39"/>
      <c r="KJZ96" s="39"/>
      <c r="KKA96" s="39"/>
      <c r="KKB96" s="39"/>
      <c r="KKC96" s="39"/>
      <c r="KKD96" s="39"/>
      <c r="KKE96" s="39"/>
      <c r="KKF96" s="39"/>
      <c r="KKG96" s="39"/>
      <c r="KKH96" s="39"/>
      <c r="KKI96" s="39"/>
      <c r="KKJ96" s="39"/>
      <c r="KKK96" s="39"/>
      <c r="KKL96" s="39"/>
      <c r="KKM96" s="39"/>
      <c r="KKN96" s="39"/>
      <c r="KKO96" s="39"/>
      <c r="KKP96" s="39"/>
      <c r="KKQ96" s="39"/>
      <c r="KKR96" s="39"/>
      <c r="KKS96" s="39"/>
      <c r="KKT96" s="39"/>
      <c r="KKU96" s="39"/>
      <c r="KKV96" s="39"/>
      <c r="KKW96" s="39"/>
      <c r="KKX96" s="39"/>
      <c r="KKY96" s="39"/>
      <c r="KKZ96" s="39"/>
      <c r="KLA96" s="39"/>
      <c r="KLB96" s="39"/>
      <c r="KLC96" s="39"/>
      <c r="KLD96" s="39"/>
      <c r="KLE96" s="39"/>
      <c r="KLF96" s="39"/>
      <c r="KLG96" s="39"/>
      <c r="KLH96" s="39"/>
      <c r="KLI96" s="39"/>
      <c r="KLJ96" s="39"/>
      <c r="KLK96" s="39"/>
      <c r="KLL96" s="39"/>
      <c r="KLM96" s="39"/>
      <c r="KLN96" s="39"/>
      <c r="KLO96" s="39"/>
      <c r="KLP96" s="39"/>
      <c r="KLQ96" s="39"/>
      <c r="KLR96" s="39"/>
      <c r="KLS96" s="39"/>
      <c r="KLT96" s="39"/>
      <c r="KLU96" s="39"/>
      <c r="KLV96" s="39"/>
      <c r="KLW96" s="39"/>
      <c r="KLX96" s="39"/>
      <c r="KLY96" s="39"/>
      <c r="KLZ96" s="39"/>
      <c r="KMA96" s="39"/>
      <c r="KMB96" s="39"/>
      <c r="KMC96" s="39"/>
      <c r="KMD96" s="39"/>
      <c r="KME96" s="39"/>
      <c r="KMF96" s="39"/>
      <c r="KMG96" s="39"/>
      <c r="KMH96" s="39"/>
      <c r="KMI96" s="39"/>
      <c r="KMJ96" s="39"/>
      <c r="KMK96" s="39"/>
      <c r="KML96" s="39"/>
      <c r="KMM96" s="39"/>
      <c r="KMN96" s="39"/>
      <c r="KMO96" s="39"/>
      <c r="KMP96" s="39"/>
      <c r="KMQ96" s="39"/>
      <c r="KMR96" s="39"/>
      <c r="KMS96" s="39"/>
      <c r="KMT96" s="39"/>
      <c r="KMU96" s="39"/>
      <c r="KMV96" s="39"/>
      <c r="KMW96" s="39"/>
      <c r="KMX96" s="39"/>
      <c r="KMY96" s="39"/>
      <c r="KMZ96" s="39"/>
      <c r="KNA96" s="39"/>
      <c r="KNB96" s="39"/>
      <c r="KNC96" s="39"/>
      <c r="KND96" s="39"/>
      <c r="KNE96" s="39"/>
      <c r="KNF96" s="39"/>
      <c r="KNG96" s="39"/>
      <c r="KNH96" s="39"/>
      <c r="KNI96" s="39"/>
      <c r="KNJ96" s="39"/>
      <c r="KNK96" s="39"/>
      <c r="KNL96" s="39"/>
      <c r="KNM96" s="39"/>
      <c r="KNN96" s="39"/>
      <c r="KNO96" s="39"/>
      <c r="KNP96" s="39"/>
      <c r="KNQ96" s="39"/>
      <c r="KNR96" s="39"/>
      <c r="KNS96" s="39"/>
      <c r="KNT96" s="39"/>
      <c r="KNU96" s="39"/>
      <c r="KNV96" s="39"/>
      <c r="KNW96" s="39"/>
      <c r="KNX96" s="39"/>
      <c r="KNY96" s="39"/>
      <c r="KNZ96" s="39"/>
      <c r="KOA96" s="39"/>
      <c r="KOB96" s="39"/>
      <c r="KOC96" s="39"/>
      <c r="KOD96" s="39"/>
      <c r="KOE96" s="39"/>
      <c r="KOF96" s="39"/>
      <c r="KOG96" s="39"/>
      <c r="KOH96" s="39"/>
      <c r="KOI96" s="39"/>
      <c r="KOJ96" s="39"/>
      <c r="KOK96" s="39"/>
      <c r="KOL96" s="39"/>
      <c r="KOM96" s="39"/>
      <c r="KON96" s="39"/>
      <c r="KOO96" s="39"/>
      <c r="KOP96" s="39"/>
      <c r="KOQ96" s="39"/>
      <c r="KOR96" s="39"/>
      <c r="KOS96" s="39"/>
      <c r="KOT96" s="39"/>
      <c r="KOU96" s="39"/>
      <c r="KOV96" s="39"/>
      <c r="KOW96" s="39"/>
      <c r="KOX96" s="39"/>
      <c r="KOY96" s="39"/>
      <c r="KOZ96" s="39"/>
      <c r="KPA96" s="39"/>
      <c r="KPB96" s="39"/>
      <c r="KPC96" s="39"/>
      <c r="KPD96" s="39"/>
      <c r="KPE96" s="39"/>
      <c r="KPF96" s="39"/>
      <c r="KPG96" s="39"/>
      <c r="KPH96" s="39"/>
      <c r="KPI96" s="39"/>
      <c r="KPJ96" s="39"/>
      <c r="KPK96" s="39"/>
      <c r="KPL96" s="39"/>
      <c r="KPM96" s="39"/>
      <c r="KPN96" s="39"/>
      <c r="KPO96" s="39"/>
      <c r="KPP96" s="39"/>
      <c r="KPQ96" s="39"/>
      <c r="KPR96" s="39"/>
      <c r="KPS96" s="39"/>
      <c r="KPT96" s="39"/>
      <c r="KPU96" s="39"/>
      <c r="KPV96" s="39"/>
      <c r="KPW96" s="39"/>
      <c r="KPX96" s="39"/>
      <c r="KPY96" s="39"/>
      <c r="KPZ96" s="39"/>
      <c r="KQA96" s="39"/>
      <c r="KQB96" s="39"/>
      <c r="KQC96" s="39"/>
      <c r="KQD96" s="39"/>
      <c r="KQE96" s="39"/>
      <c r="KQF96" s="39"/>
      <c r="KQG96" s="39"/>
      <c r="KQH96" s="39"/>
      <c r="KQI96" s="39"/>
      <c r="KQJ96" s="39"/>
      <c r="KQK96" s="39"/>
      <c r="KQL96" s="39"/>
      <c r="KQM96" s="39"/>
      <c r="KQN96" s="39"/>
      <c r="KQO96" s="39"/>
      <c r="KQP96" s="39"/>
      <c r="KQQ96" s="39"/>
      <c r="KQR96" s="39"/>
      <c r="KQS96" s="39"/>
      <c r="KQT96" s="39"/>
      <c r="KQU96" s="39"/>
      <c r="KQV96" s="39"/>
      <c r="KQW96" s="39"/>
      <c r="KQX96" s="39"/>
      <c r="KQY96" s="39"/>
      <c r="KQZ96" s="39"/>
      <c r="KRA96" s="39"/>
      <c r="KRB96" s="39"/>
      <c r="KRC96" s="39"/>
      <c r="KRD96" s="39"/>
      <c r="KRE96" s="39"/>
      <c r="KRF96" s="39"/>
      <c r="KRG96" s="39"/>
      <c r="KRH96" s="39"/>
      <c r="KRI96" s="39"/>
      <c r="KRJ96" s="39"/>
      <c r="KRK96" s="39"/>
      <c r="KRL96" s="39"/>
      <c r="KRM96" s="39"/>
      <c r="KRN96" s="39"/>
      <c r="KRO96" s="39"/>
      <c r="KRP96" s="39"/>
      <c r="KRQ96" s="39"/>
      <c r="KRR96" s="39"/>
      <c r="KRS96" s="39"/>
      <c r="KRT96" s="39"/>
      <c r="KRU96" s="39"/>
      <c r="KRV96" s="39"/>
      <c r="KRW96" s="39"/>
      <c r="KRX96" s="39"/>
      <c r="KRY96" s="39"/>
      <c r="KRZ96" s="39"/>
      <c r="KSA96" s="39"/>
      <c r="KSB96" s="39"/>
      <c r="KSC96" s="39"/>
      <c r="KSD96" s="39"/>
      <c r="KSE96" s="39"/>
      <c r="KSF96" s="39"/>
      <c r="KSG96" s="39"/>
      <c r="KSH96" s="39"/>
      <c r="KSI96" s="39"/>
      <c r="KSJ96" s="39"/>
      <c r="KSK96" s="39"/>
      <c r="KSL96" s="39"/>
      <c r="KSM96" s="39"/>
      <c r="KSN96" s="39"/>
      <c r="KSO96" s="39"/>
      <c r="KSP96" s="39"/>
      <c r="KSQ96" s="39"/>
      <c r="KSR96" s="39"/>
      <c r="KSS96" s="39"/>
      <c r="KST96" s="39"/>
      <c r="KSU96" s="39"/>
      <c r="KSV96" s="39"/>
      <c r="KSW96" s="39"/>
      <c r="KSX96" s="39"/>
      <c r="KSY96" s="39"/>
      <c r="KSZ96" s="39"/>
      <c r="KTA96" s="39"/>
      <c r="KTB96" s="39"/>
      <c r="KTC96" s="39"/>
      <c r="KTD96" s="39"/>
      <c r="KTE96" s="39"/>
      <c r="KTF96" s="39"/>
      <c r="KTG96" s="39"/>
      <c r="KTH96" s="39"/>
      <c r="KTI96" s="39"/>
      <c r="KTJ96" s="39"/>
      <c r="KTK96" s="39"/>
      <c r="KTL96" s="39"/>
      <c r="KTM96" s="39"/>
      <c r="KTN96" s="39"/>
      <c r="KTO96" s="39"/>
      <c r="KTP96" s="39"/>
      <c r="KTQ96" s="39"/>
      <c r="KTR96" s="39"/>
      <c r="KTS96" s="39"/>
      <c r="KTT96" s="39"/>
      <c r="KTU96" s="39"/>
      <c r="KTV96" s="39"/>
      <c r="KTW96" s="39"/>
      <c r="KTX96" s="39"/>
      <c r="KTY96" s="39"/>
      <c r="KTZ96" s="39"/>
      <c r="KUA96" s="39"/>
      <c r="KUB96" s="39"/>
      <c r="KUC96" s="39"/>
      <c r="KUD96" s="39"/>
      <c r="KUE96" s="39"/>
      <c r="KUF96" s="39"/>
      <c r="KUG96" s="39"/>
      <c r="KUH96" s="39"/>
      <c r="KUI96" s="39"/>
      <c r="KUJ96" s="39"/>
      <c r="KUK96" s="39"/>
      <c r="KUL96" s="39"/>
      <c r="KUM96" s="39"/>
      <c r="KUN96" s="39"/>
      <c r="KUO96" s="39"/>
      <c r="KUP96" s="39"/>
      <c r="KUQ96" s="39"/>
      <c r="KUR96" s="39"/>
      <c r="KUS96" s="39"/>
      <c r="KUT96" s="39"/>
      <c r="KUU96" s="39"/>
      <c r="KUV96" s="39"/>
      <c r="KUW96" s="39"/>
      <c r="KUX96" s="39"/>
      <c r="KUY96" s="39"/>
      <c r="KUZ96" s="39"/>
      <c r="KVA96" s="39"/>
      <c r="KVB96" s="39"/>
      <c r="KVC96" s="39"/>
      <c r="KVD96" s="39"/>
      <c r="KVE96" s="39"/>
      <c r="KVF96" s="39"/>
      <c r="KVG96" s="39"/>
      <c r="KVH96" s="39"/>
      <c r="KVI96" s="39"/>
      <c r="KVJ96" s="39"/>
      <c r="KVK96" s="39"/>
      <c r="KVL96" s="39"/>
      <c r="KVM96" s="39"/>
      <c r="KVN96" s="39"/>
      <c r="KVO96" s="39"/>
      <c r="KVP96" s="39"/>
      <c r="KVQ96" s="39"/>
      <c r="KVR96" s="39"/>
      <c r="KVS96" s="39"/>
      <c r="KVT96" s="39"/>
      <c r="KVU96" s="39"/>
      <c r="KVV96" s="39"/>
      <c r="KVW96" s="39"/>
      <c r="KVX96" s="39"/>
      <c r="KVY96" s="39"/>
      <c r="KVZ96" s="39"/>
      <c r="KWA96" s="39"/>
      <c r="KWB96" s="39"/>
      <c r="KWC96" s="39"/>
      <c r="KWD96" s="39"/>
      <c r="KWE96" s="39"/>
      <c r="KWF96" s="39"/>
      <c r="KWG96" s="39"/>
      <c r="KWH96" s="39"/>
      <c r="KWI96" s="39"/>
      <c r="KWJ96" s="39"/>
      <c r="KWK96" s="39"/>
      <c r="KWL96" s="39"/>
      <c r="KWM96" s="39"/>
      <c r="KWN96" s="39"/>
      <c r="KWO96" s="39"/>
      <c r="KWP96" s="39"/>
      <c r="KWQ96" s="39"/>
      <c r="KWR96" s="39"/>
      <c r="KWS96" s="39"/>
      <c r="KWT96" s="39"/>
      <c r="KWU96" s="39"/>
      <c r="KWV96" s="39"/>
      <c r="KWW96" s="39"/>
      <c r="KWX96" s="39"/>
      <c r="KWY96" s="39"/>
      <c r="KWZ96" s="39"/>
      <c r="KXA96" s="39"/>
      <c r="KXB96" s="39"/>
      <c r="KXC96" s="39"/>
      <c r="KXD96" s="39"/>
      <c r="KXE96" s="39"/>
      <c r="KXF96" s="39"/>
      <c r="KXG96" s="39"/>
      <c r="KXH96" s="39"/>
      <c r="KXI96" s="39"/>
      <c r="KXJ96" s="39"/>
      <c r="KXK96" s="39"/>
      <c r="KXL96" s="39"/>
      <c r="KXM96" s="39"/>
      <c r="KXN96" s="39"/>
      <c r="KXO96" s="39"/>
      <c r="KXP96" s="39"/>
      <c r="KXQ96" s="39"/>
      <c r="KXR96" s="39"/>
      <c r="KXS96" s="39"/>
      <c r="KXT96" s="39"/>
      <c r="KXU96" s="39"/>
      <c r="KXV96" s="39"/>
      <c r="KXW96" s="39"/>
      <c r="KXX96" s="39"/>
      <c r="KXY96" s="39"/>
      <c r="KXZ96" s="39"/>
      <c r="KYA96" s="39"/>
      <c r="KYB96" s="39"/>
      <c r="KYC96" s="39"/>
      <c r="KYD96" s="39"/>
      <c r="KYE96" s="39"/>
      <c r="KYF96" s="39"/>
      <c r="KYG96" s="39"/>
      <c r="KYH96" s="39"/>
      <c r="KYI96" s="39"/>
      <c r="KYJ96" s="39"/>
      <c r="KYK96" s="39"/>
      <c r="KYL96" s="39"/>
      <c r="KYM96" s="39"/>
      <c r="KYN96" s="39"/>
      <c r="KYO96" s="39"/>
      <c r="KYP96" s="39"/>
      <c r="KYQ96" s="39"/>
      <c r="KYR96" s="39"/>
      <c r="KYS96" s="39"/>
      <c r="KYT96" s="39"/>
      <c r="KYU96" s="39"/>
      <c r="KYV96" s="39"/>
      <c r="KYW96" s="39"/>
      <c r="KYX96" s="39"/>
      <c r="KYY96" s="39"/>
      <c r="KYZ96" s="39"/>
      <c r="KZA96" s="39"/>
      <c r="KZB96" s="39"/>
      <c r="KZC96" s="39"/>
      <c r="KZD96" s="39"/>
      <c r="KZE96" s="39"/>
      <c r="KZF96" s="39"/>
      <c r="KZG96" s="39"/>
      <c r="KZH96" s="39"/>
      <c r="KZI96" s="39"/>
      <c r="KZJ96" s="39"/>
      <c r="KZK96" s="39"/>
      <c r="KZL96" s="39"/>
      <c r="KZM96" s="39"/>
      <c r="KZN96" s="39"/>
      <c r="KZO96" s="39"/>
      <c r="KZP96" s="39"/>
      <c r="KZQ96" s="39"/>
      <c r="KZR96" s="39"/>
      <c r="KZS96" s="39"/>
      <c r="KZT96" s="39"/>
      <c r="KZU96" s="39"/>
      <c r="KZV96" s="39"/>
      <c r="KZW96" s="39"/>
      <c r="KZX96" s="39"/>
      <c r="KZY96" s="39"/>
      <c r="KZZ96" s="39"/>
      <c r="LAA96" s="39"/>
      <c r="LAB96" s="39"/>
      <c r="LAC96" s="39"/>
      <c r="LAD96" s="39"/>
      <c r="LAE96" s="39"/>
      <c r="LAF96" s="39"/>
      <c r="LAG96" s="39"/>
      <c r="LAH96" s="39"/>
      <c r="LAI96" s="39"/>
      <c r="LAJ96" s="39"/>
      <c r="LAK96" s="39"/>
      <c r="LAL96" s="39"/>
      <c r="LAM96" s="39"/>
      <c r="LAN96" s="39"/>
      <c r="LAO96" s="39"/>
      <c r="LAP96" s="39"/>
      <c r="LAQ96" s="39"/>
      <c r="LAR96" s="39"/>
      <c r="LAS96" s="39"/>
      <c r="LAT96" s="39"/>
      <c r="LAU96" s="39"/>
      <c r="LAV96" s="39"/>
      <c r="LAW96" s="39"/>
      <c r="LAX96" s="39"/>
      <c r="LAY96" s="39"/>
      <c r="LAZ96" s="39"/>
      <c r="LBA96" s="39"/>
      <c r="LBB96" s="39"/>
      <c r="LBC96" s="39"/>
      <c r="LBD96" s="39"/>
      <c r="LBE96" s="39"/>
      <c r="LBF96" s="39"/>
      <c r="LBG96" s="39"/>
      <c r="LBH96" s="39"/>
      <c r="LBI96" s="39"/>
      <c r="LBJ96" s="39"/>
      <c r="LBK96" s="39"/>
      <c r="LBL96" s="39"/>
      <c r="LBM96" s="39"/>
      <c r="LBN96" s="39"/>
      <c r="LBO96" s="39"/>
      <c r="LBP96" s="39"/>
      <c r="LBQ96" s="39"/>
      <c r="LBR96" s="39"/>
      <c r="LBS96" s="39"/>
      <c r="LBT96" s="39"/>
      <c r="LBU96" s="39"/>
      <c r="LBV96" s="39"/>
      <c r="LBW96" s="39"/>
      <c r="LBX96" s="39"/>
      <c r="LBY96" s="39"/>
      <c r="LBZ96" s="39"/>
      <c r="LCA96" s="39"/>
      <c r="LCB96" s="39"/>
      <c r="LCC96" s="39"/>
      <c r="LCD96" s="39"/>
      <c r="LCE96" s="39"/>
      <c r="LCF96" s="39"/>
      <c r="LCG96" s="39"/>
      <c r="LCH96" s="39"/>
      <c r="LCI96" s="39"/>
      <c r="LCJ96" s="39"/>
      <c r="LCK96" s="39"/>
      <c r="LCL96" s="39"/>
      <c r="LCM96" s="39"/>
      <c r="LCN96" s="39"/>
      <c r="LCO96" s="39"/>
      <c r="LCP96" s="39"/>
      <c r="LCQ96" s="39"/>
      <c r="LCR96" s="39"/>
      <c r="LCS96" s="39"/>
      <c r="LCT96" s="39"/>
      <c r="LCU96" s="39"/>
      <c r="LCV96" s="39"/>
      <c r="LCW96" s="39"/>
      <c r="LCX96" s="39"/>
      <c r="LCY96" s="39"/>
      <c r="LCZ96" s="39"/>
      <c r="LDA96" s="39"/>
      <c r="LDB96" s="39"/>
      <c r="LDC96" s="39"/>
      <c r="LDD96" s="39"/>
      <c r="LDE96" s="39"/>
      <c r="LDF96" s="39"/>
      <c r="LDG96" s="39"/>
      <c r="LDH96" s="39"/>
      <c r="LDI96" s="39"/>
      <c r="LDJ96" s="39"/>
      <c r="LDK96" s="39"/>
      <c r="LDL96" s="39"/>
      <c r="LDM96" s="39"/>
      <c r="LDN96" s="39"/>
      <c r="LDO96" s="39"/>
      <c r="LDP96" s="39"/>
      <c r="LDQ96" s="39"/>
      <c r="LDR96" s="39"/>
      <c r="LDS96" s="39"/>
      <c r="LDT96" s="39"/>
      <c r="LDU96" s="39"/>
      <c r="LDV96" s="39"/>
      <c r="LDW96" s="39"/>
      <c r="LDX96" s="39"/>
      <c r="LDY96" s="39"/>
      <c r="LDZ96" s="39"/>
      <c r="LEA96" s="39"/>
      <c r="LEB96" s="39"/>
      <c r="LEC96" s="39"/>
      <c r="LED96" s="39"/>
      <c r="LEE96" s="39"/>
      <c r="LEF96" s="39"/>
      <c r="LEG96" s="39"/>
      <c r="LEH96" s="39"/>
      <c r="LEI96" s="39"/>
      <c r="LEJ96" s="39"/>
      <c r="LEK96" s="39"/>
      <c r="LEL96" s="39"/>
      <c r="LEM96" s="39"/>
      <c r="LEN96" s="39"/>
      <c r="LEO96" s="39"/>
      <c r="LEP96" s="39"/>
      <c r="LEQ96" s="39"/>
      <c r="LER96" s="39"/>
      <c r="LES96" s="39"/>
      <c r="LET96" s="39"/>
      <c r="LEU96" s="39"/>
      <c r="LEV96" s="39"/>
      <c r="LEW96" s="39"/>
      <c r="LEX96" s="39"/>
      <c r="LEY96" s="39"/>
      <c r="LEZ96" s="39"/>
      <c r="LFA96" s="39"/>
      <c r="LFB96" s="39"/>
      <c r="LFC96" s="39"/>
      <c r="LFD96" s="39"/>
      <c r="LFE96" s="39"/>
      <c r="LFF96" s="39"/>
      <c r="LFG96" s="39"/>
      <c r="LFH96" s="39"/>
      <c r="LFI96" s="39"/>
      <c r="LFJ96" s="39"/>
      <c r="LFK96" s="39"/>
      <c r="LFL96" s="39"/>
      <c r="LFM96" s="39"/>
      <c r="LFN96" s="39"/>
      <c r="LFO96" s="39"/>
      <c r="LFP96" s="39"/>
      <c r="LFQ96" s="39"/>
      <c r="LFR96" s="39"/>
      <c r="LFS96" s="39"/>
      <c r="LFT96" s="39"/>
      <c r="LFU96" s="39"/>
      <c r="LFV96" s="39"/>
      <c r="LFW96" s="39"/>
      <c r="LFX96" s="39"/>
      <c r="LFY96" s="39"/>
      <c r="LFZ96" s="39"/>
      <c r="LGA96" s="39"/>
      <c r="LGB96" s="39"/>
      <c r="LGC96" s="39"/>
      <c r="LGD96" s="39"/>
      <c r="LGE96" s="39"/>
      <c r="LGF96" s="39"/>
      <c r="LGG96" s="39"/>
      <c r="LGH96" s="39"/>
      <c r="LGI96" s="39"/>
      <c r="LGJ96" s="39"/>
      <c r="LGK96" s="39"/>
      <c r="LGL96" s="39"/>
      <c r="LGM96" s="39"/>
      <c r="LGN96" s="39"/>
      <c r="LGO96" s="39"/>
      <c r="LGP96" s="39"/>
      <c r="LGQ96" s="39"/>
      <c r="LGR96" s="39"/>
      <c r="LGS96" s="39"/>
      <c r="LGT96" s="39"/>
      <c r="LGU96" s="39"/>
      <c r="LGV96" s="39"/>
      <c r="LGW96" s="39"/>
      <c r="LGX96" s="39"/>
      <c r="LGY96" s="39"/>
      <c r="LGZ96" s="39"/>
      <c r="LHA96" s="39"/>
      <c r="LHB96" s="39"/>
      <c r="LHC96" s="39"/>
      <c r="LHD96" s="39"/>
      <c r="LHE96" s="39"/>
      <c r="LHF96" s="39"/>
      <c r="LHG96" s="39"/>
      <c r="LHH96" s="39"/>
      <c r="LHI96" s="39"/>
      <c r="LHJ96" s="39"/>
      <c r="LHK96" s="39"/>
      <c r="LHL96" s="39"/>
      <c r="LHM96" s="39"/>
      <c r="LHN96" s="39"/>
      <c r="LHO96" s="39"/>
      <c r="LHP96" s="39"/>
      <c r="LHQ96" s="39"/>
      <c r="LHR96" s="39"/>
      <c r="LHS96" s="39"/>
      <c r="LHT96" s="39"/>
      <c r="LHU96" s="39"/>
      <c r="LHV96" s="39"/>
      <c r="LHW96" s="39"/>
      <c r="LHX96" s="39"/>
      <c r="LHY96" s="39"/>
      <c r="LHZ96" s="39"/>
      <c r="LIA96" s="39"/>
      <c r="LIB96" s="39"/>
      <c r="LIC96" s="39"/>
      <c r="LID96" s="39"/>
      <c r="LIE96" s="39"/>
      <c r="LIF96" s="39"/>
      <c r="LIG96" s="39"/>
      <c r="LIH96" s="39"/>
      <c r="LII96" s="39"/>
      <c r="LIJ96" s="39"/>
      <c r="LIK96" s="39"/>
      <c r="LIL96" s="39"/>
      <c r="LIM96" s="39"/>
      <c r="LIN96" s="39"/>
      <c r="LIO96" s="39"/>
      <c r="LIP96" s="39"/>
      <c r="LIQ96" s="39"/>
      <c r="LIR96" s="39"/>
      <c r="LIS96" s="39"/>
      <c r="LIT96" s="39"/>
      <c r="LIU96" s="39"/>
      <c r="LIV96" s="39"/>
      <c r="LIW96" s="39"/>
      <c r="LIX96" s="39"/>
      <c r="LIY96" s="39"/>
      <c r="LIZ96" s="39"/>
      <c r="LJA96" s="39"/>
      <c r="LJB96" s="39"/>
      <c r="LJC96" s="39"/>
      <c r="LJD96" s="39"/>
      <c r="LJE96" s="39"/>
      <c r="LJF96" s="39"/>
      <c r="LJG96" s="39"/>
      <c r="LJH96" s="39"/>
      <c r="LJI96" s="39"/>
      <c r="LJJ96" s="39"/>
      <c r="LJK96" s="39"/>
      <c r="LJL96" s="39"/>
      <c r="LJM96" s="39"/>
      <c r="LJN96" s="39"/>
      <c r="LJO96" s="39"/>
      <c r="LJP96" s="39"/>
      <c r="LJQ96" s="39"/>
      <c r="LJR96" s="39"/>
      <c r="LJS96" s="39"/>
      <c r="LJT96" s="39"/>
      <c r="LJU96" s="39"/>
      <c r="LJV96" s="39"/>
      <c r="LJW96" s="39"/>
      <c r="LJX96" s="39"/>
      <c r="LJY96" s="39"/>
      <c r="LJZ96" s="39"/>
      <c r="LKA96" s="39"/>
      <c r="LKB96" s="39"/>
      <c r="LKC96" s="39"/>
      <c r="LKD96" s="39"/>
      <c r="LKE96" s="39"/>
      <c r="LKF96" s="39"/>
      <c r="LKG96" s="39"/>
      <c r="LKH96" s="39"/>
      <c r="LKI96" s="39"/>
      <c r="LKJ96" s="39"/>
      <c r="LKK96" s="39"/>
      <c r="LKL96" s="39"/>
      <c r="LKM96" s="39"/>
      <c r="LKN96" s="39"/>
      <c r="LKO96" s="39"/>
      <c r="LKP96" s="39"/>
      <c r="LKQ96" s="39"/>
      <c r="LKR96" s="39"/>
      <c r="LKS96" s="39"/>
      <c r="LKT96" s="39"/>
      <c r="LKU96" s="39"/>
      <c r="LKV96" s="39"/>
      <c r="LKW96" s="39"/>
      <c r="LKX96" s="39"/>
      <c r="LKY96" s="39"/>
      <c r="LKZ96" s="39"/>
      <c r="LLA96" s="39"/>
      <c r="LLB96" s="39"/>
      <c r="LLC96" s="39"/>
      <c r="LLD96" s="39"/>
      <c r="LLE96" s="39"/>
      <c r="LLF96" s="39"/>
      <c r="LLG96" s="39"/>
      <c r="LLH96" s="39"/>
      <c r="LLI96" s="39"/>
      <c r="LLJ96" s="39"/>
      <c r="LLK96" s="39"/>
      <c r="LLL96" s="39"/>
      <c r="LLM96" s="39"/>
      <c r="LLN96" s="39"/>
      <c r="LLO96" s="39"/>
      <c r="LLP96" s="39"/>
      <c r="LLQ96" s="39"/>
      <c r="LLR96" s="39"/>
      <c r="LLS96" s="39"/>
      <c r="LLT96" s="39"/>
      <c r="LLU96" s="39"/>
      <c r="LLV96" s="39"/>
      <c r="LLW96" s="39"/>
      <c r="LLX96" s="39"/>
      <c r="LLY96" s="39"/>
      <c r="LLZ96" s="39"/>
      <c r="LMA96" s="39"/>
      <c r="LMB96" s="39"/>
      <c r="LMC96" s="39"/>
      <c r="LMD96" s="39"/>
      <c r="LME96" s="39"/>
      <c r="LMF96" s="39"/>
      <c r="LMG96" s="39"/>
      <c r="LMH96" s="39"/>
      <c r="LMI96" s="39"/>
      <c r="LMJ96" s="39"/>
      <c r="LMK96" s="39"/>
      <c r="LML96" s="39"/>
      <c r="LMM96" s="39"/>
      <c r="LMN96" s="39"/>
      <c r="LMO96" s="39"/>
      <c r="LMP96" s="39"/>
      <c r="LMQ96" s="39"/>
      <c r="LMR96" s="39"/>
      <c r="LMS96" s="39"/>
      <c r="LMT96" s="39"/>
      <c r="LMU96" s="39"/>
      <c r="LMV96" s="39"/>
      <c r="LMW96" s="39"/>
      <c r="LMX96" s="39"/>
      <c r="LMY96" s="39"/>
      <c r="LMZ96" s="39"/>
      <c r="LNA96" s="39"/>
      <c r="LNB96" s="39"/>
      <c r="LNC96" s="39"/>
      <c r="LND96" s="39"/>
      <c r="LNE96" s="39"/>
      <c r="LNF96" s="39"/>
      <c r="LNG96" s="39"/>
      <c r="LNH96" s="39"/>
      <c r="LNI96" s="39"/>
      <c r="LNJ96" s="39"/>
      <c r="LNK96" s="39"/>
      <c r="LNL96" s="39"/>
      <c r="LNM96" s="39"/>
      <c r="LNN96" s="39"/>
      <c r="LNO96" s="39"/>
      <c r="LNP96" s="39"/>
      <c r="LNQ96" s="39"/>
      <c r="LNR96" s="39"/>
      <c r="LNS96" s="39"/>
      <c r="LNT96" s="39"/>
      <c r="LNU96" s="39"/>
      <c r="LNV96" s="39"/>
      <c r="LNW96" s="39"/>
      <c r="LNX96" s="39"/>
      <c r="LNY96" s="39"/>
      <c r="LNZ96" s="39"/>
      <c r="LOA96" s="39"/>
      <c r="LOB96" s="39"/>
      <c r="LOC96" s="39"/>
      <c r="LOD96" s="39"/>
      <c r="LOE96" s="39"/>
      <c r="LOF96" s="39"/>
      <c r="LOG96" s="39"/>
      <c r="LOH96" s="39"/>
      <c r="LOI96" s="39"/>
      <c r="LOJ96" s="39"/>
      <c r="LOK96" s="39"/>
      <c r="LOL96" s="39"/>
      <c r="LOM96" s="39"/>
      <c r="LON96" s="39"/>
      <c r="LOO96" s="39"/>
      <c r="LOP96" s="39"/>
      <c r="LOQ96" s="39"/>
      <c r="LOR96" s="39"/>
      <c r="LOS96" s="39"/>
      <c r="LOT96" s="39"/>
      <c r="LOU96" s="39"/>
      <c r="LOV96" s="39"/>
      <c r="LOW96" s="39"/>
      <c r="LOX96" s="39"/>
      <c r="LOY96" s="39"/>
      <c r="LOZ96" s="39"/>
      <c r="LPA96" s="39"/>
      <c r="LPB96" s="39"/>
      <c r="LPC96" s="39"/>
      <c r="LPD96" s="39"/>
      <c r="LPE96" s="39"/>
      <c r="LPF96" s="39"/>
      <c r="LPG96" s="39"/>
      <c r="LPH96" s="39"/>
      <c r="LPI96" s="39"/>
      <c r="LPJ96" s="39"/>
      <c r="LPK96" s="39"/>
      <c r="LPL96" s="39"/>
      <c r="LPM96" s="39"/>
      <c r="LPN96" s="39"/>
      <c r="LPO96" s="39"/>
      <c r="LPP96" s="39"/>
      <c r="LPQ96" s="39"/>
      <c r="LPR96" s="39"/>
      <c r="LPS96" s="39"/>
      <c r="LPT96" s="39"/>
      <c r="LPU96" s="39"/>
      <c r="LPV96" s="39"/>
      <c r="LPW96" s="39"/>
      <c r="LPX96" s="39"/>
      <c r="LPY96" s="39"/>
      <c r="LPZ96" s="39"/>
      <c r="LQA96" s="39"/>
      <c r="LQB96" s="39"/>
      <c r="LQC96" s="39"/>
      <c r="LQD96" s="39"/>
      <c r="LQE96" s="39"/>
      <c r="LQF96" s="39"/>
      <c r="LQG96" s="39"/>
      <c r="LQH96" s="39"/>
      <c r="LQI96" s="39"/>
      <c r="LQJ96" s="39"/>
      <c r="LQK96" s="39"/>
      <c r="LQL96" s="39"/>
      <c r="LQM96" s="39"/>
      <c r="LQN96" s="39"/>
      <c r="LQO96" s="39"/>
      <c r="LQP96" s="39"/>
      <c r="LQQ96" s="39"/>
      <c r="LQR96" s="39"/>
      <c r="LQS96" s="39"/>
      <c r="LQT96" s="39"/>
      <c r="LQU96" s="39"/>
      <c r="LQV96" s="39"/>
      <c r="LQW96" s="39"/>
      <c r="LQX96" s="39"/>
      <c r="LQY96" s="39"/>
      <c r="LQZ96" s="39"/>
      <c r="LRA96" s="39"/>
      <c r="LRB96" s="39"/>
      <c r="LRC96" s="39"/>
      <c r="LRD96" s="39"/>
      <c r="LRE96" s="39"/>
      <c r="LRF96" s="39"/>
      <c r="LRG96" s="39"/>
      <c r="LRH96" s="39"/>
      <c r="LRI96" s="39"/>
      <c r="LRJ96" s="39"/>
      <c r="LRK96" s="39"/>
      <c r="LRL96" s="39"/>
      <c r="LRM96" s="39"/>
      <c r="LRN96" s="39"/>
      <c r="LRO96" s="39"/>
      <c r="LRP96" s="39"/>
      <c r="LRQ96" s="39"/>
      <c r="LRR96" s="39"/>
      <c r="LRS96" s="39"/>
      <c r="LRT96" s="39"/>
      <c r="LRU96" s="39"/>
      <c r="LRV96" s="39"/>
      <c r="LRW96" s="39"/>
      <c r="LRX96" s="39"/>
      <c r="LRY96" s="39"/>
      <c r="LRZ96" s="39"/>
      <c r="LSA96" s="39"/>
      <c r="LSB96" s="39"/>
      <c r="LSC96" s="39"/>
      <c r="LSD96" s="39"/>
      <c r="LSE96" s="39"/>
      <c r="LSF96" s="39"/>
      <c r="LSG96" s="39"/>
      <c r="LSH96" s="39"/>
      <c r="LSI96" s="39"/>
      <c r="LSJ96" s="39"/>
      <c r="LSK96" s="39"/>
      <c r="LSL96" s="39"/>
      <c r="LSM96" s="39"/>
      <c r="LSN96" s="39"/>
      <c r="LSO96" s="39"/>
      <c r="LSP96" s="39"/>
      <c r="LSQ96" s="39"/>
      <c r="LSR96" s="39"/>
      <c r="LSS96" s="39"/>
      <c r="LST96" s="39"/>
      <c r="LSU96" s="39"/>
      <c r="LSV96" s="39"/>
      <c r="LSW96" s="39"/>
      <c r="LSX96" s="39"/>
      <c r="LSY96" s="39"/>
      <c r="LSZ96" s="39"/>
      <c r="LTA96" s="39"/>
      <c r="LTB96" s="39"/>
      <c r="LTC96" s="39"/>
      <c r="LTD96" s="39"/>
      <c r="LTE96" s="39"/>
      <c r="LTF96" s="39"/>
      <c r="LTG96" s="39"/>
      <c r="LTH96" s="39"/>
      <c r="LTI96" s="39"/>
      <c r="LTJ96" s="39"/>
      <c r="LTK96" s="39"/>
      <c r="LTL96" s="39"/>
      <c r="LTM96" s="39"/>
      <c r="LTN96" s="39"/>
      <c r="LTO96" s="39"/>
      <c r="LTP96" s="39"/>
      <c r="LTQ96" s="39"/>
      <c r="LTR96" s="39"/>
      <c r="LTS96" s="39"/>
      <c r="LTT96" s="39"/>
      <c r="LTU96" s="39"/>
      <c r="LTV96" s="39"/>
      <c r="LTW96" s="39"/>
      <c r="LTX96" s="39"/>
      <c r="LTY96" s="39"/>
      <c r="LTZ96" s="39"/>
      <c r="LUA96" s="39"/>
      <c r="LUB96" s="39"/>
      <c r="LUC96" s="39"/>
      <c r="LUD96" s="39"/>
      <c r="LUE96" s="39"/>
      <c r="LUF96" s="39"/>
      <c r="LUG96" s="39"/>
      <c r="LUH96" s="39"/>
      <c r="LUI96" s="39"/>
      <c r="LUJ96" s="39"/>
      <c r="LUK96" s="39"/>
      <c r="LUL96" s="39"/>
      <c r="LUM96" s="39"/>
      <c r="LUN96" s="39"/>
      <c r="LUO96" s="39"/>
      <c r="LUP96" s="39"/>
      <c r="LUQ96" s="39"/>
      <c r="LUR96" s="39"/>
      <c r="LUS96" s="39"/>
      <c r="LUT96" s="39"/>
      <c r="LUU96" s="39"/>
      <c r="LUV96" s="39"/>
      <c r="LUW96" s="39"/>
      <c r="LUX96" s="39"/>
      <c r="LUY96" s="39"/>
      <c r="LUZ96" s="39"/>
      <c r="LVA96" s="39"/>
      <c r="LVB96" s="39"/>
      <c r="LVC96" s="39"/>
      <c r="LVD96" s="39"/>
      <c r="LVE96" s="39"/>
      <c r="LVF96" s="39"/>
      <c r="LVG96" s="39"/>
      <c r="LVH96" s="39"/>
      <c r="LVI96" s="39"/>
      <c r="LVJ96" s="39"/>
      <c r="LVK96" s="39"/>
      <c r="LVL96" s="39"/>
      <c r="LVM96" s="39"/>
      <c r="LVN96" s="39"/>
      <c r="LVO96" s="39"/>
      <c r="LVP96" s="39"/>
      <c r="LVQ96" s="39"/>
      <c r="LVR96" s="39"/>
      <c r="LVS96" s="39"/>
      <c r="LVT96" s="39"/>
      <c r="LVU96" s="39"/>
      <c r="LVV96" s="39"/>
      <c r="LVW96" s="39"/>
      <c r="LVX96" s="39"/>
      <c r="LVY96" s="39"/>
      <c r="LVZ96" s="39"/>
      <c r="LWA96" s="39"/>
      <c r="LWB96" s="39"/>
      <c r="LWC96" s="39"/>
      <c r="LWD96" s="39"/>
      <c r="LWE96" s="39"/>
      <c r="LWF96" s="39"/>
      <c r="LWG96" s="39"/>
      <c r="LWH96" s="39"/>
      <c r="LWI96" s="39"/>
      <c r="LWJ96" s="39"/>
      <c r="LWK96" s="39"/>
      <c r="LWL96" s="39"/>
      <c r="LWM96" s="39"/>
      <c r="LWN96" s="39"/>
      <c r="LWO96" s="39"/>
      <c r="LWP96" s="39"/>
      <c r="LWQ96" s="39"/>
      <c r="LWR96" s="39"/>
      <c r="LWS96" s="39"/>
      <c r="LWT96" s="39"/>
      <c r="LWU96" s="39"/>
      <c r="LWV96" s="39"/>
      <c r="LWW96" s="39"/>
      <c r="LWX96" s="39"/>
      <c r="LWY96" s="39"/>
      <c r="LWZ96" s="39"/>
      <c r="LXA96" s="39"/>
      <c r="LXB96" s="39"/>
      <c r="LXC96" s="39"/>
      <c r="LXD96" s="39"/>
      <c r="LXE96" s="39"/>
      <c r="LXF96" s="39"/>
      <c r="LXG96" s="39"/>
      <c r="LXH96" s="39"/>
      <c r="LXI96" s="39"/>
      <c r="LXJ96" s="39"/>
      <c r="LXK96" s="39"/>
      <c r="LXL96" s="39"/>
      <c r="LXM96" s="39"/>
      <c r="LXN96" s="39"/>
      <c r="LXO96" s="39"/>
      <c r="LXP96" s="39"/>
      <c r="LXQ96" s="39"/>
      <c r="LXR96" s="39"/>
      <c r="LXS96" s="39"/>
      <c r="LXT96" s="39"/>
      <c r="LXU96" s="39"/>
      <c r="LXV96" s="39"/>
      <c r="LXW96" s="39"/>
      <c r="LXX96" s="39"/>
      <c r="LXY96" s="39"/>
      <c r="LXZ96" s="39"/>
      <c r="LYA96" s="39"/>
      <c r="LYB96" s="39"/>
      <c r="LYC96" s="39"/>
      <c r="LYD96" s="39"/>
      <c r="LYE96" s="39"/>
      <c r="LYF96" s="39"/>
      <c r="LYG96" s="39"/>
      <c r="LYH96" s="39"/>
      <c r="LYI96" s="39"/>
      <c r="LYJ96" s="39"/>
      <c r="LYK96" s="39"/>
      <c r="LYL96" s="39"/>
      <c r="LYM96" s="39"/>
      <c r="LYN96" s="39"/>
      <c r="LYO96" s="39"/>
      <c r="LYP96" s="39"/>
      <c r="LYQ96" s="39"/>
      <c r="LYR96" s="39"/>
      <c r="LYS96" s="39"/>
      <c r="LYT96" s="39"/>
      <c r="LYU96" s="39"/>
      <c r="LYV96" s="39"/>
      <c r="LYW96" s="39"/>
      <c r="LYX96" s="39"/>
      <c r="LYY96" s="39"/>
      <c r="LYZ96" s="39"/>
      <c r="LZA96" s="39"/>
      <c r="LZB96" s="39"/>
      <c r="LZC96" s="39"/>
      <c r="LZD96" s="39"/>
      <c r="LZE96" s="39"/>
      <c r="LZF96" s="39"/>
      <c r="LZG96" s="39"/>
      <c r="LZH96" s="39"/>
      <c r="LZI96" s="39"/>
      <c r="LZJ96" s="39"/>
      <c r="LZK96" s="39"/>
      <c r="LZL96" s="39"/>
      <c r="LZM96" s="39"/>
      <c r="LZN96" s="39"/>
      <c r="LZO96" s="39"/>
      <c r="LZP96" s="39"/>
      <c r="LZQ96" s="39"/>
      <c r="LZR96" s="39"/>
      <c r="LZS96" s="39"/>
      <c r="LZT96" s="39"/>
      <c r="LZU96" s="39"/>
      <c r="LZV96" s="39"/>
      <c r="LZW96" s="39"/>
      <c r="LZX96" s="39"/>
      <c r="LZY96" s="39"/>
      <c r="LZZ96" s="39"/>
      <c r="MAA96" s="39"/>
      <c r="MAB96" s="39"/>
      <c r="MAC96" s="39"/>
      <c r="MAD96" s="39"/>
      <c r="MAE96" s="39"/>
      <c r="MAF96" s="39"/>
      <c r="MAG96" s="39"/>
      <c r="MAH96" s="39"/>
      <c r="MAI96" s="39"/>
      <c r="MAJ96" s="39"/>
      <c r="MAK96" s="39"/>
      <c r="MAL96" s="39"/>
      <c r="MAM96" s="39"/>
      <c r="MAN96" s="39"/>
      <c r="MAO96" s="39"/>
      <c r="MAP96" s="39"/>
      <c r="MAQ96" s="39"/>
      <c r="MAR96" s="39"/>
      <c r="MAS96" s="39"/>
      <c r="MAT96" s="39"/>
      <c r="MAU96" s="39"/>
      <c r="MAV96" s="39"/>
      <c r="MAW96" s="39"/>
      <c r="MAX96" s="39"/>
      <c r="MAY96" s="39"/>
      <c r="MAZ96" s="39"/>
      <c r="MBA96" s="39"/>
      <c r="MBB96" s="39"/>
      <c r="MBC96" s="39"/>
      <c r="MBD96" s="39"/>
      <c r="MBE96" s="39"/>
      <c r="MBF96" s="39"/>
      <c r="MBG96" s="39"/>
      <c r="MBH96" s="39"/>
      <c r="MBI96" s="39"/>
      <c r="MBJ96" s="39"/>
      <c r="MBK96" s="39"/>
      <c r="MBL96" s="39"/>
      <c r="MBM96" s="39"/>
      <c r="MBN96" s="39"/>
      <c r="MBO96" s="39"/>
      <c r="MBP96" s="39"/>
      <c r="MBQ96" s="39"/>
      <c r="MBR96" s="39"/>
      <c r="MBS96" s="39"/>
      <c r="MBT96" s="39"/>
      <c r="MBU96" s="39"/>
      <c r="MBV96" s="39"/>
      <c r="MBW96" s="39"/>
      <c r="MBX96" s="39"/>
      <c r="MBY96" s="39"/>
      <c r="MBZ96" s="39"/>
      <c r="MCA96" s="39"/>
      <c r="MCB96" s="39"/>
      <c r="MCC96" s="39"/>
      <c r="MCD96" s="39"/>
      <c r="MCE96" s="39"/>
      <c r="MCF96" s="39"/>
      <c r="MCG96" s="39"/>
      <c r="MCH96" s="39"/>
      <c r="MCI96" s="39"/>
      <c r="MCJ96" s="39"/>
      <c r="MCK96" s="39"/>
      <c r="MCL96" s="39"/>
      <c r="MCM96" s="39"/>
      <c r="MCN96" s="39"/>
      <c r="MCO96" s="39"/>
      <c r="MCP96" s="39"/>
      <c r="MCQ96" s="39"/>
      <c r="MCR96" s="39"/>
      <c r="MCS96" s="39"/>
      <c r="MCT96" s="39"/>
      <c r="MCU96" s="39"/>
      <c r="MCV96" s="39"/>
      <c r="MCW96" s="39"/>
      <c r="MCX96" s="39"/>
      <c r="MCY96" s="39"/>
      <c r="MCZ96" s="39"/>
      <c r="MDA96" s="39"/>
      <c r="MDB96" s="39"/>
      <c r="MDC96" s="39"/>
      <c r="MDD96" s="39"/>
      <c r="MDE96" s="39"/>
      <c r="MDF96" s="39"/>
      <c r="MDG96" s="39"/>
      <c r="MDH96" s="39"/>
      <c r="MDI96" s="39"/>
      <c r="MDJ96" s="39"/>
      <c r="MDK96" s="39"/>
      <c r="MDL96" s="39"/>
      <c r="MDM96" s="39"/>
      <c r="MDN96" s="39"/>
      <c r="MDO96" s="39"/>
      <c r="MDP96" s="39"/>
      <c r="MDQ96" s="39"/>
      <c r="MDR96" s="39"/>
      <c r="MDS96" s="39"/>
      <c r="MDT96" s="39"/>
      <c r="MDU96" s="39"/>
      <c r="MDV96" s="39"/>
      <c r="MDW96" s="39"/>
      <c r="MDX96" s="39"/>
      <c r="MDY96" s="39"/>
      <c r="MDZ96" s="39"/>
      <c r="MEA96" s="39"/>
      <c r="MEB96" s="39"/>
      <c r="MEC96" s="39"/>
      <c r="MED96" s="39"/>
      <c r="MEE96" s="39"/>
      <c r="MEF96" s="39"/>
      <c r="MEG96" s="39"/>
      <c r="MEH96" s="39"/>
      <c r="MEI96" s="39"/>
      <c r="MEJ96" s="39"/>
      <c r="MEK96" s="39"/>
      <c r="MEL96" s="39"/>
      <c r="MEM96" s="39"/>
      <c r="MEN96" s="39"/>
      <c r="MEO96" s="39"/>
      <c r="MEP96" s="39"/>
      <c r="MEQ96" s="39"/>
      <c r="MER96" s="39"/>
      <c r="MES96" s="39"/>
      <c r="MET96" s="39"/>
      <c r="MEU96" s="39"/>
      <c r="MEV96" s="39"/>
      <c r="MEW96" s="39"/>
      <c r="MEX96" s="39"/>
      <c r="MEY96" s="39"/>
      <c r="MEZ96" s="39"/>
      <c r="MFA96" s="39"/>
      <c r="MFB96" s="39"/>
      <c r="MFC96" s="39"/>
      <c r="MFD96" s="39"/>
      <c r="MFE96" s="39"/>
      <c r="MFF96" s="39"/>
      <c r="MFG96" s="39"/>
      <c r="MFH96" s="39"/>
      <c r="MFI96" s="39"/>
      <c r="MFJ96" s="39"/>
      <c r="MFK96" s="39"/>
      <c r="MFL96" s="39"/>
      <c r="MFM96" s="39"/>
      <c r="MFN96" s="39"/>
      <c r="MFO96" s="39"/>
      <c r="MFP96" s="39"/>
      <c r="MFQ96" s="39"/>
      <c r="MFR96" s="39"/>
      <c r="MFS96" s="39"/>
      <c r="MFT96" s="39"/>
      <c r="MFU96" s="39"/>
      <c r="MFV96" s="39"/>
      <c r="MFW96" s="39"/>
      <c r="MFX96" s="39"/>
      <c r="MFY96" s="39"/>
      <c r="MFZ96" s="39"/>
      <c r="MGA96" s="39"/>
      <c r="MGB96" s="39"/>
      <c r="MGC96" s="39"/>
      <c r="MGD96" s="39"/>
      <c r="MGE96" s="39"/>
      <c r="MGF96" s="39"/>
      <c r="MGG96" s="39"/>
      <c r="MGH96" s="39"/>
      <c r="MGI96" s="39"/>
      <c r="MGJ96" s="39"/>
      <c r="MGK96" s="39"/>
      <c r="MGL96" s="39"/>
      <c r="MGM96" s="39"/>
      <c r="MGN96" s="39"/>
      <c r="MGO96" s="39"/>
      <c r="MGP96" s="39"/>
      <c r="MGQ96" s="39"/>
      <c r="MGR96" s="39"/>
      <c r="MGS96" s="39"/>
      <c r="MGT96" s="39"/>
      <c r="MGU96" s="39"/>
      <c r="MGV96" s="39"/>
      <c r="MGW96" s="39"/>
      <c r="MGX96" s="39"/>
      <c r="MGY96" s="39"/>
      <c r="MGZ96" s="39"/>
      <c r="MHA96" s="39"/>
      <c r="MHB96" s="39"/>
      <c r="MHC96" s="39"/>
      <c r="MHD96" s="39"/>
      <c r="MHE96" s="39"/>
      <c r="MHF96" s="39"/>
      <c r="MHG96" s="39"/>
      <c r="MHH96" s="39"/>
      <c r="MHI96" s="39"/>
      <c r="MHJ96" s="39"/>
      <c r="MHK96" s="39"/>
      <c r="MHL96" s="39"/>
      <c r="MHM96" s="39"/>
      <c r="MHN96" s="39"/>
      <c r="MHO96" s="39"/>
      <c r="MHP96" s="39"/>
      <c r="MHQ96" s="39"/>
      <c r="MHR96" s="39"/>
      <c r="MHS96" s="39"/>
      <c r="MHT96" s="39"/>
      <c r="MHU96" s="39"/>
      <c r="MHV96" s="39"/>
      <c r="MHW96" s="39"/>
      <c r="MHX96" s="39"/>
      <c r="MHY96" s="39"/>
      <c r="MHZ96" s="39"/>
      <c r="MIA96" s="39"/>
      <c r="MIB96" s="39"/>
      <c r="MIC96" s="39"/>
      <c r="MID96" s="39"/>
      <c r="MIE96" s="39"/>
      <c r="MIF96" s="39"/>
      <c r="MIG96" s="39"/>
      <c r="MIH96" s="39"/>
      <c r="MII96" s="39"/>
      <c r="MIJ96" s="39"/>
      <c r="MIK96" s="39"/>
      <c r="MIL96" s="39"/>
      <c r="MIM96" s="39"/>
      <c r="MIN96" s="39"/>
      <c r="MIO96" s="39"/>
      <c r="MIP96" s="39"/>
      <c r="MIQ96" s="39"/>
      <c r="MIR96" s="39"/>
      <c r="MIS96" s="39"/>
      <c r="MIT96" s="39"/>
      <c r="MIU96" s="39"/>
      <c r="MIV96" s="39"/>
      <c r="MIW96" s="39"/>
      <c r="MIX96" s="39"/>
      <c r="MIY96" s="39"/>
      <c r="MIZ96" s="39"/>
      <c r="MJA96" s="39"/>
      <c r="MJB96" s="39"/>
      <c r="MJC96" s="39"/>
      <c r="MJD96" s="39"/>
      <c r="MJE96" s="39"/>
      <c r="MJF96" s="39"/>
      <c r="MJG96" s="39"/>
      <c r="MJH96" s="39"/>
      <c r="MJI96" s="39"/>
      <c r="MJJ96" s="39"/>
      <c r="MJK96" s="39"/>
      <c r="MJL96" s="39"/>
      <c r="MJM96" s="39"/>
      <c r="MJN96" s="39"/>
      <c r="MJO96" s="39"/>
      <c r="MJP96" s="39"/>
      <c r="MJQ96" s="39"/>
      <c r="MJR96" s="39"/>
      <c r="MJS96" s="39"/>
      <c r="MJT96" s="39"/>
      <c r="MJU96" s="39"/>
      <c r="MJV96" s="39"/>
      <c r="MJW96" s="39"/>
      <c r="MJX96" s="39"/>
      <c r="MJY96" s="39"/>
      <c r="MJZ96" s="39"/>
      <c r="MKA96" s="39"/>
      <c r="MKB96" s="39"/>
      <c r="MKC96" s="39"/>
      <c r="MKD96" s="39"/>
      <c r="MKE96" s="39"/>
      <c r="MKF96" s="39"/>
      <c r="MKG96" s="39"/>
      <c r="MKH96" s="39"/>
      <c r="MKI96" s="39"/>
      <c r="MKJ96" s="39"/>
      <c r="MKK96" s="39"/>
      <c r="MKL96" s="39"/>
      <c r="MKM96" s="39"/>
      <c r="MKN96" s="39"/>
      <c r="MKO96" s="39"/>
      <c r="MKP96" s="39"/>
      <c r="MKQ96" s="39"/>
      <c r="MKR96" s="39"/>
      <c r="MKS96" s="39"/>
      <c r="MKT96" s="39"/>
      <c r="MKU96" s="39"/>
      <c r="MKV96" s="39"/>
      <c r="MKW96" s="39"/>
      <c r="MKX96" s="39"/>
      <c r="MKY96" s="39"/>
      <c r="MKZ96" s="39"/>
      <c r="MLA96" s="39"/>
      <c r="MLB96" s="39"/>
      <c r="MLC96" s="39"/>
      <c r="MLD96" s="39"/>
      <c r="MLE96" s="39"/>
      <c r="MLF96" s="39"/>
      <c r="MLG96" s="39"/>
      <c r="MLH96" s="39"/>
      <c r="MLI96" s="39"/>
      <c r="MLJ96" s="39"/>
      <c r="MLK96" s="39"/>
      <c r="MLL96" s="39"/>
      <c r="MLM96" s="39"/>
      <c r="MLN96" s="39"/>
      <c r="MLO96" s="39"/>
      <c r="MLP96" s="39"/>
      <c r="MLQ96" s="39"/>
      <c r="MLR96" s="39"/>
      <c r="MLS96" s="39"/>
      <c r="MLT96" s="39"/>
      <c r="MLU96" s="39"/>
      <c r="MLV96" s="39"/>
      <c r="MLW96" s="39"/>
      <c r="MLX96" s="39"/>
      <c r="MLY96" s="39"/>
      <c r="MLZ96" s="39"/>
      <c r="MMA96" s="39"/>
      <c r="MMB96" s="39"/>
      <c r="MMC96" s="39"/>
      <c r="MMD96" s="39"/>
      <c r="MME96" s="39"/>
      <c r="MMF96" s="39"/>
      <c r="MMG96" s="39"/>
      <c r="MMH96" s="39"/>
      <c r="MMI96" s="39"/>
      <c r="MMJ96" s="39"/>
      <c r="MMK96" s="39"/>
      <c r="MML96" s="39"/>
      <c r="MMM96" s="39"/>
      <c r="MMN96" s="39"/>
      <c r="MMO96" s="39"/>
      <c r="MMP96" s="39"/>
      <c r="MMQ96" s="39"/>
      <c r="MMR96" s="39"/>
      <c r="MMS96" s="39"/>
      <c r="MMT96" s="39"/>
      <c r="MMU96" s="39"/>
      <c r="MMV96" s="39"/>
      <c r="MMW96" s="39"/>
      <c r="MMX96" s="39"/>
      <c r="MMY96" s="39"/>
      <c r="MMZ96" s="39"/>
      <c r="MNA96" s="39"/>
      <c r="MNB96" s="39"/>
      <c r="MNC96" s="39"/>
      <c r="MND96" s="39"/>
      <c r="MNE96" s="39"/>
      <c r="MNF96" s="39"/>
      <c r="MNG96" s="39"/>
      <c r="MNH96" s="39"/>
      <c r="MNI96" s="39"/>
      <c r="MNJ96" s="39"/>
      <c r="MNK96" s="39"/>
      <c r="MNL96" s="39"/>
      <c r="MNM96" s="39"/>
      <c r="MNN96" s="39"/>
      <c r="MNO96" s="39"/>
      <c r="MNP96" s="39"/>
      <c r="MNQ96" s="39"/>
      <c r="MNR96" s="39"/>
      <c r="MNS96" s="39"/>
      <c r="MNT96" s="39"/>
      <c r="MNU96" s="39"/>
      <c r="MNV96" s="39"/>
      <c r="MNW96" s="39"/>
      <c r="MNX96" s="39"/>
      <c r="MNY96" s="39"/>
      <c r="MNZ96" s="39"/>
      <c r="MOA96" s="39"/>
      <c r="MOB96" s="39"/>
      <c r="MOC96" s="39"/>
      <c r="MOD96" s="39"/>
      <c r="MOE96" s="39"/>
      <c r="MOF96" s="39"/>
      <c r="MOG96" s="39"/>
      <c r="MOH96" s="39"/>
      <c r="MOI96" s="39"/>
      <c r="MOJ96" s="39"/>
      <c r="MOK96" s="39"/>
      <c r="MOL96" s="39"/>
      <c r="MOM96" s="39"/>
      <c r="MON96" s="39"/>
      <c r="MOO96" s="39"/>
      <c r="MOP96" s="39"/>
      <c r="MOQ96" s="39"/>
      <c r="MOR96" s="39"/>
      <c r="MOS96" s="39"/>
      <c r="MOT96" s="39"/>
      <c r="MOU96" s="39"/>
      <c r="MOV96" s="39"/>
      <c r="MOW96" s="39"/>
      <c r="MOX96" s="39"/>
      <c r="MOY96" s="39"/>
      <c r="MOZ96" s="39"/>
      <c r="MPA96" s="39"/>
      <c r="MPB96" s="39"/>
      <c r="MPC96" s="39"/>
      <c r="MPD96" s="39"/>
      <c r="MPE96" s="39"/>
      <c r="MPF96" s="39"/>
      <c r="MPG96" s="39"/>
      <c r="MPH96" s="39"/>
      <c r="MPI96" s="39"/>
      <c r="MPJ96" s="39"/>
      <c r="MPK96" s="39"/>
      <c r="MPL96" s="39"/>
      <c r="MPM96" s="39"/>
      <c r="MPN96" s="39"/>
      <c r="MPO96" s="39"/>
      <c r="MPP96" s="39"/>
      <c r="MPQ96" s="39"/>
      <c r="MPR96" s="39"/>
      <c r="MPS96" s="39"/>
      <c r="MPT96" s="39"/>
      <c r="MPU96" s="39"/>
      <c r="MPV96" s="39"/>
      <c r="MPW96" s="39"/>
      <c r="MPX96" s="39"/>
      <c r="MPY96" s="39"/>
      <c r="MPZ96" s="39"/>
      <c r="MQA96" s="39"/>
      <c r="MQB96" s="39"/>
      <c r="MQC96" s="39"/>
      <c r="MQD96" s="39"/>
      <c r="MQE96" s="39"/>
      <c r="MQF96" s="39"/>
      <c r="MQG96" s="39"/>
      <c r="MQH96" s="39"/>
      <c r="MQI96" s="39"/>
      <c r="MQJ96" s="39"/>
      <c r="MQK96" s="39"/>
      <c r="MQL96" s="39"/>
      <c r="MQM96" s="39"/>
      <c r="MQN96" s="39"/>
      <c r="MQO96" s="39"/>
      <c r="MQP96" s="39"/>
      <c r="MQQ96" s="39"/>
      <c r="MQR96" s="39"/>
      <c r="MQS96" s="39"/>
      <c r="MQT96" s="39"/>
      <c r="MQU96" s="39"/>
      <c r="MQV96" s="39"/>
      <c r="MQW96" s="39"/>
      <c r="MQX96" s="39"/>
      <c r="MQY96" s="39"/>
      <c r="MQZ96" s="39"/>
      <c r="MRA96" s="39"/>
      <c r="MRB96" s="39"/>
      <c r="MRC96" s="39"/>
      <c r="MRD96" s="39"/>
      <c r="MRE96" s="39"/>
      <c r="MRF96" s="39"/>
      <c r="MRG96" s="39"/>
      <c r="MRH96" s="39"/>
      <c r="MRI96" s="39"/>
      <c r="MRJ96" s="39"/>
      <c r="MRK96" s="39"/>
      <c r="MRL96" s="39"/>
      <c r="MRM96" s="39"/>
      <c r="MRN96" s="39"/>
      <c r="MRO96" s="39"/>
      <c r="MRP96" s="39"/>
      <c r="MRQ96" s="39"/>
      <c r="MRR96" s="39"/>
      <c r="MRS96" s="39"/>
      <c r="MRT96" s="39"/>
      <c r="MRU96" s="39"/>
      <c r="MRV96" s="39"/>
      <c r="MRW96" s="39"/>
      <c r="MRX96" s="39"/>
      <c r="MRY96" s="39"/>
      <c r="MRZ96" s="39"/>
      <c r="MSA96" s="39"/>
      <c r="MSB96" s="39"/>
      <c r="MSC96" s="39"/>
      <c r="MSD96" s="39"/>
      <c r="MSE96" s="39"/>
      <c r="MSF96" s="39"/>
      <c r="MSG96" s="39"/>
      <c r="MSH96" s="39"/>
      <c r="MSI96" s="39"/>
      <c r="MSJ96" s="39"/>
      <c r="MSK96" s="39"/>
      <c r="MSL96" s="39"/>
      <c r="MSM96" s="39"/>
      <c r="MSN96" s="39"/>
      <c r="MSO96" s="39"/>
      <c r="MSP96" s="39"/>
      <c r="MSQ96" s="39"/>
      <c r="MSR96" s="39"/>
      <c r="MSS96" s="39"/>
      <c r="MST96" s="39"/>
      <c r="MSU96" s="39"/>
      <c r="MSV96" s="39"/>
      <c r="MSW96" s="39"/>
      <c r="MSX96" s="39"/>
      <c r="MSY96" s="39"/>
      <c r="MSZ96" s="39"/>
      <c r="MTA96" s="39"/>
      <c r="MTB96" s="39"/>
      <c r="MTC96" s="39"/>
      <c r="MTD96" s="39"/>
      <c r="MTE96" s="39"/>
      <c r="MTF96" s="39"/>
      <c r="MTG96" s="39"/>
      <c r="MTH96" s="39"/>
      <c r="MTI96" s="39"/>
      <c r="MTJ96" s="39"/>
      <c r="MTK96" s="39"/>
      <c r="MTL96" s="39"/>
      <c r="MTM96" s="39"/>
      <c r="MTN96" s="39"/>
      <c r="MTO96" s="39"/>
      <c r="MTP96" s="39"/>
      <c r="MTQ96" s="39"/>
      <c r="MTR96" s="39"/>
      <c r="MTS96" s="39"/>
      <c r="MTT96" s="39"/>
      <c r="MTU96" s="39"/>
      <c r="MTV96" s="39"/>
      <c r="MTW96" s="39"/>
      <c r="MTX96" s="39"/>
      <c r="MTY96" s="39"/>
      <c r="MTZ96" s="39"/>
      <c r="MUA96" s="39"/>
      <c r="MUB96" s="39"/>
      <c r="MUC96" s="39"/>
      <c r="MUD96" s="39"/>
      <c r="MUE96" s="39"/>
      <c r="MUF96" s="39"/>
      <c r="MUG96" s="39"/>
      <c r="MUH96" s="39"/>
      <c r="MUI96" s="39"/>
      <c r="MUJ96" s="39"/>
      <c r="MUK96" s="39"/>
      <c r="MUL96" s="39"/>
      <c r="MUM96" s="39"/>
      <c r="MUN96" s="39"/>
      <c r="MUO96" s="39"/>
      <c r="MUP96" s="39"/>
      <c r="MUQ96" s="39"/>
      <c r="MUR96" s="39"/>
      <c r="MUS96" s="39"/>
      <c r="MUT96" s="39"/>
      <c r="MUU96" s="39"/>
      <c r="MUV96" s="39"/>
      <c r="MUW96" s="39"/>
      <c r="MUX96" s="39"/>
      <c r="MUY96" s="39"/>
      <c r="MUZ96" s="39"/>
      <c r="MVA96" s="39"/>
      <c r="MVB96" s="39"/>
      <c r="MVC96" s="39"/>
      <c r="MVD96" s="39"/>
      <c r="MVE96" s="39"/>
      <c r="MVF96" s="39"/>
      <c r="MVG96" s="39"/>
      <c r="MVH96" s="39"/>
      <c r="MVI96" s="39"/>
      <c r="MVJ96" s="39"/>
      <c r="MVK96" s="39"/>
      <c r="MVL96" s="39"/>
      <c r="MVM96" s="39"/>
      <c r="MVN96" s="39"/>
      <c r="MVO96" s="39"/>
      <c r="MVP96" s="39"/>
      <c r="MVQ96" s="39"/>
      <c r="MVR96" s="39"/>
      <c r="MVS96" s="39"/>
      <c r="MVT96" s="39"/>
      <c r="MVU96" s="39"/>
      <c r="MVV96" s="39"/>
      <c r="MVW96" s="39"/>
      <c r="MVX96" s="39"/>
      <c r="MVY96" s="39"/>
      <c r="MVZ96" s="39"/>
      <c r="MWA96" s="39"/>
      <c r="MWB96" s="39"/>
      <c r="MWC96" s="39"/>
      <c r="MWD96" s="39"/>
      <c r="MWE96" s="39"/>
      <c r="MWF96" s="39"/>
      <c r="MWG96" s="39"/>
      <c r="MWH96" s="39"/>
      <c r="MWI96" s="39"/>
      <c r="MWJ96" s="39"/>
      <c r="MWK96" s="39"/>
      <c r="MWL96" s="39"/>
      <c r="MWM96" s="39"/>
      <c r="MWN96" s="39"/>
      <c r="MWO96" s="39"/>
      <c r="MWP96" s="39"/>
      <c r="MWQ96" s="39"/>
      <c r="MWR96" s="39"/>
      <c r="MWS96" s="39"/>
      <c r="MWT96" s="39"/>
      <c r="MWU96" s="39"/>
      <c r="MWV96" s="39"/>
      <c r="MWW96" s="39"/>
      <c r="MWX96" s="39"/>
      <c r="MWY96" s="39"/>
      <c r="MWZ96" s="39"/>
      <c r="MXA96" s="39"/>
      <c r="MXB96" s="39"/>
      <c r="MXC96" s="39"/>
      <c r="MXD96" s="39"/>
      <c r="MXE96" s="39"/>
      <c r="MXF96" s="39"/>
      <c r="MXG96" s="39"/>
      <c r="MXH96" s="39"/>
      <c r="MXI96" s="39"/>
      <c r="MXJ96" s="39"/>
      <c r="MXK96" s="39"/>
      <c r="MXL96" s="39"/>
      <c r="MXM96" s="39"/>
      <c r="MXN96" s="39"/>
      <c r="MXO96" s="39"/>
      <c r="MXP96" s="39"/>
      <c r="MXQ96" s="39"/>
      <c r="MXR96" s="39"/>
      <c r="MXS96" s="39"/>
      <c r="MXT96" s="39"/>
      <c r="MXU96" s="39"/>
      <c r="MXV96" s="39"/>
      <c r="MXW96" s="39"/>
      <c r="MXX96" s="39"/>
      <c r="MXY96" s="39"/>
      <c r="MXZ96" s="39"/>
      <c r="MYA96" s="39"/>
      <c r="MYB96" s="39"/>
      <c r="MYC96" s="39"/>
      <c r="MYD96" s="39"/>
      <c r="MYE96" s="39"/>
      <c r="MYF96" s="39"/>
      <c r="MYG96" s="39"/>
      <c r="MYH96" s="39"/>
      <c r="MYI96" s="39"/>
      <c r="MYJ96" s="39"/>
      <c r="MYK96" s="39"/>
      <c r="MYL96" s="39"/>
      <c r="MYM96" s="39"/>
      <c r="MYN96" s="39"/>
      <c r="MYO96" s="39"/>
      <c r="MYP96" s="39"/>
      <c r="MYQ96" s="39"/>
      <c r="MYR96" s="39"/>
      <c r="MYS96" s="39"/>
      <c r="MYT96" s="39"/>
      <c r="MYU96" s="39"/>
      <c r="MYV96" s="39"/>
      <c r="MYW96" s="39"/>
      <c r="MYX96" s="39"/>
      <c r="MYY96" s="39"/>
      <c r="MYZ96" s="39"/>
      <c r="MZA96" s="39"/>
      <c r="MZB96" s="39"/>
      <c r="MZC96" s="39"/>
      <c r="MZD96" s="39"/>
      <c r="MZE96" s="39"/>
      <c r="MZF96" s="39"/>
      <c r="MZG96" s="39"/>
      <c r="MZH96" s="39"/>
      <c r="MZI96" s="39"/>
      <c r="MZJ96" s="39"/>
      <c r="MZK96" s="39"/>
      <c r="MZL96" s="39"/>
      <c r="MZM96" s="39"/>
      <c r="MZN96" s="39"/>
      <c r="MZO96" s="39"/>
      <c r="MZP96" s="39"/>
      <c r="MZQ96" s="39"/>
      <c r="MZR96" s="39"/>
      <c r="MZS96" s="39"/>
      <c r="MZT96" s="39"/>
      <c r="MZU96" s="39"/>
      <c r="MZV96" s="39"/>
      <c r="MZW96" s="39"/>
      <c r="MZX96" s="39"/>
      <c r="MZY96" s="39"/>
      <c r="MZZ96" s="39"/>
      <c r="NAA96" s="39"/>
      <c r="NAB96" s="39"/>
      <c r="NAC96" s="39"/>
      <c r="NAD96" s="39"/>
      <c r="NAE96" s="39"/>
      <c r="NAF96" s="39"/>
      <c r="NAG96" s="39"/>
      <c r="NAH96" s="39"/>
      <c r="NAI96" s="39"/>
      <c r="NAJ96" s="39"/>
      <c r="NAK96" s="39"/>
      <c r="NAL96" s="39"/>
      <c r="NAM96" s="39"/>
      <c r="NAN96" s="39"/>
      <c r="NAO96" s="39"/>
      <c r="NAP96" s="39"/>
      <c r="NAQ96" s="39"/>
      <c r="NAR96" s="39"/>
      <c r="NAS96" s="39"/>
      <c r="NAT96" s="39"/>
      <c r="NAU96" s="39"/>
      <c r="NAV96" s="39"/>
      <c r="NAW96" s="39"/>
      <c r="NAX96" s="39"/>
      <c r="NAY96" s="39"/>
      <c r="NAZ96" s="39"/>
      <c r="NBA96" s="39"/>
      <c r="NBB96" s="39"/>
      <c r="NBC96" s="39"/>
      <c r="NBD96" s="39"/>
      <c r="NBE96" s="39"/>
      <c r="NBF96" s="39"/>
      <c r="NBG96" s="39"/>
      <c r="NBH96" s="39"/>
      <c r="NBI96" s="39"/>
      <c r="NBJ96" s="39"/>
      <c r="NBK96" s="39"/>
      <c r="NBL96" s="39"/>
      <c r="NBM96" s="39"/>
      <c r="NBN96" s="39"/>
      <c r="NBO96" s="39"/>
      <c r="NBP96" s="39"/>
      <c r="NBQ96" s="39"/>
      <c r="NBR96" s="39"/>
      <c r="NBS96" s="39"/>
      <c r="NBT96" s="39"/>
      <c r="NBU96" s="39"/>
      <c r="NBV96" s="39"/>
      <c r="NBW96" s="39"/>
      <c r="NBX96" s="39"/>
      <c r="NBY96" s="39"/>
      <c r="NBZ96" s="39"/>
      <c r="NCA96" s="39"/>
      <c r="NCB96" s="39"/>
      <c r="NCC96" s="39"/>
      <c r="NCD96" s="39"/>
      <c r="NCE96" s="39"/>
      <c r="NCF96" s="39"/>
      <c r="NCG96" s="39"/>
      <c r="NCH96" s="39"/>
      <c r="NCI96" s="39"/>
      <c r="NCJ96" s="39"/>
      <c r="NCK96" s="39"/>
      <c r="NCL96" s="39"/>
      <c r="NCM96" s="39"/>
      <c r="NCN96" s="39"/>
      <c r="NCO96" s="39"/>
      <c r="NCP96" s="39"/>
      <c r="NCQ96" s="39"/>
      <c r="NCR96" s="39"/>
      <c r="NCS96" s="39"/>
      <c r="NCT96" s="39"/>
      <c r="NCU96" s="39"/>
      <c r="NCV96" s="39"/>
      <c r="NCW96" s="39"/>
      <c r="NCX96" s="39"/>
      <c r="NCY96" s="39"/>
      <c r="NCZ96" s="39"/>
      <c r="NDA96" s="39"/>
      <c r="NDB96" s="39"/>
      <c r="NDC96" s="39"/>
      <c r="NDD96" s="39"/>
      <c r="NDE96" s="39"/>
      <c r="NDF96" s="39"/>
      <c r="NDG96" s="39"/>
      <c r="NDH96" s="39"/>
      <c r="NDI96" s="39"/>
      <c r="NDJ96" s="39"/>
      <c r="NDK96" s="39"/>
      <c r="NDL96" s="39"/>
      <c r="NDM96" s="39"/>
      <c r="NDN96" s="39"/>
      <c r="NDO96" s="39"/>
      <c r="NDP96" s="39"/>
      <c r="NDQ96" s="39"/>
      <c r="NDR96" s="39"/>
      <c r="NDS96" s="39"/>
      <c r="NDT96" s="39"/>
      <c r="NDU96" s="39"/>
      <c r="NDV96" s="39"/>
      <c r="NDW96" s="39"/>
      <c r="NDX96" s="39"/>
      <c r="NDY96" s="39"/>
      <c r="NDZ96" s="39"/>
      <c r="NEA96" s="39"/>
      <c r="NEB96" s="39"/>
      <c r="NEC96" s="39"/>
      <c r="NED96" s="39"/>
      <c r="NEE96" s="39"/>
      <c r="NEF96" s="39"/>
      <c r="NEG96" s="39"/>
      <c r="NEH96" s="39"/>
      <c r="NEI96" s="39"/>
      <c r="NEJ96" s="39"/>
      <c r="NEK96" s="39"/>
      <c r="NEL96" s="39"/>
      <c r="NEM96" s="39"/>
      <c r="NEN96" s="39"/>
      <c r="NEO96" s="39"/>
      <c r="NEP96" s="39"/>
      <c r="NEQ96" s="39"/>
      <c r="NER96" s="39"/>
      <c r="NES96" s="39"/>
      <c r="NET96" s="39"/>
      <c r="NEU96" s="39"/>
      <c r="NEV96" s="39"/>
      <c r="NEW96" s="39"/>
      <c r="NEX96" s="39"/>
      <c r="NEY96" s="39"/>
      <c r="NEZ96" s="39"/>
      <c r="NFA96" s="39"/>
      <c r="NFB96" s="39"/>
      <c r="NFC96" s="39"/>
      <c r="NFD96" s="39"/>
      <c r="NFE96" s="39"/>
      <c r="NFF96" s="39"/>
      <c r="NFG96" s="39"/>
      <c r="NFH96" s="39"/>
      <c r="NFI96" s="39"/>
      <c r="NFJ96" s="39"/>
      <c r="NFK96" s="39"/>
      <c r="NFL96" s="39"/>
      <c r="NFM96" s="39"/>
      <c r="NFN96" s="39"/>
      <c r="NFO96" s="39"/>
      <c r="NFP96" s="39"/>
      <c r="NFQ96" s="39"/>
      <c r="NFR96" s="39"/>
      <c r="NFS96" s="39"/>
      <c r="NFT96" s="39"/>
      <c r="NFU96" s="39"/>
      <c r="NFV96" s="39"/>
      <c r="NFW96" s="39"/>
      <c r="NFX96" s="39"/>
      <c r="NFY96" s="39"/>
      <c r="NFZ96" s="39"/>
      <c r="NGA96" s="39"/>
      <c r="NGB96" s="39"/>
      <c r="NGC96" s="39"/>
      <c r="NGD96" s="39"/>
      <c r="NGE96" s="39"/>
      <c r="NGF96" s="39"/>
      <c r="NGG96" s="39"/>
      <c r="NGH96" s="39"/>
      <c r="NGI96" s="39"/>
      <c r="NGJ96" s="39"/>
      <c r="NGK96" s="39"/>
      <c r="NGL96" s="39"/>
      <c r="NGM96" s="39"/>
      <c r="NGN96" s="39"/>
      <c r="NGO96" s="39"/>
      <c r="NGP96" s="39"/>
      <c r="NGQ96" s="39"/>
      <c r="NGR96" s="39"/>
      <c r="NGS96" s="39"/>
      <c r="NGT96" s="39"/>
      <c r="NGU96" s="39"/>
      <c r="NGV96" s="39"/>
      <c r="NGW96" s="39"/>
      <c r="NGX96" s="39"/>
      <c r="NGY96" s="39"/>
      <c r="NGZ96" s="39"/>
      <c r="NHA96" s="39"/>
      <c r="NHB96" s="39"/>
      <c r="NHC96" s="39"/>
      <c r="NHD96" s="39"/>
      <c r="NHE96" s="39"/>
      <c r="NHF96" s="39"/>
      <c r="NHG96" s="39"/>
      <c r="NHH96" s="39"/>
      <c r="NHI96" s="39"/>
      <c r="NHJ96" s="39"/>
      <c r="NHK96" s="39"/>
      <c r="NHL96" s="39"/>
      <c r="NHM96" s="39"/>
      <c r="NHN96" s="39"/>
      <c r="NHO96" s="39"/>
      <c r="NHP96" s="39"/>
      <c r="NHQ96" s="39"/>
      <c r="NHR96" s="39"/>
      <c r="NHS96" s="39"/>
      <c r="NHT96" s="39"/>
      <c r="NHU96" s="39"/>
      <c r="NHV96" s="39"/>
      <c r="NHW96" s="39"/>
      <c r="NHX96" s="39"/>
      <c r="NHY96" s="39"/>
      <c r="NHZ96" s="39"/>
      <c r="NIA96" s="39"/>
      <c r="NIB96" s="39"/>
      <c r="NIC96" s="39"/>
      <c r="NID96" s="39"/>
      <c r="NIE96" s="39"/>
      <c r="NIF96" s="39"/>
      <c r="NIG96" s="39"/>
      <c r="NIH96" s="39"/>
      <c r="NII96" s="39"/>
      <c r="NIJ96" s="39"/>
      <c r="NIK96" s="39"/>
      <c r="NIL96" s="39"/>
      <c r="NIM96" s="39"/>
      <c r="NIN96" s="39"/>
      <c r="NIO96" s="39"/>
      <c r="NIP96" s="39"/>
      <c r="NIQ96" s="39"/>
      <c r="NIR96" s="39"/>
      <c r="NIS96" s="39"/>
      <c r="NIT96" s="39"/>
      <c r="NIU96" s="39"/>
      <c r="NIV96" s="39"/>
      <c r="NIW96" s="39"/>
      <c r="NIX96" s="39"/>
      <c r="NIY96" s="39"/>
      <c r="NIZ96" s="39"/>
      <c r="NJA96" s="39"/>
      <c r="NJB96" s="39"/>
      <c r="NJC96" s="39"/>
      <c r="NJD96" s="39"/>
      <c r="NJE96" s="39"/>
      <c r="NJF96" s="39"/>
      <c r="NJG96" s="39"/>
      <c r="NJH96" s="39"/>
      <c r="NJI96" s="39"/>
      <c r="NJJ96" s="39"/>
      <c r="NJK96" s="39"/>
      <c r="NJL96" s="39"/>
      <c r="NJM96" s="39"/>
      <c r="NJN96" s="39"/>
      <c r="NJO96" s="39"/>
      <c r="NJP96" s="39"/>
      <c r="NJQ96" s="39"/>
      <c r="NJR96" s="39"/>
      <c r="NJS96" s="39"/>
      <c r="NJT96" s="39"/>
      <c r="NJU96" s="39"/>
      <c r="NJV96" s="39"/>
      <c r="NJW96" s="39"/>
      <c r="NJX96" s="39"/>
      <c r="NJY96" s="39"/>
      <c r="NJZ96" s="39"/>
      <c r="NKA96" s="39"/>
      <c r="NKB96" s="39"/>
      <c r="NKC96" s="39"/>
      <c r="NKD96" s="39"/>
      <c r="NKE96" s="39"/>
      <c r="NKF96" s="39"/>
      <c r="NKG96" s="39"/>
      <c r="NKH96" s="39"/>
      <c r="NKI96" s="39"/>
      <c r="NKJ96" s="39"/>
      <c r="NKK96" s="39"/>
      <c r="NKL96" s="39"/>
      <c r="NKM96" s="39"/>
      <c r="NKN96" s="39"/>
      <c r="NKO96" s="39"/>
      <c r="NKP96" s="39"/>
      <c r="NKQ96" s="39"/>
      <c r="NKR96" s="39"/>
      <c r="NKS96" s="39"/>
      <c r="NKT96" s="39"/>
      <c r="NKU96" s="39"/>
      <c r="NKV96" s="39"/>
      <c r="NKW96" s="39"/>
      <c r="NKX96" s="39"/>
      <c r="NKY96" s="39"/>
      <c r="NKZ96" s="39"/>
      <c r="NLA96" s="39"/>
      <c r="NLB96" s="39"/>
      <c r="NLC96" s="39"/>
      <c r="NLD96" s="39"/>
      <c r="NLE96" s="39"/>
      <c r="NLF96" s="39"/>
      <c r="NLG96" s="39"/>
      <c r="NLH96" s="39"/>
      <c r="NLI96" s="39"/>
      <c r="NLJ96" s="39"/>
      <c r="NLK96" s="39"/>
      <c r="NLL96" s="39"/>
      <c r="NLM96" s="39"/>
      <c r="NLN96" s="39"/>
      <c r="NLO96" s="39"/>
      <c r="NLP96" s="39"/>
      <c r="NLQ96" s="39"/>
      <c r="NLR96" s="39"/>
      <c r="NLS96" s="39"/>
      <c r="NLT96" s="39"/>
      <c r="NLU96" s="39"/>
      <c r="NLV96" s="39"/>
      <c r="NLW96" s="39"/>
      <c r="NLX96" s="39"/>
      <c r="NLY96" s="39"/>
      <c r="NLZ96" s="39"/>
      <c r="NMA96" s="39"/>
      <c r="NMB96" s="39"/>
      <c r="NMC96" s="39"/>
      <c r="NMD96" s="39"/>
      <c r="NME96" s="39"/>
      <c r="NMF96" s="39"/>
      <c r="NMG96" s="39"/>
      <c r="NMH96" s="39"/>
      <c r="NMI96" s="39"/>
      <c r="NMJ96" s="39"/>
      <c r="NMK96" s="39"/>
      <c r="NML96" s="39"/>
      <c r="NMM96" s="39"/>
      <c r="NMN96" s="39"/>
      <c r="NMO96" s="39"/>
      <c r="NMP96" s="39"/>
      <c r="NMQ96" s="39"/>
      <c r="NMR96" s="39"/>
      <c r="NMS96" s="39"/>
      <c r="NMT96" s="39"/>
      <c r="NMU96" s="39"/>
      <c r="NMV96" s="39"/>
      <c r="NMW96" s="39"/>
      <c r="NMX96" s="39"/>
      <c r="NMY96" s="39"/>
      <c r="NMZ96" s="39"/>
      <c r="NNA96" s="39"/>
      <c r="NNB96" s="39"/>
      <c r="NNC96" s="39"/>
      <c r="NND96" s="39"/>
      <c r="NNE96" s="39"/>
      <c r="NNF96" s="39"/>
      <c r="NNG96" s="39"/>
      <c r="NNH96" s="39"/>
      <c r="NNI96" s="39"/>
      <c r="NNJ96" s="39"/>
      <c r="NNK96" s="39"/>
      <c r="NNL96" s="39"/>
      <c r="NNM96" s="39"/>
      <c r="NNN96" s="39"/>
      <c r="NNO96" s="39"/>
      <c r="NNP96" s="39"/>
      <c r="NNQ96" s="39"/>
      <c r="NNR96" s="39"/>
      <c r="NNS96" s="39"/>
      <c r="NNT96" s="39"/>
      <c r="NNU96" s="39"/>
      <c r="NNV96" s="39"/>
      <c r="NNW96" s="39"/>
      <c r="NNX96" s="39"/>
      <c r="NNY96" s="39"/>
      <c r="NNZ96" s="39"/>
      <c r="NOA96" s="39"/>
      <c r="NOB96" s="39"/>
      <c r="NOC96" s="39"/>
      <c r="NOD96" s="39"/>
      <c r="NOE96" s="39"/>
      <c r="NOF96" s="39"/>
      <c r="NOG96" s="39"/>
      <c r="NOH96" s="39"/>
      <c r="NOI96" s="39"/>
      <c r="NOJ96" s="39"/>
      <c r="NOK96" s="39"/>
      <c r="NOL96" s="39"/>
      <c r="NOM96" s="39"/>
      <c r="NON96" s="39"/>
      <c r="NOO96" s="39"/>
      <c r="NOP96" s="39"/>
      <c r="NOQ96" s="39"/>
      <c r="NOR96" s="39"/>
      <c r="NOS96" s="39"/>
      <c r="NOT96" s="39"/>
      <c r="NOU96" s="39"/>
      <c r="NOV96" s="39"/>
      <c r="NOW96" s="39"/>
      <c r="NOX96" s="39"/>
      <c r="NOY96" s="39"/>
      <c r="NOZ96" s="39"/>
      <c r="NPA96" s="39"/>
      <c r="NPB96" s="39"/>
      <c r="NPC96" s="39"/>
      <c r="NPD96" s="39"/>
      <c r="NPE96" s="39"/>
      <c r="NPF96" s="39"/>
      <c r="NPG96" s="39"/>
      <c r="NPH96" s="39"/>
      <c r="NPI96" s="39"/>
      <c r="NPJ96" s="39"/>
      <c r="NPK96" s="39"/>
      <c r="NPL96" s="39"/>
      <c r="NPM96" s="39"/>
      <c r="NPN96" s="39"/>
      <c r="NPO96" s="39"/>
      <c r="NPP96" s="39"/>
      <c r="NPQ96" s="39"/>
      <c r="NPR96" s="39"/>
      <c r="NPS96" s="39"/>
      <c r="NPT96" s="39"/>
      <c r="NPU96" s="39"/>
      <c r="NPV96" s="39"/>
      <c r="NPW96" s="39"/>
      <c r="NPX96" s="39"/>
      <c r="NPY96" s="39"/>
      <c r="NPZ96" s="39"/>
      <c r="NQA96" s="39"/>
      <c r="NQB96" s="39"/>
      <c r="NQC96" s="39"/>
      <c r="NQD96" s="39"/>
      <c r="NQE96" s="39"/>
      <c r="NQF96" s="39"/>
      <c r="NQG96" s="39"/>
      <c r="NQH96" s="39"/>
      <c r="NQI96" s="39"/>
      <c r="NQJ96" s="39"/>
      <c r="NQK96" s="39"/>
      <c r="NQL96" s="39"/>
      <c r="NQM96" s="39"/>
      <c r="NQN96" s="39"/>
      <c r="NQO96" s="39"/>
      <c r="NQP96" s="39"/>
      <c r="NQQ96" s="39"/>
      <c r="NQR96" s="39"/>
      <c r="NQS96" s="39"/>
      <c r="NQT96" s="39"/>
      <c r="NQU96" s="39"/>
      <c r="NQV96" s="39"/>
      <c r="NQW96" s="39"/>
      <c r="NQX96" s="39"/>
      <c r="NQY96" s="39"/>
      <c r="NQZ96" s="39"/>
      <c r="NRA96" s="39"/>
      <c r="NRB96" s="39"/>
      <c r="NRC96" s="39"/>
      <c r="NRD96" s="39"/>
      <c r="NRE96" s="39"/>
      <c r="NRF96" s="39"/>
      <c r="NRG96" s="39"/>
      <c r="NRH96" s="39"/>
      <c r="NRI96" s="39"/>
      <c r="NRJ96" s="39"/>
      <c r="NRK96" s="39"/>
      <c r="NRL96" s="39"/>
      <c r="NRM96" s="39"/>
      <c r="NRN96" s="39"/>
      <c r="NRO96" s="39"/>
      <c r="NRP96" s="39"/>
      <c r="NRQ96" s="39"/>
      <c r="NRR96" s="39"/>
      <c r="NRS96" s="39"/>
      <c r="NRT96" s="39"/>
      <c r="NRU96" s="39"/>
      <c r="NRV96" s="39"/>
      <c r="NRW96" s="39"/>
      <c r="NRX96" s="39"/>
      <c r="NRY96" s="39"/>
      <c r="NRZ96" s="39"/>
      <c r="NSA96" s="39"/>
      <c r="NSB96" s="39"/>
      <c r="NSC96" s="39"/>
      <c r="NSD96" s="39"/>
      <c r="NSE96" s="39"/>
      <c r="NSF96" s="39"/>
      <c r="NSG96" s="39"/>
      <c r="NSH96" s="39"/>
      <c r="NSI96" s="39"/>
      <c r="NSJ96" s="39"/>
      <c r="NSK96" s="39"/>
      <c r="NSL96" s="39"/>
      <c r="NSM96" s="39"/>
      <c r="NSN96" s="39"/>
      <c r="NSO96" s="39"/>
      <c r="NSP96" s="39"/>
      <c r="NSQ96" s="39"/>
      <c r="NSR96" s="39"/>
      <c r="NSS96" s="39"/>
      <c r="NST96" s="39"/>
      <c r="NSU96" s="39"/>
      <c r="NSV96" s="39"/>
      <c r="NSW96" s="39"/>
      <c r="NSX96" s="39"/>
      <c r="NSY96" s="39"/>
      <c r="NSZ96" s="39"/>
      <c r="NTA96" s="39"/>
      <c r="NTB96" s="39"/>
      <c r="NTC96" s="39"/>
      <c r="NTD96" s="39"/>
      <c r="NTE96" s="39"/>
      <c r="NTF96" s="39"/>
      <c r="NTG96" s="39"/>
      <c r="NTH96" s="39"/>
      <c r="NTI96" s="39"/>
      <c r="NTJ96" s="39"/>
      <c r="NTK96" s="39"/>
      <c r="NTL96" s="39"/>
      <c r="NTM96" s="39"/>
      <c r="NTN96" s="39"/>
      <c r="NTO96" s="39"/>
      <c r="NTP96" s="39"/>
      <c r="NTQ96" s="39"/>
      <c r="NTR96" s="39"/>
      <c r="NTS96" s="39"/>
      <c r="NTT96" s="39"/>
      <c r="NTU96" s="39"/>
      <c r="NTV96" s="39"/>
      <c r="NTW96" s="39"/>
      <c r="NTX96" s="39"/>
      <c r="NTY96" s="39"/>
      <c r="NTZ96" s="39"/>
      <c r="NUA96" s="39"/>
      <c r="NUB96" s="39"/>
      <c r="NUC96" s="39"/>
      <c r="NUD96" s="39"/>
      <c r="NUE96" s="39"/>
      <c r="NUF96" s="39"/>
      <c r="NUG96" s="39"/>
      <c r="NUH96" s="39"/>
      <c r="NUI96" s="39"/>
      <c r="NUJ96" s="39"/>
      <c r="NUK96" s="39"/>
      <c r="NUL96" s="39"/>
      <c r="NUM96" s="39"/>
      <c r="NUN96" s="39"/>
      <c r="NUO96" s="39"/>
      <c r="NUP96" s="39"/>
      <c r="NUQ96" s="39"/>
      <c r="NUR96" s="39"/>
      <c r="NUS96" s="39"/>
      <c r="NUT96" s="39"/>
      <c r="NUU96" s="39"/>
      <c r="NUV96" s="39"/>
      <c r="NUW96" s="39"/>
      <c r="NUX96" s="39"/>
      <c r="NUY96" s="39"/>
      <c r="NUZ96" s="39"/>
      <c r="NVA96" s="39"/>
      <c r="NVB96" s="39"/>
      <c r="NVC96" s="39"/>
      <c r="NVD96" s="39"/>
      <c r="NVE96" s="39"/>
      <c r="NVF96" s="39"/>
      <c r="NVG96" s="39"/>
      <c r="NVH96" s="39"/>
      <c r="NVI96" s="39"/>
      <c r="NVJ96" s="39"/>
      <c r="NVK96" s="39"/>
      <c r="NVL96" s="39"/>
      <c r="NVM96" s="39"/>
      <c r="NVN96" s="39"/>
      <c r="NVO96" s="39"/>
      <c r="NVP96" s="39"/>
      <c r="NVQ96" s="39"/>
      <c r="NVR96" s="39"/>
      <c r="NVS96" s="39"/>
      <c r="NVT96" s="39"/>
      <c r="NVU96" s="39"/>
      <c r="NVV96" s="39"/>
      <c r="NVW96" s="39"/>
      <c r="NVX96" s="39"/>
      <c r="NVY96" s="39"/>
      <c r="NVZ96" s="39"/>
      <c r="NWA96" s="39"/>
      <c r="NWB96" s="39"/>
      <c r="NWC96" s="39"/>
      <c r="NWD96" s="39"/>
      <c r="NWE96" s="39"/>
      <c r="NWF96" s="39"/>
      <c r="NWG96" s="39"/>
      <c r="NWH96" s="39"/>
      <c r="NWI96" s="39"/>
      <c r="NWJ96" s="39"/>
      <c r="NWK96" s="39"/>
      <c r="NWL96" s="39"/>
      <c r="NWM96" s="39"/>
      <c r="NWN96" s="39"/>
      <c r="NWO96" s="39"/>
      <c r="NWP96" s="39"/>
      <c r="NWQ96" s="39"/>
      <c r="NWR96" s="39"/>
      <c r="NWS96" s="39"/>
      <c r="NWT96" s="39"/>
      <c r="NWU96" s="39"/>
      <c r="NWV96" s="39"/>
      <c r="NWW96" s="39"/>
      <c r="NWX96" s="39"/>
      <c r="NWY96" s="39"/>
      <c r="NWZ96" s="39"/>
      <c r="NXA96" s="39"/>
      <c r="NXB96" s="39"/>
      <c r="NXC96" s="39"/>
      <c r="NXD96" s="39"/>
      <c r="NXE96" s="39"/>
      <c r="NXF96" s="39"/>
      <c r="NXG96" s="39"/>
      <c r="NXH96" s="39"/>
      <c r="NXI96" s="39"/>
      <c r="NXJ96" s="39"/>
      <c r="NXK96" s="39"/>
      <c r="NXL96" s="39"/>
      <c r="NXM96" s="39"/>
      <c r="NXN96" s="39"/>
      <c r="NXO96" s="39"/>
      <c r="NXP96" s="39"/>
      <c r="NXQ96" s="39"/>
      <c r="NXR96" s="39"/>
      <c r="NXS96" s="39"/>
      <c r="NXT96" s="39"/>
      <c r="NXU96" s="39"/>
      <c r="NXV96" s="39"/>
      <c r="NXW96" s="39"/>
      <c r="NXX96" s="39"/>
      <c r="NXY96" s="39"/>
      <c r="NXZ96" s="39"/>
      <c r="NYA96" s="39"/>
      <c r="NYB96" s="39"/>
      <c r="NYC96" s="39"/>
      <c r="NYD96" s="39"/>
      <c r="NYE96" s="39"/>
      <c r="NYF96" s="39"/>
      <c r="NYG96" s="39"/>
      <c r="NYH96" s="39"/>
      <c r="NYI96" s="39"/>
      <c r="NYJ96" s="39"/>
      <c r="NYK96" s="39"/>
      <c r="NYL96" s="39"/>
      <c r="NYM96" s="39"/>
      <c r="NYN96" s="39"/>
      <c r="NYO96" s="39"/>
      <c r="NYP96" s="39"/>
      <c r="NYQ96" s="39"/>
      <c r="NYR96" s="39"/>
      <c r="NYS96" s="39"/>
      <c r="NYT96" s="39"/>
      <c r="NYU96" s="39"/>
      <c r="NYV96" s="39"/>
      <c r="NYW96" s="39"/>
      <c r="NYX96" s="39"/>
      <c r="NYY96" s="39"/>
      <c r="NYZ96" s="39"/>
      <c r="NZA96" s="39"/>
      <c r="NZB96" s="39"/>
      <c r="NZC96" s="39"/>
      <c r="NZD96" s="39"/>
      <c r="NZE96" s="39"/>
      <c r="NZF96" s="39"/>
      <c r="NZG96" s="39"/>
      <c r="NZH96" s="39"/>
      <c r="NZI96" s="39"/>
      <c r="NZJ96" s="39"/>
      <c r="NZK96" s="39"/>
      <c r="NZL96" s="39"/>
      <c r="NZM96" s="39"/>
      <c r="NZN96" s="39"/>
      <c r="NZO96" s="39"/>
      <c r="NZP96" s="39"/>
      <c r="NZQ96" s="39"/>
      <c r="NZR96" s="39"/>
      <c r="NZS96" s="39"/>
      <c r="NZT96" s="39"/>
      <c r="NZU96" s="39"/>
      <c r="NZV96" s="39"/>
      <c r="NZW96" s="39"/>
      <c r="NZX96" s="39"/>
      <c r="NZY96" s="39"/>
      <c r="NZZ96" s="39"/>
      <c r="OAA96" s="39"/>
      <c r="OAB96" s="39"/>
      <c r="OAC96" s="39"/>
      <c r="OAD96" s="39"/>
      <c r="OAE96" s="39"/>
      <c r="OAF96" s="39"/>
      <c r="OAG96" s="39"/>
      <c r="OAH96" s="39"/>
      <c r="OAI96" s="39"/>
      <c r="OAJ96" s="39"/>
      <c r="OAK96" s="39"/>
      <c r="OAL96" s="39"/>
      <c r="OAM96" s="39"/>
      <c r="OAN96" s="39"/>
      <c r="OAO96" s="39"/>
      <c r="OAP96" s="39"/>
      <c r="OAQ96" s="39"/>
      <c r="OAR96" s="39"/>
      <c r="OAS96" s="39"/>
      <c r="OAT96" s="39"/>
      <c r="OAU96" s="39"/>
      <c r="OAV96" s="39"/>
      <c r="OAW96" s="39"/>
      <c r="OAX96" s="39"/>
      <c r="OAY96" s="39"/>
      <c r="OAZ96" s="39"/>
      <c r="OBA96" s="39"/>
      <c r="OBB96" s="39"/>
      <c r="OBC96" s="39"/>
      <c r="OBD96" s="39"/>
      <c r="OBE96" s="39"/>
      <c r="OBF96" s="39"/>
      <c r="OBG96" s="39"/>
      <c r="OBH96" s="39"/>
      <c r="OBI96" s="39"/>
      <c r="OBJ96" s="39"/>
      <c r="OBK96" s="39"/>
      <c r="OBL96" s="39"/>
      <c r="OBM96" s="39"/>
      <c r="OBN96" s="39"/>
      <c r="OBO96" s="39"/>
      <c r="OBP96" s="39"/>
      <c r="OBQ96" s="39"/>
      <c r="OBR96" s="39"/>
      <c r="OBS96" s="39"/>
      <c r="OBT96" s="39"/>
      <c r="OBU96" s="39"/>
      <c r="OBV96" s="39"/>
      <c r="OBW96" s="39"/>
      <c r="OBX96" s="39"/>
      <c r="OBY96" s="39"/>
      <c r="OBZ96" s="39"/>
      <c r="OCA96" s="39"/>
      <c r="OCB96" s="39"/>
      <c r="OCC96" s="39"/>
      <c r="OCD96" s="39"/>
      <c r="OCE96" s="39"/>
      <c r="OCF96" s="39"/>
      <c r="OCG96" s="39"/>
      <c r="OCH96" s="39"/>
      <c r="OCI96" s="39"/>
      <c r="OCJ96" s="39"/>
      <c r="OCK96" s="39"/>
      <c r="OCL96" s="39"/>
      <c r="OCM96" s="39"/>
      <c r="OCN96" s="39"/>
      <c r="OCO96" s="39"/>
      <c r="OCP96" s="39"/>
      <c r="OCQ96" s="39"/>
      <c r="OCR96" s="39"/>
      <c r="OCS96" s="39"/>
      <c r="OCT96" s="39"/>
      <c r="OCU96" s="39"/>
      <c r="OCV96" s="39"/>
      <c r="OCW96" s="39"/>
      <c r="OCX96" s="39"/>
      <c r="OCY96" s="39"/>
      <c r="OCZ96" s="39"/>
      <c r="ODA96" s="39"/>
      <c r="ODB96" s="39"/>
      <c r="ODC96" s="39"/>
      <c r="ODD96" s="39"/>
      <c r="ODE96" s="39"/>
      <c r="ODF96" s="39"/>
      <c r="ODG96" s="39"/>
      <c r="ODH96" s="39"/>
      <c r="ODI96" s="39"/>
      <c r="ODJ96" s="39"/>
      <c r="ODK96" s="39"/>
      <c r="ODL96" s="39"/>
      <c r="ODM96" s="39"/>
      <c r="ODN96" s="39"/>
      <c r="ODO96" s="39"/>
      <c r="ODP96" s="39"/>
      <c r="ODQ96" s="39"/>
      <c r="ODR96" s="39"/>
      <c r="ODS96" s="39"/>
      <c r="ODT96" s="39"/>
      <c r="ODU96" s="39"/>
      <c r="ODV96" s="39"/>
      <c r="ODW96" s="39"/>
      <c r="ODX96" s="39"/>
      <c r="ODY96" s="39"/>
      <c r="ODZ96" s="39"/>
      <c r="OEA96" s="39"/>
      <c r="OEB96" s="39"/>
      <c r="OEC96" s="39"/>
      <c r="OED96" s="39"/>
      <c r="OEE96" s="39"/>
      <c r="OEF96" s="39"/>
      <c r="OEG96" s="39"/>
      <c r="OEH96" s="39"/>
      <c r="OEI96" s="39"/>
      <c r="OEJ96" s="39"/>
      <c r="OEK96" s="39"/>
      <c r="OEL96" s="39"/>
      <c r="OEM96" s="39"/>
      <c r="OEN96" s="39"/>
      <c r="OEO96" s="39"/>
      <c r="OEP96" s="39"/>
      <c r="OEQ96" s="39"/>
      <c r="OER96" s="39"/>
      <c r="OES96" s="39"/>
      <c r="OET96" s="39"/>
      <c r="OEU96" s="39"/>
      <c r="OEV96" s="39"/>
      <c r="OEW96" s="39"/>
      <c r="OEX96" s="39"/>
      <c r="OEY96" s="39"/>
      <c r="OEZ96" s="39"/>
      <c r="OFA96" s="39"/>
      <c r="OFB96" s="39"/>
      <c r="OFC96" s="39"/>
      <c r="OFD96" s="39"/>
      <c r="OFE96" s="39"/>
      <c r="OFF96" s="39"/>
      <c r="OFG96" s="39"/>
      <c r="OFH96" s="39"/>
      <c r="OFI96" s="39"/>
      <c r="OFJ96" s="39"/>
      <c r="OFK96" s="39"/>
      <c r="OFL96" s="39"/>
      <c r="OFM96" s="39"/>
      <c r="OFN96" s="39"/>
      <c r="OFO96" s="39"/>
      <c r="OFP96" s="39"/>
      <c r="OFQ96" s="39"/>
      <c r="OFR96" s="39"/>
      <c r="OFS96" s="39"/>
      <c r="OFT96" s="39"/>
      <c r="OFU96" s="39"/>
      <c r="OFV96" s="39"/>
      <c r="OFW96" s="39"/>
      <c r="OFX96" s="39"/>
      <c r="OFY96" s="39"/>
      <c r="OFZ96" s="39"/>
      <c r="OGA96" s="39"/>
      <c r="OGB96" s="39"/>
      <c r="OGC96" s="39"/>
      <c r="OGD96" s="39"/>
      <c r="OGE96" s="39"/>
      <c r="OGF96" s="39"/>
      <c r="OGG96" s="39"/>
      <c r="OGH96" s="39"/>
      <c r="OGI96" s="39"/>
      <c r="OGJ96" s="39"/>
      <c r="OGK96" s="39"/>
      <c r="OGL96" s="39"/>
      <c r="OGM96" s="39"/>
      <c r="OGN96" s="39"/>
      <c r="OGO96" s="39"/>
      <c r="OGP96" s="39"/>
      <c r="OGQ96" s="39"/>
      <c r="OGR96" s="39"/>
      <c r="OGS96" s="39"/>
      <c r="OGT96" s="39"/>
      <c r="OGU96" s="39"/>
      <c r="OGV96" s="39"/>
      <c r="OGW96" s="39"/>
      <c r="OGX96" s="39"/>
      <c r="OGY96" s="39"/>
      <c r="OGZ96" s="39"/>
      <c r="OHA96" s="39"/>
      <c r="OHB96" s="39"/>
      <c r="OHC96" s="39"/>
      <c r="OHD96" s="39"/>
      <c r="OHE96" s="39"/>
      <c r="OHF96" s="39"/>
      <c r="OHG96" s="39"/>
      <c r="OHH96" s="39"/>
      <c r="OHI96" s="39"/>
      <c r="OHJ96" s="39"/>
      <c r="OHK96" s="39"/>
      <c r="OHL96" s="39"/>
      <c r="OHM96" s="39"/>
      <c r="OHN96" s="39"/>
      <c r="OHO96" s="39"/>
      <c r="OHP96" s="39"/>
      <c r="OHQ96" s="39"/>
      <c r="OHR96" s="39"/>
      <c r="OHS96" s="39"/>
      <c r="OHT96" s="39"/>
      <c r="OHU96" s="39"/>
      <c r="OHV96" s="39"/>
      <c r="OHW96" s="39"/>
      <c r="OHX96" s="39"/>
      <c r="OHY96" s="39"/>
      <c r="OHZ96" s="39"/>
      <c r="OIA96" s="39"/>
      <c r="OIB96" s="39"/>
      <c r="OIC96" s="39"/>
      <c r="OID96" s="39"/>
      <c r="OIE96" s="39"/>
      <c r="OIF96" s="39"/>
      <c r="OIG96" s="39"/>
      <c r="OIH96" s="39"/>
      <c r="OII96" s="39"/>
      <c r="OIJ96" s="39"/>
      <c r="OIK96" s="39"/>
      <c r="OIL96" s="39"/>
      <c r="OIM96" s="39"/>
      <c r="OIN96" s="39"/>
      <c r="OIO96" s="39"/>
      <c r="OIP96" s="39"/>
      <c r="OIQ96" s="39"/>
      <c r="OIR96" s="39"/>
      <c r="OIS96" s="39"/>
      <c r="OIT96" s="39"/>
      <c r="OIU96" s="39"/>
      <c r="OIV96" s="39"/>
      <c r="OIW96" s="39"/>
      <c r="OIX96" s="39"/>
      <c r="OIY96" s="39"/>
      <c r="OIZ96" s="39"/>
      <c r="OJA96" s="39"/>
      <c r="OJB96" s="39"/>
      <c r="OJC96" s="39"/>
      <c r="OJD96" s="39"/>
      <c r="OJE96" s="39"/>
      <c r="OJF96" s="39"/>
      <c r="OJG96" s="39"/>
      <c r="OJH96" s="39"/>
      <c r="OJI96" s="39"/>
      <c r="OJJ96" s="39"/>
      <c r="OJK96" s="39"/>
      <c r="OJL96" s="39"/>
      <c r="OJM96" s="39"/>
      <c r="OJN96" s="39"/>
      <c r="OJO96" s="39"/>
      <c r="OJP96" s="39"/>
      <c r="OJQ96" s="39"/>
      <c r="OJR96" s="39"/>
      <c r="OJS96" s="39"/>
      <c r="OJT96" s="39"/>
      <c r="OJU96" s="39"/>
      <c r="OJV96" s="39"/>
      <c r="OJW96" s="39"/>
      <c r="OJX96" s="39"/>
      <c r="OJY96" s="39"/>
      <c r="OJZ96" s="39"/>
      <c r="OKA96" s="39"/>
      <c r="OKB96" s="39"/>
      <c r="OKC96" s="39"/>
      <c r="OKD96" s="39"/>
      <c r="OKE96" s="39"/>
      <c r="OKF96" s="39"/>
      <c r="OKG96" s="39"/>
      <c r="OKH96" s="39"/>
      <c r="OKI96" s="39"/>
      <c r="OKJ96" s="39"/>
      <c r="OKK96" s="39"/>
      <c r="OKL96" s="39"/>
      <c r="OKM96" s="39"/>
      <c r="OKN96" s="39"/>
      <c r="OKO96" s="39"/>
      <c r="OKP96" s="39"/>
      <c r="OKQ96" s="39"/>
      <c r="OKR96" s="39"/>
      <c r="OKS96" s="39"/>
      <c r="OKT96" s="39"/>
      <c r="OKU96" s="39"/>
      <c r="OKV96" s="39"/>
      <c r="OKW96" s="39"/>
      <c r="OKX96" s="39"/>
      <c r="OKY96" s="39"/>
      <c r="OKZ96" s="39"/>
      <c r="OLA96" s="39"/>
      <c r="OLB96" s="39"/>
      <c r="OLC96" s="39"/>
      <c r="OLD96" s="39"/>
      <c r="OLE96" s="39"/>
      <c r="OLF96" s="39"/>
      <c r="OLG96" s="39"/>
      <c r="OLH96" s="39"/>
      <c r="OLI96" s="39"/>
      <c r="OLJ96" s="39"/>
      <c r="OLK96" s="39"/>
      <c r="OLL96" s="39"/>
      <c r="OLM96" s="39"/>
      <c r="OLN96" s="39"/>
      <c r="OLO96" s="39"/>
      <c r="OLP96" s="39"/>
      <c r="OLQ96" s="39"/>
      <c r="OLR96" s="39"/>
      <c r="OLS96" s="39"/>
      <c r="OLT96" s="39"/>
      <c r="OLU96" s="39"/>
      <c r="OLV96" s="39"/>
      <c r="OLW96" s="39"/>
      <c r="OLX96" s="39"/>
      <c r="OLY96" s="39"/>
      <c r="OLZ96" s="39"/>
      <c r="OMA96" s="39"/>
      <c r="OMB96" s="39"/>
      <c r="OMC96" s="39"/>
      <c r="OMD96" s="39"/>
      <c r="OME96" s="39"/>
      <c r="OMF96" s="39"/>
      <c r="OMG96" s="39"/>
      <c r="OMH96" s="39"/>
      <c r="OMI96" s="39"/>
      <c r="OMJ96" s="39"/>
      <c r="OMK96" s="39"/>
      <c r="OML96" s="39"/>
      <c r="OMM96" s="39"/>
      <c r="OMN96" s="39"/>
      <c r="OMO96" s="39"/>
      <c r="OMP96" s="39"/>
      <c r="OMQ96" s="39"/>
      <c r="OMR96" s="39"/>
      <c r="OMS96" s="39"/>
      <c r="OMT96" s="39"/>
      <c r="OMU96" s="39"/>
      <c r="OMV96" s="39"/>
      <c r="OMW96" s="39"/>
      <c r="OMX96" s="39"/>
      <c r="OMY96" s="39"/>
      <c r="OMZ96" s="39"/>
      <c r="ONA96" s="39"/>
      <c r="ONB96" s="39"/>
      <c r="ONC96" s="39"/>
      <c r="OND96" s="39"/>
      <c r="ONE96" s="39"/>
      <c r="ONF96" s="39"/>
      <c r="ONG96" s="39"/>
      <c r="ONH96" s="39"/>
      <c r="ONI96" s="39"/>
      <c r="ONJ96" s="39"/>
      <c r="ONK96" s="39"/>
      <c r="ONL96" s="39"/>
      <c r="ONM96" s="39"/>
      <c r="ONN96" s="39"/>
      <c r="ONO96" s="39"/>
      <c r="ONP96" s="39"/>
      <c r="ONQ96" s="39"/>
      <c r="ONR96" s="39"/>
      <c r="ONS96" s="39"/>
      <c r="ONT96" s="39"/>
      <c r="ONU96" s="39"/>
      <c r="ONV96" s="39"/>
      <c r="ONW96" s="39"/>
      <c r="ONX96" s="39"/>
      <c r="ONY96" s="39"/>
      <c r="ONZ96" s="39"/>
      <c r="OOA96" s="39"/>
      <c r="OOB96" s="39"/>
      <c r="OOC96" s="39"/>
      <c r="OOD96" s="39"/>
      <c r="OOE96" s="39"/>
      <c r="OOF96" s="39"/>
      <c r="OOG96" s="39"/>
      <c r="OOH96" s="39"/>
      <c r="OOI96" s="39"/>
      <c r="OOJ96" s="39"/>
      <c r="OOK96" s="39"/>
      <c r="OOL96" s="39"/>
      <c r="OOM96" s="39"/>
      <c r="OON96" s="39"/>
      <c r="OOO96" s="39"/>
      <c r="OOP96" s="39"/>
      <c r="OOQ96" s="39"/>
      <c r="OOR96" s="39"/>
      <c r="OOS96" s="39"/>
      <c r="OOT96" s="39"/>
      <c r="OOU96" s="39"/>
      <c r="OOV96" s="39"/>
      <c r="OOW96" s="39"/>
      <c r="OOX96" s="39"/>
      <c r="OOY96" s="39"/>
      <c r="OOZ96" s="39"/>
      <c r="OPA96" s="39"/>
      <c r="OPB96" s="39"/>
      <c r="OPC96" s="39"/>
      <c r="OPD96" s="39"/>
      <c r="OPE96" s="39"/>
      <c r="OPF96" s="39"/>
      <c r="OPG96" s="39"/>
      <c r="OPH96" s="39"/>
      <c r="OPI96" s="39"/>
      <c r="OPJ96" s="39"/>
      <c r="OPK96" s="39"/>
      <c r="OPL96" s="39"/>
      <c r="OPM96" s="39"/>
      <c r="OPN96" s="39"/>
      <c r="OPO96" s="39"/>
      <c r="OPP96" s="39"/>
      <c r="OPQ96" s="39"/>
      <c r="OPR96" s="39"/>
      <c r="OPS96" s="39"/>
      <c r="OPT96" s="39"/>
      <c r="OPU96" s="39"/>
      <c r="OPV96" s="39"/>
      <c r="OPW96" s="39"/>
      <c r="OPX96" s="39"/>
      <c r="OPY96" s="39"/>
      <c r="OPZ96" s="39"/>
      <c r="OQA96" s="39"/>
      <c r="OQB96" s="39"/>
      <c r="OQC96" s="39"/>
      <c r="OQD96" s="39"/>
      <c r="OQE96" s="39"/>
      <c r="OQF96" s="39"/>
      <c r="OQG96" s="39"/>
      <c r="OQH96" s="39"/>
      <c r="OQI96" s="39"/>
      <c r="OQJ96" s="39"/>
      <c r="OQK96" s="39"/>
      <c r="OQL96" s="39"/>
      <c r="OQM96" s="39"/>
      <c r="OQN96" s="39"/>
      <c r="OQO96" s="39"/>
      <c r="OQP96" s="39"/>
      <c r="OQQ96" s="39"/>
      <c r="OQR96" s="39"/>
      <c r="OQS96" s="39"/>
      <c r="OQT96" s="39"/>
      <c r="OQU96" s="39"/>
      <c r="OQV96" s="39"/>
      <c r="OQW96" s="39"/>
      <c r="OQX96" s="39"/>
      <c r="OQY96" s="39"/>
      <c r="OQZ96" s="39"/>
      <c r="ORA96" s="39"/>
      <c r="ORB96" s="39"/>
      <c r="ORC96" s="39"/>
      <c r="ORD96" s="39"/>
      <c r="ORE96" s="39"/>
      <c r="ORF96" s="39"/>
      <c r="ORG96" s="39"/>
      <c r="ORH96" s="39"/>
      <c r="ORI96" s="39"/>
      <c r="ORJ96" s="39"/>
      <c r="ORK96" s="39"/>
      <c r="ORL96" s="39"/>
      <c r="ORM96" s="39"/>
      <c r="ORN96" s="39"/>
      <c r="ORO96" s="39"/>
      <c r="ORP96" s="39"/>
      <c r="ORQ96" s="39"/>
      <c r="ORR96" s="39"/>
      <c r="ORS96" s="39"/>
      <c r="ORT96" s="39"/>
      <c r="ORU96" s="39"/>
      <c r="ORV96" s="39"/>
      <c r="ORW96" s="39"/>
      <c r="ORX96" s="39"/>
      <c r="ORY96" s="39"/>
      <c r="ORZ96" s="39"/>
      <c r="OSA96" s="39"/>
      <c r="OSB96" s="39"/>
      <c r="OSC96" s="39"/>
      <c r="OSD96" s="39"/>
      <c r="OSE96" s="39"/>
      <c r="OSF96" s="39"/>
      <c r="OSG96" s="39"/>
      <c r="OSH96" s="39"/>
      <c r="OSI96" s="39"/>
      <c r="OSJ96" s="39"/>
      <c r="OSK96" s="39"/>
      <c r="OSL96" s="39"/>
      <c r="OSM96" s="39"/>
      <c r="OSN96" s="39"/>
      <c r="OSO96" s="39"/>
      <c r="OSP96" s="39"/>
      <c r="OSQ96" s="39"/>
      <c r="OSR96" s="39"/>
      <c r="OSS96" s="39"/>
      <c r="OST96" s="39"/>
      <c r="OSU96" s="39"/>
      <c r="OSV96" s="39"/>
      <c r="OSW96" s="39"/>
      <c r="OSX96" s="39"/>
      <c r="OSY96" s="39"/>
      <c r="OSZ96" s="39"/>
      <c r="OTA96" s="39"/>
      <c r="OTB96" s="39"/>
      <c r="OTC96" s="39"/>
      <c r="OTD96" s="39"/>
      <c r="OTE96" s="39"/>
      <c r="OTF96" s="39"/>
      <c r="OTG96" s="39"/>
      <c r="OTH96" s="39"/>
      <c r="OTI96" s="39"/>
      <c r="OTJ96" s="39"/>
      <c r="OTK96" s="39"/>
      <c r="OTL96" s="39"/>
      <c r="OTM96" s="39"/>
      <c r="OTN96" s="39"/>
      <c r="OTO96" s="39"/>
      <c r="OTP96" s="39"/>
      <c r="OTQ96" s="39"/>
      <c r="OTR96" s="39"/>
      <c r="OTS96" s="39"/>
      <c r="OTT96" s="39"/>
      <c r="OTU96" s="39"/>
      <c r="OTV96" s="39"/>
      <c r="OTW96" s="39"/>
      <c r="OTX96" s="39"/>
      <c r="OTY96" s="39"/>
      <c r="OTZ96" s="39"/>
      <c r="OUA96" s="39"/>
      <c r="OUB96" s="39"/>
      <c r="OUC96" s="39"/>
      <c r="OUD96" s="39"/>
      <c r="OUE96" s="39"/>
      <c r="OUF96" s="39"/>
      <c r="OUG96" s="39"/>
      <c r="OUH96" s="39"/>
      <c r="OUI96" s="39"/>
      <c r="OUJ96" s="39"/>
      <c r="OUK96" s="39"/>
      <c r="OUL96" s="39"/>
      <c r="OUM96" s="39"/>
      <c r="OUN96" s="39"/>
      <c r="OUO96" s="39"/>
      <c r="OUP96" s="39"/>
      <c r="OUQ96" s="39"/>
      <c r="OUR96" s="39"/>
      <c r="OUS96" s="39"/>
      <c r="OUT96" s="39"/>
      <c r="OUU96" s="39"/>
      <c r="OUV96" s="39"/>
      <c r="OUW96" s="39"/>
      <c r="OUX96" s="39"/>
      <c r="OUY96" s="39"/>
      <c r="OUZ96" s="39"/>
      <c r="OVA96" s="39"/>
      <c r="OVB96" s="39"/>
      <c r="OVC96" s="39"/>
      <c r="OVD96" s="39"/>
      <c r="OVE96" s="39"/>
      <c r="OVF96" s="39"/>
      <c r="OVG96" s="39"/>
      <c r="OVH96" s="39"/>
      <c r="OVI96" s="39"/>
      <c r="OVJ96" s="39"/>
      <c r="OVK96" s="39"/>
      <c r="OVL96" s="39"/>
      <c r="OVM96" s="39"/>
      <c r="OVN96" s="39"/>
      <c r="OVO96" s="39"/>
      <c r="OVP96" s="39"/>
      <c r="OVQ96" s="39"/>
      <c r="OVR96" s="39"/>
      <c r="OVS96" s="39"/>
      <c r="OVT96" s="39"/>
      <c r="OVU96" s="39"/>
      <c r="OVV96" s="39"/>
      <c r="OVW96" s="39"/>
      <c r="OVX96" s="39"/>
      <c r="OVY96" s="39"/>
      <c r="OVZ96" s="39"/>
      <c r="OWA96" s="39"/>
      <c r="OWB96" s="39"/>
      <c r="OWC96" s="39"/>
      <c r="OWD96" s="39"/>
      <c r="OWE96" s="39"/>
      <c r="OWF96" s="39"/>
      <c r="OWG96" s="39"/>
      <c r="OWH96" s="39"/>
      <c r="OWI96" s="39"/>
      <c r="OWJ96" s="39"/>
      <c r="OWK96" s="39"/>
      <c r="OWL96" s="39"/>
      <c r="OWM96" s="39"/>
      <c r="OWN96" s="39"/>
      <c r="OWO96" s="39"/>
      <c r="OWP96" s="39"/>
      <c r="OWQ96" s="39"/>
      <c r="OWR96" s="39"/>
      <c r="OWS96" s="39"/>
      <c r="OWT96" s="39"/>
      <c r="OWU96" s="39"/>
      <c r="OWV96" s="39"/>
      <c r="OWW96" s="39"/>
      <c r="OWX96" s="39"/>
      <c r="OWY96" s="39"/>
      <c r="OWZ96" s="39"/>
      <c r="OXA96" s="39"/>
      <c r="OXB96" s="39"/>
      <c r="OXC96" s="39"/>
      <c r="OXD96" s="39"/>
      <c r="OXE96" s="39"/>
      <c r="OXF96" s="39"/>
      <c r="OXG96" s="39"/>
      <c r="OXH96" s="39"/>
      <c r="OXI96" s="39"/>
      <c r="OXJ96" s="39"/>
      <c r="OXK96" s="39"/>
      <c r="OXL96" s="39"/>
      <c r="OXM96" s="39"/>
      <c r="OXN96" s="39"/>
      <c r="OXO96" s="39"/>
      <c r="OXP96" s="39"/>
      <c r="OXQ96" s="39"/>
      <c r="OXR96" s="39"/>
      <c r="OXS96" s="39"/>
      <c r="OXT96" s="39"/>
      <c r="OXU96" s="39"/>
      <c r="OXV96" s="39"/>
      <c r="OXW96" s="39"/>
      <c r="OXX96" s="39"/>
      <c r="OXY96" s="39"/>
      <c r="OXZ96" s="39"/>
      <c r="OYA96" s="39"/>
      <c r="OYB96" s="39"/>
      <c r="OYC96" s="39"/>
      <c r="OYD96" s="39"/>
      <c r="OYE96" s="39"/>
      <c r="OYF96" s="39"/>
      <c r="OYG96" s="39"/>
      <c r="OYH96" s="39"/>
      <c r="OYI96" s="39"/>
      <c r="OYJ96" s="39"/>
      <c r="OYK96" s="39"/>
      <c r="OYL96" s="39"/>
      <c r="OYM96" s="39"/>
      <c r="OYN96" s="39"/>
      <c r="OYO96" s="39"/>
      <c r="OYP96" s="39"/>
      <c r="OYQ96" s="39"/>
      <c r="OYR96" s="39"/>
      <c r="OYS96" s="39"/>
      <c r="OYT96" s="39"/>
      <c r="OYU96" s="39"/>
      <c r="OYV96" s="39"/>
      <c r="OYW96" s="39"/>
      <c r="OYX96" s="39"/>
      <c r="OYY96" s="39"/>
      <c r="OYZ96" s="39"/>
      <c r="OZA96" s="39"/>
      <c r="OZB96" s="39"/>
      <c r="OZC96" s="39"/>
      <c r="OZD96" s="39"/>
      <c r="OZE96" s="39"/>
      <c r="OZF96" s="39"/>
      <c r="OZG96" s="39"/>
      <c r="OZH96" s="39"/>
      <c r="OZI96" s="39"/>
      <c r="OZJ96" s="39"/>
      <c r="OZK96" s="39"/>
      <c r="OZL96" s="39"/>
      <c r="OZM96" s="39"/>
      <c r="OZN96" s="39"/>
      <c r="OZO96" s="39"/>
      <c r="OZP96" s="39"/>
      <c r="OZQ96" s="39"/>
      <c r="OZR96" s="39"/>
      <c r="OZS96" s="39"/>
      <c r="OZT96" s="39"/>
      <c r="OZU96" s="39"/>
      <c r="OZV96" s="39"/>
      <c r="OZW96" s="39"/>
      <c r="OZX96" s="39"/>
      <c r="OZY96" s="39"/>
      <c r="OZZ96" s="39"/>
      <c r="PAA96" s="39"/>
      <c r="PAB96" s="39"/>
      <c r="PAC96" s="39"/>
      <c r="PAD96" s="39"/>
      <c r="PAE96" s="39"/>
      <c r="PAF96" s="39"/>
      <c r="PAG96" s="39"/>
      <c r="PAH96" s="39"/>
      <c r="PAI96" s="39"/>
      <c r="PAJ96" s="39"/>
      <c r="PAK96" s="39"/>
      <c r="PAL96" s="39"/>
      <c r="PAM96" s="39"/>
      <c r="PAN96" s="39"/>
      <c r="PAO96" s="39"/>
      <c r="PAP96" s="39"/>
      <c r="PAQ96" s="39"/>
      <c r="PAR96" s="39"/>
      <c r="PAS96" s="39"/>
      <c r="PAT96" s="39"/>
      <c r="PAU96" s="39"/>
      <c r="PAV96" s="39"/>
      <c r="PAW96" s="39"/>
      <c r="PAX96" s="39"/>
      <c r="PAY96" s="39"/>
      <c r="PAZ96" s="39"/>
      <c r="PBA96" s="39"/>
      <c r="PBB96" s="39"/>
      <c r="PBC96" s="39"/>
      <c r="PBD96" s="39"/>
      <c r="PBE96" s="39"/>
      <c r="PBF96" s="39"/>
      <c r="PBG96" s="39"/>
      <c r="PBH96" s="39"/>
      <c r="PBI96" s="39"/>
      <c r="PBJ96" s="39"/>
      <c r="PBK96" s="39"/>
      <c r="PBL96" s="39"/>
      <c r="PBM96" s="39"/>
      <c r="PBN96" s="39"/>
      <c r="PBO96" s="39"/>
      <c r="PBP96" s="39"/>
      <c r="PBQ96" s="39"/>
      <c r="PBR96" s="39"/>
      <c r="PBS96" s="39"/>
      <c r="PBT96" s="39"/>
      <c r="PBU96" s="39"/>
      <c r="PBV96" s="39"/>
      <c r="PBW96" s="39"/>
      <c r="PBX96" s="39"/>
      <c r="PBY96" s="39"/>
      <c r="PBZ96" s="39"/>
      <c r="PCA96" s="39"/>
      <c r="PCB96" s="39"/>
      <c r="PCC96" s="39"/>
      <c r="PCD96" s="39"/>
      <c r="PCE96" s="39"/>
      <c r="PCF96" s="39"/>
      <c r="PCG96" s="39"/>
      <c r="PCH96" s="39"/>
      <c r="PCI96" s="39"/>
      <c r="PCJ96" s="39"/>
      <c r="PCK96" s="39"/>
      <c r="PCL96" s="39"/>
      <c r="PCM96" s="39"/>
      <c r="PCN96" s="39"/>
      <c r="PCO96" s="39"/>
      <c r="PCP96" s="39"/>
      <c r="PCQ96" s="39"/>
      <c r="PCR96" s="39"/>
      <c r="PCS96" s="39"/>
      <c r="PCT96" s="39"/>
      <c r="PCU96" s="39"/>
      <c r="PCV96" s="39"/>
      <c r="PCW96" s="39"/>
      <c r="PCX96" s="39"/>
      <c r="PCY96" s="39"/>
      <c r="PCZ96" s="39"/>
      <c r="PDA96" s="39"/>
      <c r="PDB96" s="39"/>
      <c r="PDC96" s="39"/>
      <c r="PDD96" s="39"/>
      <c r="PDE96" s="39"/>
      <c r="PDF96" s="39"/>
      <c r="PDG96" s="39"/>
      <c r="PDH96" s="39"/>
      <c r="PDI96" s="39"/>
      <c r="PDJ96" s="39"/>
      <c r="PDK96" s="39"/>
      <c r="PDL96" s="39"/>
      <c r="PDM96" s="39"/>
      <c r="PDN96" s="39"/>
      <c r="PDO96" s="39"/>
      <c r="PDP96" s="39"/>
      <c r="PDQ96" s="39"/>
      <c r="PDR96" s="39"/>
      <c r="PDS96" s="39"/>
      <c r="PDT96" s="39"/>
      <c r="PDU96" s="39"/>
      <c r="PDV96" s="39"/>
      <c r="PDW96" s="39"/>
      <c r="PDX96" s="39"/>
      <c r="PDY96" s="39"/>
      <c r="PDZ96" s="39"/>
      <c r="PEA96" s="39"/>
      <c r="PEB96" s="39"/>
      <c r="PEC96" s="39"/>
      <c r="PED96" s="39"/>
      <c r="PEE96" s="39"/>
      <c r="PEF96" s="39"/>
      <c r="PEG96" s="39"/>
      <c r="PEH96" s="39"/>
      <c r="PEI96" s="39"/>
      <c r="PEJ96" s="39"/>
      <c r="PEK96" s="39"/>
      <c r="PEL96" s="39"/>
      <c r="PEM96" s="39"/>
      <c r="PEN96" s="39"/>
      <c r="PEO96" s="39"/>
      <c r="PEP96" s="39"/>
      <c r="PEQ96" s="39"/>
      <c r="PER96" s="39"/>
      <c r="PES96" s="39"/>
      <c r="PET96" s="39"/>
      <c r="PEU96" s="39"/>
      <c r="PEV96" s="39"/>
      <c r="PEW96" s="39"/>
      <c r="PEX96" s="39"/>
      <c r="PEY96" s="39"/>
      <c r="PEZ96" s="39"/>
      <c r="PFA96" s="39"/>
      <c r="PFB96" s="39"/>
      <c r="PFC96" s="39"/>
      <c r="PFD96" s="39"/>
      <c r="PFE96" s="39"/>
      <c r="PFF96" s="39"/>
      <c r="PFG96" s="39"/>
      <c r="PFH96" s="39"/>
      <c r="PFI96" s="39"/>
      <c r="PFJ96" s="39"/>
      <c r="PFK96" s="39"/>
      <c r="PFL96" s="39"/>
      <c r="PFM96" s="39"/>
      <c r="PFN96" s="39"/>
      <c r="PFO96" s="39"/>
      <c r="PFP96" s="39"/>
      <c r="PFQ96" s="39"/>
      <c r="PFR96" s="39"/>
      <c r="PFS96" s="39"/>
      <c r="PFT96" s="39"/>
      <c r="PFU96" s="39"/>
      <c r="PFV96" s="39"/>
      <c r="PFW96" s="39"/>
      <c r="PFX96" s="39"/>
      <c r="PFY96" s="39"/>
      <c r="PFZ96" s="39"/>
      <c r="PGA96" s="39"/>
      <c r="PGB96" s="39"/>
      <c r="PGC96" s="39"/>
      <c r="PGD96" s="39"/>
      <c r="PGE96" s="39"/>
      <c r="PGF96" s="39"/>
      <c r="PGG96" s="39"/>
      <c r="PGH96" s="39"/>
      <c r="PGI96" s="39"/>
      <c r="PGJ96" s="39"/>
      <c r="PGK96" s="39"/>
      <c r="PGL96" s="39"/>
      <c r="PGM96" s="39"/>
      <c r="PGN96" s="39"/>
      <c r="PGO96" s="39"/>
      <c r="PGP96" s="39"/>
      <c r="PGQ96" s="39"/>
      <c r="PGR96" s="39"/>
      <c r="PGS96" s="39"/>
      <c r="PGT96" s="39"/>
      <c r="PGU96" s="39"/>
      <c r="PGV96" s="39"/>
      <c r="PGW96" s="39"/>
      <c r="PGX96" s="39"/>
      <c r="PGY96" s="39"/>
      <c r="PGZ96" s="39"/>
      <c r="PHA96" s="39"/>
      <c r="PHB96" s="39"/>
      <c r="PHC96" s="39"/>
      <c r="PHD96" s="39"/>
      <c r="PHE96" s="39"/>
      <c r="PHF96" s="39"/>
      <c r="PHG96" s="39"/>
      <c r="PHH96" s="39"/>
      <c r="PHI96" s="39"/>
      <c r="PHJ96" s="39"/>
      <c r="PHK96" s="39"/>
      <c r="PHL96" s="39"/>
      <c r="PHM96" s="39"/>
      <c r="PHN96" s="39"/>
      <c r="PHO96" s="39"/>
      <c r="PHP96" s="39"/>
      <c r="PHQ96" s="39"/>
      <c r="PHR96" s="39"/>
      <c r="PHS96" s="39"/>
      <c r="PHT96" s="39"/>
      <c r="PHU96" s="39"/>
      <c r="PHV96" s="39"/>
      <c r="PHW96" s="39"/>
      <c r="PHX96" s="39"/>
      <c r="PHY96" s="39"/>
      <c r="PHZ96" s="39"/>
      <c r="PIA96" s="39"/>
      <c r="PIB96" s="39"/>
      <c r="PIC96" s="39"/>
      <c r="PID96" s="39"/>
      <c r="PIE96" s="39"/>
      <c r="PIF96" s="39"/>
      <c r="PIG96" s="39"/>
      <c r="PIH96" s="39"/>
      <c r="PII96" s="39"/>
      <c r="PIJ96" s="39"/>
      <c r="PIK96" s="39"/>
      <c r="PIL96" s="39"/>
      <c r="PIM96" s="39"/>
      <c r="PIN96" s="39"/>
      <c r="PIO96" s="39"/>
      <c r="PIP96" s="39"/>
      <c r="PIQ96" s="39"/>
      <c r="PIR96" s="39"/>
      <c r="PIS96" s="39"/>
      <c r="PIT96" s="39"/>
      <c r="PIU96" s="39"/>
      <c r="PIV96" s="39"/>
      <c r="PIW96" s="39"/>
      <c r="PIX96" s="39"/>
      <c r="PIY96" s="39"/>
      <c r="PIZ96" s="39"/>
      <c r="PJA96" s="39"/>
      <c r="PJB96" s="39"/>
      <c r="PJC96" s="39"/>
      <c r="PJD96" s="39"/>
      <c r="PJE96" s="39"/>
      <c r="PJF96" s="39"/>
      <c r="PJG96" s="39"/>
      <c r="PJH96" s="39"/>
      <c r="PJI96" s="39"/>
      <c r="PJJ96" s="39"/>
      <c r="PJK96" s="39"/>
      <c r="PJL96" s="39"/>
      <c r="PJM96" s="39"/>
      <c r="PJN96" s="39"/>
      <c r="PJO96" s="39"/>
      <c r="PJP96" s="39"/>
      <c r="PJQ96" s="39"/>
      <c r="PJR96" s="39"/>
      <c r="PJS96" s="39"/>
      <c r="PJT96" s="39"/>
      <c r="PJU96" s="39"/>
      <c r="PJV96" s="39"/>
      <c r="PJW96" s="39"/>
      <c r="PJX96" s="39"/>
      <c r="PJY96" s="39"/>
      <c r="PJZ96" s="39"/>
      <c r="PKA96" s="39"/>
      <c r="PKB96" s="39"/>
      <c r="PKC96" s="39"/>
      <c r="PKD96" s="39"/>
      <c r="PKE96" s="39"/>
      <c r="PKF96" s="39"/>
      <c r="PKG96" s="39"/>
      <c r="PKH96" s="39"/>
      <c r="PKI96" s="39"/>
      <c r="PKJ96" s="39"/>
      <c r="PKK96" s="39"/>
      <c r="PKL96" s="39"/>
      <c r="PKM96" s="39"/>
      <c r="PKN96" s="39"/>
      <c r="PKO96" s="39"/>
      <c r="PKP96" s="39"/>
      <c r="PKQ96" s="39"/>
      <c r="PKR96" s="39"/>
      <c r="PKS96" s="39"/>
      <c r="PKT96" s="39"/>
      <c r="PKU96" s="39"/>
      <c r="PKV96" s="39"/>
      <c r="PKW96" s="39"/>
      <c r="PKX96" s="39"/>
      <c r="PKY96" s="39"/>
      <c r="PKZ96" s="39"/>
      <c r="PLA96" s="39"/>
      <c r="PLB96" s="39"/>
      <c r="PLC96" s="39"/>
      <c r="PLD96" s="39"/>
      <c r="PLE96" s="39"/>
      <c r="PLF96" s="39"/>
      <c r="PLG96" s="39"/>
      <c r="PLH96" s="39"/>
      <c r="PLI96" s="39"/>
      <c r="PLJ96" s="39"/>
      <c r="PLK96" s="39"/>
      <c r="PLL96" s="39"/>
      <c r="PLM96" s="39"/>
      <c r="PLN96" s="39"/>
      <c r="PLO96" s="39"/>
      <c r="PLP96" s="39"/>
      <c r="PLQ96" s="39"/>
      <c r="PLR96" s="39"/>
      <c r="PLS96" s="39"/>
      <c r="PLT96" s="39"/>
      <c r="PLU96" s="39"/>
      <c r="PLV96" s="39"/>
      <c r="PLW96" s="39"/>
      <c r="PLX96" s="39"/>
      <c r="PLY96" s="39"/>
      <c r="PLZ96" s="39"/>
      <c r="PMA96" s="39"/>
      <c r="PMB96" s="39"/>
      <c r="PMC96" s="39"/>
      <c r="PMD96" s="39"/>
      <c r="PME96" s="39"/>
      <c r="PMF96" s="39"/>
      <c r="PMG96" s="39"/>
      <c r="PMH96" s="39"/>
      <c r="PMI96" s="39"/>
      <c r="PMJ96" s="39"/>
      <c r="PMK96" s="39"/>
      <c r="PML96" s="39"/>
      <c r="PMM96" s="39"/>
      <c r="PMN96" s="39"/>
      <c r="PMO96" s="39"/>
      <c r="PMP96" s="39"/>
      <c r="PMQ96" s="39"/>
      <c r="PMR96" s="39"/>
      <c r="PMS96" s="39"/>
      <c r="PMT96" s="39"/>
      <c r="PMU96" s="39"/>
      <c r="PMV96" s="39"/>
      <c r="PMW96" s="39"/>
      <c r="PMX96" s="39"/>
      <c r="PMY96" s="39"/>
      <c r="PMZ96" s="39"/>
      <c r="PNA96" s="39"/>
      <c r="PNB96" s="39"/>
      <c r="PNC96" s="39"/>
      <c r="PND96" s="39"/>
      <c r="PNE96" s="39"/>
      <c r="PNF96" s="39"/>
      <c r="PNG96" s="39"/>
      <c r="PNH96" s="39"/>
      <c r="PNI96" s="39"/>
      <c r="PNJ96" s="39"/>
      <c r="PNK96" s="39"/>
      <c r="PNL96" s="39"/>
      <c r="PNM96" s="39"/>
      <c r="PNN96" s="39"/>
      <c r="PNO96" s="39"/>
      <c r="PNP96" s="39"/>
      <c r="PNQ96" s="39"/>
      <c r="PNR96" s="39"/>
      <c r="PNS96" s="39"/>
      <c r="PNT96" s="39"/>
      <c r="PNU96" s="39"/>
      <c r="PNV96" s="39"/>
      <c r="PNW96" s="39"/>
      <c r="PNX96" s="39"/>
      <c r="PNY96" s="39"/>
      <c r="PNZ96" s="39"/>
      <c r="POA96" s="39"/>
      <c r="POB96" s="39"/>
      <c r="POC96" s="39"/>
      <c r="POD96" s="39"/>
      <c r="POE96" s="39"/>
      <c r="POF96" s="39"/>
      <c r="POG96" s="39"/>
      <c r="POH96" s="39"/>
      <c r="POI96" s="39"/>
      <c r="POJ96" s="39"/>
      <c r="POK96" s="39"/>
      <c r="POL96" s="39"/>
      <c r="POM96" s="39"/>
      <c r="PON96" s="39"/>
      <c r="POO96" s="39"/>
      <c r="POP96" s="39"/>
      <c r="POQ96" s="39"/>
      <c r="POR96" s="39"/>
      <c r="POS96" s="39"/>
      <c r="POT96" s="39"/>
      <c r="POU96" s="39"/>
      <c r="POV96" s="39"/>
      <c r="POW96" s="39"/>
      <c r="POX96" s="39"/>
      <c r="POY96" s="39"/>
      <c r="POZ96" s="39"/>
      <c r="PPA96" s="39"/>
      <c r="PPB96" s="39"/>
      <c r="PPC96" s="39"/>
      <c r="PPD96" s="39"/>
      <c r="PPE96" s="39"/>
      <c r="PPF96" s="39"/>
      <c r="PPG96" s="39"/>
      <c r="PPH96" s="39"/>
      <c r="PPI96" s="39"/>
      <c r="PPJ96" s="39"/>
      <c r="PPK96" s="39"/>
      <c r="PPL96" s="39"/>
      <c r="PPM96" s="39"/>
      <c r="PPN96" s="39"/>
      <c r="PPO96" s="39"/>
      <c r="PPP96" s="39"/>
      <c r="PPQ96" s="39"/>
      <c r="PPR96" s="39"/>
      <c r="PPS96" s="39"/>
      <c r="PPT96" s="39"/>
      <c r="PPU96" s="39"/>
      <c r="PPV96" s="39"/>
      <c r="PPW96" s="39"/>
      <c r="PPX96" s="39"/>
      <c r="PPY96" s="39"/>
      <c r="PPZ96" s="39"/>
      <c r="PQA96" s="39"/>
      <c r="PQB96" s="39"/>
      <c r="PQC96" s="39"/>
      <c r="PQD96" s="39"/>
      <c r="PQE96" s="39"/>
      <c r="PQF96" s="39"/>
      <c r="PQG96" s="39"/>
      <c r="PQH96" s="39"/>
      <c r="PQI96" s="39"/>
      <c r="PQJ96" s="39"/>
      <c r="PQK96" s="39"/>
      <c r="PQL96" s="39"/>
      <c r="PQM96" s="39"/>
      <c r="PQN96" s="39"/>
      <c r="PQO96" s="39"/>
      <c r="PQP96" s="39"/>
      <c r="PQQ96" s="39"/>
      <c r="PQR96" s="39"/>
      <c r="PQS96" s="39"/>
      <c r="PQT96" s="39"/>
      <c r="PQU96" s="39"/>
      <c r="PQV96" s="39"/>
      <c r="PQW96" s="39"/>
      <c r="PQX96" s="39"/>
      <c r="PQY96" s="39"/>
      <c r="PQZ96" s="39"/>
      <c r="PRA96" s="39"/>
      <c r="PRB96" s="39"/>
      <c r="PRC96" s="39"/>
      <c r="PRD96" s="39"/>
      <c r="PRE96" s="39"/>
      <c r="PRF96" s="39"/>
      <c r="PRG96" s="39"/>
      <c r="PRH96" s="39"/>
      <c r="PRI96" s="39"/>
      <c r="PRJ96" s="39"/>
      <c r="PRK96" s="39"/>
      <c r="PRL96" s="39"/>
      <c r="PRM96" s="39"/>
      <c r="PRN96" s="39"/>
      <c r="PRO96" s="39"/>
      <c r="PRP96" s="39"/>
      <c r="PRQ96" s="39"/>
      <c r="PRR96" s="39"/>
      <c r="PRS96" s="39"/>
      <c r="PRT96" s="39"/>
      <c r="PRU96" s="39"/>
      <c r="PRV96" s="39"/>
      <c r="PRW96" s="39"/>
      <c r="PRX96" s="39"/>
      <c r="PRY96" s="39"/>
      <c r="PRZ96" s="39"/>
      <c r="PSA96" s="39"/>
      <c r="PSB96" s="39"/>
      <c r="PSC96" s="39"/>
      <c r="PSD96" s="39"/>
      <c r="PSE96" s="39"/>
      <c r="PSF96" s="39"/>
      <c r="PSG96" s="39"/>
      <c r="PSH96" s="39"/>
      <c r="PSI96" s="39"/>
      <c r="PSJ96" s="39"/>
      <c r="PSK96" s="39"/>
      <c r="PSL96" s="39"/>
      <c r="PSM96" s="39"/>
      <c r="PSN96" s="39"/>
      <c r="PSO96" s="39"/>
      <c r="PSP96" s="39"/>
      <c r="PSQ96" s="39"/>
      <c r="PSR96" s="39"/>
      <c r="PSS96" s="39"/>
      <c r="PST96" s="39"/>
      <c r="PSU96" s="39"/>
      <c r="PSV96" s="39"/>
      <c r="PSW96" s="39"/>
      <c r="PSX96" s="39"/>
      <c r="PSY96" s="39"/>
      <c r="PSZ96" s="39"/>
      <c r="PTA96" s="39"/>
      <c r="PTB96" s="39"/>
      <c r="PTC96" s="39"/>
      <c r="PTD96" s="39"/>
      <c r="PTE96" s="39"/>
      <c r="PTF96" s="39"/>
      <c r="PTG96" s="39"/>
      <c r="PTH96" s="39"/>
      <c r="PTI96" s="39"/>
      <c r="PTJ96" s="39"/>
      <c r="PTK96" s="39"/>
      <c r="PTL96" s="39"/>
      <c r="PTM96" s="39"/>
      <c r="PTN96" s="39"/>
      <c r="PTO96" s="39"/>
      <c r="PTP96" s="39"/>
      <c r="PTQ96" s="39"/>
      <c r="PTR96" s="39"/>
      <c r="PTS96" s="39"/>
      <c r="PTT96" s="39"/>
      <c r="PTU96" s="39"/>
      <c r="PTV96" s="39"/>
      <c r="PTW96" s="39"/>
      <c r="PTX96" s="39"/>
      <c r="PTY96" s="39"/>
      <c r="PTZ96" s="39"/>
      <c r="PUA96" s="39"/>
      <c r="PUB96" s="39"/>
      <c r="PUC96" s="39"/>
      <c r="PUD96" s="39"/>
      <c r="PUE96" s="39"/>
      <c r="PUF96" s="39"/>
      <c r="PUG96" s="39"/>
      <c r="PUH96" s="39"/>
      <c r="PUI96" s="39"/>
      <c r="PUJ96" s="39"/>
      <c r="PUK96" s="39"/>
      <c r="PUL96" s="39"/>
      <c r="PUM96" s="39"/>
      <c r="PUN96" s="39"/>
      <c r="PUO96" s="39"/>
      <c r="PUP96" s="39"/>
      <c r="PUQ96" s="39"/>
      <c r="PUR96" s="39"/>
      <c r="PUS96" s="39"/>
      <c r="PUT96" s="39"/>
      <c r="PUU96" s="39"/>
      <c r="PUV96" s="39"/>
      <c r="PUW96" s="39"/>
      <c r="PUX96" s="39"/>
      <c r="PUY96" s="39"/>
      <c r="PUZ96" s="39"/>
      <c r="PVA96" s="39"/>
      <c r="PVB96" s="39"/>
      <c r="PVC96" s="39"/>
      <c r="PVD96" s="39"/>
      <c r="PVE96" s="39"/>
      <c r="PVF96" s="39"/>
      <c r="PVG96" s="39"/>
      <c r="PVH96" s="39"/>
      <c r="PVI96" s="39"/>
      <c r="PVJ96" s="39"/>
      <c r="PVK96" s="39"/>
      <c r="PVL96" s="39"/>
      <c r="PVM96" s="39"/>
      <c r="PVN96" s="39"/>
      <c r="PVO96" s="39"/>
      <c r="PVP96" s="39"/>
      <c r="PVQ96" s="39"/>
      <c r="PVR96" s="39"/>
      <c r="PVS96" s="39"/>
      <c r="PVT96" s="39"/>
      <c r="PVU96" s="39"/>
      <c r="PVV96" s="39"/>
      <c r="PVW96" s="39"/>
      <c r="PVX96" s="39"/>
      <c r="PVY96" s="39"/>
      <c r="PVZ96" s="39"/>
      <c r="PWA96" s="39"/>
      <c r="PWB96" s="39"/>
      <c r="PWC96" s="39"/>
      <c r="PWD96" s="39"/>
      <c r="PWE96" s="39"/>
      <c r="PWF96" s="39"/>
      <c r="PWG96" s="39"/>
      <c r="PWH96" s="39"/>
      <c r="PWI96" s="39"/>
      <c r="PWJ96" s="39"/>
      <c r="PWK96" s="39"/>
      <c r="PWL96" s="39"/>
      <c r="PWM96" s="39"/>
      <c r="PWN96" s="39"/>
      <c r="PWO96" s="39"/>
      <c r="PWP96" s="39"/>
      <c r="PWQ96" s="39"/>
      <c r="PWR96" s="39"/>
      <c r="PWS96" s="39"/>
      <c r="PWT96" s="39"/>
      <c r="PWU96" s="39"/>
      <c r="PWV96" s="39"/>
      <c r="PWW96" s="39"/>
      <c r="PWX96" s="39"/>
      <c r="PWY96" s="39"/>
      <c r="PWZ96" s="39"/>
      <c r="PXA96" s="39"/>
      <c r="PXB96" s="39"/>
      <c r="PXC96" s="39"/>
      <c r="PXD96" s="39"/>
      <c r="PXE96" s="39"/>
      <c r="PXF96" s="39"/>
      <c r="PXG96" s="39"/>
      <c r="PXH96" s="39"/>
      <c r="PXI96" s="39"/>
      <c r="PXJ96" s="39"/>
      <c r="PXK96" s="39"/>
      <c r="PXL96" s="39"/>
      <c r="PXM96" s="39"/>
      <c r="PXN96" s="39"/>
      <c r="PXO96" s="39"/>
      <c r="PXP96" s="39"/>
      <c r="PXQ96" s="39"/>
      <c r="PXR96" s="39"/>
      <c r="PXS96" s="39"/>
      <c r="PXT96" s="39"/>
      <c r="PXU96" s="39"/>
      <c r="PXV96" s="39"/>
      <c r="PXW96" s="39"/>
      <c r="PXX96" s="39"/>
      <c r="PXY96" s="39"/>
      <c r="PXZ96" s="39"/>
      <c r="PYA96" s="39"/>
      <c r="PYB96" s="39"/>
      <c r="PYC96" s="39"/>
      <c r="PYD96" s="39"/>
      <c r="PYE96" s="39"/>
      <c r="PYF96" s="39"/>
      <c r="PYG96" s="39"/>
      <c r="PYH96" s="39"/>
      <c r="PYI96" s="39"/>
      <c r="PYJ96" s="39"/>
      <c r="PYK96" s="39"/>
      <c r="PYL96" s="39"/>
      <c r="PYM96" s="39"/>
      <c r="PYN96" s="39"/>
      <c r="PYO96" s="39"/>
      <c r="PYP96" s="39"/>
      <c r="PYQ96" s="39"/>
      <c r="PYR96" s="39"/>
      <c r="PYS96" s="39"/>
      <c r="PYT96" s="39"/>
      <c r="PYU96" s="39"/>
      <c r="PYV96" s="39"/>
      <c r="PYW96" s="39"/>
      <c r="PYX96" s="39"/>
      <c r="PYY96" s="39"/>
      <c r="PYZ96" s="39"/>
      <c r="PZA96" s="39"/>
      <c r="PZB96" s="39"/>
      <c r="PZC96" s="39"/>
      <c r="PZD96" s="39"/>
      <c r="PZE96" s="39"/>
      <c r="PZF96" s="39"/>
      <c r="PZG96" s="39"/>
      <c r="PZH96" s="39"/>
      <c r="PZI96" s="39"/>
      <c r="PZJ96" s="39"/>
      <c r="PZK96" s="39"/>
      <c r="PZL96" s="39"/>
      <c r="PZM96" s="39"/>
      <c r="PZN96" s="39"/>
      <c r="PZO96" s="39"/>
      <c r="PZP96" s="39"/>
      <c r="PZQ96" s="39"/>
      <c r="PZR96" s="39"/>
      <c r="PZS96" s="39"/>
      <c r="PZT96" s="39"/>
      <c r="PZU96" s="39"/>
      <c r="PZV96" s="39"/>
      <c r="PZW96" s="39"/>
      <c r="PZX96" s="39"/>
      <c r="PZY96" s="39"/>
      <c r="PZZ96" s="39"/>
      <c r="QAA96" s="39"/>
      <c r="QAB96" s="39"/>
      <c r="QAC96" s="39"/>
      <c r="QAD96" s="39"/>
      <c r="QAE96" s="39"/>
      <c r="QAF96" s="39"/>
      <c r="QAG96" s="39"/>
      <c r="QAH96" s="39"/>
      <c r="QAI96" s="39"/>
      <c r="QAJ96" s="39"/>
      <c r="QAK96" s="39"/>
      <c r="QAL96" s="39"/>
      <c r="QAM96" s="39"/>
      <c r="QAN96" s="39"/>
      <c r="QAO96" s="39"/>
      <c r="QAP96" s="39"/>
      <c r="QAQ96" s="39"/>
      <c r="QAR96" s="39"/>
      <c r="QAS96" s="39"/>
      <c r="QAT96" s="39"/>
      <c r="QAU96" s="39"/>
      <c r="QAV96" s="39"/>
      <c r="QAW96" s="39"/>
      <c r="QAX96" s="39"/>
      <c r="QAY96" s="39"/>
      <c r="QAZ96" s="39"/>
      <c r="QBA96" s="39"/>
      <c r="QBB96" s="39"/>
      <c r="QBC96" s="39"/>
      <c r="QBD96" s="39"/>
      <c r="QBE96" s="39"/>
      <c r="QBF96" s="39"/>
      <c r="QBG96" s="39"/>
      <c r="QBH96" s="39"/>
      <c r="QBI96" s="39"/>
      <c r="QBJ96" s="39"/>
      <c r="QBK96" s="39"/>
      <c r="QBL96" s="39"/>
      <c r="QBM96" s="39"/>
      <c r="QBN96" s="39"/>
      <c r="QBO96" s="39"/>
      <c r="QBP96" s="39"/>
      <c r="QBQ96" s="39"/>
      <c r="QBR96" s="39"/>
      <c r="QBS96" s="39"/>
      <c r="QBT96" s="39"/>
      <c r="QBU96" s="39"/>
      <c r="QBV96" s="39"/>
      <c r="QBW96" s="39"/>
      <c r="QBX96" s="39"/>
      <c r="QBY96" s="39"/>
      <c r="QBZ96" s="39"/>
      <c r="QCA96" s="39"/>
      <c r="QCB96" s="39"/>
      <c r="QCC96" s="39"/>
      <c r="QCD96" s="39"/>
      <c r="QCE96" s="39"/>
      <c r="QCF96" s="39"/>
      <c r="QCG96" s="39"/>
      <c r="QCH96" s="39"/>
      <c r="QCI96" s="39"/>
      <c r="QCJ96" s="39"/>
      <c r="QCK96" s="39"/>
      <c r="QCL96" s="39"/>
      <c r="QCM96" s="39"/>
      <c r="QCN96" s="39"/>
      <c r="QCO96" s="39"/>
      <c r="QCP96" s="39"/>
      <c r="QCQ96" s="39"/>
      <c r="QCR96" s="39"/>
      <c r="QCS96" s="39"/>
      <c r="QCT96" s="39"/>
      <c r="QCU96" s="39"/>
      <c r="QCV96" s="39"/>
      <c r="QCW96" s="39"/>
      <c r="QCX96" s="39"/>
      <c r="QCY96" s="39"/>
      <c r="QCZ96" s="39"/>
      <c r="QDA96" s="39"/>
      <c r="QDB96" s="39"/>
      <c r="QDC96" s="39"/>
      <c r="QDD96" s="39"/>
      <c r="QDE96" s="39"/>
      <c r="QDF96" s="39"/>
      <c r="QDG96" s="39"/>
      <c r="QDH96" s="39"/>
      <c r="QDI96" s="39"/>
      <c r="QDJ96" s="39"/>
      <c r="QDK96" s="39"/>
      <c r="QDL96" s="39"/>
      <c r="QDM96" s="39"/>
      <c r="QDN96" s="39"/>
      <c r="QDO96" s="39"/>
      <c r="QDP96" s="39"/>
      <c r="QDQ96" s="39"/>
      <c r="QDR96" s="39"/>
      <c r="QDS96" s="39"/>
      <c r="QDT96" s="39"/>
      <c r="QDU96" s="39"/>
      <c r="QDV96" s="39"/>
      <c r="QDW96" s="39"/>
      <c r="QDX96" s="39"/>
      <c r="QDY96" s="39"/>
      <c r="QDZ96" s="39"/>
      <c r="QEA96" s="39"/>
      <c r="QEB96" s="39"/>
      <c r="QEC96" s="39"/>
      <c r="QED96" s="39"/>
      <c r="QEE96" s="39"/>
      <c r="QEF96" s="39"/>
      <c r="QEG96" s="39"/>
      <c r="QEH96" s="39"/>
      <c r="QEI96" s="39"/>
      <c r="QEJ96" s="39"/>
      <c r="QEK96" s="39"/>
      <c r="QEL96" s="39"/>
      <c r="QEM96" s="39"/>
      <c r="QEN96" s="39"/>
      <c r="QEO96" s="39"/>
      <c r="QEP96" s="39"/>
      <c r="QEQ96" s="39"/>
      <c r="QER96" s="39"/>
      <c r="QES96" s="39"/>
      <c r="QET96" s="39"/>
      <c r="QEU96" s="39"/>
      <c r="QEV96" s="39"/>
      <c r="QEW96" s="39"/>
      <c r="QEX96" s="39"/>
      <c r="QEY96" s="39"/>
      <c r="QEZ96" s="39"/>
      <c r="QFA96" s="39"/>
      <c r="QFB96" s="39"/>
      <c r="QFC96" s="39"/>
      <c r="QFD96" s="39"/>
      <c r="QFE96" s="39"/>
      <c r="QFF96" s="39"/>
      <c r="QFG96" s="39"/>
      <c r="QFH96" s="39"/>
      <c r="QFI96" s="39"/>
      <c r="QFJ96" s="39"/>
      <c r="QFK96" s="39"/>
      <c r="QFL96" s="39"/>
      <c r="QFM96" s="39"/>
      <c r="QFN96" s="39"/>
      <c r="QFO96" s="39"/>
      <c r="QFP96" s="39"/>
      <c r="QFQ96" s="39"/>
      <c r="QFR96" s="39"/>
      <c r="QFS96" s="39"/>
      <c r="QFT96" s="39"/>
      <c r="QFU96" s="39"/>
      <c r="QFV96" s="39"/>
      <c r="QFW96" s="39"/>
      <c r="QFX96" s="39"/>
      <c r="QFY96" s="39"/>
      <c r="QFZ96" s="39"/>
      <c r="QGA96" s="39"/>
      <c r="QGB96" s="39"/>
      <c r="QGC96" s="39"/>
      <c r="QGD96" s="39"/>
      <c r="QGE96" s="39"/>
      <c r="QGF96" s="39"/>
      <c r="QGG96" s="39"/>
      <c r="QGH96" s="39"/>
      <c r="QGI96" s="39"/>
      <c r="QGJ96" s="39"/>
      <c r="QGK96" s="39"/>
      <c r="QGL96" s="39"/>
      <c r="QGM96" s="39"/>
      <c r="QGN96" s="39"/>
      <c r="QGO96" s="39"/>
      <c r="QGP96" s="39"/>
      <c r="QGQ96" s="39"/>
      <c r="QGR96" s="39"/>
      <c r="QGS96" s="39"/>
      <c r="QGT96" s="39"/>
      <c r="QGU96" s="39"/>
      <c r="QGV96" s="39"/>
      <c r="QGW96" s="39"/>
      <c r="QGX96" s="39"/>
      <c r="QGY96" s="39"/>
      <c r="QGZ96" s="39"/>
      <c r="QHA96" s="39"/>
      <c r="QHB96" s="39"/>
      <c r="QHC96" s="39"/>
      <c r="QHD96" s="39"/>
      <c r="QHE96" s="39"/>
      <c r="QHF96" s="39"/>
      <c r="QHG96" s="39"/>
      <c r="QHH96" s="39"/>
      <c r="QHI96" s="39"/>
      <c r="QHJ96" s="39"/>
      <c r="QHK96" s="39"/>
      <c r="QHL96" s="39"/>
      <c r="QHM96" s="39"/>
      <c r="QHN96" s="39"/>
      <c r="QHO96" s="39"/>
      <c r="QHP96" s="39"/>
      <c r="QHQ96" s="39"/>
      <c r="QHR96" s="39"/>
      <c r="QHS96" s="39"/>
      <c r="QHT96" s="39"/>
      <c r="QHU96" s="39"/>
      <c r="QHV96" s="39"/>
      <c r="QHW96" s="39"/>
      <c r="QHX96" s="39"/>
      <c r="QHY96" s="39"/>
      <c r="QHZ96" s="39"/>
      <c r="QIA96" s="39"/>
      <c r="QIB96" s="39"/>
      <c r="QIC96" s="39"/>
      <c r="QID96" s="39"/>
      <c r="QIE96" s="39"/>
      <c r="QIF96" s="39"/>
      <c r="QIG96" s="39"/>
      <c r="QIH96" s="39"/>
      <c r="QII96" s="39"/>
      <c r="QIJ96" s="39"/>
      <c r="QIK96" s="39"/>
      <c r="QIL96" s="39"/>
      <c r="QIM96" s="39"/>
      <c r="QIN96" s="39"/>
      <c r="QIO96" s="39"/>
      <c r="QIP96" s="39"/>
      <c r="QIQ96" s="39"/>
      <c r="QIR96" s="39"/>
      <c r="QIS96" s="39"/>
      <c r="QIT96" s="39"/>
      <c r="QIU96" s="39"/>
      <c r="QIV96" s="39"/>
      <c r="QIW96" s="39"/>
      <c r="QIX96" s="39"/>
      <c r="QIY96" s="39"/>
      <c r="QIZ96" s="39"/>
      <c r="QJA96" s="39"/>
      <c r="QJB96" s="39"/>
      <c r="QJC96" s="39"/>
      <c r="QJD96" s="39"/>
      <c r="QJE96" s="39"/>
      <c r="QJF96" s="39"/>
      <c r="QJG96" s="39"/>
      <c r="QJH96" s="39"/>
      <c r="QJI96" s="39"/>
      <c r="QJJ96" s="39"/>
      <c r="QJK96" s="39"/>
      <c r="QJL96" s="39"/>
      <c r="QJM96" s="39"/>
      <c r="QJN96" s="39"/>
      <c r="QJO96" s="39"/>
      <c r="QJP96" s="39"/>
      <c r="QJQ96" s="39"/>
      <c r="QJR96" s="39"/>
      <c r="QJS96" s="39"/>
      <c r="QJT96" s="39"/>
      <c r="QJU96" s="39"/>
      <c r="QJV96" s="39"/>
      <c r="QJW96" s="39"/>
      <c r="QJX96" s="39"/>
      <c r="QJY96" s="39"/>
      <c r="QJZ96" s="39"/>
      <c r="QKA96" s="39"/>
      <c r="QKB96" s="39"/>
      <c r="QKC96" s="39"/>
      <c r="QKD96" s="39"/>
      <c r="QKE96" s="39"/>
      <c r="QKF96" s="39"/>
      <c r="QKG96" s="39"/>
      <c r="QKH96" s="39"/>
      <c r="QKI96" s="39"/>
      <c r="QKJ96" s="39"/>
      <c r="QKK96" s="39"/>
      <c r="QKL96" s="39"/>
      <c r="QKM96" s="39"/>
      <c r="QKN96" s="39"/>
      <c r="QKO96" s="39"/>
      <c r="QKP96" s="39"/>
      <c r="QKQ96" s="39"/>
      <c r="QKR96" s="39"/>
      <c r="QKS96" s="39"/>
      <c r="QKT96" s="39"/>
      <c r="QKU96" s="39"/>
      <c r="QKV96" s="39"/>
      <c r="QKW96" s="39"/>
      <c r="QKX96" s="39"/>
      <c r="QKY96" s="39"/>
      <c r="QKZ96" s="39"/>
      <c r="QLA96" s="39"/>
      <c r="QLB96" s="39"/>
      <c r="QLC96" s="39"/>
      <c r="QLD96" s="39"/>
      <c r="QLE96" s="39"/>
      <c r="QLF96" s="39"/>
      <c r="QLG96" s="39"/>
      <c r="QLH96" s="39"/>
      <c r="QLI96" s="39"/>
      <c r="QLJ96" s="39"/>
      <c r="QLK96" s="39"/>
      <c r="QLL96" s="39"/>
      <c r="QLM96" s="39"/>
      <c r="QLN96" s="39"/>
      <c r="QLO96" s="39"/>
      <c r="QLP96" s="39"/>
      <c r="QLQ96" s="39"/>
      <c r="QLR96" s="39"/>
      <c r="QLS96" s="39"/>
      <c r="QLT96" s="39"/>
      <c r="QLU96" s="39"/>
      <c r="QLV96" s="39"/>
      <c r="QLW96" s="39"/>
      <c r="QLX96" s="39"/>
      <c r="QLY96" s="39"/>
      <c r="QLZ96" s="39"/>
      <c r="QMA96" s="39"/>
      <c r="QMB96" s="39"/>
      <c r="QMC96" s="39"/>
      <c r="QMD96" s="39"/>
      <c r="QME96" s="39"/>
      <c r="QMF96" s="39"/>
      <c r="QMG96" s="39"/>
      <c r="QMH96" s="39"/>
      <c r="QMI96" s="39"/>
      <c r="QMJ96" s="39"/>
      <c r="QMK96" s="39"/>
      <c r="QML96" s="39"/>
      <c r="QMM96" s="39"/>
      <c r="QMN96" s="39"/>
      <c r="QMO96" s="39"/>
      <c r="QMP96" s="39"/>
      <c r="QMQ96" s="39"/>
      <c r="QMR96" s="39"/>
      <c r="QMS96" s="39"/>
      <c r="QMT96" s="39"/>
      <c r="QMU96" s="39"/>
      <c r="QMV96" s="39"/>
      <c r="QMW96" s="39"/>
      <c r="QMX96" s="39"/>
      <c r="QMY96" s="39"/>
      <c r="QMZ96" s="39"/>
      <c r="QNA96" s="39"/>
      <c r="QNB96" s="39"/>
      <c r="QNC96" s="39"/>
      <c r="QND96" s="39"/>
      <c r="QNE96" s="39"/>
      <c r="QNF96" s="39"/>
      <c r="QNG96" s="39"/>
      <c r="QNH96" s="39"/>
      <c r="QNI96" s="39"/>
      <c r="QNJ96" s="39"/>
      <c r="QNK96" s="39"/>
      <c r="QNL96" s="39"/>
      <c r="QNM96" s="39"/>
      <c r="QNN96" s="39"/>
      <c r="QNO96" s="39"/>
      <c r="QNP96" s="39"/>
      <c r="QNQ96" s="39"/>
      <c r="QNR96" s="39"/>
      <c r="QNS96" s="39"/>
      <c r="QNT96" s="39"/>
      <c r="QNU96" s="39"/>
      <c r="QNV96" s="39"/>
      <c r="QNW96" s="39"/>
      <c r="QNX96" s="39"/>
      <c r="QNY96" s="39"/>
      <c r="QNZ96" s="39"/>
      <c r="QOA96" s="39"/>
      <c r="QOB96" s="39"/>
      <c r="QOC96" s="39"/>
      <c r="QOD96" s="39"/>
      <c r="QOE96" s="39"/>
      <c r="QOF96" s="39"/>
      <c r="QOG96" s="39"/>
      <c r="QOH96" s="39"/>
      <c r="QOI96" s="39"/>
      <c r="QOJ96" s="39"/>
      <c r="QOK96" s="39"/>
      <c r="QOL96" s="39"/>
      <c r="QOM96" s="39"/>
      <c r="QON96" s="39"/>
      <c r="QOO96" s="39"/>
      <c r="QOP96" s="39"/>
      <c r="QOQ96" s="39"/>
      <c r="QOR96" s="39"/>
      <c r="QOS96" s="39"/>
      <c r="QOT96" s="39"/>
      <c r="QOU96" s="39"/>
      <c r="QOV96" s="39"/>
      <c r="QOW96" s="39"/>
      <c r="QOX96" s="39"/>
      <c r="QOY96" s="39"/>
      <c r="QOZ96" s="39"/>
      <c r="QPA96" s="39"/>
      <c r="QPB96" s="39"/>
      <c r="QPC96" s="39"/>
      <c r="QPD96" s="39"/>
      <c r="QPE96" s="39"/>
      <c r="QPF96" s="39"/>
      <c r="QPG96" s="39"/>
      <c r="QPH96" s="39"/>
      <c r="QPI96" s="39"/>
      <c r="QPJ96" s="39"/>
      <c r="QPK96" s="39"/>
      <c r="QPL96" s="39"/>
      <c r="QPM96" s="39"/>
      <c r="QPN96" s="39"/>
      <c r="QPO96" s="39"/>
      <c r="QPP96" s="39"/>
      <c r="QPQ96" s="39"/>
      <c r="QPR96" s="39"/>
      <c r="QPS96" s="39"/>
      <c r="QPT96" s="39"/>
      <c r="QPU96" s="39"/>
      <c r="QPV96" s="39"/>
      <c r="QPW96" s="39"/>
      <c r="QPX96" s="39"/>
      <c r="QPY96" s="39"/>
      <c r="QPZ96" s="39"/>
      <c r="QQA96" s="39"/>
      <c r="QQB96" s="39"/>
      <c r="QQC96" s="39"/>
      <c r="QQD96" s="39"/>
      <c r="QQE96" s="39"/>
      <c r="QQF96" s="39"/>
      <c r="QQG96" s="39"/>
      <c r="QQH96" s="39"/>
      <c r="QQI96" s="39"/>
      <c r="QQJ96" s="39"/>
      <c r="QQK96" s="39"/>
      <c r="QQL96" s="39"/>
      <c r="QQM96" s="39"/>
      <c r="QQN96" s="39"/>
      <c r="QQO96" s="39"/>
      <c r="QQP96" s="39"/>
      <c r="QQQ96" s="39"/>
      <c r="QQR96" s="39"/>
      <c r="QQS96" s="39"/>
      <c r="QQT96" s="39"/>
      <c r="QQU96" s="39"/>
      <c r="QQV96" s="39"/>
      <c r="QQW96" s="39"/>
      <c r="QQX96" s="39"/>
      <c r="QQY96" s="39"/>
      <c r="QQZ96" s="39"/>
      <c r="QRA96" s="39"/>
      <c r="QRB96" s="39"/>
      <c r="QRC96" s="39"/>
      <c r="QRD96" s="39"/>
      <c r="QRE96" s="39"/>
      <c r="QRF96" s="39"/>
      <c r="QRG96" s="39"/>
      <c r="QRH96" s="39"/>
      <c r="QRI96" s="39"/>
      <c r="QRJ96" s="39"/>
      <c r="QRK96" s="39"/>
      <c r="QRL96" s="39"/>
      <c r="QRM96" s="39"/>
      <c r="QRN96" s="39"/>
      <c r="QRO96" s="39"/>
      <c r="QRP96" s="39"/>
      <c r="QRQ96" s="39"/>
      <c r="QRR96" s="39"/>
      <c r="QRS96" s="39"/>
      <c r="QRT96" s="39"/>
      <c r="QRU96" s="39"/>
      <c r="QRV96" s="39"/>
      <c r="QRW96" s="39"/>
      <c r="QRX96" s="39"/>
      <c r="QRY96" s="39"/>
      <c r="QRZ96" s="39"/>
      <c r="QSA96" s="39"/>
      <c r="QSB96" s="39"/>
      <c r="QSC96" s="39"/>
      <c r="QSD96" s="39"/>
      <c r="QSE96" s="39"/>
      <c r="QSF96" s="39"/>
      <c r="QSG96" s="39"/>
      <c r="QSH96" s="39"/>
      <c r="QSI96" s="39"/>
      <c r="QSJ96" s="39"/>
      <c r="QSK96" s="39"/>
      <c r="QSL96" s="39"/>
      <c r="QSM96" s="39"/>
      <c r="QSN96" s="39"/>
      <c r="QSO96" s="39"/>
      <c r="QSP96" s="39"/>
      <c r="QSQ96" s="39"/>
      <c r="QSR96" s="39"/>
      <c r="QSS96" s="39"/>
      <c r="QST96" s="39"/>
      <c r="QSU96" s="39"/>
      <c r="QSV96" s="39"/>
      <c r="QSW96" s="39"/>
      <c r="QSX96" s="39"/>
      <c r="QSY96" s="39"/>
      <c r="QSZ96" s="39"/>
      <c r="QTA96" s="39"/>
      <c r="QTB96" s="39"/>
      <c r="QTC96" s="39"/>
      <c r="QTD96" s="39"/>
      <c r="QTE96" s="39"/>
      <c r="QTF96" s="39"/>
      <c r="QTG96" s="39"/>
      <c r="QTH96" s="39"/>
      <c r="QTI96" s="39"/>
      <c r="QTJ96" s="39"/>
      <c r="QTK96" s="39"/>
      <c r="QTL96" s="39"/>
      <c r="QTM96" s="39"/>
      <c r="QTN96" s="39"/>
      <c r="QTO96" s="39"/>
      <c r="QTP96" s="39"/>
      <c r="QTQ96" s="39"/>
      <c r="QTR96" s="39"/>
      <c r="QTS96" s="39"/>
      <c r="QTT96" s="39"/>
      <c r="QTU96" s="39"/>
      <c r="QTV96" s="39"/>
      <c r="QTW96" s="39"/>
      <c r="QTX96" s="39"/>
      <c r="QTY96" s="39"/>
      <c r="QTZ96" s="39"/>
      <c r="QUA96" s="39"/>
      <c r="QUB96" s="39"/>
      <c r="QUC96" s="39"/>
      <c r="QUD96" s="39"/>
      <c r="QUE96" s="39"/>
      <c r="QUF96" s="39"/>
      <c r="QUG96" s="39"/>
      <c r="QUH96" s="39"/>
      <c r="QUI96" s="39"/>
      <c r="QUJ96" s="39"/>
      <c r="QUK96" s="39"/>
      <c r="QUL96" s="39"/>
      <c r="QUM96" s="39"/>
      <c r="QUN96" s="39"/>
      <c r="QUO96" s="39"/>
      <c r="QUP96" s="39"/>
      <c r="QUQ96" s="39"/>
      <c r="QUR96" s="39"/>
      <c r="QUS96" s="39"/>
      <c r="QUT96" s="39"/>
      <c r="QUU96" s="39"/>
      <c r="QUV96" s="39"/>
      <c r="QUW96" s="39"/>
      <c r="QUX96" s="39"/>
      <c r="QUY96" s="39"/>
      <c r="QUZ96" s="39"/>
      <c r="QVA96" s="39"/>
      <c r="QVB96" s="39"/>
      <c r="QVC96" s="39"/>
      <c r="QVD96" s="39"/>
      <c r="QVE96" s="39"/>
      <c r="QVF96" s="39"/>
      <c r="QVG96" s="39"/>
      <c r="QVH96" s="39"/>
      <c r="QVI96" s="39"/>
      <c r="QVJ96" s="39"/>
      <c r="QVK96" s="39"/>
      <c r="QVL96" s="39"/>
      <c r="QVM96" s="39"/>
      <c r="QVN96" s="39"/>
      <c r="QVO96" s="39"/>
      <c r="QVP96" s="39"/>
      <c r="QVQ96" s="39"/>
      <c r="QVR96" s="39"/>
      <c r="QVS96" s="39"/>
      <c r="QVT96" s="39"/>
      <c r="QVU96" s="39"/>
      <c r="QVV96" s="39"/>
      <c r="QVW96" s="39"/>
      <c r="QVX96" s="39"/>
      <c r="QVY96" s="39"/>
      <c r="QVZ96" s="39"/>
      <c r="QWA96" s="39"/>
      <c r="QWB96" s="39"/>
      <c r="QWC96" s="39"/>
      <c r="QWD96" s="39"/>
      <c r="QWE96" s="39"/>
      <c r="QWF96" s="39"/>
      <c r="QWG96" s="39"/>
      <c r="QWH96" s="39"/>
      <c r="QWI96" s="39"/>
      <c r="QWJ96" s="39"/>
      <c r="QWK96" s="39"/>
      <c r="QWL96" s="39"/>
      <c r="QWM96" s="39"/>
      <c r="QWN96" s="39"/>
      <c r="QWO96" s="39"/>
      <c r="QWP96" s="39"/>
      <c r="QWQ96" s="39"/>
      <c r="QWR96" s="39"/>
      <c r="QWS96" s="39"/>
      <c r="QWT96" s="39"/>
      <c r="QWU96" s="39"/>
      <c r="QWV96" s="39"/>
      <c r="QWW96" s="39"/>
      <c r="QWX96" s="39"/>
      <c r="QWY96" s="39"/>
      <c r="QWZ96" s="39"/>
      <c r="QXA96" s="39"/>
      <c r="QXB96" s="39"/>
      <c r="QXC96" s="39"/>
      <c r="QXD96" s="39"/>
      <c r="QXE96" s="39"/>
      <c r="QXF96" s="39"/>
      <c r="QXG96" s="39"/>
      <c r="QXH96" s="39"/>
      <c r="QXI96" s="39"/>
      <c r="QXJ96" s="39"/>
      <c r="QXK96" s="39"/>
      <c r="QXL96" s="39"/>
      <c r="QXM96" s="39"/>
      <c r="QXN96" s="39"/>
      <c r="QXO96" s="39"/>
      <c r="QXP96" s="39"/>
      <c r="QXQ96" s="39"/>
      <c r="QXR96" s="39"/>
      <c r="QXS96" s="39"/>
      <c r="QXT96" s="39"/>
      <c r="QXU96" s="39"/>
      <c r="QXV96" s="39"/>
      <c r="QXW96" s="39"/>
      <c r="QXX96" s="39"/>
      <c r="QXY96" s="39"/>
      <c r="QXZ96" s="39"/>
      <c r="QYA96" s="39"/>
      <c r="QYB96" s="39"/>
      <c r="QYC96" s="39"/>
      <c r="QYD96" s="39"/>
      <c r="QYE96" s="39"/>
      <c r="QYF96" s="39"/>
      <c r="QYG96" s="39"/>
      <c r="QYH96" s="39"/>
      <c r="QYI96" s="39"/>
      <c r="QYJ96" s="39"/>
      <c r="QYK96" s="39"/>
      <c r="QYL96" s="39"/>
      <c r="QYM96" s="39"/>
      <c r="QYN96" s="39"/>
      <c r="QYO96" s="39"/>
      <c r="QYP96" s="39"/>
      <c r="QYQ96" s="39"/>
      <c r="QYR96" s="39"/>
      <c r="QYS96" s="39"/>
      <c r="QYT96" s="39"/>
      <c r="QYU96" s="39"/>
      <c r="QYV96" s="39"/>
      <c r="QYW96" s="39"/>
      <c r="QYX96" s="39"/>
      <c r="QYY96" s="39"/>
      <c r="QYZ96" s="39"/>
      <c r="QZA96" s="39"/>
      <c r="QZB96" s="39"/>
      <c r="QZC96" s="39"/>
      <c r="QZD96" s="39"/>
      <c r="QZE96" s="39"/>
      <c r="QZF96" s="39"/>
      <c r="QZG96" s="39"/>
      <c r="QZH96" s="39"/>
      <c r="QZI96" s="39"/>
      <c r="QZJ96" s="39"/>
      <c r="QZK96" s="39"/>
      <c r="QZL96" s="39"/>
      <c r="QZM96" s="39"/>
      <c r="QZN96" s="39"/>
      <c r="QZO96" s="39"/>
      <c r="QZP96" s="39"/>
      <c r="QZQ96" s="39"/>
      <c r="QZR96" s="39"/>
      <c r="QZS96" s="39"/>
      <c r="QZT96" s="39"/>
      <c r="QZU96" s="39"/>
      <c r="QZV96" s="39"/>
      <c r="QZW96" s="39"/>
      <c r="QZX96" s="39"/>
      <c r="QZY96" s="39"/>
      <c r="QZZ96" s="39"/>
      <c r="RAA96" s="39"/>
      <c r="RAB96" s="39"/>
      <c r="RAC96" s="39"/>
      <c r="RAD96" s="39"/>
      <c r="RAE96" s="39"/>
      <c r="RAF96" s="39"/>
      <c r="RAG96" s="39"/>
      <c r="RAH96" s="39"/>
      <c r="RAI96" s="39"/>
      <c r="RAJ96" s="39"/>
      <c r="RAK96" s="39"/>
      <c r="RAL96" s="39"/>
      <c r="RAM96" s="39"/>
      <c r="RAN96" s="39"/>
      <c r="RAO96" s="39"/>
      <c r="RAP96" s="39"/>
      <c r="RAQ96" s="39"/>
      <c r="RAR96" s="39"/>
      <c r="RAS96" s="39"/>
      <c r="RAT96" s="39"/>
      <c r="RAU96" s="39"/>
      <c r="RAV96" s="39"/>
      <c r="RAW96" s="39"/>
      <c r="RAX96" s="39"/>
      <c r="RAY96" s="39"/>
      <c r="RAZ96" s="39"/>
      <c r="RBA96" s="39"/>
      <c r="RBB96" s="39"/>
      <c r="RBC96" s="39"/>
      <c r="RBD96" s="39"/>
      <c r="RBE96" s="39"/>
      <c r="RBF96" s="39"/>
      <c r="RBG96" s="39"/>
      <c r="RBH96" s="39"/>
      <c r="RBI96" s="39"/>
      <c r="RBJ96" s="39"/>
      <c r="RBK96" s="39"/>
      <c r="RBL96" s="39"/>
      <c r="RBM96" s="39"/>
      <c r="RBN96" s="39"/>
      <c r="RBO96" s="39"/>
      <c r="RBP96" s="39"/>
      <c r="RBQ96" s="39"/>
      <c r="RBR96" s="39"/>
      <c r="RBS96" s="39"/>
      <c r="RBT96" s="39"/>
      <c r="RBU96" s="39"/>
      <c r="RBV96" s="39"/>
      <c r="RBW96" s="39"/>
      <c r="RBX96" s="39"/>
      <c r="RBY96" s="39"/>
      <c r="RBZ96" s="39"/>
      <c r="RCA96" s="39"/>
      <c r="RCB96" s="39"/>
      <c r="RCC96" s="39"/>
      <c r="RCD96" s="39"/>
      <c r="RCE96" s="39"/>
      <c r="RCF96" s="39"/>
      <c r="RCG96" s="39"/>
      <c r="RCH96" s="39"/>
      <c r="RCI96" s="39"/>
      <c r="RCJ96" s="39"/>
      <c r="RCK96" s="39"/>
      <c r="RCL96" s="39"/>
      <c r="RCM96" s="39"/>
      <c r="RCN96" s="39"/>
      <c r="RCO96" s="39"/>
      <c r="RCP96" s="39"/>
      <c r="RCQ96" s="39"/>
      <c r="RCR96" s="39"/>
      <c r="RCS96" s="39"/>
      <c r="RCT96" s="39"/>
      <c r="RCU96" s="39"/>
      <c r="RCV96" s="39"/>
      <c r="RCW96" s="39"/>
      <c r="RCX96" s="39"/>
      <c r="RCY96" s="39"/>
      <c r="RCZ96" s="39"/>
      <c r="RDA96" s="39"/>
      <c r="RDB96" s="39"/>
      <c r="RDC96" s="39"/>
      <c r="RDD96" s="39"/>
      <c r="RDE96" s="39"/>
      <c r="RDF96" s="39"/>
      <c r="RDG96" s="39"/>
      <c r="RDH96" s="39"/>
      <c r="RDI96" s="39"/>
      <c r="RDJ96" s="39"/>
      <c r="RDK96" s="39"/>
      <c r="RDL96" s="39"/>
      <c r="RDM96" s="39"/>
      <c r="RDN96" s="39"/>
      <c r="RDO96" s="39"/>
      <c r="RDP96" s="39"/>
      <c r="RDQ96" s="39"/>
      <c r="RDR96" s="39"/>
      <c r="RDS96" s="39"/>
      <c r="RDT96" s="39"/>
      <c r="RDU96" s="39"/>
      <c r="RDV96" s="39"/>
      <c r="RDW96" s="39"/>
      <c r="RDX96" s="39"/>
      <c r="RDY96" s="39"/>
      <c r="RDZ96" s="39"/>
      <c r="REA96" s="39"/>
      <c r="REB96" s="39"/>
      <c r="REC96" s="39"/>
      <c r="RED96" s="39"/>
      <c r="REE96" s="39"/>
      <c r="REF96" s="39"/>
      <c r="REG96" s="39"/>
      <c r="REH96" s="39"/>
      <c r="REI96" s="39"/>
      <c r="REJ96" s="39"/>
      <c r="REK96" s="39"/>
      <c r="REL96" s="39"/>
      <c r="REM96" s="39"/>
      <c r="REN96" s="39"/>
      <c r="REO96" s="39"/>
      <c r="REP96" s="39"/>
      <c r="REQ96" s="39"/>
      <c r="RER96" s="39"/>
      <c r="RES96" s="39"/>
      <c r="RET96" s="39"/>
      <c r="REU96" s="39"/>
      <c r="REV96" s="39"/>
      <c r="REW96" s="39"/>
      <c r="REX96" s="39"/>
      <c r="REY96" s="39"/>
      <c r="REZ96" s="39"/>
      <c r="RFA96" s="39"/>
      <c r="RFB96" s="39"/>
      <c r="RFC96" s="39"/>
      <c r="RFD96" s="39"/>
      <c r="RFE96" s="39"/>
      <c r="RFF96" s="39"/>
      <c r="RFG96" s="39"/>
      <c r="RFH96" s="39"/>
      <c r="RFI96" s="39"/>
      <c r="RFJ96" s="39"/>
      <c r="RFK96" s="39"/>
      <c r="RFL96" s="39"/>
      <c r="RFM96" s="39"/>
      <c r="RFN96" s="39"/>
      <c r="RFO96" s="39"/>
      <c r="RFP96" s="39"/>
      <c r="RFQ96" s="39"/>
      <c r="RFR96" s="39"/>
      <c r="RFS96" s="39"/>
      <c r="RFT96" s="39"/>
      <c r="RFU96" s="39"/>
      <c r="RFV96" s="39"/>
      <c r="RFW96" s="39"/>
      <c r="RFX96" s="39"/>
      <c r="RFY96" s="39"/>
      <c r="RFZ96" s="39"/>
      <c r="RGA96" s="39"/>
      <c r="RGB96" s="39"/>
      <c r="RGC96" s="39"/>
      <c r="RGD96" s="39"/>
      <c r="RGE96" s="39"/>
      <c r="RGF96" s="39"/>
      <c r="RGG96" s="39"/>
      <c r="RGH96" s="39"/>
      <c r="RGI96" s="39"/>
      <c r="RGJ96" s="39"/>
      <c r="RGK96" s="39"/>
      <c r="RGL96" s="39"/>
      <c r="RGM96" s="39"/>
      <c r="RGN96" s="39"/>
      <c r="RGO96" s="39"/>
      <c r="RGP96" s="39"/>
      <c r="RGQ96" s="39"/>
      <c r="RGR96" s="39"/>
      <c r="RGS96" s="39"/>
      <c r="RGT96" s="39"/>
      <c r="RGU96" s="39"/>
      <c r="RGV96" s="39"/>
      <c r="RGW96" s="39"/>
      <c r="RGX96" s="39"/>
      <c r="RGY96" s="39"/>
      <c r="RGZ96" s="39"/>
      <c r="RHA96" s="39"/>
      <c r="RHB96" s="39"/>
      <c r="RHC96" s="39"/>
      <c r="RHD96" s="39"/>
      <c r="RHE96" s="39"/>
      <c r="RHF96" s="39"/>
      <c r="RHG96" s="39"/>
      <c r="RHH96" s="39"/>
      <c r="RHI96" s="39"/>
      <c r="RHJ96" s="39"/>
      <c r="RHK96" s="39"/>
      <c r="RHL96" s="39"/>
      <c r="RHM96" s="39"/>
      <c r="RHN96" s="39"/>
      <c r="RHO96" s="39"/>
      <c r="RHP96" s="39"/>
      <c r="RHQ96" s="39"/>
      <c r="RHR96" s="39"/>
      <c r="RHS96" s="39"/>
      <c r="RHT96" s="39"/>
      <c r="RHU96" s="39"/>
      <c r="RHV96" s="39"/>
      <c r="RHW96" s="39"/>
      <c r="RHX96" s="39"/>
      <c r="RHY96" s="39"/>
      <c r="RHZ96" s="39"/>
      <c r="RIA96" s="39"/>
      <c r="RIB96" s="39"/>
      <c r="RIC96" s="39"/>
      <c r="RID96" s="39"/>
      <c r="RIE96" s="39"/>
      <c r="RIF96" s="39"/>
      <c r="RIG96" s="39"/>
      <c r="RIH96" s="39"/>
      <c r="RII96" s="39"/>
      <c r="RIJ96" s="39"/>
      <c r="RIK96" s="39"/>
      <c r="RIL96" s="39"/>
      <c r="RIM96" s="39"/>
      <c r="RIN96" s="39"/>
      <c r="RIO96" s="39"/>
      <c r="RIP96" s="39"/>
      <c r="RIQ96" s="39"/>
      <c r="RIR96" s="39"/>
      <c r="RIS96" s="39"/>
      <c r="RIT96" s="39"/>
      <c r="RIU96" s="39"/>
      <c r="RIV96" s="39"/>
      <c r="RIW96" s="39"/>
      <c r="RIX96" s="39"/>
      <c r="RIY96" s="39"/>
      <c r="RIZ96" s="39"/>
      <c r="RJA96" s="39"/>
      <c r="RJB96" s="39"/>
      <c r="RJC96" s="39"/>
      <c r="RJD96" s="39"/>
      <c r="RJE96" s="39"/>
      <c r="RJF96" s="39"/>
      <c r="RJG96" s="39"/>
      <c r="RJH96" s="39"/>
      <c r="RJI96" s="39"/>
      <c r="RJJ96" s="39"/>
      <c r="RJK96" s="39"/>
      <c r="RJL96" s="39"/>
      <c r="RJM96" s="39"/>
      <c r="RJN96" s="39"/>
      <c r="RJO96" s="39"/>
      <c r="RJP96" s="39"/>
      <c r="RJQ96" s="39"/>
      <c r="RJR96" s="39"/>
      <c r="RJS96" s="39"/>
      <c r="RJT96" s="39"/>
      <c r="RJU96" s="39"/>
      <c r="RJV96" s="39"/>
      <c r="RJW96" s="39"/>
      <c r="RJX96" s="39"/>
      <c r="RJY96" s="39"/>
      <c r="RJZ96" s="39"/>
      <c r="RKA96" s="39"/>
      <c r="RKB96" s="39"/>
      <c r="RKC96" s="39"/>
      <c r="RKD96" s="39"/>
      <c r="RKE96" s="39"/>
      <c r="RKF96" s="39"/>
      <c r="RKG96" s="39"/>
      <c r="RKH96" s="39"/>
      <c r="RKI96" s="39"/>
      <c r="RKJ96" s="39"/>
      <c r="RKK96" s="39"/>
      <c r="RKL96" s="39"/>
      <c r="RKM96" s="39"/>
      <c r="RKN96" s="39"/>
      <c r="RKO96" s="39"/>
      <c r="RKP96" s="39"/>
      <c r="RKQ96" s="39"/>
      <c r="RKR96" s="39"/>
      <c r="RKS96" s="39"/>
      <c r="RKT96" s="39"/>
      <c r="RKU96" s="39"/>
      <c r="RKV96" s="39"/>
      <c r="RKW96" s="39"/>
      <c r="RKX96" s="39"/>
      <c r="RKY96" s="39"/>
      <c r="RKZ96" s="39"/>
      <c r="RLA96" s="39"/>
      <c r="RLB96" s="39"/>
      <c r="RLC96" s="39"/>
      <c r="RLD96" s="39"/>
      <c r="RLE96" s="39"/>
      <c r="RLF96" s="39"/>
      <c r="RLG96" s="39"/>
      <c r="RLH96" s="39"/>
      <c r="RLI96" s="39"/>
      <c r="RLJ96" s="39"/>
      <c r="RLK96" s="39"/>
      <c r="RLL96" s="39"/>
      <c r="RLM96" s="39"/>
      <c r="RLN96" s="39"/>
      <c r="RLO96" s="39"/>
      <c r="RLP96" s="39"/>
      <c r="RLQ96" s="39"/>
      <c r="RLR96" s="39"/>
      <c r="RLS96" s="39"/>
      <c r="RLT96" s="39"/>
      <c r="RLU96" s="39"/>
      <c r="RLV96" s="39"/>
      <c r="RLW96" s="39"/>
      <c r="RLX96" s="39"/>
      <c r="RLY96" s="39"/>
      <c r="RLZ96" s="39"/>
      <c r="RMA96" s="39"/>
      <c r="RMB96" s="39"/>
      <c r="RMC96" s="39"/>
      <c r="RMD96" s="39"/>
      <c r="RME96" s="39"/>
      <c r="RMF96" s="39"/>
      <c r="RMG96" s="39"/>
      <c r="RMH96" s="39"/>
      <c r="RMI96" s="39"/>
      <c r="RMJ96" s="39"/>
      <c r="RMK96" s="39"/>
      <c r="RML96" s="39"/>
      <c r="RMM96" s="39"/>
      <c r="RMN96" s="39"/>
      <c r="RMO96" s="39"/>
      <c r="RMP96" s="39"/>
      <c r="RMQ96" s="39"/>
      <c r="RMR96" s="39"/>
      <c r="RMS96" s="39"/>
      <c r="RMT96" s="39"/>
      <c r="RMU96" s="39"/>
      <c r="RMV96" s="39"/>
      <c r="RMW96" s="39"/>
      <c r="RMX96" s="39"/>
      <c r="RMY96" s="39"/>
      <c r="RMZ96" s="39"/>
      <c r="RNA96" s="39"/>
      <c r="RNB96" s="39"/>
      <c r="RNC96" s="39"/>
      <c r="RND96" s="39"/>
      <c r="RNE96" s="39"/>
      <c r="RNF96" s="39"/>
      <c r="RNG96" s="39"/>
      <c r="RNH96" s="39"/>
      <c r="RNI96" s="39"/>
      <c r="RNJ96" s="39"/>
      <c r="RNK96" s="39"/>
      <c r="RNL96" s="39"/>
      <c r="RNM96" s="39"/>
      <c r="RNN96" s="39"/>
      <c r="RNO96" s="39"/>
      <c r="RNP96" s="39"/>
      <c r="RNQ96" s="39"/>
      <c r="RNR96" s="39"/>
      <c r="RNS96" s="39"/>
      <c r="RNT96" s="39"/>
      <c r="RNU96" s="39"/>
      <c r="RNV96" s="39"/>
      <c r="RNW96" s="39"/>
      <c r="RNX96" s="39"/>
      <c r="RNY96" s="39"/>
      <c r="RNZ96" s="39"/>
      <c r="ROA96" s="39"/>
      <c r="ROB96" s="39"/>
      <c r="ROC96" s="39"/>
      <c r="ROD96" s="39"/>
      <c r="ROE96" s="39"/>
      <c r="ROF96" s="39"/>
      <c r="ROG96" s="39"/>
      <c r="ROH96" s="39"/>
      <c r="ROI96" s="39"/>
      <c r="ROJ96" s="39"/>
      <c r="ROK96" s="39"/>
      <c r="ROL96" s="39"/>
      <c r="ROM96" s="39"/>
      <c r="RON96" s="39"/>
      <c r="ROO96" s="39"/>
      <c r="ROP96" s="39"/>
      <c r="ROQ96" s="39"/>
      <c r="ROR96" s="39"/>
      <c r="ROS96" s="39"/>
      <c r="ROT96" s="39"/>
      <c r="ROU96" s="39"/>
      <c r="ROV96" s="39"/>
      <c r="ROW96" s="39"/>
      <c r="ROX96" s="39"/>
      <c r="ROY96" s="39"/>
      <c r="ROZ96" s="39"/>
      <c r="RPA96" s="39"/>
      <c r="RPB96" s="39"/>
      <c r="RPC96" s="39"/>
      <c r="RPD96" s="39"/>
      <c r="RPE96" s="39"/>
      <c r="RPF96" s="39"/>
      <c r="RPG96" s="39"/>
      <c r="RPH96" s="39"/>
      <c r="RPI96" s="39"/>
      <c r="RPJ96" s="39"/>
      <c r="RPK96" s="39"/>
      <c r="RPL96" s="39"/>
      <c r="RPM96" s="39"/>
      <c r="RPN96" s="39"/>
      <c r="RPO96" s="39"/>
      <c r="RPP96" s="39"/>
      <c r="RPQ96" s="39"/>
      <c r="RPR96" s="39"/>
      <c r="RPS96" s="39"/>
      <c r="RPT96" s="39"/>
      <c r="RPU96" s="39"/>
      <c r="RPV96" s="39"/>
      <c r="RPW96" s="39"/>
      <c r="RPX96" s="39"/>
      <c r="RPY96" s="39"/>
      <c r="RPZ96" s="39"/>
      <c r="RQA96" s="39"/>
      <c r="RQB96" s="39"/>
      <c r="RQC96" s="39"/>
      <c r="RQD96" s="39"/>
      <c r="RQE96" s="39"/>
      <c r="RQF96" s="39"/>
      <c r="RQG96" s="39"/>
      <c r="RQH96" s="39"/>
      <c r="RQI96" s="39"/>
      <c r="RQJ96" s="39"/>
      <c r="RQK96" s="39"/>
      <c r="RQL96" s="39"/>
      <c r="RQM96" s="39"/>
      <c r="RQN96" s="39"/>
      <c r="RQO96" s="39"/>
      <c r="RQP96" s="39"/>
      <c r="RQQ96" s="39"/>
      <c r="RQR96" s="39"/>
      <c r="RQS96" s="39"/>
      <c r="RQT96" s="39"/>
      <c r="RQU96" s="39"/>
      <c r="RQV96" s="39"/>
      <c r="RQW96" s="39"/>
      <c r="RQX96" s="39"/>
      <c r="RQY96" s="39"/>
      <c r="RQZ96" s="39"/>
      <c r="RRA96" s="39"/>
      <c r="RRB96" s="39"/>
      <c r="RRC96" s="39"/>
      <c r="RRD96" s="39"/>
      <c r="RRE96" s="39"/>
      <c r="RRF96" s="39"/>
      <c r="RRG96" s="39"/>
      <c r="RRH96" s="39"/>
      <c r="RRI96" s="39"/>
      <c r="RRJ96" s="39"/>
      <c r="RRK96" s="39"/>
      <c r="RRL96" s="39"/>
      <c r="RRM96" s="39"/>
      <c r="RRN96" s="39"/>
      <c r="RRO96" s="39"/>
      <c r="RRP96" s="39"/>
      <c r="RRQ96" s="39"/>
      <c r="RRR96" s="39"/>
      <c r="RRS96" s="39"/>
      <c r="RRT96" s="39"/>
      <c r="RRU96" s="39"/>
      <c r="RRV96" s="39"/>
      <c r="RRW96" s="39"/>
      <c r="RRX96" s="39"/>
      <c r="RRY96" s="39"/>
      <c r="RRZ96" s="39"/>
      <c r="RSA96" s="39"/>
      <c r="RSB96" s="39"/>
      <c r="RSC96" s="39"/>
      <c r="RSD96" s="39"/>
      <c r="RSE96" s="39"/>
      <c r="RSF96" s="39"/>
      <c r="RSG96" s="39"/>
      <c r="RSH96" s="39"/>
      <c r="RSI96" s="39"/>
      <c r="RSJ96" s="39"/>
      <c r="RSK96" s="39"/>
      <c r="RSL96" s="39"/>
      <c r="RSM96" s="39"/>
      <c r="RSN96" s="39"/>
      <c r="RSO96" s="39"/>
      <c r="RSP96" s="39"/>
      <c r="RSQ96" s="39"/>
      <c r="RSR96" s="39"/>
      <c r="RSS96" s="39"/>
      <c r="RST96" s="39"/>
      <c r="RSU96" s="39"/>
      <c r="RSV96" s="39"/>
      <c r="RSW96" s="39"/>
      <c r="RSX96" s="39"/>
      <c r="RSY96" s="39"/>
      <c r="RSZ96" s="39"/>
      <c r="RTA96" s="39"/>
      <c r="RTB96" s="39"/>
      <c r="RTC96" s="39"/>
      <c r="RTD96" s="39"/>
      <c r="RTE96" s="39"/>
      <c r="RTF96" s="39"/>
      <c r="RTG96" s="39"/>
      <c r="RTH96" s="39"/>
      <c r="RTI96" s="39"/>
      <c r="RTJ96" s="39"/>
      <c r="RTK96" s="39"/>
      <c r="RTL96" s="39"/>
      <c r="RTM96" s="39"/>
      <c r="RTN96" s="39"/>
      <c r="RTO96" s="39"/>
      <c r="RTP96" s="39"/>
      <c r="RTQ96" s="39"/>
      <c r="RTR96" s="39"/>
      <c r="RTS96" s="39"/>
      <c r="RTT96" s="39"/>
      <c r="RTU96" s="39"/>
      <c r="RTV96" s="39"/>
      <c r="RTW96" s="39"/>
      <c r="RTX96" s="39"/>
      <c r="RTY96" s="39"/>
      <c r="RTZ96" s="39"/>
      <c r="RUA96" s="39"/>
      <c r="RUB96" s="39"/>
      <c r="RUC96" s="39"/>
      <c r="RUD96" s="39"/>
      <c r="RUE96" s="39"/>
      <c r="RUF96" s="39"/>
      <c r="RUG96" s="39"/>
      <c r="RUH96" s="39"/>
      <c r="RUI96" s="39"/>
      <c r="RUJ96" s="39"/>
      <c r="RUK96" s="39"/>
      <c r="RUL96" s="39"/>
      <c r="RUM96" s="39"/>
      <c r="RUN96" s="39"/>
      <c r="RUO96" s="39"/>
      <c r="RUP96" s="39"/>
      <c r="RUQ96" s="39"/>
      <c r="RUR96" s="39"/>
      <c r="RUS96" s="39"/>
      <c r="RUT96" s="39"/>
      <c r="RUU96" s="39"/>
      <c r="RUV96" s="39"/>
      <c r="RUW96" s="39"/>
      <c r="RUX96" s="39"/>
      <c r="RUY96" s="39"/>
      <c r="RUZ96" s="39"/>
      <c r="RVA96" s="39"/>
      <c r="RVB96" s="39"/>
      <c r="RVC96" s="39"/>
      <c r="RVD96" s="39"/>
      <c r="RVE96" s="39"/>
      <c r="RVF96" s="39"/>
      <c r="RVG96" s="39"/>
      <c r="RVH96" s="39"/>
      <c r="RVI96" s="39"/>
      <c r="RVJ96" s="39"/>
      <c r="RVK96" s="39"/>
      <c r="RVL96" s="39"/>
      <c r="RVM96" s="39"/>
      <c r="RVN96" s="39"/>
      <c r="RVO96" s="39"/>
      <c r="RVP96" s="39"/>
      <c r="RVQ96" s="39"/>
      <c r="RVR96" s="39"/>
      <c r="RVS96" s="39"/>
      <c r="RVT96" s="39"/>
      <c r="RVU96" s="39"/>
      <c r="RVV96" s="39"/>
      <c r="RVW96" s="39"/>
      <c r="RVX96" s="39"/>
      <c r="RVY96" s="39"/>
      <c r="RVZ96" s="39"/>
      <c r="RWA96" s="39"/>
      <c r="RWB96" s="39"/>
      <c r="RWC96" s="39"/>
      <c r="RWD96" s="39"/>
      <c r="RWE96" s="39"/>
      <c r="RWF96" s="39"/>
      <c r="RWG96" s="39"/>
      <c r="RWH96" s="39"/>
      <c r="RWI96" s="39"/>
      <c r="RWJ96" s="39"/>
      <c r="RWK96" s="39"/>
      <c r="RWL96" s="39"/>
      <c r="RWM96" s="39"/>
      <c r="RWN96" s="39"/>
      <c r="RWO96" s="39"/>
      <c r="RWP96" s="39"/>
      <c r="RWQ96" s="39"/>
      <c r="RWR96" s="39"/>
      <c r="RWS96" s="39"/>
      <c r="RWT96" s="39"/>
      <c r="RWU96" s="39"/>
      <c r="RWV96" s="39"/>
      <c r="RWW96" s="39"/>
      <c r="RWX96" s="39"/>
      <c r="RWY96" s="39"/>
      <c r="RWZ96" s="39"/>
      <c r="RXA96" s="39"/>
      <c r="RXB96" s="39"/>
      <c r="RXC96" s="39"/>
      <c r="RXD96" s="39"/>
      <c r="RXE96" s="39"/>
      <c r="RXF96" s="39"/>
      <c r="RXG96" s="39"/>
      <c r="RXH96" s="39"/>
      <c r="RXI96" s="39"/>
      <c r="RXJ96" s="39"/>
      <c r="RXK96" s="39"/>
      <c r="RXL96" s="39"/>
      <c r="RXM96" s="39"/>
      <c r="RXN96" s="39"/>
      <c r="RXO96" s="39"/>
      <c r="RXP96" s="39"/>
      <c r="RXQ96" s="39"/>
      <c r="RXR96" s="39"/>
      <c r="RXS96" s="39"/>
      <c r="RXT96" s="39"/>
      <c r="RXU96" s="39"/>
      <c r="RXV96" s="39"/>
      <c r="RXW96" s="39"/>
      <c r="RXX96" s="39"/>
      <c r="RXY96" s="39"/>
      <c r="RXZ96" s="39"/>
      <c r="RYA96" s="39"/>
      <c r="RYB96" s="39"/>
      <c r="RYC96" s="39"/>
      <c r="RYD96" s="39"/>
      <c r="RYE96" s="39"/>
      <c r="RYF96" s="39"/>
      <c r="RYG96" s="39"/>
      <c r="RYH96" s="39"/>
      <c r="RYI96" s="39"/>
      <c r="RYJ96" s="39"/>
      <c r="RYK96" s="39"/>
      <c r="RYL96" s="39"/>
      <c r="RYM96" s="39"/>
      <c r="RYN96" s="39"/>
      <c r="RYO96" s="39"/>
      <c r="RYP96" s="39"/>
      <c r="RYQ96" s="39"/>
      <c r="RYR96" s="39"/>
      <c r="RYS96" s="39"/>
      <c r="RYT96" s="39"/>
      <c r="RYU96" s="39"/>
      <c r="RYV96" s="39"/>
      <c r="RYW96" s="39"/>
      <c r="RYX96" s="39"/>
      <c r="RYY96" s="39"/>
      <c r="RYZ96" s="39"/>
      <c r="RZA96" s="39"/>
      <c r="RZB96" s="39"/>
      <c r="RZC96" s="39"/>
      <c r="RZD96" s="39"/>
      <c r="RZE96" s="39"/>
      <c r="RZF96" s="39"/>
      <c r="RZG96" s="39"/>
      <c r="RZH96" s="39"/>
      <c r="RZI96" s="39"/>
      <c r="RZJ96" s="39"/>
      <c r="RZK96" s="39"/>
      <c r="RZL96" s="39"/>
      <c r="RZM96" s="39"/>
      <c r="RZN96" s="39"/>
      <c r="RZO96" s="39"/>
      <c r="RZP96" s="39"/>
      <c r="RZQ96" s="39"/>
      <c r="RZR96" s="39"/>
      <c r="RZS96" s="39"/>
      <c r="RZT96" s="39"/>
      <c r="RZU96" s="39"/>
      <c r="RZV96" s="39"/>
      <c r="RZW96" s="39"/>
      <c r="RZX96" s="39"/>
      <c r="RZY96" s="39"/>
      <c r="RZZ96" s="39"/>
      <c r="SAA96" s="39"/>
      <c r="SAB96" s="39"/>
      <c r="SAC96" s="39"/>
      <c r="SAD96" s="39"/>
      <c r="SAE96" s="39"/>
      <c r="SAF96" s="39"/>
      <c r="SAG96" s="39"/>
      <c r="SAH96" s="39"/>
      <c r="SAI96" s="39"/>
      <c r="SAJ96" s="39"/>
      <c r="SAK96" s="39"/>
      <c r="SAL96" s="39"/>
      <c r="SAM96" s="39"/>
      <c r="SAN96" s="39"/>
      <c r="SAO96" s="39"/>
      <c r="SAP96" s="39"/>
      <c r="SAQ96" s="39"/>
      <c r="SAR96" s="39"/>
      <c r="SAS96" s="39"/>
      <c r="SAT96" s="39"/>
      <c r="SAU96" s="39"/>
      <c r="SAV96" s="39"/>
      <c r="SAW96" s="39"/>
      <c r="SAX96" s="39"/>
      <c r="SAY96" s="39"/>
      <c r="SAZ96" s="39"/>
      <c r="SBA96" s="39"/>
      <c r="SBB96" s="39"/>
      <c r="SBC96" s="39"/>
      <c r="SBD96" s="39"/>
      <c r="SBE96" s="39"/>
      <c r="SBF96" s="39"/>
      <c r="SBG96" s="39"/>
      <c r="SBH96" s="39"/>
      <c r="SBI96" s="39"/>
      <c r="SBJ96" s="39"/>
      <c r="SBK96" s="39"/>
      <c r="SBL96" s="39"/>
      <c r="SBM96" s="39"/>
      <c r="SBN96" s="39"/>
      <c r="SBO96" s="39"/>
      <c r="SBP96" s="39"/>
      <c r="SBQ96" s="39"/>
      <c r="SBR96" s="39"/>
      <c r="SBS96" s="39"/>
      <c r="SBT96" s="39"/>
      <c r="SBU96" s="39"/>
      <c r="SBV96" s="39"/>
      <c r="SBW96" s="39"/>
      <c r="SBX96" s="39"/>
      <c r="SBY96" s="39"/>
      <c r="SBZ96" s="39"/>
      <c r="SCA96" s="39"/>
      <c r="SCB96" s="39"/>
      <c r="SCC96" s="39"/>
      <c r="SCD96" s="39"/>
      <c r="SCE96" s="39"/>
      <c r="SCF96" s="39"/>
      <c r="SCG96" s="39"/>
      <c r="SCH96" s="39"/>
      <c r="SCI96" s="39"/>
      <c r="SCJ96" s="39"/>
      <c r="SCK96" s="39"/>
      <c r="SCL96" s="39"/>
      <c r="SCM96" s="39"/>
      <c r="SCN96" s="39"/>
      <c r="SCO96" s="39"/>
      <c r="SCP96" s="39"/>
      <c r="SCQ96" s="39"/>
      <c r="SCR96" s="39"/>
      <c r="SCS96" s="39"/>
      <c r="SCT96" s="39"/>
      <c r="SCU96" s="39"/>
      <c r="SCV96" s="39"/>
      <c r="SCW96" s="39"/>
      <c r="SCX96" s="39"/>
      <c r="SCY96" s="39"/>
      <c r="SCZ96" s="39"/>
      <c r="SDA96" s="39"/>
      <c r="SDB96" s="39"/>
      <c r="SDC96" s="39"/>
      <c r="SDD96" s="39"/>
      <c r="SDE96" s="39"/>
      <c r="SDF96" s="39"/>
      <c r="SDG96" s="39"/>
      <c r="SDH96" s="39"/>
      <c r="SDI96" s="39"/>
      <c r="SDJ96" s="39"/>
      <c r="SDK96" s="39"/>
      <c r="SDL96" s="39"/>
      <c r="SDM96" s="39"/>
      <c r="SDN96" s="39"/>
      <c r="SDO96" s="39"/>
      <c r="SDP96" s="39"/>
      <c r="SDQ96" s="39"/>
      <c r="SDR96" s="39"/>
      <c r="SDS96" s="39"/>
      <c r="SDT96" s="39"/>
      <c r="SDU96" s="39"/>
      <c r="SDV96" s="39"/>
      <c r="SDW96" s="39"/>
      <c r="SDX96" s="39"/>
      <c r="SDY96" s="39"/>
      <c r="SDZ96" s="39"/>
      <c r="SEA96" s="39"/>
      <c r="SEB96" s="39"/>
      <c r="SEC96" s="39"/>
      <c r="SED96" s="39"/>
      <c r="SEE96" s="39"/>
      <c r="SEF96" s="39"/>
      <c r="SEG96" s="39"/>
      <c r="SEH96" s="39"/>
      <c r="SEI96" s="39"/>
      <c r="SEJ96" s="39"/>
      <c r="SEK96" s="39"/>
      <c r="SEL96" s="39"/>
      <c r="SEM96" s="39"/>
      <c r="SEN96" s="39"/>
      <c r="SEO96" s="39"/>
      <c r="SEP96" s="39"/>
      <c r="SEQ96" s="39"/>
      <c r="SER96" s="39"/>
      <c r="SES96" s="39"/>
      <c r="SET96" s="39"/>
      <c r="SEU96" s="39"/>
      <c r="SEV96" s="39"/>
      <c r="SEW96" s="39"/>
      <c r="SEX96" s="39"/>
      <c r="SEY96" s="39"/>
      <c r="SEZ96" s="39"/>
      <c r="SFA96" s="39"/>
      <c r="SFB96" s="39"/>
      <c r="SFC96" s="39"/>
      <c r="SFD96" s="39"/>
      <c r="SFE96" s="39"/>
      <c r="SFF96" s="39"/>
      <c r="SFG96" s="39"/>
      <c r="SFH96" s="39"/>
      <c r="SFI96" s="39"/>
      <c r="SFJ96" s="39"/>
      <c r="SFK96" s="39"/>
      <c r="SFL96" s="39"/>
      <c r="SFM96" s="39"/>
      <c r="SFN96" s="39"/>
      <c r="SFO96" s="39"/>
      <c r="SFP96" s="39"/>
      <c r="SFQ96" s="39"/>
      <c r="SFR96" s="39"/>
      <c r="SFS96" s="39"/>
      <c r="SFT96" s="39"/>
      <c r="SFU96" s="39"/>
      <c r="SFV96" s="39"/>
      <c r="SFW96" s="39"/>
      <c r="SFX96" s="39"/>
      <c r="SFY96" s="39"/>
      <c r="SFZ96" s="39"/>
      <c r="SGA96" s="39"/>
      <c r="SGB96" s="39"/>
      <c r="SGC96" s="39"/>
      <c r="SGD96" s="39"/>
      <c r="SGE96" s="39"/>
      <c r="SGF96" s="39"/>
      <c r="SGG96" s="39"/>
      <c r="SGH96" s="39"/>
      <c r="SGI96" s="39"/>
      <c r="SGJ96" s="39"/>
      <c r="SGK96" s="39"/>
      <c r="SGL96" s="39"/>
      <c r="SGM96" s="39"/>
      <c r="SGN96" s="39"/>
      <c r="SGO96" s="39"/>
      <c r="SGP96" s="39"/>
      <c r="SGQ96" s="39"/>
      <c r="SGR96" s="39"/>
      <c r="SGS96" s="39"/>
      <c r="SGT96" s="39"/>
      <c r="SGU96" s="39"/>
      <c r="SGV96" s="39"/>
      <c r="SGW96" s="39"/>
      <c r="SGX96" s="39"/>
      <c r="SGY96" s="39"/>
      <c r="SGZ96" s="39"/>
      <c r="SHA96" s="39"/>
      <c r="SHB96" s="39"/>
      <c r="SHC96" s="39"/>
      <c r="SHD96" s="39"/>
      <c r="SHE96" s="39"/>
      <c r="SHF96" s="39"/>
      <c r="SHG96" s="39"/>
      <c r="SHH96" s="39"/>
      <c r="SHI96" s="39"/>
      <c r="SHJ96" s="39"/>
      <c r="SHK96" s="39"/>
      <c r="SHL96" s="39"/>
      <c r="SHM96" s="39"/>
      <c r="SHN96" s="39"/>
      <c r="SHO96" s="39"/>
      <c r="SHP96" s="39"/>
      <c r="SHQ96" s="39"/>
      <c r="SHR96" s="39"/>
      <c r="SHS96" s="39"/>
      <c r="SHT96" s="39"/>
      <c r="SHU96" s="39"/>
      <c r="SHV96" s="39"/>
      <c r="SHW96" s="39"/>
      <c r="SHX96" s="39"/>
      <c r="SHY96" s="39"/>
      <c r="SHZ96" s="39"/>
      <c r="SIA96" s="39"/>
      <c r="SIB96" s="39"/>
      <c r="SIC96" s="39"/>
      <c r="SID96" s="39"/>
      <c r="SIE96" s="39"/>
      <c r="SIF96" s="39"/>
      <c r="SIG96" s="39"/>
      <c r="SIH96" s="39"/>
      <c r="SII96" s="39"/>
      <c r="SIJ96" s="39"/>
      <c r="SIK96" s="39"/>
      <c r="SIL96" s="39"/>
      <c r="SIM96" s="39"/>
      <c r="SIN96" s="39"/>
      <c r="SIO96" s="39"/>
      <c r="SIP96" s="39"/>
      <c r="SIQ96" s="39"/>
      <c r="SIR96" s="39"/>
      <c r="SIS96" s="39"/>
      <c r="SIT96" s="39"/>
      <c r="SIU96" s="39"/>
      <c r="SIV96" s="39"/>
      <c r="SIW96" s="39"/>
      <c r="SIX96" s="39"/>
      <c r="SIY96" s="39"/>
      <c r="SIZ96" s="39"/>
      <c r="SJA96" s="39"/>
      <c r="SJB96" s="39"/>
      <c r="SJC96" s="39"/>
      <c r="SJD96" s="39"/>
      <c r="SJE96" s="39"/>
      <c r="SJF96" s="39"/>
      <c r="SJG96" s="39"/>
      <c r="SJH96" s="39"/>
      <c r="SJI96" s="39"/>
      <c r="SJJ96" s="39"/>
      <c r="SJK96" s="39"/>
      <c r="SJL96" s="39"/>
      <c r="SJM96" s="39"/>
      <c r="SJN96" s="39"/>
      <c r="SJO96" s="39"/>
      <c r="SJP96" s="39"/>
      <c r="SJQ96" s="39"/>
      <c r="SJR96" s="39"/>
      <c r="SJS96" s="39"/>
      <c r="SJT96" s="39"/>
      <c r="SJU96" s="39"/>
      <c r="SJV96" s="39"/>
      <c r="SJW96" s="39"/>
      <c r="SJX96" s="39"/>
      <c r="SJY96" s="39"/>
      <c r="SJZ96" s="39"/>
      <c r="SKA96" s="39"/>
      <c r="SKB96" s="39"/>
      <c r="SKC96" s="39"/>
      <c r="SKD96" s="39"/>
      <c r="SKE96" s="39"/>
      <c r="SKF96" s="39"/>
      <c r="SKG96" s="39"/>
      <c r="SKH96" s="39"/>
      <c r="SKI96" s="39"/>
      <c r="SKJ96" s="39"/>
      <c r="SKK96" s="39"/>
      <c r="SKL96" s="39"/>
      <c r="SKM96" s="39"/>
      <c r="SKN96" s="39"/>
      <c r="SKO96" s="39"/>
      <c r="SKP96" s="39"/>
      <c r="SKQ96" s="39"/>
      <c r="SKR96" s="39"/>
      <c r="SKS96" s="39"/>
      <c r="SKT96" s="39"/>
      <c r="SKU96" s="39"/>
      <c r="SKV96" s="39"/>
      <c r="SKW96" s="39"/>
      <c r="SKX96" s="39"/>
      <c r="SKY96" s="39"/>
      <c r="SKZ96" s="39"/>
      <c r="SLA96" s="39"/>
      <c r="SLB96" s="39"/>
      <c r="SLC96" s="39"/>
      <c r="SLD96" s="39"/>
      <c r="SLE96" s="39"/>
      <c r="SLF96" s="39"/>
      <c r="SLG96" s="39"/>
      <c r="SLH96" s="39"/>
      <c r="SLI96" s="39"/>
      <c r="SLJ96" s="39"/>
      <c r="SLK96" s="39"/>
      <c r="SLL96" s="39"/>
      <c r="SLM96" s="39"/>
      <c r="SLN96" s="39"/>
      <c r="SLO96" s="39"/>
      <c r="SLP96" s="39"/>
      <c r="SLQ96" s="39"/>
      <c r="SLR96" s="39"/>
      <c r="SLS96" s="39"/>
      <c r="SLT96" s="39"/>
      <c r="SLU96" s="39"/>
      <c r="SLV96" s="39"/>
      <c r="SLW96" s="39"/>
      <c r="SLX96" s="39"/>
      <c r="SLY96" s="39"/>
      <c r="SLZ96" s="39"/>
      <c r="SMA96" s="39"/>
      <c r="SMB96" s="39"/>
      <c r="SMC96" s="39"/>
      <c r="SMD96" s="39"/>
      <c r="SME96" s="39"/>
      <c r="SMF96" s="39"/>
      <c r="SMG96" s="39"/>
      <c r="SMH96" s="39"/>
      <c r="SMI96" s="39"/>
      <c r="SMJ96" s="39"/>
      <c r="SMK96" s="39"/>
      <c r="SML96" s="39"/>
      <c r="SMM96" s="39"/>
      <c r="SMN96" s="39"/>
      <c r="SMO96" s="39"/>
      <c r="SMP96" s="39"/>
      <c r="SMQ96" s="39"/>
      <c r="SMR96" s="39"/>
      <c r="SMS96" s="39"/>
      <c r="SMT96" s="39"/>
      <c r="SMU96" s="39"/>
      <c r="SMV96" s="39"/>
      <c r="SMW96" s="39"/>
      <c r="SMX96" s="39"/>
      <c r="SMY96" s="39"/>
      <c r="SMZ96" s="39"/>
      <c r="SNA96" s="39"/>
      <c r="SNB96" s="39"/>
      <c r="SNC96" s="39"/>
      <c r="SND96" s="39"/>
      <c r="SNE96" s="39"/>
      <c r="SNF96" s="39"/>
      <c r="SNG96" s="39"/>
      <c r="SNH96" s="39"/>
      <c r="SNI96" s="39"/>
      <c r="SNJ96" s="39"/>
      <c r="SNK96" s="39"/>
      <c r="SNL96" s="39"/>
      <c r="SNM96" s="39"/>
      <c r="SNN96" s="39"/>
      <c r="SNO96" s="39"/>
      <c r="SNP96" s="39"/>
      <c r="SNQ96" s="39"/>
      <c r="SNR96" s="39"/>
      <c r="SNS96" s="39"/>
      <c r="SNT96" s="39"/>
      <c r="SNU96" s="39"/>
      <c r="SNV96" s="39"/>
      <c r="SNW96" s="39"/>
      <c r="SNX96" s="39"/>
      <c r="SNY96" s="39"/>
      <c r="SNZ96" s="39"/>
      <c r="SOA96" s="39"/>
      <c r="SOB96" s="39"/>
      <c r="SOC96" s="39"/>
      <c r="SOD96" s="39"/>
      <c r="SOE96" s="39"/>
      <c r="SOF96" s="39"/>
      <c r="SOG96" s="39"/>
      <c r="SOH96" s="39"/>
      <c r="SOI96" s="39"/>
      <c r="SOJ96" s="39"/>
      <c r="SOK96" s="39"/>
      <c r="SOL96" s="39"/>
      <c r="SOM96" s="39"/>
      <c r="SON96" s="39"/>
      <c r="SOO96" s="39"/>
      <c r="SOP96" s="39"/>
      <c r="SOQ96" s="39"/>
      <c r="SOR96" s="39"/>
      <c r="SOS96" s="39"/>
      <c r="SOT96" s="39"/>
      <c r="SOU96" s="39"/>
      <c r="SOV96" s="39"/>
      <c r="SOW96" s="39"/>
      <c r="SOX96" s="39"/>
      <c r="SOY96" s="39"/>
      <c r="SOZ96" s="39"/>
      <c r="SPA96" s="39"/>
      <c r="SPB96" s="39"/>
      <c r="SPC96" s="39"/>
      <c r="SPD96" s="39"/>
      <c r="SPE96" s="39"/>
      <c r="SPF96" s="39"/>
      <c r="SPG96" s="39"/>
      <c r="SPH96" s="39"/>
      <c r="SPI96" s="39"/>
      <c r="SPJ96" s="39"/>
      <c r="SPK96" s="39"/>
      <c r="SPL96" s="39"/>
      <c r="SPM96" s="39"/>
      <c r="SPN96" s="39"/>
      <c r="SPO96" s="39"/>
      <c r="SPP96" s="39"/>
      <c r="SPQ96" s="39"/>
      <c r="SPR96" s="39"/>
      <c r="SPS96" s="39"/>
      <c r="SPT96" s="39"/>
      <c r="SPU96" s="39"/>
      <c r="SPV96" s="39"/>
      <c r="SPW96" s="39"/>
      <c r="SPX96" s="39"/>
      <c r="SPY96" s="39"/>
      <c r="SPZ96" s="39"/>
      <c r="SQA96" s="39"/>
      <c r="SQB96" s="39"/>
      <c r="SQC96" s="39"/>
      <c r="SQD96" s="39"/>
      <c r="SQE96" s="39"/>
      <c r="SQF96" s="39"/>
      <c r="SQG96" s="39"/>
      <c r="SQH96" s="39"/>
      <c r="SQI96" s="39"/>
      <c r="SQJ96" s="39"/>
      <c r="SQK96" s="39"/>
      <c r="SQL96" s="39"/>
      <c r="SQM96" s="39"/>
      <c r="SQN96" s="39"/>
      <c r="SQO96" s="39"/>
      <c r="SQP96" s="39"/>
      <c r="SQQ96" s="39"/>
      <c r="SQR96" s="39"/>
      <c r="SQS96" s="39"/>
      <c r="SQT96" s="39"/>
      <c r="SQU96" s="39"/>
      <c r="SQV96" s="39"/>
      <c r="SQW96" s="39"/>
      <c r="SQX96" s="39"/>
      <c r="SQY96" s="39"/>
      <c r="SQZ96" s="39"/>
      <c r="SRA96" s="39"/>
      <c r="SRB96" s="39"/>
      <c r="SRC96" s="39"/>
      <c r="SRD96" s="39"/>
      <c r="SRE96" s="39"/>
      <c r="SRF96" s="39"/>
      <c r="SRG96" s="39"/>
      <c r="SRH96" s="39"/>
      <c r="SRI96" s="39"/>
      <c r="SRJ96" s="39"/>
      <c r="SRK96" s="39"/>
      <c r="SRL96" s="39"/>
      <c r="SRM96" s="39"/>
      <c r="SRN96" s="39"/>
      <c r="SRO96" s="39"/>
      <c r="SRP96" s="39"/>
      <c r="SRQ96" s="39"/>
      <c r="SRR96" s="39"/>
      <c r="SRS96" s="39"/>
      <c r="SRT96" s="39"/>
      <c r="SRU96" s="39"/>
      <c r="SRV96" s="39"/>
      <c r="SRW96" s="39"/>
      <c r="SRX96" s="39"/>
      <c r="SRY96" s="39"/>
      <c r="SRZ96" s="39"/>
      <c r="SSA96" s="39"/>
      <c r="SSB96" s="39"/>
      <c r="SSC96" s="39"/>
      <c r="SSD96" s="39"/>
      <c r="SSE96" s="39"/>
      <c r="SSF96" s="39"/>
      <c r="SSG96" s="39"/>
      <c r="SSH96" s="39"/>
      <c r="SSI96" s="39"/>
      <c r="SSJ96" s="39"/>
      <c r="SSK96" s="39"/>
      <c r="SSL96" s="39"/>
      <c r="SSM96" s="39"/>
      <c r="SSN96" s="39"/>
      <c r="SSO96" s="39"/>
      <c r="SSP96" s="39"/>
      <c r="SSQ96" s="39"/>
      <c r="SSR96" s="39"/>
      <c r="SSS96" s="39"/>
      <c r="SST96" s="39"/>
      <c r="SSU96" s="39"/>
      <c r="SSV96" s="39"/>
      <c r="SSW96" s="39"/>
      <c r="SSX96" s="39"/>
      <c r="SSY96" s="39"/>
      <c r="SSZ96" s="39"/>
      <c r="STA96" s="39"/>
      <c r="STB96" s="39"/>
      <c r="STC96" s="39"/>
      <c r="STD96" s="39"/>
      <c r="STE96" s="39"/>
      <c r="STF96" s="39"/>
      <c r="STG96" s="39"/>
      <c r="STH96" s="39"/>
      <c r="STI96" s="39"/>
      <c r="STJ96" s="39"/>
      <c r="STK96" s="39"/>
      <c r="STL96" s="39"/>
      <c r="STM96" s="39"/>
      <c r="STN96" s="39"/>
      <c r="STO96" s="39"/>
      <c r="STP96" s="39"/>
      <c r="STQ96" s="39"/>
      <c r="STR96" s="39"/>
      <c r="STS96" s="39"/>
      <c r="STT96" s="39"/>
      <c r="STU96" s="39"/>
      <c r="STV96" s="39"/>
      <c r="STW96" s="39"/>
      <c r="STX96" s="39"/>
      <c r="STY96" s="39"/>
      <c r="STZ96" s="39"/>
      <c r="SUA96" s="39"/>
      <c r="SUB96" s="39"/>
      <c r="SUC96" s="39"/>
      <c r="SUD96" s="39"/>
      <c r="SUE96" s="39"/>
      <c r="SUF96" s="39"/>
      <c r="SUG96" s="39"/>
      <c r="SUH96" s="39"/>
      <c r="SUI96" s="39"/>
      <c r="SUJ96" s="39"/>
      <c r="SUK96" s="39"/>
      <c r="SUL96" s="39"/>
      <c r="SUM96" s="39"/>
      <c r="SUN96" s="39"/>
      <c r="SUO96" s="39"/>
      <c r="SUP96" s="39"/>
      <c r="SUQ96" s="39"/>
      <c r="SUR96" s="39"/>
      <c r="SUS96" s="39"/>
      <c r="SUT96" s="39"/>
      <c r="SUU96" s="39"/>
      <c r="SUV96" s="39"/>
      <c r="SUW96" s="39"/>
      <c r="SUX96" s="39"/>
      <c r="SUY96" s="39"/>
      <c r="SUZ96" s="39"/>
      <c r="SVA96" s="39"/>
      <c r="SVB96" s="39"/>
      <c r="SVC96" s="39"/>
      <c r="SVD96" s="39"/>
      <c r="SVE96" s="39"/>
      <c r="SVF96" s="39"/>
      <c r="SVG96" s="39"/>
      <c r="SVH96" s="39"/>
      <c r="SVI96" s="39"/>
      <c r="SVJ96" s="39"/>
      <c r="SVK96" s="39"/>
      <c r="SVL96" s="39"/>
      <c r="SVM96" s="39"/>
      <c r="SVN96" s="39"/>
      <c r="SVO96" s="39"/>
      <c r="SVP96" s="39"/>
      <c r="SVQ96" s="39"/>
      <c r="SVR96" s="39"/>
      <c r="SVS96" s="39"/>
      <c r="SVT96" s="39"/>
      <c r="SVU96" s="39"/>
      <c r="SVV96" s="39"/>
      <c r="SVW96" s="39"/>
      <c r="SVX96" s="39"/>
      <c r="SVY96" s="39"/>
      <c r="SVZ96" s="39"/>
      <c r="SWA96" s="39"/>
      <c r="SWB96" s="39"/>
      <c r="SWC96" s="39"/>
      <c r="SWD96" s="39"/>
      <c r="SWE96" s="39"/>
      <c r="SWF96" s="39"/>
      <c r="SWG96" s="39"/>
      <c r="SWH96" s="39"/>
      <c r="SWI96" s="39"/>
      <c r="SWJ96" s="39"/>
      <c r="SWK96" s="39"/>
      <c r="SWL96" s="39"/>
      <c r="SWM96" s="39"/>
      <c r="SWN96" s="39"/>
      <c r="SWO96" s="39"/>
      <c r="SWP96" s="39"/>
      <c r="SWQ96" s="39"/>
      <c r="SWR96" s="39"/>
      <c r="SWS96" s="39"/>
      <c r="SWT96" s="39"/>
      <c r="SWU96" s="39"/>
      <c r="SWV96" s="39"/>
      <c r="SWW96" s="39"/>
      <c r="SWX96" s="39"/>
      <c r="SWY96" s="39"/>
      <c r="SWZ96" s="39"/>
      <c r="SXA96" s="39"/>
      <c r="SXB96" s="39"/>
      <c r="SXC96" s="39"/>
      <c r="SXD96" s="39"/>
      <c r="SXE96" s="39"/>
      <c r="SXF96" s="39"/>
      <c r="SXG96" s="39"/>
      <c r="SXH96" s="39"/>
      <c r="SXI96" s="39"/>
      <c r="SXJ96" s="39"/>
      <c r="SXK96" s="39"/>
      <c r="SXL96" s="39"/>
      <c r="SXM96" s="39"/>
      <c r="SXN96" s="39"/>
      <c r="SXO96" s="39"/>
      <c r="SXP96" s="39"/>
      <c r="SXQ96" s="39"/>
      <c r="SXR96" s="39"/>
      <c r="SXS96" s="39"/>
      <c r="SXT96" s="39"/>
      <c r="SXU96" s="39"/>
      <c r="SXV96" s="39"/>
      <c r="SXW96" s="39"/>
      <c r="SXX96" s="39"/>
      <c r="SXY96" s="39"/>
      <c r="SXZ96" s="39"/>
      <c r="SYA96" s="39"/>
      <c r="SYB96" s="39"/>
      <c r="SYC96" s="39"/>
      <c r="SYD96" s="39"/>
      <c r="SYE96" s="39"/>
      <c r="SYF96" s="39"/>
      <c r="SYG96" s="39"/>
      <c r="SYH96" s="39"/>
      <c r="SYI96" s="39"/>
      <c r="SYJ96" s="39"/>
      <c r="SYK96" s="39"/>
      <c r="SYL96" s="39"/>
      <c r="SYM96" s="39"/>
      <c r="SYN96" s="39"/>
      <c r="SYO96" s="39"/>
      <c r="SYP96" s="39"/>
      <c r="SYQ96" s="39"/>
      <c r="SYR96" s="39"/>
      <c r="SYS96" s="39"/>
      <c r="SYT96" s="39"/>
      <c r="SYU96" s="39"/>
      <c r="SYV96" s="39"/>
      <c r="SYW96" s="39"/>
      <c r="SYX96" s="39"/>
      <c r="SYY96" s="39"/>
      <c r="SYZ96" s="39"/>
      <c r="SZA96" s="39"/>
      <c r="SZB96" s="39"/>
      <c r="SZC96" s="39"/>
      <c r="SZD96" s="39"/>
      <c r="SZE96" s="39"/>
      <c r="SZF96" s="39"/>
      <c r="SZG96" s="39"/>
      <c r="SZH96" s="39"/>
      <c r="SZI96" s="39"/>
      <c r="SZJ96" s="39"/>
      <c r="SZK96" s="39"/>
      <c r="SZL96" s="39"/>
      <c r="SZM96" s="39"/>
      <c r="SZN96" s="39"/>
      <c r="SZO96" s="39"/>
      <c r="SZP96" s="39"/>
      <c r="SZQ96" s="39"/>
      <c r="SZR96" s="39"/>
      <c r="SZS96" s="39"/>
      <c r="SZT96" s="39"/>
      <c r="SZU96" s="39"/>
      <c r="SZV96" s="39"/>
      <c r="SZW96" s="39"/>
      <c r="SZX96" s="39"/>
      <c r="SZY96" s="39"/>
      <c r="SZZ96" s="39"/>
      <c r="TAA96" s="39"/>
      <c r="TAB96" s="39"/>
      <c r="TAC96" s="39"/>
      <c r="TAD96" s="39"/>
      <c r="TAE96" s="39"/>
      <c r="TAF96" s="39"/>
      <c r="TAG96" s="39"/>
      <c r="TAH96" s="39"/>
      <c r="TAI96" s="39"/>
      <c r="TAJ96" s="39"/>
      <c r="TAK96" s="39"/>
      <c r="TAL96" s="39"/>
      <c r="TAM96" s="39"/>
      <c r="TAN96" s="39"/>
      <c r="TAO96" s="39"/>
      <c r="TAP96" s="39"/>
      <c r="TAQ96" s="39"/>
      <c r="TAR96" s="39"/>
      <c r="TAS96" s="39"/>
      <c r="TAT96" s="39"/>
      <c r="TAU96" s="39"/>
      <c r="TAV96" s="39"/>
      <c r="TAW96" s="39"/>
      <c r="TAX96" s="39"/>
      <c r="TAY96" s="39"/>
      <c r="TAZ96" s="39"/>
      <c r="TBA96" s="39"/>
      <c r="TBB96" s="39"/>
      <c r="TBC96" s="39"/>
      <c r="TBD96" s="39"/>
      <c r="TBE96" s="39"/>
      <c r="TBF96" s="39"/>
      <c r="TBG96" s="39"/>
      <c r="TBH96" s="39"/>
      <c r="TBI96" s="39"/>
      <c r="TBJ96" s="39"/>
      <c r="TBK96" s="39"/>
      <c r="TBL96" s="39"/>
      <c r="TBM96" s="39"/>
      <c r="TBN96" s="39"/>
      <c r="TBO96" s="39"/>
      <c r="TBP96" s="39"/>
      <c r="TBQ96" s="39"/>
      <c r="TBR96" s="39"/>
      <c r="TBS96" s="39"/>
      <c r="TBT96" s="39"/>
      <c r="TBU96" s="39"/>
      <c r="TBV96" s="39"/>
      <c r="TBW96" s="39"/>
      <c r="TBX96" s="39"/>
      <c r="TBY96" s="39"/>
      <c r="TBZ96" s="39"/>
      <c r="TCA96" s="39"/>
      <c r="TCB96" s="39"/>
      <c r="TCC96" s="39"/>
      <c r="TCD96" s="39"/>
      <c r="TCE96" s="39"/>
      <c r="TCF96" s="39"/>
      <c r="TCG96" s="39"/>
      <c r="TCH96" s="39"/>
      <c r="TCI96" s="39"/>
      <c r="TCJ96" s="39"/>
      <c r="TCK96" s="39"/>
      <c r="TCL96" s="39"/>
      <c r="TCM96" s="39"/>
      <c r="TCN96" s="39"/>
      <c r="TCO96" s="39"/>
      <c r="TCP96" s="39"/>
      <c r="TCQ96" s="39"/>
      <c r="TCR96" s="39"/>
      <c r="TCS96" s="39"/>
      <c r="TCT96" s="39"/>
      <c r="TCU96" s="39"/>
      <c r="TCV96" s="39"/>
      <c r="TCW96" s="39"/>
      <c r="TCX96" s="39"/>
      <c r="TCY96" s="39"/>
      <c r="TCZ96" s="39"/>
      <c r="TDA96" s="39"/>
      <c r="TDB96" s="39"/>
      <c r="TDC96" s="39"/>
      <c r="TDD96" s="39"/>
      <c r="TDE96" s="39"/>
      <c r="TDF96" s="39"/>
      <c r="TDG96" s="39"/>
      <c r="TDH96" s="39"/>
      <c r="TDI96" s="39"/>
      <c r="TDJ96" s="39"/>
      <c r="TDK96" s="39"/>
      <c r="TDL96" s="39"/>
      <c r="TDM96" s="39"/>
      <c r="TDN96" s="39"/>
      <c r="TDO96" s="39"/>
      <c r="TDP96" s="39"/>
      <c r="TDQ96" s="39"/>
      <c r="TDR96" s="39"/>
      <c r="TDS96" s="39"/>
      <c r="TDT96" s="39"/>
      <c r="TDU96" s="39"/>
      <c r="TDV96" s="39"/>
      <c r="TDW96" s="39"/>
      <c r="TDX96" s="39"/>
      <c r="TDY96" s="39"/>
      <c r="TDZ96" s="39"/>
      <c r="TEA96" s="39"/>
      <c r="TEB96" s="39"/>
      <c r="TEC96" s="39"/>
      <c r="TED96" s="39"/>
      <c r="TEE96" s="39"/>
      <c r="TEF96" s="39"/>
      <c r="TEG96" s="39"/>
      <c r="TEH96" s="39"/>
      <c r="TEI96" s="39"/>
      <c r="TEJ96" s="39"/>
      <c r="TEK96" s="39"/>
      <c r="TEL96" s="39"/>
      <c r="TEM96" s="39"/>
      <c r="TEN96" s="39"/>
      <c r="TEO96" s="39"/>
      <c r="TEP96" s="39"/>
      <c r="TEQ96" s="39"/>
      <c r="TER96" s="39"/>
      <c r="TES96" s="39"/>
      <c r="TET96" s="39"/>
      <c r="TEU96" s="39"/>
      <c r="TEV96" s="39"/>
      <c r="TEW96" s="39"/>
      <c r="TEX96" s="39"/>
      <c r="TEY96" s="39"/>
      <c r="TEZ96" s="39"/>
      <c r="TFA96" s="39"/>
      <c r="TFB96" s="39"/>
      <c r="TFC96" s="39"/>
      <c r="TFD96" s="39"/>
      <c r="TFE96" s="39"/>
      <c r="TFF96" s="39"/>
      <c r="TFG96" s="39"/>
      <c r="TFH96" s="39"/>
      <c r="TFI96" s="39"/>
      <c r="TFJ96" s="39"/>
      <c r="TFK96" s="39"/>
      <c r="TFL96" s="39"/>
      <c r="TFM96" s="39"/>
      <c r="TFN96" s="39"/>
      <c r="TFO96" s="39"/>
      <c r="TFP96" s="39"/>
      <c r="TFQ96" s="39"/>
      <c r="TFR96" s="39"/>
      <c r="TFS96" s="39"/>
      <c r="TFT96" s="39"/>
      <c r="TFU96" s="39"/>
      <c r="TFV96" s="39"/>
      <c r="TFW96" s="39"/>
      <c r="TFX96" s="39"/>
      <c r="TFY96" s="39"/>
      <c r="TFZ96" s="39"/>
      <c r="TGA96" s="39"/>
      <c r="TGB96" s="39"/>
      <c r="TGC96" s="39"/>
      <c r="TGD96" s="39"/>
      <c r="TGE96" s="39"/>
      <c r="TGF96" s="39"/>
      <c r="TGG96" s="39"/>
      <c r="TGH96" s="39"/>
      <c r="TGI96" s="39"/>
      <c r="TGJ96" s="39"/>
      <c r="TGK96" s="39"/>
      <c r="TGL96" s="39"/>
      <c r="TGM96" s="39"/>
      <c r="TGN96" s="39"/>
      <c r="TGO96" s="39"/>
      <c r="TGP96" s="39"/>
      <c r="TGQ96" s="39"/>
      <c r="TGR96" s="39"/>
      <c r="TGS96" s="39"/>
      <c r="TGT96" s="39"/>
      <c r="TGU96" s="39"/>
      <c r="TGV96" s="39"/>
      <c r="TGW96" s="39"/>
      <c r="TGX96" s="39"/>
      <c r="TGY96" s="39"/>
      <c r="TGZ96" s="39"/>
      <c r="THA96" s="39"/>
      <c r="THB96" s="39"/>
      <c r="THC96" s="39"/>
      <c r="THD96" s="39"/>
      <c r="THE96" s="39"/>
      <c r="THF96" s="39"/>
      <c r="THG96" s="39"/>
      <c r="THH96" s="39"/>
      <c r="THI96" s="39"/>
      <c r="THJ96" s="39"/>
      <c r="THK96" s="39"/>
      <c r="THL96" s="39"/>
      <c r="THM96" s="39"/>
      <c r="THN96" s="39"/>
      <c r="THO96" s="39"/>
      <c r="THP96" s="39"/>
      <c r="THQ96" s="39"/>
      <c r="THR96" s="39"/>
      <c r="THS96" s="39"/>
      <c r="THT96" s="39"/>
      <c r="THU96" s="39"/>
      <c r="THV96" s="39"/>
      <c r="THW96" s="39"/>
      <c r="THX96" s="39"/>
      <c r="THY96" s="39"/>
      <c r="THZ96" s="39"/>
      <c r="TIA96" s="39"/>
      <c r="TIB96" s="39"/>
      <c r="TIC96" s="39"/>
      <c r="TID96" s="39"/>
      <c r="TIE96" s="39"/>
      <c r="TIF96" s="39"/>
      <c r="TIG96" s="39"/>
      <c r="TIH96" s="39"/>
      <c r="TII96" s="39"/>
      <c r="TIJ96" s="39"/>
      <c r="TIK96" s="39"/>
      <c r="TIL96" s="39"/>
      <c r="TIM96" s="39"/>
      <c r="TIN96" s="39"/>
      <c r="TIO96" s="39"/>
      <c r="TIP96" s="39"/>
      <c r="TIQ96" s="39"/>
      <c r="TIR96" s="39"/>
      <c r="TIS96" s="39"/>
      <c r="TIT96" s="39"/>
      <c r="TIU96" s="39"/>
      <c r="TIV96" s="39"/>
      <c r="TIW96" s="39"/>
      <c r="TIX96" s="39"/>
      <c r="TIY96" s="39"/>
      <c r="TIZ96" s="39"/>
      <c r="TJA96" s="39"/>
      <c r="TJB96" s="39"/>
      <c r="TJC96" s="39"/>
      <c r="TJD96" s="39"/>
      <c r="TJE96" s="39"/>
      <c r="TJF96" s="39"/>
      <c r="TJG96" s="39"/>
      <c r="TJH96" s="39"/>
      <c r="TJI96" s="39"/>
      <c r="TJJ96" s="39"/>
      <c r="TJK96" s="39"/>
      <c r="TJL96" s="39"/>
      <c r="TJM96" s="39"/>
      <c r="TJN96" s="39"/>
      <c r="TJO96" s="39"/>
      <c r="TJP96" s="39"/>
      <c r="TJQ96" s="39"/>
      <c r="TJR96" s="39"/>
      <c r="TJS96" s="39"/>
      <c r="TJT96" s="39"/>
      <c r="TJU96" s="39"/>
      <c r="TJV96" s="39"/>
      <c r="TJW96" s="39"/>
      <c r="TJX96" s="39"/>
      <c r="TJY96" s="39"/>
      <c r="TJZ96" s="39"/>
      <c r="TKA96" s="39"/>
      <c r="TKB96" s="39"/>
      <c r="TKC96" s="39"/>
      <c r="TKD96" s="39"/>
      <c r="TKE96" s="39"/>
      <c r="TKF96" s="39"/>
      <c r="TKG96" s="39"/>
      <c r="TKH96" s="39"/>
      <c r="TKI96" s="39"/>
      <c r="TKJ96" s="39"/>
      <c r="TKK96" s="39"/>
      <c r="TKL96" s="39"/>
      <c r="TKM96" s="39"/>
      <c r="TKN96" s="39"/>
      <c r="TKO96" s="39"/>
      <c r="TKP96" s="39"/>
      <c r="TKQ96" s="39"/>
      <c r="TKR96" s="39"/>
      <c r="TKS96" s="39"/>
      <c r="TKT96" s="39"/>
      <c r="TKU96" s="39"/>
      <c r="TKV96" s="39"/>
      <c r="TKW96" s="39"/>
      <c r="TKX96" s="39"/>
      <c r="TKY96" s="39"/>
      <c r="TKZ96" s="39"/>
      <c r="TLA96" s="39"/>
      <c r="TLB96" s="39"/>
      <c r="TLC96" s="39"/>
      <c r="TLD96" s="39"/>
      <c r="TLE96" s="39"/>
      <c r="TLF96" s="39"/>
      <c r="TLG96" s="39"/>
      <c r="TLH96" s="39"/>
      <c r="TLI96" s="39"/>
      <c r="TLJ96" s="39"/>
      <c r="TLK96" s="39"/>
      <c r="TLL96" s="39"/>
      <c r="TLM96" s="39"/>
      <c r="TLN96" s="39"/>
      <c r="TLO96" s="39"/>
      <c r="TLP96" s="39"/>
      <c r="TLQ96" s="39"/>
      <c r="TLR96" s="39"/>
      <c r="TLS96" s="39"/>
      <c r="TLT96" s="39"/>
      <c r="TLU96" s="39"/>
      <c r="TLV96" s="39"/>
      <c r="TLW96" s="39"/>
      <c r="TLX96" s="39"/>
      <c r="TLY96" s="39"/>
      <c r="TLZ96" s="39"/>
      <c r="TMA96" s="39"/>
      <c r="TMB96" s="39"/>
      <c r="TMC96" s="39"/>
      <c r="TMD96" s="39"/>
      <c r="TME96" s="39"/>
      <c r="TMF96" s="39"/>
      <c r="TMG96" s="39"/>
      <c r="TMH96" s="39"/>
      <c r="TMI96" s="39"/>
      <c r="TMJ96" s="39"/>
      <c r="TMK96" s="39"/>
      <c r="TML96" s="39"/>
      <c r="TMM96" s="39"/>
      <c r="TMN96" s="39"/>
      <c r="TMO96" s="39"/>
      <c r="TMP96" s="39"/>
      <c r="TMQ96" s="39"/>
      <c r="TMR96" s="39"/>
      <c r="TMS96" s="39"/>
      <c r="TMT96" s="39"/>
      <c r="TMU96" s="39"/>
      <c r="TMV96" s="39"/>
      <c r="TMW96" s="39"/>
      <c r="TMX96" s="39"/>
      <c r="TMY96" s="39"/>
      <c r="TMZ96" s="39"/>
      <c r="TNA96" s="39"/>
      <c r="TNB96" s="39"/>
      <c r="TNC96" s="39"/>
      <c r="TND96" s="39"/>
      <c r="TNE96" s="39"/>
      <c r="TNF96" s="39"/>
      <c r="TNG96" s="39"/>
      <c r="TNH96" s="39"/>
      <c r="TNI96" s="39"/>
      <c r="TNJ96" s="39"/>
      <c r="TNK96" s="39"/>
      <c r="TNL96" s="39"/>
      <c r="TNM96" s="39"/>
      <c r="TNN96" s="39"/>
      <c r="TNO96" s="39"/>
      <c r="TNP96" s="39"/>
      <c r="TNQ96" s="39"/>
      <c r="TNR96" s="39"/>
      <c r="TNS96" s="39"/>
      <c r="TNT96" s="39"/>
      <c r="TNU96" s="39"/>
      <c r="TNV96" s="39"/>
      <c r="TNW96" s="39"/>
      <c r="TNX96" s="39"/>
      <c r="TNY96" s="39"/>
      <c r="TNZ96" s="39"/>
      <c r="TOA96" s="39"/>
      <c r="TOB96" s="39"/>
      <c r="TOC96" s="39"/>
      <c r="TOD96" s="39"/>
      <c r="TOE96" s="39"/>
      <c r="TOF96" s="39"/>
      <c r="TOG96" s="39"/>
      <c r="TOH96" s="39"/>
      <c r="TOI96" s="39"/>
      <c r="TOJ96" s="39"/>
      <c r="TOK96" s="39"/>
      <c r="TOL96" s="39"/>
      <c r="TOM96" s="39"/>
      <c r="TON96" s="39"/>
      <c r="TOO96" s="39"/>
      <c r="TOP96" s="39"/>
      <c r="TOQ96" s="39"/>
      <c r="TOR96" s="39"/>
      <c r="TOS96" s="39"/>
      <c r="TOT96" s="39"/>
      <c r="TOU96" s="39"/>
      <c r="TOV96" s="39"/>
      <c r="TOW96" s="39"/>
      <c r="TOX96" s="39"/>
      <c r="TOY96" s="39"/>
      <c r="TOZ96" s="39"/>
      <c r="TPA96" s="39"/>
      <c r="TPB96" s="39"/>
      <c r="TPC96" s="39"/>
      <c r="TPD96" s="39"/>
      <c r="TPE96" s="39"/>
      <c r="TPF96" s="39"/>
      <c r="TPG96" s="39"/>
      <c r="TPH96" s="39"/>
      <c r="TPI96" s="39"/>
      <c r="TPJ96" s="39"/>
      <c r="TPK96" s="39"/>
      <c r="TPL96" s="39"/>
      <c r="TPM96" s="39"/>
      <c r="TPN96" s="39"/>
      <c r="TPO96" s="39"/>
      <c r="TPP96" s="39"/>
      <c r="TPQ96" s="39"/>
      <c r="TPR96" s="39"/>
      <c r="TPS96" s="39"/>
      <c r="TPT96" s="39"/>
      <c r="TPU96" s="39"/>
      <c r="TPV96" s="39"/>
      <c r="TPW96" s="39"/>
      <c r="TPX96" s="39"/>
      <c r="TPY96" s="39"/>
      <c r="TPZ96" s="39"/>
      <c r="TQA96" s="39"/>
      <c r="TQB96" s="39"/>
      <c r="TQC96" s="39"/>
      <c r="TQD96" s="39"/>
      <c r="TQE96" s="39"/>
      <c r="TQF96" s="39"/>
      <c r="TQG96" s="39"/>
      <c r="TQH96" s="39"/>
      <c r="TQI96" s="39"/>
      <c r="TQJ96" s="39"/>
      <c r="TQK96" s="39"/>
      <c r="TQL96" s="39"/>
      <c r="TQM96" s="39"/>
      <c r="TQN96" s="39"/>
      <c r="TQO96" s="39"/>
      <c r="TQP96" s="39"/>
      <c r="TQQ96" s="39"/>
      <c r="TQR96" s="39"/>
      <c r="TQS96" s="39"/>
      <c r="TQT96" s="39"/>
      <c r="TQU96" s="39"/>
      <c r="TQV96" s="39"/>
      <c r="TQW96" s="39"/>
      <c r="TQX96" s="39"/>
      <c r="TQY96" s="39"/>
      <c r="TQZ96" s="39"/>
      <c r="TRA96" s="39"/>
      <c r="TRB96" s="39"/>
      <c r="TRC96" s="39"/>
      <c r="TRD96" s="39"/>
      <c r="TRE96" s="39"/>
      <c r="TRF96" s="39"/>
      <c r="TRG96" s="39"/>
      <c r="TRH96" s="39"/>
      <c r="TRI96" s="39"/>
      <c r="TRJ96" s="39"/>
      <c r="TRK96" s="39"/>
      <c r="TRL96" s="39"/>
      <c r="TRM96" s="39"/>
      <c r="TRN96" s="39"/>
      <c r="TRO96" s="39"/>
      <c r="TRP96" s="39"/>
      <c r="TRQ96" s="39"/>
      <c r="TRR96" s="39"/>
      <c r="TRS96" s="39"/>
      <c r="TRT96" s="39"/>
      <c r="TRU96" s="39"/>
      <c r="TRV96" s="39"/>
      <c r="TRW96" s="39"/>
      <c r="TRX96" s="39"/>
      <c r="TRY96" s="39"/>
      <c r="TRZ96" s="39"/>
      <c r="TSA96" s="39"/>
      <c r="TSB96" s="39"/>
      <c r="TSC96" s="39"/>
      <c r="TSD96" s="39"/>
      <c r="TSE96" s="39"/>
      <c r="TSF96" s="39"/>
      <c r="TSG96" s="39"/>
      <c r="TSH96" s="39"/>
      <c r="TSI96" s="39"/>
      <c r="TSJ96" s="39"/>
      <c r="TSK96" s="39"/>
      <c r="TSL96" s="39"/>
      <c r="TSM96" s="39"/>
      <c r="TSN96" s="39"/>
      <c r="TSO96" s="39"/>
      <c r="TSP96" s="39"/>
      <c r="TSQ96" s="39"/>
      <c r="TSR96" s="39"/>
      <c r="TSS96" s="39"/>
      <c r="TST96" s="39"/>
      <c r="TSU96" s="39"/>
      <c r="TSV96" s="39"/>
      <c r="TSW96" s="39"/>
      <c r="TSX96" s="39"/>
      <c r="TSY96" s="39"/>
      <c r="TSZ96" s="39"/>
      <c r="TTA96" s="39"/>
      <c r="TTB96" s="39"/>
      <c r="TTC96" s="39"/>
      <c r="TTD96" s="39"/>
      <c r="TTE96" s="39"/>
      <c r="TTF96" s="39"/>
      <c r="TTG96" s="39"/>
      <c r="TTH96" s="39"/>
      <c r="TTI96" s="39"/>
      <c r="TTJ96" s="39"/>
      <c r="TTK96" s="39"/>
      <c r="TTL96" s="39"/>
      <c r="TTM96" s="39"/>
      <c r="TTN96" s="39"/>
      <c r="TTO96" s="39"/>
      <c r="TTP96" s="39"/>
      <c r="TTQ96" s="39"/>
      <c r="TTR96" s="39"/>
      <c r="TTS96" s="39"/>
      <c r="TTT96" s="39"/>
      <c r="TTU96" s="39"/>
      <c r="TTV96" s="39"/>
      <c r="TTW96" s="39"/>
      <c r="TTX96" s="39"/>
      <c r="TTY96" s="39"/>
      <c r="TTZ96" s="39"/>
      <c r="TUA96" s="39"/>
      <c r="TUB96" s="39"/>
      <c r="TUC96" s="39"/>
      <c r="TUD96" s="39"/>
      <c r="TUE96" s="39"/>
      <c r="TUF96" s="39"/>
      <c r="TUG96" s="39"/>
      <c r="TUH96" s="39"/>
      <c r="TUI96" s="39"/>
      <c r="TUJ96" s="39"/>
      <c r="TUK96" s="39"/>
      <c r="TUL96" s="39"/>
      <c r="TUM96" s="39"/>
      <c r="TUN96" s="39"/>
      <c r="TUO96" s="39"/>
      <c r="TUP96" s="39"/>
      <c r="TUQ96" s="39"/>
      <c r="TUR96" s="39"/>
      <c r="TUS96" s="39"/>
      <c r="TUT96" s="39"/>
      <c r="TUU96" s="39"/>
      <c r="TUV96" s="39"/>
      <c r="TUW96" s="39"/>
      <c r="TUX96" s="39"/>
      <c r="TUY96" s="39"/>
      <c r="TUZ96" s="39"/>
      <c r="TVA96" s="39"/>
      <c r="TVB96" s="39"/>
      <c r="TVC96" s="39"/>
      <c r="TVD96" s="39"/>
      <c r="TVE96" s="39"/>
      <c r="TVF96" s="39"/>
      <c r="TVG96" s="39"/>
      <c r="TVH96" s="39"/>
      <c r="TVI96" s="39"/>
      <c r="TVJ96" s="39"/>
      <c r="TVK96" s="39"/>
      <c r="TVL96" s="39"/>
      <c r="TVM96" s="39"/>
      <c r="TVN96" s="39"/>
      <c r="TVO96" s="39"/>
      <c r="TVP96" s="39"/>
      <c r="TVQ96" s="39"/>
      <c r="TVR96" s="39"/>
      <c r="TVS96" s="39"/>
      <c r="TVT96" s="39"/>
      <c r="TVU96" s="39"/>
      <c r="TVV96" s="39"/>
      <c r="TVW96" s="39"/>
      <c r="TVX96" s="39"/>
      <c r="TVY96" s="39"/>
      <c r="TVZ96" s="39"/>
      <c r="TWA96" s="39"/>
      <c r="TWB96" s="39"/>
      <c r="TWC96" s="39"/>
      <c r="TWD96" s="39"/>
      <c r="TWE96" s="39"/>
      <c r="TWF96" s="39"/>
      <c r="TWG96" s="39"/>
      <c r="TWH96" s="39"/>
      <c r="TWI96" s="39"/>
      <c r="TWJ96" s="39"/>
      <c r="TWK96" s="39"/>
      <c r="TWL96" s="39"/>
      <c r="TWM96" s="39"/>
      <c r="TWN96" s="39"/>
      <c r="TWO96" s="39"/>
      <c r="TWP96" s="39"/>
      <c r="TWQ96" s="39"/>
      <c r="TWR96" s="39"/>
      <c r="TWS96" s="39"/>
      <c r="TWT96" s="39"/>
      <c r="TWU96" s="39"/>
      <c r="TWV96" s="39"/>
      <c r="TWW96" s="39"/>
      <c r="TWX96" s="39"/>
      <c r="TWY96" s="39"/>
      <c r="TWZ96" s="39"/>
      <c r="TXA96" s="39"/>
      <c r="TXB96" s="39"/>
      <c r="TXC96" s="39"/>
      <c r="TXD96" s="39"/>
      <c r="TXE96" s="39"/>
      <c r="TXF96" s="39"/>
      <c r="TXG96" s="39"/>
      <c r="TXH96" s="39"/>
      <c r="TXI96" s="39"/>
      <c r="TXJ96" s="39"/>
      <c r="TXK96" s="39"/>
      <c r="TXL96" s="39"/>
      <c r="TXM96" s="39"/>
      <c r="TXN96" s="39"/>
      <c r="TXO96" s="39"/>
      <c r="TXP96" s="39"/>
      <c r="TXQ96" s="39"/>
      <c r="TXR96" s="39"/>
      <c r="TXS96" s="39"/>
      <c r="TXT96" s="39"/>
      <c r="TXU96" s="39"/>
      <c r="TXV96" s="39"/>
      <c r="TXW96" s="39"/>
      <c r="TXX96" s="39"/>
      <c r="TXY96" s="39"/>
      <c r="TXZ96" s="39"/>
      <c r="TYA96" s="39"/>
      <c r="TYB96" s="39"/>
      <c r="TYC96" s="39"/>
      <c r="TYD96" s="39"/>
      <c r="TYE96" s="39"/>
      <c r="TYF96" s="39"/>
      <c r="TYG96" s="39"/>
      <c r="TYH96" s="39"/>
      <c r="TYI96" s="39"/>
      <c r="TYJ96" s="39"/>
      <c r="TYK96" s="39"/>
      <c r="TYL96" s="39"/>
      <c r="TYM96" s="39"/>
      <c r="TYN96" s="39"/>
      <c r="TYO96" s="39"/>
      <c r="TYP96" s="39"/>
      <c r="TYQ96" s="39"/>
      <c r="TYR96" s="39"/>
      <c r="TYS96" s="39"/>
      <c r="TYT96" s="39"/>
      <c r="TYU96" s="39"/>
      <c r="TYV96" s="39"/>
      <c r="TYW96" s="39"/>
      <c r="TYX96" s="39"/>
      <c r="TYY96" s="39"/>
      <c r="TYZ96" s="39"/>
      <c r="TZA96" s="39"/>
      <c r="TZB96" s="39"/>
      <c r="TZC96" s="39"/>
      <c r="TZD96" s="39"/>
      <c r="TZE96" s="39"/>
      <c r="TZF96" s="39"/>
      <c r="TZG96" s="39"/>
      <c r="TZH96" s="39"/>
      <c r="TZI96" s="39"/>
      <c r="TZJ96" s="39"/>
      <c r="TZK96" s="39"/>
      <c r="TZL96" s="39"/>
      <c r="TZM96" s="39"/>
      <c r="TZN96" s="39"/>
      <c r="TZO96" s="39"/>
      <c r="TZP96" s="39"/>
      <c r="TZQ96" s="39"/>
      <c r="TZR96" s="39"/>
      <c r="TZS96" s="39"/>
      <c r="TZT96" s="39"/>
      <c r="TZU96" s="39"/>
      <c r="TZV96" s="39"/>
      <c r="TZW96" s="39"/>
      <c r="TZX96" s="39"/>
      <c r="TZY96" s="39"/>
      <c r="TZZ96" s="39"/>
      <c r="UAA96" s="39"/>
      <c r="UAB96" s="39"/>
      <c r="UAC96" s="39"/>
      <c r="UAD96" s="39"/>
      <c r="UAE96" s="39"/>
      <c r="UAF96" s="39"/>
      <c r="UAG96" s="39"/>
      <c r="UAH96" s="39"/>
      <c r="UAI96" s="39"/>
      <c r="UAJ96" s="39"/>
      <c r="UAK96" s="39"/>
      <c r="UAL96" s="39"/>
      <c r="UAM96" s="39"/>
      <c r="UAN96" s="39"/>
      <c r="UAO96" s="39"/>
      <c r="UAP96" s="39"/>
      <c r="UAQ96" s="39"/>
      <c r="UAR96" s="39"/>
      <c r="UAS96" s="39"/>
      <c r="UAT96" s="39"/>
      <c r="UAU96" s="39"/>
      <c r="UAV96" s="39"/>
      <c r="UAW96" s="39"/>
      <c r="UAX96" s="39"/>
      <c r="UAY96" s="39"/>
      <c r="UAZ96" s="39"/>
      <c r="UBA96" s="39"/>
      <c r="UBB96" s="39"/>
      <c r="UBC96" s="39"/>
      <c r="UBD96" s="39"/>
      <c r="UBE96" s="39"/>
      <c r="UBF96" s="39"/>
      <c r="UBG96" s="39"/>
      <c r="UBH96" s="39"/>
      <c r="UBI96" s="39"/>
      <c r="UBJ96" s="39"/>
      <c r="UBK96" s="39"/>
      <c r="UBL96" s="39"/>
      <c r="UBM96" s="39"/>
      <c r="UBN96" s="39"/>
      <c r="UBO96" s="39"/>
      <c r="UBP96" s="39"/>
      <c r="UBQ96" s="39"/>
      <c r="UBR96" s="39"/>
      <c r="UBS96" s="39"/>
      <c r="UBT96" s="39"/>
      <c r="UBU96" s="39"/>
      <c r="UBV96" s="39"/>
      <c r="UBW96" s="39"/>
      <c r="UBX96" s="39"/>
      <c r="UBY96" s="39"/>
      <c r="UBZ96" s="39"/>
      <c r="UCA96" s="39"/>
      <c r="UCB96" s="39"/>
      <c r="UCC96" s="39"/>
      <c r="UCD96" s="39"/>
      <c r="UCE96" s="39"/>
      <c r="UCF96" s="39"/>
      <c r="UCG96" s="39"/>
      <c r="UCH96" s="39"/>
      <c r="UCI96" s="39"/>
      <c r="UCJ96" s="39"/>
      <c r="UCK96" s="39"/>
      <c r="UCL96" s="39"/>
      <c r="UCM96" s="39"/>
      <c r="UCN96" s="39"/>
      <c r="UCO96" s="39"/>
      <c r="UCP96" s="39"/>
      <c r="UCQ96" s="39"/>
      <c r="UCR96" s="39"/>
      <c r="UCS96" s="39"/>
      <c r="UCT96" s="39"/>
      <c r="UCU96" s="39"/>
      <c r="UCV96" s="39"/>
      <c r="UCW96" s="39"/>
      <c r="UCX96" s="39"/>
      <c r="UCY96" s="39"/>
      <c r="UCZ96" s="39"/>
      <c r="UDA96" s="39"/>
      <c r="UDB96" s="39"/>
      <c r="UDC96" s="39"/>
      <c r="UDD96" s="39"/>
      <c r="UDE96" s="39"/>
      <c r="UDF96" s="39"/>
      <c r="UDG96" s="39"/>
      <c r="UDH96" s="39"/>
      <c r="UDI96" s="39"/>
      <c r="UDJ96" s="39"/>
      <c r="UDK96" s="39"/>
      <c r="UDL96" s="39"/>
      <c r="UDM96" s="39"/>
      <c r="UDN96" s="39"/>
      <c r="UDO96" s="39"/>
      <c r="UDP96" s="39"/>
      <c r="UDQ96" s="39"/>
      <c r="UDR96" s="39"/>
      <c r="UDS96" s="39"/>
      <c r="UDT96" s="39"/>
      <c r="UDU96" s="39"/>
      <c r="UDV96" s="39"/>
      <c r="UDW96" s="39"/>
      <c r="UDX96" s="39"/>
      <c r="UDY96" s="39"/>
      <c r="UDZ96" s="39"/>
      <c r="UEA96" s="39"/>
      <c r="UEB96" s="39"/>
      <c r="UEC96" s="39"/>
      <c r="UED96" s="39"/>
      <c r="UEE96" s="39"/>
      <c r="UEF96" s="39"/>
      <c r="UEG96" s="39"/>
      <c r="UEH96" s="39"/>
      <c r="UEI96" s="39"/>
      <c r="UEJ96" s="39"/>
      <c r="UEK96" s="39"/>
      <c r="UEL96" s="39"/>
      <c r="UEM96" s="39"/>
      <c r="UEN96" s="39"/>
      <c r="UEO96" s="39"/>
      <c r="UEP96" s="39"/>
      <c r="UEQ96" s="39"/>
      <c r="UER96" s="39"/>
      <c r="UES96" s="39"/>
      <c r="UET96" s="39"/>
      <c r="UEU96" s="39"/>
      <c r="UEV96" s="39"/>
      <c r="UEW96" s="39"/>
      <c r="UEX96" s="39"/>
      <c r="UEY96" s="39"/>
      <c r="UEZ96" s="39"/>
      <c r="UFA96" s="39"/>
      <c r="UFB96" s="39"/>
      <c r="UFC96" s="39"/>
      <c r="UFD96" s="39"/>
      <c r="UFE96" s="39"/>
      <c r="UFF96" s="39"/>
      <c r="UFG96" s="39"/>
      <c r="UFH96" s="39"/>
      <c r="UFI96" s="39"/>
      <c r="UFJ96" s="39"/>
      <c r="UFK96" s="39"/>
      <c r="UFL96" s="39"/>
      <c r="UFM96" s="39"/>
      <c r="UFN96" s="39"/>
      <c r="UFO96" s="39"/>
      <c r="UFP96" s="39"/>
      <c r="UFQ96" s="39"/>
      <c r="UFR96" s="39"/>
      <c r="UFS96" s="39"/>
      <c r="UFT96" s="39"/>
      <c r="UFU96" s="39"/>
      <c r="UFV96" s="39"/>
      <c r="UFW96" s="39"/>
      <c r="UFX96" s="39"/>
      <c r="UFY96" s="39"/>
      <c r="UFZ96" s="39"/>
      <c r="UGA96" s="39"/>
      <c r="UGB96" s="39"/>
      <c r="UGC96" s="39"/>
      <c r="UGD96" s="39"/>
      <c r="UGE96" s="39"/>
      <c r="UGF96" s="39"/>
      <c r="UGG96" s="39"/>
      <c r="UGH96" s="39"/>
      <c r="UGI96" s="39"/>
      <c r="UGJ96" s="39"/>
      <c r="UGK96" s="39"/>
      <c r="UGL96" s="39"/>
      <c r="UGM96" s="39"/>
      <c r="UGN96" s="39"/>
      <c r="UGO96" s="39"/>
      <c r="UGP96" s="39"/>
      <c r="UGQ96" s="39"/>
      <c r="UGR96" s="39"/>
      <c r="UGS96" s="39"/>
      <c r="UGT96" s="39"/>
      <c r="UGU96" s="39"/>
      <c r="UGV96" s="39"/>
      <c r="UGW96" s="39"/>
      <c r="UGX96" s="39"/>
      <c r="UGY96" s="39"/>
      <c r="UGZ96" s="39"/>
      <c r="UHA96" s="39"/>
      <c r="UHB96" s="39"/>
      <c r="UHC96" s="39"/>
      <c r="UHD96" s="39"/>
      <c r="UHE96" s="39"/>
      <c r="UHF96" s="39"/>
      <c r="UHG96" s="39"/>
      <c r="UHH96" s="39"/>
      <c r="UHI96" s="39"/>
      <c r="UHJ96" s="39"/>
      <c r="UHK96" s="39"/>
      <c r="UHL96" s="39"/>
      <c r="UHM96" s="39"/>
      <c r="UHN96" s="39"/>
      <c r="UHO96" s="39"/>
      <c r="UHP96" s="39"/>
      <c r="UHQ96" s="39"/>
      <c r="UHR96" s="39"/>
      <c r="UHS96" s="39"/>
      <c r="UHT96" s="39"/>
      <c r="UHU96" s="39"/>
      <c r="UHV96" s="39"/>
      <c r="UHW96" s="39"/>
      <c r="UHX96" s="39"/>
      <c r="UHY96" s="39"/>
      <c r="UHZ96" s="39"/>
      <c r="UIA96" s="39"/>
      <c r="UIB96" s="39"/>
      <c r="UIC96" s="39"/>
      <c r="UID96" s="39"/>
      <c r="UIE96" s="39"/>
      <c r="UIF96" s="39"/>
      <c r="UIG96" s="39"/>
      <c r="UIH96" s="39"/>
      <c r="UII96" s="39"/>
      <c r="UIJ96" s="39"/>
      <c r="UIK96" s="39"/>
      <c r="UIL96" s="39"/>
      <c r="UIM96" s="39"/>
      <c r="UIN96" s="39"/>
      <c r="UIO96" s="39"/>
      <c r="UIP96" s="39"/>
      <c r="UIQ96" s="39"/>
      <c r="UIR96" s="39"/>
      <c r="UIS96" s="39"/>
      <c r="UIT96" s="39"/>
      <c r="UIU96" s="39"/>
      <c r="UIV96" s="39"/>
      <c r="UIW96" s="39"/>
      <c r="UIX96" s="39"/>
      <c r="UIY96" s="39"/>
      <c r="UIZ96" s="39"/>
      <c r="UJA96" s="39"/>
      <c r="UJB96" s="39"/>
      <c r="UJC96" s="39"/>
      <c r="UJD96" s="39"/>
      <c r="UJE96" s="39"/>
      <c r="UJF96" s="39"/>
      <c r="UJG96" s="39"/>
      <c r="UJH96" s="39"/>
      <c r="UJI96" s="39"/>
      <c r="UJJ96" s="39"/>
      <c r="UJK96" s="39"/>
      <c r="UJL96" s="39"/>
      <c r="UJM96" s="39"/>
      <c r="UJN96" s="39"/>
      <c r="UJO96" s="39"/>
      <c r="UJP96" s="39"/>
      <c r="UJQ96" s="39"/>
      <c r="UJR96" s="39"/>
      <c r="UJS96" s="39"/>
      <c r="UJT96" s="39"/>
      <c r="UJU96" s="39"/>
      <c r="UJV96" s="39"/>
      <c r="UJW96" s="39"/>
      <c r="UJX96" s="39"/>
      <c r="UJY96" s="39"/>
      <c r="UJZ96" s="39"/>
      <c r="UKA96" s="39"/>
      <c r="UKB96" s="39"/>
      <c r="UKC96" s="39"/>
      <c r="UKD96" s="39"/>
      <c r="UKE96" s="39"/>
      <c r="UKF96" s="39"/>
      <c r="UKG96" s="39"/>
      <c r="UKH96" s="39"/>
      <c r="UKI96" s="39"/>
      <c r="UKJ96" s="39"/>
      <c r="UKK96" s="39"/>
      <c r="UKL96" s="39"/>
      <c r="UKM96" s="39"/>
      <c r="UKN96" s="39"/>
      <c r="UKO96" s="39"/>
      <c r="UKP96" s="39"/>
      <c r="UKQ96" s="39"/>
      <c r="UKR96" s="39"/>
      <c r="UKS96" s="39"/>
      <c r="UKT96" s="39"/>
      <c r="UKU96" s="39"/>
      <c r="UKV96" s="39"/>
      <c r="UKW96" s="39"/>
      <c r="UKX96" s="39"/>
      <c r="UKY96" s="39"/>
      <c r="UKZ96" s="39"/>
      <c r="ULA96" s="39"/>
      <c r="ULB96" s="39"/>
      <c r="ULC96" s="39"/>
      <c r="ULD96" s="39"/>
      <c r="ULE96" s="39"/>
      <c r="ULF96" s="39"/>
      <c r="ULG96" s="39"/>
      <c r="ULH96" s="39"/>
      <c r="ULI96" s="39"/>
      <c r="ULJ96" s="39"/>
      <c r="ULK96" s="39"/>
      <c r="ULL96" s="39"/>
      <c r="ULM96" s="39"/>
      <c r="ULN96" s="39"/>
      <c r="ULO96" s="39"/>
      <c r="ULP96" s="39"/>
      <c r="ULQ96" s="39"/>
      <c r="ULR96" s="39"/>
      <c r="ULS96" s="39"/>
      <c r="ULT96" s="39"/>
      <c r="ULU96" s="39"/>
      <c r="ULV96" s="39"/>
      <c r="ULW96" s="39"/>
      <c r="ULX96" s="39"/>
      <c r="ULY96" s="39"/>
      <c r="ULZ96" s="39"/>
      <c r="UMA96" s="39"/>
      <c r="UMB96" s="39"/>
      <c r="UMC96" s="39"/>
      <c r="UMD96" s="39"/>
      <c r="UME96" s="39"/>
      <c r="UMF96" s="39"/>
      <c r="UMG96" s="39"/>
      <c r="UMH96" s="39"/>
      <c r="UMI96" s="39"/>
      <c r="UMJ96" s="39"/>
      <c r="UMK96" s="39"/>
      <c r="UML96" s="39"/>
      <c r="UMM96" s="39"/>
      <c r="UMN96" s="39"/>
      <c r="UMO96" s="39"/>
      <c r="UMP96" s="39"/>
      <c r="UMQ96" s="39"/>
      <c r="UMR96" s="39"/>
      <c r="UMS96" s="39"/>
      <c r="UMT96" s="39"/>
      <c r="UMU96" s="39"/>
      <c r="UMV96" s="39"/>
      <c r="UMW96" s="39"/>
      <c r="UMX96" s="39"/>
      <c r="UMY96" s="39"/>
      <c r="UMZ96" s="39"/>
      <c r="UNA96" s="39"/>
      <c r="UNB96" s="39"/>
      <c r="UNC96" s="39"/>
      <c r="UND96" s="39"/>
      <c r="UNE96" s="39"/>
      <c r="UNF96" s="39"/>
      <c r="UNG96" s="39"/>
      <c r="UNH96" s="39"/>
      <c r="UNI96" s="39"/>
      <c r="UNJ96" s="39"/>
      <c r="UNK96" s="39"/>
      <c r="UNL96" s="39"/>
      <c r="UNM96" s="39"/>
      <c r="UNN96" s="39"/>
      <c r="UNO96" s="39"/>
      <c r="UNP96" s="39"/>
      <c r="UNQ96" s="39"/>
      <c r="UNR96" s="39"/>
      <c r="UNS96" s="39"/>
      <c r="UNT96" s="39"/>
      <c r="UNU96" s="39"/>
      <c r="UNV96" s="39"/>
      <c r="UNW96" s="39"/>
      <c r="UNX96" s="39"/>
      <c r="UNY96" s="39"/>
      <c r="UNZ96" s="39"/>
      <c r="UOA96" s="39"/>
      <c r="UOB96" s="39"/>
      <c r="UOC96" s="39"/>
      <c r="UOD96" s="39"/>
      <c r="UOE96" s="39"/>
      <c r="UOF96" s="39"/>
      <c r="UOG96" s="39"/>
      <c r="UOH96" s="39"/>
      <c r="UOI96" s="39"/>
      <c r="UOJ96" s="39"/>
      <c r="UOK96" s="39"/>
      <c r="UOL96" s="39"/>
      <c r="UOM96" s="39"/>
      <c r="UON96" s="39"/>
      <c r="UOO96" s="39"/>
      <c r="UOP96" s="39"/>
      <c r="UOQ96" s="39"/>
      <c r="UOR96" s="39"/>
      <c r="UOS96" s="39"/>
      <c r="UOT96" s="39"/>
      <c r="UOU96" s="39"/>
      <c r="UOV96" s="39"/>
      <c r="UOW96" s="39"/>
      <c r="UOX96" s="39"/>
      <c r="UOY96" s="39"/>
      <c r="UOZ96" s="39"/>
      <c r="UPA96" s="39"/>
      <c r="UPB96" s="39"/>
      <c r="UPC96" s="39"/>
      <c r="UPD96" s="39"/>
      <c r="UPE96" s="39"/>
      <c r="UPF96" s="39"/>
      <c r="UPG96" s="39"/>
      <c r="UPH96" s="39"/>
      <c r="UPI96" s="39"/>
      <c r="UPJ96" s="39"/>
      <c r="UPK96" s="39"/>
      <c r="UPL96" s="39"/>
      <c r="UPM96" s="39"/>
      <c r="UPN96" s="39"/>
      <c r="UPO96" s="39"/>
      <c r="UPP96" s="39"/>
      <c r="UPQ96" s="39"/>
      <c r="UPR96" s="39"/>
      <c r="UPS96" s="39"/>
      <c r="UPT96" s="39"/>
      <c r="UPU96" s="39"/>
      <c r="UPV96" s="39"/>
      <c r="UPW96" s="39"/>
      <c r="UPX96" s="39"/>
      <c r="UPY96" s="39"/>
      <c r="UPZ96" s="39"/>
      <c r="UQA96" s="39"/>
      <c r="UQB96" s="39"/>
      <c r="UQC96" s="39"/>
      <c r="UQD96" s="39"/>
      <c r="UQE96" s="39"/>
      <c r="UQF96" s="39"/>
      <c r="UQG96" s="39"/>
      <c r="UQH96" s="39"/>
      <c r="UQI96" s="39"/>
      <c r="UQJ96" s="39"/>
      <c r="UQK96" s="39"/>
      <c r="UQL96" s="39"/>
      <c r="UQM96" s="39"/>
      <c r="UQN96" s="39"/>
      <c r="UQO96" s="39"/>
      <c r="UQP96" s="39"/>
      <c r="UQQ96" s="39"/>
      <c r="UQR96" s="39"/>
      <c r="UQS96" s="39"/>
      <c r="UQT96" s="39"/>
      <c r="UQU96" s="39"/>
      <c r="UQV96" s="39"/>
      <c r="UQW96" s="39"/>
      <c r="UQX96" s="39"/>
      <c r="UQY96" s="39"/>
      <c r="UQZ96" s="39"/>
      <c r="URA96" s="39"/>
      <c r="URB96" s="39"/>
      <c r="URC96" s="39"/>
      <c r="URD96" s="39"/>
      <c r="URE96" s="39"/>
      <c r="URF96" s="39"/>
      <c r="URG96" s="39"/>
      <c r="URH96" s="39"/>
      <c r="URI96" s="39"/>
      <c r="URJ96" s="39"/>
      <c r="URK96" s="39"/>
      <c r="URL96" s="39"/>
      <c r="URM96" s="39"/>
      <c r="URN96" s="39"/>
      <c r="URO96" s="39"/>
      <c r="URP96" s="39"/>
      <c r="URQ96" s="39"/>
      <c r="URR96" s="39"/>
      <c r="URS96" s="39"/>
      <c r="URT96" s="39"/>
      <c r="URU96" s="39"/>
      <c r="URV96" s="39"/>
      <c r="URW96" s="39"/>
      <c r="URX96" s="39"/>
      <c r="URY96" s="39"/>
      <c r="URZ96" s="39"/>
      <c r="USA96" s="39"/>
      <c r="USB96" s="39"/>
      <c r="USC96" s="39"/>
      <c r="USD96" s="39"/>
      <c r="USE96" s="39"/>
      <c r="USF96" s="39"/>
      <c r="USG96" s="39"/>
      <c r="USH96" s="39"/>
      <c r="USI96" s="39"/>
      <c r="USJ96" s="39"/>
      <c r="USK96" s="39"/>
      <c r="USL96" s="39"/>
      <c r="USM96" s="39"/>
      <c r="USN96" s="39"/>
      <c r="USO96" s="39"/>
      <c r="USP96" s="39"/>
      <c r="USQ96" s="39"/>
      <c r="USR96" s="39"/>
      <c r="USS96" s="39"/>
      <c r="UST96" s="39"/>
      <c r="USU96" s="39"/>
      <c r="USV96" s="39"/>
      <c r="USW96" s="39"/>
      <c r="USX96" s="39"/>
      <c r="USY96" s="39"/>
      <c r="USZ96" s="39"/>
      <c r="UTA96" s="39"/>
      <c r="UTB96" s="39"/>
      <c r="UTC96" s="39"/>
      <c r="UTD96" s="39"/>
      <c r="UTE96" s="39"/>
      <c r="UTF96" s="39"/>
      <c r="UTG96" s="39"/>
      <c r="UTH96" s="39"/>
      <c r="UTI96" s="39"/>
      <c r="UTJ96" s="39"/>
      <c r="UTK96" s="39"/>
      <c r="UTL96" s="39"/>
      <c r="UTM96" s="39"/>
      <c r="UTN96" s="39"/>
      <c r="UTO96" s="39"/>
      <c r="UTP96" s="39"/>
      <c r="UTQ96" s="39"/>
      <c r="UTR96" s="39"/>
      <c r="UTS96" s="39"/>
      <c r="UTT96" s="39"/>
      <c r="UTU96" s="39"/>
      <c r="UTV96" s="39"/>
      <c r="UTW96" s="39"/>
      <c r="UTX96" s="39"/>
      <c r="UTY96" s="39"/>
      <c r="UTZ96" s="39"/>
      <c r="UUA96" s="39"/>
      <c r="UUB96" s="39"/>
      <c r="UUC96" s="39"/>
      <c r="UUD96" s="39"/>
      <c r="UUE96" s="39"/>
      <c r="UUF96" s="39"/>
      <c r="UUG96" s="39"/>
      <c r="UUH96" s="39"/>
      <c r="UUI96" s="39"/>
      <c r="UUJ96" s="39"/>
      <c r="UUK96" s="39"/>
      <c r="UUL96" s="39"/>
      <c r="UUM96" s="39"/>
      <c r="UUN96" s="39"/>
      <c r="UUO96" s="39"/>
      <c r="UUP96" s="39"/>
      <c r="UUQ96" s="39"/>
      <c r="UUR96" s="39"/>
      <c r="UUS96" s="39"/>
      <c r="UUT96" s="39"/>
      <c r="UUU96" s="39"/>
      <c r="UUV96" s="39"/>
      <c r="UUW96" s="39"/>
      <c r="UUX96" s="39"/>
      <c r="UUY96" s="39"/>
      <c r="UUZ96" s="39"/>
      <c r="UVA96" s="39"/>
      <c r="UVB96" s="39"/>
      <c r="UVC96" s="39"/>
      <c r="UVD96" s="39"/>
      <c r="UVE96" s="39"/>
      <c r="UVF96" s="39"/>
      <c r="UVG96" s="39"/>
      <c r="UVH96" s="39"/>
      <c r="UVI96" s="39"/>
      <c r="UVJ96" s="39"/>
      <c r="UVK96" s="39"/>
      <c r="UVL96" s="39"/>
      <c r="UVM96" s="39"/>
      <c r="UVN96" s="39"/>
      <c r="UVO96" s="39"/>
      <c r="UVP96" s="39"/>
      <c r="UVQ96" s="39"/>
      <c r="UVR96" s="39"/>
      <c r="UVS96" s="39"/>
      <c r="UVT96" s="39"/>
      <c r="UVU96" s="39"/>
      <c r="UVV96" s="39"/>
      <c r="UVW96" s="39"/>
      <c r="UVX96" s="39"/>
      <c r="UVY96" s="39"/>
      <c r="UVZ96" s="39"/>
      <c r="UWA96" s="39"/>
      <c r="UWB96" s="39"/>
      <c r="UWC96" s="39"/>
      <c r="UWD96" s="39"/>
      <c r="UWE96" s="39"/>
      <c r="UWF96" s="39"/>
      <c r="UWG96" s="39"/>
      <c r="UWH96" s="39"/>
      <c r="UWI96" s="39"/>
      <c r="UWJ96" s="39"/>
      <c r="UWK96" s="39"/>
      <c r="UWL96" s="39"/>
      <c r="UWM96" s="39"/>
      <c r="UWN96" s="39"/>
      <c r="UWO96" s="39"/>
      <c r="UWP96" s="39"/>
      <c r="UWQ96" s="39"/>
      <c r="UWR96" s="39"/>
      <c r="UWS96" s="39"/>
      <c r="UWT96" s="39"/>
      <c r="UWU96" s="39"/>
      <c r="UWV96" s="39"/>
      <c r="UWW96" s="39"/>
      <c r="UWX96" s="39"/>
      <c r="UWY96" s="39"/>
      <c r="UWZ96" s="39"/>
      <c r="UXA96" s="39"/>
      <c r="UXB96" s="39"/>
      <c r="UXC96" s="39"/>
      <c r="UXD96" s="39"/>
      <c r="UXE96" s="39"/>
      <c r="UXF96" s="39"/>
      <c r="UXG96" s="39"/>
      <c r="UXH96" s="39"/>
      <c r="UXI96" s="39"/>
      <c r="UXJ96" s="39"/>
      <c r="UXK96" s="39"/>
      <c r="UXL96" s="39"/>
      <c r="UXM96" s="39"/>
      <c r="UXN96" s="39"/>
      <c r="UXO96" s="39"/>
      <c r="UXP96" s="39"/>
      <c r="UXQ96" s="39"/>
      <c r="UXR96" s="39"/>
      <c r="UXS96" s="39"/>
      <c r="UXT96" s="39"/>
      <c r="UXU96" s="39"/>
      <c r="UXV96" s="39"/>
      <c r="UXW96" s="39"/>
      <c r="UXX96" s="39"/>
      <c r="UXY96" s="39"/>
      <c r="UXZ96" s="39"/>
      <c r="UYA96" s="39"/>
      <c r="UYB96" s="39"/>
      <c r="UYC96" s="39"/>
      <c r="UYD96" s="39"/>
      <c r="UYE96" s="39"/>
      <c r="UYF96" s="39"/>
      <c r="UYG96" s="39"/>
      <c r="UYH96" s="39"/>
      <c r="UYI96" s="39"/>
      <c r="UYJ96" s="39"/>
      <c r="UYK96" s="39"/>
      <c r="UYL96" s="39"/>
      <c r="UYM96" s="39"/>
      <c r="UYN96" s="39"/>
      <c r="UYO96" s="39"/>
      <c r="UYP96" s="39"/>
      <c r="UYQ96" s="39"/>
      <c r="UYR96" s="39"/>
      <c r="UYS96" s="39"/>
      <c r="UYT96" s="39"/>
      <c r="UYU96" s="39"/>
      <c r="UYV96" s="39"/>
      <c r="UYW96" s="39"/>
      <c r="UYX96" s="39"/>
      <c r="UYY96" s="39"/>
      <c r="UYZ96" s="39"/>
      <c r="UZA96" s="39"/>
      <c r="UZB96" s="39"/>
      <c r="UZC96" s="39"/>
      <c r="UZD96" s="39"/>
      <c r="UZE96" s="39"/>
      <c r="UZF96" s="39"/>
      <c r="UZG96" s="39"/>
      <c r="UZH96" s="39"/>
      <c r="UZI96" s="39"/>
      <c r="UZJ96" s="39"/>
      <c r="UZK96" s="39"/>
      <c r="UZL96" s="39"/>
      <c r="UZM96" s="39"/>
      <c r="UZN96" s="39"/>
      <c r="UZO96" s="39"/>
      <c r="UZP96" s="39"/>
      <c r="UZQ96" s="39"/>
      <c r="UZR96" s="39"/>
      <c r="UZS96" s="39"/>
      <c r="UZT96" s="39"/>
      <c r="UZU96" s="39"/>
      <c r="UZV96" s="39"/>
      <c r="UZW96" s="39"/>
      <c r="UZX96" s="39"/>
      <c r="UZY96" s="39"/>
      <c r="UZZ96" s="39"/>
      <c r="VAA96" s="39"/>
      <c r="VAB96" s="39"/>
      <c r="VAC96" s="39"/>
      <c r="VAD96" s="39"/>
      <c r="VAE96" s="39"/>
      <c r="VAF96" s="39"/>
      <c r="VAG96" s="39"/>
      <c r="VAH96" s="39"/>
      <c r="VAI96" s="39"/>
      <c r="VAJ96" s="39"/>
      <c r="VAK96" s="39"/>
      <c r="VAL96" s="39"/>
      <c r="VAM96" s="39"/>
      <c r="VAN96" s="39"/>
      <c r="VAO96" s="39"/>
      <c r="VAP96" s="39"/>
      <c r="VAQ96" s="39"/>
      <c r="VAR96" s="39"/>
      <c r="VAS96" s="39"/>
      <c r="VAT96" s="39"/>
      <c r="VAU96" s="39"/>
      <c r="VAV96" s="39"/>
      <c r="VAW96" s="39"/>
      <c r="VAX96" s="39"/>
      <c r="VAY96" s="39"/>
      <c r="VAZ96" s="39"/>
      <c r="VBA96" s="39"/>
      <c r="VBB96" s="39"/>
      <c r="VBC96" s="39"/>
      <c r="VBD96" s="39"/>
      <c r="VBE96" s="39"/>
      <c r="VBF96" s="39"/>
      <c r="VBG96" s="39"/>
      <c r="VBH96" s="39"/>
      <c r="VBI96" s="39"/>
      <c r="VBJ96" s="39"/>
      <c r="VBK96" s="39"/>
      <c r="VBL96" s="39"/>
      <c r="VBM96" s="39"/>
      <c r="VBN96" s="39"/>
      <c r="VBO96" s="39"/>
      <c r="VBP96" s="39"/>
      <c r="VBQ96" s="39"/>
      <c r="VBR96" s="39"/>
      <c r="VBS96" s="39"/>
      <c r="VBT96" s="39"/>
      <c r="VBU96" s="39"/>
      <c r="VBV96" s="39"/>
      <c r="VBW96" s="39"/>
      <c r="VBX96" s="39"/>
      <c r="VBY96" s="39"/>
      <c r="VBZ96" s="39"/>
      <c r="VCA96" s="39"/>
      <c r="VCB96" s="39"/>
      <c r="VCC96" s="39"/>
      <c r="VCD96" s="39"/>
      <c r="VCE96" s="39"/>
      <c r="VCF96" s="39"/>
      <c r="VCG96" s="39"/>
      <c r="VCH96" s="39"/>
      <c r="VCI96" s="39"/>
      <c r="VCJ96" s="39"/>
      <c r="VCK96" s="39"/>
      <c r="VCL96" s="39"/>
      <c r="VCM96" s="39"/>
      <c r="VCN96" s="39"/>
      <c r="VCO96" s="39"/>
      <c r="VCP96" s="39"/>
      <c r="VCQ96" s="39"/>
      <c r="VCR96" s="39"/>
      <c r="VCS96" s="39"/>
      <c r="VCT96" s="39"/>
      <c r="VCU96" s="39"/>
      <c r="VCV96" s="39"/>
      <c r="VCW96" s="39"/>
      <c r="VCX96" s="39"/>
      <c r="VCY96" s="39"/>
      <c r="VCZ96" s="39"/>
      <c r="VDA96" s="39"/>
      <c r="VDB96" s="39"/>
      <c r="VDC96" s="39"/>
      <c r="VDD96" s="39"/>
      <c r="VDE96" s="39"/>
      <c r="VDF96" s="39"/>
      <c r="VDG96" s="39"/>
      <c r="VDH96" s="39"/>
      <c r="VDI96" s="39"/>
      <c r="VDJ96" s="39"/>
      <c r="VDK96" s="39"/>
      <c r="VDL96" s="39"/>
      <c r="VDM96" s="39"/>
      <c r="VDN96" s="39"/>
      <c r="VDO96" s="39"/>
      <c r="VDP96" s="39"/>
      <c r="VDQ96" s="39"/>
      <c r="VDR96" s="39"/>
      <c r="VDS96" s="39"/>
      <c r="VDT96" s="39"/>
      <c r="VDU96" s="39"/>
      <c r="VDV96" s="39"/>
      <c r="VDW96" s="39"/>
      <c r="VDX96" s="39"/>
      <c r="VDY96" s="39"/>
      <c r="VDZ96" s="39"/>
      <c r="VEA96" s="39"/>
      <c r="VEB96" s="39"/>
      <c r="VEC96" s="39"/>
      <c r="VED96" s="39"/>
      <c r="VEE96" s="39"/>
      <c r="VEF96" s="39"/>
      <c r="VEG96" s="39"/>
      <c r="VEH96" s="39"/>
      <c r="VEI96" s="39"/>
      <c r="VEJ96" s="39"/>
      <c r="VEK96" s="39"/>
      <c r="VEL96" s="39"/>
      <c r="VEM96" s="39"/>
      <c r="VEN96" s="39"/>
      <c r="VEO96" s="39"/>
      <c r="VEP96" s="39"/>
      <c r="VEQ96" s="39"/>
      <c r="VER96" s="39"/>
      <c r="VES96" s="39"/>
      <c r="VET96" s="39"/>
      <c r="VEU96" s="39"/>
      <c r="VEV96" s="39"/>
      <c r="VEW96" s="39"/>
      <c r="VEX96" s="39"/>
      <c r="VEY96" s="39"/>
      <c r="VEZ96" s="39"/>
      <c r="VFA96" s="39"/>
      <c r="VFB96" s="39"/>
      <c r="VFC96" s="39"/>
      <c r="VFD96" s="39"/>
      <c r="VFE96" s="39"/>
      <c r="VFF96" s="39"/>
      <c r="VFG96" s="39"/>
      <c r="VFH96" s="39"/>
      <c r="VFI96" s="39"/>
      <c r="VFJ96" s="39"/>
      <c r="VFK96" s="39"/>
      <c r="VFL96" s="39"/>
      <c r="VFM96" s="39"/>
      <c r="VFN96" s="39"/>
      <c r="VFO96" s="39"/>
      <c r="VFP96" s="39"/>
      <c r="VFQ96" s="39"/>
      <c r="VFR96" s="39"/>
      <c r="VFS96" s="39"/>
      <c r="VFT96" s="39"/>
      <c r="VFU96" s="39"/>
      <c r="VFV96" s="39"/>
      <c r="VFW96" s="39"/>
      <c r="VFX96" s="39"/>
      <c r="VFY96" s="39"/>
      <c r="VFZ96" s="39"/>
      <c r="VGA96" s="39"/>
      <c r="VGB96" s="39"/>
      <c r="VGC96" s="39"/>
      <c r="VGD96" s="39"/>
      <c r="VGE96" s="39"/>
      <c r="VGF96" s="39"/>
      <c r="VGG96" s="39"/>
      <c r="VGH96" s="39"/>
      <c r="VGI96" s="39"/>
      <c r="VGJ96" s="39"/>
      <c r="VGK96" s="39"/>
      <c r="VGL96" s="39"/>
      <c r="VGM96" s="39"/>
      <c r="VGN96" s="39"/>
      <c r="VGO96" s="39"/>
      <c r="VGP96" s="39"/>
      <c r="VGQ96" s="39"/>
      <c r="VGR96" s="39"/>
      <c r="VGS96" s="39"/>
      <c r="VGT96" s="39"/>
      <c r="VGU96" s="39"/>
      <c r="VGV96" s="39"/>
      <c r="VGW96" s="39"/>
      <c r="VGX96" s="39"/>
      <c r="VGY96" s="39"/>
      <c r="VGZ96" s="39"/>
      <c r="VHA96" s="39"/>
      <c r="VHB96" s="39"/>
      <c r="VHC96" s="39"/>
      <c r="VHD96" s="39"/>
      <c r="VHE96" s="39"/>
      <c r="VHF96" s="39"/>
      <c r="VHG96" s="39"/>
      <c r="VHH96" s="39"/>
      <c r="VHI96" s="39"/>
      <c r="VHJ96" s="39"/>
      <c r="VHK96" s="39"/>
      <c r="VHL96" s="39"/>
      <c r="VHM96" s="39"/>
      <c r="VHN96" s="39"/>
      <c r="VHO96" s="39"/>
      <c r="VHP96" s="39"/>
      <c r="VHQ96" s="39"/>
      <c r="VHR96" s="39"/>
      <c r="VHS96" s="39"/>
      <c r="VHT96" s="39"/>
      <c r="VHU96" s="39"/>
      <c r="VHV96" s="39"/>
      <c r="VHW96" s="39"/>
      <c r="VHX96" s="39"/>
      <c r="VHY96" s="39"/>
      <c r="VHZ96" s="39"/>
      <c r="VIA96" s="39"/>
      <c r="VIB96" s="39"/>
      <c r="VIC96" s="39"/>
      <c r="VID96" s="39"/>
      <c r="VIE96" s="39"/>
      <c r="VIF96" s="39"/>
      <c r="VIG96" s="39"/>
      <c r="VIH96" s="39"/>
      <c r="VII96" s="39"/>
      <c r="VIJ96" s="39"/>
      <c r="VIK96" s="39"/>
      <c r="VIL96" s="39"/>
      <c r="VIM96" s="39"/>
      <c r="VIN96" s="39"/>
      <c r="VIO96" s="39"/>
      <c r="VIP96" s="39"/>
      <c r="VIQ96" s="39"/>
      <c r="VIR96" s="39"/>
      <c r="VIS96" s="39"/>
      <c r="VIT96" s="39"/>
      <c r="VIU96" s="39"/>
      <c r="VIV96" s="39"/>
      <c r="VIW96" s="39"/>
      <c r="VIX96" s="39"/>
      <c r="VIY96" s="39"/>
      <c r="VIZ96" s="39"/>
      <c r="VJA96" s="39"/>
      <c r="VJB96" s="39"/>
      <c r="VJC96" s="39"/>
      <c r="VJD96" s="39"/>
      <c r="VJE96" s="39"/>
      <c r="VJF96" s="39"/>
      <c r="VJG96" s="39"/>
      <c r="VJH96" s="39"/>
      <c r="VJI96" s="39"/>
      <c r="VJJ96" s="39"/>
      <c r="VJK96" s="39"/>
      <c r="VJL96" s="39"/>
      <c r="VJM96" s="39"/>
      <c r="VJN96" s="39"/>
      <c r="VJO96" s="39"/>
      <c r="VJP96" s="39"/>
      <c r="VJQ96" s="39"/>
      <c r="VJR96" s="39"/>
      <c r="VJS96" s="39"/>
      <c r="VJT96" s="39"/>
      <c r="VJU96" s="39"/>
      <c r="VJV96" s="39"/>
      <c r="VJW96" s="39"/>
      <c r="VJX96" s="39"/>
      <c r="VJY96" s="39"/>
      <c r="VJZ96" s="39"/>
      <c r="VKA96" s="39"/>
      <c r="VKB96" s="39"/>
      <c r="VKC96" s="39"/>
      <c r="VKD96" s="39"/>
      <c r="VKE96" s="39"/>
      <c r="VKF96" s="39"/>
      <c r="VKG96" s="39"/>
      <c r="VKH96" s="39"/>
      <c r="VKI96" s="39"/>
      <c r="VKJ96" s="39"/>
      <c r="VKK96" s="39"/>
      <c r="VKL96" s="39"/>
      <c r="VKM96" s="39"/>
      <c r="VKN96" s="39"/>
      <c r="VKO96" s="39"/>
      <c r="VKP96" s="39"/>
      <c r="VKQ96" s="39"/>
      <c r="VKR96" s="39"/>
      <c r="VKS96" s="39"/>
      <c r="VKT96" s="39"/>
      <c r="VKU96" s="39"/>
      <c r="VKV96" s="39"/>
      <c r="VKW96" s="39"/>
      <c r="VKX96" s="39"/>
      <c r="VKY96" s="39"/>
      <c r="VKZ96" s="39"/>
      <c r="VLA96" s="39"/>
      <c r="VLB96" s="39"/>
      <c r="VLC96" s="39"/>
      <c r="VLD96" s="39"/>
      <c r="VLE96" s="39"/>
      <c r="VLF96" s="39"/>
      <c r="VLG96" s="39"/>
      <c r="VLH96" s="39"/>
      <c r="VLI96" s="39"/>
      <c r="VLJ96" s="39"/>
      <c r="VLK96" s="39"/>
      <c r="VLL96" s="39"/>
      <c r="VLM96" s="39"/>
      <c r="VLN96" s="39"/>
      <c r="VLO96" s="39"/>
      <c r="VLP96" s="39"/>
      <c r="VLQ96" s="39"/>
      <c r="VLR96" s="39"/>
      <c r="VLS96" s="39"/>
      <c r="VLT96" s="39"/>
      <c r="VLU96" s="39"/>
      <c r="VLV96" s="39"/>
      <c r="VLW96" s="39"/>
      <c r="VLX96" s="39"/>
      <c r="VLY96" s="39"/>
      <c r="VLZ96" s="39"/>
      <c r="VMA96" s="39"/>
      <c r="VMB96" s="39"/>
      <c r="VMC96" s="39"/>
      <c r="VMD96" s="39"/>
      <c r="VME96" s="39"/>
      <c r="VMF96" s="39"/>
      <c r="VMG96" s="39"/>
      <c r="VMH96" s="39"/>
      <c r="VMI96" s="39"/>
      <c r="VMJ96" s="39"/>
      <c r="VMK96" s="39"/>
      <c r="VML96" s="39"/>
      <c r="VMM96" s="39"/>
      <c r="VMN96" s="39"/>
      <c r="VMO96" s="39"/>
      <c r="VMP96" s="39"/>
      <c r="VMQ96" s="39"/>
      <c r="VMR96" s="39"/>
      <c r="VMS96" s="39"/>
      <c r="VMT96" s="39"/>
      <c r="VMU96" s="39"/>
      <c r="VMV96" s="39"/>
      <c r="VMW96" s="39"/>
      <c r="VMX96" s="39"/>
      <c r="VMY96" s="39"/>
      <c r="VMZ96" s="39"/>
      <c r="VNA96" s="39"/>
      <c r="VNB96" s="39"/>
      <c r="VNC96" s="39"/>
      <c r="VND96" s="39"/>
      <c r="VNE96" s="39"/>
      <c r="VNF96" s="39"/>
      <c r="VNG96" s="39"/>
      <c r="VNH96" s="39"/>
      <c r="VNI96" s="39"/>
      <c r="VNJ96" s="39"/>
      <c r="VNK96" s="39"/>
      <c r="VNL96" s="39"/>
      <c r="VNM96" s="39"/>
      <c r="VNN96" s="39"/>
      <c r="VNO96" s="39"/>
      <c r="VNP96" s="39"/>
      <c r="VNQ96" s="39"/>
      <c r="VNR96" s="39"/>
      <c r="VNS96" s="39"/>
      <c r="VNT96" s="39"/>
      <c r="VNU96" s="39"/>
      <c r="VNV96" s="39"/>
      <c r="VNW96" s="39"/>
      <c r="VNX96" s="39"/>
      <c r="VNY96" s="39"/>
      <c r="VNZ96" s="39"/>
      <c r="VOA96" s="39"/>
      <c r="VOB96" s="39"/>
      <c r="VOC96" s="39"/>
      <c r="VOD96" s="39"/>
      <c r="VOE96" s="39"/>
      <c r="VOF96" s="39"/>
      <c r="VOG96" s="39"/>
      <c r="VOH96" s="39"/>
      <c r="VOI96" s="39"/>
      <c r="VOJ96" s="39"/>
      <c r="VOK96" s="39"/>
      <c r="VOL96" s="39"/>
      <c r="VOM96" s="39"/>
      <c r="VON96" s="39"/>
      <c r="VOO96" s="39"/>
      <c r="VOP96" s="39"/>
      <c r="VOQ96" s="39"/>
      <c r="VOR96" s="39"/>
      <c r="VOS96" s="39"/>
      <c r="VOT96" s="39"/>
      <c r="VOU96" s="39"/>
      <c r="VOV96" s="39"/>
      <c r="VOW96" s="39"/>
      <c r="VOX96" s="39"/>
      <c r="VOY96" s="39"/>
      <c r="VOZ96" s="39"/>
      <c r="VPA96" s="39"/>
      <c r="VPB96" s="39"/>
      <c r="VPC96" s="39"/>
      <c r="VPD96" s="39"/>
      <c r="VPE96" s="39"/>
      <c r="VPF96" s="39"/>
      <c r="VPG96" s="39"/>
      <c r="VPH96" s="39"/>
      <c r="VPI96" s="39"/>
      <c r="VPJ96" s="39"/>
      <c r="VPK96" s="39"/>
      <c r="VPL96" s="39"/>
      <c r="VPM96" s="39"/>
      <c r="VPN96" s="39"/>
      <c r="VPO96" s="39"/>
      <c r="VPP96" s="39"/>
      <c r="VPQ96" s="39"/>
      <c r="VPR96" s="39"/>
      <c r="VPS96" s="39"/>
      <c r="VPT96" s="39"/>
      <c r="VPU96" s="39"/>
      <c r="VPV96" s="39"/>
      <c r="VPW96" s="39"/>
      <c r="VPX96" s="39"/>
      <c r="VPY96" s="39"/>
      <c r="VPZ96" s="39"/>
      <c r="VQA96" s="39"/>
      <c r="VQB96" s="39"/>
      <c r="VQC96" s="39"/>
      <c r="VQD96" s="39"/>
      <c r="VQE96" s="39"/>
      <c r="VQF96" s="39"/>
      <c r="VQG96" s="39"/>
      <c r="VQH96" s="39"/>
      <c r="VQI96" s="39"/>
      <c r="VQJ96" s="39"/>
      <c r="VQK96" s="39"/>
      <c r="VQL96" s="39"/>
      <c r="VQM96" s="39"/>
      <c r="VQN96" s="39"/>
      <c r="VQO96" s="39"/>
      <c r="VQP96" s="39"/>
      <c r="VQQ96" s="39"/>
      <c r="VQR96" s="39"/>
      <c r="VQS96" s="39"/>
      <c r="VQT96" s="39"/>
      <c r="VQU96" s="39"/>
      <c r="VQV96" s="39"/>
      <c r="VQW96" s="39"/>
      <c r="VQX96" s="39"/>
      <c r="VQY96" s="39"/>
      <c r="VQZ96" s="39"/>
      <c r="VRA96" s="39"/>
      <c r="VRB96" s="39"/>
      <c r="VRC96" s="39"/>
      <c r="VRD96" s="39"/>
      <c r="VRE96" s="39"/>
      <c r="VRF96" s="39"/>
      <c r="VRG96" s="39"/>
      <c r="VRH96" s="39"/>
      <c r="VRI96" s="39"/>
      <c r="VRJ96" s="39"/>
      <c r="VRK96" s="39"/>
      <c r="VRL96" s="39"/>
      <c r="VRM96" s="39"/>
      <c r="VRN96" s="39"/>
      <c r="VRO96" s="39"/>
      <c r="VRP96" s="39"/>
      <c r="VRQ96" s="39"/>
      <c r="VRR96" s="39"/>
      <c r="VRS96" s="39"/>
      <c r="VRT96" s="39"/>
      <c r="VRU96" s="39"/>
      <c r="VRV96" s="39"/>
      <c r="VRW96" s="39"/>
      <c r="VRX96" s="39"/>
      <c r="VRY96" s="39"/>
      <c r="VRZ96" s="39"/>
      <c r="VSA96" s="39"/>
      <c r="VSB96" s="39"/>
      <c r="VSC96" s="39"/>
      <c r="VSD96" s="39"/>
      <c r="VSE96" s="39"/>
      <c r="VSF96" s="39"/>
      <c r="VSG96" s="39"/>
      <c r="VSH96" s="39"/>
      <c r="VSI96" s="39"/>
      <c r="VSJ96" s="39"/>
      <c r="VSK96" s="39"/>
      <c r="VSL96" s="39"/>
      <c r="VSM96" s="39"/>
      <c r="VSN96" s="39"/>
      <c r="VSO96" s="39"/>
      <c r="VSP96" s="39"/>
      <c r="VSQ96" s="39"/>
      <c r="VSR96" s="39"/>
      <c r="VSS96" s="39"/>
      <c r="VST96" s="39"/>
      <c r="VSU96" s="39"/>
      <c r="VSV96" s="39"/>
      <c r="VSW96" s="39"/>
      <c r="VSX96" s="39"/>
      <c r="VSY96" s="39"/>
      <c r="VSZ96" s="39"/>
      <c r="VTA96" s="39"/>
      <c r="VTB96" s="39"/>
      <c r="VTC96" s="39"/>
      <c r="VTD96" s="39"/>
      <c r="VTE96" s="39"/>
      <c r="VTF96" s="39"/>
      <c r="VTG96" s="39"/>
      <c r="VTH96" s="39"/>
      <c r="VTI96" s="39"/>
      <c r="VTJ96" s="39"/>
      <c r="VTK96" s="39"/>
      <c r="VTL96" s="39"/>
      <c r="VTM96" s="39"/>
      <c r="VTN96" s="39"/>
      <c r="VTO96" s="39"/>
      <c r="VTP96" s="39"/>
      <c r="VTQ96" s="39"/>
      <c r="VTR96" s="39"/>
      <c r="VTS96" s="39"/>
      <c r="VTT96" s="39"/>
      <c r="VTU96" s="39"/>
      <c r="VTV96" s="39"/>
      <c r="VTW96" s="39"/>
      <c r="VTX96" s="39"/>
      <c r="VTY96" s="39"/>
      <c r="VTZ96" s="39"/>
      <c r="VUA96" s="39"/>
      <c r="VUB96" s="39"/>
      <c r="VUC96" s="39"/>
      <c r="VUD96" s="39"/>
      <c r="VUE96" s="39"/>
      <c r="VUF96" s="39"/>
      <c r="VUG96" s="39"/>
      <c r="VUH96" s="39"/>
      <c r="VUI96" s="39"/>
      <c r="VUJ96" s="39"/>
      <c r="VUK96" s="39"/>
      <c r="VUL96" s="39"/>
      <c r="VUM96" s="39"/>
      <c r="VUN96" s="39"/>
      <c r="VUO96" s="39"/>
      <c r="VUP96" s="39"/>
      <c r="VUQ96" s="39"/>
      <c r="VUR96" s="39"/>
      <c r="VUS96" s="39"/>
      <c r="VUT96" s="39"/>
      <c r="VUU96" s="39"/>
      <c r="VUV96" s="39"/>
      <c r="VUW96" s="39"/>
      <c r="VUX96" s="39"/>
      <c r="VUY96" s="39"/>
      <c r="VUZ96" s="39"/>
      <c r="VVA96" s="39"/>
      <c r="VVB96" s="39"/>
      <c r="VVC96" s="39"/>
      <c r="VVD96" s="39"/>
      <c r="VVE96" s="39"/>
      <c r="VVF96" s="39"/>
      <c r="VVG96" s="39"/>
      <c r="VVH96" s="39"/>
      <c r="VVI96" s="39"/>
      <c r="VVJ96" s="39"/>
      <c r="VVK96" s="39"/>
      <c r="VVL96" s="39"/>
      <c r="VVM96" s="39"/>
      <c r="VVN96" s="39"/>
      <c r="VVO96" s="39"/>
      <c r="VVP96" s="39"/>
      <c r="VVQ96" s="39"/>
      <c r="VVR96" s="39"/>
      <c r="VVS96" s="39"/>
      <c r="VVT96" s="39"/>
      <c r="VVU96" s="39"/>
      <c r="VVV96" s="39"/>
      <c r="VVW96" s="39"/>
      <c r="VVX96" s="39"/>
      <c r="VVY96" s="39"/>
      <c r="VVZ96" s="39"/>
      <c r="VWA96" s="39"/>
      <c r="VWB96" s="39"/>
      <c r="VWC96" s="39"/>
      <c r="VWD96" s="39"/>
      <c r="VWE96" s="39"/>
      <c r="VWF96" s="39"/>
      <c r="VWG96" s="39"/>
      <c r="VWH96" s="39"/>
      <c r="VWI96" s="39"/>
      <c r="VWJ96" s="39"/>
      <c r="VWK96" s="39"/>
      <c r="VWL96" s="39"/>
      <c r="VWM96" s="39"/>
      <c r="VWN96" s="39"/>
      <c r="VWO96" s="39"/>
      <c r="VWP96" s="39"/>
      <c r="VWQ96" s="39"/>
      <c r="VWR96" s="39"/>
      <c r="VWS96" s="39"/>
      <c r="VWT96" s="39"/>
      <c r="VWU96" s="39"/>
      <c r="VWV96" s="39"/>
      <c r="VWW96" s="39"/>
      <c r="VWX96" s="39"/>
      <c r="VWY96" s="39"/>
      <c r="VWZ96" s="39"/>
      <c r="VXA96" s="39"/>
      <c r="VXB96" s="39"/>
      <c r="VXC96" s="39"/>
      <c r="VXD96" s="39"/>
      <c r="VXE96" s="39"/>
      <c r="VXF96" s="39"/>
      <c r="VXG96" s="39"/>
      <c r="VXH96" s="39"/>
      <c r="VXI96" s="39"/>
      <c r="VXJ96" s="39"/>
      <c r="VXK96" s="39"/>
      <c r="VXL96" s="39"/>
      <c r="VXM96" s="39"/>
      <c r="VXN96" s="39"/>
      <c r="VXO96" s="39"/>
      <c r="VXP96" s="39"/>
      <c r="VXQ96" s="39"/>
      <c r="VXR96" s="39"/>
      <c r="VXS96" s="39"/>
      <c r="VXT96" s="39"/>
      <c r="VXU96" s="39"/>
      <c r="VXV96" s="39"/>
      <c r="VXW96" s="39"/>
      <c r="VXX96" s="39"/>
      <c r="VXY96" s="39"/>
      <c r="VXZ96" s="39"/>
      <c r="VYA96" s="39"/>
      <c r="VYB96" s="39"/>
      <c r="VYC96" s="39"/>
      <c r="VYD96" s="39"/>
      <c r="VYE96" s="39"/>
      <c r="VYF96" s="39"/>
      <c r="VYG96" s="39"/>
      <c r="VYH96" s="39"/>
      <c r="VYI96" s="39"/>
      <c r="VYJ96" s="39"/>
      <c r="VYK96" s="39"/>
      <c r="VYL96" s="39"/>
      <c r="VYM96" s="39"/>
      <c r="VYN96" s="39"/>
      <c r="VYO96" s="39"/>
      <c r="VYP96" s="39"/>
      <c r="VYQ96" s="39"/>
      <c r="VYR96" s="39"/>
      <c r="VYS96" s="39"/>
      <c r="VYT96" s="39"/>
      <c r="VYU96" s="39"/>
      <c r="VYV96" s="39"/>
      <c r="VYW96" s="39"/>
      <c r="VYX96" s="39"/>
      <c r="VYY96" s="39"/>
      <c r="VYZ96" s="39"/>
      <c r="VZA96" s="39"/>
      <c r="VZB96" s="39"/>
      <c r="VZC96" s="39"/>
      <c r="VZD96" s="39"/>
      <c r="VZE96" s="39"/>
      <c r="VZF96" s="39"/>
      <c r="VZG96" s="39"/>
      <c r="VZH96" s="39"/>
      <c r="VZI96" s="39"/>
      <c r="VZJ96" s="39"/>
      <c r="VZK96" s="39"/>
      <c r="VZL96" s="39"/>
      <c r="VZM96" s="39"/>
      <c r="VZN96" s="39"/>
      <c r="VZO96" s="39"/>
      <c r="VZP96" s="39"/>
      <c r="VZQ96" s="39"/>
      <c r="VZR96" s="39"/>
      <c r="VZS96" s="39"/>
      <c r="VZT96" s="39"/>
      <c r="VZU96" s="39"/>
      <c r="VZV96" s="39"/>
      <c r="VZW96" s="39"/>
      <c r="VZX96" s="39"/>
      <c r="VZY96" s="39"/>
      <c r="VZZ96" s="39"/>
      <c r="WAA96" s="39"/>
      <c r="WAB96" s="39"/>
      <c r="WAC96" s="39"/>
      <c r="WAD96" s="39"/>
      <c r="WAE96" s="39"/>
      <c r="WAF96" s="39"/>
      <c r="WAG96" s="39"/>
      <c r="WAH96" s="39"/>
      <c r="WAI96" s="39"/>
      <c r="WAJ96" s="39"/>
      <c r="WAK96" s="39"/>
      <c r="WAL96" s="39"/>
      <c r="WAM96" s="39"/>
      <c r="WAN96" s="39"/>
      <c r="WAO96" s="39"/>
      <c r="WAP96" s="39"/>
      <c r="WAQ96" s="39"/>
      <c r="WAR96" s="39"/>
      <c r="WAS96" s="39"/>
      <c r="WAT96" s="39"/>
      <c r="WAU96" s="39"/>
      <c r="WAV96" s="39"/>
      <c r="WAW96" s="39"/>
      <c r="WAX96" s="39"/>
      <c r="WAY96" s="39"/>
      <c r="WAZ96" s="39"/>
      <c r="WBA96" s="39"/>
      <c r="WBB96" s="39"/>
      <c r="WBC96" s="39"/>
      <c r="WBD96" s="39"/>
      <c r="WBE96" s="39"/>
      <c r="WBF96" s="39"/>
      <c r="WBG96" s="39"/>
      <c r="WBH96" s="39"/>
      <c r="WBI96" s="39"/>
      <c r="WBJ96" s="39"/>
      <c r="WBK96" s="39"/>
      <c r="WBL96" s="39"/>
      <c r="WBM96" s="39"/>
      <c r="WBN96" s="39"/>
      <c r="WBO96" s="39"/>
      <c r="WBP96" s="39"/>
      <c r="WBQ96" s="39"/>
      <c r="WBR96" s="39"/>
      <c r="WBS96" s="39"/>
      <c r="WBT96" s="39"/>
      <c r="WBU96" s="39"/>
      <c r="WBV96" s="39"/>
      <c r="WBW96" s="39"/>
      <c r="WBX96" s="39"/>
      <c r="WBY96" s="39"/>
      <c r="WBZ96" s="39"/>
      <c r="WCA96" s="39"/>
      <c r="WCB96" s="39"/>
      <c r="WCC96" s="39"/>
      <c r="WCD96" s="39"/>
      <c r="WCE96" s="39"/>
      <c r="WCF96" s="39"/>
      <c r="WCG96" s="39"/>
      <c r="WCH96" s="39"/>
      <c r="WCI96" s="39"/>
      <c r="WCJ96" s="39"/>
      <c r="WCK96" s="39"/>
      <c r="WCL96" s="39"/>
      <c r="WCM96" s="39"/>
      <c r="WCN96" s="39"/>
      <c r="WCO96" s="39"/>
      <c r="WCP96" s="39"/>
      <c r="WCQ96" s="39"/>
      <c r="WCR96" s="39"/>
      <c r="WCS96" s="39"/>
      <c r="WCT96" s="39"/>
      <c r="WCU96" s="39"/>
      <c r="WCV96" s="39"/>
      <c r="WCW96" s="39"/>
      <c r="WCX96" s="39"/>
      <c r="WCY96" s="39"/>
      <c r="WCZ96" s="39"/>
      <c r="WDA96" s="39"/>
      <c r="WDB96" s="39"/>
      <c r="WDC96" s="39"/>
      <c r="WDD96" s="39"/>
      <c r="WDE96" s="39"/>
      <c r="WDF96" s="39"/>
      <c r="WDG96" s="39"/>
      <c r="WDH96" s="39"/>
      <c r="WDI96" s="39"/>
      <c r="WDJ96" s="39"/>
      <c r="WDK96" s="39"/>
      <c r="WDL96" s="39"/>
      <c r="WDM96" s="39"/>
      <c r="WDN96" s="39"/>
      <c r="WDO96" s="39"/>
      <c r="WDP96" s="39"/>
      <c r="WDQ96" s="39"/>
      <c r="WDR96" s="39"/>
      <c r="WDS96" s="39"/>
      <c r="WDT96" s="39"/>
      <c r="WDU96" s="39"/>
      <c r="WDV96" s="39"/>
      <c r="WDW96" s="39"/>
      <c r="WDX96" s="39"/>
      <c r="WDY96" s="39"/>
      <c r="WDZ96" s="39"/>
      <c r="WEA96" s="39"/>
      <c r="WEB96" s="39"/>
      <c r="WEC96" s="39"/>
      <c r="WED96" s="39"/>
      <c r="WEE96" s="39"/>
      <c r="WEF96" s="39"/>
      <c r="WEG96" s="39"/>
      <c r="WEH96" s="39"/>
      <c r="WEI96" s="39"/>
      <c r="WEJ96" s="39"/>
      <c r="WEK96" s="39"/>
      <c r="WEL96" s="39"/>
      <c r="WEM96" s="39"/>
      <c r="WEN96" s="39"/>
      <c r="WEO96" s="39"/>
      <c r="WEP96" s="39"/>
      <c r="WEQ96" s="39"/>
      <c r="WER96" s="39"/>
      <c r="WES96" s="39"/>
      <c r="WET96" s="39"/>
      <c r="WEU96" s="39"/>
      <c r="WEV96" s="39"/>
      <c r="WEW96" s="39"/>
      <c r="WEX96" s="39"/>
      <c r="WEY96" s="39"/>
      <c r="WEZ96" s="39"/>
      <c r="WFA96" s="39"/>
      <c r="WFB96" s="39"/>
      <c r="WFC96" s="39"/>
      <c r="WFD96" s="39"/>
      <c r="WFE96" s="39"/>
      <c r="WFF96" s="39"/>
      <c r="WFG96" s="39"/>
      <c r="WFH96" s="39"/>
      <c r="WFI96" s="39"/>
      <c r="WFJ96" s="39"/>
      <c r="WFK96" s="39"/>
      <c r="WFL96" s="39"/>
      <c r="WFM96" s="39"/>
      <c r="WFN96" s="39"/>
      <c r="WFO96" s="39"/>
      <c r="WFP96" s="39"/>
      <c r="WFQ96" s="39"/>
      <c r="WFR96" s="39"/>
      <c r="WFS96" s="39"/>
      <c r="WFT96" s="39"/>
      <c r="WFU96" s="39"/>
      <c r="WFV96" s="39"/>
      <c r="WFW96" s="39"/>
      <c r="WFX96" s="39"/>
      <c r="WFY96" s="39"/>
      <c r="WFZ96" s="39"/>
      <c r="WGA96" s="39"/>
      <c r="WGB96" s="39"/>
      <c r="WGC96" s="39"/>
      <c r="WGD96" s="39"/>
      <c r="WGE96" s="39"/>
      <c r="WGF96" s="39"/>
      <c r="WGG96" s="39"/>
      <c r="WGH96" s="39"/>
      <c r="WGI96" s="39"/>
      <c r="WGJ96" s="39"/>
      <c r="WGK96" s="39"/>
      <c r="WGL96" s="39"/>
      <c r="WGM96" s="39"/>
      <c r="WGN96" s="39"/>
      <c r="WGO96" s="39"/>
      <c r="WGP96" s="39"/>
      <c r="WGQ96" s="39"/>
      <c r="WGR96" s="39"/>
      <c r="WGS96" s="39"/>
      <c r="WGT96" s="39"/>
      <c r="WGU96" s="39"/>
      <c r="WGV96" s="39"/>
      <c r="WGW96" s="39"/>
      <c r="WGX96" s="39"/>
      <c r="WGY96" s="39"/>
      <c r="WGZ96" s="39"/>
      <c r="WHA96" s="39"/>
      <c r="WHB96" s="39"/>
      <c r="WHC96" s="39"/>
      <c r="WHD96" s="39"/>
      <c r="WHE96" s="39"/>
      <c r="WHF96" s="39"/>
      <c r="WHG96" s="39"/>
      <c r="WHH96" s="39"/>
      <c r="WHI96" s="39"/>
      <c r="WHJ96" s="39"/>
      <c r="WHK96" s="39"/>
      <c r="WHL96" s="39"/>
      <c r="WHM96" s="39"/>
      <c r="WHN96" s="39"/>
      <c r="WHO96" s="39"/>
      <c r="WHP96" s="39"/>
      <c r="WHQ96" s="39"/>
      <c r="WHR96" s="39"/>
      <c r="WHS96" s="39"/>
      <c r="WHT96" s="39"/>
      <c r="WHU96" s="39"/>
      <c r="WHV96" s="39"/>
      <c r="WHW96" s="39"/>
      <c r="WHX96" s="39"/>
      <c r="WHY96" s="39"/>
      <c r="WHZ96" s="39"/>
      <c r="WIA96" s="39"/>
      <c r="WIB96" s="39"/>
      <c r="WIC96" s="39"/>
      <c r="WID96" s="39"/>
      <c r="WIE96" s="39"/>
      <c r="WIF96" s="39"/>
      <c r="WIG96" s="39"/>
      <c r="WIH96" s="39"/>
      <c r="WII96" s="39"/>
      <c r="WIJ96" s="39"/>
      <c r="WIK96" s="39"/>
      <c r="WIL96" s="39"/>
      <c r="WIM96" s="39"/>
      <c r="WIN96" s="39"/>
      <c r="WIO96" s="39"/>
      <c r="WIP96" s="39"/>
      <c r="WIQ96" s="39"/>
      <c r="WIR96" s="39"/>
      <c r="WIS96" s="39"/>
      <c r="WIT96" s="39"/>
      <c r="WIU96" s="39"/>
      <c r="WIV96" s="39"/>
      <c r="WIW96" s="39"/>
      <c r="WIX96" s="39"/>
      <c r="WIY96" s="39"/>
      <c r="WIZ96" s="39"/>
      <c r="WJA96" s="39"/>
      <c r="WJB96" s="39"/>
      <c r="WJC96" s="39"/>
      <c r="WJD96" s="39"/>
      <c r="WJE96" s="39"/>
      <c r="WJF96" s="39"/>
      <c r="WJG96" s="39"/>
      <c r="WJH96" s="39"/>
      <c r="WJI96" s="39"/>
      <c r="WJJ96" s="39"/>
      <c r="WJK96" s="39"/>
      <c r="WJL96" s="39"/>
      <c r="WJM96" s="39"/>
      <c r="WJN96" s="39"/>
      <c r="WJO96" s="39"/>
      <c r="WJP96" s="39"/>
      <c r="WJQ96" s="39"/>
      <c r="WJR96" s="39"/>
      <c r="WJS96" s="39"/>
      <c r="WJT96" s="39"/>
      <c r="WJU96" s="39"/>
      <c r="WJV96" s="39"/>
      <c r="WJW96" s="39"/>
      <c r="WJX96" s="39"/>
      <c r="WJY96" s="39"/>
      <c r="WJZ96" s="39"/>
      <c r="WKA96" s="39"/>
      <c r="WKB96" s="39"/>
      <c r="WKC96" s="39"/>
      <c r="WKD96" s="39"/>
      <c r="WKE96" s="39"/>
      <c r="WKF96" s="39"/>
      <c r="WKG96" s="39"/>
      <c r="WKH96" s="39"/>
      <c r="WKI96" s="39"/>
      <c r="WKJ96" s="39"/>
      <c r="WKK96" s="39"/>
      <c r="WKL96" s="39"/>
      <c r="WKM96" s="39"/>
      <c r="WKN96" s="39"/>
      <c r="WKO96" s="39"/>
      <c r="WKP96" s="39"/>
      <c r="WKQ96" s="39"/>
      <c r="WKR96" s="39"/>
      <c r="WKS96" s="39"/>
      <c r="WKT96" s="39"/>
      <c r="WKU96" s="39"/>
      <c r="WKV96" s="39"/>
      <c r="WKW96" s="39"/>
      <c r="WKX96" s="39"/>
      <c r="WKY96" s="39"/>
      <c r="WKZ96" s="39"/>
      <c r="WLA96" s="39"/>
      <c r="WLB96" s="39"/>
      <c r="WLC96" s="39"/>
      <c r="WLD96" s="39"/>
      <c r="WLE96" s="39"/>
      <c r="WLF96" s="39"/>
      <c r="WLG96" s="39"/>
      <c r="WLH96" s="39"/>
      <c r="WLI96" s="39"/>
      <c r="WLJ96" s="39"/>
      <c r="WLK96" s="39"/>
      <c r="WLL96" s="39"/>
      <c r="WLM96" s="39"/>
      <c r="WLN96" s="39"/>
      <c r="WLO96" s="39"/>
      <c r="WLP96" s="39"/>
      <c r="WLQ96" s="39"/>
      <c r="WLR96" s="39"/>
      <c r="WLS96" s="39"/>
      <c r="WLT96" s="39"/>
      <c r="WLU96" s="39"/>
      <c r="WLV96" s="39"/>
      <c r="WLW96" s="39"/>
      <c r="WLX96" s="39"/>
      <c r="WLY96" s="39"/>
      <c r="WLZ96" s="39"/>
      <c r="WMA96" s="39"/>
      <c r="WMB96" s="39"/>
      <c r="WMC96" s="39"/>
      <c r="WMD96" s="39"/>
      <c r="WME96" s="39"/>
      <c r="WMF96" s="39"/>
      <c r="WMG96" s="39"/>
      <c r="WMH96" s="39"/>
      <c r="WMI96" s="39"/>
      <c r="WMJ96" s="39"/>
      <c r="WMK96" s="39"/>
      <c r="WML96" s="39"/>
      <c r="WMM96" s="39"/>
      <c r="WMN96" s="39"/>
      <c r="WMO96" s="39"/>
      <c r="WMP96" s="39"/>
      <c r="WMQ96" s="39"/>
      <c r="WMR96" s="39"/>
      <c r="WMS96" s="39"/>
      <c r="WMT96" s="39"/>
      <c r="WMU96" s="39"/>
      <c r="WMV96" s="39"/>
      <c r="WMW96" s="39"/>
      <c r="WMX96" s="39"/>
      <c r="WMY96" s="39"/>
      <c r="WMZ96" s="39"/>
      <c r="WNA96" s="39"/>
      <c r="WNB96" s="39"/>
      <c r="WNC96" s="39"/>
      <c r="WND96" s="39"/>
      <c r="WNE96" s="39"/>
      <c r="WNF96" s="39"/>
      <c r="WNG96" s="39"/>
      <c r="WNH96" s="39"/>
      <c r="WNI96" s="39"/>
      <c r="WNJ96" s="39"/>
      <c r="WNK96" s="39"/>
      <c r="WNL96" s="39"/>
      <c r="WNM96" s="39"/>
      <c r="WNN96" s="39"/>
      <c r="WNO96" s="39"/>
      <c r="WNP96" s="39"/>
      <c r="WNQ96" s="39"/>
      <c r="WNR96" s="39"/>
      <c r="WNS96" s="39"/>
      <c r="WNT96" s="39"/>
      <c r="WNU96" s="39"/>
      <c r="WNV96" s="39"/>
      <c r="WNW96" s="39"/>
      <c r="WNX96" s="39"/>
      <c r="WNY96" s="39"/>
      <c r="WNZ96" s="39"/>
      <c r="WOA96" s="39"/>
      <c r="WOB96" s="39"/>
      <c r="WOC96" s="39"/>
      <c r="WOD96" s="39"/>
      <c r="WOE96" s="39"/>
      <c r="WOF96" s="39"/>
      <c r="WOG96" s="39"/>
      <c r="WOH96" s="39"/>
      <c r="WOI96" s="39"/>
      <c r="WOJ96" s="39"/>
      <c r="WOK96" s="39"/>
      <c r="WOL96" s="39"/>
      <c r="WOM96" s="39"/>
      <c r="WON96" s="39"/>
      <c r="WOO96" s="39"/>
      <c r="WOP96" s="39"/>
      <c r="WOQ96" s="39"/>
      <c r="WOR96" s="39"/>
      <c r="WOS96" s="39"/>
      <c r="WOT96" s="39"/>
      <c r="WOU96" s="39"/>
      <c r="WOV96" s="39"/>
      <c r="WOW96" s="39"/>
      <c r="WOX96" s="39"/>
      <c r="WOY96" s="39"/>
      <c r="WOZ96" s="39"/>
      <c r="WPA96" s="39"/>
      <c r="WPB96" s="39"/>
      <c r="WPC96" s="39"/>
      <c r="WPD96" s="39"/>
      <c r="WPE96" s="39"/>
      <c r="WPF96" s="39"/>
      <c r="WPG96" s="39"/>
      <c r="WPH96" s="39"/>
      <c r="WPI96" s="39"/>
      <c r="WPJ96" s="39"/>
      <c r="WPK96" s="39"/>
      <c r="WPL96" s="39"/>
      <c r="WPM96" s="39"/>
      <c r="WPN96" s="39"/>
      <c r="WPO96" s="39"/>
      <c r="WPP96" s="39"/>
      <c r="WPQ96" s="39"/>
      <c r="WPR96" s="39"/>
      <c r="WPS96" s="39"/>
      <c r="WPT96" s="39"/>
      <c r="WPU96" s="39"/>
      <c r="WPV96" s="39"/>
      <c r="WPW96" s="39"/>
      <c r="WPX96" s="39"/>
      <c r="WPY96" s="39"/>
      <c r="WPZ96" s="39"/>
      <c r="WQA96" s="39"/>
      <c r="WQB96" s="39"/>
      <c r="WQC96" s="39"/>
      <c r="WQD96" s="39"/>
      <c r="WQE96" s="39"/>
      <c r="WQF96" s="39"/>
      <c r="WQG96" s="39"/>
      <c r="WQH96" s="39"/>
      <c r="WQI96" s="39"/>
      <c r="WQJ96" s="39"/>
      <c r="WQK96" s="39"/>
      <c r="WQL96" s="39"/>
      <c r="WQM96" s="39"/>
      <c r="WQN96" s="39"/>
      <c r="WQO96" s="39"/>
      <c r="WQP96" s="39"/>
      <c r="WQQ96" s="39"/>
      <c r="WQR96" s="39"/>
      <c r="WQS96" s="39"/>
      <c r="WQT96" s="39"/>
      <c r="WQU96" s="39"/>
      <c r="WQV96" s="39"/>
      <c r="WQW96" s="39"/>
      <c r="WQX96" s="39"/>
      <c r="WQY96" s="39"/>
      <c r="WQZ96" s="39"/>
      <c r="WRA96" s="39"/>
      <c r="WRB96" s="39"/>
      <c r="WRC96" s="39"/>
      <c r="WRD96" s="39"/>
      <c r="WRE96" s="39"/>
      <c r="WRF96" s="39"/>
      <c r="WRG96" s="39"/>
      <c r="WRH96" s="39"/>
      <c r="WRI96" s="39"/>
      <c r="WRJ96" s="39"/>
      <c r="WRK96" s="39"/>
      <c r="WRL96" s="39"/>
      <c r="WRM96" s="39"/>
      <c r="WRN96" s="39"/>
      <c r="WRO96" s="39"/>
      <c r="WRP96" s="39"/>
      <c r="WRQ96" s="39"/>
      <c r="WRR96" s="39"/>
      <c r="WRS96" s="39"/>
      <c r="WRT96" s="39"/>
      <c r="WRU96" s="39"/>
      <c r="WRV96" s="39"/>
      <c r="WRW96" s="39"/>
      <c r="WRX96" s="39"/>
      <c r="WRY96" s="39"/>
      <c r="WRZ96" s="39"/>
      <c r="WSA96" s="39"/>
      <c r="WSB96" s="39"/>
      <c r="WSC96" s="39"/>
      <c r="WSD96" s="39"/>
      <c r="WSE96" s="39"/>
      <c r="WSF96" s="39"/>
      <c r="WSG96" s="39"/>
      <c r="WSH96" s="39"/>
      <c r="WSI96" s="39"/>
      <c r="WSJ96" s="39"/>
      <c r="WSK96" s="39"/>
      <c r="WSL96" s="39"/>
      <c r="WSM96" s="39"/>
      <c r="WSN96" s="39"/>
      <c r="WSO96" s="39"/>
      <c r="WSP96" s="39"/>
      <c r="WSQ96" s="39"/>
      <c r="WSR96" s="39"/>
      <c r="WSS96" s="39"/>
      <c r="WST96" s="39"/>
      <c r="WSU96" s="39"/>
      <c r="WSV96" s="39"/>
      <c r="WSW96" s="39"/>
      <c r="WSX96" s="39"/>
      <c r="WSY96" s="39"/>
      <c r="WSZ96" s="39"/>
      <c r="WTA96" s="39"/>
      <c r="WTB96" s="39"/>
      <c r="WTC96" s="39"/>
      <c r="WTD96" s="39"/>
      <c r="WTE96" s="39"/>
      <c r="WTF96" s="39"/>
      <c r="WTG96" s="39"/>
      <c r="WTH96" s="39"/>
      <c r="WTI96" s="39"/>
      <c r="WTJ96" s="39"/>
      <c r="WTK96" s="39"/>
      <c r="WTL96" s="39"/>
      <c r="WTM96" s="39"/>
      <c r="WTN96" s="39"/>
      <c r="WTO96" s="39"/>
      <c r="WTP96" s="39"/>
      <c r="WTQ96" s="39"/>
      <c r="WTR96" s="39"/>
      <c r="WTS96" s="39"/>
      <c r="WTT96" s="39"/>
      <c r="WTU96" s="39"/>
      <c r="WTV96" s="39"/>
      <c r="WTW96" s="39"/>
      <c r="WTX96" s="39"/>
      <c r="WTY96" s="39"/>
      <c r="WTZ96" s="39"/>
      <c r="WUA96" s="39"/>
      <c r="WUB96" s="39"/>
      <c r="WUC96" s="39"/>
      <c r="WUD96" s="39"/>
      <c r="WUE96" s="39"/>
      <c r="WUF96" s="39"/>
      <c r="WUG96" s="39"/>
      <c r="WUH96" s="39"/>
      <c r="WUI96" s="39"/>
      <c r="WUJ96" s="39"/>
      <c r="WUK96" s="39"/>
      <c r="WUL96" s="39"/>
      <c r="WUM96" s="39"/>
      <c r="WUN96" s="39"/>
      <c r="WUO96" s="39"/>
      <c r="WUP96" s="39"/>
      <c r="WUQ96" s="39"/>
      <c r="WUR96" s="39"/>
      <c r="WUS96" s="39"/>
      <c r="WUT96" s="39"/>
      <c r="WUU96" s="39"/>
      <c r="WUV96" s="39"/>
      <c r="WUW96" s="39"/>
      <c r="WUX96" s="39"/>
      <c r="WUY96" s="39"/>
      <c r="WUZ96" s="39"/>
      <c r="WVA96" s="39"/>
      <c r="WVB96" s="39"/>
      <c r="WVC96" s="39"/>
      <c r="WVD96" s="39"/>
      <c r="WVE96" s="39"/>
      <c r="WVF96" s="39"/>
      <c r="WVG96" s="39"/>
      <c r="WVH96" s="39"/>
      <c r="WVI96" s="39"/>
      <c r="WVJ96" s="39"/>
      <c r="WVK96" s="39"/>
      <c r="WVL96" s="39"/>
      <c r="WVM96" s="39"/>
      <c r="WVN96" s="39"/>
      <c r="WVO96" s="39"/>
      <c r="WVP96" s="39"/>
      <c r="WVQ96" s="39"/>
      <c r="WVR96" s="39"/>
      <c r="WVS96" s="39"/>
      <c r="WVT96" s="39"/>
      <c r="WVU96" s="39"/>
      <c r="WVV96" s="39"/>
      <c r="WVW96" s="39"/>
      <c r="WVX96" s="39"/>
      <c r="WVY96" s="39"/>
      <c r="WVZ96" s="39"/>
      <c r="WWA96" s="39"/>
      <c r="WWB96" s="39"/>
      <c r="WWC96" s="39"/>
      <c r="WWD96" s="39"/>
      <c r="WWE96" s="39"/>
      <c r="WWF96" s="39"/>
      <c r="WWG96" s="39"/>
      <c r="WWH96" s="39"/>
      <c r="WWI96" s="39"/>
      <c r="WWJ96" s="39"/>
      <c r="WWK96" s="39"/>
      <c r="WWL96" s="39"/>
      <c r="WWM96" s="39"/>
      <c r="WWN96" s="39"/>
      <c r="WWO96" s="39"/>
      <c r="WWP96" s="39"/>
      <c r="WWQ96" s="39"/>
      <c r="WWR96" s="39"/>
      <c r="WWS96" s="39"/>
      <c r="WWT96" s="39"/>
      <c r="WWU96" s="39"/>
      <c r="WWV96" s="39"/>
      <c r="WWW96" s="39"/>
      <c r="WWX96" s="39"/>
      <c r="WWY96" s="39"/>
      <c r="WWZ96" s="39"/>
      <c r="WXA96" s="39"/>
      <c r="WXB96" s="39"/>
      <c r="WXC96" s="39"/>
      <c r="WXD96" s="39"/>
      <c r="WXE96" s="39"/>
      <c r="WXF96" s="39"/>
      <c r="WXG96" s="39"/>
      <c r="WXH96" s="39"/>
      <c r="WXI96" s="39"/>
      <c r="WXJ96" s="39"/>
      <c r="WXK96" s="39"/>
      <c r="WXL96" s="39"/>
      <c r="WXM96" s="39"/>
      <c r="WXN96" s="39"/>
      <c r="WXO96" s="39"/>
      <c r="WXP96" s="39"/>
      <c r="WXQ96" s="39"/>
      <c r="WXR96" s="39"/>
      <c r="WXS96" s="39"/>
      <c r="WXT96" s="39"/>
      <c r="WXU96" s="39"/>
      <c r="WXV96" s="39"/>
      <c r="WXW96" s="39"/>
      <c r="WXX96" s="39"/>
      <c r="WXY96" s="39"/>
      <c r="WXZ96" s="39"/>
      <c r="WYA96" s="39"/>
      <c r="WYB96" s="39"/>
      <c r="WYC96" s="39"/>
      <c r="WYD96" s="39"/>
      <c r="WYE96" s="39"/>
      <c r="WYF96" s="39"/>
      <c r="WYG96" s="39"/>
      <c r="WYH96" s="39"/>
      <c r="WYI96" s="39"/>
      <c r="WYJ96" s="39"/>
      <c r="WYK96" s="39"/>
      <c r="WYL96" s="39"/>
      <c r="WYM96" s="39"/>
      <c r="WYN96" s="39"/>
      <c r="WYO96" s="39"/>
      <c r="WYP96" s="39"/>
      <c r="WYQ96" s="39"/>
      <c r="WYR96" s="39"/>
      <c r="WYS96" s="39"/>
      <c r="WYT96" s="39"/>
      <c r="WYU96" s="39"/>
      <c r="WYV96" s="39"/>
      <c r="WYW96" s="39"/>
      <c r="WYX96" s="39"/>
      <c r="WYY96" s="39"/>
      <c r="WYZ96" s="39"/>
      <c r="WZA96" s="39"/>
      <c r="WZB96" s="39"/>
      <c r="WZC96" s="39"/>
      <c r="WZD96" s="39"/>
      <c r="WZE96" s="39"/>
      <c r="WZF96" s="39"/>
      <c r="WZG96" s="39"/>
      <c r="WZH96" s="39"/>
      <c r="WZI96" s="39"/>
      <c r="WZJ96" s="39"/>
      <c r="WZK96" s="39"/>
      <c r="WZL96" s="39"/>
      <c r="WZM96" s="39"/>
      <c r="WZN96" s="39"/>
      <c r="WZO96" s="39"/>
      <c r="WZP96" s="39"/>
      <c r="WZQ96" s="39"/>
      <c r="WZR96" s="39"/>
      <c r="WZS96" s="39"/>
      <c r="WZT96" s="39"/>
      <c r="WZU96" s="39"/>
      <c r="WZV96" s="39"/>
      <c r="WZW96" s="39"/>
      <c r="WZX96" s="39"/>
      <c r="WZY96" s="39"/>
      <c r="WZZ96" s="39"/>
      <c r="XAA96" s="39"/>
      <c r="XAB96" s="39"/>
      <c r="XAC96" s="39"/>
      <c r="XAD96" s="39"/>
      <c r="XAE96" s="39"/>
      <c r="XAF96" s="39"/>
      <c r="XAG96" s="39"/>
      <c r="XAH96" s="39"/>
      <c r="XAI96" s="39"/>
      <c r="XAJ96" s="39"/>
      <c r="XAK96" s="39"/>
      <c r="XAL96" s="39"/>
      <c r="XAM96" s="39"/>
      <c r="XAN96" s="39"/>
      <c r="XAO96" s="39"/>
      <c r="XAP96" s="39"/>
      <c r="XAQ96" s="39"/>
      <c r="XAR96" s="39"/>
      <c r="XAS96" s="39"/>
      <c r="XAT96" s="39"/>
      <c r="XAU96" s="39"/>
      <c r="XAV96" s="39"/>
      <c r="XAW96" s="39"/>
      <c r="XAX96" s="39"/>
      <c r="XAY96" s="39"/>
      <c r="XAZ96" s="39"/>
      <c r="XBA96" s="39"/>
      <c r="XBB96" s="39"/>
      <c r="XBC96" s="39"/>
      <c r="XBD96" s="39"/>
      <c r="XBE96" s="39"/>
      <c r="XBF96" s="39"/>
      <c r="XBG96" s="39"/>
      <c r="XBH96" s="39"/>
      <c r="XBI96" s="39"/>
      <c r="XBJ96" s="39"/>
      <c r="XBK96" s="39"/>
      <c r="XBL96" s="39"/>
      <c r="XBM96" s="39"/>
      <c r="XBN96" s="39"/>
      <c r="XBO96" s="39"/>
      <c r="XBP96" s="39"/>
      <c r="XBQ96" s="39"/>
      <c r="XBR96" s="39"/>
      <c r="XBS96" s="39"/>
      <c r="XBT96" s="39"/>
      <c r="XBU96" s="39"/>
      <c r="XBV96" s="39"/>
      <c r="XBW96" s="39"/>
      <c r="XBX96" s="39"/>
      <c r="XBY96" s="39"/>
      <c r="XBZ96" s="39"/>
      <c r="XCA96" s="39"/>
      <c r="XCB96" s="39"/>
      <c r="XCC96" s="39"/>
      <c r="XCD96" s="39"/>
      <c r="XCE96" s="39"/>
      <c r="XCF96" s="39"/>
      <c r="XCG96" s="39"/>
      <c r="XCH96" s="39"/>
      <c r="XCI96" s="39"/>
      <c r="XCJ96" s="39"/>
      <c r="XCK96" s="39"/>
      <c r="XCL96" s="39"/>
      <c r="XCM96" s="39"/>
      <c r="XCN96" s="39"/>
      <c r="XCO96" s="39"/>
      <c r="XCP96" s="39"/>
      <c r="XCQ96" s="39"/>
      <c r="XCR96" s="39"/>
      <c r="XCS96" s="39"/>
      <c r="XCT96" s="39"/>
      <c r="XCU96" s="39"/>
      <c r="XCV96" s="39"/>
      <c r="XCW96" s="39"/>
      <c r="XCX96" s="39"/>
      <c r="XCY96" s="39"/>
      <c r="XCZ96" s="39"/>
      <c r="XDA96" s="39"/>
      <c r="XDB96" s="39"/>
      <c r="XDC96" s="39"/>
      <c r="XDD96" s="39"/>
      <c r="XDE96" s="39"/>
      <c r="XDF96" s="39"/>
      <c r="XDG96" s="39"/>
      <c r="XDH96" s="39"/>
      <c r="XDI96" s="39"/>
      <c r="XDJ96" s="39"/>
      <c r="XDK96" s="39"/>
      <c r="XDL96" s="39"/>
      <c r="XDM96" s="39"/>
      <c r="XDN96" s="39"/>
      <c r="XDO96" s="39"/>
      <c r="XDP96" s="39"/>
      <c r="XDQ96" s="39"/>
      <c r="XDR96" s="39"/>
      <c r="XDS96" s="39"/>
      <c r="XDT96" s="39"/>
      <c r="XDU96" s="39"/>
      <c r="XDV96" s="39"/>
      <c r="XDW96" s="39"/>
      <c r="XDX96" s="39"/>
      <c r="XDY96" s="39"/>
      <c r="XDZ96" s="39"/>
      <c r="XEA96" s="39"/>
      <c r="XEB96" s="39"/>
      <c r="XEC96" s="39"/>
      <c r="XED96" s="39"/>
      <c r="XEE96" s="39"/>
      <c r="XEF96" s="39"/>
      <c r="XEG96" s="39"/>
      <c r="XEH96" s="39"/>
      <c r="XEI96" s="39"/>
      <c r="XEJ96" s="39"/>
      <c r="XEK96" s="39"/>
      <c r="XEL96" s="39"/>
      <c r="XEM96" s="39"/>
      <c r="XEN96" s="39"/>
      <c r="XEO96" s="39"/>
      <c r="XEP96" s="39"/>
      <c r="XEQ96" s="39"/>
      <c r="XER96" s="39"/>
      <c r="XES96" s="39"/>
      <c r="XET96" s="39"/>
      <c r="XEU96" s="39"/>
      <c r="XEV96" s="39"/>
      <c r="XEW96" s="39"/>
      <c r="XEX96" s="39"/>
      <c r="XEY96" s="39"/>
      <c r="XEZ96" s="39"/>
      <c r="XFA96" s="39"/>
      <c r="XFB96" s="39"/>
      <c r="XFC96" s="39"/>
    </row>
    <row r="97" spans="1:16383" ht="15" customHeight="1">
      <c r="A97" s="233" t="s">
        <v>773</v>
      </c>
      <c r="B97" s="25"/>
      <c r="C97" s="26">
        <v>42740</v>
      </c>
      <c r="D97" s="38" t="s">
        <v>29</v>
      </c>
      <c r="E97" s="38" t="s">
        <v>29</v>
      </c>
      <c r="F97" s="38" t="s">
        <v>30</v>
      </c>
      <c r="G97" s="38">
        <v>4</v>
      </c>
      <c r="H97" s="39" t="s">
        <v>136</v>
      </c>
      <c r="I97" s="39" t="s">
        <v>774</v>
      </c>
      <c r="J97" s="39" t="s">
        <v>775</v>
      </c>
      <c r="K97" s="39" t="s">
        <v>776</v>
      </c>
      <c r="L97" s="39" t="s">
        <v>777</v>
      </c>
      <c r="M97" s="45" t="s">
        <v>778</v>
      </c>
      <c r="N97" s="40" t="s">
        <v>13</v>
      </c>
      <c r="O97" s="94">
        <v>42585.5625</v>
      </c>
      <c r="P97" s="41" t="s">
        <v>169</v>
      </c>
      <c r="Q97" s="41" t="s">
        <v>169</v>
      </c>
      <c r="R97" s="42" t="s">
        <v>39</v>
      </c>
      <c r="S97" s="43">
        <v>42430</v>
      </c>
      <c r="T97" s="44" t="s">
        <v>219</v>
      </c>
      <c r="U97" s="52">
        <v>42677</v>
      </c>
      <c r="W97" s="54" t="s">
        <v>779</v>
      </c>
      <c r="X97" s="50" t="s">
        <v>433</v>
      </c>
      <c r="Y97" s="234">
        <v>210</v>
      </c>
      <c r="Z97" s="25" t="s">
        <v>44</v>
      </c>
      <c r="AA97" s="25">
        <f t="shared" si="1"/>
        <v>0</v>
      </c>
    </row>
    <row r="98" spans="1:16383" ht="15" customHeight="1">
      <c r="A98" s="24" t="s">
        <v>780</v>
      </c>
      <c r="B98" s="25"/>
      <c r="C98" s="26">
        <v>42744</v>
      </c>
      <c r="D98" s="38" t="s">
        <v>29</v>
      </c>
      <c r="E98" s="38" t="s">
        <v>29</v>
      </c>
      <c r="F98" s="38" t="s">
        <v>47</v>
      </c>
      <c r="G98" s="38">
        <v>3</v>
      </c>
      <c r="H98" s="39" t="s">
        <v>781</v>
      </c>
      <c r="I98" s="39" t="s">
        <v>782</v>
      </c>
      <c r="J98" s="39" t="s">
        <v>783</v>
      </c>
      <c r="K98" s="39" t="s">
        <v>784</v>
      </c>
      <c r="L98" s="39" t="s">
        <v>785</v>
      </c>
      <c r="M98" s="45" t="s">
        <v>786</v>
      </c>
      <c r="N98" s="40" t="s">
        <v>13</v>
      </c>
      <c r="O98" s="94">
        <v>42579.375</v>
      </c>
      <c r="P98" s="41" t="s">
        <v>547</v>
      </c>
      <c r="Q98" s="41" t="s">
        <v>54</v>
      </c>
      <c r="R98" s="42" t="s">
        <v>77</v>
      </c>
      <c r="T98" s="44" t="s">
        <v>159</v>
      </c>
      <c r="U98" s="52">
        <v>42712</v>
      </c>
      <c r="W98" s="54" t="s">
        <v>787</v>
      </c>
      <c r="X98" s="50" t="s">
        <v>57</v>
      </c>
      <c r="Y98" s="38">
        <v>210</v>
      </c>
      <c r="Z98" s="231" t="s">
        <v>44</v>
      </c>
      <c r="AA98" s="25">
        <f t="shared" si="1"/>
        <v>0</v>
      </c>
      <c r="AB98" s="24" t="s">
        <v>788</v>
      </c>
    </row>
    <row r="99" spans="1:16383" ht="15" customHeight="1">
      <c r="A99" s="24" t="s">
        <v>789</v>
      </c>
      <c r="B99" s="25"/>
      <c r="C99" s="26">
        <v>42753</v>
      </c>
      <c r="D99" s="38" t="s">
        <v>29</v>
      </c>
      <c r="E99" s="38" t="s">
        <v>29</v>
      </c>
      <c r="F99" s="38" t="s">
        <v>69</v>
      </c>
      <c r="G99" s="38">
        <v>3</v>
      </c>
      <c r="H99" s="39" t="s">
        <v>790</v>
      </c>
      <c r="I99" s="39" t="s">
        <v>437</v>
      </c>
      <c r="J99" s="39" t="s">
        <v>791</v>
      </c>
      <c r="K99" s="39" t="s">
        <v>792</v>
      </c>
      <c r="L99" s="39" t="s">
        <v>793</v>
      </c>
      <c r="M99" s="45" t="s">
        <v>794</v>
      </c>
      <c r="N99" s="158" t="s">
        <v>13</v>
      </c>
      <c r="O99" s="95">
        <v>42622.333333333336</v>
      </c>
      <c r="P99" s="41" t="s">
        <v>41</v>
      </c>
      <c r="Q99" s="41" t="s">
        <v>41</v>
      </c>
      <c r="R99" s="42" t="s">
        <v>39</v>
      </c>
      <c r="S99" s="43">
        <v>42430</v>
      </c>
      <c r="T99" s="44" t="s">
        <v>159</v>
      </c>
      <c r="U99" s="52">
        <v>42704</v>
      </c>
      <c r="W99" s="54" t="s">
        <v>795</v>
      </c>
      <c r="X99" s="50" t="s">
        <v>80</v>
      </c>
      <c r="Y99" s="38">
        <v>264</v>
      </c>
      <c r="Z99" s="231" t="s">
        <v>44</v>
      </c>
      <c r="AA99" s="25">
        <f t="shared" si="1"/>
        <v>0</v>
      </c>
    </row>
    <row r="100" spans="1:16383" ht="15" customHeight="1">
      <c r="A100" s="24" t="s">
        <v>796</v>
      </c>
      <c r="B100" s="25"/>
      <c r="D100" s="38" t="s">
        <v>29</v>
      </c>
      <c r="E100" s="38" t="s">
        <v>94</v>
      </c>
      <c r="F100" s="38" t="s">
        <v>95</v>
      </c>
      <c r="G100" s="38">
        <v>1</v>
      </c>
      <c r="H100" s="39" t="s">
        <v>797</v>
      </c>
      <c r="I100" s="39" t="s">
        <v>798</v>
      </c>
      <c r="J100" s="39" t="s">
        <v>799</v>
      </c>
      <c r="K100" s="187" t="s">
        <v>800</v>
      </c>
      <c r="L100" s="188" t="s">
        <v>440</v>
      </c>
      <c r="M100" s="45" t="s">
        <v>801</v>
      </c>
      <c r="N100" s="158" t="s">
        <v>13</v>
      </c>
      <c r="O100" s="95">
        <v>42593.375</v>
      </c>
      <c r="P100" s="41" t="s">
        <v>520</v>
      </c>
      <c r="Q100" s="41" t="s">
        <v>102</v>
      </c>
      <c r="R100" s="42" t="s">
        <v>77</v>
      </c>
      <c r="T100" s="44" t="s">
        <v>78</v>
      </c>
      <c r="U100" s="52">
        <v>42614</v>
      </c>
      <c r="V100" s="48" t="s">
        <v>288</v>
      </c>
      <c r="W100" s="54" t="s">
        <v>802</v>
      </c>
      <c r="X100" s="50" t="s">
        <v>222</v>
      </c>
      <c r="Y100" s="38">
        <v>46</v>
      </c>
      <c r="Z100" s="25" t="s">
        <v>44</v>
      </c>
      <c r="AA100" s="25">
        <f t="shared" si="1"/>
        <v>1</v>
      </c>
      <c r="AC100" s="39"/>
    </row>
    <row r="101" spans="1:16383" ht="15" customHeight="1">
      <c r="A101" s="233" t="s">
        <v>803</v>
      </c>
      <c r="B101" s="25"/>
      <c r="C101" s="26">
        <v>42761</v>
      </c>
      <c r="D101" s="38" t="s">
        <v>29</v>
      </c>
      <c r="E101" s="38" t="s">
        <v>29</v>
      </c>
      <c r="F101" s="38" t="s">
        <v>30</v>
      </c>
      <c r="G101" s="38">
        <v>25</v>
      </c>
      <c r="H101" s="39" t="s">
        <v>640</v>
      </c>
      <c r="I101" s="39" t="s">
        <v>804</v>
      </c>
      <c r="J101" s="393" t="s">
        <v>805</v>
      </c>
      <c r="K101" s="393" t="s">
        <v>806</v>
      </c>
      <c r="L101" s="39" t="s">
        <v>676</v>
      </c>
      <c r="M101" s="395" t="s">
        <v>807</v>
      </c>
      <c r="N101" s="40" t="s">
        <v>13</v>
      </c>
      <c r="O101" s="94">
        <v>42591.375</v>
      </c>
      <c r="P101" s="41" t="s">
        <v>169</v>
      </c>
      <c r="Q101" s="41" t="s">
        <v>169</v>
      </c>
      <c r="R101" s="42" t="s">
        <v>39</v>
      </c>
      <c r="S101" s="43">
        <v>42491</v>
      </c>
      <c r="T101" s="44" t="s">
        <v>808</v>
      </c>
      <c r="U101" s="52">
        <v>42670</v>
      </c>
      <c r="W101" s="54" t="s">
        <v>809</v>
      </c>
      <c r="X101" s="50" t="s">
        <v>43</v>
      </c>
      <c r="Y101" s="38">
        <v>1879</v>
      </c>
      <c r="Z101" s="25" t="s">
        <v>44</v>
      </c>
      <c r="AA101" s="25">
        <f t="shared" si="1"/>
        <v>0</v>
      </c>
      <c r="AB101" s="24" t="s">
        <v>810</v>
      </c>
    </row>
    <row r="102" spans="1:16383" ht="15" customHeight="1">
      <c r="A102" s="233" t="s">
        <v>811</v>
      </c>
      <c r="B102" s="25"/>
      <c r="C102" s="26">
        <v>42719</v>
      </c>
      <c r="D102" s="38" t="s">
        <v>29</v>
      </c>
      <c r="E102" s="38" t="s">
        <v>29</v>
      </c>
      <c r="F102" s="38" t="s">
        <v>30</v>
      </c>
      <c r="G102" s="38">
        <v>1</v>
      </c>
      <c r="H102" s="161" t="s">
        <v>812</v>
      </c>
      <c r="I102" s="161" t="s">
        <v>813</v>
      </c>
      <c r="J102" s="161" t="s">
        <v>814</v>
      </c>
      <c r="K102" s="161" t="s">
        <v>815</v>
      </c>
      <c r="L102" s="39" t="s">
        <v>816</v>
      </c>
      <c r="M102" s="45" t="s">
        <v>807</v>
      </c>
      <c r="N102" s="40" t="s">
        <v>13</v>
      </c>
      <c r="O102" s="94">
        <v>42689.458333333336</v>
      </c>
      <c r="P102" s="41" t="s">
        <v>169</v>
      </c>
      <c r="Q102" s="41" t="s">
        <v>169</v>
      </c>
      <c r="T102" s="44" t="s">
        <v>78</v>
      </c>
      <c r="U102" s="52">
        <v>42705</v>
      </c>
      <c r="W102" s="54" t="s">
        <v>817</v>
      </c>
      <c r="X102" s="50" t="s">
        <v>43</v>
      </c>
      <c r="Y102" s="234">
        <v>14</v>
      </c>
      <c r="Z102" s="25" t="s">
        <v>44</v>
      </c>
      <c r="AA102" s="25">
        <f t="shared" si="1"/>
        <v>0</v>
      </c>
    </row>
    <row r="103" spans="1:16383" ht="15" customHeight="1">
      <c r="A103" s="24" t="s">
        <v>818</v>
      </c>
      <c r="B103" s="25"/>
      <c r="C103" s="26">
        <v>42667</v>
      </c>
      <c r="D103" s="38" t="s">
        <v>29</v>
      </c>
      <c r="E103" s="38" t="s">
        <v>29</v>
      </c>
      <c r="F103" s="38" t="s">
        <v>47</v>
      </c>
      <c r="G103" s="38">
        <v>2</v>
      </c>
      <c r="H103" s="39" t="s">
        <v>463</v>
      </c>
      <c r="I103" s="39" t="s">
        <v>819</v>
      </c>
      <c r="J103" s="39" t="s">
        <v>820</v>
      </c>
      <c r="K103" s="25" t="s">
        <v>821</v>
      </c>
      <c r="L103" s="39" t="s">
        <v>676</v>
      </c>
      <c r="M103" s="45" t="s">
        <v>822</v>
      </c>
      <c r="N103" s="40" t="s">
        <v>13</v>
      </c>
      <c r="O103" s="94">
        <v>42573.270833333336</v>
      </c>
      <c r="P103" s="41" t="s">
        <v>102</v>
      </c>
      <c r="Q103" s="41" t="s">
        <v>102</v>
      </c>
      <c r="R103" s="42" t="s">
        <v>39</v>
      </c>
      <c r="S103" s="43">
        <v>42430</v>
      </c>
      <c r="T103" s="44" t="s">
        <v>65</v>
      </c>
      <c r="U103" s="52">
        <v>42649</v>
      </c>
      <c r="V103" s="48" t="s">
        <v>556</v>
      </c>
      <c r="W103" s="54" t="s">
        <v>823</v>
      </c>
      <c r="X103" s="50" t="s">
        <v>222</v>
      </c>
      <c r="Y103" s="38">
        <v>263</v>
      </c>
      <c r="Z103" s="231" t="s">
        <v>44</v>
      </c>
      <c r="AA103" s="25">
        <f t="shared" si="1"/>
        <v>0</v>
      </c>
    </row>
    <row r="104" spans="1:16383" ht="15" customHeight="1">
      <c r="A104" s="24" t="s">
        <v>824</v>
      </c>
      <c r="B104" s="25"/>
      <c r="C104" s="26">
        <v>42709</v>
      </c>
      <c r="D104" s="38" t="s">
        <v>29</v>
      </c>
      <c r="E104" s="38" t="s">
        <v>29</v>
      </c>
      <c r="F104" s="38" t="s">
        <v>69</v>
      </c>
      <c r="G104" s="38">
        <v>6</v>
      </c>
      <c r="H104" s="39" t="s">
        <v>825</v>
      </c>
      <c r="I104" s="39" t="s">
        <v>826</v>
      </c>
      <c r="J104" s="39" t="s">
        <v>827</v>
      </c>
      <c r="K104" s="39" t="s">
        <v>828</v>
      </c>
      <c r="L104" s="39" t="s">
        <v>100</v>
      </c>
      <c r="M104" s="45" t="s">
        <v>829</v>
      </c>
      <c r="N104" s="176" t="s">
        <v>13</v>
      </c>
      <c r="O104" s="95">
        <v>42592.416666666664</v>
      </c>
      <c r="P104" s="41" t="s">
        <v>830</v>
      </c>
      <c r="Q104" s="41" t="s">
        <v>41</v>
      </c>
      <c r="R104" s="42" t="s">
        <v>77</v>
      </c>
      <c r="T104" s="44" t="s">
        <v>193</v>
      </c>
      <c r="U104" s="52">
        <v>42658</v>
      </c>
      <c r="W104" s="54" t="s">
        <v>831</v>
      </c>
      <c r="X104" s="50" t="s">
        <v>43</v>
      </c>
      <c r="Y104" s="38">
        <v>347</v>
      </c>
      <c r="Z104" s="25" t="s">
        <v>44</v>
      </c>
      <c r="AA104" s="25">
        <f t="shared" si="1"/>
        <v>0</v>
      </c>
    </row>
    <row r="105" spans="1:16383" ht="15" customHeight="1">
      <c r="A105" s="235" t="s">
        <v>832</v>
      </c>
      <c r="B105" s="25"/>
      <c r="C105" s="26">
        <v>42695</v>
      </c>
      <c r="D105" s="38" t="s">
        <v>29</v>
      </c>
      <c r="E105" s="38" t="s">
        <v>29</v>
      </c>
      <c r="F105" s="38" t="s">
        <v>69</v>
      </c>
      <c r="H105" s="161" t="s">
        <v>471</v>
      </c>
      <c r="I105" s="161" t="s">
        <v>833</v>
      </c>
      <c r="J105" s="161" t="s">
        <v>834</v>
      </c>
      <c r="K105" s="161" t="s">
        <v>835</v>
      </c>
      <c r="L105" s="39" t="s">
        <v>100</v>
      </c>
      <c r="M105" s="45" t="s">
        <v>829</v>
      </c>
      <c r="N105" s="176" t="s">
        <v>13</v>
      </c>
      <c r="O105" s="95">
        <v>42696.4375</v>
      </c>
      <c r="P105" s="41" t="s">
        <v>112</v>
      </c>
      <c r="Q105" s="237" t="s">
        <v>112</v>
      </c>
      <c r="T105" s="238" t="s">
        <v>78</v>
      </c>
      <c r="U105" s="52">
        <v>42717</v>
      </c>
      <c r="W105" s="54" t="s">
        <v>836</v>
      </c>
      <c r="X105" s="239" t="s">
        <v>80</v>
      </c>
      <c r="Y105" s="234">
        <v>71</v>
      </c>
      <c r="Z105" s="231" t="s">
        <v>837</v>
      </c>
      <c r="AA105" s="25">
        <f t="shared" si="1"/>
        <v>0</v>
      </c>
    </row>
    <row r="106" spans="1:16383" ht="15" customHeight="1">
      <c r="A106" s="24" t="s">
        <v>838</v>
      </c>
      <c r="B106" s="25"/>
      <c r="C106" s="26">
        <v>42655</v>
      </c>
      <c r="D106" s="38" t="s">
        <v>29</v>
      </c>
      <c r="E106" s="38" t="s">
        <v>29</v>
      </c>
      <c r="F106" s="38" t="s">
        <v>95</v>
      </c>
      <c r="G106" s="38">
        <v>8</v>
      </c>
      <c r="H106" s="39" t="s">
        <v>390</v>
      </c>
      <c r="I106" s="39" t="s">
        <v>839</v>
      </c>
      <c r="J106" s="39" t="s">
        <v>840</v>
      </c>
      <c r="K106" s="39" t="s">
        <v>841</v>
      </c>
      <c r="L106" s="39" t="s">
        <v>505</v>
      </c>
      <c r="M106" s="45" t="s">
        <v>842</v>
      </c>
      <c r="N106" s="40" t="s">
        <v>13</v>
      </c>
      <c r="O106" s="94">
        <v>42593.416666666664</v>
      </c>
      <c r="P106" s="41" t="s">
        <v>122</v>
      </c>
      <c r="Q106" s="41" t="s">
        <v>122</v>
      </c>
      <c r="R106" s="42" t="s">
        <v>39</v>
      </c>
      <c r="S106" s="43">
        <v>42461</v>
      </c>
      <c r="T106" s="44" t="s">
        <v>90</v>
      </c>
      <c r="U106" s="52">
        <v>42634</v>
      </c>
      <c r="V106" s="48" t="s">
        <v>386</v>
      </c>
      <c r="W106" s="54" t="s">
        <v>843</v>
      </c>
      <c r="X106" s="50" t="s">
        <v>222</v>
      </c>
      <c r="Y106" s="38">
        <v>230</v>
      </c>
      <c r="Z106" s="25" t="s">
        <v>44</v>
      </c>
      <c r="AA106" s="25">
        <f t="shared" si="1"/>
        <v>0</v>
      </c>
      <c r="AB106" s="45" t="s">
        <v>844</v>
      </c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  <c r="FU106" s="39"/>
      <c r="FV106" s="39"/>
      <c r="FW106" s="39"/>
      <c r="FX106" s="39"/>
      <c r="FY106" s="39"/>
      <c r="FZ106" s="39"/>
      <c r="GA106" s="39"/>
      <c r="GB106" s="39"/>
      <c r="GC106" s="39"/>
      <c r="GD106" s="39"/>
      <c r="GE106" s="39"/>
      <c r="GF106" s="39"/>
      <c r="GG106" s="39"/>
      <c r="GH106" s="39"/>
      <c r="GI106" s="39"/>
      <c r="GJ106" s="39"/>
      <c r="GK106" s="39"/>
      <c r="GL106" s="39"/>
      <c r="GM106" s="39"/>
      <c r="GN106" s="39"/>
      <c r="GO106" s="39"/>
      <c r="GP106" s="39"/>
      <c r="GQ106" s="39"/>
      <c r="GR106" s="39"/>
      <c r="GS106" s="39"/>
      <c r="GT106" s="39"/>
      <c r="GU106" s="39"/>
      <c r="GV106" s="39"/>
      <c r="GW106" s="39"/>
      <c r="GX106" s="39"/>
      <c r="GY106" s="39"/>
      <c r="GZ106" s="39"/>
      <c r="HA106" s="39"/>
      <c r="HB106" s="39"/>
      <c r="HC106" s="39"/>
      <c r="HD106" s="39"/>
      <c r="HE106" s="39"/>
      <c r="HF106" s="39"/>
      <c r="HG106" s="39"/>
      <c r="HH106" s="39"/>
      <c r="HI106" s="39"/>
      <c r="HJ106" s="39"/>
      <c r="HK106" s="39"/>
      <c r="HL106" s="39"/>
      <c r="HM106" s="39"/>
      <c r="HN106" s="39"/>
      <c r="HO106" s="39"/>
      <c r="HP106" s="39"/>
      <c r="HQ106" s="39"/>
      <c r="HR106" s="39"/>
      <c r="HS106" s="39"/>
      <c r="HT106" s="39"/>
      <c r="HU106" s="39"/>
      <c r="HV106" s="39"/>
      <c r="HW106" s="39"/>
      <c r="HX106" s="39"/>
      <c r="HY106" s="39"/>
      <c r="HZ106" s="39"/>
      <c r="IA106" s="39"/>
      <c r="IB106" s="39"/>
      <c r="IC106" s="39"/>
      <c r="ID106" s="39"/>
      <c r="IE106" s="39"/>
      <c r="IF106" s="39"/>
      <c r="IG106" s="39"/>
      <c r="IH106" s="39"/>
      <c r="II106" s="39"/>
      <c r="IJ106" s="39"/>
      <c r="IK106" s="39"/>
      <c r="IL106" s="39"/>
      <c r="IM106" s="39"/>
      <c r="IN106" s="39"/>
      <c r="IO106" s="39"/>
      <c r="IP106" s="39"/>
      <c r="IQ106" s="39"/>
      <c r="IR106" s="39"/>
      <c r="IS106" s="39"/>
      <c r="IT106" s="39"/>
      <c r="IU106" s="39"/>
      <c r="IV106" s="39"/>
      <c r="IW106" s="39"/>
      <c r="IX106" s="39"/>
      <c r="IY106" s="39"/>
      <c r="IZ106" s="39"/>
      <c r="JA106" s="39"/>
      <c r="JB106" s="39"/>
      <c r="JC106" s="39"/>
      <c r="JD106" s="39"/>
      <c r="JE106" s="39"/>
      <c r="JF106" s="39"/>
      <c r="JG106" s="39"/>
      <c r="JH106" s="39"/>
      <c r="JI106" s="39"/>
      <c r="JJ106" s="39"/>
      <c r="JK106" s="39"/>
      <c r="JL106" s="39"/>
      <c r="JM106" s="39"/>
      <c r="JN106" s="39"/>
      <c r="JO106" s="39"/>
      <c r="JP106" s="39"/>
      <c r="JQ106" s="39"/>
      <c r="JR106" s="39"/>
      <c r="JS106" s="39"/>
      <c r="JT106" s="39"/>
      <c r="JU106" s="39"/>
      <c r="JV106" s="39"/>
      <c r="JW106" s="39"/>
      <c r="JX106" s="39"/>
      <c r="JY106" s="39"/>
      <c r="JZ106" s="39"/>
      <c r="KA106" s="39"/>
      <c r="KB106" s="39"/>
      <c r="KC106" s="39"/>
      <c r="KD106" s="39"/>
      <c r="KE106" s="39"/>
      <c r="KF106" s="39"/>
      <c r="KG106" s="39"/>
      <c r="KH106" s="39"/>
      <c r="KI106" s="39"/>
      <c r="KJ106" s="39"/>
      <c r="KK106" s="39"/>
      <c r="KL106" s="39"/>
      <c r="KM106" s="39"/>
      <c r="KN106" s="39"/>
      <c r="KO106" s="39"/>
      <c r="KP106" s="39"/>
      <c r="KQ106" s="39"/>
      <c r="KR106" s="39"/>
      <c r="KS106" s="39"/>
      <c r="KT106" s="39"/>
      <c r="KU106" s="39"/>
      <c r="KV106" s="39"/>
      <c r="KW106" s="39"/>
      <c r="KX106" s="39"/>
      <c r="KY106" s="39"/>
      <c r="KZ106" s="39"/>
      <c r="LA106" s="39"/>
      <c r="LB106" s="39"/>
      <c r="LC106" s="39"/>
      <c r="LD106" s="39"/>
      <c r="LE106" s="39"/>
      <c r="LF106" s="39"/>
      <c r="LG106" s="39"/>
      <c r="LH106" s="39"/>
      <c r="LI106" s="39"/>
      <c r="LJ106" s="39"/>
      <c r="LK106" s="39"/>
      <c r="LL106" s="39"/>
      <c r="LM106" s="39"/>
      <c r="LN106" s="39"/>
      <c r="LO106" s="39"/>
      <c r="LP106" s="39"/>
      <c r="LQ106" s="39"/>
      <c r="LR106" s="39"/>
      <c r="LS106" s="39"/>
      <c r="LT106" s="39"/>
      <c r="LU106" s="39"/>
      <c r="LV106" s="39"/>
      <c r="LW106" s="39"/>
      <c r="LX106" s="39"/>
      <c r="LY106" s="39"/>
      <c r="LZ106" s="39"/>
      <c r="MA106" s="39"/>
      <c r="MB106" s="39"/>
      <c r="MC106" s="39"/>
      <c r="MD106" s="39"/>
      <c r="ME106" s="39"/>
      <c r="MF106" s="39"/>
      <c r="MG106" s="39"/>
      <c r="MH106" s="39"/>
      <c r="MI106" s="39"/>
      <c r="MJ106" s="39"/>
      <c r="MK106" s="39"/>
      <c r="ML106" s="39"/>
      <c r="MM106" s="39"/>
      <c r="MN106" s="39"/>
      <c r="MO106" s="39"/>
      <c r="MP106" s="39"/>
      <c r="MQ106" s="39"/>
      <c r="MR106" s="39"/>
      <c r="MS106" s="39"/>
      <c r="MT106" s="39"/>
      <c r="MU106" s="39"/>
      <c r="MV106" s="39"/>
      <c r="MW106" s="39"/>
      <c r="MX106" s="39"/>
      <c r="MY106" s="39"/>
      <c r="MZ106" s="39"/>
      <c r="NA106" s="39"/>
      <c r="NB106" s="39"/>
      <c r="NC106" s="39"/>
      <c r="ND106" s="39"/>
      <c r="NE106" s="39"/>
      <c r="NF106" s="39"/>
      <c r="NG106" s="39"/>
      <c r="NH106" s="39"/>
      <c r="NI106" s="39"/>
      <c r="NJ106" s="39"/>
      <c r="NK106" s="39"/>
      <c r="NL106" s="39"/>
      <c r="NM106" s="39"/>
      <c r="NN106" s="39"/>
      <c r="NO106" s="39"/>
      <c r="NP106" s="39"/>
      <c r="NQ106" s="39"/>
      <c r="NR106" s="39"/>
      <c r="NS106" s="39"/>
      <c r="NT106" s="39"/>
      <c r="NU106" s="39"/>
      <c r="NV106" s="39"/>
      <c r="NW106" s="39"/>
      <c r="NX106" s="39"/>
      <c r="NY106" s="39"/>
      <c r="NZ106" s="39"/>
      <c r="OA106" s="39"/>
      <c r="OB106" s="39"/>
      <c r="OC106" s="39"/>
      <c r="OD106" s="39"/>
      <c r="OE106" s="39"/>
      <c r="OF106" s="39"/>
      <c r="OG106" s="39"/>
      <c r="OH106" s="39"/>
      <c r="OI106" s="39"/>
      <c r="OJ106" s="39"/>
      <c r="OK106" s="39"/>
      <c r="OL106" s="39"/>
      <c r="OM106" s="39"/>
      <c r="ON106" s="39"/>
      <c r="OO106" s="39"/>
      <c r="OP106" s="39"/>
      <c r="OQ106" s="39"/>
      <c r="OR106" s="39"/>
      <c r="OS106" s="39"/>
      <c r="OT106" s="39"/>
      <c r="OU106" s="39"/>
      <c r="OV106" s="39"/>
      <c r="OW106" s="39"/>
      <c r="OX106" s="39"/>
      <c r="OY106" s="39"/>
      <c r="OZ106" s="39"/>
      <c r="PA106" s="39"/>
      <c r="PB106" s="39"/>
      <c r="PC106" s="39"/>
      <c r="PD106" s="39"/>
      <c r="PE106" s="39"/>
      <c r="PF106" s="39"/>
      <c r="PG106" s="39"/>
      <c r="PH106" s="39"/>
      <c r="PI106" s="39"/>
      <c r="PJ106" s="39"/>
      <c r="PK106" s="39"/>
      <c r="PL106" s="39"/>
      <c r="PM106" s="39"/>
      <c r="PN106" s="39"/>
      <c r="PO106" s="39"/>
      <c r="PP106" s="39"/>
      <c r="PQ106" s="39"/>
      <c r="PR106" s="39"/>
      <c r="PS106" s="39"/>
      <c r="PT106" s="39"/>
      <c r="PU106" s="39"/>
      <c r="PV106" s="39"/>
      <c r="PW106" s="39"/>
      <c r="PX106" s="39"/>
      <c r="PY106" s="39"/>
      <c r="PZ106" s="39"/>
      <c r="QA106" s="39"/>
      <c r="QB106" s="39"/>
      <c r="QC106" s="39"/>
      <c r="QD106" s="39"/>
      <c r="QE106" s="39"/>
      <c r="QF106" s="39"/>
      <c r="QG106" s="39"/>
      <c r="QH106" s="39"/>
      <c r="QI106" s="39"/>
      <c r="QJ106" s="39"/>
      <c r="QK106" s="39"/>
      <c r="QL106" s="39"/>
      <c r="QM106" s="39"/>
      <c r="QN106" s="39"/>
      <c r="QO106" s="39"/>
      <c r="QP106" s="39"/>
      <c r="QQ106" s="39"/>
      <c r="QR106" s="39"/>
      <c r="QS106" s="39"/>
      <c r="QT106" s="39"/>
      <c r="QU106" s="39"/>
      <c r="QV106" s="39"/>
      <c r="QW106" s="39"/>
      <c r="QX106" s="39"/>
      <c r="QY106" s="39"/>
      <c r="QZ106" s="39"/>
      <c r="RA106" s="39"/>
      <c r="RB106" s="39"/>
      <c r="RC106" s="39"/>
      <c r="RD106" s="39"/>
      <c r="RE106" s="39"/>
      <c r="RF106" s="39"/>
      <c r="RG106" s="39"/>
      <c r="RH106" s="39"/>
      <c r="RI106" s="39"/>
      <c r="RJ106" s="39"/>
      <c r="RK106" s="39"/>
      <c r="RL106" s="39"/>
      <c r="RM106" s="39"/>
      <c r="RN106" s="39"/>
      <c r="RO106" s="39"/>
      <c r="RP106" s="39"/>
      <c r="RQ106" s="39"/>
      <c r="RR106" s="39"/>
      <c r="RS106" s="39"/>
      <c r="RT106" s="39"/>
      <c r="RU106" s="39"/>
      <c r="RV106" s="39"/>
      <c r="RW106" s="39"/>
      <c r="RX106" s="39"/>
      <c r="RY106" s="39"/>
      <c r="RZ106" s="39"/>
      <c r="SA106" s="39"/>
      <c r="SB106" s="39"/>
      <c r="SC106" s="39"/>
      <c r="SD106" s="39"/>
      <c r="SE106" s="39"/>
      <c r="SF106" s="39"/>
      <c r="SG106" s="39"/>
      <c r="SH106" s="39"/>
      <c r="SI106" s="39"/>
      <c r="SJ106" s="39"/>
      <c r="SK106" s="39"/>
      <c r="SL106" s="39"/>
      <c r="SM106" s="39"/>
      <c r="SN106" s="39"/>
      <c r="SO106" s="39"/>
      <c r="SP106" s="39"/>
      <c r="SQ106" s="39"/>
      <c r="SR106" s="39"/>
      <c r="SS106" s="39"/>
      <c r="ST106" s="39"/>
      <c r="SU106" s="39"/>
      <c r="SV106" s="39"/>
      <c r="SW106" s="39"/>
      <c r="SX106" s="39"/>
      <c r="SY106" s="39"/>
      <c r="SZ106" s="39"/>
      <c r="TA106" s="39"/>
      <c r="TB106" s="39"/>
      <c r="TC106" s="39"/>
      <c r="TD106" s="39"/>
      <c r="TE106" s="39"/>
      <c r="TF106" s="39"/>
      <c r="TG106" s="39"/>
      <c r="TH106" s="39"/>
      <c r="TI106" s="39"/>
      <c r="TJ106" s="39"/>
      <c r="TK106" s="39"/>
      <c r="TL106" s="39"/>
      <c r="TM106" s="39"/>
      <c r="TN106" s="39"/>
      <c r="TO106" s="39"/>
      <c r="TP106" s="39"/>
      <c r="TQ106" s="39"/>
      <c r="TR106" s="39"/>
      <c r="TS106" s="39"/>
      <c r="TT106" s="39"/>
      <c r="TU106" s="39"/>
      <c r="TV106" s="39"/>
      <c r="TW106" s="39"/>
      <c r="TX106" s="39"/>
      <c r="TY106" s="39"/>
      <c r="TZ106" s="39"/>
      <c r="UA106" s="39"/>
      <c r="UB106" s="39"/>
      <c r="UC106" s="39"/>
      <c r="UD106" s="39"/>
      <c r="UE106" s="39"/>
      <c r="UF106" s="39"/>
      <c r="UG106" s="39"/>
      <c r="UH106" s="39"/>
      <c r="UI106" s="39"/>
      <c r="UJ106" s="39"/>
      <c r="UK106" s="39"/>
      <c r="UL106" s="39"/>
      <c r="UM106" s="39"/>
      <c r="UN106" s="39"/>
      <c r="UO106" s="39"/>
      <c r="UP106" s="39"/>
      <c r="UQ106" s="39"/>
      <c r="UR106" s="39"/>
      <c r="US106" s="39"/>
      <c r="UT106" s="39"/>
      <c r="UU106" s="39"/>
      <c r="UV106" s="39"/>
      <c r="UW106" s="39"/>
      <c r="UX106" s="39"/>
      <c r="UY106" s="39"/>
      <c r="UZ106" s="39"/>
      <c r="VA106" s="39"/>
      <c r="VB106" s="39"/>
      <c r="VC106" s="39"/>
      <c r="VD106" s="39"/>
      <c r="VE106" s="39"/>
      <c r="VF106" s="39"/>
      <c r="VG106" s="39"/>
      <c r="VH106" s="39"/>
      <c r="VI106" s="39"/>
      <c r="VJ106" s="39"/>
      <c r="VK106" s="39"/>
      <c r="VL106" s="39"/>
      <c r="VM106" s="39"/>
      <c r="VN106" s="39"/>
      <c r="VO106" s="39"/>
      <c r="VP106" s="39"/>
      <c r="VQ106" s="39"/>
      <c r="VR106" s="39"/>
      <c r="VS106" s="39"/>
      <c r="VT106" s="39"/>
      <c r="VU106" s="39"/>
      <c r="VV106" s="39"/>
      <c r="VW106" s="39"/>
      <c r="VX106" s="39"/>
      <c r="VY106" s="39"/>
      <c r="VZ106" s="39"/>
      <c r="WA106" s="39"/>
      <c r="WB106" s="39"/>
      <c r="WC106" s="39"/>
      <c r="WD106" s="39"/>
      <c r="WE106" s="39"/>
      <c r="WF106" s="39"/>
      <c r="WG106" s="39"/>
      <c r="WH106" s="39"/>
      <c r="WI106" s="39"/>
      <c r="WJ106" s="39"/>
      <c r="WK106" s="39"/>
      <c r="WL106" s="39"/>
      <c r="WM106" s="39"/>
      <c r="WN106" s="39"/>
      <c r="WO106" s="39"/>
      <c r="WP106" s="39"/>
      <c r="WQ106" s="39"/>
      <c r="WR106" s="39"/>
      <c r="WS106" s="39"/>
      <c r="WT106" s="39"/>
      <c r="WU106" s="39"/>
      <c r="WV106" s="39"/>
      <c r="WW106" s="39"/>
      <c r="WX106" s="39"/>
      <c r="WY106" s="39"/>
      <c r="WZ106" s="39"/>
      <c r="XA106" s="39"/>
      <c r="XB106" s="39"/>
      <c r="XC106" s="39"/>
      <c r="XD106" s="39"/>
      <c r="XE106" s="39"/>
      <c r="XF106" s="39"/>
      <c r="XG106" s="39"/>
      <c r="XH106" s="39"/>
      <c r="XI106" s="39"/>
      <c r="XJ106" s="39"/>
      <c r="XK106" s="39"/>
      <c r="XL106" s="39"/>
      <c r="XM106" s="39"/>
      <c r="XN106" s="39"/>
      <c r="XO106" s="39"/>
      <c r="XP106" s="39"/>
      <c r="XQ106" s="39"/>
      <c r="XR106" s="39"/>
      <c r="XS106" s="39"/>
      <c r="XT106" s="39"/>
      <c r="XU106" s="39"/>
      <c r="XV106" s="39"/>
      <c r="XW106" s="39"/>
      <c r="XX106" s="39"/>
      <c r="XY106" s="39"/>
      <c r="XZ106" s="39"/>
      <c r="YA106" s="39"/>
      <c r="YB106" s="39"/>
      <c r="YC106" s="39"/>
      <c r="YD106" s="39"/>
      <c r="YE106" s="39"/>
      <c r="YF106" s="39"/>
      <c r="YG106" s="39"/>
      <c r="YH106" s="39"/>
      <c r="YI106" s="39"/>
      <c r="YJ106" s="39"/>
      <c r="YK106" s="39"/>
      <c r="YL106" s="39"/>
      <c r="YM106" s="39"/>
      <c r="YN106" s="39"/>
      <c r="YO106" s="39"/>
      <c r="YP106" s="39"/>
      <c r="YQ106" s="39"/>
      <c r="YR106" s="39"/>
      <c r="YS106" s="39"/>
      <c r="YT106" s="39"/>
      <c r="YU106" s="39"/>
      <c r="YV106" s="39"/>
      <c r="YW106" s="39"/>
      <c r="YX106" s="39"/>
      <c r="YY106" s="39"/>
      <c r="YZ106" s="39"/>
      <c r="ZA106" s="39"/>
      <c r="ZB106" s="39"/>
      <c r="ZC106" s="39"/>
      <c r="ZD106" s="39"/>
      <c r="ZE106" s="39"/>
      <c r="ZF106" s="39"/>
      <c r="ZG106" s="39"/>
      <c r="ZH106" s="39"/>
      <c r="ZI106" s="39"/>
      <c r="ZJ106" s="39"/>
      <c r="ZK106" s="39"/>
      <c r="ZL106" s="39"/>
      <c r="ZM106" s="39"/>
      <c r="ZN106" s="39"/>
      <c r="ZO106" s="39"/>
      <c r="ZP106" s="39"/>
      <c r="ZQ106" s="39"/>
      <c r="ZR106" s="39"/>
      <c r="ZS106" s="39"/>
      <c r="ZT106" s="39"/>
      <c r="ZU106" s="39"/>
      <c r="ZV106" s="39"/>
      <c r="ZW106" s="39"/>
      <c r="ZX106" s="39"/>
      <c r="ZY106" s="39"/>
      <c r="ZZ106" s="39"/>
      <c r="AAA106" s="39"/>
      <c r="AAB106" s="39"/>
      <c r="AAC106" s="39"/>
      <c r="AAD106" s="39"/>
      <c r="AAE106" s="39"/>
      <c r="AAF106" s="39"/>
      <c r="AAG106" s="39"/>
      <c r="AAH106" s="39"/>
      <c r="AAI106" s="39"/>
      <c r="AAJ106" s="39"/>
      <c r="AAK106" s="39"/>
      <c r="AAL106" s="39"/>
      <c r="AAM106" s="39"/>
      <c r="AAN106" s="39"/>
      <c r="AAO106" s="39"/>
      <c r="AAP106" s="39"/>
      <c r="AAQ106" s="39"/>
      <c r="AAR106" s="39"/>
      <c r="AAS106" s="39"/>
      <c r="AAT106" s="39"/>
      <c r="AAU106" s="39"/>
      <c r="AAV106" s="39"/>
      <c r="AAW106" s="39"/>
      <c r="AAX106" s="39"/>
      <c r="AAY106" s="39"/>
      <c r="AAZ106" s="39"/>
      <c r="ABA106" s="39"/>
      <c r="ABB106" s="39"/>
      <c r="ABC106" s="39"/>
      <c r="ABD106" s="39"/>
      <c r="ABE106" s="39"/>
      <c r="ABF106" s="39"/>
      <c r="ABG106" s="39"/>
      <c r="ABH106" s="39"/>
      <c r="ABI106" s="39"/>
      <c r="ABJ106" s="39"/>
      <c r="ABK106" s="39"/>
      <c r="ABL106" s="39"/>
      <c r="ABM106" s="39"/>
      <c r="ABN106" s="39"/>
      <c r="ABO106" s="39"/>
      <c r="ABP106" s="39"/>
      <c r="ABQ106" s="39"/>
      <c r="ABR106" s="39"/>
      <c r="ABS106" s="39"/>
      <c r="ABT106" s="39"/>
      <c r="ABU106" s="39"/>
      <c r="ABV106" s="39"/>
      <c r="ABW106" s="39"/>
      <c r="ABX106" s="39"/>
      <c r="ABY106" s="39"/>
      <c r="ABZ106" s="39"/>
      <c r="ACA106" s="39"/>
      <c r="ACB106" s="39"/>
      <c r="ACC106" s="39"/>
      <c r="ACD106" s="39"/>
      <c r="ACE106" s="39"/>
      <c r="ACF106" s="39"/>
      <c r="ACG106" s="39"/>
      <c r="ACH106" s="39"/>
      <c r="ACI106" s="39"/>
      <c r="ACJ106" s="39"/>
      <c r="ACK106" s="39"/>
      <c r="ACL106" s="39"/>
      <c r="ACM106" s="39"/>
      <c r="ACN106" s="39"/>
      <c r="ACO106" s="39"/>
      <c r="ACP106" s="39"/>
      <c r="ACQ106" s="39"/>
      <c r="ACR106" s="39"/>
      <c r="ACS106" s="39"/>
      <c r="ACT106" s="39"/>
      <c r="ACU106" s="39"/>
      <c r="ACV106" s="39"/>
      <c r="ACW106" s="39"/>
      <c r="ACX106" s="39"/>
      <c r="ACY106" s="39"/>
      <c r="ACZ106" s="39"/>
      <c r="ADA106" s="39"/>
      <c r="ADB106" s="39"/>
      <c r="ADC106" s="39"/>
      <c r="ADD106" s="39"/>
      <c r="ADE106" s="39"/>
      <c r="ADF106" s="39"/>
      <c r="ADG106" s="39"/>
      <c r="ADH106" s="39"/>
      <c r="ADI106" s="39"/>
      <c r="ADJ106" s="39"/>
      <c r="ADK106" s="39"/>
      <c r="ADL106" s="39"/>
      <c r="ADM106" s="39"/>
      <c r="ADN106" s="39"/>
      <c r="ADO106" s="39"/>
      <c r="ADP106" s="39"/>
      <c r="ADQ106" s="39"/>
      <c r="ADR106" s="39"/>
      <c r="ADS106" s="39"/>
      <c r="ADT106" s="39"/>
      <c r="ADU106" s="39"/>
      <c r="ADV106" s="39"/>
      <c r="ADW106" s="39"/>
      <c r="ADX106" s="39"/>
      <c r="ADY106" s="39"/>
      <c r="ADZ106" s="39"/>
      <c r="AEA106" s="39"/>
      <c r="AEB106" s="39"/>
      <c r="AEC106" s="39"/>
      <c r="AED106" s="39"/>
      <c r="AEE106" s="39"/>
      <c r="AEF106" s="39"/>
      <c r="AEG106" s="39"/>
      <c r="AEH106" s="39"/>
      <c r="AEI106" s="39"/>
      <c r="AEJ106" s="39"/>
      <c r="AEK106" s="39"/>
      <c r="AEL106" s="39"/>
      <c r="AEM106" s="39"/>
      <c r="AEN106" s="39"/>
      <c r="AEO106" s="39"/>
      <c r="AEP106" s="39"/>
      <c r="AEQ106" s="39"/>
      <c r="AER106" s="39"/>
      <c r="AES106" s="39"/>
      <c r="AET106" s="39"/>
      <c r="AEU106" s="39"/>
      <c r="AEV106" s="39"/>
      <c r="AEW106" s="39"/>
      <c r="AEX106" s="39"/>
      <c r="AEY106" s="39"/>
      <c r="AEZ106" s="39"/>
      <c r="AFA106" s="39"/>
      <c r="AFB106" s="39"/>
      <c r="AFC106" s="39"/>
      <c r="AFD106" s="39"/>
      <c r="AFE106" s="39"/>
      <c r="AFF106" s="39"/>
      <c r="AFG106" s="39"/>
      <c r="AFH106" s="39"/>
      <c r="AFI106" s="39"/>
      <c r="AFJ106" s="39"/>
      <c r="AFK106" s="39"/>
      <c r="AFL106" s="39"/>
      <c r="AFM106" s="39"/>
      <c r="AFN106" s="39"/>
      <c r="AFO106" s="39"/>
      <c r="AFP106" s="39"/>
      <c r="AFQ106" s="39"/>
      <c r="AFR106" s="39"/>
      <c r="AFS106" s="39"/>
      <c r="AFT106" s="39"/>
      <c r="AFU106" s="39"/>
      <c r="AFV106" s="39"/>
      <c r="AFW106" s="39"/>
      <c r="AFX106" s="39"/>
      <c r="AFY106" s="39"/>
      <c r="AFZ106" s="39"/>
      <c r="AGA106" s="39"/>
      <c r="AGB106" s="39"/>
      <c r="AGC106" s="39"/>
      <c r="AGD106" s="39"/>
      <c r="AGE106" s="39"/>
      <c r="AGF106" s="39"/>
      <c r="AGG106" s="39"/>
      <c r="AGH106" s="39"/>
      <c r="AGI106" s="39"/>
      <c r="AGJ106" s="39"/>
      <c r="AGK106" s="39"/>
      <c r="AGL106" s="39"/>
      <c r="AGM106" s="39"/>
      <c r="AGN106" s="39"/>
      <c r="AGO106" s="39"/>
      <c r="AGP106" s="39"/>
      <c r="AGQ106" s="39"/>
      <c r="AGR106" s="39"/>
      <c r="AGS106" s="39"/>
      <c r="AGT106" s="39"/>
      <c r="AGU106" s="39"/>
      <c r="AGV106" s="39"/>
      <c r="AGW106" s="39"/>
      <c r="AGX106" s="39"/>
      <c r="AGY106" s="39"/>
      <c r="AGZ106" s="39"/>
      <c r="AHA106" s="39"/>
      <c r="AHB106" s="39"/>
      <c r="AHC106" s="39"/>
      <c r="AHD106" s="39"/>
      <c r="AHE106" s="39"/>
      <c r="AHF106" s="39"/>
      <c r="AHG106" s="39"/>
      <c r="AHH106" s="39"/>
      <c r="AHI106" s="39"/>
      <c r="AHJ106" s="39"/>
      <c r="AHK106" s="39"/>
      <c r="AHL106" s="39"/>
      <c r="AHM106" s="39"/>
      <c r="AHN106" s="39"/>
      <c r="AHO106" s="39"/>
      <c r="AHP106" s="39"/>
      <c r="AHQ106" s="39"/>
      <c r="AHR106" s="39"/>
      <c r="AHS106" s="39"/>
      <c r="AHT106" s="39"/>
      <c r="AHU106" s="39"/>
      <c r="AHV106" s="39"/>
      <c r="AHW106" s="39"/>
      <c r="AHX106" s="39"/>
      <c r="AHY106" s="39"/>
      <c r="AHZ106" s="39"/>
      <c r="AIA106" s="39"/>
      <c r="AIB106" s="39"/>
      <c r="AIC106" s="39"/>
      <c r="AID106" s="39"/>
      <c r="AIE106" s="39"/>
      <c r="AIF106" s="39"/>
      <c r="AIG106" s="39"/>
      <c r="AIH106" s="39"/>
      <c r="AII106" s="39"/>
      <c r="AIJ106" s="39"/>
      <c r="AIK106" s="39"/>
      <c r="AIL106" s="39"/>
      <c r="AIM106" s="39"/>
      <c r="AIN106" s="39"/>
      <c r="AIO106" s="39"/>
      <c r="AIP106" s="39"/>
      <c r="AIQ106" s="39"/>
      <c r="AIR106" s="39"/>
      <c r="AIS106" s="39"/>
      <c r="AIT106" s="39"/>
      <c r="AIU106" s="39"/>
      <c r="AIV106" s="39"/>
      <c r="AIW106" s="39"/>
      <c r="AIX106" s="39"/>
      <c r="AIY106" s="39"/>
      <c r="AIZ106" s="39"/>
      <c r="AJA106" s="39"/>
      <c r="AJB106" s="39"/>
      <c r="AJC106" s="39"/>
      <c r="AJD106" s="39"/>
      <c r="AJE106" s="39"/>
      <c r="AJF106" s="39"/>
      <c r="AJG106" s="39"/>
      <c r="AJH106" s="39"/>
      <c r="AJI106" s="39"/>
      <c r="AJJ106" s="39"/>
      <c r="AJK106" s="39"/>
      <c r="AJL106" s="39"/>
      <c r="AJM106" s="39"/>
      <c r="AJN106" s="39"/>
      <c r="AJO106" s="39"/>
      <c r="AJP106" s="39"/>
      <c r="AJQ106" s="39"/>
      <c r="AJR106" s="39"/>
      <c r="AJS106" s="39"/>
      <c r="AJT106" s="39"/>
      <c r="AJU106" s="39"/>
      <c r="AJV106" s="39"/>
      <c r="AJW106" s="39"/>
      <c r="AJX106" s="39"/>
      <c r="AJY106" s="39"/>
      <c r="AJZ106" s="39"/>
      <c r="AKA106" s="39"/>
      <c r="AKB106" s="39"/>
      <c r="AKC106" s="39"/>
      <c r="AKD106" s="39"/>
      <c r="AKE106" s="39"/>
      <c r="AKF106" s="39"/>
      <c r="AKG106" s="39"/>
      <c r="AKH106" s="39"/>
      <c r="AKI106" s="39"/>
      <c r="AKJ106" s="39"/>
      <c r="AKK106" s="39"/>
      <c r="AKL106" s="39"/>
      <c r="AKM106" s="39"/>
      <c r="AKN106" s="39"/>
      <c r="AKO106" s="39"/>
      <c r="AKP106" s="39"/>
      <c r="AKQ106" s="39"/>
      <c r="AKR106" s="39"/>
      <c r="AKS106" s="39"/>
      <c r="AKT106" s="39"/>
      <c r="AKU106" s="39"/>
      <c r="AKV106" s="39"/>
      <c r="AKW106" s="39"/>
      <c r="AKX106" s="39"/>
      <c r="AKY106" s="39"/>
      <c r="AKZ106" s="39"/>
      <c r="ALA106" s="39"/>
      <c r="ALB106" s="39"/>
      <c r="ALC106" s="39"/>
      <c r="ALD106" s="39"/>
      <c r="ALE106" s="39"/>
      <c r="ALF106" s="39"/>
      <c r="ALG106" s="39"/>
      <c r="ALH106" s="39"/>
      <c r="ALI106" s="39"/>
      <c r="ALJ106" s="39"/>
      <c r="ALK106" s="39"/>
      <c r="ALL106" s="39"/>
      <c r="ALM106" s="39"/>
      <c r="ALN106" s="39"/>
      <c r="ALO106" s="39"/>
      <c r="ALP106" s="39"/>
      <c r="ALQ106" s="39"/>
      <c r="ALR106" s="39"/>
      <c r="ALS106" s="39"/>
      <c r="ALT106" s="39"/>
      <c r="ALU106" s="39"/>
      <c r="ALV106" s="39"/>
      <c r="ALW106" s="39"/>
      <c r="ALX106" s="39"/>
      <c r="ALY106" s="39"/>
      <c r="ALZ106" s="39"/>
      <c r="AMA106" s="39"/>
      <c r="AMB106" s="39"/>
      <c r="AMC106" s="39"/>
      <c r="AMD106" s="39"/>
      <c r="AME106" s="39"/>
      <c r="AMF106" s="39"/>
      <c r="AMG106" s="39"/>
      <c r="AMH106" s="39"/>
      <c r="AMI106" s="39"/>
      <c r="AMJ106" s="39"/>
      <c r="AMK106" s="39"/>
      <c r="AML106" s="39"/>
      <c r="AMM106" s="39"/>
      <c r="AMN106" s="39"/>
      <c r="AMO106" s="39"/>
      <c r="AMP106" s="39"/>
      <c r="AMQ106" s="39"/>
      <c r="AMR106" s="39"/>
      <c r="AMS106" s="39"/>
      <c r="AMT106" s="39"/>
      <c r="AMU106" s="39"/>
      <c r="AMV106" s="39"/>
      <c r="AMW106" s="39"/>
      <c r="AMX106" s="39"/>
      <c r="AMY106" s="39"/>
      <c r="AMZ106" s="39"/>
      <c r="ANA106" s="39"/>
      <c r="ANB106" s="39"/>
      <c r="ANC106" s="39"/>
      <c r="AND106" s="39"/>
      <c r="ANE106" s="39"/>
      <c r="ANF106" s="39"/>
      <c r="ANG106" s="39"/>
      <c r="ANH106" s="39"/>
      <c r="ANI106" s="39"/>
      <c r="ANJ106" s="39"/>
      <c r="ANK106" s="39"/>
      <c r="ANL106" s="39"/>
      <c r="ANM106" s="39"/>
      <c r="ANN106" s="39"/>
      <c r="ANO106" s="39"/>
      <c r="ANP106" s="39"/>
      <c r="ANQ106" s="39"/>
      <c r="ANR106" s="39"/>
      <c r="ANS106" s="39"/>
      <c r="ANT106" s="39"/>
      <c r="ANU106" s="39"/>
      <c r="ANV106" s="39"/>
      <c r="ANW106" s="39"/>
      <c r="ANX106" s="39"/>
      <c r="ANY106" s="39"/>
      <c r="ANZ106" s="39"/>
      <c r="AOA106" s="39"/>
      <c r="AOB106" s="39"/>
      <c r="AOC106" s="39"/>
      <c r="AOD106" s="39"/>
      <c r="AOE106" s="39"/>
      <c r="AOF106" s="39"/>
      <c r="AOG106" s="39"/>
      <c r="AOH106" s="39"/>
      <c r="AOI106" s="39"/>
      <c r="AOJ106" s="39"/>
      <c r="AOK106" s="39"/>
      <c r="AOL106" s="39"/>
      <c r="AOM106" s="39"/>
      <c r="AON106" s="39"/>
      <c r="AOO106" s="39"/>
      <c r="AOP106" s="39"/>
      <c r="AOQ106" s="39"/>
      <c r="AOR106" s="39"/>
      <c r="AOS106" s="39"/>
      <c r="AOT106" s="39"/>
      <c r="AOU106" s="39"/>
      <c r="AOV106" s="39"/>
      <c r="AOW106" s="39"/>
      <c r="AOX106" s="39"/>
      <c r="AOY106" s="39"/>
      <c r="AOZ106" s="39"/>
      <c r="APA106" s="39"/>
      <c r="APB106" s="39"/>
      <c r="APC106" s="39"/>
      <c r="APD106" s="39"/>
      <c r="APE106" s="39"/>
      <c r="APF106" s="39"/>
      <c r="APG106" s="39"/>
      <c r="APH106" s="39"/>
      <c r="API106" s="39"/>
      <c r="APJ106" s="39"/>
      <c r="APK106" s="39"/>
      <c r="APL106" s="39"/>
      <c r="APM106" s="39"/>
      <c r="APN106" s="39"/>
      <c r="APO106" s="39"/>
      <c r="APP106" s="39"/>
      <c r="APQ106" s="39"/>
      <c r="APR106" s="39"/>
      <c r="APS106" s="39"/>
      <c r="APT106" s="39"/>
      <c r="APU106" s="39"/>
      <c r="APV106" s="39"/>
      <c r="APW106" s="39"/>
      <c r="APX106" s="39"/>
      <c r="APY106" s="39"/>
      <c r="APZ106" s="39"/>
      <c r="AQA106" s="39"/>
      <c r="AQB106" s="39"/>
      <c r="AQC106" s="39"/>
      <c r="AQD106" s="39"/>
      <c r="AQE106" s="39"/>
      <c r="AQF106" s="39"/>
      <c r="AQG106" s="39"/>
      <c r="AQH106" s="39"/>
      <c r="AQI106" s="39"/>
      <c r="AQJ106" s="39"/>
      <c r="AQK106" s="39"/>
      <c r="AQL106" s="39"/>
      <c r="AQM106" s="39"/>
      <c r="AQN106" s="39"/>
      <c r="AQO106" s="39"/>
      <c r="AQP106" s="39"/>
      <c r="AQQ106" s="39"/>
      <c r="AQR106" s="39"/>
      <c r="AQS106" s="39"/>
      <c r="AQT106" s="39"/>
      <c r="AQU106" s="39"/>
      <c r="AQV106" s="39"/>
      <c r="AQW106" s="39"/>
      <c r="AQX106" s="39"/>
      <c r="AQY106" s="39"/>
      <c r="AQZ106" s="39"/>
      <c r="ARA106" s="39"/>
      <c r="ARB106" s="39"/>
      <c r="ARC106" s="39"/>
      <c r="ARD106" s="39"/>
      <c r="ARE106" s="39"/>
      <c r="ARF106" s="39"/>
      <c r="ARG106" s="39"/>
      <c r="ARH106" s="39"/>
      <c r="ARI106" s="39"/>
      <c r="ARJ106" s="39"/>
      <c r="ARK106" s="39"/>
      <c r="ARL106" s="39"/>
      <c r="ARM106" s="39"/>
      <c r="ARN106" s="39"/>
      <c r="ARO106" s="39"/>
      <c r="ARP106" s="39"/>
      <c r="ARQ106" s="39"/>
      <c r="ARR106" s="39"/>
      <c r="ARS106" s="39"/>
      <c r="ART106" s="39"/>
      <c r="ARU106" s="39"/>
      <c r="ARV106" s="39"/>
      <c r="ARW106" s="39"/>
      <c r="ARX106" s="39"/>
      <c r="ARY106" s="39"/>
      <c r="ARZ106" s="39"/>
      <c r="ASA106" s="39"/>
      <c r="ASB106" s="39"/>
      <c r="ASC106" s="39"/>
      <c r="ASD106" s="39"/>
      <c r="ASE106" s="39"/>
      <c r="ASF106" s="39"/>
      <c r="ASG106" s="39"/>
      <c r="ASH106" s="39"/>
      <c r="ASI106" s="39"/>
      <c r="ASJ106" s="39"/>
      <c r="ASK106" s="39"/>
      <c r="ASL106" s="39"/>
      <c r="ASM106" s="39"/>
      <c r="ASN106" s="39"/>
      <c r="ASO106" s="39"/>
      <c r="ASP106" s="39"/>
      <c r="ASQ106" s="39"/>
      <c r="ASR106" s="39"/>
      <c r="ASS106" s="39"/>
      <c r="AST106" s="39"/>
      <c r="ASU106" s="39"/>
      <c r="ASV106" s="39"/>
      <c r="ASW106" s="39"/>
      <c r="ASX106" s="39"/>
      <c r="ASY106" s="39"/>
      <c r="ASZ106" s="39"/>
      <c r="ATA106" s="39"/>
      <c r="ATB106" s="39"/>
      <c r="ATC106" s="39"/>
      <c r="ATD106" s="39"/>
      <c r="ATE106" s="39"/>
      <c r="ATF106" s="39"/>
      <c r="ATG106" s="39"/>
      <c r="ATH106" s="39"/>
      <c r="ATI106" s="39"/>
      <c r="ATJ106" s="39"/>
      <c r="ATK106" s="39"/>
      <c r="ATL106" s="39"/>
      <c r="ATM106" s="39"/>
      <c r="ATN106" s="39"/>
      <c r="ATO106" s="39"/>
      <c r="ATP106" s="39"/>
      <c r="ATQ106" s="39"/>
      <c r="ATR106" s="39"/>
      <c r="ATS106" s="39"/>
      <c r="ATT106" s="39"/>
      <c r="ATU106" s="39"/>
      <c r="ATV106" s="39"/>
      <c r="ATW106" s="39"/>
      <c r="ATX106" s="39"/>
      <c r="ATY106" s="39"/>
      <c r="ATZ106" s="39"/>
      <c r="AUA106" s="39"/>
      <c r="AUB106" s="39"/>
      <c r="AUC106" s="39"/>
      <c r="AUD106" s="39"/>
      <c r="AUE106" s="39"/>
      <c r="AUF106" s="39"/>
      <c r="AUG106" s="39"/>
      <c r="AUH106" s="39"/>
      <c r="AUI106" s="39"/>
      <c r="AUJ106" s="39"/>
      <c r="AUK106" s="39"/>
      <c r="AUL106" s="39"/>
      <c r="AUM106" s="39"/>
      <c r="AUN106" s="39"/>
      <c r="AUO106" s="39"/>
      <c r="AUP106" s="39"/>
      <c r="AUQ106" s="39"/>
      <c r="AUR106" s="39"/>
      <c r="AUS106" s="39"/>
      <c r="AUT106" s="39"/>
      <c r="AUU106" s="39"/>
      <c r="AUV106" s="39"/>
      <c r="AUW106" s="39"/>
      <c r="AUX106" s="39"/>
      <c r="AUY106" s="39"/>
      <c r="AUZ106" s="39"/>
      <c r="AVA106" s="39"/>
      <c r="AVB106" s="39"/>
      <c r="AVC106" s="39"/>
      <c r="AVD106" s="39"/>
      <c r="AVE106" s="39"/>
      <c r="AVF106" s="39"/>
      <c r="AVG106" s="39"/>
      <c r="AVH106" s="39"/>
      <c r="AVI106" s="39"/>
      <c r="AVJ106" s="39"/>
      <c r="AVK106" s="39"/>
      <c r="AVL106" s="39"/>
      <c r="AVM106" s="39"/>
      <c r="AVN106" s="39"/>
      <c r="AVO106" s="39"/>
      <c r="AVP106" s="39"/>
      <c r="AVQ106" s="39"/>
      <c r="AVR106" s="39"/>
      <c r="AVS106" s="39"/>
      <c r="AVT106" s="39"/>
      <c r="AVU106" s="39"/>
      <c r="AVV106" s="39"/>
      <c r="AVW106" s="39"/>
      <c r="AVX106" s="39"/>
      <c r="AVY106" s="39"/>
      <c r="AVZ106" s="39"/>
      <c r="AWA106" s="39"/>
      <c r="AWB106" s="39"/>
      <c r="AWC106" s="39"/>
      <c r="AWD106" s="39"/>
      <c r="AWE106" s="39"/>
      <c r="AWF106" s="39"/>
      <c r="AWG106" s="39"/>
      <c r="AWH106" s="39"/>
      <c r="AWI106" s="39"/>
      <c r="AWJ106" s="39"/>
      <c r="AWK106" s="39"/>
      <c r="AWL106" s="39"/>
      <c r="AWM106" s="39"/>
      <c r="AWN106" s="39"/>
      <c r="AWO106" s="39"/>
      <c r="AWP106" s="39"/>
      <c r="AWQ106" s="39"/>
      <c r="AWR106" s="39"/>
      <c r="AWS106" s="39"/>
      <c r="AWT106" s="39"/>
      <c r="AWU106" s="39"/>
      <c r="AWV106" s="39"/>
      <c r="AWW106" s="39"/>
      <c r="AWX106" s="39"/>
      <c r="AWY106" s="39"/>
      <c r="AWZ106" s="39"/>
      <c r="AXA106" s="39"/>
      <c r="AXB106" s="39"/>
      <c r="AXC106" s="39"/>
      <c r="AXD106" s="39"/>
      <c r="AXE106" s="39"/>
      <c r="AXF106" s="39"/>
      <c r="AXG106" s="39"/>
      <c r="AXH106" s="39"/>
      <c r="AXI106" s="39"/>
      <c r="AXJ106" s="39"/>
      <c r="AXK106" s="39"/>
      <c r="AXL106" s="39"/>
      <c r="AXM106" s="39"/>
      <c r="AXN106" s="39"/>
      <c r="AXO106" s="39"/>
      <c r="AXP106" s="39"/>
      <c r="AXQ106" s="39"/>
      <c r="AXR106" s="39"/>
      <c r="AXS106" s="39"/>
      <c r="AXT106" s="39"/>
      <c r="AXU106" s="39"/>
      <c r="AXV106" s="39"/>
      <c r="AXW106" s="39"/>
      <c r="AXX106" s="39"/>
      <c r="AXY106" s="39"/>
      <c r="AXZ106" s="39"/>
      <c r="AYA106" s="39"/>
      <c r="AYB106" s="39"/>
      <c r="AYC106" s="39"/>
      <c r="AYD106" s="39"/>
      <c r="AYE106" s="39"/>
      <c r="AYF106" s="39"/>
      <c r="AYG106" s="39"/>
      <c r="AYH106" s="39"/>
      <c r="AYI106" s="39"/>
      <c r="AYJ106" s="39"/>
      <c r="AYK106" s="39"/>
      <c r="AYL106" s="39"/>
      <c r="AYM106" s="39"/>
      <c r="AYN106" s="39"/>
      <c r="AYO106" s="39"/>
      <c r="AYP106" s="39"/>
      <c r="AYQ106" s="39"/>
      <c r="AYR106" s="39"/>
      <c r="AYS106" s="39"/>
      <c r="AYT106" s="39"/>
      <c r="AYU106" s="39"/>
      <c r="AYV106" s="39"/>
      <c r="AYW106" s="39"/>
      <c r="AYX106" s="39"/>
      <c r="AYY106" s="39"/>
      <c r="AYZ106" s="39"/>
      <c r="AZA106" s="39"/>
      <c r="AZB106" s="39"/>
      <c r="AZC106" s="39"/>
      <c r="AZD106" s="39"/>
      <c r="AZE106" s="39"/>
      <c r="AZF106" s="39"/>
      <c r="AZG106" s="39"/>
      <c r="AZH106" s="39"/>
      <c r="AZI106" s="39"/>
      <c r="AZJ106" s="39"/>
      <c r="AZK106" s="39"/>
      <c r="AZL106" s="39"/>
      <c r="AZM106" s="39"/>
      <c r="AZN106" s="39"/>
      <c r="AZO106" s="39"/>
      <c r="AZP106" s="39"/>
      <c r="AZQ106" s="39"/>
      <c r="AZR106" s="39"/>
      <c r="AZS106" s="39"/>
      <c r="AZT106" s="39"/>
      <c r="AZU106" s="39"/>
      <c r="AZV106" s="39"/>
      <c r="AZW106" s="39"/>
      <c r="AZX106" s="39"/>
      <c r="AZY106" s="39"/>
      <c r="AZZ106" s="39"/>
      <c r="BAA106" s="39"/>
      <c r="BAB106" s="39"/>
      <c r="BAC106" s="39"/>
      <c r="BAD106" s="39"/>
      <c r="BAE106" s="39"/>
      <c r="BAF106" s="39"/>
      <c r="BAG106" s="39"/>
      <c r="BAH106" s="39"/>
      <c r="BAI106" s="39"/>
      <c r="BAJ106" s="39"/>
      <c r="BAK106" s="39"/>
      <c r="BAL106" s="39"/>
      <c r="BAM106" s="39"/>
      <c r="BAN106" s="39"/>
      <c r="BAO106" s="39"/>
      <c r="BAP106" s="39"/>
      <c r="BAQ106" s="39"/>
      <c r="BAR106" s="39"/>
      <c r="BAS106" s="39"/>
      <c r="BAT106" s="39"/>
      <c r="BAU106" s="39"/>
      <c r="BAV106" s="39"/>
      <c r="BAW106" s="39"/>
      <c r="BAX106" s="39"/>
      <c r="BAY106" s="39"/>
      <c r="BAZ106" s="39"/>
      <c r="BBA106" s="39"/>
      <c r="BBB106" s="39"/>
      <c r="BBC106" s="39"/>
      <c r="BBD106" s="39"/>
      <c r="BBE106" s="39"/>
      <c r="BBF106" s="39"/>
      <c r="BBG106" s="39"/>
      <c r="BBH106" s="39"/>
      <c r="BBI106" s="39"/>
      <c r="BBJ106" s="39"/>
      <c r="BBK106" s="39"/>
      <c r="BBL106" s="39"/>
      <c r="BBM106" s="39"/>
      <c r="BBN106" s="39"/>
      <c r="BBO106" s="39"/>
      <c r="BBP106" s="39"/>
      <c r="BBQ106" s="39"/>
      <c r="BBR106" s="39"/>
      <c r="BBS106" s="39"/>
      <c r="BBT106" s="39"/>
      <c r="BBU106" s="39"/>
      <c r="BBV106" s="39"/>
      <c r="BBW106" s="39"/>
      <c r="BBX106" s="39"/>
      <c r="BBY106" s="39"/>
      <c r="BBZ106" s="39"/>
      <c r="BCA106" s="39"/>
      <c r="BCB106" s="39"/>
      <c r="BCC106" s="39"/>
      <c r="BCD106" s="39"/>
      <c r="BCE106" s="39"/>
      <c r="BCF106" s="39"/>
      <c r="BCG106" s="39"/>
      <c r="BCH106" s="39"/>
      <c r="BCI106" s="39"/>
      <c r="BCJ106" s="39"/>
      <c r="BCK106" s="39"/>
      <c r="BCL106" s="39"/>
      <c r="BCM106" s="39"/>
      <c r="BCN106" s="39"/>
      <c r="BCO106" s="39"/>
      <c r="BCP106" s="39"/>
      <c r="BCQ106" s="39"/>
      <c r="BCR106" s="39"/>
      <c r="BCS106" s="39"/>
      <c r="BCT106" s="39"/>
      <c r="BCU106" s="39"/>
      <c r="BCV106" s="39"/>
      <c r="BCW106" s="39"/>
      <c r="BCX106" s="39"/>
      <c r="BCY106" s="39"/>
      <c r="BCZ106" s="39"/>
      <c r="BDA106" s="39"/>
      <c r="BDB106" s="39"/>
      <c r="BDC106" s="39"/>
      <c r="BDD106" s="39"/>
      <c r="BDE106" s="39"/>
      <c r="BDF106" s="39"/>
      <c r="BDG106" s="39"/>
      <c r="BDH106" s="39"/>
      <c r="BDI106" s="39"/>
      <c r="BDJ106" s="39"/>
      <c r="BDK106" s="39"/>
      <c r="BDL106" s="39"/>
      <c r="BDM106" s="39"/>
      <c r="BDN106" s="39"/>
      <c r="BDO106" s="39"/>
      <c r="BDP106" s="39"/>
      <c r="BDQ106" s="39"/>
      <c r="BDR106" s="39"/>
      <c r="BDS106" s="39"/>
      <c r="BDT106" s="39"/>
      <c r="BDU106" s="39"/>
      <c r="BDV106" s="39"/>
      <c r="BDW106" s="39"/>
      <c r="BDX106" s="39"/>
      <c r="BDY106" s="39"/>
      <c r="BDZ106" s="39"/>
      <c r="BEA106" s="39"/>
      <c r="BEB106" s="39"/>
      <c r="BEC106" s="39"/>
      <c r="BED106" s="39"/>
      <c r="BEE106" s="39"/>
      <c r="BEF106" s="39"/>
      <c r="BEG106" s="39"/>
      <c r="BEH106" s="39"/>
      <c r="BEI106" s="39"/>
      <c r="BEJ106" s="39"/>
      <c r="BEK106" s="39"/>
      <c r="BEL106" s="39"/>
      <c r="BEM106" s="39"/>
      <c r="BEN106" s="39"/>
      <c r="BEO106" s="39"/>
      <c r="BEP106" s="39"/>
      <c r="BEQ106" s="39"/>
      <c r="BER106" s="39"/>
      <c r="BES106" s="39"/>
      <c r="BET106" s="39"/>
      <c r="BEU106" s="39"/>
      <c r="BEV106" s="39"/>
      <c r="BEW106" s="39"/>
      <c r="BEX106" s="39"/>
      <c r="BEY106" s="39"/>
      <c r="BEZ106" s="39"/>
      <c r="BFA106" s="39"/>
      <c r="BFB106" s="39"/>
      <c r="BFC106" s="39"/>
      <c r="BFD106" s="39"/>
      <c r="BFE106" s="39"/>
      <c r="BFF106" s="39"/>
      <c r="BFG106" s="39"/>
      <c r="BFH106" s="39"/>
      <c r="BFI106" s="39"/>
      <c r="BFJ106" s="39"/>
      <c r="BFK106" s="39"/>
      <c r="BFL106" s="39"/>
      <c r="BFM106" s="39"/>
      <c r="BFN106" s="39"/>
      <c r="BFO106" s="39"/>
      <c r="BFP106" s="39"/>
      <c r="BFQ106" s="39"/>
      <c r="BFR106" s="39"/>
      <c r="BFS106" s="39"/>
      <c r="BFT106" s="39"/>
      <c r="BFU106" s="39"/>
      <c r="BFV106" s="39"/>
      <c r="BFW106" s="39"/>
      <c r="BFX106" s="39"/>
      <c r="BFY106" s="39"/>
      <c r="BFZ106" s="39"/>
      <c r="BGA106" s="39"/>
      <c r="BGB106" s="39"/>
      <c r="BGC106" s="39"/>
      <c r="BGD106" s="39"/>
      <c r="BGE106" s="39"/>
      <c r="BGF106" s="39"/>
      <c r="BGG106" s="39"/>
      <c r="BGH106" s="39"/>
      <c r="BGI106" s="39"/>
      <c r="BGJ106" s="39"/>
      <c r="BGK106" s="39"/>
      <c r="BGL106" s="39"/>
      <c r="BGM106" s="39"/>
      <c r="BGN106" s="39"/>
      <c r="BGO106" s="39"/>
      <c r="BGP106" s="39"/>
      <c r="BGQ106" s="39"/>
      <c r="BGR106" s="39"/>
      <c r="BGS106" s="39"/>
      <c r="BGT106" s="39"/>
      <c r="BGU106" s="39"/>
      <c r="BGV106" s="39"/>
      <c r="BGW106" s="39"/>
      <c r="BGX106" s="39"/>
      <c r="BGY106" s="39"/>
      <c r="BGZ106" s="39"/>
      <c r="BHA106" s="39"/>
      <c r="BHB106" s="39"/>
      <c r="BHC106" s="39"/>
      <c r="BHD106" s="39"/>
      <c r="BHE106" s="39"/>
      <c r="BHF106" s="39"/>
      <c r="BHG106" s="39"/>
      <c r="BHH106" s="39"/>
      <c r="BHI106" s="39"/>
      <c r="BHJ106" s="39"/>
      <c r="BHK106" s="39"/>
      <c r="BHL106" s="39"/>
      <c r="BHM106" s="39"/>
      <c r="BHN106" s="39"/>
      <c r="BHO106" s="39"/>
      <c r="BHP106" s="39"/>
      <c r="BHQ106" s="39"/>
      <c r="BHR106" s="39"/>
      <c r="BHS106" s="39"/>
      <c r="BHT106" s="39"/>
      <c r="BHU106" s="39"/>
      <c r="BHV106" s="39"/>
      <c r="BHW106" s="39"/>
      <c r="BHX106" s="39"/>
      <c r="BHY106" s="39"/>
      <c r="BHZ106" s="39"/>
      <c r="BIA106" s="39"/>
      <c r="BIB106" s="39"/>
      <c r="BIC106" s="39"/>
      <c r="BID106" s="39"/>
      <c r="BIE106" s="39"/>
      <c r="BIF106" s="39"/>
      <c r="BIG106" s="39"/>
      <c r="BIH106" s="39"/>
      <c r="BII106" s="39"/>
      <c r="BIJ106" s="39"/>
      <c r="BIK106" s="39"/>
      <c r="BIL106" s="39"/>
      <c r="BIM106" s="39"/>
      <c r="BIN106" s="39"/>
      <c r="BIO106" s="39"/>
      <c r="BIP106" s="39"/>
      <c r="BIQ106" s="39"/>
      <c r="BIR106" s="39"/>
      <c r="BIS106" s="39"/>
      <c r="BIT106" s="39"/>
      <c r="BIU106" s="39"/>
      <c r="BIV106" s="39"/>
      <c r="BIW106" s="39"/>
      <c r="BIX106" s="39"/>
      <c r="BIY106" s="39"/>
      <c r="BIZ106" s="39"/>
      <c r="BJA106" s="39"/>
      <c r="BJB106" s="39"/>
      <c r="BJC106" s="39"/>
      <c r="BJD106" s="39"/>
      <c r="BJE106" s="39"/>
      <c r="BJF106" s="39"/>
      <c r="BJG106" s="39"/>
      <c r="BJH106" s="39"/>
      <c r="BJI106" s="39"/>
      <c r="BJJ106" s="39"/>
      <c r="BJK106" s="39"/>
      <c r="BJL106" s="39"/>
      <c r="BJM106" s="39"/>
      <c r="BJN106" s="39"/>
      <c r="BJO106" s="39"/>
      <c r="BJP106" s="39"/>
      <c r="BJQ106" s="39"/>
      <c r="BJR106" s="39"/>
      <c r="BJS106" s="39"/>
      <c r="BJT106" s="39"/>
      <c r="BJU106" s="39"/>
      <c r="BJV106" s="39"/>
      <c r="BJW106" s="39"/>
      <c r="BJX106" s="39"/>
      <c r="BJY106" s="39"/>
      <c r="BJZ106" s="39"/>
      <c r="BKA106" s="39"/>
      <c r="BKB106" s="39"/>
      <c r="BKC106" s="39"/>
      <c r="BKD106" s="39"/>
      <c r="BKE106" s="39"/>
      <c r="BKF106" s="39"/>
      <c r="BKG106" s="39"/>
      <c r="BKH106" s="39"/>
      <c r="BKI106" s="39"/>
      <c r="BKJ106" s="39"/>
      <c r="BKK106" s="39"/>
      <c r="BKL106" s="39"/>
      <c r="BKM106" s="39"/>
      <c r="BKN106" s="39"/>
      <c r="BKO106" s="39"/>
      <c r="BKP106" s="39"/>
      <c r="BKQ106" s="39"/>
      <c r="BKR106" s="39"/>
      <c r="BKS106" s="39"/>
      <c r="BKT106" s="39"/>
      <c r="BKU106" s="39"/>
      <c r="BKV106" s="39"/>
      <c r="BKW106" s="39"/>
      <c r="BKX106" s="39"/>
      <c r="BKY106" s="39"/>
      <c r="BKZ106" s="39"/>
      <c r="BLA106" s="39"/>
      <c r="BLB106" s="39"/>
      <c r="BLC106" s="39"/>
      <c r="BLD106" s="39"/>
      <c r="BLE106" s="39"/>
      <c r="BLF106" s="39"/>
      <c r="BLG106" s="39"/>
      <c r="BLH106" s="39"/>
      <c r="BLI106" s="39"/>
      <c r="BLJ106" s="39"/>
      <c r="BLK106" s="39"/>
      <c r="BLL106" s="39"/>
      <c r="BLM106" s="39"/>
      <c r="BLN106" s="39"/>
      <c r="BLO106" s="39"/>
      <c r="BLP106" s="39"/>
      <c r="BLQ106" s="39"/>
      <c r="BLR106" s="39"/>
      <c r="BLS106" s="39"/>
      <c r="BLT106" s="39"/>
      <c r="BLU106" s="39"/>
      <c r="BLV106" s="39"/>
      <c r="BLW106" s="39"/>
      <c r="BLX106" s="39"/>
      <c r="BLY106" s="39"/>
      <c r="BLZ106" s="39"/>
      <c r="BMA106" s="39"/>
      <c r="BMB106" s="39"/>
      <c r="BMC106" s="39"/>
      <c r="BMD106" s="39"/>
      <c r="BME106" s="39"/>
      <c r="BMF106" s="39"/>
      <c r="BMG106" s="39"/>
      <c r="BMH106" s="39"/>
      <c r="BMI106" s="39"/>
      <c r="BMJ106" s="39"/>
      <c r="BMK106" s="39"/>
      <c r="BML106" s="39"/>
      <c r="BMM106" s="39"/>
      <c r="BMN106" s="39"/>
      <c r="BMO106" s="39"/>
      <c r="BMP106" s="39"/>
      <c r="BMQ106" s="39"/>
      <c r="BMR106" s="39"/>
      <c r="BMS106" s="39"/>
      <c r="BMT106" s="39"/>
      <c r="BMU106" s="39"/>
      <c r="BMV106" s="39"/>
      <c r="BMW106" s="39"/>
      <c r="BMX106" s="39"/>
      <c r="BMY106" s="39"/>
      <c r="BMZ106" s="39"/>
      <c r="BNA106" s="39"/>
      <c r="BNB106" s="39"/>
      <c r="BNC106" s="39"/>
      <c r="BND106" s="39"/>
      <c r="BNE106" s="39"/>
      <c r="BNF106" s="39"/>
      <c r="BNG106" s="39"/>
      <c r="BNH106" s="39"/>
      <c r="BNI106" s="39"/>
      <c r="BNJ106" s="39"/>
      <c r="BNK106" s="39"/>
      <c r="BNL106" s="39"/>
      <c r="BNM106" s="39"/>
      <c r="BNN106" s="39"/>
      <c r="BNO106" s="39"/>
      <c r="BNP106" s="39"/>
      <c r="BNQ106" s="39"/>
      <c r="BNR106" s="39"/>
      <c r="BNS106" s="39"/>
      <c r="BNT106" s="39"/>
      <c r="BNU106" s="39"/>
      <c r="BNV106" s="39"/>
      <c r="BNW106" s="39"/>
      <c r="BNX106" s="39"/>
      <c r="BNY106" s="39"/>
      <c r="BNZ106" s="39"/>
      <c r="BOA106" s="39"/>
      <c r="BOB106" s="39"/>
      <c r="BOC106" s="39"/>
      <c r="BOD106" s="39"/>
      <c r="BOE106" s="39"/>
      <c r="BOF106" s="39"/>
      <c r="BOG106" s="39"/>
      <c r="BOH106" s="39"/>
      <c r="BOI106" s="39"/>
      <c r="BOJ106" s="39"/>
      <c r="BOK106" s="39"/>
      <c r="BOL106" s="39"/>
      <c r="BOM106" s="39"/>
      <c r="BON106" s="39"/>
      <c r="BOO106" s="39"/>
      <c r="BOP106" s="39"/>
      <c r="BOQ106" s="39"/>
      <c r="BOR106" s="39"/>
      <c r="BOS106" s="39"/>
      <c r="BOT106" s="39"/>
      <c r="BOU106" s="39"/>
      <c r="BOV106" s="39"/>
      <c r="BOW106" s="39"/>
      <c r="BOX106" s="39"/>
      <c r="BOY106" s="39"/>
      <c r="BOZ106" s="39"/>
      <c r="BPA106" s="39"/>
      <c r="BPB106" s="39"/>
      <c r="BPC106" s="39"/>
      <c r="BPD106" s="39"/>
      <c r="BPE106" s="39"/>
      <c r="BPF106" s="39"/>
      <c r="BPG106" s="39"/>
      <c r="BPH106" s="39"/>
      <c r="BPI106" s="39"/>
      <c r="BPJ106" s="39"/>
      <c r="BPK106" s="39"/>
      <c r="BPL106" s="39"/>
      <c r="BPM106" s="39"/>
      <c r="BPN106" s="39"/>
      <c r="BPO106" s="39"/>
      <c r="BPP106" s="39"/>
      <c r="BPQ106" s="39"/>
      <c r="BPR106" s="39"/>
      <c r="BPS106" s="39"/>
      <c r="BPT106" s="39"/>
      <c r="BPU106" s="39"/>
      <c r="BPV106" s="39"/>
      <c r="BPW106" s="39"/>
      <c r="BPX106" s="39"/>
      <c r="BPY106" s="39"/>
      <c r="BPZ106" s="39"/>
      <c r="BQA106" s="39"/>
      <c r="BQB106" s="39"/>
      <c r="BQC106" s="39"/>
      <c r="BQD106" s="39"/>
      <c r="BQE106" s="39"/>
      <c r="BQF106" s="39"/>
      <c r="BQG106" s="39"/>
      <c r="BQH106" s="39"/>
      <c r="BQI106" s="39"/>
      <c r="BQJ106" s="39"/>
      <c r="BQK106" s="39"/>
      <c r="BQL106" s="39"/>
      <c r="BQM106" s="39"/>
      <c r="BQN106" s="39"/>
      <c r="BQO106" s="39"/>
      <c r="BQP106" s="39"/>
      <c r="BQQ106" s="39"/>
      <c r="BQR106" s="39"/>
      <c r="BQS106" s="39"/>
      <c r="BQT106" s="39"/>
      <c r="BQU106" s="39"/>
      <c r="BQV106" s="39"/>
      <c r="BQW106" s="39"/>
      <c r="BQX106" s="39"/>
      <c r="BQY106" s="39"/>
      <c r="BQZ106" s="39"/>
      <c r="BRA106" s="39"/>
      <c r="BRB106" s="39"/>
      <c r="BRC106" s="39"/>
      <c r="BRD106" s="39"/>
      <c r="BRE106" s="39"/>
      <c r="BRF106" s="39"/>
      <c r="BRG106" s="39"/>
      <c r="BRH106" s="39"/>
      <c r="BRI106" s="39"/>
      <c r="BRJ106" s="39"/>
      <c r="BRK106" s="39"/>
      <c r="BRL106" s="39"/>
      <c r="BRM106" s="39"/>
      <c r="BRN106" s="39"/>
      <c r="BRO106" s="39"/>
      <c r="BRP106" s="39"/>
      <c r="BRQ106" s="39"/>
      <c r="BRR106" s="39"/>
      <c r="BRS106" s="39"/>
      <c r="BRT106" s="39"/>
      <c r="BRU106" s="39"/>
      <c r="BRV106" s="39"/>
      <c r="BRW106" s="39"/>
      <c r="BRX106" s="39"/>
      <c r="BRY106" s="39"/>
      <c r="BRZ106" s="39"/>
      <c r="BSA106" s="39"/>
      <c r="BSB106" s="39"/>
      <c r="BSC106" s="39"/>
      <c r="BSD106" s="39"/>
      <c r="BSE106" s="39"/>
      <c r="BSF106" s="39"/>
      <c r="BSG106" s="39"/>
      <c r="BSH106" s="39"/>
      <c r="BSI106" s="39"/>
      <c r="BSJ106" s="39"/>
      <c r="BSK106" s="39"/>
      <c r="BSL106" s="39"/>
      <c r="BSM106" s="39"/>
      <c r="BSN106" s="39"/>
      <c r="BSO106" s="39"/>
      <c r="BSP106" s="39"/>
      <c r="BSQ106" s="39"/>
      <c r="BSR106" s="39"/>
      <c r="BSS106" s="39"/>
      <c r="BST106" s="39"/>
      <c r="BSU106" s="39"/>
      <c r="BSV106" s="39"/>
      <c r="BSW106" s="39"/>
      <c r="BSX106" s="39"/>
      <c r="BSY106" s="39"/>
      <c r="BSZ106" s="39"/>
      <c r="BTA106" s="39"/>
      <c r="BTB106" s="39"/>
      <c r="BTC106" s="39"/>
      <c r="BTD106" s="39"/>
      <c r="BTE106" s="39"/>
      <c r="BTF106" s="39"/>
      <c r="BTG106" s="39"/>
      <c r="BTH106" s="39"/>
      <c r="BTI106" s="39"/>
      <c r="BTJ106" s="39"/>
      <c r="BTK106" s="39"/>
      <c r="BTL106" s="39"/>
      <c r="BTM106" s="39"/>
      <c r="BTN106" s="39"/>
      <c r="BTO106" s="39"/>
      <c r="BTP106" s="39"/>
      <c r="BTQ106" s="39"/>
      <c r="BTR106" s="39"/>
      <c r="BTS106" s="39"/>
      <c r="BTT106" s="39"/>
      <c r="BTU106" s="39"/>
      <c r="BTV106" s="39"/>
      <c r="BTW106" s="39"/>
      <c r="BTX106" s="39"/>
      <c r="BTY106" s="39"/>
      <c r="BTZ106" s="39"/>
      <c r="BUA106" s="39"/>
      <c r="BUB106" s="39"/>
      <c r="BUC106" s="39"/>
      <c r="BUD106" s="39"/>
      <c r="BUE106" s="39"/>
      <c r="BUF106" s="39"/>
      <c r="BUG106" s="39"/>
      <c r="BUH106" s="39"/>
      <c r="BUI106" s="39"/>
      <c r="BUJ106" s="39"/>
      <c r="BUK106" s="39"/>
      <c r="BUL106" s="39"/>
      <c r="BUM106" s="39"/>
      <c r="BUN106" s="39"/>
      <c r="BUO106" s="39"/>
      <c r="BUP106" s="39"/>
      <c r="BUQ106" s="39"/>
      <c r="BUR106" s="39"/>
      <c r="BUS106" s="39"/>
      <c r="BUT106" s="39"/>
      <c r="BUU106" s="39"/>
      <c r="BUV106" s="39"/>
      <c r="BUW106" s="39"/>
      <c r="BUX106" s="39"/>
      <c r="BUY106" s="39"/>
      <c r="BUZ106" s="39"/>
      <c r="BVA106" s="39"/>
      <c r="BVB106" s="39"/>
      <c r="BVC106" s="39"/>
      <c r="BVD106" s="39"/>
      <c r="BVE106" s="39"/>
      <c r="BVF106" s="39"/>
      <c r="BVG106" s="39"/>
      <c r="BVH106" s="39"/>
      <c r="BVI106" s="39"/>
      <c r="BVJ106" s="39"/>
      <c r="BVK106" s="39"/>
      <c r="BVL106" s="39"/>
      <c r="BVM106" s="39"/>
      <c r="BVN106" s="39"/>
      <c r="BVO106" s="39"/>
      <c r="BVP106" s="39"/>
      <c r="BVQ106" s="39"/>
      <c r="BVR106" s="39"/>
      <c r="BVS106" s="39"/>
      <c r="BVT106" s="39"/>
      <c r="BVU106" s="39"/>
      <c r="BVV106" s="39"/>
      <c r="BVW106" s="39"/>
      <c r="BVX106" s="39"/>
      <c r="BVY106" s="39"/>
      <c r="BVZ106" s="39"/>
      <c r="BWA106" s="39"/>
      <c r="BWB106" s="39"/>
      <c r="BWC106" s="39"/>
      <c r="BWD106" s="39"/>
      <c r="BWE106" s="39"/>
      <c r="BWF106" s="39"/>
      <c r="BWG106" s="39"/>
      <c r="BWH106" s="39"/>
      <c r="BWI106" s="39"/>
      <c r="BWJ106" s="39"/>
      <c r="BWK106" s="39"/>
      <c r="BWL106" s="39"/>
      <c r="BWM106" s="39"/>
      <c r="BWN106" s="39"/>
      <c r="BWO106" s="39"/>
      <c r="BWP106" s="39"/>
      <c r="BWQ106" s="39"/>
      <c r="BWR106" s="39"/>
      <c r="BWS106" s="39"/>
      <c r="BWT106" s="39"/>
      <c r="BWU106" s="39"/>
      <c r="BWV106" s="39"/>
      <c r="BWW106" s="39"/>
      <c r="BWX106" s="39"/>
      <c r="BWY106" s="39"/>
      <c r="BWZ106" s="39"/>
      <c r="BXA106" s="39"/>
      <c r="BXB106" s="39"/>
      <c r="BXC106" s="39"/>
      <c r="BXD106" s="39"/>
      <c r="BXE106" s="39"/>
      <c r="BXF106" s="39"/>
      <c r="BXG106" s="39"/>
      <c r="BXH106" s="39"/>
      <c r="BXI106" s="39"/>
      <c r="BXJ106" s="39"/>
      <c r="BXK106" s="39"/>
      <c r="BXL106" s="39"/>
      <c r="BXM106" s="39"/>
      <c r="BXN106" s="39"/>
      <c r="BXO106" s="39"/>
      <c r="BXP106" s="39"/>
      <c r="BXQ106" s="39"/>
      <c r="BXR106" s="39"/>
      <c r="BXS106" s="39"/>
      <c r="BXT106" s="39"/>
      <c r="BXU106" s="39"/>
      <c r="BXV106" s="39"/>
      <c r="BXW106" s="39"/>
      <c r="BXX106" s="39"/>
      <c r="BXY106" s="39"/>
      <c r="BXZ106" s="39"/>
      <c r="BYA106" s="39"/>
      <c r="BYB106" s="39"/>
      <c r="BYC106" s="39"/>
      <c r="BYD106" s="39"/>
      <c r="BYE106" s="39"/>
      <c r="BYF106" s="39"/>
      <c r="BYG106" s="39"/>
      <c r="BYH106" s="39"/>
      <c r="BYI106" s="39"/>
      <c r="BYJ106" s="39"/>
      <c r="BYK106" s="39"/>
      <c r="BYL106" s="39"/>
      <c r="BYM106" s="39"/>
      <c r="BYN106" s="39"/>
      <c r="BYO106" s="39"/>
      <c r="BYP106" s="39"/>
      <c r="BYQ106" s="39"/>
      <c r="BYR106" s="39"/>
      <c r="BYS106" s="39"/>
      <c r="BYT106" s="39"/>
      <c r="BYU106" s="39"/>
      <c r="BYV106" s="39"/>
      <c r="BYW106" s="39"/>
      <c r="BYX106" s="39"/>
      <c r="BYY106" s="39"/>
      <c r="BYZ106" s="39"/>
      <c r="BZA106" s="39"/>
      <c r="BZB106" s="39"/>
      <c r="BZC106" s="39"/>
      <c r="BZD106" s="39"/>
      <c r="BZE106" s="39"/>
      <c r="BZF106" s="39"/>
      <c r="BZG106" s="39"/>
      <c r="BZH106" s="39"/>
      <c r="BZI106" s="39"/>
      <c r="BZJ106" s="39"/>
      <c r="BZK106" s="39"/>
      <c r="BZL106" s="39"/>
      <c r="BZM106" s="39"/>
      <c r="BZN106" s="39"/>
      <c r="BZO106" s="39"/>
      <c r="BZP106" s="39"/>
      <c r="BZQ106" s="39"/>
      <c r="BZR106" s="39"/>
      <c r="BZS106" s="39"/>
      <c r="BZT106" s="39"/>
      <c r="BZU106" s="39"/>
      <c r="BZV106" s="39"/>
      <c r="BZW106" s="39"/>
      <c r="BZX106" s="39"/>
      <c r="BZY106" s="39"/>
      <c r="BZZ106" s="39"/>
      <c r="CAA106" s="39"/>
      <c r="CAB106" s="39"/>
      <c r="CAC106" s="39"/>
      <c r="CAD106" s="39"/>
      <c r="CAE106" s="39"/>
      <c r="CAF106" s="39"/>
      <c r="CAG106" s="39"/>
      <c r="CAH106" s="39"/>
      <c r="CAI106" s="39"/>
      <c r="CAJ106" s="39"/>
      <c r="CAK106" s="39"/>
      <c r="CAL106" s="39"/>
      <c r="CAM106" s="39"/>
      <c r="CAN106" s="39"/>
      <c r="CAO106" s="39"/>
      <c r="CAP106" s="39"/>
      <c r="CAQ106" s="39"/>
      <c r="CAR106" s="39"/>
      <c r="CAS106" s="39"/>
      <c r="CAT106" s="39"/>
      <c r="CAU106" s="39"/>
      <c r="CAV106" s="39"/>
      <c r="CAW106" s="39"/>
      <c r="CAX106" s="39"/>
      <c r="CAY106" s="39"/>
      <c r="CAZ106" s="39"/>
      <c r="CBA106" s="39"/>
      <c r="CBB106" s="39"/>
      <c r="CBC106" s="39"/>
      <c r="CBD106" s="39"/>
      <c r="CBE106" s="39"/>
      <c r="CBF106" s="39"/>
      <c r="CBG106" s="39"/>
      <c r="CBH106" s="39"/>
      <c r="CBI106" s="39"/>
      <c r="CBJ106" s="39"/>
      <c r="CBK106" s="39"/>
      <c r="CBL106" s="39"/>
      <c r="CBM106" s="39"/>
      <c r="CBN106" s="39"/>
      <c r="CBO106" s="39"/>
      <c r="CBP106" s="39"/>
      <c r="CBQ106" s="39"/>
      <c r="CBR106" s="39"/>
      <c r="CBS106" s="39"/>
      <c r="CBT106" s="39"/>
      <c r="CBU106" s="39"/>
      <c r="CBV106" s="39"/>
      <c r="CBW106" s="39"/>
      <c r="CBX106" s="39"/>
      <c r="CBY106" s="39"/>
      <c r="CBZ106" s="39"/>
      <c r="CCA106" s="39"/>
      <c r="CCB106" s="39"/>
      <c r="CCC106" s="39"/>
      <c r="CCD106" s="39"/>
      <c r="CCE106" s="39"/>
      <c r="CCF106" s="39"/>
      <c r="CCG106" s="39"/>
      <c r="CCH106" s="39"/>
      <c r="CCI106" s="39"/>
      <c r="CCJ106" s="39"/>
      <c r="CCK106" s="39"/>
      <c r="CCL106" s="39"/>
      <c r="CCM106" s="39"/>
      <c r="CCN106" s="39"/>
      <c r="CCO106" s="39"/>
      <c r="CCP106" s="39"/>
      <c r="CCQ106" s="39"/>
      <c r="CCR106" s="39"/>
      <c r="CCS106" s="39"/>
      <c r="CCT106" s="39"/>
      <c r="CCU106" s="39"/>
      <c r="CCV106" s="39"/>
      <c r="CCW106" s="39"/>
      <c r="CCX106" s="39"/>
      <c r="CCY106" s="39"/>
      <c r="CCZ106" s="39"/>
      <c r="CDA106" s="39"/>
      <c r="CDB106" s="39"/>
      <c r="CDC106" s="39"/>
      <c r="CDD106" s="39"/>
      <c r="CDE106" s="39"/>
      <c r="CDF106" s="39"/>
      <c r="CDG106" s="39"/>
      <c r="CDH106" s="39"/>
      <c r="CDI106" s="39"/>
      <c r="CDJ106" s="39"/>
      <c r="CDK106" s="39"/>
      <c r="CDL106" s="39"/>
      <c r="CDM106" s="39"/>
      <c r="CDN106" s="39"/>
      <c r="CDO106" s="39"/>
      <c r="CDP106" s="39"/>
      <c r="CDQ106" s="39"/>
      <c r="CDR106" s="39"/>
      <c r="CDS106" s="39"/>
      <c r="CDT106" s="39"/>
      <c r="CDU106" s="39"/>
      <c r="CDV106" s="39"/>
      <c r="CDW106" s="39"/>
      <c r="CDX106" s="39"/>
      <c r="CDY106" s="39"/>
      <c r="CDZ106" s="39"/>
      <c r="CEA106" s="39"/>
      <c r="CEB106" s="39"/>
      <c r="CEC106" s="39"/>
      <c r="CED106" s="39"/>
      <c r="CEE106" s="39"/>
      <c r="CEF106" s="39"/>
      <c r="CEG106" s="39"/>
      <c r="CEH106" s="39"/>
      <c r="CEI106" s="39"/>
      <c r="CEJ106" s="39"/>
      <c r="CEK106" s="39"/>
      <c r="CEL106" s="39"/>
      <c r="CEM106" s="39"/>
      <c r="CEN106" s="39"/>
      <c r="CEO106" s="39"/>
      <c r="CEP106" s="39"/>
      <c r="CEQ106" s="39"/>
      <c r="CER106" s="39"/>
      <c r="CES106" s="39"/>
      <c r="CET106" s="39"/>
      <c r="CEU106" s="39"/>
      <c r="CEV106" s="39"/>
      <c r="CEW106" s="39"/>
      <c r="CEX106" s="39"/>
      <c r="CEY106" s="39"/>
      <c r="CEZ106" s="39"/>
      <c r="CFA106" s="39"/>
      <c r="CFB106" s="39"/>
      <c r="CFC106" s="39"/>
      <c r="CFD106" s="39"/>
      <c r="CFE106" s="39"/>
      <c r="CFF106" s="39"/>
      <c r="CFG106" s="39"/>
      <c r="CFH106" s="39"/>
      <c r="CFI106" s="39"/>
      <c r="CFJ106" s="39"/>
      <c r="CFK106" s="39"/>
      <c r="CFL106" s="39"/>
      <c r="CFM106" s="39"/>
      <c r="CFN106" s="39"/>
      <c r="CFO106" s="39"/>
      <c r="CFP106" s="39"/>
      <c r="CFQ106" s="39"/>
      <c r="CFR106" s="39"/>
      <c r="CFS106" s="39"/>
      <c r="CFT106" s="39"/>
      <c r="CFU106" s="39"/>
      <c r="CFV106" s="39"/>
      <c r="CFW106" s="39"/>
      <c r="CFX106" s="39"/>
      <c r="CFY106" s="39"/>
      <c r="CFZ106" s="39"/>
      <c r="CGA106" s="39"/>
      <c r="CGB106" s="39"/>
      <c r="CGC106" s="39"/>
      <c r="CGD106" s="39"/>
      <c r="CGE106" s="39"/>
      <c r="CGF106" s="39"/>
      <c r="CGG106" s="39"/>
      <c r="CGH106" s="39"/>
      <c r="CGI106" s="39"/>
      <c r="CGJ106" s="39"/>
      <c r="CGK106" s="39"/>
      <c r="CGL106" s="39"/>
      <c r="CGM106" s="39"/>
      <c r="CGN106" s="39"/>
      <c r="CGO106" s="39"/>
      <c r="CGP106" s="39"/>
      <c r="CGQ106" s="39"/>
      <c r="CGR106" s="39"/>
      <c r="CGS106" s="39"/>
      <c r="CGT106" s="39"/>
      <c r="CGU106" s="39"/>
      <c r="CGV106" s="39"/>
      <c r="CGW106" s="39"/>
      <c r="CGX106" s="39"/>
      <c r="CGY106" s="39"/>
      <c r="CGZ106" s="39"/>
      <c r="CHA106" s="39"/>
      <c r="CHB106" s="39"/>
      <c r="CHC106" s="39"/>
      <c r="CHD106" s="39"/>
      <c r="CHE106" s="39"/>
      <c r="CHF106" s="39"/>
      <c r="CHG106" s="39"/>
      <c r="CHH106" s="39"/>
      <c r="CHI106" s="39"/>
      <c r="CHJ106" s="39"/>
      <c r="CHK106" s="39"/>
      <c r="CHL106" s="39"/>
      <c r="CHM106" s="39"/>
      <c r="CHN106" s="39"/>
      <c r="CHO106" s="39"/>
      <c r="CHP106" s="39"/>
      <c r="CHQ106" s="39"/>
      <c r="CHR106" s="39"/>
      <c r="CHS106" s="39"/>
      <c r="CHT106" s="39"/>
      <c r="CHU106" s="39"/>
      <c r="CHV106" s="39"/>
      <c r="CHW106" s="39"/>
      <c r="CHX106" s="39"/>
      <c r="CHY106" s="39"/>
      <c r="CHZ106" s="39"/>
      <c r="CIA106" s="39"/>
      <c r="CIB106" s="39"/>
      <c r="CIC106" s="39"/>
      <c r="CID106" s="39"/>
      <c r="CIE106" s="39"/>
      <c r="CIF106" s="39"/>
      <c r="CIG106" s="39"/>
      <c r="CIH106" s="39"/>
      <c r="CII106" s="39"/>
      <c r="CIJ106" s="39"/>
      <c r="CIK106" s="39"/>
      <c r="CIL106" s="39"/>
      <c r="CIM106" s="39"/>
      <c r="CIN106" s="39"/>
      <c r="CIO106" s="39"/>
      <c r="CIP106" s="39"/>
      <c r="CIQ106" s="39"/>
      <c r="CIR106" s="39"/>
      <c r="CIS106" s="39"/>
      <c r="CIT106" s="39"/>
      <c r="CIU106" s="39"/>
      <c r="CIV106" s="39"/>
      <c r="CIW106" s="39"/>
      <c r="CIX106" s="39"/>
      <c r="CIY106" s="39"/>
      <c r="CIZ106" s="39"/>
      <c r="CJA106" s="39"/>
      <c r="CJB106" s="39"/>
      <c r="CJC106" s="39"/>
      <c r="CJD106" s="39"/>
      <c r="CJE106" s="39"/>
      <c r="CJF106" s="39"/>
      <c r="CJG106" s="39"/>
      <c r="CJH106" s="39"/>
      <c r="CJI106" s="39"/>
      <c r="CJJ106" s="39"/>
      <c r="CJK106" s="39"/>
      <c r="CJL106" s="39"/>
      <c r="CJM106" s="39"/>
      <c r="CJN106" s="39"/>
      <c r="CJO106" s="39"/>
      <c r="CJP106" s="39"/>
      <c r="CJQ106" s="39"/>
      <c r="CJR106" s="39"/>
      <c r="CJS106" s="39"/>
      <c r="CJT106" s="39"/>
      <c r="CJU106" s="39"/>
      <c r="CJV106" s="39"/>
      <c r="CJW106" s="39"/>
      <c r="CJX106" s="39"/>
      <c r="CJY106" s="39"/>
      <c r="CJZ106" s="39"/>
      <c r="CKA106" s="39"/>
      <c r="CKB106" s="39"/>
      <c r="CKC106" s="39"/>
      <c r="CKD106" s="39"/>
      <c r="CKE106" s="39"/>
      <c r="CKF106" s="39"/>
      <c r="CKG106" s="39"/>
      <c r="CKH106" s="39"/>
      <c r="CKI106" s="39"/>
      <c r="CKJ106" s="39"/>
      <c r="CKK106" s="39"/>
      <c r="CKL106" s="39"/>
      <c r="CKM106" s="39"/>
      <c r="CKN106" s="39"/>
      <c r="CKO106" s="39"/>
      <c r="CKP106" s="39"/>
      <c r="CKQ106" s="39"/>
      <c r="CKR106" s="39"/>
      <c r="CKS106" s="39"/>
      <c r="CKT106" s="39"/>
      <c r="CKU106" s="39"/>
      <c r="CKV106" s="39"/>
      <c r="CKW106" s="39"/>
      <c r="CKX106" s="39"/>
      <c r="CKY106" s="39"/>
      <c r="CKZ106" s="39"/>
      <c r="CLA106" s="39"/>
      <c r="CLB106" s="39"/>
      <c r="CLC106" s="39"/>
      <c r="CLD106" s="39"/>
      <c r="CLE106" s="39"/>
      <c r="CLF106" s="39"/>
      <c r="CLG106" s="39"/>
      <c r="CLH106" s="39"/>
      <c r="CLI106" s="39"/>
      <c r="CLJ106" s="39"/>
      <c r="CLK106" s="39"/>
      <c r="CLL106" s="39"/>
      <c r="CLM106" s="39"/>
      <c r="CLN106" s="39"/>
      <c r="CLO106" s="39"/>
      <c r="CLP106" s="39"/>
      <c r="CLQ106" s="39"/>
      <c r="CLR106" s="39"/>
      <c r="CLS106" s="39"/>
      <c r="CLT106" s="39"/>
      <c r="CLU106" s="39"/>
      <c r="CLV106" s="39"/>
      <c r="CLW106" s="39"/>
      <c r="CLX106" s="39"/>
      <c r="CLY106" s="39"/>
      <c r="CLZ106" s="39"/>
      <c r="CMA106" s="39"/>
      <c r="CMB106" s="39"/>
      <c r="CMC106" s="39"/>
      <c r="CMD106" s="39"/>
      <c r="CME106" s="39"/>
      <c r="CMF106" s="39"/>
      <c r="CMG106" s="39"/>
      <c r="CMH106" s="39"/>
      <c r="CMI106" s="39"/>
      <c r="CMJ106" s="39"/>
      <c r="CMK106" s="39"/>
      <c r="CML106" s="39"/>
      <c r="CMM106" s="39"/>
      <c r="CMN106" s="39"/>
      <c r="CMO106" s="39"/>
      <c r="CMP106" s="39"/>
      <c r="CMQ106" s="39"/>
      <c r="CMR106" s="39"/>
      <c r="CMS106" s="39"/>
      <c r="CMT106" s="39"/>
      <c r="CMU106" s="39"/>
      <c r="CMV106" s="39"/>
      <c r="CMW106" s="39"/>
      <c r="CMX106" s="39"/>
      <c r="CMY106" s="39"/>
      <c r="CMZ106" s="39"/>
      <c r="CNA106" s="39"/>
      <c r="CNB106" s="39"/>
      <c r="CNC106" s="39"/>
      <c r="CND106" s="39"/>
      <c r="CNE106" s="39"/>
      <c r="CNF106" s="39"/>
      <c r="CNG106" s="39"/>
      <c r="CNH106" s="39"/>
      <c r="CNI106" s="39"/>
      <c r="CNJ106" s="39"/>
      <c r="CNK106" s="39"/>
      <c r="CNL106" s="39"/>
      <c r="CNM106" s="39"/>
      <c r="CNN106" s="39"/>
      <c r="CNO106" s="39"/>
      <c r="CNP106" s="39"/>
      <c r="CNQ106" s="39"/>
      <c r="CNR106" s="39"/>
      <c r="CNS106" s="39"/>
      <c r="CNT106" s="39"/>
      <c r="CNU106" s="39"/>
      <c r="CNV106" s="39"/>
      <c r="CNW106" s="39"/>
      <c r="CNX106" s="39"/>
      <c r="CNY106" s="39"/>
      <c r="CNZ106" s="39"/>
      <c r="COA106" s="39"/>
      <c r="COB106" s="39"/>
      <c r="COC106" s="39"/>
      <c r="COD106" s="39"/>
      <c r="COE106" s="39"/>
      <c r="COF106" s="39"/>
      <c r="COG106" s="39"/>
      <c r="COH106" s="39"/>
      <c r="COI106" s="39"/>
      <c r="COJ106" s="39"/>
      <c r="COK106" s="39"/>
      <c r="COL106" s="39"/>
      <c r="COM106" s="39"/>
      <c r="CON106" s="39"/>
      <c r="COO106" s="39"/>
      <c r="COP106" s="39"/>
      <c r="COQ106" s="39"/>
      <c r="COR106" s="39"/>
      <c r="COS106" s="39"/>
      <c r="COT106" s="39"/>
      <c r="COU106" s="39"/>
      <c r="COV106" s="39"/>
      <c r="COW106" s="39"/>
      <c r="COX106" s="39"/>
      <c r="COY106" s="39"/>
      <c r="COZ106" s="39"/>
      <c r="CPA106" s="39"/>
      <c r="CPB106" s="39"/>
      <c r="CPC106" s="39"/>
      <c r="CPD106" s="39"/>
      <c r="CPE106" s="39"/>
      <c r="CPF106" s="39"/>
      <c r="CPG106" s="39"/>
      <c r="CPH106" s="39"/>
      <c r="CPI106" s="39"/>
      <c r="CPJ106" s="39"/>
      <c r="CPK106" s="39"/>
      <c r="CPL106" s="39"/>
      <c r="CPM106" s="39"/>
      <c r="CPN106" s="39"/>
      <c r="CPO106" s="39"/>
      <c r="CPP106" s="39"/>
      <c r="CPQ106" s="39"/>
      <c r="CPR106" s="39"/>
      <c r="CPS106" s="39"/>
      <c r="CPT106" s="39"/>
      <c r="CPU106" s="39"/>
      <c r="CPV106" s="39"/>
      <c r="CPW106" s="39"/>
      <c r="CPX106" s="39"/>
      <c r="CPY106" s="39"/>
      <c r="CPZ106" s="39"/>
      <c r="CQA106" s="39"/>
      <c r="CQB106" s="39"/>
      <c r="CQC106" s="39"/>
      <c r="CQD106" s="39"/>
      <c r="CQE106" s="39"/>
      <c r="CQF106" s="39"/>
      <c r="CQG106" s="39"/>
      <c r="CQH106" s="39"/>
      <c r="CQI106" s="39"/>
      <c r="CQJ106" s="39"/>
      <c r="CQK106" s="39"/>
      <c r="CQL106" s="39"/>
      <c r="CQM106" s="39"/>
      <c r="CQN106" s="39"/>
      <c r="CQO106" s="39"/>
      <c r="CQP106" s="39"/>
      <c r="CQQ106" s="39"/>
      <c r="CQR106" s="39"/>
      <c r="CQS106" s="39"/>
      <c r="CQT106" s="39"/>
      <c r="CQU106" s="39"/>
      <c r="CQV106" s="39"/>
      <c r="CQW106" s="39"/>
      <c r="CQX106" s="39"/>
      <c r="CQY106" s="39"/>
      <c r="CQZ106" s="39"/>
      <c r="CRA106" s="39"/>
      <c r="CRB106" s="39"/>
      <c r="CRC106" s="39"/>
      <c r="CRD106" s="39"/>
      <c r="CRE106" s="39"/>
      <c r="CRF106" s="39"/>
      <c r="CRG106" s="39"/>
      <c r="CRH106" s="39"/>
      <c r="CRI106" s="39"/>
      <c r="CRJ106" s="39"/>
      <c r="CRK106" s="39"/>
      <c r="CRL106" s="39"/>
      <c r="CRM106" s="39"/>
      <c r="CRN106" s="39"/>
      <c r="CRO106" s="39"/>
      <c r="CRP106" s="39"/>
      <c r="CRQ106" s="39"/>
      <c r="CRR106" s="39"/>
      <c r="CRS106" s="39"/>
      <c r="CRT106" s="39"/>
      <c r="CRU106" s="39"/>
      <c r="CRV106" s="39"/>
      <c r="CRW106" s="39"/>
      <c r="CRX106" s="39"/>
      <c r="CRY106" s="39"/>
      <c r="CRZ106" s="39"/>
      <c r="CSA106" s="39"/>
      <c r="CSB106" s="39"/>
      <c r="CSC106" s="39"/>
      <c r="CSD106" s="39"/>
      <c r="CSE106" s="39"/>
      <c r="CSF106" s="39"/>
      <c r="CSG106" s="39"/>
      <c r="CSH106" s="39"/>
      <c r="CSI106" s="39"/>
      <c r="CSJ106" s="39"/>
      <c r="CSK106" s="39"/>
      <c r="CSL106" s="39"/>
      <c r="CSM106" s="39"/>
      <c r="CSN106" s="39"/>
      <c r="CSO106" s="39"/>
      <c r="CSP106" s="39"/>
      <c r="CSQ106" s="39"/>
      <c r="CSR106" s="39"/>
      <c r="CSS106" s="39"/>
      <c r="CST106" s="39"/>
      <c r="CSU106" s="39"/>
      <c r="CSV106" s="39"/>
      <c r="CSW106" s="39"/>
      <c r="CSX106" s="39"/>
      <c r="CSY106" s="39"/>
      <c r="CSZ106" s="39"/>
      <c r="CTA106" s="39"/>
      <c r="CTB106" s="39"/>
      <c r="CTC106" s="39"/>
      <c r="CTD106" s="39"/>
      <c r="CTE106" s="39"/>
      <c r="CTF106" s="39"/>
      <c r="CTG106" s="39"/>
      <c r="CTH106" s="39"/>
      <c r="CTI106" s="39"/>
      <c r="CTJ106" s="39"/>
      <c r="CTK106" s="39"/>
      <c r="CTL106" s="39"/>
      <c r="CTM106" s="39"/>
      <c r="CTN106" s="39"/>
      <c r="CTO106" s="39"/>
      <c r="CTP106" s="39"/>
      <c r="CTQ106" s="39"/>
      <c r="CTR106" s="39"/>
      <c r="CTS106" s="39"/>
      <c r="CTT106" s="39"/>
      <c r="CTU106" s="39"/>
      <c r="CTV106" s="39"/>
      <c r="CTW106" s="39"/>
      <c r="CTX106" s="39"/>
      <c r="CTY106" s="39"/>
      <c r="CTZ106" s="39"/>
      <c r="CUA106" s="39"/>
      <c r="CUB106" s="39"/>
      <c r="CUC106" s="39"/>
      <c r="CUD106" s="39"/>
      <c r="CUE106" s="39"/>
      <c r="CUF106" s="39"/>
      <c r="CUG106" s="39"/>
      <c r="CUH106" s="39"/>
      <c r="CUI106" s="39"/>
      <c r="CUJ106" s="39"/>
      <c r="CUK106" s="39"/>
      <c r="CUL106" s="39"/>
      <c r="CUM106" s="39"/>
      <c r="CUN106" s="39"/>
      <c r="CUO106" s="39"/>
      <c r="CUP106" s="39"/>
      <c r="CUQ106" s="39"/>
      <c r="CUR106" s="39"/>
      <c r="CUS106" s="39"/>
      <c r="CUT106" s="39"/>
      <c r="CUU106" s="39"/>
      <c r="CUV106" s="39"/>
      <c r="CUW106" s="39"/>
      <c r="CUX106" s="39"/>
      <c r="CUY106" s="39"/>
      <c r="CUZ106" s="39"/>
      <c r="CVA106" s="39"/>
      <c r="CVB106" s="39"/>
      <c r="CVC106" s="39"/>
      <c r="CVD106" s="39"/>
      <c r="CVE106" s="39"/>
      <c r="CVF106" s="39"/>
      <c r="CVG106" s="39"/>
      <c r="CVH106" s="39"/>
      <c r="CVI106" s="39"/>
      <c r="CVJ106" s="39"/>
      <c r="CVK106" s="39"/>
      <c r="CVL106" s="39"/>
      <c r="CVM106" s="39"/>
      <c r="CVN106" s="39"/>
      <c r="CVO106" s="39"/>
      <c r="CVP106" s="39"/>
      <c r="CVQ106" s="39"/>
      <c r="CVR106" s="39"/>
      <c r="CVS106" s="39"/>
      <c r="CVT106" s="39"/>
      <c r="CVU106" s="39"/>
      <c r="CVV106" s="39"/>
      <c r="CVW106" s="39"/>
      <c r="CVX106" s="39"/>
      <c r="CVY106" s="39"/>
      <c r="CVZ106" s="39"/>
      <c r="CWA106" s="39"/>
      <c r="CWB106" s="39"/>
      <c r="CWC106" s="39"/>
      <c r="CWD106" s="39"/>
      <c r="CWE106" s="39"/>
      <c r="CWF106" s="39"/>
      <c r="CWG106" s="39"/>
      <c r="CWH106" s="39"/>
      <c r="CWI106" s="39"/>
      <c r="CWJ106" s="39"/>
      <c r="CWK106" s="39"/>
      <c r="CWL106" s="39"/>
      <c r="CWM106" s="39"/>
      <c r="CWN106" s="39"/>
      <c r="CWO106" s="39"/>
      <c r="CWP106" s="39"/>
      <c r="CWQ106" s="39"/>
      <c r="CWR106" s="39"/>
      <c r="CWS106" s="39"/>
      <c r="CWT106" s="39"/>
      <c r="CWU106" s="39"/>
      <c r="CWV106" s="39"/>
      <c r="CWW106" s="39"/>
      <c r="CWX106" s="39"/>
      <c r="CWY106" s="39"/>
      <c r="CWZ106" s="39"/>
      <c r="CXA106" s="39"/>
      <c r="CXB106" s="39"/>
      <c r="CXC106" s="39"/>
      <c r="CXD106" s="39"/>
      <c r="CXE106" s="39"/>
      <c r="CXF106" s="39"/>
      <c r="CXG106" s="39"/>
      <c r="CXH106" s="39"/>
      <c r="CXI106" s="39"/>
      <c r="CXJ106" s="39"/>
      <c r="CXK106" s="39"/>
      <c r="CXL106" s="39"/>
      <c r="CXM106" s="39"/>
      <c r="CXN106" s="39"/>
      <c r="CXO106" s="39"/>
      <c r="CXP106" s="39"/>
      <c r="CXQ106" s="39"/>
      <c r="CXR106" s="39"/>
      <c r="CXS106" s="39"/>
      <c r="CXT106" s="39"/>
      <c r="CXU106" s="39"/>
      <c r="CXV106" s="39"/>
      <c r="CXW106" s="39"/>
      <c r="CXX106" s="39"/>
      <c r="CXY106" s="39"/>
      <c r="CXZ106" s="39"/>
      <c r="CYA106" s="39"/>
      <c r="CYB106" s="39"/>
      <c r="CYC106" s="39"/>
      <c r="CYD106" s="39"/>
      <c r="CYE106" s="39"/>
      <c r="CYF106" s="39"/>
      <c r="CYG106" s="39"/>
      <c r="CYH106" s="39"/>
      <c r="CYI106" s="39"/>
      <c r="CYJ106" s="39"/>
      <c r="CYK106" s="39"/>
      <c r="CYL106" s="39"/>
      <c r="CYM106" s="39"/>
      <c r="CYN106" s="39"/>
      <c r="CYO106" s="39"/>
      <c r="CYP106" s="39"/>
      <c r="CYQ106" s="39"/>
      <c r="CYR106" s="39"/>
      <c r="CYS106" s="39"/>
      <c r="CYT106" s="39"/>
      <c r="CYU106" s="39"/>
      <c r="CYV106" s="39"/>
      <c r="CYW106" s="39"/>
      <c r="CYX106" s="39"/>
      <c r="CYY106" s="39"/>
      <c r="CYZ106" s="39"/>
      <c r="CZA106" s="39"/>
      <c r="CZB106" s="39"/>
      <c r="CZC106" s="39"/>
      <c r="CZD106" s="39"/>
      <c r="CZE106" s="39"/>
      <c r="CZF106" s="39"/>
      <c r="CZG106" s="39"/>
      <c r="CZH106" s="39"/>
      <c r="CZI106" s="39"/>
      <c r="CZJ106" s="39"/>
      <c r="CZK106" s="39"/>
      <c r="CZL106" s="39"/>
      <c r="CZM106" s="39"/>
      <c r="CZN106" s="39"/>
      <c r="CZO106" s="39"/>
      <c r="CZP106" s="39"/>
      <c r="CZQ106" s="39"/>
      <c r="CZR106" s="39"/>
      <c r="CZS106" s="39"/>
      <c r="CZT106" s="39"/>
      <c r="CZU106" s="39"/>
      <c r="CZV106" s="39"/>
      <c r="CZW106" s="39"/>
      <c r="CZX106" s="39"/>
      <c r="CZY106" s="39"/>
      <c r="CZZ106" s="39"/>
      <c r="DAA106" s="39"/>
      <c r="DAB106" s="39"/>
      <c r="DAC106" s="39"/>
      <c r="DAD106" s="39"/>
      <c r="DAE106" s="39"/>
      <c r="DAF106" s="39"/>
      <c r="DAG106" s="39"/>
      <c r="DAH106" s="39"/>
      <c r="DAI106" s="39"/>
      <c r="DAJ106" s="39"/>
      <c r="DAK106" s="39"/>
      <c r="DAL106" s="39"/>
      <c r="DAM106" s="39"/>
      <c r="DAN106" s="39"/>
      <c r="DAO106" s="39"/>
      <c r="DAP106" s="39"/>
      <c r="DAQ106" s="39"/>
      <c r="DAR106" s="39"/>
      <c r="DAS106" s="39"/>
      <c r="DAT106" s="39"/>
      <c r="DAU106" s="39"/>
      <c r="DAV106" s="39"/>
      <c r="DAW106" s="39"/>
      <c r="DAX106" s="39"/>
      <c r="DAY106" s="39"/>
      <c r="DAZ106" s="39"/>
      <c r="DBA106" s="39"/>
      <c r="DBB106" s="39"/>
      <c r="DBC106" s="39"/>
      <c r="DBD106" s="39"/>
      <c r="DBE106" s="39"/>
      <c r="DBF106" s="39"/>
      <c r="DBG106" s="39"/>
      <c r="DBH106" s="39"/>
      <c r="DBI106" s="39"/>
      <c r="DBJ106" s="39"/>
      <c r="DBK106" s="39"/>
      <c r="DBL106" s="39"/>
      <c r="DBM106" s="39"/>
      <c r="DBN106" s="39"/>
      <c r="DBO106" s="39"/>
      <c r="DBP106" s="39"/>
      <c r="DBQ106" s="39"/>
      <c r="DBR106" s="39"/>
      <c r="DBS106" s="39"/>
      <c r="DBT106" s="39"/>
      <c r="DBU106" s="39"/>
      <c r="DBV106" s="39"/>
      <c r="DBW106" s="39"/>
      <c r="DBX106" s="39"/>
      <c r="DBY106" s="39"/>
      <c r="DBZ106" s="39"/>
      <c r="DCA106" s="39"/>
      <c r="DCB106" s="39"/>
      <c r="DCC106" s="39"/>
      <c r="DCD106" s="39"/>
      <c r="DCE106" s="39"/>
      <c r="DCF106" s="39"/>
      <c r="DCG106" s="39"/>
      <c r="DCH106" s="39"/>
      <c r="DCI106" s="39"/>
      <c r="DCJ106" s="39"/>
      <c r="DCK106" s="39"/>
      <c r="DCL106" s="39"/>
      <c r="DCM106" s="39"/>
      <c r="DCN106" s="39"/>
      <c r="DCO106" s="39"/>
      <c r="DCP106" s="39"/>
      <c r="DCQ106" s="39"/>
      <c r="DCR106" s="39"/>
      <c r="DCS106" s="39"/>
      <c r="DCT106" s="39"/>
      <c r="DCU106" s="39"/>
      <c r="DCV106" s="39"/>
      <c r="DCW106" s="39"/>
      <c r="DCX106" s="39"/>
      <c r="DCY106" s="39"/>
      <c r="DCZ106" s="39"/>
      <c r="DDA106" s="39"/>
      <c r="DDB106" s="39"/>
      <c r="DDC106" s="39"/>
      <c r="DDD106" s="39"/>
      <c r="DDE106" s="39"/>
      <c r="DDF106" s="39"/>
      <c r="DDG106" s="39"/>
      <c r="DDH106" s="39"/>
      <c r="DDI106" s="39"/>
      <c r="DDJ106" s="39"/>
      <c r="DDK106" s="39"/>
      <c r="DDL106" s="39"/>
      <c r="DDM106" s="39"/>
      <c r="DDN106" s="39"/>
      <c r="DDO106" s="39"/>
      <c r="DDP106" s="39"/>
      <c r="DDQ106" s="39"/>
      <c r="DDR106" s="39"/>
      <c r="DDS106" s="39"/>
      <c r="DDT106" s="39"/>
      <c r="DDU106" s="39"/>
      <c r="DDV106" s="39"/>
      <c r="DDW106" s="39"/>
      <c r="DDX106" s="39"/>
      <c r="DDY106" s="39"/>
      <c r="DDZ106" s="39"/>
      <c r="DEA106" s="39"/>
      <c r="DEB106" s="39"/>
      <c r="DEC106" s="39"/>
      <c r="DED106" s="39"/>
      <c r="DEE106" s="39"/>
      <c r="DEF106" s="39"/>
      <c r="DEG106" s="39"/>
      <c r="DEH106" s="39"/>
      <c r="DEI106" s="39"/>
      <c r="DEJ106" s="39"/>
      <c r="DEK106" s="39"/>
      <c r="DEL106" s="39"/>
      <c r="DEM106" s="39"/>
      <c r="DEN106" s="39"/>
      <c r="DEO106" s="39"/>
      <c r="DEP106" s="39"/>
      <c r="DEQ106" s="39"/>
      <c r="DER106" s="39"/>
      <c r="DES106" s="39"/>
      <c r="DET106" s="39"/>
      <c r="DEU106" s="39"/>
      <c r="DEV106" s="39"/>
      <c r="DEW106" s="39"/>
      <c r="DEX106" s="39"/>
      <c r="DEY106" s="39"/>
      <c r="DEZ106" s="39"/>
      <c r="DFA106" s="39"/>
      <c r="DFB106" s="39"/>
      <c r="DFC106" s="39"/>
      <c r="DFD106" s="39"/>
      <c r="DFE106" s="39"/>
      <c r="DFF106" s="39"/>
      <c r="DFG106" s="39"/>
      <c r="DFH106" s="39"/>
      <c r="DFI106" s="39"/>
      <c r="DFJ106" s="39"/>
      <c r="DFK106" s="39"/>
      <c r="DFL106" s="39"/>
      <c r="DFM106" s="39"/>
      <c r="DFN106" s="39"/>
      <c r="DFO106" s="39"/>
      <c r="DFP106" s="39"/>
      <c r="DFQ106" s="39"/>
      <c r="DFR106" s="39"/>
      <c r="DFS106" s="39"/>
      <c r="DFT106" s="39"/>
      <c r="DFU106" s="39"/>
      <c r="DFV106" s="39"/>
      <c r="DFW106" s="39"/>
      <c r="DFX106" s="39"/>
      <c r="DFY106" s="39"/>
      <c r="DFZ106" s="39"/>
      <c r="DGA106" s="39"/>
      <c r="DGB106" s="39"/>
      <c r="DGC106" s="39"/>
      <c r="DGD106" s="39"/>
      <c r="DGE106" s="39"/>
      <c r="DGF106" s="39"/>
      <c r="DGG106" s="39"/>
      <c r="DGH106" s="39"/>
      <c r="DGI106" s="39"/>
      <c r="DGJ106" s="39"/>
      <c r="DGK106" s="39"/>
      <c r="DGL106" s="39"/>
      <c r="DGM106" s="39"/>
      <c r="DGN106" s="39"/>
      <c r="DGO106" s="39"/>
      <c r="DGP106" s="39"/>
      <c r="DGQ106" s="39"/>
      <c r="DGR106" s="39"/>
      <c r="DGS106" s="39"/>
      <c r="DGT106" s="39"/>
      <c r="DGU106" s="39"/>
      <c r="DGV106" s="39"/>
      <c r="DGW106" s="39"/>
      <c r="DGX106" s="39"/>
      <c r="DGY106" s="39"/>
      <c r="DGZ106" s="39"/>
      <c r="DHA106" s="39"/>
      <c r="DHB106" s="39"/>
      <c r="DHC106" s="39"/>
      <c r="DHD106" s="39"/>
      <c r="DHE106" s="39"/>
      <c r="DHF106" s="39"/>
      <c r="DHG106" s="39"/>
      <c r="DHH106" s="39"/>
      <c r="DHI106" s="39"/>
      <c r="DHJ106" s="39"/>
      <c r="DHK106" s="39"/>
      <c r="DHL106" s="39"/>
      <c r="DHM106" s="39"/>
      <c r="DHN106" s="39"/>
      <c r="DHO106" s="39"/>
      <c r="DHP106" s="39"/>
      <c r="DHQ106" s="39"/>
      <c r="DHR106" s="39"/>
      <c r="DHS106" s="39"/>
      <c r="DHT106" s="39"/>
      <c r="DHU106" s="39"/>
      <c r="DHV106" s="39"/>
      <c r="DHW106" s="39"/>
      <c r="DHX106" s="39"/>
      <c r="DHY106" s="39"/>
      <c r="DHZ106" s="39"/>
      <c r="DIA106" s="39"/>
      <c r="DIB106" s="39"/>
      <c r="DIC106" s="39"/>
      <c r="DID106" s="39"/>
      <c r="DIE106" s="39"/>
      <c r="DIF106" s="39"/>
      <c r="DIG106" s="39"/>
      <c r="DIH106" s="39"/>
      <c r="DII106" s="39"/>
      <c r="DIJ106" s="39"/>
      <c r="DIK106" s="39"/>
      <c r="DIL106" s="39"/>
      <c r="DIM106" s="39"/>
      <c r="DIN106" s="39"/>
      <c r="DIO106" s="39"/>
      <c r="DIP106" s="39"/>
      <c r="DIQ106" s="39"/>
      <c r="DIR106" s="39"/>
      <c r="DIS106" s="39"/>
      <c r="DIT106" s="39"/>
      <c r="DIU106" s="39"/>
      <c r="DIV106" s="39"/>
      <c r="DIW106" s="39"/>
      <c r="DIX106" s="39"/>
      <c r="DIY106" s="39"/>
      <c r="DIZ106" s="39"/>
      <c r="DJA106" s="39"/>
      <c r="DJB106" s="39"/>
      <c r="DJC106" s="39"/>
      <c r="DJD106" s="39"/>
      <c r="DJE106" s="39"/>
      <c r="DJF106" s="39"/>
      <c r="DJG106" s="39"/>
      <c r="DJH106" s="39"/>
      <c r="DJI106" s="39"/>
      <c r="DJJ106" s="39"/>
      <c r="DJK106" s="39"/>
      <c r="DJL106" s="39"/>
      <c r="DJM106" s="39"/>
      <c r="DJN106" s="39"/>
      <c r="DJO106" s="39"/>
      <c r="DJP106" s="39"/>
      <c r="DJQ106" s="39"/>
      <c r="DJR106" s="39"/>
      <c r="DJS106" s="39"/>
      <c r="DJT106" s="39"/>
      <c r="DJU106" s="39"/>
      <c r="DJV106" s="39"/>
      <c r="DJW106" s="39"/>
      <c r="DJX106" s="39"/>
      <c r="DJY106" s="39"/>
      <c r="DJZ106" s="39"/>
      <c r="DKA106" s="39"/>
      <c r="DKB106" s="39"/>
      <c r="DKC106" s="39"/>
      <c r="DKD106" s="39"/>
      <c r="DKE106" s="39"/>
      <c r="DKF106" s="39"/>
      <c r="DKG106" s="39"/>
      <c r="DKH106" s="39"/>
      <c r="DKI106" s="39"/>
      <c r="DKJ106" s="39"/>
      <c r="DKK106" s="39"/>
      <c r="DKL106" s="39"/>
      <c r="DKM106" s="39"/>
      <c r="DKN106" s="39"/>
      <c r="DKO106" s="39"/>
      <c r="DKP106" s="39"/>
      <c r="DKQ106" s="39"/>
      <c r="DKR106" s="39"/>
      <c r="DKS106" s="39"/>
      <c r="DKT106" s="39"/>
      <c r="DKU106" s="39"/>
      <c r="DKV106" s="39"/>
      <c r="DKW106" s="39"/>
      <c r="DKX106" s="39"/>
      <c r="DKY106" s="39"/>
      <c r="DKZ106" s="39"/>
      <c r="DLA106" s="39"/>
      <c r="DLB106" s="39"/>
      <c r="DLC106" s="39"/>
      <c r="DLD106" s="39"/>
      <c r="DLE106" s="39"/>
      <c r="DLF106" s="39"/>
      <c r="DLG106" s="39"/>
      <c r="DLH106" s="39"/>
      <c r="DLI106" s="39"/>
      <c r="DLJ106" s="39"/>
      <c r="DLK106" s="39"/>
      <c r="DLL106" s="39"/>
      <c r="DLM106" s="39"/>
      <c r="DLN106" s="39"/>
      <c r="DLO106" s="39"/>
      <c r="DLP106" s="39"/>
      <c r="DLQ106" s="39"/>
      <c r="DLR106" s="39"/>
      <c r="DLS106" s="39"/>
      <c r="DLT106" s="39"/>
      <c r="DLU106" s="39"/>
      <c r="DLV106" s="39"/>
      <c r="DLW106" s="39"/>
      <c r="DLX106" s="39"/>
      <c r="DLY106" s="39"/>
      <c r="DLZ106" s="39"/>
      <c r="DMA106" s="39"/>
      <c r="DMB106" s="39"/>
      <c r="DMC106" s="39"/>
      <c r="DMD106" s="39"/>
      <c r="DME106" s="39"/>
      <c r="DMF106" s="39"/>
      <c r="DMG106" s="39"/>
      <c r="DMH106" s="39"/>
      <c r="DMI106" s="39"/>
      <c r="DMJ106" s="39"/>
      <c r="DMK106" s="39"/>
      <c r="DML106" s="39"/>
      <c r="DMM106" s="39"/>
      <c r="DMN106" s="39"/>
      <c r="DMO106" s="39"/>
      <c r="DMP106" s="39"/>
      <c r="DMQ106" s="39"/>
      <c r="DMR106" s="39"/>
      <c r="DMS106" s="39"/>
      <c r="DMT106" s="39"/>
      <c r="DMU106" s="39"/>
      <c r="DMV106" s="39"/>
      <c r="DMW106" s="39"/>
      <c r="DMX106" s="39"/>
      <c r="DMY106" s="39"/>
      <c r="DMZ106" s="39"/>
      <c r="DNA106" s="39"/>
      <c r="DNB106" s="39"/>
      <c r="DNC106" s="39"/>
      <c r="DND106" s="39"/>
      <c r="DNE106" s="39"/>
      <c r="DNF106" s="39"/>
      <c r="DNG106" s="39"/>
      <c r="DNH106" s="39"/>
      <c r="DNI106" s="39"/>
      <c r="DNJ106" s="39"/>
      <c r="DNK106" s="39"/>
      <c r="DNL106" s="39"/>
      <c r="DNM106" s="39"/>
      <c r="DNN106" s="39"/>
      <c r="DNO106" s="39"/>
      <c r="DNP106" s="39"/>
      <c r="DNQ106" s="39"/>
      <c r="DNR106" s="39"/>
      <c r="DNS106" s="39"/>
      <c r="DNT106" s="39"/>
      <c r="DNU106" s="39"/>
      <c r="DNV106" s="39"/>
      <c r="DNW106" s="39"/>
      <c r="DNX106" s="39"/>
      <c r="DNY106" s="39"/>
      <c r="DNZ106" s="39"/>
      <c r="DOA106" s="39"/>
      <c r="DOB106" s="39"/>
      <c r="DOC106" s="39"/>
      <c r="DOD106" s="39"/>
      <c r="DOE106" s="39"/>
      <c r="DOF106" s="39"/>
      <c r="DOG106" s="39"/>
      <c r="DOH106" s="39"/>
      <c r="DOI106" s="39"/>
      <c r="DOJ106" s="39"/>
      <c r="DOK106" s="39"/>
      <c r="DOL106" s="39"/>
      <c r="DOM106" s="39"/>
      <c r="DON106" s="39"/>
      <c r="DOO106" s="39"/>
      <c r="DOP106" s="39"/>
      <c r="DOQ106" s="39"/>
      <c r="DOR106" s="39"/>
      <c r="DOS106" s="39"/>
      <c r="DOT106" s="39"/>
      <c r="DOU106" s="39"/>
      <c r="DOV106" s="39"/>
      <c r="DOW106" s="39"/>
      <c r="DOX106" s="39"/>
      <c r="DOY106" s="39"/>
      <c r="DOZ106" s="39"/>
      <c r="DPA106" s="39"/>
      <c r="DPB106" s="39"/>
      <c r="DPC106" s="39"/>
      <c r="DPD106" s="39"/>
      <c r="DPE106" s="39"/>
      <c r="DPF106" s="39"/>
      <c r="DPG106" s="39"/>
      <c r="DPH106" s="39"/>
      <c r="DPI106" s="39"/>
      <c r="DPJ106" s="39"/>
      <c r="DPK106" s="39"/>
      <c r="DPL106" s="39"/>
      <c r="DPM106" s="39"/>
      <c r="DPN106" s="39"/>
      <c r="DPO106" s="39"/>
      <c r="DPP106" s="39"/>
      <c r="DPQ106" s="39"/>
      <c r="DPR106" s="39"/>
      <c r="DPS106" s="39"/>
      <c r="DPT106" s="39"/>
      <c r="DPU106" s="39"/>
      <c r="DPV106" s="39"/>
      <c r="DPW106" s="39"/>
      <c r="DPX106" s="39"/>
      <c r="DPY106" s="39"/>
      <c r="DPZ106" s="39"/>
      <c r="DQA106" s="39"/>
      <c r="DQB106" s="39"/>
      <c r="DQC106" s="39"/>
      <c r="DQD106" s="39"/>
      <c r="DQE106" s="39"/>
      <c r="DQF106" s="39"/>
      <c r="DQG106" s="39"/>
      <c r="DQH106" s="39"/>
      <c r="DQI106" s="39"/>
      <c r="DQJ106" s="39"/>
      <c r="DQK106" s="39"/>
      <c r="DQL106" s="39"/>
      <c r="DQM106" s="39"/>
      <c r="DQN106" s="39"/>
      <c r="DQO106" s="39"/>
      <c r="DQP106" s="39"/>
      <c r="DQQ106" s="39"/>
      <c r="DQR106" s="39"/>
      <c r="DQS106" s="39"/>
      <c r="DQT106" s="39"/>
      <c r="DQU106" s="39"/>
      <c r="DQV106" s="39"/>
      <c r="DQW106" s="39"/>
      <c r="DQX106" s="39"/>
      <c r="DQY106" s="39"/>
      <c r="DQZ106" s="39"/>
      <c r="DRA106" s="39"/>
      <c r="DRB106" s="39"/>
      <c r="DRC106" s="39"/>
      <c r="DRD106" s="39"/>
      <c r="DRE106" s="39"/>
      <c r="DRF106" s="39"/>
      <c r="DRG106" s="39"/>
      <c r="DRH106" s="39"/>
      <c r="DRI106" s="39"/>
      <c r="DRJ106" s="39"/>
      <c r="DRK106" s="39"/>
      <c r="DRL106" s="39"/>
      <c r="DRM106" s="39"/>
      <c r="DRN106" s="39"/>
      <c r="DRO106" s="39"/>
      <c r="DRP106" s="39"/>
      <c r="DRQ106" s="39"/>
      <c r="DRR106" s="39"/>
      <c r="DRS106" s="39"/>
      <c r="DRT106" s="39"/>
      <c r="DRU106" s="39"/>
      <c r="DRV106" s="39"/>
      <c r="DRW106" s="39"/>
      <c r="DRX106" s="39"/>
      <c r="DRY106" s="39"/>
      <c r="DRZ106" s="39"/>
      <c r="DSA106" s="39"/>
      <c r="DSB106" s="39"/>
      <c r="DSC106" s="39"/>
      <c r="DSD106" s="39"/>
      <c r="DSE106" s="39"/>
      <c r="DSF106" s="39"/>
      <c r="DSG106" s="39"/>
      <c r="DSH106" s="39"/>
      <c r="DSI106" s="39"/>
      <c r="DSJ106" s="39"/>
      <c r="DSK106" s="39"/>
      <c r="DSL106" s="39"/>
      <c r="DSM106" s="39"/>
      <c r="DSN106" s="39"/>
      <c r="DSO106" s="39"/>
      <c r="DSP106" s="39"/>
      <c r="DSQ106" s="39"/>
      <c r="DSR106" s="39"/>
      <c r="DSS106" s="39"/>
      <c r="DST106" s="39"/>
      <c r="DSU106" s="39"/>
      <c r="DSV106" s="39"/>
      <c r="DSW106" s="39"/>
      <c r="DSX106" s="39"/>
      <c r="DSY106" s="39"/>
      <c r="DSZ106" s="39"/>
      <c r="DTA106" s="39"/>
      <c r="DTB106" s="39"/>
      <c r="DTC106" s="39"/>
      <c r="DTD106" s="39"/>
      <c r="DTE106" s="39"/>
      <c r="DTF106" s="39"/>
      <c r="DTG106" s="39"/>
      <c r="DTH106" s="39"/>
      <c r="DTI106" s="39"/>
      <c r="DTJ106" s="39"/>
      <c r="DTK106" s="39"/>
      <c r="DTL106" s="39"/>
      <c r="DTM106" s="39"/>
      <c r="DTN106" s="39"/>
      <c r="DTO106" s="39"/>
      <c r="DTP106" s="39"/>
      <c r="DTQ106" s="39"/>
      <c r="DTR106" s="39"/>
      <c r="DTS106" s="39"/>
      <c r="DTT106" s="39"/>
      <c r="DTU106" s="39"/>
      <c r="DTV106" s="39"/>
      <c r="DTW106" s="39"/>
      <c r="DTX106" s="39"/>
      <c r="DTY106" s="39"/>
      <c r="DTZ106" s="39"/>
      <c r="DUA106" s="39"/>
      <c r="DUB106" s="39"/>
      <c r="DUC106" s="39"/>
      <c r="DUD106" s="39"/>
      <c r="DUE106" s="39"/>
      <c r="DUF106" s="39"/>
      <c r="DUG106" s="39"/>
      <c r="DUH106" s="39"/>
      <c r="DUI106" s="39"/>
      <c r="DUJ106" s="39"/>
      <c r="DUK106" s="39"/>
      <c r="DUL106" s="39"/>
      <c r="DUM106" s="39"/>
      <c r="DUN106" s="39"/>
      <c r="DUO106" s="39"/>
      <c r="DUP106" s="39"/>
      <c r="DUQ106" s="39"/>
      <c r="DUR106" s="39"/>
      <c r="DUS106" s="39"/>
      <c r="DUT106" s="39"/>
      <c r="DUU106" s="39"/>
      <c r="DUV106" s="39"/>
      <c r="DUW106" s="39"/>
      <c r="DUX106" s="39"/>
      <c r="DUY106" s="39"/>
      <c r="DUZ106" s="39"/>
      <c r="DVA106" s="39"/>
      <c r="DVB106" s="39"/>
      <c r="DVC106" s="39"/>
      <c r="DVD106" s="39"/>
      <c r="DVE106" s="39"/>
      <c r="DVF106" s="39"/>
      <c r="DVG106" s="39"/>
      <c r="DVH106" s="39"/>
      <c r="DVI106" s="39"/>
      <c r="DVJ106" s="39"/>
      <c r="DVK106" s="39"/>
      <c r="DVL106" s="39"/>
      <c r="DVM106" s="39"/>
      <c r="DVN106" s="39"/>
      <c r="DVO106" s="39"/>
      <c r="DVP106" s="39"/>
      <c r="DVQ106" s="39"/>
      <c r="DVR106" s="39"/>
      <c r="DVS106" s="39"/>
      <c r="DVT106" s="39"/>
      <c r="DVU106" s="39"/>
      <c r="DVV106" s="39"/>
      <c r="DVW106" s="39"/>
      <c r="DVX106" s="39"/>
      <c r="DVY106" s="39"/>
      <c r="DVZ106" s="39"/>
      <c r="DWA106" s="39"/>
      <c r="DWB106" s="39"/>
      <c r="DWC106" s="39"/>
      <c r="DWD106" s="39"/>
      <c r="DWE106" s="39"/>
      <c r="DWF106" s="39"/>
      <c r="DWG106" s="39"/>
      <c r="DWH106" s="39"/>
      <c r="DWI106" s="39"/>
      <c r="DWJ106" s="39"/>
      <c r="DWK106" s="39"/>
      <c r="DWL106" s="39"/>
      <c r="DWM106" s="39"/>
      <c r="DWN106" s="39"/>
      <c r="DWO106" s="39"/>
      <c r="DWP106" s="39"/>
      <c r="DWQ106" s="39"/>
      <c r="DWR106" s="39"/>
      <c r="DWS106" s="39"/>
      <c r="DWT106" s="39"/>
      <c r="DWU106" s="39"/>
      <c r="DWV106" s="39"/>
      <c r="DWW106" s="39"/>
      <c r="DWX106" s="39"/>
      <c r="DWY106" s="39"/>
      <c r="DWZ106" s="39"/>
      <c r="DXA106" s="39"/>
      <c r="DXB106" s="39"/>
      <c r="DXC106" s="39"/>
      <c r="DXD106" s="39"/>
      <c r="DXE106" s="39"/>
      <c r="DXF106" s="39"/>
      <c r="DXG106" s="39"/>
      <c r="DXH106" s="39"/>
      <c r="DXI106" s="39"/>
      <c r="DXJ106" s="39"/>
      <c r="DXK106" s="39"/>
      <c r="DXL106" s="39"/>
      <c r="DXM106" s="39"/>
      <c r="DXN106" s="39"/>
      <c r="DXO106" s="39"/>
      <c r="DXP106" s="39"/>
      <c r="DXQ106" s="39"/>
      <c r="DXR106" s="39"/>
      <c r="DXS106" s="39"/>
      <c r="DXT106" s="39"/>
      <c r="DXU106" s="39"/>
      <c r="DXV106" s="39"/>
      <c r="DXW106" s="39"/>
      <c r="DXX106" s="39"/>
      <c r="DXY106" s="39"/>
      <c r="DXZ106" s="39"/>
      <c r="DYA106" s="39"/>
      <c r="DYB106" s="39"/>
      <c r="DYC106" s="39"/>
      <c r="DYD106" s="39"/>
      <c r="DYE106" s="39"/>
      <c r="DYF106" s="39"/>
      <c r="DYG106" s="39"/>
      <c r="DYH106" s="39"/>
      <c r="DYI106" s="39"/>
      <c r="DYJ106" s="39"/>
      <c r="DYK106" s="39"/>
      <c r="DYL106" s="39"/>
      <c r="DYM106" s="39"/>
      <c r="DYN106" s="39"/>
      <c r="DYO106" s="39"/>
      <c r="DYP106" s="39"/>
      <c r="DYQ106" s="39"/>
      <c r="DYR106" s="39"/>
      <c r="DYS106" s="39"/>
      <c r="DYT106" s="39"/>
      <c r="DYU106" s="39"/>
      <c r="DYV106" s="39"/>
      <c r="DYW106" s="39"/>
      <c r="DYX106" s="39"/>
      <c r="DYY106" s="39"/>
      <c r="DYZ106" s="39"/>
      <c r="DZA106" s="39"/>
      <c r="DZB106" s="39"/>
      <c r="DZC106" s="39"/>
      <c r="DZD106" s="39"/>
      <c r="DZE106" s="39"/>
      <c r="DZF106" s="39"/>
      <c r="DZG106" s="39"/>
      <c r="DZH106" s="39"/>
      <c r="DZI106" s="39"/>
      <c r="DZJ106" s="39"/>
      <c r="DZK106" s="39"/>
      <c r="DZL106" s="39"/>
      <c r="DZM106" s="39"/>
      <c r="DZN106" s="39"/>
      <c r="DZO106" s="39"/>
      <c r="DZP106" s="39"/>
      <c r="DZQ106" s="39"/>
      <c r="DZR106" s="39"/>
      <c r="DZS106" s="39"/>
      <c r="DZT106" s="39"/>
      <c r="DZU106" s="39"/>
      <c r="DZV106" s="39"/>
      <c r="DZW106" s="39"/>
      <c r="DZX106" s="39"/>
      <c r="DZY106" s="39"/>
      <c r="DZZ106" s="39"/>
      <c r="EAA106" s="39"/>
      <c r="EAB106" s="39"/>
      <c r="EAC106" s="39"/>
      <c r="EAD106" s="39"/>
      <c r="EAE106" s="39"/>
      <c r="EAF106" s="39"/>
      <c r="EAG106" s="39"/>
      <c r="EAH106" s="39"/>
      <c r="EAI106" s="39"/>
      <c r="EAJ106" s="39"/>
      <c r="EAK106" s="39"/>
      <c r="EAL106" s="39"/>
      <c r="EAM106" s="39"/>
      <c r="EAN106" s="39"/>
      <c r="EAO106" s="39"/>
      <c r="EAP106" s="39"/>
      <c r="EAQ106" s="39"/>
      <c r="EAR106" s="39"/>
      <c r="EAS106" s="39"/>
      <c r="EAT106" s="39"/>
      <c r="EAU106" s="39"/>
      <c r="EAV106" s="39"/>
      <c r="EAW106" s="39"/>
      <c r="EAX106" s="39"/>
      <c r="EAY106" s="39"/>
      <c r="EAZ106" s="39"/>
      <c r="EBA106" s="39"/>
      <c r="EBB106" s="39"/>
      <c r="EBC106" s="39"/>
      <c r="EBD106" s="39"/>
      <c r="EBE106" s="39"/>
      <c r="EBF106" s="39"/>
      <c r="EBG106" s="39"/>
      <c r="EBH106" s="39"/>
      <c r="EBI106" s="39"/>
      <c r="EBJ106" s="39"/>
      <c r="EBK106" s="39"/>
      <c r="EBL106" s="39"/>
      <c r="EBM106" s="39"/>
      <c r="EBN106" s="39"/>
      <c r="EBO106" s="39"/>
      <c r="EBP106" s="39"/>
      <c r="EBQ106" s="39"/>
      <c r="EBR106" s="39"/>
      <c r="EBS106" s="39"/>
      <c r="EBT106" s="39"/>
      <c r="EBU106" s="39"/>
      <c r="EBV106" s="39"/>
      <c r="EBW106" s="39"/>
      <c r="EBX106" s="39"/>
      <c r="EBY106" s="39"/>
      <c r="EBZ106" s="39"/>
      <c r="ECA106" s="39"/>
      <c r="ECB106" s="39"/>
      <c r="ECC106" s="39"/>
      <c r="ECD106" s="39"/>
      <c r="ECE106" s="39"/>
      <c r="ECF106" s="39"/>
      <c r="ECG106" s="39"/>
      <c r="ECH106" s="39"/>
      <c r="ECI106" s="39"/>
      <c r="ECJ106" s="39"/>
      <c r="ECK106" s="39"/>
      <c r="ECL106" s="39"/>
      <c r="ECM106" s="39"/>
      <c r="ECN106" s="39"/>
      <c r="ECO106" s="39"/>
      <c r="ECP106" s="39"/>
      <c r="ECQ106" s="39"/>
      <c r="ECR106" s="39"/>
      <c r="ECS106" s="39"/>
      <c r="ECT106" s="39"/>
      <c r="ECU106" s="39"/>
      <c r="ECV106" s="39"/>
      <c r="ECW106" s="39"/>
      <c r="ECX106" s="39"/>
      <c r="ECY106" s="39"/>
      <c r="ECZ106" s="39"/>
      <c r="EDA106" s="39"/>
      <c r="EDB106" s="39"/>
      <c r="EDC106" s="39"/>
      <c r="EDD106" s="39"/>
      <c r="EDE106" s="39"/>
      <c r="EDF106" s="39"/>
      <c r="EDG106" s="39"/>
      <c r="EDH106" s="39"/>
      <c r="EDI106" s="39"/>
      <c r="EDJ106" s="39"/>
      <c r="EDK106" s="39"/>
      <c r="EDL106" s="39"/>
      <c r="EDM106" s="39"/>
      <c r="EDN106" s="39"/>
      <c r="EDO106" s="39"/>
      <c r="EDP106" s="39"/>
      <c r="EDQ106" s="39"/>
      <c r="EDR106" s="39"/>
      <c r="EDS106" s="39"/>
      <c r="EDT106" s="39"/>
      <c r="EDU106" s="39"/>
      <c r="EDV106" s="39"/>
      <c r="EDW106" s="39"/>
      <c r="EDX106" s="39"/>
      <c r="EDY106" s="39"/>
      <c r="EDZ106" s="39"/>
      <c r="EEA106" s="39"/>
      <c r="EEB106" s="39"/>
      <c r="EEC106" s="39"/>
      <c r="EED106" s="39"/>
      <c r="EEE106" s="39"/>
      <c r="EEF106" s="39"/>
      <c r="EEG106" s="39"/>
      <c r="EEH106" s="39"/>
      <c r="EEI106" s="39"/>
      <c r="EEJ106" s="39"/>
      <c r="EEK106" s="39"/>
      <c r="EEL106" s="39"/>
      <c r="EEM106" s="39"/>
      <c r="EEN106" s="39"/>
      <c r="EEO106" s="39"/>
      <c r="EEP106" s="39"/>
      <c r="EEQ106" s="39"/>
      <c r="EER106" s="39"/>
      <c r="EES106" s="39"/>
      <c r="EET106" s="39"/>
      <c r="EEU106" s="39"/>
      <c r="EEV106" s="39"/>
      <c r="EEW106" s="39"/>
      <c r="EEX106" s="39"/>
      <c r="EEY106" s="39"/>
      <c r="EEZ106" s="39"/>
      <c r="EFA106" s="39"/>
      <c r="EFB106" s="39"/>
      <c r="EFC106" s="39"/>
      <c r="EFD106" s="39"/>
      <c r="EFE106" s="39"/>
      <c r="EFF106" s="39"/>
      <c r="EFG106" s="39"/>
      <c r="EFH106" s="39"/>
      <c r="EFI106" s="39"/>
      <c r="EFJ106" s="39"/>
      <c r="EFK106" s="39"/>
      <c r="EFL106" s="39"/>
      <c r="EFM106" s="39"/>
      <c r="EFN106" s="39"/>
      <c r="EFO106" s="39"/>
      <c r="EFP106" s="39"/>
      <c r="EFQ106" s="39"/>
      <c r="EFR106" s="39"/>
      <c r="EFS106" s="39"/>
      <c r="EFT106" s="39"/>
      <c r="EFU106" s="39"/>
      <c r="EFV106" s="39"/>
      <c r="EFW106" s="39"/>
      <c r="EFX106" s="39"/>
      <c r="EFY106" s="39"/>
      <c r="EFZ106" s="39"/>
      <c r="EGA106" s="39"/>
      <c r="EGB106" s="39"/>
      <c r="EGC106" s="39"/>
      <c r="EGD106" s="39"/>
      <c r="EGE106" s="39"/>
      <c r="EGF106" s="39"/>
      <c r="EGG106" s="39"/>
      <c r="EGH106" s="39"/>
      <c r="EGI106" s="39"/>
      <c r="EGJ106" s="39"/>
      <c r="EGK106" s="39"/>
      <c r="EGL106" s="39"/>
      <c r="EGM106" s="39"/>
      <c r="EGN106" s="39"/>
      <c r="EGO106" s="39"/>
      <c r="EGP106" s="39"/>
      <c r="EGQ106" s="39"/>
      <c r="EGR106" s="39"/>
      <c r="EGS106" s="39"/>
      <c r="EGT106" s="39"/>
      <c r="EGU106" s="39"/>
      <c r="EGV106" s="39"/>
      <c r="EGW106" s="39"/>
      <c r="EGX106" s="39"/>
      <c r="EGY106" s="39"/>
      <c r="EGZ106" s="39"/>
      <c r="EHA106" s="39"/>
      <c r="EHB106" s="39"/>
      <c r="EHC106" s="39"/>
      <c r="EHD106" s="39"/>
      <c r="EHE106" s="39"/>
      <c r="EHF106" s="39"/>
      <c r="EHG106" s="39"/>
      <c r="EHH106" s="39"/>
      <c r="EHI106" s="39"/>
      <c r="EHJ106" s="39"/>
      <c r="EHK106" s="39"/>
      <c r="EHL106" s="39"/>
      <c r="EHM106" s="39"/>
      <c r="EHN106" s="39"/>
      <c r="EHO106" s="39"/>
      <c r="EHP106" s="39"/>
      <c r="EHQ106" s="39"/>
      <c r="EHR106" s="39"/>
      <c r="EHS106" s="39"/>
      <c r="EHT106" s="39"/>
      <c r="EHU106" s="39"/>
      <c r="EHV106" s="39"/>
      <c r="EHW106" s="39"/>
      <c r="EHX106" s="39"/>
      <c r="EHY106" s="39"/>
      <c r="EHZ106" s="39"/>
      <c r="EIA106" s="39"/>
      <c r="EIB106" s="39"/>
      <c r="EIC106" s="39"/>
      <c r="EID106" s="39"/>
      <c r="EIE106" s="39"/>
      <c r="EIF106" s="39"/>
      <c r="EIG106" s="39"/>
      <c r="EIH106" s="39"/>
      <c r="EII106" s="39"/>
      <c r="EIJ106" s="39"/>
      <c r="EIK106" s="39"/>
      <c r="EIL106" s="39"/>
      <c r="EIM106" s="39"/>
      <c r="EIN106" s="39"/>
      <c r="EIO106" s="39"/>
      <c r="EIP106" s="39"/>
      <c r="EIQ106" s="39"/>
      <c r="EIR106" s="39"/>
      <c r="EIS106" s="39"/>
      <c r="EIT106" s="39"/>
      <c r="EIU106" s="39"/>
      <c r="EIV106" s="39"/>
      <c r="EIW106" s="39"/>
      <c r="EIX106" s="39"/>
      <c r="EIY106" s="39"/>
      <c r="EIZ106" s="39"/>
      <c r="EJA106" s="39"/>
      <c r="EJB106" s="39"/>
      <c r="EJC106" s="39"/>
      <c r="EJD106" s="39"/>
      <c r="EJE106" s="39"/>
      <c r="EJF106" s="39"/>
      <c r="EJG106" s="39"/>
      <c r="EJH106" s="39"/>
      <c r="EJI106" s="39"/>
      <c r="EJJ106" s="39"/>
      <c r="EJK106" s="39"/>
      <c r="EJL106" s="39"/>
      <c r="EJM106" s="39"/>
      <c r="EJN106" s="39"/>
      <c r="EJO106" s="39"/>
      <c r="EJP106" s="39"/>
      <c r="EJQ106" s="39"/>
      <c r="EJR106" s="39"/>
      <c r="EJS106" s="39"/>
      <c r="EJT106" s="39"/>
      <c r="EJU106" s="39"/>
      <c r="EJV106" s="39"/>
      <c r="EJW106" s="39"/>
      <c r="EJX106" s="39"/>
      <c r="EJY106" s="39"/>
      <c r="EJZ106" s="39"/>
      <c r="EKA106" s="39"/>
      <c r="EKB106" s="39"/>
      <c r="EKC106" s="39"/>
      <c r="EKD106" s="39"/>
      <c r="EKE106" s="39"/>
      <c r="EKF106" s="39"/>
      <c r="EKG106" s="39"/>
      <c r="EKH106" s="39"/>
      <c r="EKI106" s="39"/>
      <c r="EKJ106" s="39"/>
      <c r="EKK106" s="39"/>
      <c r="EKL106" s="39"/>
      <c r="EKM106" s="39"/>
      <c r="EKN106" s="39"/>
      <c r="EKO106" s="39"/>
      <c r="EKP106" s="39"/>
      <c r="EKQ106" s="39"/>
      <c r="EKR106" s="39"/>
      <c r="EKS106" s="39"/>
      <c r="EKT106" s="39"/>
      <c r="EKU106" s="39"/>
      <c r="EKV106" s="39"/>
      <c r="EKW106" s="39"/>
      <c r="EKX106" s="39"/>
      <c r="EKY106" s="39"/>
      <c r="EKZ106" s="39"/>
      <c r="ELA106" s="39"/>
      <c r="ELB106" s="39"/>
      <c r="ELC106" s="39"/>
      <c r="ELD106" s="39"/>
      <c r="ELE106" s="39"/>
      <c r="ELF106" s="39"/>
      <c r="ELG106" s="39"/>
      <c r="ELH106" s="39"/>
      <c r="ELI106" s="39"/>
      <c r="ELJ106" s="39"/>
      <c r="ELK106" s="39"/>
      <c r="ELL106" s="39"/>
      <c r="ELM106" s="39"/>
      <c r="ELN106" s="39"/>
      <c r="ELO106" s="39"/>
      <c r="ELP106" s="39"/>
      <c r="ELQ106" s="39"/>
      <c r="ELR106" s="39"/>
      <c r="ELS106" s="39"/>
      <c r="ELT106" s="39"/>
      <c r="ELU106" s="39"/>
      <c r="ELV106" s="39"/>
      <c r="ELW106" s="39"/>
      <c r="ELX106" s="39"/>
      <c r="ELY106" s="39"/>
      <c r="ELZ106" s="39"/>
      <c r="EMA106" s="39"/>
      <c r="EMB106" s="39"/>
      <c r="EMC106" s="39"/>
      <c r="EMD106" s="39"/>
      <c r="EME106" s="39"/>
      <c r="EMF106" s="39"/>
      <c r="EMG106" s="39"/>
      <c r="EMH106" s="39"/>
      <c r="EMI106" s="39"/>
      <c r="EMJ106" s="39"/>
      <c r="EMK106" s="39"/>
      <c r="EML106" s="39"/>
      <c r="EMM106" s="39"/>
      <c r="EMN106" s="39"/>
      <c r="EMO106" s="39"/>
      <c r="EMP106" s="39"/>
      <c r="EMQ106" s="39"/>
      <c r="EMR106" s="39"/>
      <c r="EMS106" s="39"/>
      <c r="EMT106" s="39"/>
      <c r="EMU106" s="39"/>
      <c r="EMV106" s="39"/>
      <c r="EMW106" s="39"/>
      <c r="EMX106" s="39"/>
      <c r="EMY106" s="39"/>
      <c r="EMZ106" s="39"/>
      <c r="ENA106" s="39"/>
      <c r="ENB106" s="39"/>
      <c r="ENC106" s="39"/>
      <c r="END106" s="39"/>
      <c r="ENE106" s="39"/>
      <c r="ENF106" s="39"/>
      <c r="ENG106" s="39"/>
      <c r="ENH106" s="39"/>
      <c r="ENI106" s="39"/>
      <c r="ENJ106" s="39"/>
      <c r="ENK106" s="39"/>
      <c r="ENL106" s="39"/>
      <c r="ENM106" s="39"/>
      <c r="ENN106" s="39"/>
      <c r="ENO106" s="39"/>
      <c r="ENP106" s="39"/>
      <c r="ENQ106" s="39"/>
      <c r="ENR106" s="39"/>
      <c r="ENS106" s="39"/>
      <c r="ENT106" s="39"/>
      <c r="ENU106" s="39"/>
      <c r="ENV106" s="39"/>
      <c r="ENW106" s="39"/>
      <c r="ENX106" s="39"/>
      <c r="ENY106" s="39"/>
      <c r="ENZ106" s="39"/>
      <c r="EOA106" s="39"/>
      <c r="EOB106" s="39"/>
      <c r="EOC106" s="39"/>
      <c r="EOD106" s="39"/>
      <c r="EOE106" s="39"/>
      <c r="EOF106" s="39"/>
      <c r="EOG106" s="39"/>
      <c r="EOH106" s="39"/>
      <c r="EOI106" s="39"/>
      <c r="EOJ106" s="39"/>
      <c r="EOK106" s="39"/>
      <c r="EOL106" s="39"/>
      <c r="EOM106" s="39"/>
      <c r="EON106" s="39"/>
      <c r="EOO106" s="39"/>
      <c r="EOP106" s="39"/>
      <c r="EOQ106" s="39"/>
      <c r="EOR106" s="39"/>
      <c r="EOS106" s="39"/>
      <c r="EOT106" s="39"/>
      <c r="EOU106" s="39"/>
      <c r="EOV106" s="39"/>
      <c r="EOW106" s="39"/>
      <c r="EOX106" s="39"/>
      <c r="EOY106" s="39"/>
      <c r="EOZ106" s="39"/>
      <c r="EPA106" s="39"/>
      <c r="EPB106" s="39"/>
      <c r="EPC106" s="39"/>
      <c r="EPD106" s="39"/>
      <c r="EPE106" s="39"/>
      <c r="EPF106" s="39"/>
      <c r="EPG106" s="39"/>
      <c r="EPH106" s="39"/>
      <c r="EPI106" s="39"/>
      <c r="EPJ106" s="39"/>
      <c r="EPK106" s="39"/>
      <c r="EPL106" s="39"/>
      <c r="EPM106" s="39"/>
      <c r="EPN106" s="39"/>
      <c r="EPO106" s="39"/>
      <c r="EPP106" s="39"/>
      <c r="EPQ106" s="39"/>
      <c r="EPR106" s="39"/>
      <c r="EPS106" s="39"/>
      <c r="EPT106" s="39"/>
      <c r="EPU106" s="39"/>
      <c r="EPV106" s="39"/>
      <c r="EPW106" s="39"/>
      <c r="EPX106" s="39"/>
      <c r="EPY106" s="39"/>
      <c r="EPZ106" s="39"/>
      <c r="EQA106" s="39"/>
      <c r="EQB106" s="39"/>
      <c r="EQC106" s="39"/>
      <c r="EQD106" s="39"/>
      <c r="EQE106" s="39"/>
      <c r="EQF106" s="39"/>
      <c r="EQG106" s="39"/>
      <c r="EQH106" s="39"/>
      <c r="EQI106" s="39"/>
      <c r="EQJ106" s="39"/>
      <c r="EQK106" s="39"/>
      <c r="EQL106" s="39"/>
      <c r="EQM106" s="39"/>
      <c r="EQN106" s="39"/>
      <c r="EQO106" s="39"/>
      <c r="EQP106" s="39"/>
      <c r="EQQ106" s="39"/>
      <c r="EQR106" s="39"/>
      <c r="EQS106" s="39"/>
      <c r="EQT106" s="39"/>
      <c r="EQU106" s="39"/>
      <c r="EQV106" s="39"/>
      <c r="EQW106" s="39"/>
      <c r="EQX106" s="39"/>
      <c r="EQY106" s="39"/>
      <c r="EQZ106" s="39"/>
      <c r="ERA106" s="39"/>
      <c r="ERB106" s="39"/>
      <c r="ERC106" s="39"/>
      <c r="ERD106" s="39"/>
      <c r="ERE106" s="39"/>
      <c r="ERF106" s="39"/>
      <c r="ERG106" s="39"/>
      <c r="ERH106" s="39"/>
      <c r="ERI106" s="39"/>
      <c r="ERJ106" s="39"/>
      <c r="ERK106" s="39"/>
      <c r="ERL106" s="39"/>
      <c r="ERM106" s="39"/>
      <c r="ERN106" s="39"/>
      <c r="ERO106" s="39"/>
      <c r="ERP106" s="39"/>
      <c r="ERQ106" s="39"/>
      <c r="ERR106" s="39"/>
      <c r="ERS106" s="39"/>
      <c r="ERT106" s="39"/>
      <c r="ERU106" s="39"/>
      <c r="ERV106" s="39"/>
      <c r="ERW106" s="39"/>
      <c r="ERX106" s="39"/>
      <c r="ERY106" s="39"/>
      <c r="ERZ106" s="39"/>
      <c r="ESA106" s="39"/>
      <c r="ESB106" s="39"/>
      <c r="ESC106" s="39"/>
      <c r="ESD106" s="39"/>
      <c r="ESE106" s="39"/>
      <c r="ESF106" s="39"/>
      <c r="ESG106" s="39"/>
      <c r="ESH106" s="39"/>
      <c r="ESI106" s="39"/>
      <c r="ESJ106" s="39"/>
      <c r="ESK106" s="39"/>
      <c r="ESL106" s="39"/>
      <c r="ESM106" s="39"/>
      <c r="ESN106" s="39"/>
      <c r="ESO106" s="39"/>
      <c r="ESP106" s="39"/>
      <c r="ESQ106" s="39"/>
      <c r="ESR106" s="39"/>
      <c r="ESS106" s="39"/>
      <c r="EST106" s="39"/>
      <c r="ESU106" s="39"/>
      <c r="ESV106" s="39"/>
      <c r="ESW106" s="39"/>
      <c r="ESX106" s="39"/>
      <c r="ESY106" s="39"/>
      <c r="ESZ106" s="39"/>
      <c r="ETA106" s="39"/>
      <c r="ETB106" s="39"/>
      <c r="ETC106" s="39"/>
      <c r="ETD106" s="39"/>
      <c r="ETE106" s="39"/>
      <c r="ETF106" s="39"/>
      <c r="ETG106" s="39"/>
      <c r="ETH106" s="39"/>
      <c r="ETI106" s="39"/>
      <c r="ETJ106" s="39"/>
      <c r="ETK106" s="39"/>
      <c r="ETL106" s="39"/>
      <c r="ETM106" s="39"/>
      <c r="ETN106" s="39"/>
      <c r="ETO106" s="39"/>
      <c r="ETP106" s="39"/>
      <c r="ETQ106" s="39"/>
      <c r="ETR106" s="39"/>
      <c r="ETS106" s="39"/>
      <c r="ETT106" s="39"/>
      <c r="ETU106" s="39"/>
      <c r="ETV106" s="39"/>
      <c r="ETW106" s="39"/>
      <c r="ETX106" s="39"/>
      <c r="ETY106" s="39"/>
      <c r="ETZ106" s="39"/>
      <c r="EUA106" s="39"/>
      <c r="EUB106" s="39"/>
      <c r="EUC106" s="39"/>
      <c r="EUD106" s="39"/>
      <c r="EUE106" s="39"/>
      <c r="EUF106" s="39"/>
      <c r="EUG106" s="39"/>
      <c r="EUH106" s="39"/>
      <c r="EUI106" s="39"/>
      <c r="EUJ106" s="39"/>
      <c r="EUK106" s="39"/>
      <c r="EUL106" s="39"/>
      <c r="EUM106" s="39"/>
      <c r="EUN106" s="39"/>
      <c r="EUO106" s="39"/>
      <c r="EUP106" s="39"/>
      <c r="EUQ106" s="39"/>
      <c r="EUR106" s="39"/>
      <c r="EUS106" s="39"/>
      <c r="EUT106" s="39"/>
      <c r="EUU106" s="39"/>
      <c r="EUV106" s="39"/>
      <c r="EUW106" s="39"/>
      <c r="EUX106" s="39"/>
      <c r="EUY106" s="39"/>
      <c r="EUZ106" s="39"/>
      <c r="EVA106" s="39"/>
      <c r="EVB106" s="39"/>
      <c r="EVC106" s="39"/>
      <c r="EVD106" s="39"/>
      <c r="EVE106" s="39"/>
      <c r="EVF106" s="39"/>
      <c r="EVG106" s="39"/>
      <c r="EVH106" s="39"/>
      <c r="EVI106" s="39"/>
      <c r="EVJ106" s="39"/>
      <c r="EVK106" s="39"/>
      <c r="EVL106" s="39"/>
      <c r="EVM106" s="39"/>
      <c r="EVN106" s="39"/>
      <c r="EVO106" s="39"/>
      <c r="EVP106" s="39"/>
      <c r="EVQ106" s="39"/>
      <c r="EVR106" s="39"/>
      <c r="EVS106" s="39"/>
      <c r="EVT106" s="39"/>
      <c r="EVU106" s="39"/>
      <c r="EVV106" s="39"/>
      <c r="EVW106" s="39"/>
      <c r="EVX106" s="39"/>
      <c r="EVY106" s="39"/>
      <c r="EVZ106" s="39"/>
      <c r="EWA106" s="39"/>
      <c r="EWB106" s="39"/>
      <c r="EWC106" s="39"/>
      <c r="EWD106" s="39"/>
      <c r="EWE106" s="39"/>
      <c r="EWF106" s="39"/>
      <c r="EWG106" s="39"/>
      <c r="EWH106" s="39"/>
      <c r="EWI106" s="39"/>
      <c r="EWJ106" s="39"/>
      <c r="EWK106" s="39"/>
      <c r="EWL106" s="39"/>
      <c r="EWM106" s="39"/>
      <c r="EWN106" s="39"/>
      <c r="EWO106" s="39"/>
      <c r="EWP106" s="39"/>
      <c r="EWQ106" s="39"/>
      <c r="EWR106" s="39"/>
      <c r="EWS106" s="39"/>
      <c r="EWT106" s="39"/>
      <c r="EWU106" s="39"/>
      <c r="EWV106" s="39"/>
      <c r="EWW106" s="39"/>
      <c r="EWX106" s="39"/>
      <c r="EWY106" s="39"/>
      <c r="EWZ106" s="39"/>
      <c r="EXA106" s="39"/>
      <c r="EXB106" s="39"/>
      <c r="EXC106" s="39"/>
      <c r="EXD106" s="39"/>
      <c r="EXE106" s="39"/>
      <c r="EXF106" s="39"/>
      <c r="EXG106" s="39"/>
      <c r="EXH106" s="39"/>
      <c r="EXI106" s="39"/>
      <c r="EXJ106" s="39"/>
      <c r="EXK106" s="39"/>
      <c r="EXL106" s="39"/>
      <c r="EXM106" s="39"/>
      <c r="EXN106" s="39"/>
      <c r="EXO106" s="39"/>
      <c r="EXP106" s="39"/>
      <c r="EXQ106" s="39"/>
      <c r="EXR106" s="39"/>
      <c r="EXS106" s="39"/>
      <c r="EXT106" s="39"/>
      <c r="EXU106" s="39"/>
      <c r="EXV106" s="39"/>
      <c r="EXW106" s="39"/>
      <c r="EXX106" s="39"/>
      <c r="EXY106" s="39"/>
      <c r="EXZ106" s="39"/>
      <c r="EYA106" s="39"/>
      <c r="EYB106" s="39"/>
      <c r="EYC106" s="39"/>
      <c r="EYD106" s="39"/>
      <c r="EYE106" s="39"/>
      <c r="EYF106" s="39"/>
      <c r="EYG106" s="39"/>
      <c r="EYH106" s="39"/>
      <c r="EYI106" s="39"/>
      <c r="EYJ106" s="39"/>
      <c r="EYK106" s="39"/>
      <c r="EYL106" s="39"/>
      <c r="EYM106" s="39"/>
      <c r="EYN106" s="39"/>
      <c r="EYO106" s="39"/>
      <c r="EYP106" s="39"/>
      <c r="EYQ106" s="39"/>
      <c r="EYR106" s="39"/>
      <c r="EYS106" s="39"/>
      <c r="EYT106" s="39"/>
      <c r="EYU106" s="39"/>
      <c r="EYV106" s="39"/>
      <c r="EYW106" s="39"/>
      <c r="EYX106" s="39"/>
      <c r="EYY106" s="39"/>
      <c r="EYZ106" s="39"/>
      <c r="EZA106" s="39"/>
      <c r="EZB106" s="39"/>
      <c r="EZC106" s="39"/>
      <c r="EZD106" s="39"/>
      <c r="EZE106" s="39"/>
      <c r="EZF106" s="39"/>
      <c r="EZG106" s="39"/>
      <c r="EZH106" s="39"/>
      <c r="EZI106" s="39"/>
      <c r="EZJ106" s="39"/>
      <c r="EZK106" s="39"/>
      <c r="EZL106" s="39"/>
      <c r="EZM106" s="39"/>
      <c r="EZN106" s="39"/>
      <c r="EZO106" s="39"/>
      <c r="EZP106" s="39"/>
      <c r="EZQ106" s="39"/>
      <c r="EZR106" s="39"/>
      <c r="EZS106" s="39"/>
      <c r="EZT106" s="39"/>
      <c r="EZU106" s="39"/>
      <c r="EZV106" s="39"/>
      <c r="EZW106" s="39"/>
      <c r="EZX106" s="39"/>
      <c r="EZY106" s="39"/>
      <c r="EZZ106" s="39"/>
      <c r="FAA106" s="39"/>
      <c r="FAB106" s="39"/>
      <c r="FAC106" s="39"/>
      <c r="FAD106" s="39"/>
      <c r="FAE106" s="39"/>
      <c r="FAF106" s="39"/>
      <c r="FAG106" s="39"/>
      <c r="FAH106" s="39"/>
      <c r="FAI106" s="39"/>
      <c r="FAJ106" s="39"/>
      <c r="FAK106" s="39"/>
      <c r="FAL106" s="39"/>
      <c r="FAM106" s="39"/>
      <c r="FAN106" s="39"/>
      <c r="FAO106" s="39"/>
      <c r="FAP106" s="39"/>
      <c r="FAQ106" s="39"/>
      <c r="FAR106" s="39"/>
      <c r="FAS106" s="39"/>
      <c r="FAT106" s="39"/>
      <c r="FAU106" s="39"/>
      <c r="FAV106" s="39"/>
      <c r="FAW106" s="39"/>
      <c r="FAX106" s="39"/>
      <c r="FAY106" s="39"/>
      <c r="FAZ106" s="39"/>
      <c r="FBA106" s="39"/>
      <c r="FBB106" s="39"/>
      <c r="FBC106" s="39"/>
      <c r="FBD106" s="39"/>
      <c r="FBE106" s="39"/>
      <c r="FBF106" s="39"/>
      <c r="FBG106" s="39"/>
      <c r="FBH106" s="39"/>
      <c r="FBI106" s="39"/>
      <c r="FBJ106" s="39"/>
      <c r="FBK106" s="39"/>
      <c r="FBL106" s="39"/>
      <c r="FBM106" s="39"/>
      <c r="FBN106" s="39"/>
      <c r="FBO106" s="39"/>
      <c r="FBP106" s="39"/>
      <c r="FBQ106" s="39"/>
      <c r="FBR106" s="39"/>
      <c r="FBS106" s="39"/>
      <c r="FBT106" s="39"/>
      <c r="FBU106" s="39"/>
      <c r="FBV106" s="39"/>
      <c r="FBW106" s="39"/>
      <c r="FBX106" s="39"/>
      <c r="FBY106" s="39"/>
      <c r="FBZ106" s="39"/>
      <c r="FCA106" s="39"/>
      <c r="FCB106" s="39"/>
      <c r="FCC106" s="39"/>
      <c r="FCD106" s="39"/>
      <c r="FCE106" s="39"/>
      <c r="FCF106" s="39"/>
      <c r="FCG106" s="39"/>
      <c r="FCH106" s="39"/>
      <c r="FCI106" s="39"/>
      <c r="FCJ106" s="39"/>
      <c r="FCK106" s="39"/>
      <c r="FCL106" s="39"/>
      <c r="FCM106" s="39"/>
      <c r="FCN106" s="39"/>
      <c r="FCO106" s="39"/>
      <c r="FCP106" s="39"/>
      <c r="FCQ106" s="39"/>
      <c r="FCR106" s="39"/>
      <c r="FCS106" s="39"/>
      <c r="FCT106" s="39"/>
      <c r="FCU106" s="39"/>
      <c r="FCV106" s="39"/>
      <c r="FCW106" s="39"/>
      <c r="FCX106" s="39"/>
      <c r="FCY106" s="39"/>
      <c r="FCZ106" s="39"/>
      <c r="FDA106" s="39"/>
      <c r="FDB106" s="39"/>
      <c r="FDC106" s="39"/>
      <c r="FDD106" s="39"/>
      <c r="FDE106" s="39"/>
      <c r="FDF106" s="39"/>
      <c r="FDG106" s="39"/>
      <c r="FDH106" s="39"/>
      <c r="FDI106" s="39"/>
      <c r="FDJ106" s="39"/>
      <c r="FDK106" s="39"/>
      <c r="FDL106" s="39"/>
      <c r="FDM106" s="39"/>
      <c r="FDN106" s="39"/>
      <c r="FDO106" s="39"/>
      <c r="FDP106" s="39"/>
      <c r="FDQ106" s="39"/>
      <c r="FDR106" s="39"/>
      <c r="FDS106" s="39"/>
      <c r="FDT106" s="39"/>
      <c r="FDU106" s="39"/>
      <c r="FDV106" s="39"/>
      <c r="FDW106" s="39"/>
      <c r="FDX106" s="39"/>
      <c r="FDY106" s="39"/>
      <c r="FDZ106" s="39"/>
      <c r="FEA106" s="39"/>
      <c r="FEB106" s="39"/>
      <c r="FEC106" s="39"/>
      <c r="FED106" s="39"/>
      <c r="FEE106" s="39"/>
      <c r="FEF106" s="39"/>
      <c r="FEG106" s="39"/>
      <c r="FEH106" s="39"/>
      <c r="FEI106" s="39"/>
      <c r="FEJ106" s="39"/>
      <c r="FEK106" s="39"/>
      <c r="FEL106" s="39"/>
      <c r="FEM106" s="39"/>
      <c r="FEN106" s="39"/>
      <c r="FEO106" s="39"/>
      <c r="FEP106" s="39"/>
      <c r="FEQ106" s="39"/>
      <c r="FER106" s="39"/>
      <c r="FES106" s="39"/>
      <c r="FET106" s="39"/>
      <c r="FEU106" s="39"/>
      <c r="FEV106" s="39"/>
      <c r="FEW106" s="39"/>
      <c r="FEX106" s="39"/>
      <c r="FEY106" s="39"/>
      <c r="FEZ106" s="39"/>
      <c r="FFA106" s="39"/>
      <c r="FFB106" s="39"/>
      <c r="FFC106" s="39"/>
      <c r="FFD106" s="39"/>
      <c r="FFE106" s="39"/>
      <c r="FFF106" s="39"/>
      <c r="FFG106" s="39"/>
      <c r="FFH106" s="39"/>
      <c r="FFI106" s="39"/>
      <c r="FFJ106" s="39"/>
      <c r="FFK106" s="39"/>
      <c r="FFL106" s="39"/>
      <c r="FFM106" s="39"/>
      <c r="FFN106" s="39"/>
      <c r="FFO106" s="39"/>
      <c r="FFP106" s="39"/>
      <c r="FFQ106" s="39"/>
      <c r="FFR106" s="39"/>
      <c r="FFS106" s="39"/>
      <c r="FFT106" s="39"/>
      <c r="FFU106" s="39"/>
      <c r="FFV106" s="39"/>
      <c r="FFW106" s="39"/>
      <c r="FFX106" s="39"/>
      <c r="FFY106" s="39"/>
      <c r="FFZ106" s="39"/>
      <c r="FGA106" s="39"/>
      <c r="FGB106" s="39"/>
      <c r="FGC106" s="39"/>
      <c r="FGD106" s="39"/>
      <c r="FGE106" s="39"/>
      <c r="FGF106" s="39"/>
      <c r="FGG106" s="39"/>
      <c r="FGH106" s="39"/>
      <c r="FGI106" s="39"/>
      <c r="FGJ106" s="39"/>
      <c r="FGK106" s="39"/>
      <c r="FGL106" s="39"/>
      <c r="FGM106" s="39"/>
      <c r="FGN106" s="39"/>
      <c r="FGO106" s="39"/>
      <c r="FGP106" s="39"/>
      <c r="FGQ106" s="39"/>
      <c r="FGR106" s="39"/>
      <c r="FGS106" s="39"/>
      <c r="FGT106" s="39"/>
      <c r="FGU106" s="39"/>
      <c r="FGV106" s="39"/>
      <c r="FGW106" s="39"/>
      <c r="FGX106" s="39"/>
      <c r="FGY106" s="39"/>
      <c r="FGZ106" s="39"/>
      <c r="FHA106" s="39"/>
      <c r="FHB106" s="39"/>
      <c r="FHC106" s="39"/>
      <c r="FHD106" s="39"/>
      <c r="FHE106" s="39"/>
      <c r="FHF106" s="39"/>
      <c r="FHG106" s="39"/>
      <c r="FHH106" s="39"/>
      <c r="FHI106" s="39"/>
      <c r="FHJ106" s="39"/>
      <c r="FHK106" s="39"/>
      <c r="FHL106" s="39"/>
      <c r="FHM106" s="39"/>
      <c r="FHN106" s="39"/>
      <c r="FHO106" s="39"/>
      <c r="FHP106" s="39"/>
      <c r="FHQ106" s="39"/>
      <c r="FHR106" s="39"/>
      <c r="FHS106" s="39"/>
      <c r="FHT106" s="39"/>
      <c r="FHU106" s="39"/>
      <c r="FHV106" s="39"/>
      <c r="FHW106" s="39"/>
      <c r="FHX106" s="39"/>
      <c r="FHY106" s="39"/>
      <c r="FHZ106" s="39"/>
      <c r="FIA106" s="39"/>
      <c r="FIB106" s="39"/>
      <c r="FIC106" s="39"/>
      <c r="FID106" s="39"/>
      <c r="FIE106" s="39"/>
      <c r="FIF106" s="39"/>
      <c r="FIG106" s="39"/>
      <c r="FIH106" s="39"/>
      <c r="FII106" s="39"/>
      <c r="FIJ106" s="39"/>
      <c r="FIK106" s="39"/>
      <c r="FIL106" s="39"/>
      <c r="FIM106" s="39"/>
      <c r="FIN106" s="39"/>
      <c r="FIO106" s="39"/>
      <c r="FIP106" s="39"/>
      <c r="FIQ106" s="39"/>
      <c r="FIR106" s="39"/>
      <c r="FIS106" s="39"/>
      <c r="FIT106" s="39"/>
      <c r="FIU106" s="39"/>
      <c r="FIV106" s="39"/>
      <c r="FIW106" s="39"/>
      <c r="FIX106" s="39"/>
      <c r="FIY106" s="39"/>
      <c r="FIZ106" s="39"/>
      <c r="FJA106" s="39"/>
      <c r="FJB106" s="39"/>
      <c r="FJC106" s="39"/>
      <c r="FJD106" s="39"/>
      <c r="FJE106" s="39"/>
      <c r="FJF106" s="39"/>
      <c r="FJG106" s="39"/>
      <c r="FJH106" s="39"/>
      <c r="FJI106" s="39"/>
      <c r="FJJ106" s="39"/>
      <c r="FJK106" s="39"/>
      <c r="FJL106" s="39"/>
      <c r="FJM106" s="39"/>
      <c r="FJN106" s="39"/>
      <c r="FJO106" s="39"/>
      <c r="FJP106" s="39"/>
      <c r="FJQ106" s="39"/>
      <c r="FJR106" s="39"/>
      <c r="FJS106" s="39"/>
      <c r="FJT106" s="39"/>
      <c r="FJU106" s="39"/>
      <c r="FJV106" s="39"/>
      <c r="FJW106" s="39"/>
      <c r="FJX106" s="39"/>
      <c r="FJY106" s="39"/>
      <c r="FJZ106" s="39"/>
      <c r="FKA106" s="39"/>
      <c r="FKB106" s="39"/>
      <c r="FKC106" s="39"/>
      <c r="FKD106" s="39"/>
      <c r="FKE106" s="39"/>
      <c r="FKF106" s="39"/>
      <c r="FKG106" s="39"/>
      <c r="FKH106" s="39"/>
      <c r="FKI106" s="39"/>
      <c r="FKJ106" s="39"/>
      <c r="FKK106" s="39"/>
      <c r="FKL106" s="39"/>
      <c r="FKM106" s="39"/>
      <c r="FKN106" s="39"/>
      <c r="FKO106" s="39"/>
      <c r="FKP106" s="39"/>
      <c r="FKQ106" s="39"/>
      <c r="FKR106" s="39"/>
      <c r="FKS106" s="39"/>
      <c r="FKT106" s="39"/>
      <c r="FKU106" s="39"/>
      <c r="FKV106" s="39"/>
      <c r="FKW106" s="39"/>
      <c r="FKX106" s="39"/>
      <c r="FKY106" s="39"/>
      <c r="FKZ106" s="39"/>
      <c r="FLA106" s="39"/>
      <c r="FLB106" s="39"/>
      <c r="FLC106" s="39"/>
      <c r="FLD106" s="39"/>
      <c r="FLE106" s="39"/>
      <c r="FLF106" s="39"/>
      <c r="FLG106" s="39"/>
      <c r="FLH106" s="39"/>
      <c r="FLI106" s="39"/>
      <c r="FLJ106" s="39"/>
      <c r="FLK106" s="39"/>
      <c r="FLL106" s="39"/>
      <c r="FLM106" s="39"/>
      <c r="FLN106" s="39"/>
      <c r="FLO106" s="39"/>
      <c r="FLP106" s="39"/>
      <c r="FLQ106" s="39"/>
      <c r="FLR106" s="39"/>
      <c r="FLS106" s="39"/>
      <c r="FLT106" s="39"/>
      <c r="FLU106" s="39"/>
      <c r="FLV106" s="39"/>
      <c r="FLW106" s="39"/>
      <c r="FLX106" s="39"/>
      <c r="FLY106" s="39"/>
      <c r="FLZ106" s="39"/>
      <c r="FMA106" s="39"/>
      <c r="FMB106" s="39"/>
      <c r="FMC106" s="39"/>
      <c r="FMD106" s="39"/>
      <c r="FME106" s="39"/>
      <c r="FMF106" s="39"/>
      <c r="FMG106" s="39"/>
      <c r="FMH106" s="39"/>
      <c r="FMI106" s="39"/>
      <c r="FMJ106" s="39"/>
      <c r="FMK106" s="39"/>
      <c r="FML106" s="39"/>
      <c r="FMM106" s="39"/>
      <c r="FMN106" s="39"/>
      <c r="FMO106" s="39"/>
      <c r="FMP106" s="39"/>
      <c r="FMQ106" s="39"/>
      <c r="FMR106" s="39"/>
      <c r="FMS106" s="39"/>
      <c r="FMT106" s="39"/>
      <c r="FMU106" s="39"/>
      <c r="FMV106" s="39"/>
      <c r="FMW106" s="39"/>
      <c r="FMX106" s="39"/>
      <c r="FMY106" s="39"/>
      <c r="FMZ106" s="39"/>
      <c r="FNA106" s="39"/>
      <c r="FNB106" s="39"/>
      <c r="FNC106" s="39"/>
      <c r="FND106" s="39"/>
      <c r="FNE106" s="39"/>
      <c r="FNF106" s="39"/>
      <c r="FNG106" s="39"/>
      <c r="FNH106" s="39"/>
      <c r="FNI106" s="39"/>
      <c r="FNJ106" s="39"/>
      <c r="FNK106" s="39"/>
      <c r="FNL106" s="39"/>
      <c r="FNM106" s="39"/>
      <c r="FNN106" s="39"/>
      <c r="FNO106" s="39"/>
      <c r="FNP106" s="39"/>
      <c r="FNQ106" s="39"/>
      <c r="FNR106" s="39"/>
      <c r="FNS106" s="39"/>
      <c r="FNT106" s="39"/>
      <c r="FNU106" s="39"/>
      <c r="FNV106" s="39"/>
      <c r="FNW106" s="39"/>
      <c r="FNX106" s="39"/>
      <c r="FNY106" s="39"/>
      <c r="FNZ106" s="39"/>
      <c r="FOA106" s="39"/>
      <c r="FOB106" s="39"/>
      <c r="FOC106" s="39"/>
      <c r="FOD106" s="39"/>
      <c r="FOE106" s="39"/>
      <c r="FOF106" s="39"/>
      <c r="FOG106" s="39"/>
      <c r="FOH106" s="39"/>
      <c r="FOI106" s="39"/>
      <c r="FOJ106" s="39"/>
      <c r="FOK106" s="39"/>
      <c r="FOL106" s="39"/>
      <c r="FOM106" s="39"/>
      <c r="FON106" s="39"/>
      <c r="FOO106" s="39"/>
      <c r="FOP106" s="39"/>
      <c r="FOQ106" s="39"/>
      <c r="FOR106" s="39"/>
      <c r="FOS106" s="39"/>
      <c r="FOT106" s="39"/>
      <c r="FOU106" s="39"/>
      <c r="FOV106" s="39"/>
      <c r="FOW106" s="39"/>
      <c r="FOX106" s="39"/>
      <c r="FOY106" s="39"/>
      <c r="FOZ106" s="39"/>
      <c r="FPA106" s="39"/>
      <c r="FPB106" s="39"/>
      <c r="FPC106" s="39"/>
      <c r="FPD106" s="39"/>
      <c r="FPE106" s="39"/>
      <c r="FPF106" s="39"/>
      <c r="FPG106" s="39"/>
      <c r="FPH106" s="39"/>
      <c r="FPI106" s="39"/>
      <c r="FPJ106" s="39"/>
      <c r="FPK106" s="39"/>
      <c r="FPL106" s="39"/>
      <c r="FPM106" s="39"/>
      <c r="FPN106" s="39"/>
      <c r="FPO106" s="39"/>
      <c r="FPP106" s="39"/>
      <c r="FPQ106" s="39"/>
      <c r="FPR106" s="39"/>
      <c r="FPS106" s="39"/>
      <c r="FPT106" s="39"/>
      <c r="FPU106" s="39"/>
      <c r="FPV106" s="39"/>
      <c r="FPW106" s="39"/>
      <c r="FPX106" s="39"/>
      <c r="FPY106" s="39"/>
      <c r="FPZ106" s="39"/>
      <c r="FQA106" s="39"/>
      <c r="FQB106" s="39"/>
      <c r="FQC106" s="39"/>
      <c r="FQD106" s="39"/>
      <c r="FQE106" s="39"/>
      <c r="FQF106" s="39"/>
      <c r="FQG106" s="39"/>
      <c r="FQH106" s="39"/>
      <c r="FQI106" s="39"/>
      <c r="FQJ106" s="39"/>
      <c r="FQK106" s="39"/>
      <c r="FQL106" s="39"/>
      <c r="FQM106" s="39"/>
      <c r="FQN106" s="39"/>
      <c r="FQO106" s="39"/>
      <c r="FQP106" s="39"/>
      <c r="FQQ106" s="39"/>
      <c r="FQR106" s="39"/>
      <c r="FQS106" s="39"/>
      <c r="FQT106" s="39"/>
      <c r="FQU106" s="39"/>
      <c r="FQV106" s="39"/>
      <c r="FQW106" s="39"/>
      <c r="FQX106" s="39"/>
      <c r="FQY106" s="39"/>
      <c r="FQZ106" s="39"/>
      <c r="FRA106" s="39"/>
      <c r="FRB106" s="39"/>
      <c r="FRC106" s="39"/>
      <c r="FRD106" s="39"/>
      <c r="FRE106" s="39"/>
      <c r="FRF106" s="39"/>
      <c r="FRG106" s="39"/>
      <c r="FRH106" s="39"/>
      <c r="FRI106" s="39"/>
      <c r="FRJ106" s="39"/>
      <c r="FRK106" s="39"/>
      <c r="FRL106" s="39"/>
      <c r="FRM106" s="39"/>
      <c r="FRN106" s="39"/>
      <c r="FRO106" s="39"/>
      <c r="FRP106" s="39"/>
      <c r="FRQ106" s="39"/>
      <c r="FRR106" s="39"/>
      <c r="FRS106" s="39"/>
      <c r="FRT106" s="39"/>
      <c r="FRU106" s="39"/>
      <c r="FRV106" s="39"/>
      <c r="FRW106" s="39"/>
      <c r="FRX106" s="39"/>
      <c r="FRY106" s="39"/>
      <c r="FRZ106" s="39"/>
      <c r="FSA106" s="39"/>
      <c r="FSB106" s="39"/>
      <c r="FSC106" s="39"/>
      <c r="FSD106" s="39"/>
      <c r="FSE106" s="39"/>
      <c r="FSF106" s="39"/>
      <c r="FSG106" s="39"/>
      <c r="FSH106" s="39"/>
      <c r="FSI106" s="39"/>
      <c r="FSJ106" s="39"/>
      <c r="FSK106" s="39"/>
      <c r="FSL106" s="39"/>
      <c r="FSM106" s="39"/>
      <c r="FSN106" s="39"/>
      <c r="FSO106" s="39"/>
      <c r="FSP106" s="39"/>
      <c r="FSQ106" s="39"/>
      <c r="FSR106" s="39"/>
      <c r="FSS106" s="39"/>
      <c r="FST106" s="39"/>
      <c r="FSU106" s="39"/>
      <c r="FSV106" s="39"/>
      <c r="FSW106" s="39"/>
      <c r="FSX106" s="39"/>
      <c r="FSY106" s="39"/>
      <c r="FSZ106" s="39"/>
      <c r="FTA106" s="39"/>
      <c r="FTB106" s="39"/>
      <c r="FTC106" s="39"/>
      <c r="FTD106" s="39"/>
      <c r="FTE106" s="39"/>
      <c r="FTF106" s="39"/>
      <c r="FTG106" s="39"/>
      <c r="FTH106" s="39"/>
      <c r="FTI106" s="39"/>
      <c r="FTJ106" s="39"/>
      <c r="FTK106" s="39"/>
      <c r="FTL106" s="39"/>
      <c r="FTM106" s="39"/>
      <c r="FTN106" s="39"/>
      <c r="FTO106" s="39"/>
      <c r="FTP106" s="39"/>
      <c r="FTQ106" s="39"/>
      <c r="FTR106" s="39"/>
      <c r="FTS106" s="39"/>
      <c r="FTT106" s="39"/>
      <c r="FTU106" s="39"/>
      <c r="FTV106" s="39"/>
      <c r="FTW106" s="39"/>
      <c r="FTX106" s="39"/>
      <c r="FTY106" s="39"/>
      <c r="FTZ106" s="39"/>
      <c r="FUA106" s="39"/>
      <c r="FUB106" s="39"/>
      <c r="FUC106" s="39"/>
      <c r="FUD106" s="39"/>
      <c r="FUE106" s="39"/>
      <c r="FUF106" s="39"/>
      <c r="FUG106" s="39"/>
      <c r="FUH106" s="39"/>
      <c r="FUI106" s="39"/>
      <c r="FUJ106" s="39"/>
      <c r="FUK106" s="39"/>
      <c r="FUL106" s="39"/>
      <c r="FUM106" s="39"/>
      <c r="FUN106" s="39"/>
      <c r="FUO106" s="39"/>
      <c r="FUP106" s="39"/>
      <c r="FUQ106" s="39"/>
      <c r="FUR106" s="39"/>
      <c r="FUS106" s="39"/>
      <c r="FUT106" s="39"/>
      <c r="FUU106" s="39"/>
      <c r="FUV106" s="39"/>
      <c r="FUW106" s="39"/>
      <c r="FUX106" s="39"/>
      <c r="FUY106" s="39"/>
      <c r="FUZ106" s="39"/>
      <c r="FVA106" s="39"/>
      <c r="FVB106" s="39"/>
      <c r="FVC106" s="39"/>
      <c r="FVD106" s="39"/>
      <c r="FVE106" s="39"/>
      <c r="FVF106" s="39"/>
      <c r="FVG106" s="39"/>
      <c r="FVH106" s="39"/>
      <c r="FVI106" s="39"/>
      <c r="FVJ106" s="39"/>
      <c r="FVK106" s="39"/>
      <c r="FVL106" s="39"/>
      <c r="FVM106" s="39"/>
      <c r="FVN106" s="39"/>
      <c r="FVO106" s="39"/>
      <c r="FVP106" s="39"/>
      <c r="FVQ106" s="39"/>
      <c r="FVR106" s="39"/>
      <c r="FVS106" s="39"/>
      <c r="FVT106" s="39"/>
      <c r="FVU106" s="39"/>
      <c r="FVV106" s="39"/>
      <c r="FVW106" s="39"/>
      <c r="FVX106" s="39"/>
      <c r="FVY106" s="39"/>
      <c r="FVZ106" s="39"/>
      <c r="FWA106" s="39"/>
      <c r="FWB106" s="39"/>
      <c r="FWC106" s="39"/>
      <c r="FWD106" s="39"/>
      <c r="FWE106" s="39"/>
      <c r="FWF106" s="39"/>
      <c r="FWG106" s="39"/>
      <c r="FWH106" s="39"/>
      <c r="FWI106" s="39"/>
      <c r="FWJ106" s="39"/>
      <c r="FWK106" s="39"/>
      <c r="FWL106" s="39"/>
      <c r="FWM106" s="39"/>
      <c r="FWN106" s="39"/>
      <c r="FWO106" s="39"/>
      <c r="FWP106" s="39"/>
      <c r="FWQ106" s="39"/>
      <c r="FWR106" s="39"/>
      <c r="FWS106" s="39"/>
      <c r="FWT106" s="39"/>
      <c r="FWU106" s="39"/>
      <c r="FWV106" s="39"/>
      <c r="FWW106" s="39"/>
      <c r="FWX106" s="39"/>
      <c r="FWY106" s="39"/>
      <c r="FWZ106" s="39"/>
      <c r="FXA106" s="39"/>
      <c r="FXB106" s="39"/>
      <c r="FXC106" s="39"/>
      <c r="FXD106" s="39"/>
      <c r="FXE106" s="39"/>
      <c r="FXF106" s="39"/>
      <c r="FXG106" s="39"/>
      <c r="FXH106" s="39"/>
      <c r="FXI106" s="39"/>
      <c r="FXJ106" s="39"/>
      <c r="FXK106" s="39"/>
      <c r="FXL106" s="39"/>
      <c r="FXM106" s="39"/>
      <c r="FXN106" s="39"/>
      <c r="FXO106" s="39"/>
      <c r="FXP106" s="39"/>
      <c r="FXQ106" s="39"/>
      <c r="FXR106" s="39"/>
      <c r="FXS106" s="39"/>
      <c r="FXT106" s="39"/>
      <c r="FXU106" s="39"/>
      <c r="FXV106" s="39"/>
      <c r="FXW106" s="39"/>
      <c r="FXX106" s="39"/>
      <c r="FXY106" s="39"/>
      <c r="FXZ106" s="39"/>
      <c r="FYA106" s="39"/>
      <c r="FYB106" s="39"/>
      <c r="FYC106" s="39"/>
      <c r="FYD106" s="39"/>
      <c r="FYE106" s="39"/>
      <c r="FYF106" s="39"/>
      <c r="FYG106" s="39"/>
      <c r="FYH106" s="39"/>
      <c r="FYI106" s="39"/>
      <c r="FYJ106" s="39"/>
      <c r="FYK106" s="39"/>
      <c r="FYL106" s="39"/>
      <c r="FYM106" s="39"/>
      <c r="FYN106" s="39"/>
      <c r="FYO106" s="39"/>
      <c r="FYP106" s="39"/>
      <c r="FYQ106" s="39"/>
      <c r="FYR106" s="39"/>
      <c r="FYS106" s="39"/>
      <c r="FYT106" s="39"/>
      <c r="FYU106" s="39"/>
      <c r="FYV106" s="39"/>
      <c r="FYW106" s="39"/>
      <c r="FYX106" s="39"/>
      <c r="FYY106" s="39"/>
      <c r="FYZ106" s="39"/>
      <c r="FZA106" s="39"/>
      <c r="FZB106" s="39"/>
      <c r="FZC106" s="39"/>
      <c r="FZD106" s="39"/>
      <c r="FZE106" s="39"/>
      <c r="FZF106" s="39"/>
      <c r="FZG106" s="39"/>
      <c r="FZH106" s="39"/>
      <c r="FZI106" s="39"/>
      <c r="FZJ106" s="39"/>
      <c r="FZK106" s="39"/>
      <c r="FZL106" s="39"/>
      <c r="FZM106" s="39"/>
      <c r="FZN106" s="39"/>
      <c r="FZO106" s="39"/>
      <c r="FZP106" s="39"/>
      <c r="FZQ106" s="39"/>
      <c r="FZR106" s="39"/>
      <c r="FZS106" s="39"/>
      <c r="FZT106" s="39"/>
      <c r="FZU106" s="39"/>
      <c r="FZV106" s="39"/>
      <c r="FZW106" s="39"/>
      <c r="FZX106" s="39"/>
      <c r="FZY106" s="39"/>
      <c r="FZZ106" s="39"/>
      <c r="GAA106" s="39"/>
      <c r="GAB106" s="39"/>
      <c r="GAC106" s="39"/>
      <c r="GAD106" s="39"/>
      <c r="GAE106" s="39"/>
      <c r="GAF106" s="39"/>
      <c r="GAG106" s="39"/>
      <c r="GAH106" s="39"/>
      <c r="GAI106" s="39"/>
      <c r="GAJ106" s="39"/>
      <c r="GAK106" s="39"/>
      <c r="GAL106" s="39"/>
      <c r="GAM106" s="39"/>
      <c r="GAN106" s="39"/>
      <c r="GAO106" s="39"/>
      <c r="GAP106" s="39"/>
      <c r="GAQ106" s="39"/>
      <c r="GAR106" s="39"/>
      <c r="GAS106" s="39"/>
      <c r="GAT106" s="39"/>
      <c r="GAU106" s="39"/>
      <c r="GAV106" s="39"/>
      <c r="GAW106" s="39"/>
      <c r="GAX106" s="39"/>
      <c r="GAY106" s="39"/>
      <c r="GAZ106" s="39"/>
      <c r="GBA106" s="39"/>
      <c r="GBB106" s="39"/>
      <c r="GBC106" s="39"/>
      <c r="GBD106" s="39"/>
      <c r="GBE106" s="39"/>
      <c r="GBF106" s="39"/>
      <c r="GBG106" s="39"/>
      <c r="GBH106" s="39"/>
      <c r="GBI106" s="39"/>
      <c r="GBJ106" s="39"/>
      <c r="GBK106" s="39"/>
      <c r="GBL106" s="39"/>
      <c r="GBM106" s="39"/>
      <c r="GBN106" s="39"/>
      <c r="GBO106" s="39"/>
      <c r="GBP106" s="39"/>
      <c r="GBQ106" s="39"/>
      <c r="GBR106" s="39"/>
      <c r="GBS106" s="39"/>
      <c r="GBT106" s="39"/>
      <c r="GBU106" s="39"/>
      <c r="GBV106" s="39"/>
      <c r="GBW106" s="39"/>
      <c r="GBX106" s="39"/>
      <c r="GBY106" s="39"/>
      <c r="GBZ106" s="39"/>
      <c r="GCA106" s="39"/>
      <c r="GCB106" s="39"/>
      <c r="GCC106" s="39"/>
      <c r="GCD106" s="39"/>
      <c r="GCE106" s="39"/>
      <c r="GCF106" s="39"/>
      <c r="GCG106" s="39"/>
      <c r="GCH106" s="39"/>
      <c r="GCI106" s="39"/>
      <c r="GCJ106" s="39"/>
      <c r="GCK106" s="39"/>
      <c r="GCL106" s="39"/>
      <c r="GCM106" s="39"/>
      <c r="GCN106" s="39"/>
      <c r="GCO106" s="39"/>
      <c r="GCP106" s="39"/>
      <c r="GCQ106" s="39"/>
      <c r="GCR106" s="39"/>
      <c r="GCS106" s="39"/>
      <c r="GCT106" s="39"/>
      <c r="GCU106" s="39"/>
      <c r="GCV106" s="39"/>
      <c r="GCW106" s="39"/>
      <c r="GCX106" s="39"/>
      <c r="GCY106" s="39"/>
      <c r="GCZ106" s="39"/>
      <c r="GDA106" s="39"/>
      <c r="GDB106" s="39"/>
      <c r="GDC106" s="39"/>
      <c r="GDD106" s="39"/>
      <c r="GDE106" s="39"/>
      <c r="GDF106" s="39"/>
      <c r="GDG106" s="39"/>
      <c r="GDH106" s="39"/>
      <c r="GDI106" s="39"/>
      <c r="GDJ106" s="39"/>
      <c r="GDK106" s="39"/>
      <c r="GDL106" s="39"/>
      <c r="GDM106" s="39"/>
      <c r="GDN106" s="39"/>
      <c r="GDO106" s="39"/>
      <c r="GDP106" s="39"/>
      <c r="GDQ106" s="39"/>
      <c r="GDR106" s="39"/>
      <c r="GDS106" s="39"/>
      <c r="GDT106" s="39"/>
      <c r="GDU106" s="39"/>
      <c r="GDV106" s="39"/>
      <c r="GDW106" s="39"/>
      <c r="GDX106" s="39"/>
      <c r="GDY106" s="39"/>
      <c r="GDZ106" s="39"/>
      <c r="GEA106" s="39"/>
      <c r="GEB106" s="39"/>
      <c r="GEC106" s="39"/>
      <c r="GED106" s="39"/>
      <c r="GEE106" s="39"/>
      <c r="GEF106" s="39"/>
      <c r="GEG106" s="39"/>
      <c r="GEH106" s="39"/>
      <c r="GEI106" s="39"/>
      <c r="GEJ106" s="39"/>
      <c r="GEK106" s="39"/>
      <c r="GEL106" s="39"/>
      <c r="GEM106" s="39"/>
      <c r="GEN106" s="39"/>
      <c r="GEO106" s="39"/>
      <c r="GEP106" s="39"/>
      <c r="GEQ106" s="39"/>
      <c r="GER106" s="39"/>
      <c r="GES106" s="39"/>
      <c r="GET106" s="39"/>
      <c r="GEU106" s="39"/>
      <c r="GEV106" s="39"/>
      <c r="GEW106" s="39"/>
      <c r="GEX106" s="39"/>
      <c r="GEY106" s="39"/>
      <c r="GEZ106" s="39"/>
      <c r="GFA106" s="39"/>
      <c r="GFB106" s="39"/>
      <c r="GFC106" s="39"/>
      <c r="GFD106" s="39"/>
      <c r="GFE106" s="39"/>
      <c r="GFF106" s="39"/>
      <c r="GFG106" s="39"/>
      <c r="GFH106" s="39"/>
      <c r="GFI106" s="39"/>
      <c r="GFJ106" s="39"/>
      <c r="GFK106" s="39"/>
      <c r="GFL106" s="39"/>
      <c r="GFM106" s="39"/>
      <c r="GFN106" s="39"/>
      <c r="GFO106" s="39"/>
      <c r="GFP106" s="39"/>
      <c r="GFQ106" s="39"/>
      <c r="GFR106" s="39"/>
      <c r="GFS106" s="39"/>
      <c r="GFT106" s="39"/>
      <c r="GFU106" s="39"/>
      <c r="GFV106" s="39"/>
      <c r="GFW106" s="39"/>
      <c r="GFX106" s="39"/>
      <c r="GFY106" s="39"/>
      <c r="GFZ106" s="39"/>
      <c r="GGA106" s="39"/>
      <c r="GGB106" s="39"/>
      <c r="GGC106" s="39"/>
      <c r="GGD106" s="39"/>
      <c r="GGE106" s="39"/>
      <c r="GGF106" s="39"/>
      <c r="GGG106" s="39"/>
      <c r="GGH106" s="39"/>
      <c r="GGI106" s="39"/>
      <c r="GGJ106" s="39"/>
      <c r="GGK106" s="39"/>
      <c r="GGL106" s="39"/>
      <c r="GGM106" s="39"/>
      <c r="GGN106" s="39"/>
      <c r="GGO106" s="39"/>
      <c r="GGP106" s="39"/>
      <c r="GGQ106" s="39"/>
      <c r="GGR106" s="39"/>
      <c r="GGS106" s="39"/>
      <c r="GGT106" s="39"/>
      <c r="GGU106" s="39"/>
      <c r="GGV106" s="39"/>
      <c r="GGW106" s="39"/>
      <c r="GGX106" s="39"/>
      <c r="GGY106" s="39"/>
      <c r="GGZ106" s="39"/>
      <c r="GHA106" s="39"/>
      <c r="GHB106" s="39"/>
      <c r="GHC106" s="39"/>
      <c r="GHD106" s="39"/>
      <c r="GHE106" s="39"/>
      <c r="GHF106" s="39"/>
      <c r="GHG106" s="39"/>
      <c r="GHH106" s="39"/>
      <c r="GHI106" s="39"/>
      <c r="GHJ106" s="39"/>
      <c r="GHK106" s="39"/>
      <c r="GHL106" s="39"/>
      <c r="GHM106" s="39"/>
      <c r="GHN106" s="39"/>
      <c r="GHO106" s="39"/>
      <c r="GHP106" s="39"/>
      <c r="GHQ106" s="39"/>
      <c r="GHR106" s="39"/>
      <c r="GHS106" s="39"/>
      <c r="GHT106" s="39"/>
      <c r="GHU106" s="39"/>
      <c r="GHV106" s="39"/>
      <c r="GHW106" s="39"/>
      <c r="GHX106" s="39"/>
      <c r="GHY106" s="39"/>
      <c r="GHZ106" s="39"/>
      <c r="GIA106" s="39"/>
      <c r="GIB106" s="39"/>
      <c r="GIC106" s="39"/>
      <c r="GID106" s="39"/>
      <c r="GIE106" s="39"/>
      <c r="GIF106" s="39"/>
      <c r="GIG106" s="39"/>
      <c r="GIH106" s="39"/>
      <c r="GII106" s="39"/>
      <c r="GIJ106" s="39"/>
      <c r="GIK106" s="39"/>
      <c r="GIL106" s="39"/>
      <c r="GIM106" s="39"/>
      <c r="GIN106" s="39"/>
      <c r="GIO106" s="39"/>
      <c r="GIP106" s="39"/>
      <c r="GIQ106" s="39"/>
      <c r="GIR106" s="39"/>
      <c r="GIS106" s="39"/>
      <c r="GIT106" s="39"/>
      <c r="GIU106" s="39"/>
      <c r="GIV106" s="39"/>
      <c r="GIW106" s="39"/>
      <c r="GIX106" s="39"/>
      <c r="GIY106" s="39"/>
      <c r="GIZ106" s="39"/>
      <c r="GJA106" s="39"/>
      <c r="GJB106" s="39"/>
      <c r="GJC106" s="39"/>
      <c r="GJD106" s="39"/>
      <c r="GJE106" s="39"/>
      <c r="GJF106" s="39"/>
      <c r="GJG106" s="39"/>
      <c r="GJH106" s="39"/>
      <c r="GJI106" s="39"/>
      <c r="GJJ106" s="39"/>
      <c r="GJK106" s="39"/>
      <c r="GJL106" s="39"/>
      <c r="GJM106" s="39"/>
      <c r="GJN106" s="39"/>
      <c r="GJO106" s="39"/>
      <c r="GJP106" s="39"/>
      <c r="GJQ106" s="39"/>
      <c r="GJR106" s="39"/>
      <c r="GJS106" s="39"/>
      <c r="GJT106" s="39"/>
      <c r="GJU106" s="39"/>
      <c r="GJV106" s="39"/>
      <c r="GJW106" s="39"/>
      <c r="GJX106" s="39"/>
      <c r="GJY106" s="39"/>
      <c r="GJZ106" s="39"/>
      <c r="GKA106" s="39"/>
      <c r="GKB106" s="39"/>
      <c r="GKC106" s="39"/>
      <c r="GKD106" s="39"/>
      <c r="GKE106" s="39"/>
      <c r="GKF106" s="39"/>
      <c r="GKG106" s="39"/>
      <c r="GKH106" s="39"/>
      <c r="GKI106" s="39"/>
      <c r="GKJ106" s="39"/>
      <c r="GKK106" s="39"/>
      <c r="GKL106" s="39"/>
      <c r="GKM106" s="39"/>
      <c r="GKN106" s="39"/>
      <c r="GKO106" s="39"/>
      <c r="GKP106" s="39"/>
      <c r="GKQ106" s="39"/>
      <c r="GKR106" s="39"/>
      <c r="GKS106" s="39"/>
      <c r="GKT106" s="39"/>
      <c r="GKU106" s="39"/>
      <c r="GKV106" s="39"/>
      <c r="GKW106" s="39"/>
      <c r="GKX106" s="39"/>
      <c r="GKY106" s="39"/>
      <c r="GKZ106" s="39"/>
      <c r="GLA106" s="39"/>
      <c r="GLB106" s="39"/>
      <c r="GLC106" s="39"/>
      <c r="GLD106" s="39"/>
      <c r="GLE106" s="39"/>
      <c r="GLF106" s="39"/>
      <c r="GLG106" s="39"/>
      <c r="GLH106" s="39"/>
      <c r="GLI106" s="39"/>
      <c r="GLJ106" s="39"/>
      <c r="GLK106" s="39"/>
      <c r="GLL106" s="39"/>
      <c r="GLM106" s="39"/>
      <c r="GLN106" s="39"/>
      <c r="GLO106" s="39"/>
      <c r="GLP106" s="39"/>
      <c r="GLQ106" s="39"/>
      <c r="GLR106" s="39"/>
      <c r="GLS106" s="39"/>
      <c r="GLT106" s="39"/>
      <c r="GLU106" s="39"/>
      <c r="GLV106" s="39"/>
      <c r="GLW106" s="39"/>
      <c r="GLX106" s="39"/>
      <c r="GLY106" s="39"/>
      <c r="GLZ106" s="39"/>
      <c r="GMA106" s="39"/>
      <c r="GMB106" s="39"/>
      <c r="GMC106" s="39"/>
      <c r="GMD106" s="39"/>
      <c r="GME106" s="39"/>
      <c r="GMF106" s="39"/>
      <c r="GMG106" s="39"/>
      <c r="GMH106" s="39"/>
      <c r="GMI106" s="39"/>
      <c r="GMJ106" s="39"/>
      <c r="GMK106" s="39"/>
      <c r="GML106" s="39"/>
      <c r="GMM106" s="39"/>
      <c r="GMN106" s="39"/>
      <c r="GMO106" s="39"/>
      <c r="GMP106" s="39"/>
      <c r="GMQ106" s="39"/>
      <c r="GMR106" s="39"/>
      <c r="GMS106" s="39"/>
      <c r="GMT106" s="39"/>
      <c r="GMU106" s="39"/>
      <c r="GMV106" s="39"/>
      <c r="GMW106" s="39"/>
      <c r="GMX106" s="39"/>
      <c r="GMY106" s="39"/>
      <c r="GMZ106" s="39"/>
      <c r="GNA106" s="39"/>
      <c r="GNB106" s="39"/>
      <c r="GNC106" s="39"/>
      <c r="GND106" s="39"/>
      <c r="GNE106" s="39"/>
      <c r="GNF106" s="39"/>
      <c r="GNG106" s="39"/>
      <c r="GNH106" s="39"/>
      <c r="GNI106" s="39"/>
      <c r="GNJ106" s="39"/>
      <c r="GNK106" s="39"/>
      <c r="GNL106" s="39"/>
      <c r="GNM106" s="39"/>
      <c r="GNN106" s="39"/>
      <c r="GNO106" s="39"/>
      <c r="GNP106" s="39"/>
      <c r="GNQ106" s="39"/>
      <c r="GNR106" s="39"/>
      <c r="GNS106" s="39"/>
      <c r="GNT106" s="39"/>
      <c r="GNU106" s="39"/>
      <c r="GNV106" s="39"/>
      <c r="GNW106" s="39"/>
      <c r="GNX106" s="39"/>
      <c r="GNY106" s="39"/>
      <c r="GNZ106" s="39"/>
      <c r="GOA106" s="39"/>
      <c r="GOB106" s="39"/>
      <c r="GOC106" s="39"/>
      <c r="GOD106" s="39"/>
      <c r="GOE106" s="39"/>
      <c r="GOF106" s="39"/>
      <c r="GOG106" s="39"/>
      <c r="GOH106" s="39"/>
      <c r="GOI106" s="39"/>
      <c r="GOJ106" s="39"/>
      <c r="GOK106" s="39"/>
      <c r="GOL106" s="39"/>
      <c r="GOM106" s="39"/>
      <c r="GON106" s="39"/>
      <c r="GOO106" s="39"/>
      <c r="GOP106" s="39"/>
      <c r="GOQ106" s="39"/>
      <c r="GOR106" s="39"/>
      <c r="GOS106" s="39"/>
      <c r="GOT106" s="39"/>
      <c r="GOU106" s="39"/>
      <c r="GOV106" s="39"/>
      <c r="GOW106" s="39"/>
      <c r="GOX106" s="39"/>
      <c r="GOY106" s="39"/>
      <c r="GOZ106" s="39"/>
      <c r="GPA106" s="39"/>
      <c r="GPB106" s="39"/>
      <c r="GPC106" s="39"/>
      <c r="GPD106" s="39"/>
      <c r="GPE106" s="39"/>
      <c r="GPF106" s="39"/>
      <c r="GPG106" s="39"/>
      <c r="GPH106" s="39"/>
      <c r="GPI106" s="39"/>
      <c r="GPJ106" s="39"/>
      <c r="GPK106" s="39"/>
      <c r="GPL106" s="39"/>
      <c r="GPM106" s="39"/>
      <c r="GPN106" s="39"/>
      <c r="GPO106" s="39"/>
      <c r="GPP106" s="39"/>
      <c r="GPQ106" s="39"/>
      <c r="GPR106" s="39"/>
      <c r="GPS106" s="39"/>
      <c r="GPT106" s="39"/>
      <c r="GPU106" s="39"/>
      <c r="GPV106" s="39"/>
      <c r="GPW106" s="39"/>
      <c r="GPX106" s="39"/>
      <c r="GPY106" s="39"/>
      <c r="GPZ106" s="39"/>
      <c r="GQA106" s="39"/>
      <c r="GQB106" s="39"/>
      <c r="GQC106" s="39"/>
      <c r="GQD106" s="39"/>
      <c r="GQE106" s="39"/>
      <c r="GQF106" s="39"/>
      <c r="GQG106" s="39"/>
      <c r="GQH106" s="39"/>
      <c r="GQI106" s="39"/>
      <c r="GQJ106" s="39"/>
      <c r="GQK106" s="39"/>
      <c r="GQL106" s="39"/>
      <c r="GQM106" s="39"/>
      <c r="GQN106" s="39"/>
      <c r="GQO106" s="39"/>
      <c r="GQP106" s="39"/>
      <c r="GQQ106" s="39"/>
      <c r="GQR106" s="39"/>
      <c r="GQS106" s="39"/>
      <c r="GQT106" s="39"/>
      <c r="GQU106" s="39"/>
      <c r="GQV106" s="39"/>
      <c r="GQW106" s="39"/>
      <c r="GQX106" s="39"/>
      <c r="GQY106" s="39"/>
      <c r="GQZ106" s="39"/>
      <c r="GRA106" s="39"/>
      <c r="GRB106" s="39"/>
      <c r="GRC106" s="39"/>
      <c r="GRD106" s="39"/>
      <c r="GRE106" s="39"/>
      <c r="GRF106" s="39"/>
      <c r="GRG106" s="39"/>
      <c r="GRH106" s="39"/>
      <c r="GRI106" s="39"/>
      <c r="GRJ106" s="39"/>
      <c r="GRK106" s="39"/>
      <c r="GRL106" s="39"/>
      <c r="GRM106" s="39"/>
      <c r="GRN106" s="39"/>
      <c r="GRO106" s="39"/>
      <c r="GRP106" s="39"/>
      <c r="GRQ106" s="39"/>
      <c r="GRR106" s="39"/>
      <c r="GRS106" s="39"/>
      <c r="GRT106" s="39"/>
      <c r="GRU106" s="39"/>
      <c r="GRV106" s="39"/>
      <c r="GRW106" s="39"/>
      <c r="GRX106" s="39"/>
      <c r="GRY106" s="39"/>
      <c r="GRZ106" s="39"/>
      <c r="GSA106" s="39"/>
      <c r="GSB106" s="39"/>
      <c r="GSC106" s="39"/>
      <c r="GSD106" s="39"/>
      <c r="GSE106" s="39"/>
      <c r="GSF106" s="39"/>
      <c r="GSG106" s="39"/>
      <c r="GSH106" s="39"/>
      <c r="GSI106" s="39"/>
      <c r="GSJ106" s="39"/>
      <c r="GSK106" s="39"/>
      <c r="GSL106" s="39"/>
      <c r="GSM106" s="39"/>
      <c r="GSN106" s="39"/>
      <c r="GSO106" s="39"/>
      <c r="GSP106" s="39"/>
      <c r="GSQ106" s="39"/>
      <c r="GSR106" s="39"/>
      <c r="GSS106" s="39"/>
      <c r="GST106" s="39"/>
      <c r="GSU106" s="39"/>
      <c r="GSV106" s="39"/>
      <c r="GSW106" s="39"/>
      <c r="GSX106" s="39"/>
      <c r="GSY106" s="39"/>
      <c r="GSZ106" s="39"/>
      <c r="GTA106" s="39"/>
      <c r="GTB106" s="39"/>
      <c r="GTC106" s="39"/>
      <c r="GTD106" s="39"/>
      <c r="GTE106" s="39"/>
      <c r="GTF106" s="39"/>
      <c r="GTG106" s="39"/>
      <c r="GTH106" s="39"/>
      <c r="GTI106" s="39"/>
      <c r="GTJ106" s="39"/>
      <c r="GTK106" s="39"/>
      <c r="GTL106" s="39"/>
      <c r="GTM106" s="39"/>
      <c r="GTN106" s="39"/>
      <c r="GTO106" s="39"/>
      <c r="GTP106" s="39"/>
      <c r="GTQ106" s="39"/>
      <c r="GTR106" s="39"/>
      <c r="GTS106" s="39"/>
      <c r="GTT106" s="39"/>
      <c r="GTU106" s="39"/>
      <c r="GTV106" s="39"/>
      <c r="GTW106" s="39"/>
      <c r="GTX106" s="39"/>
      <c r="GTY106" s="39"/>
      <c r="GTZ106" s="39"/>
      <c r="GUA106" s="39"/>
      <c r="GUB106" s="39"/>
      <c r="GUC106" s="39"/>
      <c r="GUD106" s="39"/>
      <c r="GUE106" s="39"/>
      <c r="GUF106" s="39"/>
      <c r="GUG106" s="39"/>
      <c r="GUH106" s="39"/>
      <c r="GUI106" s="39"/>
      <c r="GUJ106" s="39"/>
      <c r="GUK106" s="39"/>
      <c r="GUL106" s="39"/>
      <c r="GUM106" s="39"/>
      <c r="GUN106" s="39"/>
      <c r="GUO106" s="39"/>
      <c r="GUP106" s="39"/>
      <c r="GUQ106" s="39"/>
      <c r="GUR106" s="39"/>
      <c r="GUS106" s="39"/>
      <c r="GUT106" s="39"/>
      <c r="GUU106" s="39"/>
      <c r="GUV106" s="39"/>
      <c r="GUW106" s="39"/>
      <c r="GUX106" s="39"/>
      <c r="GUY106" s="39"/>
      <c r="GUZ106" s="39"/>
      <c r="GVA106" s="39"/>
      <c r="GVB106" s="39"/>
      <c r="GVC106" s="39"/>
      <c r="GVD106" s="39"/>
      <c r="GVE106" s="39"/>
      <c r="GVF106" s="39"/>
      <c r="GVG106" s="39"/>
      <c r="GVH106" s="39"/>
      <c r="GVI106" s="39"/>
      <c r="GVJ106" s="39"/>
      <c r="GVK106" s="39"/>
      <c r="GVL106" s="39"/>
      <c r="GVM106" s="39"/>
      <c r="GVN106" s="39"/>
      <c r="GVO106" s="39"/>
      <c r="GVP106" s="39"/>
      <c r="GVQ106" s="39"/>
      <c r="GVR106" s="39"/>
      <c r="GVS106" s="39"/>
      <c r="GVT106" s="39"/>
      <c r="GVU106" s="39"/>
      <c r="GVV106" s="39"/>
      <c r="GVW106" s="39"/>
      <c r="GVX106" s="39"/>
      <c r="GVY106" s="39"/>
      <c r="GVZ106" s="39"/>
      <c r="GWA106" s="39"/>
      <c r="GWB106" s="39"/>
      <c r="GWC106" s="39"/>
      <c r="GWD106" s="39"/>
      <c r="GWE106" s="39"/>
      <c r="GWF106" s="39"/>
      <c r="GWG106" s="39"/>
      <c r="GWH106" s="39"/>
      <c r="GWI106" s="39"/>
      <c r="GWJ106" s="39"/>
      <c r="GWK106" s="39"/>
      <c r="GWL106" s="39"/>
      <c r="GWM106" s="39"/>
      <c r="GWN106" s="39"/>
      <c r="GWO106" s="39"/>
      <c r="GWP106" s="39"/>
      <c r="GWQ106" s="39"/>
      <c r="GWR106" s="39"/>
      <c r="GWS106" s="39"/>
      <c r="GWT106" s="39"/>
      <c r="GWU106" s="39"/>
      <c r="GWV106" s="39"/>
      <c r="GWW106" s="39"/>
      <c r="GWX106" s="39"/>
      <c r="GWY106" s="39"/>
      <c r="GWZ106" s="39"/>
      <c r="GXA106" s="39"/>
      <c r="GXB106" s="39"/>
      <c r="GXC106" s="39"/>
      <c r="GXD106" s="39"/>
      <c r="GXE106" s="39"/>
      <c r="GXF106" s="39"/>
      <c r="GXG106" s="39"/>
      <c r="GXH106" s="39"/>
      <c r="GXI106" s="39"/>
      <c r="GXJ106" s="39"/>
      <c r="GXK106" s="39"/>
      <c r="GXL106" s="39"/>
      <c r="GXM106" s="39"/>
      <c r="GXN106" s="39"/>
      <c r="GXO106" s="39"/>
      <c r="GXP106" s="39"/>
      <c r="GXQ106" s="39"/>
      <c r="GXR106" s="39"/>
      <c r="GXS106" s="39"/>
      <c r="GXT106" s="39"/>
      <c r="GXU106" s="39"/>
      <c r="GXV106" s="39"/>
      <c r="GXW106" s="39"/>
      <c r="GXX106" s="39"/>
      <c r="GXY106" s="39"/>
      <c r="GXZ106" s="39"/>
      <c r="GYA106" s="39"/>
      <c r="GYB106" s="39"/>
      <c r="GYC106" s="39"/>
      <c r="GYD106" s="39"/>
      <c r="GYE106" s="39"/>
      <c r="GYF106" s="39"/>
      <c r="GYG106" s="39"/>
      <c r="GYH106" s="39"/>
      <c r="GYI106" s="39"/>
      <c r="GYJ106" s="39"/>
      <c r="GYK106" s="39"/>
      <c r="GYL106" s="39"/>
      <c r="GYM106" s="39"/>
      <c r="GYN106" s="39"/>
      <c r="GYO106" s="39"/>
      <c r="GYP106" s="39"/>
      <c r="GYQ106" s="39"/>
      <c r="GYR106" s="39"/>
      <c r="GYS106" s="39"/>
      <c r="GYT106" s="39"/>
      <c r="GYU106" s="39"/>
      <c r="GYV106" s="39"/>
      <c r="GYW106" s="39"/>
      <c r="GYX106" s="39"/>
      <c r="GYY106" s="39"/>
      <c r="GYZ106" s="39"/>
      <c r="GZA106" s="39"/>
      <c r="GZB106" s="39"/>
      <c r="GZC106" s="39"/>
      <c r="GZD106" s="39"/>
      <c r="GZE106" s="39"/>
      <c r="GZF106" s="39"/>
      <c r="GZG106" s="39"/>
      <c r="GZH106" s="39"/>
      <c r="GZI106" s="39"/>
      <c r="GZJ106" s="39"/>
      <c r="GZK106" s="39"/>
      <c r="GZL106" s="39"/>
      <c r="GZM106" s="39"/>
      <c r="GZN106" s="39"/>
      <c r="GZO106" s="39"/>
      <c r="GZP106" s="39"/>
      <c r="GZQ106" s="39"/>
      <c r="GZR106" s="39"/>
      <c r="GZS106" s="39"/>
      <c r="GZT106" s="39"/>
      <c r="GZU106" s="39"/>
      <c r="GZV106" s="39"/>
      <c r="GZW106" s="39"/>
      <c r="GZX106" s="39"/>
      <c r="GZY106" s="39"/>
      <c r="GZZ106" s="39"/>
      <c r="HAA106" s="39"/>
      <c r="HAB106" s="39"/>
      <c r="HAC106" s="39"/>
      <c r="HAD106" s="39"/>
      <c r="HAE106" s="39"/>
      <c r="HAF106" s="39"/>
      <c r="HAG106" s="39"/>
      <c r="HAH106" s="39"/>
      <c r="HAI106" s="39"/>
      <c r="HAJ106" s="39"/>
      <c r="HAK106" s="39"/>
      <c r="HAL106" s="39"/>
      <c r="HAM106" s="39"/>
      <c r="HAN106" s="39"/>
      <c r="HAO106" s="39"/>
      <c r="HAP106" s="39"/>
      <c r="HAQ106" s="39"/>
      <c r="HAR106" s="39"/>
      <c r="HAS106" s="39"/>
      <c r="HAT106" s="39"/>
      <c r="HAU106" s="39"/>
      <c r="HAV106" s="39"/>
      <c r="HAW106" s="39"/>
      <c r="HAX106" s="39"/>
      <c r="HAY106" s="39"/>
      <c r="HAZ106" s="39"/>
      <c r="HBA106" s="39"/>
      <c r="HBB106" s="39"/>
      <c r="HBC106" s="39"/>
      <c r="HBD106" s="39"/>
      <c r="HBE106" s="39"/>
      <c r="HBF106" s="39"/>
      <c r="HBG106" s="39"/>
      <c r="HBH106" s="39"/>
      <c r="HBI106" s="39"/>
      <c r="HBJ106" s="39"/>
      <c r="HBK106" s="39"/>
      <c r="HBL106" s="39"/>
      <c r="HBM106" s="39"/>
      <c r="HBN106" s="39"/>
      <c r="HBO106" s="39"/>
      <c r="HBP106" s="39"/>
      <c r="HBQ106" s="39"/>
      <c r="HBR106" s="39"/>
      <c r="HBS106" s="39"/>
      <c r="HBT106" s="39"/>
      <c r="HBU106" s="39"/>
      <c r="HBV106" s="39"/>
      <c r="HBW106" s="39"/>
      <c r="HBX106" s="39"/>
      <c r="HBY106" s="39"/>
      <c r="HBZ106" s="39"/>
      <c r="HCA106" s="39"/>
      <c r="HCB106" s="39"/>
      <c r="HCC106" s="39"/>
      <c r="HCD106" s="39"/>
      <c r="HCE106" s="39"/>
      <c r="HCF106" s="39"/>
      <c r="HCG106" s="39"/>
      <c r="HCH106" s="39"/>
      <c r="HCI106" s="39"/>
      <c r="HCJ106" s="39"/>
      <c r="HCK106" s="39"/>
      <c r="HCL106" s="39"/>
      <c r="HCM106" s="39"/>
      <c r="HCN106" s="39"/>
      <c r="HCO106" s="39"/>
      <c r="HCP106" s="39"/>
      <c r="HCQ106" s="39"/>
      <c r="HCR106" s="39"/>
      <c r="HCS106" s="39"/>
      <c r="HCT106" s="39"/>
      <c r="HCU106" s="39"/>
      <c r="HCV106" s="39"/>
      <c r="HCW106" s="39"/>
      <c r="HCX106" s="39"/>
      <c r="HCY106" s="39"/>
      <c r="HCZ106" s="39"/>
      <c r="HDA106" s="39"/>
      <c r="HDB106" s="39"/>
      <c r="HDC106" s="39"/>
      <c r="HDD106" s="39"/>
      <c r="HDE106" s="39"/>
      <c r="HDF106" s="39"/>
      <c r="HDG106" s="39"/>
      <c r="HDH106" s="39"/>
      <c r="HDI106" s="39"/>
      <c r="HDJ106" s="39"/>
      <c r="HDK106" s="39"/>
      <c r="HDL106" s="39"/>
      <c r="HDM106" s="39"/>
      <c r="HDN106" s="39"/>
      <c r="HDO106" s="39"/>
      <c r="HDP106" s="39"/>
      <c r="HDQ106" s="39"/>
      <c r="HDR106" s="39"/>
      <c r="HDS106" s="39"/>
      <c r="HDT106" s="39"/>
      <c r="HDU106" s="39"/>
      <c r="HDV106" s="39"/>
      <c r="HDW106" s="39"/>
      <c r="HDX106" s="39"/>
      <c r="HDY106" s="39"/>
      <c r="HDZ106" s="39"/>
      <c r="HEA106" s="39"/>
      <c r="HEB106" s="39"/>
      <c r="HEC106" s="39"/>
      <c r="HED106" s="39"/>
      <c r="HEE106" s="39"/>
      <c r="HEF106" s="39"/>
      <c r="HEG106" s="39"/>
      <c r="HEH106" s="39"/>
      <c r="HEI106" s="39"/>
      <c r="HEJ106" s="39"/>
      <c r="HEK106" s="39"/>
      <c r="HEL106" s="39"/>
      <c r="HEM106" s="39"/>
      <c r="HEN106" s="39"/>
      <c r="HEO106" s="39"/>
      <c r="HEP106" s="39"/>
      <c r="HEQ106" s="39"/>
      <c r="HER106" s="39"/>
      <c r="HES106" s="39"/>
      <c r="HET106" s="39"/>
      <c r="HEU106" s="39"/>
      <c r="HEV106" s="39"/>
      <c r="HEW106" s="39"/>
      <c r="HEX106" s="39"/>
      <c r="HEY106" s="39"/>
      <c r="HEZ106" s="39"/>
      <c r="HFA106" s="39"/>
      <c r="HFB106" s="39"/>
      <c r="HFC106" s="39"/>
      <c r="HFD106" s="39"/>
      <c r="HFE106" s="39"/>
      <c r="HFF106" s="39"/>
      <c r="HFG106" s="39"/>
      <c r="HFH106" s="39"/>
      <c r="HFI106" s="39"/>
      <c r="HFJ106" s="39"/>
      <c r="HFK106" s="39"/>
      <c r="HFL106" s="39"/>
      <c r="HFM106" s="39"/>
      <c r="HFN106" s="39"/>
      <c r="HFO106" s="39"/>
      <c r="HFP106" s="39"/>
      <c r="HFQ106" s="39"/>
      <c r="HFR106" s="39"/>
      <c r="HFS106" s="39"/>
      <c r="HFT106" s="39"/>
      <c r="HFU106" s="39"/>
      <c r="HFV106" s="39"/>
      <c r="HFW106" s="39"/>
      <c r="HFX106" s="39"/>
      <c r="HFY106" s="39"/>
      <c r="HFZ106" s="39"/>
      <c r="HGA106" s="39"/>
      <c r="HGB106" s="39"/>
      <c r="HGC106" s="39"/>
      <c r="HGD106" s="39"/>
      <c r="HGE106" s="39"/>
      <c r="HGF106" s="39"/>
      <c r="HGG106" s="39"/>
      <c r="HGH106" s="39"/>
      <c r="HGI106" s="39"/>
      <c r="HGJ106" s="39"/>
      <c r="HGK106" s="39"/>
      <c r="HGL106" s="39"/>
      <c r="HGM106" s="39"/>
      <c r="HGN106" s="39"/>
      <c r="HGO106" s="39"/>
      <c r="HGP106" s="39"/>
      <c r="HGQ106" s="39"/>
      <c r="HGR106" s="39"/>
      <c r="HGS106" s="39"/>
      <c r="HGT106" s="39"/>
      <c r="HGU106" s="39"/>
      <c r="HGV106" s="39"/>
      <c r="HGW106" s="39"/>
      <c r="HGX106" s="39"/>
      <c r="HGY106" s="39"/>
      <c r="HGZ106" s="39"/>
      <c r="HHA106" s="39"/>
      <c r="HHB106" s="39"/>
      <c r="HHC106" s="39"/>
      <c r="HHD106" s="39"/>
      <c r="HHE106" s="39"/>
      <c r="HHF106" s="39"/>
      <c r="HHG106" s="39"/>
      <c r="HHH106" s="39"/>
      <c r="HHI106" s="39"/>
      <c r="HHJ106" s="39"/>
      <c r="HHK106" s="39"/>
      <c r="HHL106" s="39"/>
      <c r="HHM106" s="39"/>
      <c r="HHN106" s="39"/>
      <c r="HHO106" s="39"/>
      <c r="HHP106" s="39"/>
      <c r="HHQ106" s="39"/>
      <c r="HHR106" s="39"/>
      <c r="HHS106" s="39"/>
      <c r="HHT106" s="39"/>
      <c r="HHU106" s="39"/>
      <c r="HHV106" s="39"/>
      <c r="HHW106" s="39"/>
      <c r="HHX106" s="39"/>
      <c r="HHY106" s="39"/>
      <c r="HHZ106" s="39"/>
      <c r="HIA106" s="39"/>
      <c r="HIB106" s="39"/>
      <c r="HIC106" s="39"/>
      <c r="HID106" s="39"/>
      <c r="HIE106" s="39"/>
      <c r="HIF106" s="39"/>
      <c r="HIG106" s="39"/>
      <c r="HIH106" s="39"/>
      <c r="HII106" s="39"/>
      <c r="HIJ106" s="39"/>
      <c r="HIK106" s="39"/>
      <c r="HIL106" s="39"/>
      <c r="HIM106" s="39"/>
      <c r="HIN106" s="39"/>
      <c r="HIO106" s="39"/>
      <c r="HIP106" s="39"/>
      <c r="HIQ106" s="39"/>
      <c r="HIR106" s="39"/>
      <c r="HIS106" s="39"/>
      <c r="HIT106" s="39"/>
      <c r="HIU106" s="39"/>
      <c r="HIV106" s="39"/>
      <c r="HIW106" s="39"/>
      <c r="HIX106" s="39"/>
      <c r="HIY106" s="39"/>
      <c r="HIZ106" s="39"/>
      <c r="HJA106" s="39"/>
      <c r="HJB106" s="39"/>
      <c r="HJC106" s="39"/>
      <c r="HJD106" s="39"/>
      <c r="HJE106" s="39"/>
      <c r="HJF106" s="39"/>
      <c r="HJG106" s="39"/>
      <c r="HJH106" s="39"/>
      <c r="HJI106" s="39"/>
      <c r="HJJ106" s="39"/>
      <c r="HJK106" s="39"/>
      <c r="HJL106" s="39"/>
      <c r="HJM106" s="39"/>
      <c r="HJN106" s="39"/>
      <c r="HJO106" s="39"/>
      <c r="HJP106" s="39"/>
      <c r="HJQ106" s="39"/>
      <c r="HJR106" s="39"/>
      <c r="HJS106" s="39"/>
      <c r="HJT106" s="39"/>
      <c r="HJU106" s="39"/>
      <c r="HJV106" s="39"/>
      <c r="HJW106" s="39"/>
      <c r="HJX106" s="39"/>
      <c r="HJY106" s="39"/>
      <c r="HJZ106" s="39"/>
      <c r="HKA106" s="39"/>
      <c r="HKB106" s="39"/>
      <c r="HKC106" s="39"/>
      <c r="HKD106" s="39"/>
      <c r="HKE106" s="39"/>
      <c r="HKF106" s="39"/>
      <c r="HKG106" s="39"/>
      <c r="HKH106" s="39"/>
      <c r="HKI106" s="39"/>
      <c r="HKJ106" s="39"/>
      <c r="HKK106" s="39"/>
      <c r="HKL106" s="39"/>
      <c r="HKM106" s="39"/>
      <c r="HKN106" s="39"/>
      <c r="HKO106" s="39"/>
      <c r="HKP106" s="39"/>
      <c r="HKQ106" s="39"/>
      <c r="HKR106" s="39"/>
      <c r="HKS106" s="39"/>
      <c r="HKT106" s="39"/>
      <c r="HKU106" s="39"/>
      <c r="HKV106" s="39"/>
      <c r="HKW106" s="39"/>
      <c r="HKX106" s="39"/>
      <c r="HKY106" s="39"/>
      <c r="HKZ106" s="39"/>
      <c r="HLA106" s="39"/>
      <c r="HLB106" s="39"/>
      <c r="HLC106" s="39"/>
      <c r="HLD106" s="39"/>
      <c r="HLE106" s="39"/>
      <c r="HLF106" s="39"/>
      <c r="HLG106" s="39"/>
      <c r="HLH106" s="39"/>
      <c r="HLI106" s="39"/>
      <c r="HLJ106" s="39"/>
      <c r="HLK106" s="39"/>
      <c r="HLL106" s="39"/>
      <c r="HLM106" s="39"/>
      <c r="HLN106" s="39"/>
      <c r="HLO106" s="39"/>
      <c r="HLP106" s="39"/>
      <c r="HLQ106" s="39"/>
      <c r="HLR106" s="39"/>
      <c r="HLS106" s="39"/>
      <c r="HLT106" s="39"/>
      <c r="HLU106" s="39"/>
      <c r="HLV106" s="39"/>
      <c r="HLW106" s="39"/>
      <c r="HLX106" s="39"/>
      <c r="HLY106" s="39"/>
      <c r="HLZ106" s="39"/>
      <c r="HMA106" s="39"/>
      <c r="HMB106" s="39"/>
      <c r="HMC106" s="39"/>
      <c r="HMD106" s="39"/>
      <c r="HME106" s="39"/>
      <c r="HMF106" s="39"/>
      <c r="HMG106" s="39"/>
      <c r="HMH106" s="39"/>
      <c r="HMI106" s="39"/>
      <c r="HMJ106" s="39"/>
      <c r="HMK106" s="39"/>
      <c r="HML106" s="39"/>
      <c r="HMM106" s="39"/>
      <c r="HMN106" s="39"/>
      <c r="HMO106" s="39"/>
      <c r="HMP106" s="39"/>
      <c r="HMQ106" s="39"/>
      <c r="HMR106" s="39"/>
      <c r="HMS106" s="39"/>
      <c r="HMT106" s="39"/>
      <c r="HMU106" s="39"/>
      <c r="HMV106" s="39"/>
      <c r="HMW106" s="39"/>
      <c r="HMX106" s="39"/>
      <c r="HMY106" s="39"/>
      <c r="HMZ106" s="39"/>
      <c r="HNA106" s="39"/>
      <c r="HNB106" s="39"/>
      <c r="HNC106" s="39"/>
      <c r="HND106" s="39"/>
      <c r="HNE106" s="39"/>
      <c r="HNF106" s="39"/>
      <c r="HNG106" s="39"/>
      <c r="HNH106" s="39"/>
      <c r="HNI106" s="39"/>
      <c r="HNJ106" s="39"/>
      <c r="HNK106" s="39"/>
      <c r="HNL106" s="39"/>
      <c r="HNM106" s="39"/>
      <c r="HNN106" s="39"/>
      <c r="HNO106" s="39"/>
      <c r="HNP106" s="39"/>
      <c r="HNQ106" s="39"/>
      <c r="HNR106" s="39"/>
      <c r="HNS106" s="39"/>
      <c r="HNT106" s="39"/>
      <c r="HNU106" s="39"/>
      <c r="HNV106" s="39"/>
      <c r="HNW106" s="39"/>
      <c r="HNX106" s="39"/>
      <c r="HNY106" s="39"/>
      <c r="HNZ106" s="39"/>
      <c r="HOA106" s="39"/>
      <c r="HOB106" s="39"/>
      <c r="HOC106" s="39"/>
      <c r="HOD106" s="39"/>
      <c r="HOE106" s="39"/>
      <c r="HOF106" s="39"/>
      <c r="HOG106" s="39"/>
      <c r="HOH106" s="39"/>
      <c r="HOI106" s="39"/>
      <c r="HOJ106" s="39"/>
      <c r="HOK106" s="39"/>
      <c r="HOL106" s="39"/>
      <c r="HOM106" s="39"/>
      <c r="HON106" s="39"/>
      <c r="HOO106" s="39"/>
      <c r="HOP106" s="39"/>
      <c r="HOQ106" s="39"/>
      <c r="HOR106" s="39"/>
      <c r="HOS106" s="39"/>
      <c r="HOT106" s="39"/>
      <c r="HOU106" s="39"/>
      <c r="HOV106" s="39"/>
      <c r="HOW106" s="39"/>
      <c r="HOX106" s="39"/>
      <c r="HOY106" s="39"/>
      <c r="HOZ106" s="39"/>
      <c r="HPA106" s="39"/>
      <c r="HPB106" s="39"/>
      <c r="HPC106" s="39"/>
      <c r="HPD106" s="39"/>
      <c r="HPE106" s="39"/>
      <c r="HPF106" s="39"/>
      <c r="HPG106" s="39"/>
      <c r="HPH106" s="39"/>
      <c r="HPI106" s="39"/>
      <c r="HPJ106" s="39"/>
      <c r="HPK106" s="39"/>
      <c r="HPL106" s="39"/>
      <c r="HPM106" s="39"/>
      <c r="HPN106" s="39"/>
      <c r="HPO106" s="39"/>
      <c r="HPP106" s="39"/>
      <c r="HPQ106" s="39"/>
      <c r="HPR106" s="39"/>
      <c r="HPS106" s="39"/>
      <c r="HPT106" s="39"/>
      <c r="HPU106" s="39"/>
      <c r="HPV106" s="39"/>
      <c r="HPW106" s="39"/>
      <c r="HPX106" s="39"/>
      <c r="HPY106" s="39"/>
      <c r="HPZ106" s="39"/>
      <c r="HQA106" s="39"/>
      <c r="HQB106" s="39"/>
      <c r="HQC106" s="39"/>
      <c r="HQD106" s="39"/>
      <c r="HQE106" s="39"/>
      <c r="HQF106" s="39"/>
      <c r="HQG106" s="39"/>
      <c r="HQH106" s="39"/>
      <c r="HQI106" s="39"/>
      <c r="HQJ106" s="39"/>
      <c r="HQK106" s="39"/>
      <c r="HQL106" s="39"/>
      <c r="HQM106" s="39"/>
      <c r="HQN106" s="39"/>
      <c r="HQO106" s="39"/>
      <c r="HQP106" s="39"/>
      <c r="HQQ106" s="39"/>
      <c r="HQR106" s="39"/>
      <c r="HQS106" s="39"/>
      <c r="HQT106" s="39"/>
      <c r="HQU106" s="39"/>
      <c r="HQV106" s="39"/>
      <c r="HQW106" s="39"/>
      <c r="HQX106" s="39"/>
      <c r="HQY106" s="39"/>
      <c r="HQZ106" s="39"/>
      <c r="HRA106" s="39"/>
      <c r="HRB106" s="39"/>
      <c r="HRC106" s="39"/>
      <c r="HRD106" s="39"/>
      <c r="HRE106" s="39"/>
      <c r="HRF106" s="39"/>
      <c r="HRG106" s="39"/>
      <c r="HRH106" s="39"/>
      <c r="HRI106" s="39"/>
      <c r="HRJ106" s="39"/>
      <c r="HRK106" s="39"/>
      <c r="HRL106" s="39"/>
      <c r="HRM106" s="39"/>
      <c r="HRN106" s="39"/>
      <c r="HRO106" s="39"/>
      <c r="HRP106" s="39"/>
      <c r="HRQ106" s="39"/>
      <c r="HRR106" s="39"/>
      <c r="HRS106" s="39"/>
      <c r="HRT106" s="39"/>
      <c r="HRU106" s="39"/>
      <c r="HRV106" s="39"/>
      <c r="HRW106" s="39"/>
      <c r="HRX106" s="39"/>
      <c r="HRY106" s="39"/>
      <c r="HRZ106" s="39"/>
      <c r="HSA106" s="39"/>
      <c r="HSB106" s="39"/>
      <c r="HSC106" s="39"/>
      <c r="HSD106" s="39"/>
      <c r="HSE106" s="39"/>
      <c r="HSF106" s="39"/>
      <c r="HSG106" s="39"/>
      <c r="HSH106" s="39"/>
      <c r="HSI106" s="39"/>
      <c r="HSJ106" s="39"/>
      <c r="HSK106" s="39"/>
      <c r="HSL106" s="39"/>
      <c r="HSM106" s="39"/>
      <c r="HSN106" s="39"/>
      <c r="HSO106" s="39"/>
      <c r="HSP106" s="39"/>
      <c r="HSQ106" s="39"/>
      <c r="HSR106" s="39"/>
      <c r="HSS106" s="39"/>
      <c r="HST106" s="39"/>
      <c r="HSU106" s="39"/>
      <c r="HSV106" s="39"/>
      <c r="HSW106" s="39"/>
      <c r="HSX106" s="39"/>
      <c r="HSY106" s="39"/>
      <c r="HSZ106" s="39"/>
      <c r="HTA106" s="39"/>
      <c r="HTB106" s="39"/>
      <c r="HTC106" s="39"/>
      <c r="HTD106" s="39"/>
      <c r="HTE106" s="39"/>
      <c r="HTF106" s="39"/>
      <c r="HTG106" s="39"/>
      <c r="HTH106" s="39"/>
      <c r="HTI106" s="39"/>
      <c r="HTJ106" s="39"/>
      <c r="HTK106" s="39"/>
      <c r="HTL106" s="39"/>
      <c r="HTM106" s="39"/>
      <c r="HTN106" s="39"/>
      <c r="HTO106" s="39"/>
      <c r="HTP106" s="39"/>
      <c r="HTQ106" s="39"/>
      <c r="HTR106" s="39"/>
      <c r="HTS106" s="39"/>
      <c r="HTT106" s="39"/>
      <c r="HTU106" s="39"/>
      <c r="HTV106" s="39"/>
      <c r="HTW106" s="39"/>
      <c r="HTX106" s="39"/>
      <c r="HTY106" s="39"/>
      <c r="HTZ106" s="39"/>
      <c r="HUA106" s="39"/>
      <c r="HUB106" s="39"/>
      <c r="HUC106" s="39"/>
      <c r="HUD106" s="39"/>
      <c r="HUE106" s="39"/>
      <c r="HUF106" s="39"/>
      <c r="HUG106" s="39"/>
      <c r="HUH106" s="39"/>
      <c r="HUI106" s="39"/>
      <c r="HUJ106" s="39"/>
      <c r="HUK106" s="39"/>
      <c r="HUL106" s="39"/>
      <c r="HUM106" s="39"/>
      <c r="HUN106" s="39"/>
      <c r="HUO106" s="39"/>
      <c r="HUP106" s="39"/>
      <c r="HUQ106" s="39"/>
      <c r="HUR106" s="39"/>
      <c r="HUS106" s="39"/>
      <c r="HUT106" s="39"/>
      <c r="HUU106" s="39"/>
      <c r="HUV106" s="39"/>
      <c r="HUW106" s="39"/>
      <c r="HUX106" s="39"/>
      <c r="HUY106" s="39"/>
      <c r="HUZ106" s="39"/>
      <c r="HVA106" s="39"/>
      <c r="HVB106" s="39"/>
      <c r="HVC106" s="39"/>
      <c r="HVD106" s="39"/>
      <c r="HVE106" s="39"/>
      <c r="HVF106" s="39"/>
      <c r="HVG106" s="39"/>
      <c r="HVH106" s="39"/>
      <c r="HVI106" s="39"/>
      <c r="HVJ106" s="39"/>
      <c r="HVK106" s="39"/>
      <c r="HVL106" s="39"/>
      <c r="HVM106" s="39"/>
      <c r="HVN106" s="39"/>
      <c r="HVO106" s="39"/>
      <c r="HVP106" s="39"/>
      <c r="HVQ106" s="39"/>
      <c r="HVR106" s="39"/>
      <c r="HVS106" s="39"/>
      <c r="HVT106" s="39"/>
      <c r="HVU106" s="39"/>
      <c r="HVV106" s="39"/>
      <c r="HVW106" s="39"/>
      <c r="HVX106" s="39"/>
      <c r="HVY106" s="39"/>
      <c r="HVZ106" s="39"/>
      <c r="HWA106" s="39"/>
      <c r="HWB106" s="39"/>
      <c r="HWC106" s="39"/>
      <c r="HWD106" s="39"/>
      <c r="HWE106" s="39"/>
      <c r="HWF106" s="39"/>
      <c r="HWG106" s="39"/>
      <c r="HWH106" s="39"/>
      <c r="HWI106" s="39"/>
      <c r="HWJ106" s="39"/>
      <c r="HWK106" s="39"/>
      <c r="HWL106" s="39"/>
      <c r="HWM106" s="39"/>
      <c r="HWN106" s="39"/>
      <c r="HWO106" s="39"/>
      <c r="HWP106" s="39"/>
      <c r="HWQ106" s="39"/>
      <c r="HWR106" s="39"/>
      <c r="HWS106" s="39"/>
      <c r="HWT106" s="39"/>
      <c r="HWU106" s="39"/>
      <c r="HWV106" s="39"/>
      <c r="HWW106" s="39"/>
      <c r="HWX106" s="39"/>
      <c r="HWY106" s="39"/>
      <c r="HWZ106" s="39"/>
      <c r="HXA106" s="39"/>
      <c r="HXB106" s="39"/>
      <c r="HXC106" s="39"/>
      <c r="HXD106" s="39"/>
      <c r="HXE106" s="39"/>
      <c r="HXF106" s="39"/>
      <c r="HXG106" s="39"/>
      <c r="HXH106" s="39"/>
      <c r="HXI106" s="39"/>
      <c r="HXJ106" s="39"/>
      <c r="HXK106" s="39"/>
      <c r="HXL106" s="39"/>
      <c r="HXM106" s="39"/>
      <c r="HXN106" s="39"/>
      <c r="HXO106" s="39"/>
      <c r="HXP106" s="39"/>
      <c r="HXQ106" s="39"/>
      <c r="HXR106" s="39"/>
      <c r="HXS106" s="39"/>
      <c r="HXT106" s="39"/>
      <c r="HXU106" s="39"/>
      <c r="HXV106" s="39"/>
      <c r="HXW106" s="39"/>
      <c r="HXX106" s="39"/>
      <c r="HXY106" s="39"/>
      <c r="HXZ106" s="39"/>
      <c r="HYA106" s="39"/>
      <c r="HYB106" s="39"/>
      <c r="HYC106" s="39"/>
      <c r="HYD106" s="39"/>
      <c r="HYE106" s="39"/>
      <c r="HYF106" s="39"/>
      <c r="HYG106" s="39"/>
      <c r="HYH106" s="39"/>
      <c r="HYI106" s="39"/>
      <c r="HYJ106" s="39"/>
      <c r="HYK106" s="39"/>
      <c r="HYL106" s="39"/>
      <c r="HYM106" s="39"/>
      <c r="HYN106" s="39"/>
      <c r="HYO106" s="39"/>
      <c r="HYP106" s="39"/>
      <c r="HYQ106" s="39"/>
      <c r="HYR106" s="39"/>
      <c r="HYS106" s="39"/>
      <c r="HYT106" s="39"/>
      <c r="HYU106" s="39"/>
      <c r="HYV106" s="39"/>
      <c r="HYW106" s="39"/>
      <c r="HYX106" s="39"/>
      <c r="HYY106" s="39"/>
      <c r="HYZ106" s="39"/>
      <c r="HZA106" s="39"/>
      <c r="HZB106" s="39"/>
      <c r="HZC106" s="39"/>
      <c r="HZD106" s="39"/>
      <c r="HZE106" s="39"/>
      <c r="HZF106" s="39"/>
      <c r="HZG106" s="39"/>
      <c r="HZH106" s="39"/>
      <c r="HZI106" s="39"/>
      <c r="HZJ106" s="39"/>
      <c r="HZK106" s="39"/>
      <c r="HZL106" s="39"/>
      <c r="HZM106" s="39"/>
      <c r="HZN106" s="39"/>
      <c r="HZO106" s="39"/>
      <c r="HZP106" s="39"/>
      <c r="HZQ106" s="39"/>
      <c r="HZR106" s="39"/>
      <c r="HZS106" s="39"/>
      <c r="HZT106" s="39"/>
      <c r="HZU106" s="39"/>
      <c r="HZV106" s="39"/>
      <c r="HZW106" s="39"/>
      <c r="HZX106" s="39"/>
      <c r="HZY106" s="39"/>
      <c r="HZZ106" s="39"/>
      <c r="IAA106" s="39"/>
      <c r="IAB106" s="39"/>
      <c r="IAC106" s="39"/>
      <c r="IAD106" s="39"/>
      <c r="IAE106" s="39"/>
      <c r="IAF106" s="39"/>
      <c r="IAG106" s="39"/>
      <c r="IAH106" s="39"/>
      <c r="IAI106" s="39"/>
      <c r="IAJ106" s="39"/>
      <c r="IAK106" s="39"/>
      <c r="IAL106" s="39"/>
      <c r="IAM106" s="39"/>
      <c r="IAN106" s="39"/>
      <c r="IAO106" s="39"/>
      <c r="IAP106" s="39"/>
      <c r="IAQ106" s="39"/>
      <c r="IAR106" s="39"/>
      <c r="IAS106" s="39"/>
      <c r="IAT106" s="39"/>
      <c r="IAU106" s="39"/>
      <c r="IAV106" s="39"/>
      <c r="IAW106" s="39"/>
      <c r="IAX106" s="39"/>
      <c r="IAY106" s="39"/>
      <c r="IAZ106" s="39"/>
      <c r="IBA106" s="39"/>
      <c r="IBB106" s="39"/>
      <c r="IBC106" s="39"/>
      <c r="IBD106" s="39"/>
      <c r="IBE106" s="39"/>
      <c r="IBF106" s="39"/>
      <c r="IBG106" s="39"/>
      <c r="IBH106" s="39"/>
      <c r="IBI106" s="39"/>
      <c r="IBJ106" s="39"/>
      <c r="IBK106" s="39"/>
      <c r="IBL106" s="39"/>
      <c r="IBM106" s="39"/>
      <c r="IBN106" s="39"/>
      <c r="IBO106" s="39"/>
      <c r="IBP106" s="39"/>
      <c r="IBQ106" s="39"/>
      <c r="IBR106" s="39"/>
      <c r="IBS106" s="39"/>
      <c r="IBT106" s="39"/>
      <c r="IBU106" s="39"/>
      <c r="IBV106" s="39"/>
      <c r="IBW106" s="39"/>
      <c r="IBX106" s="39"/>
      <c r="IBY106" s="39"/>
      <c r="IBZ106" s="39"/>
      <c r="ICA106" s="39"/>
      <c r="ICB106" s="39"/>
      <c r="ICC106" s="39"/>
      <c r="ICD106" s="39"/>
      <c r="ICE106" s="39"/>
      <c r="ICF106" s="39"/>
      <c r="ICG106" s="39"/>
      <c r="ICH106" s="39"/>
      <c r="ICI106" s="39"/>
      <c r="ICJ106" s="39"/>
      <c r="ICK106" s="39"/>
      <c r="ICL106" s="39"/>
      <c r="ICM106" s="39"/>
      <c r="ICN106" s="39"/>
      <c r="ICO106" s="39"/>
      <c r="ICP106" s="39"/>
      <c r="ICQ106" s="39"/>
      <c r="ICR106" s="39"/>
      <c r="ICS106" s="39"/>
      <c r="ICT106" s="39"/>
      <c r="ICU106" s="39"/>
      <c r="ICV106" s="39"/>
      <c r="ICW106" s="39"/>
      <c r="ICX106" s="39"/>
      <c r="ICY106" s="39"/>
      <c r="ICZ106" s="39"/>
      <c r="IDA106" s="39"/>
      <c r="IDB106" s="39"/>
      <c r="IDC106" s="39"/>
      <c r="IDD106" s="39"/>
      <c r="IDE106" s="39"/>
      <c r="IDF106" s="39"/>
      <c r="IDG106" s="39"/>
      <c r="IDH106" s="39"/>
      <c r="IDI106" s="39"/>
      <c r="IDJ106" s="39"/>
      <c r="IDK106" s="39"/>
      <c r="IDL106" s="39"/>
      <c r="IDM106" s="39"/>
      <c r="IDN106" s="39"/>
      <c r="IDO106" s="39"/>
      <c r="IDP106" s="39"/>
      <c r="IDQ106" s="39"/>
      <c r="IDR106" s="39"/>
      <c r="IDS106" s="39"/>
      <c r="IDT106" s="39"/>
      <c r="IDU106" s="39"/>
      <c r="IDV106" s="39"/>
      <c r="IDW106" s="39"/>
      <c r="IDX106" s="39"/>
      <c r="IDY106" s="39"/>
      <c r="IDZ106" s="39"/>
      <c r="IEA106" s="39"/>
      <c r="IEB106" s="39"/>
      <c r="IEC106" s="39"/>
      <c r="IED106" s="39"/>
      <c r="IEE106" s="39"/>
      <c r="IEF106" s="39"/>
      <c r="IEG106" s="39"/>
      <c r="IEH106" s="39"/>
      <c r="IEI106" s="39"/>
      <c r="IEJ106" s="39"/>
      <c r="IEK106" s="39"/>
      <c r="IEL106" s="39"/>
      <c r="IEM106" s="39"/>
      <c r="IEN106" s="39"/>
      <c r="IEO106" s="39"/>
      <c r="IEP106" s="39"/>
      <c r="IEQ106" s="39"/>
      <c r="IER106" s="39"/>
      <c r="IES106" s="39"/>
      <c r="IET106" s="39"/>
      <c r="IEU106" s="39"/>
      <c r="IEV106" s="39"/>
      <c r="IEW106" s="39"/>
      <c r="IEX106" s="39"/>
      <c r="IEY106" s="39"/>
      <c r="IEZ106" s="39"/>
      <c r="IFA106" s="39"/>
      <c r="IFB106" s="39"/>
      <c r="IFC106" s="39"/>
      <c r="IFD106" s="39"/>
      <c r="IFE106" s="39"/>
      <c r="IFF106" s="39"/>
      <c r="IFG106" s="39"/>
      <c r="IFH106" s="39"/>
      <c r="IFI106" s="39"/>
      <c r="IFJ106" s="39"/>
      <c r="IFK106" s="39"/>
      <c r="IFL106" s="39"/>
      <c r="IFM106" s="39"/>
      <c r="IFN106" s="39"/>
      <c r="IFO106" s="39"/>
      <c r="IFP106" s="39"/>
      <c r="IFQ106" s="39"/>
      <c r="IFR106" s="39"/>
      <c r="IFS106" s="39"/>
      <c r="IFT106" s="39"/>
      <c r="IFU106" s="39"/>
      <c r="IFV106" s="39"/>
      <c r="IFW106" s="39"/>
      <c r="IFX106" s="39"/>
      <c r="IFY106" s="39"/>
      <c r="IFZ106" s="39"/>
      <c r="IGA106" s="39"/>
      <c r="IGB106" s="39"/>
      <c r="IGC106" s="39"/>
      <c r="IGD106" s="39"/>
      <c r="IGE106" s="39"/>
      <c r="IGF106" s="39"/>
      <c r="IGG106" s="39"/>
      <c r="IGH106" s="39"/>
      <c r="IGI106" s="39"/>
      <c r="IGJ106" s="39"/>
      <c r="IGK106" s="39"/>
      <c r="IGL106" s="39"/>
      <c r="IGM106" s="39"/>
      <c r="IGN106" s="39"/>
      <c r="IGO106" s="39"/>
      <c r="IGP106" s="39"/>
      <c r="IGQ106" s="39"/>
      <c r="IGR106" s="39"/>
      <c r="IGS106" s="39"/>
      <c r="IGT106" s="39"/>
      <c r="IGU106" s="39"/>
      <c r="IGV106" s="39"/>
      <c r="IGW106" s="39"/>
      <c r="IGX106" s="39"/>
      <c r="IGY106" s="39"/>
      <c r="IGZ106" s="39"/>
      <c r="IHA106" s="39"/>
      <c r="IHB106" s="39"/>
      <c r="IHC106" s="39"/>
      <c r="IHD106" s="39"/>
      <c r="IHE106" s="39"/>
      <c r="IHF106" s="39"/>
      <c r="IHG106" s="39"/>
      <c r="IHH106" s="39"/>
      <c r="IHI106" s="39"/>
      <c r="IHJ106" s="39"/>
      <c r="IHK106" s="39"/>
      <c r="IHL106" s="39"/>
      <c r="IHM106" s="39"/>
      <c r="IHN106" s="39"/>
      <c r="IHO106" s="39"/>
      <c r="IHP106" s="39"/>
      <c r="IHQ106" s="39"/>
      <c r="IHR106" s="39"/>
      <c r="IHS106" s="39"/>
      <c r="IHT106" s="39"/>
      <c r="IHU106" s="39"/>
      <c r="IHV106" s="39"/>
      <c r="IHW106" s="39"/>
      <c r="IHX106" s="39"/>
      <c r="IHY106" s="39"/>
      <c r="IHZ106" s="39"/>
      <c r="IIA106" s="39"/>
      <c r="IIB106" s="39"/>
      <c r="IIC106" s="39"/>
      <c r="IID106" s="39"/>
      <c r="IIE106" s="39"/>
      <c r="IIF106" s="39"/>
      <c r="IIG106" s="39"/>
      <c r="IIH106" s="39"/>
      <c r="III106" s="39"/>
      <c r="IIJ106" s="39"/>
      <c r="IIK106" s="39"/>
      <c r="IIL106" s="39"/>
      <c r="IIM106" s="39"/>
      <c r="IIN106" s="39"/>
      <c r="IIO106" s="39"/>
      <c r="IIP106" s="39"/>
      <c r="IIQ106" s="39"/>
      <c r="IIR106" s="39"/>
      <c r="IIS106" s="39"/>
      <c r="IIT106" s="39"/>
      <c r="IIU106" s="39"/>
      <c r="IIV106" s="39"/>
      <c r="IIW106" s="39"/>
      <c r="IIX106" s="39"/>
      <c r="IIY106" s="39"/>
      <c r="IIZ106" s="39"/>
      <c r="IJA106" s="39"/>
      <c r="IJB106" s="39"/>
      <c r="IJC106" s="39"/>
      <c r="IJD106" s="39"/>
      <c r="IJE106" s="39"/>
      <c r="IJF106" s="39"/>
      <c r="IJG106" s="39"/>
      <c r="IJH106" s="39"/>
      <c r="IJI106" s="39"/>
      <c r="IJJ106" s="39"/>
      <c r="IJK106" s="39"/>
      <c r="IJL106" s="39"/>
      <c r="IJM106" s="39"/>
      <c r="IJN106" s="39"/>
      <c r="IJO106" s="39"/>
      <c r="IJP106" s="39"/>
      <c r="IJQ106" s="39"/>
      <c r="IJR106" s="39"/>
      <c r="IJS106" s="39"/>
      <c r="IJT106" s="39"/>
      <c r="IJU106" s="39"/>
      <c r="IJV106" s="39"/>
      <c r="IJW106" s="39"/>
      <c r="IJX106" s="39"/>
      <c r="IJY106" s="39"/>
      <c r="IJZ106" s="39"/>
      <c r="IKA106" s="39"/>
      <c r="IKB106" s="39"/>
      <c r="IKC106" s="39"/>
      <c r="IKD106" s="39"/>
      <c r="IKE106" s="39"/>
      <c r="IKF106" s="39"/>
      <c r="IKG106" s="39"/>
      <c r="IKH106" s="39"/>
      <c r="IKI106" s="39"/>
      <c r="IKJ106" s="39"/>
      <c r="IKK106" s="39"/>
      <c r="IKL106" s="39"/>
      <c r="IKM106" s="39"/>
      <c r="IKN106" s="39"/>
      <c r="IKO106" s="39"/>
      <c r="IKP106" s="39"/>
      <c r="IKQ106" s="39"/>
      <c r="IKR106" s="39"/>
      <c r="IKS106" s="39"/>
      <c r="IKT106" s="39"/>
      <c r="IKU106" s="39"/>
      <c r="IKV106" s="39"/>
      <c r="IKW106" s="39"/>
      <c r="IKX106" s="39"/>
      <c r="IKY106" s="39"/>
      <c r="IKZ106" s="39"/>
      <c r="ILA106" s="39"/>
      <c r="ILB106" s="39"/>
      <c r="ILC106" s="39"/>
      <c r="ILD106" s="39"/>
      <c r="ILE106" s="39"/>
      <c r="ILF106" s="39"/>
      <c r="ILG106" s="39"/>
      <c r="ILH106" s="39"/>
      <c r="ILI106" s="39"/>
      <c r="ILJ106" s="39"/>
      <c r="ILK106" s="39"/>
      <c r="ILL106" s="39"/>
      <c r="ILM106" s="39"/>
      <c r="ILN106" s="39"/>
      <c r="ILO106" s="39"/>
      <c r="ILP106" s="39"/>
      <c r="ILQ106" s="39"/>
      <c r="ILR106" s="39"/>
      <c r="ILS106" s="39"/>
      <c r="ILT106" s="39"/>
      <c r="ILU106" s="39"/>
      <c r="ILV106" s="39"/>
      <c r="ILW106" s="39"/>
      <c r="ILX106" s="39"/>
      <c r="ILY106" s="39"/>
      <c r="ILZ106" s="39"/>
      <c r="IMA106" s="39"/>
      <c r="IMB106" s="39"/>
      <c r="IMC106" s="39"/>
      <c r="IMD106" s="39"/>
      <c r="IME106" s="39"/>
      <c r="IMF106" s="39"/>
      <c r="IMG106" s="39"/>
      <c r="IMH106" s="39"/>
      <c r="IMI106" s="39"/>
      <c r="IMJ106" s="39"/>
      <c r="IMK106" s="39"/>
      <c r="IML106" s="39"/>
      <c r="IMM106" s="39"/>
      <c r="IMN106" s="39"/>
      <c r="IMO106" s="39"/>
      <c r="IMP106" s="39"/>
      <c r="IMQ106" s="39"/>
      <c r="IMR106" s="39"/>
      <c r="IMS106" s="39"/>
      <c r="IMT106" s="39"/>
      <c r="IMU106" s="39"/>
      <c r="IMV106" s="39"/>
      <c r="IMW106" s="39"/>
      <c r="IMX106" s="39"/>
      <c r="IMY106" s="39"/>
      <c r="IMZ106" s="39"/>
      <c r="INA106" s="39"/>
      <c r="INB106" s="39"/>
      <c r="INC106" s="39"/>
      <c r="IND106" s="39"/>
      <c r="INE106" s="39"/>
      <c r="INF106" s="39"/>
      <c r="ING106" s="39"/>
      <c r="INH106" s="39"/>
      <c r="INI106" s="39"/>
      <c r="INJ106" s="39"/>
      <c r="INK106" s="39"/>
      <c r="INL106" s="39"/>
      <c r="INM106" s="39"/>
      <c r="INN106" s="39"/>
      <c r="INO106" s="39"/>
      <c r="INP106" s="39"/>
      <c r="INQ106" s="39"/>
      <c r="INR106" s="39"/>
      <c r="INS106" s="39"/>
      <c r="INT106" s="39"/>
      <c r="INU106" s="39"/>
      <c r="INV106" s="39"/>
      <c r="INW106" s="39"/>
      <c r="INX106" s="39"/>
      <c r="INY106" s="39"/>
      <c r="INZ106" s="39"/>
      <c r="IOA106" s="39"/>
      <c r="IOB106" s="39"/>
      <c r="IOC106" s="39"/>
      <c r="IOD106" s="39"/>
      <c r="IOE106" s="39"/>
      <c r="IOF106" s="39"/>
      <c r="IOG106" s="39"/>
      <c r="IOH106" s="39"/>
      <c r="IOI106" s="39"/>
      <c r="IOJ106" s="39"/>
      <c r="IOK106" s="39"/>
      <c r="IOL106" s="39"/>
      <c r="IOM106" s="39"/>
      <c r="ION106" s="39"/>
      <c r="IOO106" s="39"/>
      <c r="IOP106" s="39"/>
      <c r="IOQ106" s="39"/>
      <c r="IOR106" s="39"/>
      <c r="IOS106" s="39"/>
      <c r="IOT106" s="39"/>
      <c r="IOU106" s="39"/>
      <c r="IOV106" s="39"/>
      <c r="IOW106" s="39"/>
      <c r="IOX106" s="39"/>
      <c r="IOY106" s="39"/>
      <c r="IOZ106" s="39"/>
      <c r="IPA106" s="39"/>
      <c r="IPB106" s="39"/>
      <c r="IPC106" s="39"/>
      <c r="IPD106" s="39"/>
      <c r="IPE106" s="39"/>
      <c r="IPF106" s="39"/>
      <c r="IPG106" s="39"/>
      <c r="IPH106" s="39"/>
      <c r="IPI106" s="39"/>
      <c r="IPJ106" s="39"/>
      <c r="IPK106" s="39"/>
      <c r="IPL106" s="39"/>
      <c r="IPM106" s="39"/>
      <c r="IPN106" s="39"/>
      <c r="IPO106" s="39"/>
      <c r="IPP106" s="39"/>
      <c r="IPQ106" s="39"/>
      <c r="IPR106" s="39"/>
      <c r="IPS106" s="39"/>
      <c r="IPT106" s="39"/>
      <c r="IPU106" s="39"/>
      <c r="IPV106" s="39"/>
      <c r="IPW106" s="39"/>
      <c r="IPX106" s="39"/>
      <c r="IPY106" s="39"/>
      <c r="IPZ106" s="39"/>
      <c r="IQA106" s="39"/>
      <c r="IQB106" s="39"/>
      <c r="IQC106" s="39"/>
      <c r="IQD106" s="39"/>
      <c r="IQE106" s="39"/>
      <c r="IQF106" s="39"/>
      <c r="IQG106" s="39"/>
      <c r="IQH106" s="39"/>
      <c r="IQI106" s="39"/>
      <c r="IQJ106" s="39"/>
      <c r="IQK106" s="39"/>
      <c r="IQL106" s="39"/>
      <c r="IQM106" s="39"/>
      <c r="IQN106" s="39"/>
      <c r="IQO106" s="39"/>
      <c r="IQP106" s="39"/>
      <c r="IQQ106" s="39"/>
      <c r="IQR106" s="39"/>
      <c r="IQS106" s="39"/>
      <c r="IQT106" s="39"/>
      <c r="IQU106" s="39"/>
      <c r="IQV106" s="39"/>
      <c r="IQW106" s="39"/>
      <c r="IQX106" s="39"/>
      <c r="IQY106" s="39"/>
      <c r="IQZ106" s="39"/>
      <c r="IRA106" s="39"/>
      <c r="IRB106" s="39"/>
      <c r="IRC106" s="39"/>
      <c r="IRD106" s="39"/>
      <c r="IRE106" s="39"/>
      <c r="IRF106" s="39"/>
      <c r="IRG106" s="39"/>
      <c r="IRH106" s="39"/>
      <c r="IRI106" s="39"/>
      <c r="IRJ106" s="39"/>
      <c r="IRK106" s="39"/>
      <c r="IRL106" s="39"/>
      <c r="IRM106" s="39"/>
      <c r="IRN106" s="39"/>
      <c r="IRO106" s="39"/>
      <c r="IRP106" s="39"/>
      <c r="IRQ106" s="39"/>
      <c r="IRR106" s="39"/>
      <c r="IRS106" s="39"/>
      <c r="IRT106" s="39"/>
      <c r="IRU106" s="39"/>
      <c r="IRV106" s="39"/>
      <c r="IRW106" s="39"/>
      <c r="IRX106" s="39"/>
      <c r="IRY106" s="39"/>
      <c r="IRZ106" s="39"/>
      <c r="ISA106" s="39"/>
      <c r="ISB106" s="39"/>
      <c r="ISC106" s="39"/>
      <c r="ISD106" s="39"/>
      <c r="ISE106" s="39"/>
      <c r="ISF106" s="39"/>
      <c r="ISG106" s="39"/>
      <c r="ISH106" s="39"/>
      <c r="ISI106" s="39"/>
      <c r="ISJ106" s="39"/>
      <c r="ISK106" s="39"/>
      <c r="ISL106" s="39"/>
      <c r="ISM106" s="39"/>
      <c r="ISN106" s="39"/>
      <c r="ISO106" s="39"/>
      <c r="ISP106" s="39"/>
      <c r="ISQ106" s="39"/>
      <c r="ISR106" s="39"/>
      <c r="ISS106" s="39"/>
      <c r="IST106" s="39"/>
      <c r="ISU106" s="39"/>
      <c r="ISV106" s="39"/>
      <c r="ISW106" s="39"/>
      <c r="ISX106" s="39"/>
      <c r="ISY106" s="39"/>
      <c r="ISZ106" s="39"/>
      <c r="ITA106" s="39"/>
      <c r="ITB106" s="39"/>
      <c r="ITC106" s="39"/>
      <c r="ITD106" s="39"/>
      <c r="ITE106" s="39"/>
      <c r="ITF106" s="39"/>
      <c r="ITG106" s="39"/>
      <c r="ITH106" s="39"/>
      <c r="ITI106" s="39"/>
      <c r="ITJ106" s="39"/>
      <c r="ITK106" s="39"/>
      <c r="ITL106" s="39"/>
      <c r="ITM106" s="39"/>
      <c r="ITN106" s="39"/>
      <c r="ITO106" s="39"/>
      <c r="ITP106" s="39"/>
      <c r="ITQ106" s="39"/>
      <c r="ITR106" s="39"/>
      <c r="ITS106" s="39"/>
      <c r="ITT106" s="39"/>
      <c r="ITU106" s="39"/>
      <c r="ITV106" s="39"/>
      <c r="ITW106" s="39"/>
      <c r="ITX106" s="39"/>
      <c r="ITY106" s="39"/>
      <c r="ITZ106" s="39"/>
      <c r="IUA106" s="39"/>
      <c r="IUB106" s="39"/>
      <c r="IUC106" s="39"/>
      <c r="IUD106" s="39"/>
      <c r="IUE106" s="39"/>
      <c r="IUF106" s="39"/>
      <c r="IUG106" s="39"/>
      <c r="IUH106" s="39"/>
      <c r="IUI106" s="39"/>
      <c r="IUJ106" s="39"/>
      <c r="IUK106" s="39"/>
      <c r="IUL106" s="39"/>
      <c r="IUM106" s="39"/>
      <c r="IUN106" s="39"/>
      <c r="IUO106" s="39"/>
      <c r="IUP106" s="39"/>
      <c r="IUQ106" s="39"/>
      <c r="IUR106" s="39"/>
      <c r="IUS106" s="39"/>
      <c r="IUT106" s="39"/>
      <c r="IUU106" s="39"/>
      <c r="IUV106" s="39"/>
      <c r="IUW106" s="39"/>
      <c r="IUX106" s="39"/>
      <c r="IUY106" s="39"/>
      <c r="IUZ106" s="39"/>
      <c r="IVA106" s="39"/>
      <c r="IVB106" s="39"/>
      <c r="IVC106" s="39"/>
      <c r="IVD106" s="39"/>
      <c r="IVE106" s="39"/>
      <c r="IVF106" s="39"/>
      <c r="IVG106" s="39"/>
      <c r="IVH106" s="39"/>
      <c r="IVI106" s="39"/>
      <c r="IVJ106" s="39"/>
      <c r="IVK106" s="39"/>
      <c r="IVL106" s="39"/>
      <c r="IVM106" s="39"/>
      <c r="IVN106" s="39"/>
      <c r="IVO106" s="39"/>
      <c r="IVP106" s="39"/>
      <c r="IVQ106" s="39"/>
      <c r="IVR106" s="39"/>
      <c r="IVS106" s="39"/>
      <c r="IVT106" s="39"/>
      <c r="IVU106" s="39"/>
      <c r="IVV106" s="39"/>
      <c r="IVW106" s="39"/>
      <c r="IVX106" s="39"/>
      <c r="IVY106" s="39"/>
      <c r="IVZ106" s="39"/>
      <c r="IWA106" s="39"/>
      <c r="IWB106" s="39"/>
      <c r="IWC106" s="39"/>
      <c r="IWD106" s="39"/>
      <c r="IWE106" s="39"/>
      <c r="IWF106" s="39"/>
      <c r="IWG106" s="39"/>
      <c r="IWH106" s="39"/>
      <c r="IWI106" s="39"/>
      <c r="IWJ106" s="39"/>
      <c r="IWK106" s="39"/>
      <c r="IWL106" s="39"/>
      <c r="IWM106" s="39"/>
      <c r="IWN106" s="39"/>
      <c r="IWO106" s="39"/>
      <c r="IWP106" s="39"/>
      <c r="IWQ106" s="39"/>
      <c r="IWR106" s="39"/>
      <c r="IWS106" s="39"/>
      <c r="IWT106" s="39"/>
      <c r="IWU106" s="39"/>
      <c r="IWV106" s="39"/>
      <c r="IWW106" s="39"/>
      <c r="IWX106" s="39"/>
      <c r="IWY106" s="39"/>
      <c r="IWZ106" s="39"/>
      <c r="IXA106" s="39"/>
      <c r="IXB106" s="39"/>
      <c r="IXC106" s="39"/>
      <c r="IXD106" s="39"/>
      <c r="IXE106" s="39"/>
      <c r="IXF106" s="39"/>
      <c r="IXG106" s="39"/>
      <c r="IXH106" s="39"/>
      <c r="IXI106" s="39"/>
      <c r="IXJ106" s="39"/>
      <c r="IXK106" s="39"/>
      <c r="IXL106" s="39"/>
      <c r="IXM106" s="39"/>
      <c r="IXN106" s="39"/>
      <c r="IXO106" s="39"/>
      <c r="IXP106" s="39"/>
      <c r="IXQ106" s="39"/>
      <c r="IXR106" s="39"/>
      <c r="IXS106" s="39"/>
      <c r="IXT106" s="39"/>
      <c r="IXU106" s="39"/>
      <c r="IXV106" s="39"/>
      <c r="IXW106" s="39"/>
      <c r="IXX106" s="39"/>
      <c r="IXY106" s="39"/>
      <c r="IXZ106" s="39"/>
      <c r="IYA106" s="39"/>
      <c r="IYB106" s="39"/>
      <c r="IYC106" s="39"/>
      <c r="IYD106" s="39"/>
      <c r="IYE106" s="39"/>
      <c r="IYF106" s="39"/>
      <c r="IYG106" s="39"/>
      <c r="IYH106" s="39"/>
      <c r="IYI106" s="39"/>
      <c r="IYJ106" s="39"/>
      <c r="IYK106" s="39"/>
      <c r="IYL106" s="39"/>
      <c r="IYM106" s="39"/>
      <c r="IYN106" s="39"/>
      <c r="IYO106" s="39"/>
      <c r="IYP106" s="39"/>
      <c r="IYQ106" s="39"/>
      <c r="IYR106" s="39"/>
      <c r="IYS106" s="39"/>
      <c r="IYT106" s="39"/>
      <c r="IYU106" s="39"/>
      <c r="IYV106" s="39"/>
      <c r="IYW106" s="39"/>
      <c r="IYX106" s="39"/>
      <c r="IYY106" s="39"/>
      <c r="IYZ106" s="39"/>
      <c r="IZA106" s="39"/>
      <c r="IZB106" s="39"/>
      <c r="IZC106" s="39"/>
      <c r="IZD106" s="39"/>
      <c r="IZE106" s="39"/>
      <c r="IZF106" s="39"/>
      <c r="IZG106" s="39"/>
      <c r="IZH106" s="39"/>
      <c r="IZI106" s="39"/>
      <c r="IZJ106" s="39"/>
      <c r="IZK106" s="39"/>
      <c r="IZL106" s="39"/>
      <c r="IZM106" s="39"/>
      <c r="IZN106" s="39"/>
      <c r="IZO106" s="39"/>
      <c r="IZP106" s="39"/>
      <c r="IZQ106" s="39"/>
      <c r="IZR106" s="39"/>
      <c r="IZS106" s="39"/>
      <c r="IZT106" s="39"/>
      <c r="IZU106" s="39"/>
      <c r="IZV106" s="39"/>
      <c r="IZW106" s="39"/>
      <c r="IZX106" s="39"/>
      <c r="IZY106" s="39"/>
      <c r="IZZ106" s="39"/>
      <c r="JAA106" s="39"/>
      <c r="JAB106" s="39"/>
      <c r="JAC106" s="39"/>
      <c r="JAD106" s="39"/>
      <c r="JAE106" s="39"/>
      <c r="JAF106" s="39"/>
      <c r="JAG106" s="39"/>
      <c r="JAH106" s="39"/>
      <c r="JAI106" s="39"/>
      <c r="JAJ106" s="39"/>
      <c r="JAK106" s="39"/>
      <c r="JAL106" s="39"/>
      <c r="JAM106" s="39"/>
      <c r="JAN106" s="39"/>
      <c r="JAO106" s="39"/>
      <c r="JAP106" s="39"/>
      <c r="JAQ106" s="39"/>
      <c r="JAR106" s="39"/>
      <c r="JAS106" s="39"/>
      <c r="JAT106" s="39"/>
      <c r="JAU106" s="39"/>
      <c r="JAV106" s="39"/>
      <c r="JAW106" s="39"/>
      <c r="JAX106" s="39"/>
      <c r="JAY106" s="39"/>
      <c r="JAZ106" s="39"/>
      <c r="JBA106" s="39"/>
      <c r="JBB106" s="39"/>
      <c r="JBC106" s="39"/>
      <c r="JBD106" s="39"/>
      <c r="JBE106" s="39"/>
      <c r="JBF106" s="39"/>
      <c r="JBG106" s="39"/>
      <c r="JBH106" s="39"/>
      <c r="JBI106" s="39"/>
      <c r="JBJ106" s="39"/>
      <c r="JBK106" s="39"/>
      <c r="JBL106" s="39"/>
      <c r="JBM106" s="39"/>
      <c r="JBN106" s="39"/>
      <c r="JBO106" s="39"/>
      <c r="JBP106" s="39"/>
      <c r="JBQ106" s="39"/>
      <c r="JBR106" s="39"/>
      <c r="JBS106" s="39"/>
      <c r="JBT106" s="39"/>
      <c r="JBU106" s="39"/>
      <c r="JBV106" s="39"/>
      <c r="JBW106" s="39"/>
      <c r="JBX106" s="39"/>
      <c r="JBY106" s="39"/>
      <c r="JBZ106" s="39"/>
      <c r="JCA106" s="39"/>
      <c r="JCB106" s="39"/>
      <c r="JCC106" s="39"/>
      <c r="JCD106" s="39"/>
      <c r="JCE106" s="39"/>
      <c r="JCF106" s="39"/>
      <c r="JCG106" s="39"/>
      <c r="JCH106" s="39"/>
      <c r="JCI106" s="39"/>
      <c r="JCJ106" s="39"/>
      <c r="JCK106" s="39"/>
      <c r="JCL106" s="39"/>
      <c r="JCM106" s="39"/>
      <c r="JCN106" s="39"/>
      <c r="JCO106" s="39"/>
      <c r="JCP106" s="39"/>
      <c r="JCQ106" s="39"/>
      <c r="JCR106" s="39"/>
      <c r="JCS106" s="39"/>
      <c r="JCT106" s="39"/>
      <c r="JCU106" s="39"/>
      <c r="JCV106" s="39"/>
      <c r="JCW106" s="39"/>
      <c r="JCX106" s="39"/>
      <c r="JCY106" s="39"/>
      <c r="JCZ106" s="39"/>
      <c r="JDA106" s="39"/>
      <c r="JDB106" s="39"/>
      <c r="JDC106" s="39"/>
      <c r="JDD106" s="39"/>
      <c r="JDE106" s="39"/>
      <c r="JDF106" s="39"/>
      <c r="JDG106" s="39"/>
      <c r="JDH106" s="39"/>
      <c r="JDI106" s="39"/>
      <c r="JDJ106" s="39"/>
      <c r="JDK106" s="39"/>
      <c r="JDL106" s="39"/>
      <c r="JDM106" s="39"/>
      <c r="JDN106" s="39"/>
      <c r="JDO106" s="39"/>
      <c r="JDP106" s="39"/>
      <c r="JDQ106" s="39"/>
      <c r="JDR106" s="39"/>
      <c r="JDS106" s="39"/>
      <c r="JDT106" s="39"/>
      <c r="JDU106" s="39"/>
      <c r="JDV106" s="39"/>
      <c r="JDW106" s="39"/>
      <c r="JDX106" s="39"/>
      <c r="JDY106" s="39"/>
      <c r="JDZ106" s="39"/>
      <c r="JEA106" s="39"/>
      <c r="JEB106" s="39"/>
      <c r="JEC106" s="39"/>
      <c r="JED106" s="39"/>
      <c r="JEE106" s="39"/>
      <c r="JEF106" s="39"/>
      <c r="JEG106" s="39"/>
      <c r="JEH106" s="39"/>
      <c r="JEI106" s="39"/>
      <c r="JEJ106" s="39"/>
      <c r="JEK106" s="39"/>
      <c r="JEL106" s="39"/>
      <c r="JEM106" s="39"/>
      <c r="JEN106" s="39"/>
      <c r="JEO106" s="39"/>
      <c r="JEP106" s="39"/>
      <c r="JEQ106" s="39"/>
      <c r="JER106" s="39"/>
      <c r="JES106" s="39"/>
      <c r="JET106" s="39"/>
      <c r="JEU106" s="39"/>
      <c r="JEV106" s="39"/>
      <c r="JEW106" s="39"/>
      <c r="JEX106" s="39"/>
      <c r="JEY106" s="39"/>
      <c r="JEZ106" s="39"/>
      <c r="JFA106" s="39"/>
      <c r="JFB106" s="39"/>
      <c r="JFC106" s="39"/>
      <c r="JFD106" s="39"/>
      <c r="JFE106" s="39"/>
      <c r="JFF106" s="39"/>
      <c r="JFG106" s="39"/>
      <c r="JFH106" s="39"/>
      <c r="JFI106" s="39"/>
      <c r="JFJ106" s="39"/>
      <c r="JFK106" s="39"/>
      <c r="JFL106" s="39"/>
      <c r="JFM106" s="39"/>
      <c r="JFN106" s="39"/>
      <c r="JFO106" s="39"/>
      <c r="JFP106" s="39"/>
      <c r="JFQ106" s="39"/>
      <c r="JFR106" s="39"/>
      <c r="JFS106" s="39"/>
      <c r="JFT106" s="39"/>
      <c r="JFU106" s="39"/>
      <c r="JFV106" s="39"/>
      <c r="JFW106" s="39"/>
      <c r="JFX106" s="39"/>
      <c r="JFY106" s="39"/>
      <c r="JFZ106" s="39"/>
      <c r="JGA106" s="39"/>
      <c r="JGB106" s="39"/>
      <c r="JGC106" s="39"/>
      <c r="JGD106" s="39"/>
      <c r="JGE106" s="39"/>
      <c r="JGF106" s="39"/>
      <c r="JGG106" s="39"/>
      <c r="JGH106" s="39"/>
      <c r="JGI106" s="39"/>
      <c r="JGJ106" s="39"/>
      <c r="JGK106" s="39"/>
      <c r="JGL106" s="39"/>
      <c r="JGM106" s="39"/>
      <c r="JGN106" s="39"/>
      <c r="JGO106" s="39"/>
      <c r="JGP106" s="39"/>
      <c r="JGQ106" s="39"/>
      <c r="JGR106" s="39"/>
      <c r="JGS106" s="39"/>
      <c r="JGT106" s="39"/>
      <c r="JGU106" s="39"/>
      <c r="JGV106" s="39"/>
      <c r="JGW106" s="39"/>
      <c r="JGX106" s="39"/>
      <c r="JGY106" s="39"/>
      <c r="JGZ106" s="39"/>
      <c r="JHA106" s="39"/>
      <c r="JHB106" s="39"/>
      <c r="JHC106" s="39"/>
      <c r="JHD106" s="39"/>
      <c r="JHE106" s="39"/>
      <c r="JHF106" s="39"/>
      <c r="JHG106" s="39"/>
      <c r="JHH106" s="39"/>
      <c r="JHI106" s="39"/>
      <c r="JHJ106" s="39"/>
      <c r="JHK106" s="39"/>
      <c r="JHL106" s="39"/>
      <c r="JHM106" s="39"/>
      <c r="JHN106" s="39"/>
      <c r="JHO106" s="39"/>
      <c r="JHP106" s="39"/>
      <c r="JHQ106" s="39"/>
      <c r="JHR106" s="39"/>
      <c r="JHS106" s="39"/>
      <c r="JHT106" s="39"/>
      <c r="JHU106" s="39"/>
      <c r="JHV106" s="39"/>
      <c r="JHW106" s="39"/>
      <c r="JHX106" s="39"/>
      <c r="JHY106" s="39"/>
      <c r="JHZ106" s="39"/>
      <c r="JIA106" s="39"/>
      <c r="JIB106" s="39"/>
      <c r="JIC106" s="39"/>
      <c r="JID106" s="39"/>
      <c r="JIE106" s="39"/>
      <c r="JIF106" s="39"/>
      <c r="JIG106" s="39"/>
      <c r="JIH106" s="39"/>
      <c r="JII106" s="39"/>
      <c r="JIJ106" s="39"/>
      <c r="JIK106" s="39"/>
      <c r="JIL106" s="39"/>
      <c r="JIM106" s="39"/>
      <c r="JIN106" s="39"/>
      <c r="JIO106" s="39"/>
      <c r="JIP106" s="39"/>
      <c r="JIQ106" s="39"/>
      <c r="JIR106" s="39"/>
      <c r="JIS106" s="39"/>
      <c r="JIT106" s="39"/>
      <c r="JIU106" s="39"/>
      <c r="JIV106" s="39"/>
      <c r="JIW106" s="39"/>
      <c r="JIX106" s="39"/>
      <c r="JIY106" s="39"/>
      <c r="JIZ106" s="39"/>
      <c r="JJA106" s="39"/>
      <c r="JJB106" s="39"/>
      <c r="JJC106" s="39"/>
      <c r="JJD106" s="39"/>
      <c r="JJE106" s="39"/>
      <c r="JJF106" s="39"/>
      <c r="JJG106" s="39"/>
      <c r="JJH106" s="39"/>
      <c r="JJI106" s="39"/>
      <c r="JJJ106" s="39"/>
      <c r="JJK106" s="39"/>
      <c r="JJL106" s="39"/>
      <c r="JJM106" s="39"/>
      <c r="JJN106" s="39"/>
      <c r="JJO106" s="39"/>
      <c r="JJP106" s="39"/>
      <c r="JJQ106" s="39"/>
      <c r="JJR106" s="39"/>
      <c r="JJS106" s="39"/>
      <c r="JJT106" s="39"/>
      <c r="JJU106" s="39"/>
      <c r="JJV106" s="39"/>
      <c r="JJW106" s="39"/>
      <c r="JJX106" s="39"/>
      <c r="JJY106" s="39"/>
      <c r="JJZ106" s="39"/>
      <c r="JKA106" s="39"/>
      <c r="JKB106" s="39"/>
      <c r="JKC106" s="39"/>
      <c r="JKD106" s="39"/>
      <c r="JKE106" s="39"/>
      <c r="JKF106" s="39"/>
      <c r="JKG106" s="39"/>
      <c r="JKH106" s="39"/>
      <c r="JKI106" s="39"/>
      <c r="JKJ106" s="39"/>
      <c r="JKK106" s="39"/>
      <c r="JKL106" s="39"/>
      <c r="JKM106" s="39"/>
      <c r="JKN106" s="39"/>
      <c r="JKO106" s="39"/>
      <c r="JKP106" s="39"/>
      <c r="JKQ106" s="39"/>
      <c r="JKR106" s="39"/>
      <c r="JKS106" s="39"/>
      <c r="JKT106" s="39"/>
      <c r="JKU106" s="39"/>
      <c r="JKV106" s="39"/>
      <c r="JKW106" s="39"/>
      <c r="JKX106" s="39"/>
      <c r="JKY106" s="39"/>
      <c r="JKZ106" s="39"/>
      <c r="JLA106" s="39"/>
      <c r="JLB106" s="39"/>
      <c r="JLC106" s="39"/>
      <c r="JLD106" s="39"/>
      <c r="JLE106" s="39"/>
      <c r="JLF106" s="39"/>
      <c r="JLG106" s="39"/>
      <c r="JLH106" s="39"/>
      <c r="JLI106" s="39"/>
      <c r="JLJ106" s="39"/>
      <c r="JLK106" s="39"/>
      <c r="JLL106" s="39"/>
      <c r="JLM106" s="39"/>
      <c r="JLN106" s="39"/>
      <c r="JLO106" s="39"/>
      <c r="JLP106" s="39"/>
      <c r="JLQ106" s="39"/>
      <c r="JLR106" s="39"/>
      <c r="JLS106" s="39"/>
      <c r="JLT106" s="39"/>
      <c r="JLU106" s="39"/>
      <c r="JLV106" s="39"/>
      <c r="JLW106" s="39"/>
      <c r="JLX106" s="39"/>
      <c r="JLY106" s="39"/>
      <c r="JLZ106" s="39"/>
      <c r="JMA106" s="39"/>
      <c r="JMB106" s="39"/>
      <c r="JMC106" s="39"/>
      <c r="JMD106" s="39"/>
      <c r="JME106" s="39"/>
      <c r="JMF106" s="39"/>
      <c r="JMG106" s="39"/>
      <c r="JMH106" s="39"/>
      <c r="JMI106" s="39"/>
      <c r="JMJ106" s="39"/>
      <c r="JMK106" s="39"/>
      <c r="JML106" s="39"/>
      <c r="JMM106" s="39"/>
      <c r="JMN106" s="39"/>
      <c r="JMO106" s="39"/>
      <c r="JMP106" s="39"/>
      <c r="JMQ106" s="39"/>
      <c r="JMR106" s="39"/>
      <c r="JMS106" s="39"/>
      <c r="JMT106" s="39"/>
      <c r="JMU106" s="39"/>
      <c r="JMV106" s="39"/>
      <c r="JMW106" s="39"/>
      <c r="JMX106" s="39"/>
      <c r="JMY106" s="39"/>
      <c r="JMZ106" s="39"/>
      <c r="JNA106" s="39"/>
      <c r="JNB106" s="39"/>
      <c r="JNC106" s="39"/>
      <c r="JND106" s="39"/>
      <c r="JNE106" s="39"/>
      <c r="JNF106" s="39"/>
      <c r="JNG106" s="39"/>
      <c r="JNH106" s="39"/>
      <c r="JNI106" s="39"/>
      <c r="JNJ106" s="39"/>
      <c r="JNK106" s="39"/>
      <c r="JNL106" s="39"/>
      <c r="JNM106" s="39"/>
      <c r="JNN106" s="39"/>
      <c r="JNO106" s="39"/>
      <c r="JNP106" s="39"/>
      <c r="JNQ106" s="39"/>
      <c r="JNR106" s="39"/>
      <c r="JNS106" s="39"/>
      <c r="JNT106" s="39"/>
      <c r="JNU106" s="39"/>
      <c r="JNV106" s="39"/>
      <c r="JNW106" s="39"/>
      <c r="JNX106" s="39"/>
      <c r="JNY106" s="39"/>
      <c r="JNZ106" s="39"/>
      <c r="JOA106" s="39"/>
      <c r="JOB106" s="39"/>
      <c r="JOC106" s="39"/>
      <c r="JOD106" s="39"/>
      <c r="JOE106" s="39"/>
      <c r="JOF106" s="39"/>
      <c r="JOG106" s="39"/>
      <c r="JOH106" s="39"/>
      <c r="JOI106" s="39"/>
      <c r="JOJ106" s="39"/>
      <c r="JOK106" s="39"/>
      <c r="JOL106" s="39"/>
      <c r="JOM106" s="39"/>
      <c r="JON106" s="39"/>
      <c r="JOO106" s="39"/>
      <c r="JOP106" s="39"/>
      <c r="JOQ106" s="39"/>
      <c r="JOR106" s="39"/>
      <c r="JOS106" s="39"/>
      <c r="JOT106" s="39"/>
      <c r="JOU106" s="39"/>
      <c r="JOV106" s="39"/>
      <c r="JOW106" s="39"/>
      <c r="JOX106" s="39"/>
      <c r="JOY106" s="39"/>
      <c r="JOZ106" s="39"/>
      <c r="JPA106" s="39"/>
      <c r="JPB106" s="39"/>
      <c r="JPC106" s="39"/>
      <c r="JPD106" s="39"/>
      <c r="JPE106" s="39"/>
      <c r="JPF106" s="39"/>
      <c r="JPG106" s="39"/>
      <c r="JPH106" s="39"/>
      <c r="JPI106" s="39"/>
      <c r="JPJ106" s="39"/>
      <c r="JPK106" s="39"/>
      <c r="JPL106" s="39"/>
      <c r="JPM106" s="39"/>
      <c r="JPN106" s="39"/>
      <c r="JPO106" s="39"/>
      <c r="JPP106" s="39"/>
      <c r="JPQ106" s="39"/>
      <c r="JPR106" s="39"/>
      <c r="JPS106" s="39"/>
      <c r="JPT106" s="39"/>
      <c r="JPU106" s="39"/>
      <c r="JPV106" s="39"/>
      <c r="JPW106" s="39"/>
      <c r="JPX106" s="39"/>
      <c r="JPY106" s="39"/>
      <c r="JPZ106" s="39"/>
      <c r="JQA106" s="39"/>
      <c r="JQB106" s="39"/>
      <c r="JQC106" s="39"/>
      <c r="JQD106" s="39"/>
      <c r="JQE106" s="39"/>
      <c r="JQF106" s="39"/>
      <c r="JQG106" s="39"/>
      <c r="JQH106" s="39"/>
      <c r="JQI106" s="39"/>
      <c r="JQJ106" s="39"/>
      <c r="JQK106" s="39"/>
      <c r="JQL106" s="39"/>
      <c r="JQM106" s="39"/>
      <c r="JQN106" s="39"/>
      <c r="JQO106" s="39"/>
      <c r="JQP106" s="39"/>
      <c r="JQQ106" s="39"/>
      <c r="JQR106" s="39"/>
      <c r="JQS106" s="39"/>
      <c r="JQT106" s="39"/>
      <c r="JQU106" s="39"/>
      <c r="JQV106" s="39"/>
      <c r="JQW106" s="39"/>
      <c r="JQX106" s="39"/>
      <c r="JQY106" s="39"/>
      <c r="JQZ106" s="39"/>
      <c r="JRA106" s="39"/>
      <c r="JRB106" s="39"/>
      <c r="JRC106" s="39"/>
      <c r="JRD106" s="39"/>
      <c r="JRE106" s="39"/>
      <c r="JRF106" s="39"/>
      <c r="JRG106" s="39"/>
      <c r="JRH106" s="39"/>
      <c r="JRI106" s="39"/>
      <c r="JRJ106" s="39"/>
      <c r="JRK106" s="39"/>
      <c r="JRL106" s="39"/>
      <c r="JRM106" s="39"/>
      <c r="JRN106" s="39"/>
      <c r="JRO106" s="39"/>
      <c r="JRP106" s="39"/>
      <c r="JRQ106" s="39"/>
      <c r="JRR106" s="39"/>
      <c r="JRS106" s="39"/>
      <c r="JRT106" s="39"/>
      <c r="JRU106" s="39"/>
      <c r="JRV106" s="39"/>
      <c r="JRW106" s="39"/>
      <c r="JRX106" s="39"/>
      <c r="JRY106" s="39"/>
      <c r="JRZ106" s="39"/>
      <c r="JSA106" s="39"/>
      <c r="JSB106" s="39"/>
      <c r="JSC106" s="39"/>
      <c r="JSD106" s="39"/>
      <c r="JSE106" s="39"/>
      <c r="JSF106" s="39"/>
      <c r="JSG106" s="39"/>
      <c r="JSH106" s="39"/>
      <c r="JSI106" s="39"/>
      <c r="JSJ106" s="39"/>
      <c r="JSK106" s="39"/>
      <c r="JSL106" s="39"/>
      <c r="JSM106" s="39"/>
      <c r="JSN106" s="39"/>
      <c r="JSO106" s="39"/>
      <c r="JSP106" s="39"/>
      <c r="JSQ106" s="39"/>
      <c r="JSR106" s="39"/>
      <c r="JSS106" s="39"/>
      <c r="JST106" s="39"/>
      <c r="JSU106" s="39"/>
      <c r="JSV106" s="39"/>
      <c r="JSW106" s="39"/>
      <c r="JSX106" s="39"/>
      <c r="JSY106" s="39"/>
      <c r="JSZ106" s="39"/>
      <c r="JTA106" s="39"/>
      <c r="JTB106" s="39"/>
      <c r="JTC106" s="39"/>
      <c r="JTD106" s="39"/>
      <c r="JTE106" s="39"/>
      <c r="JTF106" s="39"/>
      <c r="JTG106" s="39"/>
      <c r="JTH106" s="39"/>
      <c r="JTI106" s="39"/>
      <c r="JTJ106" s="39"/>
      <c r="JTK106" s="39"/>
      <c r="JTL106" s="39"/>
      <c r="JTM106" s="39"/>
      <c r="JTN106" s="39"/>
      <c r="JTO106" s="39"/>
      <c r="JTP106" s="39"/>
      <c r="JTQ106" s="39"/>
      <c r="JTR106" s="39"/>
      <c r="JTS106" s="39"/>
      <c r="JTT106" s="39"/>
      <c r="JTU106" s="39"/>
      <c r="JTV106" s="39"/>
      <c r="JTW106" s="39"/>
      <c r="JTX106" s="39"/>
      <c r="JTY106" s="39"/>
      <c r="JTZ106" s="39"/>
      <c r="JUA106" s="39"/>
      <c r="JUB106" s="39"/>
      <c r="JUC106" s="39"/>
      <c r="JUD106" s="39"/>
      <c r="JUE106" s="39"/>
      <c r="JUF106" s="39"/>
      <c r="JUG106" s="39"/>
      <c r="JUH106" s="39"/>
      <c r="JUI106" s="39"/>
      <c r="JUJ106" s="39"/>
      <c r="JUK106" s="39"/>
      <c r="JUL106" s="39"/>
      <c r="JUM106" s="39"/>
      <c r="JUN106" s="39"/>
      <c r="JUO106" s="39"/>
      <c r="JUP106" s="39"/>
      <c r="JUQ106" s="39"/>
      <c r="JUR106" s="39"/>
      <c r="JUS106" s="39"/>
      <c r="JUT106" s="39"/>
      <c r="JUU106" s="39"/>
      <c r="JUV106" s="39"/>
      <c r="JUW106" s="39"/>
      <c r="JUX106" s="39"/>
      <c r="JUY106" s="39"/>
      <c r="JUZ106" s="39"/>
      <c r="JVA106" s="39"/>
      <c r="JVB106" s="39"/>
      <c r="JVC106" s="39"/>
      <c r="JVD106" s="39"/>
      <c r="JVE106" s="39"/>
      <c r="JVF106" s="39"/>
      <c r="JVG106" s="39"/>
      <c r="JVH106" s="39"/>
      <c r="JVI106" s="39"/>
      <c r="JVJ106" s="39"/>
      <c r="JVK106" s="39"/>
      <c r="JVL106" s="39"/>
      <c r="JVM106" s="39"/>
      <c r="JVN106" s="39"/>
      <c r="JVO106" s="39"/>
      <c r="JVP106" s="39"/>
      <c r="JVQ106" s="39"/>
      <c r="JVR106" s="39"/>
      <c r="JVS106" s="39"/>
      <c r="JVT106" s="39"/>
      <c r="JVU106" s="39"/>
      <c r="JVV106" s="39"/>
      <c r="JVW106" s="39"/>
      <c r="JVX106" s="39"/>
      <c r="JVY106" s="39"/>
      <c r="JVZ106" s="39"/>
      <c r="JWA106" s="39"/>
      <c r="JWB106" s="39"/>
      <c r="JWC106" s="39"/>
      <c r="JWD106" s="39"/>
      <c r="JWE106" s="39"/>
      <c r="JWF106" s="39"/>
      <c r="JWG106" s="39"/>
      <c r="JWH106" s="39"/>
      <c r="JWI106" s="39"/>
      <c r="JWJ106" s="39"/>
      <c r="JWK106" s="39"/>
      <c r="JWL106" s="39"/>
      <c r="JWM106" s="39"/>
      <c r="JWN106" s="39"/>
      <c r="JWO106" s="39"/>
      <c r="JWP106" s="39"/>
      <c r="JWQ106" s="39"/>
      <c r="JWR106" s="39"/>
      <c r="JWS106" s="39"/>
      <c r="JWT106" s="39"/>
      <c r="JWU106" s="39"/>
      <c r="JWV106" s="39"/>
      <c r="JWW106" s="39"/>
      <c r="JWX106" s="39"/>
      <c r="JWY106" s="39"/>
      <c r="JWZ106" s="39"/>
      <c r="JXA106" s="39"/>
      <c r="JXB106" s="39"/>
      <c r="JXC106" s="39"/>
      <c r="JXD106" s="39"/>
      <c r="JXE106" s="39"/>
      <c r="JXF106" s="39"/>
      <c r="JXG106" s="39"/>
      <c r="JXH106" s="39"/>
      <c r="JXI106" s="39"/>
      <c r="JXJ106" s="39"/>
      <c r="JXK106" s="39"/>
      <c r="JXL106" s="39"/>
      <c r="JXM106" s="39"/>
      <c r="JXN106" s="39"/>
      <c r="JXO106" s="39"/>
      <c r="JXP106" s="39"/>
      <c r="JXQ106" s="39"/>
      <c r="JXR106" s="39"/>
      <c r="JXS106" s="39"/>
      <c r="JXT106" s="39"/>
      <c r="JXU106" s="39"/>
      <c r="JXV106" s="39"/>
      <c r="JXW106" s="39"/>
      <c r="JXX106" s="39"/>
      <c r="JXY106" s="39"/>
      <c r="JXZ106" s="39"/>
      <c r="JYA106" s="39"/>
      <c r="JYB106" s="39"/>
      <c r="JYC106" s="39"/>
      <c r="JYD106" s="39"/>
      <c r="JYE106" s="39"/>
      <c r="JYF106" s="39"/>
      <c r="JYG106" s="39"/>
      <c r="JYH106" s="39"/>
      <c r="JYI106" s="39"/>
      <c r="JYJ106" s="39"/>
      <c r="JYK106" s="39"/>
      <c r="JYL106" s="39"/>
      <c r="JYM106" s="39"/>
      <c r="JYN106" s="39"/>
      <c r="JYO106" s="39"/>
      <c r="JYP106" s="39"/>
      <c r="JYQ106" s="39"/>
      <c r="JYR106" s="39"/>
      <c r="JYS106" s="39"/>
      <c r="JYT106" s="39"/>
      <c r="JYU106" s="39"/>
      <c r="JYV106" s="39"/>
      <c r="JYW106" s="39"/>
      <c r="JYX106" s="39"/>
      <c r="JYY106" s="39"/>
      <c r="JYZ106" s="39"/>
      <c r="JZA106" s="39"/>
      <c r="JZB106" s="39"/>
      <c r="JZC106" s="39"/>
      <c r="JZD106" s="39"/>
      <c r="JZE106" s="39"/>
      <c r="JZF106" s="39"/>
      <c r="JZG106" s="39"/>
      <c r="JZH106" s="39"/>
      <c r="JZI106" s="39"/>
      <c r="JZJ106" s="39"/>
      <c r="JZK106" s="39"/>
      <c r="JZL106" s="39"/>
      <c r="JZM106" s="39"/>
      <c r="JZN106" s="39"/>
      <c r="JZO106" s="39"/>
      <c r="JZP106" s="39"/>
      <c r="JZQ106" s="39"/>
      <c r="JZR106" s="39"/>
      <c r="JZS106" s="39"/>
      <c r="JZT106" s="39"/>
      <c r="JZU106" s="39"/>
      <c r="JZV106" s="39"/>
      <c r="JZW106" s="39"/>
      <c r="JZX106" s="39"/>
      <c r="JZY106" s="39"/>
      <c r="JZZ106" s="39"/>
      <c r="KAA106" s="39"/>
      <c r="KAB106" s="39"/>
      <c r="KAC106" s="39"/>
      <c r="KAD106" s="39"/>
      <c r="KAE106" s="39"/>
      <c r="KAF106" s="39"/>
      <c r="KAG106" s="39"/>
      <c r="KAH106" s="39"/>
      <c r="KAI106" s="39"/>
      <c r="KAJ106" s="39"/>
      <c r="KAK106" s="39"/>
      <c r="KAL106" s="39"/>
      <c r="KAM106" s="39"/>
      <c r="KAN106" s="39"/>
      <c r="KAO106" s="39"/>
      <c r="KAP106" s="39"/>
      <c r="KAQ106" s="39"/>
      <c r="KAR106" s="39"/>
      <c r="KAS106" s="39"/>
      <c r="KAT106" s="39"/>
      <c r="KAU106" s="39"/>
      <c r="KAV106" s="39"/>
      <c r="KAW106" s="39"/>
      <c r="KAX106" s="39"/>
      <c r="KAY106" s="39"/>
      <c r="KAZ106" s="39"/>
      <c r="KBA106" s="39"/>
      <c r="KBB106" s="39"/>
      <c r="KBC106" s="39"/>
      <c r="KBD106" s="39"/>
      <c r="KBE106" s="39"/>
      <c r="KBF106" s="39"/>
      <c r="KBG106" s="39"/>
      <c r="KBH106" s="39"/>
      <c r="KBI106" s="39"/>
      <c r="KBJ106" s="39"/>
      <c r="KBK106" s="39"/>
      <c r="KBL106" s="39"/>
      <c r="KBM106" s="39"/>
      <c r="KBN106" s="39"/>
      <c r="KBO106" s="39"/>
      <c r="KBP106" s="39"/>
      <c r="KBQ106" s="39"/>
      <c r="KBR106" s="39"/>
      <c r="KBS106" s="39"/>
      <c r="KBT106" s="39"/>
      <c r="KBU106" s="39"/>
      <c r="KBV106" s="39"/>
      <c r="KBW106" s="39"/>
      <c r="KBX106" s="39"/>
      <c r="KBY106" s="39"/>
      <c r="KBZ106" s="39"/>
      <c r="KCA106" s="39"/>
      <c r="KCB106" s="39"/>
      <c r="KCC106" s="39"/>
      <c r="KCD106" s="39"/>
      <c r="KCE106" s="39"/>
      <c r="KCF106" s="39"/>
      <c r="KCG106" s="39"/>
      <c r="KCH106" s="39"/>
      <c r="KCI106" s="39"/>
      <c r="KCJ106" s="39"/>
      <c r="KCK106" s="39"/>
      <c r="KCL106" s="39"/>
      <c r="KCM106" s="39"/>
      <c r="KCN106" s="39"/>
      <c r="KCO106" s="39"/>
      <c r="KCP106" s="39"/>
      <c r="KCQ106" s="39"/>
      <c r="KCR106" s="39"/>
      <c r="KCS106" s="39"/>
      <c r="KCT106" s="39"/>
      <c r="KCU106" s="39"/>
      <c r="KCV106" s="39"/>
      <c r="KCW106" s="39"/>
      <c r="KCX106" s="39"/>
      <c r="KCY106" s="39"/>
      <c r="KCZ106" s="39"/>
      <c r="KDA106" s="39"/>
      <c r="KDB106" s="39"/>
      <c r="KDC106" s="39"/>
      <c r="KDD106" s="39"/>
      <c r="KDE106" s="39"/>
      <c r="KDF106" s="39"/>
      <c r="KDG106" s="39"/>
      <c r="KDH106" s="39"/>
      <c r="KDI106" s="39"/>
      <c r="KDJ106" s="39"/>
      <c r="KDK106" s="39"/>
      <c r="KDL106" s="39"/>
      <c r="KDM106" s="39"/>
      <c r="KDN106" s="39"/>
      <c r="KDO106" s="39"/>
      <c r="KDP106" s="39"/>
      <c r="KDQ106" s="39"/>
      <c r="KDR106" s="39"/>
      <c r="KDS106" s="39"/>
      <c r="KDT106" s="39"/>
      <c r="KDU106" s="39"/>
      <c r="KDV106" s="39"/>
      <c r="KDW106" s="39"/>
      <c r="KDX106" s="39"/>
      <c r="KDY106" s="39"/>
      <c r="KDZ106" s="39"/>
      <c r="KEA106" s="39"/>
      <c r="KEB106" s="39"/>
      <c r="KEC106" s="39"/>
      <c r="KED106" s="39"/>
      <c r="KEE106" s="39"/>
      <c r="KEF106" s="39"/>
      <c r="KEG106" s="39"/>
      <c r="KEH106" s="39"/>
      <c r="KEI106" s="39"/>
      <c r="KEJ106" s="39"/>
      <c r="KEK106" s="39"/>
      <c r="KEL106" s="39"/>
      <c r="KEM106" s="39"/>
      <c r="KEN106" s="39"/>
      <c r="KEO106" s="39"/>
      <c r="KEP106" s="39"/>
      <c r="KEQ106" s="39"/>
      <c r="KER106" s="39"/>
      <c r="KES106" s="39"/>
      <c r="KET106" s="39"/>
      <c r="KEU106" s="39"/>
      <c r="KEV106" s="39"/>
      <c r="KEW106" s="39"/>
      <c r="KEX106" s="39"/>
      <c r="KEY106" s="39"/>
      <c r="KEZ106" s="39"/>
      <c r="KFA106" s="39"/>
      <c r="KFB106" s="39"/>
      <c r="KFC106" s="39"/>
      <c r="KFD106" s="39"/>
      <c r="KFE106" s="39"/>
      <c r="KFF106" s="39"/>
      <c r="KFG106" s="39"/>
      <c r="KFH106" s="39"/>
      <c r="KFI106" s="39"/>
      <c r="KFJ106" s="39"/>
      <c r="KFK106" s="39"/>
      <c r="KFL106" s="39"/>
      <c r="KFM106" s="39"/>
      <c r="KFN106" s="39"/>
      <c r="KFO106" s="39"/>
      <c r="KFP106" s="39"/>
      <c r="KFQ106" s="39"/>
      <c r="KFR106" s="39"/>
      <c r="KFS106" s="39"/>
      <c r="KFT106" s="39"/>
      <c r="KFU106" s="39"/>
      <c r="KFV106" s="39"/>
      <c r="KFW106" s="39"/>
      <c r="KFX106" s="39"/>
      <c r="KFY106" s="39"/>
      <c r="KFZ106" s="39"/>
      <c r="KGA106" s="39"/>
      <c r="KGB106" s="39"/>
      <c r="KGC106" s="39"/>
      <c r="KGD106" s="39"/>
      <c r="KGE106" s="39"/>
      <c r="KGF106" s="39"/>
      <c r="KGG106" s="39"/>
      <c r="KGH106" s="39"/>
      <c r="KGI106" s="39"/>
      <c r="KGJ106" s="39"/>
      <c r="KGK106" s="39"/>
      <c r="KGL106" s="39"/>
      <c r="KGM106" s="39"/>
      <c r="KGN106" s="39"/>
      <c r="KGO106" s="39"/>
      <c r="KGP106" s="39"/>
      <c r="KGQ106" s="39"/>
      <c r="KGR106" s="39"/>
      <c r="KGS106" s="39"/>
      <c r="KGT106" s="39"/>
      <c r="KGU106" s="39"/>
      <c r="KGV106" s="39"/>
      <c r="KGW106" s="39"/>
      <c r="KGX106" s="39"/>
      <c r="KGY106" s="39"/>
      <c r="KGZ106" s="39"/>
      <c r="KHA106" s="39"/>
      <c r="KHB106" s="39"/>
      <c r="KHC106" s="39"/>
      <c r="KHD106" s="39"/>
      <c r="KHE106" s="39"/>
      <c r="KHF106" s="39"/>
      <c r="KHG106" s="39"/>
      <c r="KHH106" s="39"/>
      <c r="KHI106" s="39"/>
      <c r="KHJ106" s="39"/>
      <c r="KHK106" s="39"/>
      <c r="KHL106" s="39"/>
      <c r="KHM106" s="39"/>
      <c r="KHN106" s="39"/>
      <c r="KHO106" s="39"/>
      <c r="KHP106" s="39"/>
      <c r="KHQ106" s="39"/>
      <c r="KHR106" s="39"/>
      <c r="KHS106" s="39"/>
      <c r="KHT106" s="39"/>
      <c r="KHU106" s="39"/>
      <c r="KHV106" s="39"/>
      <c r="KHW106" s="39"/>
      <c r="KHX106" s="39"/>
      <c r="KHY106" s="39"/>
      <c r="KHZ106" s="39"/>
      <c r="KIA106" s="39"/>
      <c r="KIB106" s="39"/>
      <c r="KIC106" s="39"/>
      <c r="KID106" s="39"/>
      <c r="KIE106" s="39"/>
      <c r="KIF106" s="39"/>
      <c r="KIG106" s="39"/>
      <c r="KIH106" s="39"/>
      <c r="KII106" s="39"/>
      <c r="KIJ106" s="39"/>
      <c r="KIK106" s="39"/>
      <c r="KIL106" s="39"/>
      <c r="KIM106" s="39"/>
      <c r="KIN106" s="39"/>
      <c r="KIO106" s="39"/>
      <c r="KIP106" s="39"/>
      <c r="KIQ106" s="39"/>
      <c r="KIR106" s="39"/>
      <c r="KIS106" s="39"/>
      <c r="KIT106" s="39"/>
      <c r="KIU106" s="39"/>
      <c r="KIV106" s="39"/>
      <c r="KIW106" s="39"/>
      <c r="KIX106" s="39"/>
      <c r="KIY106" s="39"/>
      <c r="KIZ106" s="39"/>
      <c r="KJA106" s="39"/>
      <c r="KJB106" s="39"/>
      <c r="KJC106" s="39"/>
      <c r="KJD106" s="39"/>
      <c r="KJE106" s="39"/>
      <c r="KJF106" s="39"/>
      <c r="KJG106" s="39"/>
      <c r="KJH106" s="39"/>
      <c r="KJI106" s="39"/>
      <c r="KJJ106" s="39"/>
      <c r="KJK106" s="39"/>
      <c r="KJL106" s="39"/>
      <c r="KJM106" s="39"/>
      <c r="KJN106" s="39"/>
      <c r="KJO106" s="39"/>
      <c r="KJP106" s="39"/>
      <c r="KJQ106" s="39"/>
      <c r="KJR106" s="39"/>
      <c r="KJS106" s="39"/>
      <c r="KJT106" s="39"/>
      <c r="KJU106" s="39"/>
      <c r="KJV106" s="39"/>
      <c r="KJW106" s="39"/>
      <c r="KJX106" s="39"/>
      <c r="KJY106" s="39"/>
      <c r="KJZ106" s="39"/>
      <c r="KKA106" s="39"/>
      <c r="KKB106" s="39"/>
      <c r="KKC106" s="39"/>
      <c r="KKD106" s="39"/>
      <c r="KKE106" s="39"/>
      <c r="KKF106" s="39"/>
      <c r="KKG106" s="39"/>
      <c r="KKH106" s="39"/>
      <c r="KKI106" s="39"/>
      <c r="KKJ106" s="39"/>
      <c r="KKK106" s="39"/>
      <c r="KKL106" s="39"/>
      <c r="KKM106" s="39"/>
      <c r="KKN106" s="39"/>
      <c r="KKO106" s="39"/>
      <c r="KKP106" s="39"/>
      <c r="KKQ106" s="39"/>
      <c r="KKR106" s="39"/>
      <c r="KKS106" s="39"/>
      <c r="KKT106" s="39"/>
      <c r="KKU106" s="39"/>
      <c r="KKV106" s="39"/>
      <c r="KKW106" s="39"/>
      <c r="KKX106" s="39"/>
      <c r="KKY106" s="39"/>
      <c r="KKZ106" s="39"/>
      <c r="KLA106" s="39"/>
      <c r="KLB106" s="39"/>
      <c r="KLC106" s="39"/>
      <c r="KLD106" s="39"/>
      <c r="KLE106" s="39"/>
      <c r="KLF106" s="39"/>
      <c r="KLG106" s="39"/>
      <c r="KLH106" s="39"/>
      <c r="KLI106" s="39"/>
      <c r="KLJ106" s="39"/>
      <c r="KLK106" s="39"/>
      <c r="KLL106" s="39"/>
      <c r="KLM106" s="39"/>
      <c r="KLN106" s="39"/>
      <c r="KLO106" s="39"/>
      <c r="KLP106" s="39"/>
      <c r="KLQ106" s="39"/>
      <c r="KLR106" s="39"/>
      <c r="KLS106" s="39"/>
      <c r="KLT106" s="39"/>
      <c r="KLU106" s="39"/>
      <c r="KLV106" s="39"/>
      <c r="KLW106" s="39"/>
      <c r="KLX106" s="39"/>
      <c r="KLY106" s="39"/>
      <c r="KLZ106" s="39"/>
      <c r="KMA106" s="39"/>
      <c r="KMB106" s="39"/>
      <c r="KMC106" s="39"/>
      <c r="KMD106" s="39"/>
      <c r="KME106" s="39"/>
      <c r="KMF106" s="39"/>
      <c r="KMG106" s="39"/>
      <c r="KMH106" s="39"/>
      <c r="KMI106" s="39"/>
      <c r="KMJ106" s="39"/>
      <c r="KMK106" s="39"/>
      <c r="KML106" s="39"/>
      <c r="KMM106" s="39"/>
      <c r="KMN106" s="39"/>
      <c r="KMO106" s="39"/>
      <c r="KMP106" s="39"/>
      <c r="KMQ106" s="39"/>
      <c r="KMR106" s="39"/>
      <c r="KMS106" s="39"/>
      <c r="KMT106" s="39"/>
      <c r="KMU106" s="39"/>
      <c r="KMV106" s="39"/>
      <c r="KMW106" s="39"/>
      <c r="KMX106" s="39"/>
      <c r="KMY106" s="39"/>
      <c r="KMZ106" s="39"/>
      <c r="KNA106" s="39"/>
      <c r="KNB106" s="39"/>
      <c r="KNC106" s="39"/>
      <c r="KND106" s="39"/>
      <c r="KNE106" s="39"/>
      <c r="KNF106" s="39"/>
      <c r="KNG106" s="39"/>
      <c r="KNH106" s="39"/>
      <c r="KNI106" s="39"/>
      <c r="KNJ106" s="39"/>
      <c r="KNK106" s="39"/>
      <c r="KNL106" s="39"/>
      <c r="KNM106" s="39"/>
      <c r="KNN106" s="39"/>
      <c r="KNO106" s="39"/>
      <c r="KNP106" s="39"/>
      <c r="KNQ106" s="39"/>
      <c r="KNR106" s="39"/>
      <c r="KNS106" s="39"/>
      <c r="KNT106" s="39"/>
      <c r="KNU106" s="39"/>
      <c r="KNV106" s="39"/>
      <c r="KNW106" s="39"/>
      <c r="KNX106" s="39"/>
      <c r="KNY106" s="39"/>
      <c r="KNZ106" s="39"/>
      <c r="KOA106" s="39"/>
      <c r="KOB106" s="39"/>
      <c r="KOC106" s="39"/>
      <c r="KOD106" s="39"/>
      <c r="KOE106" s="39"/>
      <c r="KOF106" s="39"/>
      <c r="KOG106" s="39"/>
      <c r="KOH106" s="39"/>
      <c r="KOI106" s="39"/>
      <c r="KOJ106" s="39"/>
      <c r="KOK106" s="39"/>
      <c r="KOL106" s="39"/>
      <c r="KOM106" s="39"/>
      <c r="KON106" s="39"/>
      <c r="KOO106" s="39"/>
      <c r="KOP106" s="39"/>
      <c r="KOQ106" s="39"/>
      <c r="KOR106" s="39"/>
      <c r="KOS106" s="39"/>
      <c r="KOT106" s="39"/>
      <c r="KOU106" s="39"/>
      <c r="KOV106" s="39"/>
      <c r="KOW106" s="39"/>
      <c r="KOX106" s="39"/>
      <c r="KOY106" s="39"/>
      <c r="KOZ106" s="39"/>
      <c r="KPA106" s="39"/>
      <c r="KPB106" s="39"/>
      <c r="KPC106" s="39"/>
      <c r="KPD106" s="39"/>
      <c r="KPE106" s="39"/>
      <c r="KPF106" s="39"/>
      <c r="KPG106" s="39"/>
      <c r="KPH106" s="39"/>
      <c r="KPI106" s="39"/>
      <c r="KPJ106" s="39"/>
      <c r="KPK106" s="39"/>
      <c r="KPL106" s="39"/>
      <c r="KPM106" s="39"/>
      <c r="KPN106" s="39"/>
      <c r="KPO106" s="39"/>
      <c r="KPP106" s="39"/>
      <c r="KPQ106" s="39"/>
      <c r="KPR106" s="39"/>
      <c r="KPS106" s="39"/>
      <c r="KPT106" s="39"/>
      <c r="KPU106" s="39"/>
      <c r="KPV106" s="39"/>
      <c r="KPW106" s="39"/>
      <c r="KPX106" s="39"/>
      <c r="KPY106" s="39"/>
      <c r="KPZ106" s="39"/>
      <c r="KQA106" s="39"/>
      <c r="KQB106" s="39"/>
      <c r="KQC106" s="39"/>
      <c r="KQD106" s="39"/>
      <c r="KQE106" s="39"/>
      <c r="KQF106" s="39"/>
      <c r="KQG106" s="39"/>
      <c r="KQH106" s="39"/>
      <c r="KQI106" s="39"/>
      <c r="KQJ106" s="39"/>
      <c r="KQK106" s="39"/>
      <c r="KQL106" s="39"/>
      <c r="KQM106" s="39"/>
      <c r="KQN106" s="39"/>
      <c r="KQO106" s="39"/>
      <c r="KQP106" s="39"/>
      <c r="KQQ106" s="39"/>
      <c r="KQR106" s="39"/>
      <c r="KQS106" s="39"/>
      <c r="KQT106" s="39"/>
      <c r="KQU106" s="39"/>
      <c r="KQV106" s="39"/>
      <c r="KQW106" s="39"/>
      <c r="KQX106" s="39"/>
      <c r="KQY106" s="39"/>
      <c r="KQZ106" s="39"/>
      <c r="KRA106" s="39"/>
      <c r="KRB106" s="39"/>
      <c r="KRC106" s="39"/>
      <c r="KRD106" s="39"/>
      <c r="KRE106" s="39"/>
      <c r="KRF106" s="39"/>
      <c r="KRG106" s="39"/>
      <c r="KRH106" s="39"/>
      <c r="KRI106" s="39"/>
      <c r="KRJ106" s="39"/>
      <c r="KRK106" s="39"/>
      <c r="KRL106" s="39"/>
      <c r="KRM106" s="39"/>
      <c r="KRN106" s="39"/>
      <c r="KRO106" s="39"/>
      <c r="KRP106" s="39"/>
      <c r="KRQ106" s="39"/>
      <c r="KRR106" s="39"/>
      <c r="KRS106" s="39"/>
      <c r="KRT106" s="39"/>
      <c r="KRU106" s="39"/>
      <c r="KRV106" s="39"/>
      <c r="KRW106" s="39"/>
      <c r="KRX106" s="39"/>
      <c r="KRY106" s="39"/>
      <c r="KRZ106" s="39"/>
      <c r="KSA106" s="39"/>
      <c r="KSB106" s="39"/>
      <c r="KSC106" s="39"/>
      <c r="KSD106" s="39"/>
      <c r="KSE106" s="39"/>
      <c r="KSF106" s="39"/>
      <c r="KSG106" s="39"/>
      <c r="KSH106" s="39"/>
      <c r="KSI106" s="39"/>
      <c r="KSJ106" s="39"/>
      <c r="KSK106" s="39"/>
      <c r="KSL106" s="39"/>
      <c r="KSM106" s="39"/>
      <c r="KSN106" s="39"/>
      <c r="KSO106" s="39"/>
      <c r="KSP106" s="39"/>
      <c r="KSQ106" s="39"/>
      <c r="KSR106" s="39"/>
      <c r="KSS106" s="39"/>
      <c r="KST106" s="39"/>
      <c r="KSU106" s="39"/>
      <c r="KSV106" s="39"/>
      <c r="KSW106" s="39"/>
      <c r="KSX106" s="39"/>
      <c r="KSY106" s="39"/>
      <c r="KSZ106" s="39"/>
      <c r="KTA106" s="39"/>
      <c r="KTB106" s="39"/>
      <c r="KTC106" s="39"/>
      <c r="KTD106" s="39"/>
      <c r="KTE106" s="39"/>
      <c r="KTF106" s="39"/>
      <c r="KTG106" s="39"/>
      <c r="KTH106" s="39"/>
      <c r="KTI106" s="39"/>
      <c r="KTJ106" s="39"/>
      <c r="KTK106" s="39"/>
      <c r="KTL106" s="39"/>
      <c r="KTM106" s="39"/>
      <c r="KTN106" s="39"/>
      <c r="KTO106" s="39"/>
      <c r="KTP106" s="39"/>
      <c r="KTQ106" s="39"/>
      <c r="KTR106" s="39"/>
      <c r="KTS106" s="39"/>
      <c r="KTT106" s="39"/>
      <c r="KTU106" s="39"/>
      <c r="KTV106" s="39"/>
      <c r="KTW106" s="39"/>
      <c r="KTX106" s="39"/>
      <c r="KTY106" s="39"/>
      <c r="KTZ106" s="39"/>
      <c r="KUA106" s="39"/>
      <c r="KUB106" s="39"/>
      <c r="KUC106" s="39"/>
      <c r="KUD106" s="39"/>
      <c r="KUE106" s="39"/>
      <c r="KUF106" s="39"/>
      <c r="KUG106" s="39"/>
      <c r="KUH106" s="39"/>
      <c r="KUI106" s="39"/>
      <c r="KUJ106" s="39"/>
      <c r="KUK106" s="39"/>
      <c r="KUL106" s="39"/>
      <c r="KUM106" s="39"/>
      <c r="KUN106" s="39"/>
      <c r="KUO106" s="39"/>
      <c r="KUP106" s="39"/>
      <c r="KUQ106" s="39"/>
      <c r="KUR106" s="39"/>
      <c r="KUS106" s="39"/>
      <c r="KUT106" s="39"/>
      <c r="KUU106" s="39"/>
      <c r="KUV106" s="39"/>
      <c r="KUW106" s="39"/>
      <c r="KUX106" s="39"/>
      <c r="KUY106" s="39"/>
      <c r="KUZ106" s="39"/>
      <c r="KVA106" s="39"/>
      <c r="KVB106" s="39"/>
      <c r="KVC106" s="39"/>
      <c r="KVD106" s="39"/>
      <c r="KVE106" s="39"/>
      <c r="KVF106" s="39"/>
      <c r="KVG106" s="39"/>
      <c r="KVH106" s="39"/>
      <c r="KVI106" s="39"/>
      <c r="KVJ106" s="39"/>
      <c r="KVK106" s="39"/>
      <c r="KVL106" s="39"/>
      <c r="KVM106" s="39"/>
      <c r="KVN106" s="39"/>
      <c r="KVO106" s="39"/>
      <c r="KVP106" s="39"/>
      <c r="KVQ106" s="39"/>
      <c r="KVR106" s="39"/>
      <c r="KVS106" s="39"/>
      <c r="KVT106" s="39"/>
      <c r="KVU106" s="39"/>
      <c r="KVV106" s="39"/>
      <c r="KVW106" s="39"/>
      <c r="KVX106" s="39"/>
      <c r="KVY106" s="39"/>
      <c r="KVZ106" s="39"/>
      <c r="KWA106" s="39"/>
      <c r="KWB106" s="39"/>
      <c r="KWC106" s="39"/>
      <c r="KWD106" s="39"/>
      <c r="KWE106" s="39"/>
      <c r="KWF106" s="39"/>
      <c r="KWG106" s="39"/>
      <c r="KWH106" s="39"/>
      <c r="KWI106" s="39"/>
      <c r="KWJ106" s="39"/>
      <c r="KWK106" s="39"/>
      <c r="KWL106" s="39"/>
      <c r="KWM106" s="39"/>
      <c r="KWN106" s="39"/>
      <c r="KWO106" s="39"/>
      <c r="KWP106" s="39"/>
      <c r="KWQ106" s="39"/>
      <c r="KWR106" s="39"/>
      <c r="KWS106" s="39"/>
      <c r="KWT106" s="39"/>
      <c r="KWU106" s="39"/>
      <c r="KWV106" s="39"/>
      <c r="KWW106" s="39"/>
      <c r="KWX106" s="39"/>
      <c r="KWY106" s="39"/>
      <c r="KWZ106" s="39"/>
      <c r="KXA106" s="39"/>
      <c r="KXB106" s="39"/>
      <c r="KXC106" s="39"/>
      <c r="KXD106" s="39"/>
      <c r="KXE106" s="39"/>
      <c r="KXF106" s="39"/>
      <c r="KXG106" s="39"/>
      <c r="KXH106" s="39"/>
      <c r="KXI106" s="39"/>
      <c r="KXJ106" s="39"/>
      <c r="KXK106" s="39"/>
      <c r="KXL106" s="39"/>
      <c r="KXM106" s="39"/>
      <c r="KXN106" s="39"/>
      <c r="KXO106" s="39"/>
      <c r="KXP106" s="39"/>
      <c r="KXQ106" s="39"/>
      <c r="KXR106" s="39"/>
      <c r="KXS106" s="39"/>
      <c r="KXT106" s="39"/>
      <c r="KXU106" s="39"/>
      <c r="KXV106" s="39"/>
      <c r="KXW106" s="39"/>
      <c r="KXX106" s="39"/>
      <c r="KXY106" s="39"/>
      <c r="KXZ106" s="39"/>
      <c r="KYA106" s="39"/>
      <c r="KYB106" s="39"/>
      <c r="KYC106" s="39"/>
      <c r="KYD106" s="39"/>
      <c r="KYE106" s="39"/>
      <c r="KYF106" s="39"/>
      <c r="KYG106" s="39"/>
      <c r="KYH106" s="39"/>
      <c r="KYI106" s="39"/>
      <c r="KYJ106" s="39"/>
      <c r="KYK106" s="39"/>
      <c r="KYL106" s="39"/>
      <c r="KYM106" s="39"/>
      <c r="KYN106" s="39"/>
      <c r="KYO106" s="39"/>
      <c r="KYP106" s="39"/>
      <c r="KYQ106" s="39"/>
      <c r="KYR106" s="39"/>
      <c r="KYS106" s="39"/>
      <c r="KYT106" s="39"/>
      <c r="KYU106" s="39"/>
      <c r="KYV106" s="39"/>
      <c r="KYW106" s="39"/>
      <c r="KYX106" s="39"/>
      <c r="KYY106" s="39"/>
      <c r="KYZ106" s="39"/>
      <c r="KZA106" s="39"/>
      <c r="KZB106" s="39"/>
      <c r="KZC106" s="39"/>
      <c r="KZD106" s="39"/>
      <c r="KZE106" s="39"/>
      <c r="KZF106" s="39"/>
      <c r="KZG106" s="39"/>
      <c r="KZH106" s="39"/>
      <c r="KZI106" s="39"/>
      <c r="KZJ106" s="39"/>
      <c r="KZK106" s="39"/>
      <c r="KZL106" s="39"/>
      <c r="KZM106" s="39"/>
      <c r="KZN106" s="39"/>
      <c r="KZO106" s="39"/>
      <c r="KZP106" s="39"/>
      <c r="KZQ106" s="39"/>
      <c r="KZR106" s="39"/>
      <c r="KZS106" s="39"/>
      <c r="KZT106" s="39"/>
      <c r="KZU106" s="39"/>
      <c r="KZV106" s="39"/>
      <c r="KZW106" s="39"/>
      <c r="KZX106" s="39"/>
      <c r="KZY106" s="39"/>
      <c r="KZZ106" s="39"/>
      <c r="LAA106" s="39"/>
      <c r="LAB106" s="39"/>
      <c r="LAC106" s="39"/>
      <c r="LAD106" s="39"/>
      <c r="LAE106" s="39"/>
      <c r="LAF106" s="39"/>
      <c r="LAG106" s="39"/>
      <c r="LAH106" s="39"/>
      <c r="LAI106" s="39"/>
      <c r="LAJ106" s="39"/>
      <c r="LAK106" s="39"/>
      <c r="LAL106" s="39"/>
      <c r="LAM106" s="39"/>
      <c r="LAN106" s="39"/>
      <c r="LAO106" s="39"/>
      <c r="LAP106" s="39"/>
      <c r="LAQ106" s="39"/>
      <c r="LAR106" s="39"/>
      <c r="LAS106" s="39"/>
      <c r="LAT106" s="39"/>
      <c r="LAU106" s="39"/>
      <c r="LAV106" s="39"/>
      <c r="LAW106" s="39"/>
      <c r="LAX106" s="39"/>
      <c r="LAY106" s="39"/>
      <c r="LAZ106" s="39"/>
      <c r="LBA106" s="39"/>
      <c r="LBB106" s="39"/>
      <c r="LBC106" s="39"/>
      <c r="LBD106" s="39"/>
      <c r="LBE106" s="39"/>
      <c r="LBF106" s="39"/>
      <c r="LBG106" s="39"/>
      <c r="LBH106" s="39"/>
      <c r="LBI106" s="39"/>
      <c r="LBJ106" s="39"/>
      <c r="LBK106" s="39"/>
      <c r="LBL106" s="39"/>
      <c r="LBM106" s="39"/>
      <c r="LBN106" s="39"/>
      <c r="LBO106" s="39"/>
      <c r="LBP106" s="39"/>
      <c r="LBQ106" s="39"/>
      <c r="LBR106" s="39"/>
      <c r="LBS106" s="39"/>
      <c r="LBT106" s="39"/>
      <c r="LBU106" s="39"/>
      <c r="LBV106" s="39"/>
      <c r="LBW106" s="39"/>
      <c r="LBX106" s="39"/>
      <c r="LBY106" s="39"/>
      <c r="LBZ106" s="39"/>
      <c r="LCA106" s="39"/>
      <c r="LCB106" s="39"/>
      <c r="LCC106" s="39"/>
      <c r="LCD106" s="39"/>
      <c r="LCE106" s="39"/>
      <c r="LCF106" s="39"/>
      <c r="LCG106" s="39"/>
      <c r="LCH106" s="39"/>
      <c r="LCI106" s="39"/>
      <c r="LCJ106" s="39"/>
      <c r="LCK106" s="39"/>
      <c r="LCL106" s="39"/>
      <c r="LCM106" s="39"/>
      <c r="LCN106" s="39"/>
      <c r="LCO106" s="39"/>
      <c r="LCP106" s="39"/>
      <c r="LCQ106" s="39"/>
      <c r="LCR106" s="39"/>
      <c r="LCS106" s="39"/>
      <c r="LCT106" s="39"/>
      <c r="LCU106" s="39"/>
      <c r="LCV106" s="39"/>
      <c r="LCW106" s="39"/>
      <c r="LCX106" s="39"/>
      <c r="LCY106" s="39"/>
      <c r="LCZ106" s="39"/>
      <c r="LDA106" s="39"/>
      <c r="LDB106" s="39"/>
      <c r="LDC106" s="39"/>
      <c r="LDD106" s="39"/>
      <c r="LDE106" s="39"/>
      <c r="LDF106" s="39"/>
      <c r="LDG106" s="39"/>
      <c r="LDH106" s="39"/>
      <c r="LDI106" s="39"/>
      <c r="LDJ106" s="39"/>
      <c r="LDK106" s="39"/>
      <c r="LDL106" s="39"/>
      <c r="LDM106" s="39"/>
      <c r="LDN106" s="39"/>
      <c r="LDO106" s="39"/>
      <c r="LDP106" s="39"/>
      <c r="LDQ106" s="39"/>
      <c r="LDR106" s="39"/>
      <c r="LDS106" s="39"/>
      <c r="LDT106" s="39"/>
      <c r="LDU106" s="39"/>
      <c r="LDV106" s="39"/>
      <c r="LDW106" s="39"/>
      <c r="LDX106" s="39"/>
      <c r="LDY106" s="39"/>
      <c r="LDZ106" s="39"/>
      <c r="LEA106" s="39"/>
      <c r="LEB106" s="39"/>
      <c r="LEC106" s="39"/>
      <c r="LED106" s="39"/>
      <c r="LEE106" s="39"/>
      <c r="LEF106" s="39"/>
      <c r="LEG106" s="39"/>
      <c r="LEH106" s="39"/>
      <c r="LEI106" s="39"/>
      <c r="LEJ106" s="39"/>
      <c r="LEK106" s="39"/>
      <c r="LEL106" s="39"/>
      <c r="LEM106" s="39"/>
      <c r="LEN106" s="39"/>
      <c r="LEO106" s="39"/>
      <c r="LEP106" s="39"/>
      <c r="LEQ106" s="39"/>
      <c r="LER106" s="39"/>
      <c r="LES106" s="39"/>
      <c r="LET106" s="39"/>
      <c r="LEU106" s="39"/>
      <c r="LEV106" s="39"/>
      <c r="LEW106" s="39"/>
      <c r="LEX106" s="39"/>
      <c r="LEY106" s="39"/>
      <c r="LEZ106" s="39"/>
      <c r="LFA106" s="39"/>
      <c r="LFB106" s="39"/>
      <c r="LFC106" s="39"/>
      <c r="LFD106" s="39"/>
      <c r="LFE106" s="39"/>
      <c r="LFF106" s="39"/>
      <c r="LFG106" s="39"/>
      <c r="LFH106" s="39"/>
      <c r="LFI106" s="39"/>
      <c r="LFJ106" s="39"/>
      <c r="LFK106" s="39"/>
      <c r="LFL106" s="39"/>
      <c r="LFM106" s="39"/>
      <c r="LFN106" s="39"/>
      <c r="LFO106" s="39"/>
      <c r="LFP106" s="39"/>
      <c r="LFQ106" s="39"/>
      <c r="LFR106" s="39"/>
      <c r="LFS106" s="39"/>
      <c r="LFT106" s="39"/>
      <c r="LFU106" s="39"/>
      <c r="LFV106" s="39"/>
      <c r="LFW106" s="39"/>
      <c r="LFX106" s="39"/>
      <c r="LFY106" s="39"/>
      <c r="LFZ106" s="39"/>
      <c r="LGA106" s="39"/>
      <c r="LGB106" s="39"/>
      <c r="LGC106" s="39"/>
      <c r="LGD106" s="39"/>
      <c r="LGE106" s="39"/>
      <c r="LGF106" s="39"/>
      <c r="LGG106" s="39"/>
      <c r="LGH106" s="39"/>
      <c r="LGI106" s="39"/>
      <c r="LGJ106" s="39"/>
      <c r="LGK106" s="39"/>
      <c r="LGL106" s="39"/>
      <c r="LGM106" s="39"/>
      <c r="LGN106" s="39"/>
      <c r="LGO106" s="39"/>
      <c r="LGP106" s="39"/>
      <c r="LGQ106" s="39"/>
      <c r="LGR106" s="39"/>
      <c r="LGS106" s="39"/>
      <c r="LGT106" s="39"/>
      <c r="LGU106" s="39"/>
      <c r="LGV106" s="39"/>
      <c r="LGW106" s="39"/>
      <c r="LGX106" s="39"/>
      <c r="LGY106" s="39"/>
      <c r="LGZ106" s="39"/>
      <c r="LHA106" s="39"/>
      <c r="LHB106" s="39"/>
      <c r="LHC106" s="39"/>
      <c r="LHD106" s="39"/>
      <c r="LHE106" s="39"/>
      <c r="LHF106" s="39"/>
      <c r="LHG106" s="39"/>
      <c r="LHH106" s="39"/>
      <c r="LHI106" s="39"/>
      <c r="LHJ106" s="39"/>
      <c r="LHK106" s="39"/>
      <c r="LHL106" s="39"/>
      <c r="LHM106" s="39"/>
      <c r="LHN106" s="39"/>
      <c r="LHO106" s="39"/>
      <c r="LHP106" s="39"/>
      <c r="LHQ106" s="39"/>
      <c r="LHR106" s="39"/>
      <c r="LHS106" s="39"/>
      <c r="LHT106" s="39"/>
      <c r="LHU106" s="39"/>
      <c r="LHV106" s="39"/>
      <c r="LHW106" s="39"/>
      <c r="LHX106" s="39"/>
      <c r="LHY106" s="39"/>
      <c r="LHZ106" s="39"/>
      <c r="LIA106" s="39"/>
      <c r="LIB106" s="39"/>
      <c r="LIC106" s="39"/>
      <c r="LID106" s="39"/>
      <c r="LIE106" s="39"/>
      <c r="LIF106" s="39"/>
      <c r="LIG106" s="39"/>
      <c r="LIH106" s="39"/>
      <c r="LII106" s="39"/>
      <c r="LIJ106" s="39"/>
      <c r="LIK106" s="39"/>
      <c r="LIL106" s="39"/>
      <c r="LIM106" s="39"/>
      <c r="LIN106" s="39"/>
      <c r="LIO106" s="39"/>
      <c r="LIP106" s="39"/>
      <c r="LIQ106" s="39"/>
      <c r="LIR106" s="39"/>
      <c r="LIS106" s="39"/>
      <c r="LIT106" s="39"/>
      <c r="LIU106" s="39"/>
      <c r="LIV106" s="39"/>
      <c r="LIW106" s="39"/>
      <c r="LIX106" s="39"/>
      <c r="LIY106" s="39"/>
      <c r="LIZ106" s="39"/>
      <c r="LJA106" s="39"/>
      <c r="LJB106" s="39"/>
      <c r="LJC106" s="39"/>
      <c r="LJD106" s="39"/>
      <c r="LJE106" s="39"/>
      <c r="LJF106" s="39"/>
      <c r="LJG106" s="39"/>
      <c r="LJH106" s="39"/>
      <c r="LJI106" s="39"/>
      <c r="LJJ106" s="39"/>
      <c r="LJK106" s="39"/>
      <c r="LJL106" s="39"/>
      <c r="LJM106" s="39"/>
      <c r="LJN106" s="39"/>
      <c r="LJO106" s="39"/>
      <c r="LJP106" s="39"/>
      <c r="LJQ106" s="39"/>
      <c r="LJR106" s="39"/>
      <c r="LJS106" s="39"/>
      <c r="LJT106" s="39"/>
      <c r="LJU106" s="39"/>
      <c r="LJV106" s="39"/>
      <c r="LJW106" s="39"/>
      <c r="LJX106" s="39"/>
      <c r="LJY106" s="39"/>
      <c r="LJZ106" s="39"/>
      <c r="LKA106" s="39"/>
      <c r="LKB106" s="39"/>
      <c r="LKC106" s="39"/>
      <c r="LKD106" s="39"/>
      <c r="LKE106" s="39"/>
      <c r="LKF106" s="39"/>
      <c r="LKG106" s="39"/>
      <c r="LKH106" s="39"/>
      <c r="LKI106" s="39"/>
      <c r="LKJ106" s="39"/>
      <c r="LKK106" s="39"/>
      <c r="LKL106" s="39"/>
      <c r="LKM106" s="39"/>
      <c r="LKN106" s="39"/>
      <c r="LKO106" s="39"/>
      <c r="LKP106" s="39"/>
      <c r="LKQ106" s="39"/>
      <c r="LKR106" s="39"/>
      <c r="LKS106" s="39"/>
      <c r="LKT106" s="39"/>
      <c r="LKU106" s="39"/>
      <c r="LKV106" s="39"/>
      <c r="LKW106" s="39"/>
      <c r="LKX106" s="39"/>
      <c r="LKY106" s="39"/>
      <c r="LKZ106" s="39"/>
      <c r="LLA106" s="39"/>
      <c r="LLB106" s="39"/>
      <c r="LLC106" s="39"/>
      <c r="LLD106" s="39"/>
      <c r="LLE106" s="39"/>
      <c r="LLF106" s="39"/>
      <c r="LLG106" s="39"/>
      <c r="LLH106" s="39"/>
      <c r="LLI106" s="39"/>
      <c r="LLJ106" s="39"/>
      <c r="LLK106" s="39"/>
      <c r="LLL106" s="39"/>
      <c r="LLM106" s="39"/>
      <c r="LLN106" s="39"/>
      <c r="LLO106" s="39"/>
      <c r="LLP106" s="39"/>
      <c r="LLQ106" s="39"/>
      <c r="LLR106" s="39"/>
      <c r="LLS106" s="39"/>
      <c r="LLT106" s="39"/>
      <c r="LLU106" s="39"/>
      <c r="LLV106" s="39"/>
      <c r="LLW106" s="39"/>
      <c r="LLX106" s="39"/>
      <c r="LLY106" s="39"/>
      <c r="LLZ106" s="39"/>
      <c r="LMA106" s="39"/>
      <c r="LMB106" s="39"/>
      <c r="LMC106" s="39"/>
      <c r="LMD106" s="39"/>
      <c r="LME106" s="39"/>
      <c r="LMF106" s="39"/>
      <c r="LMG106" s="39"/>
      <c r="LMH106" s="39"/>
      <c r="LMI106" s="39"/>
      <c r="LMJ106" s="39"/>
      <c r="LMK106" s="39"/>
      <c r="LML106" s="39"/>
      <c r="LMM106" s="39"/>
      <c r="LMN106" s="39"/>
      <c r="LMO106" s="39"/>
      <c r="LMP106" s="39"/>
      <c r="LMQ106" s="39"/>
      <c r="LMR106" s="39"/>
      <c r="LMS106" s="39"/>
      <c r="LMT106" s="39"/>
      <c r="LMU106" s="39"/>
      <c r="LMV106" s="39"/>
      <c r="LMW106" s="39"/>
      <c r="LMX106" s="39"/>
      <c r="LMY106" s="39"/>
      <c r="LMZ106" s="39"/>
      <c r="LNA106" s="39"/>
      <c r="LNB106" s="39"/>
      <c r="LNC106" s="39"/>
      <c r="LND106" s="39"/>
      <c r="LNE106" s="39"/>
      <c r="LNF106" s="39"/>
      <c r="LNG106" s="39"/>
      <c r="LNH106" s="39"/>
      <c r="LNI106" s="39"/>
      <c r="LNJ106" s="39"/>
      <c r="LNK106" s="39"/>
      <c r="LNL106" s="39"/>
      <c r="LNM106" s="39"/>
      <c r="LNN106" s="39"/>
      <c r="LNO106" s="39"/>
      <c r="LNP106" s="39"/>
      <c r="LNQ106" s="39"/>
      <c r="LNR106" s="39"/>
      <c r="LNS106" s="39"/>
      <c r="LNT106" s="39"/>
      <c r="LNU106" s="39"/>
      <c r="LNV106" s="39"/>
      <c r="LNW106" s="39"/>
      <c r="LNX106" s="39"/>
      <c r="LNY106" s="39"/>
      <c r="LNZ106" s="39"/>
      <c r="LOA106" s="39"/>
      <c r="LOB106" s="39"/>
      <c r="LOC106" s="39"/>
      <c r="LOD106" s="39"/>
      <c r="LOE106" s="39"/>
      <c r="LOF106" s="39"/>
      <c r="LOG106" s="39"/>
      <c r="LOH106" s="39"/>
      <c r="LOI106" s="39"/>
      <c r="LOJ106" s="39"/>
      <c r="LOK106" s="39"/>
      <c r="LOL106" s="39"/>
      <c r="LOM106" s="39"/>
      <c r="LON106" s="39"/>
      <c r="LOO106" s="39"/>
      <c r="LOP106" s="39"/>
      <c r="LOQ106" s="39"/>
      <c r="LOR106" s="39"/>
      <c r="LOS106" s="39"/>
      <c r="LOT106" s="39"/>
      <c r="LOU106" s="39"/>
      <c r="LOV106" s="39"/>
      <c r="LOW106" s="39"/>
      <c r="LOX106" s="39"/>
      <c r="LOY106" s="39"/>
      <c r="LOZ106" s="39"/>
      <c r="LPA106" s="39"/>
      <c r="LPB106" s="39"/>
      <c r="LPC106" s="39"/>
      <c r="LPD106" s="39"/>
      <c r="LPE106" s="39"/>
      <c r="LPF106" s="39"/>
      <c r="LPG106" s="39"/>
      <c r="LPH106" s="39"/>
      <c r="LPI106" s="39"/>
      <c r="LPJ106" s="39"/>
      <c r="LPK106" s="39"/>
      <c r="LPL106" s="39"/>
      <c r="LPM106" s="39"/>
      <c r="LPN106" s="39"/>
      <c r="LPO106" s="39"/>
      <c r="LPP106" s="39"/>
      <c r="LPQ106" s="39"/>
      <c r="LPR106" s="39"/>
      <c r="LPS106" s="39"/>
      <c r="LPT106" s="39"/>
      <c r="LPU106" s="39"/>
      <c r="LPV106" s="39"/>
      <c r="LPW106" s="39"/>
      <c r="LPX106" s="39"/>
      <c r="LPY106" s="39"/>
      <c r="LPZ106" s="39"/>
      <c r="LQA106" s="39"/>
      <c r="LQB106" s="39"/>
      <c r="LQC106" s="39"/>
      <c r="LQD106" s="39"/>
      <c r="LQE106" s="39"/>
      <c r="LQF106" s="39"/>
      <c r="LQG106" s="39"/>
      <c r="LQH106" s="39"/>
      <c r="LQI106" s="39"/>
      <c r="LQJ106" s="39"/>
      <c r="LQK106" s="39"/>
      <c r="LQL106" s="39"/>
      <c r="LQM106" s="39"/>
      <c r="LQN106" s="39"/>
      <c r="LQO106" s="39"/>
      <c r="LQP106" s="39"/>
      <c r="LQQ106" s="39"/>
      <c r="LQR106" s="39"/>
      <c r="LQS106" s="39"/>
      <c r="LQT106" s="39"/>
      <c r="LQU106" s="39"/>
      <c r="LQV106" s="39"/>
      <c r="LQW106" s="39"/>
      <c r="LQX106" s="39"/>
      <c r="LQY106" s="39"/>
      <c r="LQZ106" s="39"/>
      <c r="LRA106" s="39"/>
      <c r="LRB106" s="39"/>
      <c r="LRC106" s="39"/>
      <c r="LRD106" s="39"/>
      <c r="LRE106" s="39"/>
      <c r="LRF106" s="39"/>
      <c r="LRG106" s="39"/>
      <c r="LRH106" s="39"/>
      <c r="LRI106" s="39"/>
      <c r="LRJ106" s="39"/>
      <c r="LRK106" s="39"/>
      <c r="LRL106" s="39"/>
      <c r="LRM106" s="39"/>
      <c r="LRN106" s="39"/>
      <c r="LRO106" s="39"/>
      <c r="LRP106" s="39"/>
      <c r="LRQ106" s="39"/>
      <c r="LRR106" s="39"/>
      <c r="LRS106" s="39"/>
      <c r="LRT106" s="39"/>
      <c r="LRU106" s="39"/>
      <c r="LRV106" s="39"/>
      <c r="LRW106" s="39"/>
      <c r="LRX106" s="39"/>
      <c r="LRY106" s="39"/>
      <c r="LRZ106" s="39"/>
      <c r="LSA106" s="39"/>
      <c r="LSB106" s="39"/>
      <c r="LSC106" s="39"/>
      <c r="LSD106" s="39"/>
      <c r="LSE106" s="39"/>
      <c r="LSF106" s="39"/>
      <c r="LSG106" s="39"/>
      <c r="LSH106" s="39"/>
      <c r="LSI106" s="39"/>
      <c r="LSJ106" s="39"/>
      <c r="LSK106" s="39"/>
      <c r="LSL106" s="39"/>
      <c r="LSM106" s="39"/>
      <c r="LSN106" s="39"/>
      <c r="LSO106" s="39"/>
      <c r="LSP106" s="39"/>
      <c r="LSQ106" s="39"/>
      <c r="LSR106" s="39"/>
      <c r="LSS106" s="39"/>
      <c r="LST106" s="39"/>
      <c r="LSU106" s="39"/>
      <c r="LSV106" s="39"/>
      <c r="LSW106" s="39"/>
      <c r="LSX106" s="39"/>
      <c r="LSY106" s="39"/>
      <c r="LSZ106" s="39"/>
      <c r="LTA106" s="39"/>
      <c r="LTB106" s="39"/>
      <c r="LTC106" s="39"/>
      <c r="LTD106" s="39"/>
      <c r="LTE106" s="39"/>
      <c r="LTF106" s="39"/>
      <c r="LTG106" s="39"/>
      <c r="LTH106" s="39"/>
      <c r="LTI106" s="39"/>
      <c r="LTJ106" s="39"/>
      <c r="LTK106" s="39"/>
      <c r="LTL106" s="39"/>
      <c r="LTM106" s="39"/>
      <c r="LTN106" s="39"/>
      <c r="LTO106" s="39"/>
      <c r="LTP106" s="39"/>
      <c r="LTQ106" s="39"/>
      <c r="LTR106" s="39"/>
      <c r="LTS106" s="39"/>
      <c r="LTT106" s="39"/>
      <c r="LTU106" s="39"/>
      <c r="LTV106" s="39"/>
      <c r="LTW106" s="39"/>
      <c r="LTX106" s="39"/>
      <c r="LTY106" s="39"/>
      <c r="LTZ106" s="39"/>
      <c r="LUA106" s="39"/>
      <c r="LUB106" s="39"/>
      <c r="LUC106" s="39"/>
      <c r="LUD106" s="39"/>
      <c r="LUE106" s="39"/>
      <c r="LUF106" s="39"/>
      <c r="LUG106" s="39"/>
      <c r="LUH106" s="39"/>
      <c r="LUI106" s="39"/>
      <c r="LUJ106" s="39"/>
      <c r="LUK106" s="39"/>
      <c r="LUL106" s="39"/>
      <c r="LUM106" s="39"/>
      <c r="LUN106" s="39"/>
      <c r="LUO106" s="39"/>
      <c r="LUP106" s="39"/>
      <c r="LUQ106" s="39"/>
      <c r="LUR106" s="39"/>
      <c r="LUS106" s="39"/>
      <c r="LUT106" s="39"/>
      <c r="LUU106" s="39"/>
      <c r="LUV106" s="39"/>
      <c r="LUW106" s="39"/>
      <c r="LUX106" s="39"/>
      <c r="LUY106" s="39"/>
      <c r="LUZ106" s="39"/>
      <c r="LVA106" s="39"/>
      <c r="LVB106" s="39"/>
      <c r="LVC106" s="39"/>
      <c r="LVD106" s="39"/>
      <c r="LVE106" s="39"/>
      <c r="LVF106" s="39"/>
      <c r="LVG106" s="39"/>
      <c r="LVH106" s="39"/>
      <c r="LVI106" s="39"/>
      <c r="LVJ106" s="39"/>
      <c r="LVK106" s="39"/>
      <c r="LVL106" s="39"/>
      <c r="LVM106" s="39"/>
      <c r="LVN106" s="39"/>
      <c r="LVO106" s="39"/>
      <c r="LVP106" s="39"/>
      <c r="LVQ106" s="39"/>
      <c r="LVR106" s="39"/>
      <c r="LVS106" s="39"/>
      <c r="LVT106" s="39"/>
      <c r="LVU106" s="39"/>
      <c r="LVV106" s="39"/>
      <c r="LVW106" s="39"/>
      <c r="LVX106" s="39"/>
      <c r="LVY106" s="39"/>
      <c r="LVZ106" s="39"/>
      <c r="LWA106" s="39"/>
      <c r="LWB106" s="39"/>
      <c r="LWC106" s="39"/>
      <c r="LWD106" s="39"/>
      <c r="LWE106" s="39"/>
      <c r="LWF106" s="39"/>
      <c r="LWG106" s="39"/>
      <c r="LWH106" s="39"/>
      <c r="LWI106" s="39"/>
      <c r="LWJ106" s="39"/>
      <c r="LWK106" s="39"/>
      <c r="LWL106" s="39"/>
      <c r="LWM106" s="39"/>
      <c r="LWN106" s="39"/>
      <c r="LWO106" s="39"/>
      <c r="LWP106" s="39"/>
      <c r="LWQ106" s="39"/>
      <c r="LWR106" s="39"/>
      <c r="LWS106" s="39"/>
      <c r="LWT106" s="39"/>
      <c r="LWU106" s="39"/>
      <c r="LWV106" s="39"/>
      <c r="LWW106" s="39"/>
      <c r="LWX106" s="39"/>
      <c r="LWY106" s="39"/>
      <c r="LWZ106" s="39"/>
      <c r="LXA106" s="39"/>
      <c r="LXB106" s="39"/>
      <c r="LXC106" s="39"/>
      <c r="LXD106" s="39"/>
      <c r="LXE106" s="39"/>
      <c r="LXF106" s="39"/>
      <c r="LXG106" s="39"/>
      <c r="LXH106" s="39"/>
      <c r="LXI106" s="39"/>
      <c r="LXJ106" s="39"/>
      <c r="LXK106" s="39"/>
      <c r="LXL106" s="39"/>
      <c r="LXM106" s="39"/>
      <c r="LXN106" s="39"/>
      <c r="LXO106" s="39"/>
      <c r="LXP106" s="39"/>
      <c r="LXQ106" s="39"/>
      <c r="LXR106" s="39"/>
      <c r="LXS106" s="39"/>
      <c r="LXT106" s="39"/>
      <c r="LXU106" s="39"/>
      <c r="LXV106" s="39"/>
      <c r="LXW106" s="39"/>
      <c r="LXX106" s="39"/>
      <c r="LXY106" s="39"/>
      <c r="LXZ106" s="39"/>
      <c r="LYA106" s="39"/>
      <c r="LYB106" s="39"/>
      <c r="LYC106" s="39"/>
      <c r="LYD106" s="39"/>
      <c r="LYE106" s="39"/>
      <c r="LYF106" s="39"/>
      <c r="LYG106" s="39"/>
      <c r="LYH106" s="39"/>
      <c r="LYI106" s="39"/>
      <c r="LYJ106" s="39"/>
      <c r="LYK106" s="39"/>
      <c r="LYL106" s="39"/>
      <c r="LYM106" s="39"/>
      <c r="LYN106" s="39"/>
      <c r="LYO106" s="39"/>
      <c r="LYP106" s="39"/>
      <c r="LYQ106" s="39"/>
      <c r="LYR106" s="39"/>
      <c r="LYS106" s="39"/>
      <c r="LYT106" s="39"/>
      <c r="LYU106" s="39"/>
      <c r="LYV106" s="39"/>
      <c r="LYW106" s="39"/>
      <c r="LYX106" s="39"/>
      <c r="LYY106" s="39"/>
      <c r="LYZ106" s="39"/>
      <c r="LZA106" s="39"/>
      <c r="LZB106" s="39"/>
      <c r="LZC106" s="39"/>
      <c r="LZD106" s="39"/>
      <c r="LZE106" s="39"/>
      <c r="LZF106" s="39"/>
      <c r="LZG106" s="39"/>
      <c r="LZH106" s="39"/>
      <c r="LZI106" s="39"/>
      <c r="LZJ106" s="39"/>
      <c r="LZK106" s="39"/>
      <c r="LZL106" s="39"/>
      <c r="LZM106" s="39"/>
      <c r="LZN106" s="39"/>
      <c r="LZO106" s="39"/>
      <c r="LZP106" s="39"/>
      <c r="LZQ106" s="39"/>
      <c r="LZR106" s="39"/>
      <c r="LZS106" s="39"/>
      <c r="LZT106" s="39"/>
      <c r="LZU106" s="39"/>
      <c r="LZV106" s="39"/>
      <c r="LZW106" s="39"/>
      <c r="LZX106" s="39"/>
      <c r="LZY106" s="39"/>
      <c r="LZZ106" s="39"/>
      <c r="MAA106" s="39"/>
      <c r="MAB106" s="39"/>
      <c r="MAC106" s="39"/>
      <c r="MAD106" s="39"/>
      <c r="MAE106" s="39"/>
      <c r="MAF106" s="39"/>
      <c r="MAG106" s="39"/>
      <c r="MAH106" s="39"/>
      <c r="MAI106" s="39"/>
      <c r="MAJ106" s="39"/>
      <c r="MAK106" s="39"/>
      <c r="MAL106" s="39"/>
      <c r="MAM106" s="39"/>
      <c r="MAN106" s="39"/>
      <c r="MAO106" s="39"/>
      <c r="MAP106" s="39"/>
      <c r="MAQ106" s="39"/>
      <c r="MAR106" s="39"/>
      <c r="MAS106" s="39"/>
      <c r="MAT106" s="39"/>
      <c r="MAU106" s="39"/>
      <c r="MAV106" s="39"/>
      <c r="MAW106" s="39"/>
      <c r="MAX106" s="39"/>
      <c r="MAY106" s="39"/>
      <c r="MAZ106" s="39"/>
      <c r="MBA106" s="39"/>
      <c r="MBB106" s="39"/>
      <c r="MBC106" s="39"/>
      <c r="MBD106" s="39"/>
      <c r="MBE106" s="39"/>
      <c r="MBF106" s="39"/>
      <c r="MBG106" s="39"/>
      <c r="MBH106" s="39"/>
      <c r="MBI106" s="39"/>
      <c r="MBJ106" s="39"/>
      <c r="MBK106" s="39"/>
      <c r="MBL106" s="39"/>
      <c r="MBM106" s="39"/>
      <c r="MBN106" s="39"/>
      <c r="MBO106" s="39"/>
      <c r="MBP106" s="39"/>
      <c r="MBQ106" s="39"/>
      <c r="MBR106" s="39"/>
      <c r="MBS106" s="39"/>
      <c r="MBT106" s="39"/>
      <c r="MBU106" s="39"/>
      <c r="MBV106" s="39"/>
      <c r="MBW106" s="39"/>
      <c r="MBX106" s="39"/>
      <c r="MBY106" s="39"/>
      <c r="MBZ106" s="39"/>
      <c r="MCA106" s="39"/>
      <c r="MCB106" s="39"/>
      <c r="MCC106" s="39"/>
      <c r="MCD106" s="39"/>
      <c r="MCE106" s="39"/>
      <c r="MCF106" s="39"/>
      <c r="MCG106" s="39"/>
      <c r="MCH106" s="39"/>
      <c r="MCI106" s="39"/>
      <c r="MCJ106" s="39"/>
      <c r="MCK106" s="39"/>
      <c r="MCL106" s="39"/>
      <c r="MCM106" s="39"/>
      <c r="MCN106" s="39"/>
      <c r="MCO106" s="39"/>
      <c r="MCP106" s="39"/>
      <c r="MCQ106" s="39"/>
      <c r="MCR106" s="39"/>
      <c r="MCS106" s="39"/>
      <c r="MCT106" s="39"/>
      <c r="MCU106" s="39"/>
      <c r="MCV106" s="39"/>
      <c r="MCW106" s="39"/>
      <c r="MCX106" s="39"/>
      <c r="MCY106" s="39"/>
      <c r="MCZ106" s="39"/>
      <c r="MDA106" s="39"/>
      <c r="MDB106" s="39"/>
      <c r="MDC106" s="39"/>
      <c r="MDD106" s="39"/>
      <c r="MDE106" s="39"/>
      <c r="MDF106" s="39"/>
      <c r="MDG106" s="39"/>
      <c r="MDH106" s="39"/>
      <c r="MDI106" s="39"/>
      <c r="MDJ106" s="39"/>
      <c r="MDK106" s="39"/>
      <c r="MDL106" s="39"/>
      <c r="MDM106" s="39"/>
      <c r="MDN106" s="39"/>
      <c r="MDO106" s="39"/>
      <c r="MDP106" s="39"/>
      <c r="MDQ106" s="39"/>
      <c r="MDR106" s="39"/>
      <c r="MDS106" s="39"/>
      <c r="MDT106" s="39"/>
      <c r="MDU106" s="39"/>
      <c r="MDV106" s="39"/>
      <c r="MDW106" s="39"/>
      <c r="MDX106" s="39"/>
      <c r="MDY106" s="39"/>
      <c r="MDZ106" s="39"/>
      <c r="MEA106" s="39"/>
      <c r="MEB106" s="39"/>
      <c r="MEC106" s="39"/>
      <c r="MED106" s="39"/>
      <c r="MEE106" s="39"/>
      <c r="MEF106" s="39"/>
      <c r="MEG106" s="39"/>
      <c r="MEH106" s="39"/>
      <c r="MEI106" s="39"/>
      <c r="MEJ106" s="39"/>
      <c r="MEK106" s="39"/>
      <c r="MEL106" s="39"/>
      <c r="MEM106" s="39"/>
      <c r="MEN106" s="39"/>
      <c r="MEO106" s="39"/>
      <c r="MEP106" s="39"/>
      <c r="MEQ106" s="39"/>
      <c r="MER106" s="39"/>
      <c r="MES106" s="39"/>
      <c r="MET106" s="39"/>
      <c r="MEU106" s="39"/>
      <c r="MEV106" s="39"/>
      <c r="MEW106" s="39"/>
      <c r="MEX106" s="39"/>
      <c r="MEY106" s="39"/>
      <c r="MEZ106" s="39"/>
      <c r="MFA106" s="39"/>
      <c r="MFB106" s="39"/>
      <c r="MFC106" s="39"/>
      <c r="MFD106" s="39"/>
      <c r="MFE106" s="39"/>
      <c r="MFF106" s="39"/>
      <c r="MFG106" s="39"/>
      <c r="MFH106" s="39"/>
      <c r="MFI106" s="39"/>
      <c r="MFJ106" s="39"/>
      <c r="MFK106" s="39"/>
      <c r="MFL106" s="39"/>
      <c r="MFM106" s="39"/>
      <c r="MFN106" s="39"/>
      <c r="MFO106" s="39"/>
      <c r="MFP106" s="39"/>
      <c r="MFQ106" s="39"/>
      <c r="MFR106" s="39"/>
      <c r="MFS106" s="39"/>
      <c r="MFT106" s="39"/>
      <c r="MFU106" s="39"/>
      <c r="MFV106" s="39"/>
      <c r="MFW106" s="39"/>
      <c r="MFX106" s="39"/>
      <c r="MFY106" s="39"/>
      <c r="MFZ106" s="39"/>
      <c r="MGA106" s="39"/>
      <c r="MGB106" s="39"/>
      <c r="MGC106" s="39"/>
      <c r="MGD106" s="39"/>
      <c r="MGE106" s="39"/>
      <c r="MGF106" s="39"/>
      <c r="MGG106" s="39"/>
      <c r="MGH106" s="39"/>
      <c r="MGI106" s="39"/>
      <c r="MGJ106" s="39"/>
      <c r="MGK106" s="39"/>
      <c r="MGL106" s="39"/>
      <c r="MGM106" s="39"/>
      <c r="MGN106" s="39"/>
      <c r="MGO106" s="39"/>
      <c r="MGP106" s="39"/>
      <c r="MGQ106" s="39"/>
      <c r="MGR106" s="39"/>
      <c r="MGS106" s="39"/>
      <c r="MGT106" s="39"/>
      <c r="MGU106" s="39"/>
      <c r="MGV106" s="39"/>
      <c r="MGW106" s="39"/>
      <c r="MGX106" s="39"/>
      <c r="MGY106" s="39"/>
      <c r="MGZ106" s="39"/>
      <c r="MHA106" s="39"/>
      <c r="MHB106" s="39"/>
      <c r="MHC106" s="39"/>
      <c r="MHD106" s="39"/>
      <c r="MHE106" s="39"/>
      <c r="MHF106" s="39"/>
      <c r="MHG106" s="39"/>
      <c r="MHH106" s="39"/>
      <c r="MHI106" s="39"/>
      <c r="MHJ106" s="39"/>
      <c r="MHK106" s="39"/>
      <c r="MHL106" s="39"/>
      <c r="MHM106" s="39"/>
      <c r="MHN106" s="39"/>
      <c r="MHO106" s="39"/>
      <c r="MHP106" s="39"/>
      <c r="MHQ106" s="39"/>
      <c r="MHR106" s="39"/>
      <c r="MHS106" s="39"/>
      <c r="MHT106" s="39"/>
      <c r="MHU106" s="39"/>
      <c r="MHV106" s="39"/>
      <c r="MHW106" s="39"/>
      <c r="MHX106" s="39"/>
      <c r="MHY106" s="39"/>
      <c r="MHZ106" s="39"/>
      <c r="MIA106" s="39"/>
      <c r="MIB106" s="39"/>
      <c r="MIC106" s="39"/>
      <c r="MID106" s="39"/>
      <c r="MIE106" s="39"/>
      <c r="MIF106" s="39"/>
      <c r="MIG106" s="39"/>
      <c r="MIH106" s="39"/>
      <c r="MII106" s="39"/>
      <c r="MIJ106" s="39"/>
      <c r="MIK106" s="39"/>
      <c r="MIL106" s="39"/>
      <c r="MIM106" s="39"/>
      <c r="MIN106" s="39"/>
      <c r="MIO106" s="39"/>
      <c r="MIP106" s="39"/>
      <c r="MIQ106" s="39"/>
      <c r="MIR106" s="39"/>
      <c r="MIS106" s="39"/>
      <c r="MIT106" s="39"/>
      <c r="MIU106" s="39"/>
      <c r="MIV106" s="39"/>
      <c r="MIW106" s="39"/>
      <c r="MIX106" s="39"/>
      <c r="MIY106" s="39"/>
      <c r="MIZ106" s="39"/>
      <c r="MJA106" s="39"/>
      <c r="MJB106" s="39"/>
      <c r="MJC106" s="39"/>
      <c r="MJD106" s="39"/>
      <c r="MJE106" s="39"/>
      <c r="MJF106" s="39"/>
      <c r="MJG106" s="39"/>
      <c r="MJH106" s="39"/>
      <c r="MJI106" s="39"/>
      <c r="MJJ106" s="39"/>
      <c r="MJK106" s="39"/>
      <c r="MJL106" s="39"/>
      <c r="MJM106" s="39"/>
      <c r="MJN106" s="39"/>
      <c r="MJO106" s="39"/>
      <c r="MJP106" s="39"/>
      <c r="MJQ106" s="39"/>
      <c r="MJR106" s="39"/>
      <c r="MJS106" s="39"/>
      <c r="MJT106" s="39"/>
      <c r="MJU106" s="39"/>
      <c r="MJV106" s="39"/>
      <c r="MJW106" s="39"/>
      <c r="MJX106" s="39"/>
      <c r="MJY106" s="39"/>
      <c r="MJZ106" s="39"/>
      <c r="MKA106" s="39"/>
      <c r="MKB106" s="39"/>
      <c r="MKC106" s="39"/>
      <c r="MKD106" s="39"/>
      <c r="MKE106" s="39"/>
      <c r="MKF106" s="39"/>
      <c r="MKG106" s="39"/>
      <c r="MKH106" s="39"/>
      <c r="MKI106" s="39"/>
      <c r="MKJ106" s="39"/>
      <c r="MKK106" s="39"/>
      <c r="MKL106" s="39"/>
      <c r="MKM106" s="39"/>
      <c r="MKN106" s="39"/>
      <c r="MKO106" s="39"/>
      <c r="MKP106" s="39"/>
      <c r="MKQ106" s="39"/>
      <c r="MKR106" s="39"/>
      <c r="MKS106" s="39"/>
      <c r="MKT106" s="39"/>
      <c r="MKU106" s="39"/>
      <c r="MKV106" s="39"/>
      <c r="MKW106" s="39"/>
      <c r="MKX106" s="39"/>
      <c r="MKY106" s="39"/>
      <c r="MKZ106" s="39"/>
      <c r="MLA106" s="39"/>
      <c r="MLB106" s="39"/>
      <c r="MLC106" s="39"/>
      <c r="MLD106" s="39"/>
      <c r="MLE106" s="39"/>
      <c r="MLF106" s="39"/>
      <c r="MLG106" s="39"/>
      <c r="MLH106" s="39"/>
      <c r="MLI106" s="39"/>
      <c r="MLJ106" s="39"/>
      <c r="MLK106" s="39"/>
      <c r="MLL106" s="39"/>
      <c r="MLM106" s="39"/>
      <c r="MLN106" s="39"/>
      <c r="MLO106" s="39"/>
      <c r="MLP106" s="39"/>
      <c r="MLQ106" s="39"/>
      <c r="MLR106" s="39"/>
      <c r="MLS106" s="39"/>
      <c r="MLT106" s="39"/>
      <c r="MLU106" s="39"/>
      <c r="MLV106" s="39"/>
      <c r="MLW106" s="39"/>
      <c r="MLX106" s="39"/>
      <c r="MLY106" s="39"/>
      <c r="MLZ106" s="39"/>
      <c r="MMA106" s="39"/>
      <c r="MMB106" s="39"/>
      <c r="MMC106" s="39"/>
      <c r="MMD106" s="39"/>
      <c r="MME106" s="39"/>
      <c r="MMF106" s="39"/>
      <c r="MMG106" s="39"/>
      <c r="MMH106" s="39"/>
      <c r="MMI106" s="39"/>
      <c r="MMJ106" s="39"/>
      <c r="MMK106" s="39"/>
      <c r="MML106" s="39"/>
      <c r="MMM106" s="39"/>
      <c r="MMN106" s="39"/>
      <c r="MMO106" s="39"/>
      <c r="MMP106" s="39"/>
      <c r="MMQ106" s="39"/>
      <c r="MMR106" s="39"/>
      <c r="MMS106" s="39"/>
      <c r="MMT106" s="39"/>
      <c r="MMU106" s="39"/>
      <c r="MMV106" s="39"/>
      <c r="MMW106" s="39"/>
      <c r="MMX106" s="39"/>
      <c r="MMY106" s="39"/>
      <c r="MMZ106" s="39"/>
      <c r="MNA106" s="39"/>
      <c r="MNB106" s="39"/>
      <c r="MNC106" s="39"/>
      <c r="MND106" s="39"/>
      <c r="MNE106" s="39"/>
      <c r="MNF106" s="39"/>
      <c r="MNG106" s="39"/>
      <c r="MNH106" s="39"/>
      <c r="MNI106" s="39"/>
      <c r="MNJ106" s="39"/>
      <c r="MNK106" s="39"/>
      <c r="MNL106" s="39"/>
      <c r="MNM106" s="39"/>
      <c r="MNN106" s="39"/>
      <c r="MNO106" s="39"/>
      <c r="MNP106" s="39"/>
      <c r="MNQ106" s="39"/>
      <c r="MNR106" s="39"/>
      <c r="MNS106" s="39"/>
      <c r="MNT106" s="39"/>
      <c r="MNU106" s="39"/>
      <c r="MNV106" s="39"/>
      <c r="MNW106" s="39"/>
      <c r="MNX106" s="39"/>
      <c r="MNY106" s="39"/>
      <c r="MNZ106" s="39"/>
      <c r="MOA106" s="39"/>
      <c r="MOB106" s="39"/>
      <c r="MOC106" s="39"/>
      <c r="MOD106" s="39"/>
      <c r="MOE106" s="39"/>
      <c r="MOF106" s="39"/>
      <c r="MOG106" s="39"/>
      <c r="MOH106" s="39"/>
      <c r="MOI106" s="39"/>
      <c r="MOJ106" s="39"/>
      <c r="MOK106" s="39"/>
      <c r="MOL106" s="39"/>
      <c r="MOM106" s="39"/>
      <c r="MON106" s="39"/>
      <c r="MOO106" s="39"/>
      <c r="MOP106" s="39"/>
      <c r="MOQ106" s="39"/>
      <c r="MOR106" s="39"/>
      <c r="MOS106" s="39"/>
      <c r="MOT106" s="39"/>
      <c r="MOU106" s="39"/>
      <c r="MOV106" s="39"/>
      <c r="MOW106" s="39"/>
      <c r="MOX106" s="39"/>
      <c r="MOY106" s="39"/>
      <c r="MOZ106" s="39"/>
      <c r="MPA106" s="39"/>
      <c r="MPB106" s="39"/>
      <c r="MPC106" s="39"/>
      <c r="MPD106" s="39"/>
      <c r="MPE106" s="39"/>
      <c r="MPF106" s="39"/>
      <c r="MPG106" s="39"/>
      <c r="MPH106" s="39"/>
      <c r="MPI106" s="39"/>
      <c r="MPJ106" s="39"/>
      <c r="MPK106" s="39"/>
      <c r="MPL106" s="39"/>
      <c r="MPM106" s="39"/>
      <c r="MPN106" s="39"/>
      <c r="MPO106" s="39"/>
      <c r="MPP106" s="39"/>
      <c r="MPQ106" s="39"/>
      <c r="MPR106" s="39"/>
      <c r="MPS106" s="39"/>
      <c r="MPT106" s="39"/>
      <c r="MPU106" s="39"/>
      <c r="MPV106" s="39"/>
      <c r="MPW106" s="39"/>
      <c r="MPX106" s="39"/>
      <c r="MPY106" s="39"/>
      <c r="MPZ106" s="39"/>
      <c r="MQA106" s="39"/>
      <c r="MQB106" s="39"/>
      <c r="MQC106" s="39"/>
      <c r="MQD106" s="39"/>
      <c r="MQE106" s="39"/>
      <c r="MQF106" s="39"/>
      <c r="MQG106" s="39"/>
      <c r="MQH106" s="39"/>
      <c r="MQI106" s="39"/>
      <c r="MQJ106" s="39"/>
      <c r="MQK106" s="39"/>
      <c r="MQL106" s="39"/>
      <c r="MQM106" s="39"/>
      <c r="MQN106" s="39"/>
      <c r="MQO106" s="39"/>
      <c r="MQP106" s="39"/>
      <c r="MQQ106" s="39"/>
      <c r="MQR106" s="39"/>
      <c r="MQS106" s="39"/>
      <c r="MQT106" s="39"/>
      <c r="MQU106" s="39"/>
      <c r="MQV106" s="39"/>
      <c r="MQW106" s="39"/>
      <c r="MQX106" s="39"/>
      <c r="MQY106" s="39"/>
      <c r="MQZ106" s="39"/>
      <c r="MRA106" s="39"/>
      <c r="MRB106" s="39"/>
      <c r="MRC106" s="39"/>
      <c r="MRD106" s="39"/>
      <c r="MRE106" s="39"/>
      <c r="MRF106" s="39"/>
      <c r="MRG106" s="39"/>
      <c r="MRH106" s="39"/>
      <c r="MRI106" s="39"/>
      <c r="MRJ106" s="39"/>
      <c r="MRK106" s="39"/>
      <c r="MRL106" s="39"/>
      <c r="MRM106" s="39"/>
      <c r="MRN106" s="39"/>
      <c r="MRO106" s="39"/>
      <c r="MRP106" s="39"/>
      <c r="MRQ106" s="39"/>
      <c r="MRR106" s="39"/>
      <c r="MRS106" s="39"/>
      <c r="MRT106" s="39"/>
      <c r="MRU106" s="39"/>
      <c r="MRV106" s="39"/>
      <c r="MRW106" s="39"/>
      <c r="MRX106" s="39"/>
      <c r="MRY106" s="39"/>
      <c r="MRZ106" s="39"/>
      <c r="MSA106" s="39"/>
      <c r="MSB106" s="39"/>
      <c r="MSC106" s="39"/>
      <c r="MSD106" s="39"/>
      <c r="MSE106" s="39"/>
      <c r="MSF106" s="39"/>
      <c r="MSG106" s="39"/>
      <c r="MSH106" s="39"/>
      <c r="MSI106" s="39"/>
      <c r="MSJ106" s="39"/>
      <c r="MSK106" s="39"/>
      <c r="MSL106" s="39"/>
      <c r="MSM106" s="39"/>
      <c r="MSN106" s="39"/>
      <c r="MSO106" s="39"/>
      <c r="MSP106" s="39"/>
      <c r="MSQ106" s="39"/>
      <c r="MSR106" s="39"/>
      <c r="MSS106" s="39"/>
      <c r="MST106" s="39"/>
      <c r="MSU106" s="39"/>
      <c r="MSV106" s="39"/>
      <c r="MSW106" s="39"/>
      <c r="MSX106" s="39"/>
      <c r="MSY106" s="39"/>
      <c r="MSZ106" s="39"/>
      <c r="MTA106" s="39"/>
      <c r="MTB106" s="39"/>
      <c r="MTC106" s="39"/>
      <c r="MTD106" s="39"/>
      <c r="MTE106" s="39"/>
      <c r="MTF106" s="39"/>
      <c r="MTG106" s="39"/>
      <c r="MTH106" s="39"/>
      <c r="MTI106" s="39"/>
      <c r="MTJ106" s="39"/>
      <c r="MTK106" s="39"/>
      <c r="MTL106" s="39"/>
      <c r="MTM106" s="39"/>
      <c r="MTN106" s="39"/>
      <c r="MTO106" s="39"/>
      <c r="MTP106" s="39"/>
      <c r="MTQ106" s="39"/>
      <c r="MTR106" s="39"/>
      <c r="MTS106" s="39"/>
      <c r="MTT106" s="39"/>
      <c r="MTU106" s="39"/>
      <c r="MTV106" s="39"/>
      <c r="MTW106" s="39"/>
      <c r="MTX106" s="39"/>
      <c r="MTY106" s="39"/>
      <c r="MTZ106" s="39"/>
      <c r="MUA106" s="39"/>
      <c r="MUB106" s="39"/>
      <c r="MUC106" s="39"/>
      <c r="MUD106" s="39"/>
      <c r="MUE106" s="39"/>
      <c r="MUF106" s="39"/>
      <c r="MUG106" s="39"/>
      <c r="MUH106" s="39"/>
      <c r="MUI106" s="39"/>
      <c r="MUJ106" s="39"/>
      <c r="MUK106" s="39"/>
      <c r="MUL106" s="39"/>
      <c r="MUM106" s="39"/>
      <c r="MUN106" s="39"/>
      <c r="MUO106" s="39"/>
      <c r="MUP106" s="39"/>
      <c r="MUQ106" s="39"/>
      <c r="MUR106" s="39"/>
      <c r="MUS106" s="39"/>
      <c r="MUT106" s="39"/>
      <c r="MUU106" s="39"/>
      <c r="MUV106" s="39"/>
      <c r="MUW106" s="39"/>
      <c r="MUX106" s="39"/>
      <c r="MUY106" s="39"/>
      <c r="MUZ106" s="39"/>
      <c r="MVA106" s="39"/>
      <c r="MVB106" s="39"/>
      <c r="MVC106" s="39"/>
      <c r="MVD106" s="39"/>
      <c r="MVE106" s="39"/>
      <c r="MVF106" s="39"/>
      <c r="MVG106" s="39"/>
      <c r="MVH106" s="39"/>
      <c r="MVI106" s="39"/>
      <c r="MVJ106" s="39"/>
      <c r="MVK106" s="39"/>
      <c r="MVL106" s="39"/>
      <c r="MVM106" s="39"/>
      <c r="MVN106" s="39"/>
      <c r="MVO106" s="39"/>
      <c r="MVP106" s="39"/>
      <c r="MVQ106" s="39"/>
      <c r="MVR106" s="39"/>
      <c r="MVS106" s="39"/>
      <c r="MVT106" s="39"/>
      <c r="MVU106" s="39"/>
      <c r="MVV106" s="39"/>
      <c r="MVW106" s="39"/>
      <c r="MVX106" s="39"/>
      <c r="MVY106" s="39"/>
      <c r="MVZ106" s="39"/>
      <c r="MWA106" s="39"/>
      <c r="MWB106" s="39"/>
      <c r="MWC106" s="39"/>
      <c r="MWD106" s="39"/>
      <c r="MWE106" s="39"/>
      <c r="MWF106" s="39"/>
      <c r="MWG106" s="39"/>
      <c r="MWH106" s="39"/>
      <c r="MWI106" s="39"/>
      <c r="MWJ106" s="39"/>
      <c r="MWK106" s="39"/>
      <c r="MWL106" s="39"/>
      <c r="MWM106" s="39"/>
      <c r="MWN106" s="39"/>
      <c r="MWO106" s="39"/>
      <c r="MWP106" s="39"/>
      <c r="MWQ106" s="39"/>
      <c r="MWR106" s="39"/>
      <c r="MWS106" s="39"/>
      <c r="MWT106" s="39"/>
      <c r="MWU106" s="39"/>
      <c r="MWV106" s="39"/>
      <c r="MWW106" s="39"/>
      <c r="MWX106" s="39"/>
      <c r="MWY106" s="39"/>
      <c r="MWZ106" s="39"/>
      <c r="MXA106" s="39"/>
      <c r="MXB106" s="39"/>
      <c r="MXC106" s="39"/>
      <c r="MXD106" s="39"/>
      <c r="MXE106" s="39"/>
      <c r="MXF106" s="39"/>
      <c r="MXG106" s="39"/>
      <c r="MXH106" s="39"/>
      <c r="MXI106" s="39"/>
      <c r="MXJ106" s="39"/>
      <c r="MXK106" s="39"/>
      <c r="MXL106" s="39"/>
      <c r="MXM106" s="39"/>
      <c r="MXN106" s="39"/>
      <c r="MXO106" s="39"/>
      <c r="MXP106" s="39"/>
      <c r="MXQ106" s="39"/>
      <c r="MXR106" s="39"/>
      <c r="MXS106" s="39"/>
      <c r="MXT106" s="39"/>
      <c r="MXU106" s="39"/>
      <c r="MXV106" s="39"/>
      <c r="MXW106" s="39"/>
      <c r="MXX106" s="39"/>
      <c r="MXY106" s="39"/>
      <c r="MXZ106" s="39"/>
      <c r="MYA106" s="39"/>
      <c r="MYB106" s="39"/>
      <c r="MYC106" s="39"/>
      <c r="MYD106" s="39"/>
      <c r="MYE106" s="39"/>
      <c r="MYF106" s="39"/>
      <c r="MYG106" s="39"/>
      <c r="MYH106" s="39"/>
      <c r="MYI106" s="39"/>
      <c r="MYJ106" s="39"/>
      <c r="MYK106" s="39"/>
      <c r="MYL106" s="39"/>
      <c r="MYM106" s="39"/>
      <c r="MYN106" s="39"/>
      <c r="MYO106" s="39"/>
      <c r="MYP106" s="39"/>
      <c r="MYQ106" s="39"/>
      <c r="MYR106" s="39"/>
      <c r="MYS106" s="39"/>
      <c r="MYT106" s="39"/>
      <c r="MYU106" s="39"/>
      <c r="MYV106" s="39"/>
      <c r="MYW106" s="39"/>
      <c r="MYX106" s="39"/>
      <c r="MYY106" s="39"/>
      <c r="MYZ106" s="39"/>
      <c r="MZA106" s="39"/>
      <c r="MZB106" s="39"/>
      <c r="MZC106" s="39"/>
      <c r="MZD106" s="39"/>
      <c r="MZE106" s="39"/>
      <c r="MZF106" s="39"/>
      <c r="MZG106" s="39"/>
      <c r="MZH106" s="39"/>
      <c r="MZI106" s="39"/>
      <c r="MZJ106" s="39"/>
      <c r="MZK106" s="39"/>
      <c r="MZL106" s="39"/>
      <c r="MZM106" s="39"/>
      <c r="MZN106" s="39"/>
      <c r="MZO106" s="39"/>
      <c r="MZP106" s="39"/>
      <c r="MZQ106" s="39"/>
      <c r="MZR106" s="39"/>
      <c r="MZS106" s="39"/>
      <c r="MZT106" s="39"/>
      <c r="MZU106" s="39"/>
      <c r="MZV106" s="39"/>
      <c r="MZW106" s="39"/>
      <c r="MZX106" s="39"/>
      <c r="MZY106" s="39"/>
      <c r="MZZ106" s="39"/>
      <c r="NAA106" s="39"/>
      <c r="NAB106" s="39"/>
      <c r="NAC106" s="39"/>
      <c r="NAD106" s="39"/>
      <c r="NAE106" s="39"/>
      <c r="NAF106" s="39"/>
      <c r="NAG106" s="39"/>
      <c r="NAH106" s="39"/>
      <c r="NAI106" s="39"/>
      <c r="NAJ106" s="39"/>
      <c r="NAK106" s="39"/>
      <c r="NAL106" s="39"/>
      <c r="NAM106" s="39"/>
      <c r="NAN106" s="39"/>
      <c r="NAO106" s="39"/>
      <c r="NAP106" s="39"/>
      <c r="NAQ106" s="39"/>
      <c r="NAR106" s="39"/>
      <c r="NAS106" s="39"/>
      <c r="NAT106" s="39"/>
      <c r="NAU106" s="39"/>
      <c r="NAV106" s="39"/>
      <c r="NAW106" s="39"/>
      <c r="NAX106" s="39"/>
      <c r="NAY106" s="39"/>
      <c r="NAZ106" s="39"/>
      <c r="NBA106" s="39"/>
      <c r="NBB106" s="39"/>
      <c r="NBC106" s="39"/>
      <c r="NBD106" s="39"/>
      <c r="NBE106" s="39"/>
      <c r="NBF106" s="39"/>
      <c r="NBG106" s="39"/>
      <c r="NBH106" s="39"/>
      <c r="NBI106" s="39"/>
      <c r="NBJ106" s="39"/>
      <c r="NBK106" s="39"/>
      <c r="NBL106" s="39"/>
      <c r="NBM106" s="39"/>
      <c r="NBN106" s="39"/>
      <c r="NBO106" s="39"/>
      <c r="NBP106" s="39"/>
      <c r="NBQ106" s="39"/>
      <c r="NBR106" s="39"/>
      <c r="NBS106" s="39"/>
      <c r="NBT106" s="39"/>
      <c r="NBU106" s="39"/>
      <c r="NBV106" s="39"/>
      <c r="NBW106" s="39"/>
      <c r="NBX106" s="39"/>
      <c r="NBY106" s="39"/>
      <c r="NBZ106" s="39"/>
      <c r="NCA106" s="39"/>
      <c r="NCB106" s="39"/>
      <c r="NCC106" s="39"/>
      <c r="NCD106" s="39"/>
      <c r="NCE106" s="39"/>
      <c r="NCF106" s="39"/>
      <c r="NCG106" s="39"/>
      <c r="NCH106" s="39"/>
      <c r="NCI106" s="39"/>
      <c r="NCJ106" s="39"/>
      <c r="NCK106" s="39"/>
      <c r="NCL106" s="39"/>
      <c r="NCM106" s="39"/>
      <c r="NCN106" s="39"/>
      <c r="NCO106" s="39"/>
      <c r="NCP106" s="39"/>
      <c r="NCQ106" s="39"/>
      <c r="NCR106" s="39"/>
      <c r="NCS106" s="39"/>
      <c r="NCT106" s="39"/>
      <c r="NCU106" s="39"/>
      <c r="NCV106" s="39"/>
      <c r="NCW106" s="39"/>
      <c r="NCX106" s="39"/>
      <c r="NCY106" s="39"/>
      <c r="NCZ106" s="39"/>
      <c r="NDA106" s="39"/>
      <c r="NDB106" s="39"/>
      <c r="NDC106" s="39"/>
      <c r="NDD106" s="39"/>
      <c r="NDE106" s="39"/>
      <c r="NDF106" s="39"/>
      <c r="NDG106" s="39"/>
      <c r="NDH106" s="39"/>
      <c r="NDI106" s="39"/>
      <c r="NDJ106" s="39"/>
      <c r="NDK106" s="39"/>
      <c r="NDL106" s="39"/>
      <c r="NDM106" s="39"/>
      <c r="NDN106" s="39"/>
      <c r="NDO106" s="39"/>
      <c r="NDP106" s="39"/>
      <c r="NDQ106" s="39"/>
      <c r="NDR106" s="39"/>
      <c r="NDS106" s="39"/>
      <c r="NDT106" s="39"/>
      <c r="NDU106" s="39"/>
      <c r="NDV106" s="39"/>
      <c r="NDW106" s="39"/>
      <c r="NDX106" s="39"/>
      <c r="NDY106" s="39"/>
      <c r="NDZ106" s="39"/>
      <c r="NEA106" s="39"/>
      <c r="NEB106" s="39"/>
      <c r="NEC106" s="39"/>
      <c r="NED106" s="39"/>
      <c r="NEE106" s="39"/>
      <c r="NEF106" s="39"/>
      <c r="NEG106" s="39"/>
      <c r="NEH106" s="39"/>
      <c r="NEI106" s="39"/>
      <c r="NEJ106" s="39"/>
      <c r="NEK106" s="39"/>
      <c r="NEL106" s="39"/>
      <c r="NEM106" s="39"/>
      <c r="NEN106" s="39"/>
      <c r="NEO106" s="39"/>
      <c r="NEP106" s="39"/>
      <c r="NEQ106" s="39"/>
      <c r="NER106" s="39"/>
      <c r="NES106" s="39"/>
      <c r="NET106" s="39"/>
      <c r="NEU106" s="39"/>
      <c r="NEV106" s="39"/>
      <c r="NEW106" s="39"/>
      <c r="NEX106" s="39"/>
      <c r="NEY106" s="39"/>
      <c r="NEZ106" s="39"/>
      <c r="NFA106" s="39"/>
      <c r="NFB106" s="39"/>
      <c r="NFC106" s="39"/>
      <c r="NFD106" s="39"/>
      <c r="NFE106" s="39"/>
      <c r="NFF106" s="39"/>
      <c r="NFG106" s="39"/>
      <c r="NFH106" s="39"/>
      <c r="NFI106" s="39"/>
      <c r="NFJ106" s="39"/>
      <c r="NFK106" s="39"/>
      <c r="NFL106" s="39"/>
      <c r="NFM106" s="39"/>
      <c r="NFN106" s="39"/>
      <c r="NFO106" s="39"/>
      <c r="NFP106" s="39"/>
      <c r="NFQ106" s="39"/>
      <c r="NFR106" s="39"/>
      <c r="NFS106" s="39"/>
      <c r="NFT106" s="39"/>
      <c r="NFU106" s="39"/>
      <c r="NFV106" s="39"/>
      <c r="NFW106" s="39"/>
      <c r="NFX106" s="39"/>
      <c r="NFY106" s="39"/>
      <c r="NFZ106" s="39"/>
      <c r="NGA106" s="39"/>
      <c r="NGB106" s="39"/>
      <c r="NGC106" s="39"/>
      <c r="NGD106" s="39"/>
      <c r="NGE106" s="39"/>
      <c r="NGF106" s="39"/>
      <c r="NGG106" s="39"/>
      <c r="NGH106" s="39"/>
      <c r="NGI106" s="39"/>
      <c r="NGJ106" s="39"/>
      <c r="NGK106" s="39"/>
      <c r="NGL106" s="39"/>
      <c r="NGM106" s="39"/>
      <c r="NGN106" s="39"/>
      <c r="NGO106" s="39"/>
      <c r="NGP106" s="39"/>
      <c r="NGQ106" s="39"/>
      <c r="NGR106" s="39"/>
      <c r="NGS106" s="39"/>
      <c r="NGT106" s="39"/>
      <c r="NGU106" s="39"/>
      <c r="NGV106" s="39"/>
      <c r="NGW106" s="39"/>
      <c r="NGX106" s="39"/>
      <c r="NGY106" s="39"/>
      <c r="NGZ106" s="39"/>
      <c r="NHA106" s="39"/>
      <c r="NHB106" s="39"/>
      <c r="NHC106" s="39"/>
      <c r="NHD106" s="39"/>
      <c r="NHE106" s="39"/>
      <c r="NHF106" s="39"/>
      <c r="NHG106" s="39"/>
      <c r="NHH106" s="39"/>
      <c r="NHI106" s="39"/>
      <c r="NHJ106" s="39"/>
      <c r="NHK106" s="39"/>
      <c r="NHL106" s="39"/>
      <c r="NHM106" s="39"/>
      <c r="NHN106" s="39"/>
      <c r="NHO106" s="39"/>
      <c r="NHP106" s="39"/>
      <c r="NHQ106" s="39"/>
      <c r="NHR106" s="39"/>
      <c r="NHS106" s="39"/>
      <c r="NHT106" s="39"/>
      <c r="NHU106" s="39"/>
      <c r="NHV106" s="39"/>
      <c r="NHW106" s="39"/>
      <c r="NHX106" s="39"/>
      <c r="NHY106" s="39"/>
      <c r="NHZ106" s="39"/>
      <c r="NIA106" s="39"/>
      <c r="NIB106" s="39"/>
      <c r="NIC106" s="39"/>
      <c r="NID106" s="39"/>
      <c r="NIE106" s="39"/>
      <c r="NIF106" s="39"/>
      <c r="NIG106" s="39"/>
      <c r="NIH106" s="39"/>
      <c r="NII106" s="39"/>
      <c r="NIJ106" s="39"/>
      <c r="NIK106" s="39"/>
      <c r="NIL106" s="39"/>
      <c r="NIM106" s="39"/>
      <c r="NIN106" s="39"/>
      <c r="NIO106" s="39"/>
      <c r="NIP106" s="39"/>
      <c r="NIQ106" s="39"/>
      <c r="NIR106" s="39"/>
      <c r="NIS106" s="39"/>
      <c r="NIT106" s="39"/>
      <c r="NIU106" s="39"/>
      <c r="NIV106" s="39"/>
      <c r="NIW106" s="39"/>
      <c r="NIX106" s="39"/>
      <c r="NIY106" s="39"/>
      <c r="NIZ106" s="39"/>
      <c r="NJA106" s="39"/>
      <c r="NJB106" s="39"/>
      <c r="NJC106" s="39"/>
      <c r="NJD106" s="39"/>
      <c r="NJE106" s="39"/>
      <c r="NJF106" s="39"/>
      <c r="NJG106" s="39"/>
      <c r="NJH106" s="39"/>
      <c r="NJI106" s="39"/>
      <c r="NJJ106" s="39"/>
      <c r="NJK106" s="39"/>
      <c r="NJL106" s="39"/>
      <c r="NJM106" s="39"/>
      <c r="NJN106" s="39"/>
      <c r="NJO106" s="39"/>
      <c r="NJP106" s="39"/>
      <c r="NJQ106" s="39"/>
      <c r="NJR106" s="39"/>
      <c r="NJS106" s="39"/>
      <c r="NJT106" s="39"/>
      <c r="NJU106" s="39"/>
      <c r="NJV106" s="39"/>
      <c r="NJW106" s="39"/>
      <c r="NJX106" s="39"/>
      <c r="NJY106" s="39"/>
      <c r="NJZ106" s="39"/>
      <c r="NKA106" s="39"/>
      <c r="NKB106" s="39"/>
      <c r="NKC106" s="39"/>
      <c r="NKD106" s="39"/>
      <c r="NKE106" s="39"/>
      <c r="NKF106" s="39"/>
      <c r="NKG106" s="39"/>
      <c r="NKH106" s="39"/>
      <c r="NKI106" s="39"/>
      <c r="NKJ106" s="39"/>
      <c r="NKK106" s="39"/>
      <c r="NKL106" s="39"/>
      <c r="NKM106" s="39"/>
      <c r="NKN106" s="39"/>
      <c r="NKO106" s="39"/>
      <c r="NKP106" s="39"/>
      <c r="NKQ106" s="39"/>
      <c r="NKR106" s="39"/>
      <c r="NKS106" s="39"/>
      <c r="NKT106" s="39"/>
      <c r="NKU106" s="39"/>
      <c r="NKV106" s="39"/>
      <c r="NKW106" s="39"/>
      <c r="NKX106" s="39"/>
      <c r="NKY106" s="39"/>
      <c r="NKZ106" s="39"/>
      <c r="NLA106" s="39"/>
      <c r="NLB106" s="39"/>
      <c r="NLC106" s="39"/>
      <c r="NLD106" s="39"/>
      <c r="NLE106" s="39"/>
      <c r="NLF106" s="39"/>
      <c r="NLG106" s="39"/>
      <c r="NLH106" s="39"/>
      <c r="NLI106" s="39"/>
      <c r="NLJ106" s="39"/>
      <c r="NLK106" s="39"/>
      <c r="NLL106" s="39"/>
      <c r="NLM106" s="39"/>
      <c r="NLN106" s="39"/>
      <c r="NLO106" s="39"/>
      <c r="NLP106" s="39"/>
      <c r="NLQ106" s="39"/>
      <c r="NLR106" s="39"/>
      <c r="NLS106" s="39"/>
      <c r="NLT106" s="39"/>
      <c r="NLU106" s="39"/>
      <c r="NLV106" s="39"/>
      <c r="NLW106" s="39"/>
      <c r="NLX106" s="39"/>
      <c r="NLY106" s="39"/>
      <c r="NLZ106" s="39"/>
      <c r="NMA106" s="39"/>
      <c r="NMB106" s="39"/>
      <c r="NMC106" s="39"/>
      <c r="NMD106" s="39"/>
      <c r="NME106" s="39"/>
      <c r="NMF106" s="39"/>
      <c r="NMG106" s="39"/>
      <c r="NMH106" s="39"/>
      <c r="NMI106" s="39"/>
      <c r="NMJ106" s="39"/>
      <c r="NMK106" s="39"/>
      <c r="NML106" s="39"/>
      <c r="NMM106" s="39"/>
      <c r="NMN106" s="39"/>
      <c r="NMO106" s="39"/>
      <c r="NMP106" s="39"/>
      <c r="NMQ106" s="39"/>
      <c r="NMR106" s="39"/>
      <c r="NMS106" s="39"/>
      <c r="NMT106" s="39"/>
      <c r="NMU106" s="39"/>
      <c r="NMV106" s="39"/>
      <c r="NMW106" s="39"/>
      <c r="NMX106" s="39"/>
      <c r="NMY106" s="39"/>
      <c r="NMZ106" s="39"/>
      <c r="NNA106" s="39"/>
      <c r="NNB106" s="39"/>
      <c r="NNC106" s="39"/>
      <c r="NND106" s="39"/>
      <c r="NNE106" s="39"/>
      <c r="NNF106" s="39"/>
      <c r="NNG106" s="39"/>
      <c r="NNH106" s="39"/>
      <c r="NNI106" s="39"/>
      <c r="NNJ106" s="39"/>
      <c r="NNK106" s="39"/>
      <c r="NNL106" s="39"/>
      <c r="NNM106" s="39"/>
      <c r="NNN106" s="39"/>
      <c r="NNO106" s="39"/>
      <c r="NNP106" s="39"/>
      <c r="NNQ106" s="39"/>
      <c r="NNR106" s="39"/>
      <c r="NNS106" s="39"/>
      <c r="NNT106" s="39"/>
      <c r="NNU106" s="39"/>
      <c r="NNV106" s="39"/>
      <c r="NNW106" s="39"/>
      <c r="NNX106" s="39"/>
      <c r="NNY106" s="39"/>
      <c r="NNZ106" s="39"/>
      <c r="NOA106" s="39"/>
      <c r="NOB106" s="39"/>
      <c r="NOC106" s="39"/>
      <c r="NOD106" s="39"/>
      <c r="NOE106" s="39"/>
      <c r="NOF106" s="39"/>
      <c r="NOG106" s="39"/>
      <c r="NOH106" s="39"/>
      <c r="NOI106" s="39"/>
      <c r="NOJ106" s="39"/>
      <c r="NOK106" s="39"/>
      <c r="NOL106" s="39"/>
      <c r="NOM106" s="39"/>
      <c r="NON106" s="39"/>
      <c r="NOO106" s="39"/>
      <c r="NOP106" s="39"/>
      <c r="NOQ106" s="39"/>
      <c r="NOR106" s="39"/>
      <c r="NOS106" s="39"/>
      <c r="NOT106" s="39"/>
      <c r="NOU106" s="39"/>
      <c r="NOV106" s="39"/>
      <c r="NOW106" s="39"/>
      <c r="NOX106" s="39"/>
      <c r="NOY106" s="39"/>
      <c r="NOZ106" s="39"/>
      <c r="NPA106" s="39"/>
      <c r="NPB106" s="39"/>
      <c r="NPC106" s="39"/>
      <c r="NPD106" s="39"/>
      <c r="NPE106" s="39"/>
      <c r="NPF106" s="39"/>
      <c r="NPG106" s="39"/>
      <c r="NPH106" s="39"/>
      <c r="NPI106" s="39"/>
      <c r="NPJ106" s="39"/>
      <c r="NPK106" s="39"/>
      <c r="NPL106" s="39"/>
      <c r="NPM106" s="39"/>
      <c r="NPN106" s="39"/>
      <c r="NPO106" s="39"/>
      <c r="NPP106" s="39"/>
      <c r="NPQ106" s="39"/>
      <c r="NPR106" s="39"/>
      <c r="NPS106" s="39"/>
      <c r="NPT106" s="39"/>
      <c r="NPU106" s="39"/>
      <c r="NPV106" s="39"/>
      <c r="NPW106" s="39"/>
      <c r="NPX106" s="39"/>
      <c r="NPY106" s="39"/>
      <c r="NPZ106" s="39"/>
      <c r="NQA106" s="39"/>
      <c r="NQB106" s="39"/>
      <c r="NQC106" s="39"/>
      <c r="NQD106" s="39"/>
      <c r="NQE106" s="39"/>
      <c r="NQF106" s="39"/>
      <c r="NQG106" s="39"/>
      <c r="NQH106" s="39"/>
      <c r="NQI106" s="39"/>
      <c r="NQJ106" s="39"/>
      <c r="NQK106" s="39"/>
      <c r="NQL106" s="39"/>
      <c r="NQM106" s="39"/>
      <c r="NQN106" s="39"/>
      <c r="NQO106" s="39"/>
      <c r="NQP106" s="39"/>
      <c r="NQQ106" s="39"/>
      <c r="NQR106" s="39"/>
      <c r="NQS106" s="39"/>
      <c r="NQT106" s="39"/>
      <c r="NQU106" s="39"/>
      <c r="NQV106" s="39"/>
      <c r="NQW106" s="39"/>
      <c r="NQX106" s="39"/>
      <c r="NQY106" s="39"/>
      <c r="NQZ106" s="39"/>
      <c r="NRA106" s="39"/>
      <c r="NRB106" s="39"/>
      <c r="NRC106" s="39"/>
      <c r="NRD106" s="39"/>
      <c r="NRE106" s="39"/>
      <c r="NRF106" s="39"/>
      <c r="NRG106" s="39"/>
      <c r="NRH106" s="39"/>
      <c r="NRI106" s="39"/>
      <c r="NRJ106" s="39"/>
      <c r="NRK106" s="39"/>
      <c r="NRL106" s="39"/>
      <c r="NRM106" s="39"/>
      <c r="NRN106" s="39"/>
      <c r="NRO106" s="39"/>
      <c r="NRP106" s="39"/>
      <c r="NRQ106" s="39"/>
      <c r="NRR106" s="39"/>
      <c r="NRS106" s="39"/>
      <c r="NRT106" s="39"/>
      <c r="NRU106" s="39"/>
      <c r="NRV106" s="39"/>
      <c r="NRW106" s="39"/>
      <c r="NRX106" s="39"/>
      <c r="NRY106" s="39"/>
      <c r="NRZ106" s="39"/>
      <c r="NSA106" s="39"/>
      <c r="NSB106" s="39"/>
      <c r="NSC106" s="39"/>
      <c r="NSD106" s="39"/>
      <c r="NSE106" s="39"/>
      <c r="NSF106" s="39"/>
      <c r="NSG106" s="39"/>
      <c r="NSH106" s="39"/>
      <c r="NSI106" s="39"/>
      <c r="NSJ106" s="39"/>
      <c r="NSK106" s="39"/>
      <c r="NSL106" s="39"/>
      <c r="NSM106" s="39"/>
      <c r="NSN106" s="39"/>
      <c r="NSO106" s="39"/>
      <c r="NSP106" s="39"/>
      <c r="NSQ106" s="39"/>
      <c r="NSR106" s="39"/>
      <c r="NSS106" s="39"/>
      <c r="NST106" s="39"/>
      <c r="NSU106" s="39"/>
      <c r="NSV106" s="39"/>
      <c r="NSW106" s="39"/>
      <c r="NSX106" s="39"/>
      <c r="NSY106" s="39"/>
      <c r="NSZ106" s="39"/>
      <c r="NTA106" s="39"/>
      <c r="NTB106" s="39"/>
      <c r="NTC106" s="39"/>
      <c r="NTD106" s="39"/>
      <c r="NTE106" s="39"/>
      <c r="NTF106" s="39"/>
      <c r="NTG106" s="39"/>
      <c r="NTH106" s="39"/>
      <c r="NTI106" s="39"/>
      <c r="NTJ106" s="39"/>
      <c r="NTK106" s="39"/>
      <c r="NTL106" s="39"/>
      <c r="NTM106" s="39"/>
      <c r="NTN106" s="39"/>
      <c r="NTO106" s="39"/>
      <c r="NTP106" s="39"/>
      <c r="NTQ106" s="39"/>
      <c r="NTR106" s="39"/>
      <c r="NTS106" s="39"/>
      <c r="NTT106" s="39"/>
      <c r="NTU106" s="39"/>
      <c r="NTV106" s="39"/>
      <c r="NTW106" s="39"/>
      <c r="NTX106" s="39"/>
      <c r="NTY106" s="39"/>
      <c r="NTZ106" s="39"/>
      <c r="NUA106" s="39"/>
      <c r="NUB106" s="39"/>
      <c r="NUC106" s="39"/>
      <c r="NUD106" s="39"/>
      <c r="NUE106" s="39"/>
      <c r="NUF106" s="39"/>
      <c r="NUG106" s="39"/>
      <c r="NUH106" s="39"/>
      <c r="NUI106" s="39"/>
      <c r="NUJ106" s="39"/>
      <c r="NUK106" s="39"/>
      <c r="NUL106" s="39"/>
      <c r="NUM106" s="39"/>
      <c r="NUN106" s="39"/>
      <c r="NUO106" s="39"/>
      <c r="NUP106" s="39"/>
      <c r="NUQ106" s="39"/>
      <c r="NUR106" s="39"/>
      <c r="NUS106" s="39"/>
      <c r="NUT106" s="39"/>
      <c r="NUU106" s="39"/>
      <c r="NUV106" s="39"/>
      <c r="NUW106" s="39"/>
      <c r="NUX106" s="39"/>
      <c r="NUY106" s="39"/>
      <c r="NUZ106" s="39"/>
      <c r="NVA106" s="39"/>
      <c r="NVB106" s="39"/>
      <c r="NVC106" s="39"/>
      <c r="NVD106" s="39"/>
      <c r="NVE106" s="39"/>
      <c r="NVF106" s="39"/>
      <c r="NVG106" s="39"/>
      <c r="NVH106" s="39"/>
      <c r="NVI106" s="39"/>
      <c r="NVJ106" s="39"/>
      <c r="NVK106" s="39"/>
      <c r="NVL106" s="39"/>
      <c r="NVM106" s="39"/>
      <c r="NVN106" s="39"/>
      <c r="NVO106" s="39"/>
      <c r="NVP106" s="39"/>
      <c r="NVQ106" s="39"/>
      <c r="NVR106" s="39"/>
      <c r="NVS106" s="39"/>
      <c r="NVT106" s="39"/>
      <c r="NVU106" s="39"/>
      <c r="NVV106" s="39"/>
      <c r="NVW106" s="39"/>
      <c r="NVX106" s="39"/>
      <c r="NVY106" s="39"/>
      <c r="NVZ106" s="39"/>
      <c r="NWA106" s="39"/>
      <c r="NWB106" s="39"/>
      <c r="NWC106" s="39"/>
      <c r="NWD106" s="39"/>
      <c r="NWE106" s="39"/>
      <c r="NWF106" s="39"/>
      <c r="NWG106" s="39"/>
      <c r="NWH106" s="39"/>
      <c r="NWI106" s="39"/>
      <c r="NWJ106" s="39"/>
      <c r="NWK106" s="39"/>
      <c r="NWL106" s="39"/>
      <c r="NWM106" s="39"/>
      <c r="NWN106" s="39"/>
      <c r="NWO106" s="39"/>
      <c r="NWP106" s="39"/>
      <c r="NWQ106" s="39"/>
      <c r="NWR106" s="39"/>
      <c r="NWS106" s="39"/>
      <c r="NWT106" s="39"/>
      <c r="NWU106" s="39"/>
      <c r="NWV106" s="39"/>
      <c r="NWW106" s="39"/>
      <c r="NWX106" s="39"/>
      <c r="NWY106" s="39"/>
      <c r="NWZ106" s="39"/>
      <c r="NXA106" s="39"/>
      <c r="NXB106" s="39"/>
      <c r="NXC106" s="39"/>
      <c r="NXD106" s="39"/>
      <c r="NXE106" s="39"/>
      <c r="NXF106" s="39"/>
      <c r="NXG106" s="39"/>
      <c r="NXH106" s="39"/>
      <c r="NXI106" s="39"/>
      <c r="NXJ106" s="39"/>
      <c r="NXK106" s="39"/>
      <c r="NXL106" s="39"/>
      <c r="NXM106" s="39"/>
      <c r="NXN106" s="39"/>
      <c r="NXO106" s="39"/>
      <c r="NXP106" s="39"/>
      <c r="NXQ106" s="39"/>
      <c r="NXR106" s="39"/>
      <c r="NXS106" s="39"/>
      <c r="NXT106" s="39"/>
      <c r="NXU106" s="39"/>
      <c r="NXV106" s="39"/>
      <c r="NXW106" s="39"/>
      <c r="NXX106" s="39"/>
      <c r="NXY106" s="39"/>
      <c r="NXZ106" s="39"/>
      <c r="NYA106" s="39"/>
      <c r="NYB106" s="39"/>
      <c r="NYC106" s="39"/>
      <c r="NYD106" s="39"/>
      <c r="NYE106" s="39"/>
      <c r="NYF106" s="39"/>
      <c r="NYG106" s="39"/>
      <c r="NYH106" s="39"/>
      <c r="NYI106" s="39"/>
      <c r="NYJ106" s="39"/>
      <c r="NYK106" s="39"/>
      <c r="NYL106" s="39"/>
      <c r="NYM106" s="39"/>
      <c r="NYN106" s="39"/>
      <c r="NYO106" s="39"/>
      <c r="NYP106" s="39"/>
      <c r="NYQ106" s="39"/>
      <c r="NYR106" s="39"/>
      <c r="NYS106" s="39"/>
      <c r="NYT106" s="39"/>
      <c r="NYU106" s="39"/>
      <c r="NYV106" s="39"/>
      <c r="NYW106" s="39"/>
      <c r="NYX106" s="39"/>
      <c r="NYY106" s="39"/>
      <c r="NYZ106" s="39"/>
      <c r="NZA106" s="39"/>
      <c r="NZB106" s="39"/>
      <c r="NZC106" s="39"/>
      <c r="NZD106" s="39"/>
      <c r="NZE106" s="39"/>
      <c r="NZF106" s="39"/>
      <c r="NZG106" s="39"/>
      <c r="NZH106" s="39"/>
      <c r="NZI106" s="39"/>
      <c r="NZJ106" s="39"/>
      <c r="NZK106" s="39"/>
      <c r="NZL106" s="39"/>
      <c r="NZM106" s="39"/>
      <c r="NZN106" s="39"/>
      <c r="NZO106" s="39"/>
      <c r="NZP106" s="39"/>
      <c r="NZQ106" s="39"/>
      <c r="NZR106" s="39"/>
      <c r="NZS106" s="39"/>
      <c r="NZT106" s="39"/>
      <c r="NZU106" s="39"/>
      <c r="NZV106" s="39"/>
      <c r="NZW106" s="39"/>
      <c r="NZX106" s="39"/>
      <c r="NZY106" s="39"/>
      <c r="NZZ106" s="39"/>
      <c r="OAA106" s="39"/>
      <c r="OAB106" s="39"/>
      <c r="OAC106" s="39"/>
      <c r="OAD106" s="39"/>
      <c r="OAE106" s="39"/>
      <c r="OAF106" s="39"/>
      <c r="OAG106" s="39"/>
      <c r="OAH106" s="39"/>
      <c r="OAI106" s="39"/>
      <c r="OAJ106" s="39"/>
      <c r="OAK106" s="39"/>
      <c r="OAL106" s="39"/>
      <c r="OAM106" s="39"/>
      <c r="OAN106" s="39"/>
      <c r="OAO106" s="39"/>
      <c r="OAP106" s="39"/>
      <c r="OAQ106" s="39"/>
      <c r="OAR106" s="39"/>
      <c r="OAS106" s="39"/>
      <c r="OAT106" s="39"/>
      <c r="OAU106" s="39"/>
      <c r="OAV106" s="39"/>
      <c r="OAW106" s="39"/>
      <c r="OAX106" s="39"/>
      <c r="OAY106" s="39"/>
      <c r="OAZ106" s="39"/>
      <c r="OBA106" s="39"/>
      <c r="OBB106" s="39"/>
      <c r="OBC106" s="39"/>
      <c r="OBD106" s="39"/>
      <c r="OBE106" s="39"/>
      <c r="OBF106" s="39"/>
      <c r="OBG106" s="39"/>
      <c r="OBH106" s="39"/>
      <c r="OBI106" s="39"/>
      <c r="OBJ106" s="39"/>
      <c r="OBK106" s="39"/>
      <c r="OBL106" s="39"/>
      <c r="OBM106" s="39"/>
      <c r="OBN106" s="39"/>
      <c r="OBO106" s="39"/>
      <c r="OBP106" s="39"/>
      <c r="OBQ106" s="39"/>
      <c r="OBR106" s="39"/>
      <c r="OBS106" s="39"/>
      <c r="OBT106" s="39"/>
      <c r="OBU106" s="39"/>
      <c r="OBV106" s="39"/>
      <c r="OBW106" s="39"/>
      <c r="OBX106" s="39"/>
      <c r="OBY106" s="39"/>
      <c r="OBZ106" s="39"/>
      <c r="OCA106" s="39"/>
      <c r="OCB106" s="39"/>
      <c r="OCC106" s="39"/>
      <c r="OCD106" s="39"/>
      <c r="OCE106" s="39"/>
      <c r="OCF106" s="39"/>
      <c r="OCG106" s="39"/>
      <c r="OCH106" s="39"/>
      <c r="OCI106" s="39"/>
      <c r="OCJ106" s="39"/>
      <c r="OCK106" s="39"/>
      <c r="OCL106" s="39"/>
      <c r="OCM106" s="39"/>
      <c r="OCN106" s="39"/>
      <c r="OCO106" s="39"/>
      <c r="OCP106" s="39"/>
      <c r="OCQ106" s="39"/>
      <c r="OCR106" s="39"/>
      <c r="OCS106" s="39"/>
      <c r="OCT106" s="39"/>
      <c r="OCU106" s="39"/>
      <c r="OCV106" s="39"/>
      <c r="OCW106" s="39"/>
      <c r="OCX106" s="39"/>
      <c r="OCY106" s="39"/>
      <c r="OCZ106" s="39"/>
      <c r="ODA106" s="39"/>
      <c r="ODB106" s="39"/>
      <c r="ODC106" s="39"/>
      <c r="ODD106" s="39"/>
      <c r="ODE106" s="39"/>
      <c r="ODF106" s="39"/>
      <c r="ODG106" s="39"/>
      <c r="ODH106" s="39"/>
      <c r="ODI106" s="39"/>
      <c r="ODJ106" s="39"/>
      <c r="ODK106" s="39"/>
      <c r="ODL106" s="39"/>
      <c r="ODM106" s="39"/>
      <c r="ODN106" s="39"/>
      <c r="ODO106" s="39"/>
      <c r="ODP106" s="39"/>
      <c r="ODQ106" s="39"/>
      <c r="ODR106" s="39"/>
      <c r="ODS106" s="39"/>
      <c r="ODT106" s="39"/>
      <c r="ODU106" s="39"/>
      <c r="ODV106" s="39"/>
      <c r="ODW106" s="39"/>
      <c r="ODX106" s="39"/>
      <c r="ODY106" s="39"/>
      <c r="ODZ106" s="39"/>
      <c r="OEA106" s="39"/>
      <c r="OEB106" s="39"/>
      <c r="OEC106" s="39"/>
      <c r="OED106" s="39"/>
      <c r="OEE106" s="39"/>
      <c r="OEF106" s="39"/>
      <c r="OEG106" s="39"/>
      <c r="OEH106" s="39"/>
      <c r="OEI106" s="39"/>
      <c r="OEJ106" s="39"/>
      <c r="OEK106" s="39"/>
      <c r="OEL106" s="39"/>
      <c r="OEM106" s="39"/>
      <c r="OEN106" s="39"/>
      <c r="OEO106" s="39"/>
      <c r="OEP106" s="39"/>
      <c r="OEQ106" s="39"/>
      <c r="OER106" s="39"/>
      <c r="OES106" s="39"/>
      <c r="OET106" s="39"/>
      <c r="OEU106" s="39"/>
      <c r="OEV106" s="39"/>
      <c r="OEW106" s="39"/>
      <c r="OEX106" s="39"/>
      <c r="OEY106" s="39"/>
      <c r="OEZ106" s="39"/>
      <c r="OFA106" s="39"/>
      <c r="OFB106" s="39"/>
      <c r="OFC106" s="39"/>
      <c r="OFD106" s="39"/>
      <c r="OFE106" s="39"/>
      <c r="OFF106" s="39"/>
      <c r="OFG106" s="39"/>
      <c r="OFH106" s="39"/>
      <c r="OFI106" s="39"/>
      <c r="OFJ106" s="39"/>
      <c r="OFK106" s="39"/>
      <c r="OFL106" s="39"/>
      <c r="OFM106" s="39"/>
      <c r="OFN106" s="39"/>
      <c r="OFO106" s="39"/>
      <c r="OFP106" s="39"/>
      <c r="OFQ106" s="39"/>
      <c r="OFR106" s="39"/>
      <c r="OFS106" s="39"/>
      <c r="OFT106" s="39"/>
      <c r="OFU106" s="39"/>
      <c r="OFV106" s="39"/>
      <c r="OFW106" s="39"/>
      <c r="OFX106" s="39"/>
      <c r="OFY106" s="39"/>
      <c r="OFZ106" s="39"/>
      <c r="OGA106" s="39"/>
      <c r="OGB106" s="39"/>
      <c r="OGC106" s="39"/>
      <c r="OGD106" s="39"/>
      <c r="OGE106" s="39"/>
      <c r="OGF106" s="39"/>
      <c r="OGG106" s="39"/>
      <c r="OGH106" s="39"/>
      <c r="OGI106" s="39"/>
      <c r="OGJ106" s="39"/>
      <c r="OGK106" s="39"/>
      <c r="OGL106" s="39"/>
      <c r="OGM106" s="39"/>
      <c r="OGN106" s="39"/>
      <c r="OGO106" s="39"/>
      <c r="OGP106" s="39"/>
      <c r="OGQ106" s="39"/>
      <c r="OGR106" s="39"/>
      <c r="OGS106" s="39"/>
      <c r="OGT106" s="39"/>
      <c r="OGU106" s="39"/>
      <c r="OGV106" s="39"/>
      <c r="OGW106" s="39"/>
      <c r="OGX106" s="39"/>
      <c r="OGY106" s="39"/>
      <c r="OGZ106" s="39"/>
      <c r="OHA106" s="39"/>
      <c r="OHB106" s="39"/>
      <c r="OHC106" s="39"/>
      <c r="OHD106" s="39"/>
      <c r="OHE106" s="39"/>
      <c r="OHF106" s="39"/>
      <c r="OHG106" s="39"/>
      <c r="OHH106" s="39"/>
      <c r="OHI106" s="39"/>
      <c r="OHJ106" s="39"/>
      <c r="OHK106" s="39"/>
      <c r="OHL106" s="39"/>
      <c r="OHM106" s="39"/>
      <c r="OHN106" s="39"/>
      <c r="OHO106" s="39"/>
      <c r="OHP106" s="39"/>
      <c r="OHQ106" s="39"/>
      <c r="OHR106" s="39"/>
      <c r="OHS106" s="39"/>
      <c r="OHT106" s="39"/>
      <c r="OHU106" s="39"/>
      <c r="OHV106" s="39"/>
      <c r="OHW106" s="39"/>
      <c r="OHX106" s="39"/>
      <c r="OHY106" s="39"/>
      <c r="OHZ106" s="39"/>
      <c r="OIA106" s="39"/>
      <c r="OIB106" s="39"/>
      <c r="OIC106" s="39"/>
      <c r="OID106" s="39"/>
      <c r="OIE106" s="39"/>
      <c r="OIF106" s="39"/>
      <c r="OIG106" s="39"/>
      <c r="OIH106" s="39"/>
      <c r="OII106" s="39"/>
      <c r="OIJ106" s="39"/>
      <c r="OIK106" s="39"/>
      <c r="OIL106" s="39"/>
      <c r="OIM106" s="39"/>
      <c r="OIN106" s="39"/>
      <c r="OIO106" s="39"/>
      <c r="OIP106" s="39"/>
      <c r="OIQ106" s="39"/>
      <c r="OIR106" s="39"/>
      <c r="OIS106" s="39"/>
      <c r="OIT106" s="39"/>
      <c r="OIU106" s="39"/>
      <c r="OIV106" s="39"/>
      <c r="OIW106" s="39"/>
      <c r="OIX106" s="39"/>
      <c r="OIY106" s="39"/>
      <c r="OIZ106" s="39"/>
      <c r="OJA106" s="39"/>
      <c r="OJB106" s="39"/>
      <c r="OJC106" s="39"/>
      <c r="OJD106" s="39"/>
      <c r="OJE106" s="39"/>
      <c r="OJF106" s="39"/>
      <c r="OJG106" s="39"/>
      <c r="OJH106" s="39"/>
      <c r="OJI106" s="39"/>
      <c r="OJJ106" s="39"/>
      <c r="OJK106" s="39"/>
      <c r="OJL106" s="39"/>
      <c r="OJM106" s="39"/>
      <c r="OJN106" s="39"/>
      <c r="OJO106" s="39"/>
      <c r="OJP106" s="39"/>
      <c r="OJQ106" s="39"/>
      <c r="OJR106" s="39"/>
      <c r="OJS106" s="39"/>
      <c r="OJT106" s="39"/>
      <c r="OJU106" s="39"/>
      <c r="OJV106" s="39"/>
      <c r="OJW106" s="39"/>
      <c r="OJX106" s="39"/>
      <c r="OJY106" s="39"/>
      <c r="OJZ106" s="39"/>
      <c r="OKA106" s="39"/>
      <c r="OKB106" s="39"/>
      <c r="OKC106" s="39"/>
      <c r="OKD106" s="39"/>
      <c r="OKE106" s="39"/>
      <c r="OKF106" s="39"/>
      <c r="OKG106" s="39"/>
      <c r="OKH106" s="39"/>
      <c r="OKI106" s="39"/>
      <c r="OKJ106" s="39"/>
      <c r="OKK106" s="39"/>
      <c r="OKL106" s="39"/>
      <c r="OKM106" s="39"/>
      <c r="OKN106" s="39"/>
      <c r="OKO106" s="39"/>
      <c r="OKP106" s="39"/>
      <c r="OKQ106" s="39"/>
      <c r="OKR106" s="39"/>
      <c r="OKS106" s="39"/>
      <c r="OKT106" s="39"/>
      <c r="OKU106" s="39"/>
      <c r="OKV106" s="39"/>
      <c r="OKW106" s="39"/>
      <c r="OKX106" s="39"/>
      <c r="OKY106" s="39"/>
      <c r="OKZ106" s="39"/>
      <c r="OLA106" s="39"/>
      <c r="OLB106" s="39"/>
      <c r="OLC106" s="39"/>
      <c r="OLD106" s="39"/>
      <c r="OLE106" s="39"/>
      <c r="OLF106" s="39"/>
      <c r="OLG106" s="39"/>
      <c r="OLH106" s="39"/>
      <c r="OLI106" s="39"/>
      <c r="OLJ106" s="39"/>
      <c r="OLK106" s="39"/>
      <c r="OLL106" s="39"/>
      <c r="OLM106" s="39"/>
      <c r="OLN106" s="39"/>
      <c r="OLO106" s="39"/>
      <c r="OLP106" s="39"/>
      <c r="OLQ106" s="39"/>
      <c r="OLR106" s="39"/>
      <c r="OLS106" s="39"/>
      <c r="OLT106" s="39"/>
      <c r="OLU106" s="39"/>
      <c r="OLV106" s="39"/>
      <c r="OLW106" s="39"/>
      <c r="OLX106" s="39"/>
      <c r="OLY106" s="39"/>
      <c r="OLZ106" s="39"/>
      <c r="OMA106" s="39"/>
      <c r="OMB106" s="39"/>
      <c r="OMC106" s="39"/>
      <c r="OMD106" s="39"/>
      <c r="OME106" s="39"/>
      <c r="OMF106" s="39"/>
      <c r="OMG106" s="39"/>
      <c r="OMH106" s="39"/>
      <c r="OMI106" s="39"/>
      <c r="OMJ106" s="39"/>
      <c r="OMK106" s="39"/>
      <c r="OML106" s="39"/>
      <c r="OMM106" s="39"/>
      <c r="OMN106" s="39"/>
      <c r="OMO106" s="39"/>
      <c r="OMP106" s="39"/>
      <c r="OMQ106" s="39"/>
      <c r="OMR106" s="39"/>
      <c r="OMS106" s="39"/>
      <c r="OMT106" s="39"/>
      <c r="OMU106" s="39"/>
      <c r="OMV106" s="39"/>
      <c r="OMW106" s="39"/>
      <c r="OMX106" s="39"/>
      <c r="OMY106" s="39"/>
      <c r="OMZ106" s="39"/>
      <c r="ONA106" s="39"/>
      <c r="ONB106" s="39"/>
      <c r="ONC106" s="39"/>
      <c r="OND106" s="39"/>
      <c r="ONE106" s="39"/>
      <c r="ONF106" s="39"/>
      <c r="ONG106" s="39"/>
      <c r="ONH106" s="39"/>
      <c r="ONI106" s="39"/>
      <c r="ONJ106" s="39"/>
      <c r="ONK106" s="39"/>
      <c r="ONL106" s="39"/>
      <c r="ONM106" s="39"/>
      <c r="ONN106" s="39"/>
      <c r="ONO106" s="39"/>
      <c r="ONP106" s="39"/>
      <c r="ONQ106" s="39"/>
      <c r="ONR106" s="39"/>
      <c r="ONS106" s="39"/>
      <c r="ONT106" s="39"/>
      <c r="ONU106" s="39"/>
      <c r="ONV106" s="39"/>
      <c r="ONW106" s="39"/>
      <c r="ONX106" s="39"/>
      <c r="ONY106" s="39"/>
      <c r="ONZ106" s="39"/>
      <c r="OOA106" s="39"/>
      <c r="OOB106" s="39"/>
      <c r="OOC106" s="39"/>
      <c r="OOD106" s="39"/>
      <c r="OOE106" s="39"/>
      <c r="OOF106" s="39"/>
      <c r="OOG106" s="39"/>
      <c r="OOH106" s="39"/>
      <c r="OOI106" s="39"/>
      <c r="OOJ106" s="39"/>
      <c r="OOK106" s="39"/>
      <c r="OOL106" s="39"/>
      <c r="OOM106" s="39"/>
      <c r="OON106" s="39"/>
      <c r="OOO106" s="39"/>
      <c r="OOP106" s="39"/>
      <c r="OOQ106" s="39"/>
      <c r="OOR106" s="39"/>
      <c r="OOS106" s="39"/>
      <c r="OOT106" s="39"/>
      <c r="OOU106" s="39"/>
      <c r="OOV106" s="39"/>
      <c r="OOW106" s="39"/>
      <c r="OOX106" s="39"/>
      <c r="OOY106" s="39"/>
      <c r="OOZ106" s="39"/>
      <c r="OPA106" s="39"/>
      <c r="OPB106" s="39"/>
      <c r="OPC106" s="39"/>
      <c r="OPD106" s="39"/>
      <c r="OPE106" s="39"/>
      <c r="OPF106" s="39"/>
      <c r="OPG106" s="39"/>
      <c r="OPH106" s="39"/>
      <c r="OPI106" s="39"/>
      <c r="OPJ106" s="39"/>
      <c r="OPK106" s="39"/>
      <c r="OPL106" s="39"/>
      <c r="OPM106" s="39"/>
      <c r="OPN106" s="39"/>
      <c r="OPO106" s="39"/>
      <c r="OPP106" s="39"/>
      <c r="OPQ106" s="39"/>
      <c r="OPR106" s="39"/>
      <c r="OPS106" s="39"/>
      <c r="OPT106" s="39"/>
      <c r="OPU106" s="39"/>
      <c r="OPV106" s="39"/>
      <c r="OPW106" s="39"/>
      <c r="OPX106" s="39"/>
      <c r="OPY106" s="39"/>
      <c r="OPZ106" s="39"/>
      <c r="OQA106" s="39"/>
      <c r="OQB106" s="39"/>
      <c r="OQC106" s="39"/>
      <c r="OQD106" s="39"/>
      <c r="OQE106" s="39"/>
      <c r="OQF106" s="39"/>
      <c r="OQG106" s="39"/>
      <c r="OQH106" s="39"/>
      <c r="OQI106" s="39"/>
      <c r="OQJ106" s="39"/>
      <c r="OQK106" s="39"/>
      <c r="OQL106" s="39"/>
      <c r="OQM106" s="39"/>
      <c r="OQN106" s="39"/>
      <c r="OQO106" s="39"/>
      <c r="OQP106" s="39"/>
      <c r="OQQ106" s="39"/>
      <c r="OQR106" s="39"/>
      <c r="OQS106" s="39"/>
      <c r="OQT106" s="39"/>
      <c r="OQU106" s="39"/>
      <c r="OQV106" s="39"/>
      <c r="OQW106" s="39"/>
      <c r="OQX106" s="39"/>
      <c r="OQY106" s="39"/>
      <c r="OQZ106" s="39"/>
      <c r="ORA106" s="39"/>
      <c r="ORB106" s="39"/>
      <c r="ORC106" s="39"/>
      <c r="ORD106" s="39"/>
      <c r="ORE106" s="39"/>
      <c r="ORF106" s="39"/>
      <c r="ORG106" s="39"/>
      <c r="ORH106" s="39"/>
      <c r="ORI106" s="39"/>
      <c r="ORJ106" s="39"/>
      <c r="ORK106" s="39"/>
      <c r="ORL106" s="39"/>
      <c r="ORM106" s="39"/>
      <c r="ORN106" s="39"/>
      <c r="ORO106" s="39"/>
      <c r="ORP106" s="39"/>
      <c r="ORQ106" s="39"/>
      <c r="ORR106" s="39"/>
      <c r="ORS106" s="39"/>
      <c r="ORT106" s="39"/>
      <c r="ORU106" s="39"/>
      <c r="ORV106" s="39"/>
      <c r="ORW106" s="39"/>
      <c r="ORX106" s="39"/>
      <c r="ORY106" s="39"/>
      <c r="ORZ106" s="39"/>
      <c r="OSA106" s="39"/>
      <c r="OSB106" s="39"/>
      <c r="OSC106" s="39"/>
      <c r="OSD106" s="39"/>
      <c r="OSE106" s="39"/>
      <c r="OSF106" s="39"/>
      <c r="OSG106" s="39"/>
      <c r="OSH106" s="39"/>
      <c r="OSI106" s="39"/>
      <c r="OSJ106" s="39"/>
      <c r="OSK106" s="39"/>
      <c r="OSL106" s="39"/>
      <c r="OSM106" s="39"/>
      <c r="OSN106" s="39"/>
      <c r="OSO106" s="39"/>
      <c r="OSP106" s="39"/>
      <c r="OSQ106" s="39"/>
      <c r="OSR106" s="39"/>
      <c r="OSS106" s="39"/>
      <c r="OST106" s="39"/>
      <c r="OSU106" s="39"/>
      <c r="OSV106" s="39"/>
      <c r="OSW106" s="39"/>
      <c r="OSX106" s="39"/>
      <c r="OSY106" s="39"/>
      <c r="OSZ106" s="39"/>
      <c r="OTA106" s="39"/>
      <c r="OTB106" s="39"/>
      <c r="OTC106" s="39"/>
      <c r="OTD106" s="39"/>
      <c r="OTE106" s="39"/>
      <c r="OTF106" s="39"/>
      <c r="OTG106" s="39"/>
      <c r="OTH106" s="39"/>
      <c r="OTI106" s="39"/>
      <c r="OTJ106" s="39"/>
      <c r="OTK106" s="39"/>
      <c r="OTL106" s="39"/>
      <c r="OTM106" s="39"/>
      <c r="OTN106" s="39"/>
      <c r="OTO106" s="39"/>
      <c r="OTP106" s="39"/>
      <c r="OTQ106" s="39"/>
      <c r="OTR106" s="39"/>
      <c r="OTS106" s="39"/>
      <c r="OTT106" s="39"/>
      <c r="OTU106" s="39"/>
      <c r="OTV106" s="39"/>
      <c r="OTW106" s="39"/>
      <c r="OTX106" s="39"/>
      <c r="OTY106" s="39"/>
      <c r="OTZ106" s="39"/>
      <c r="OUA106" s="39"/>
      <c r="OUB106" s="39"/>
      <c r="OUC106" s="39"/>
      <c r="OUD106" s="39"/>
      <c r="OUE106" s="39"/>
      <c r="OUF106" s="39"/>
      <c r="OUG106" s="39"/>
      <c r="OUH106" s="39"/>
      <c r="OUI106" s="39"/>
      <c r="OUJ106" s="39"/>
      <c r="OUK106" s="39"/>
      <c r="OUL106" s="39"/>
      <c r="OUM106" s="39"/>
      <c r="OUN106" s="39"/>
      <c r="OUO106" s="39"/>
      <c r="OUP106" s="39"/>
      <c r="OUQ106" s="39"/>
      <c r="OUR106" s="39"/>
      <c r="OUS106" s="39"/>
      <c r="OUT106" s="39"/>
      <c r="OUU106" s="39"/>
      <c r="OUV106" s="39"/>
      <c r="OUW106" s="39"/>
      <c r="OUX106" s="39"/>
      <c r="OUY106" s="39"/>
      <c r="OUZ106" s="39"/>
      <c r="OVA106" s="39"/>
      <c r="OVB106" s="39"/>
      <c r="OVC106" s="39"/>
      <c r="OVD106" s="39"/>
      <c r="OVE106" s="39"/>
      <c r="OVF106" s="39"/>
      <c r="OVG106" s="39"/>
      <c r="OVH106" s="39"/>
      <c r="OVI106" s="39"/>
      <c r="OVJ106" s="39"/>
      <c r="OVK106" s="39"/>
      <c r="OVL106" s="39"/>
      <c r="OVM106" s="39"/>
      <c r="OVN106" s="39"/>
      <c r="OVO106" s="39"/>
      <c r="OVP106" s="39"/>
      <c r="OVQ106" s="39"/>
      <c r="OVR106" s="39"/>
      <c r="OVS106" s="39"/>
      <c r="OVT106" s="39"/>
      <c r="OVU106" s="39"/>
      <c r="OVV106" s="39"/>
      <c r="OVW106" s="39"/>
      <c r="OVX106" s="39"/>
      <c r="OVY106" s="39"/>
      <c r="OVZ106" s="39"/>
      <c r="OWA106" s="39"/>
      <c r="OWB106" s="39"/>
      <c r="OWC106" s="39"/>
      <c r="OWD106" s="39"/>
      <c r="OWE106" s="39"/>
      <c r="OWF106" s="39"/>
      <c r="OWG106" s="39"/>
      <c r="OWH106" s="39"/>
      <c r="OWI106" s="39"/>
      <c r="OWJ106" s="39"/>
      <c r="OWK106" s="39"/>
      <c r="OWL106" s="39"/>
      <c r="OWM106" s="39"/>
      <c r="OWN106" s="39"/>
      <c r="OWO106" s="39"/>
      <c r="OWP106" s="39"/>
      <c r="OWQ106" s="39"/>
      <c r="OWR106" s="39"/>
      <c r="OWS106" s="39"/>
      <c r="OWT106" s="39"/>
      <c r="OWU106" s="39"/>
      <c r="OWV106" s="39"/>
      <c r="OWW106" s="39"/>
      <c r="OWX106" s="39"/>
      <c r="OWY106" s="39"/>
      <c r="OWZ106" s="39"/>
      <c r="OXA106" s="39"/>
      <c r="OXB106" s="39"/>
      <c r="OXC106" s="39"/>
      <c r="OXD106" s="39"/>
      <c r="OXE106" s="39"/>
      <c r="OXF106" s="39"/>
      <c r="OXG106" s="39"/>
      <c r="OXH106" s="39"/>
      <c r="OXI106" s="39"/>
      <c r="OXJ106" s="39"/>
      <c r="OXK106" s="39"/>
      <c r="OXL106" s="39"/>
      <c r="OXM106" s="39"/>
      <c r="OXN106" s="39"/>
      <c r="OXO106" s="39"/>
      <c r="OXP106" s="39"/>
      <c r="OXQ106" s="39"/>
      <c r="OXR106" s="39"/>
      <c r="OXS106" s="39"/>
      <c r="OXT106" s="39"/>
      <c r="OXU106" s="39"/>
      <c r="OXV106" s="39"/>
      <c r="OXW106" s="39"/>
      <c r="OXX106" s="39"/>
      <c r="OXY106" s="39"/>
      <c r="OXZ106" s="39"/>
      <c r="OYA106" s="39"/>
      <c r="OYB106" s="39"/>
      <c r="OYC106" s="39"/>
      <c r="OYD106" s="39"/>
      <c r="OYE106" s="39"/>
      <c r="OYF106" s="39"/>
      <c r="OYG106" s="39"/>
      <c r="OYH106" s="39"/>
      <c r="OYI106" s="39"/>
      <c r="OYJ106" s="39"/>
      <c r="OYK106" s="39"/>
      <c r="OYL106" s="39"/>
      <c r="OYM106" s="39"/>
      <c r="OYN106" s="39"/>
      <c r="OYO106" s="39"/>
      <c r="OYP106" s="39"/>
      <c r="OYQ106" s="39"/>
      <c r="OYR106" s="39"/>
      <c r="OYS106" s="39"/>
      <c r="OYT106" s="39"/>
      <c r="OYU106" s="39"/>
      <c r="OYV106" s="39"/>
      <c r="OYW106" s="39"/>
      <c r="OYX106" s="39"/>
      <c r="OYY106" s="39"/>
      <c r="OYZ106" s="39"/>
      <c r="OZA106" s="39"/>
      <c r="OZB106" s="39"/>
      <c r="OZC106" s="39"/>
      <c r="OZD106" s="39"/>
      <c r="OZE106" s="39"/>
      <c r="OZF106" s="39"/>
      <c r="OZG106" s="39"/>
      <c r="OZH106" s="39"/>
      <c r="OZI106" s="39"/>
      <c r="OZJ106" s="39"/>
      <c r="OZK106" s="39"/>
      <c r="OZL106" s="39"/>
      <c r="OZM106" s="39"/>
      <c r="OZN106" s="39"/>
      <c r="OZO106" s="39"/>
      <c r="OZP106" s="39"/>
      <c r="OZQ106" s="39"/>
      <c r="OZR106" s="39"/>
      <c r="OZS106" s="39"/>
      <c r="OZT106" s="39"/>
      <c r="OZU106" s="39"/>
      <c r="OZV106" s="39"/>
      <c r="OZW106" s="39"/>
      <c r="OZX106" s="39"/>
      <c r="OZY106" s="39"/>
      <c r="OZZ106" s="39"/>
      <c r="PAA106" s="39"/>
      <c r="PAB106" s="39"/>
      <c r="PAC106" s="39"/>
      <c r="PAD106" s="39"/>
      <c r="PAE106" s="39"/>
      <c r="PAF106" s="39"/>
      <c r="PAG106" s="39"/>
      <c r="PAH106" s="39"/>
      <c r="PAI106" s="39"/>
      <c r="PAJ106" s="39"/>
      <c r="PAK106" s="39"/>
      <c r="PAL106" s="39"/>
      <c r="PAM106" s="39"/>
      <c r="PAN106" s="39"/>
      <c r="PAO106" s="39"/>
      <c r="PAP106" s="39"/>
      <c r="PAQ106" s="39"/>
      <c r="PAR106" s="39"/>
      <c r="PAS106" s="39"/>
      <c r="PAT106" s="39"/>
      <c r="PAU106" s="39"/>
      <c r="PAV106" s="39"/>
      <c r="PAW106" s="39"/>
      <c r="PAX106" s="39"/>
      <c r="PAY106" s="39"/>
      <c r="PAZ106" s="39"/>
      <c r="PBA106" s="39"/>
      <c r="PBB106" s="39"/>
      <c r="PBC106" s="39"/>
      <c r="PBD106" s="39"/>
      <c r="PBE106" s="39"/>
      <c r="PBF106" s="39"/>
      <c r="PBG106" s="39"/>
      <c r="PBH106" s="39"/>
      <c r="PBI106" s="39"/>
      <c r="PBJ106" s="39"/>
      <c r="PBK106" s="39"/>
      <c r="PBL106" s="39"/>
      <c r="PBM106" s="39"/>
      <c r="PBN106" s="39"/>
      <c r="PBO106" s="39"/>
      <c r="PBP106" s="39"/>
      <c r="PBQ106" s="39"/>
      <c r="PBR106" s="39"/>
      <c r="PBS106" s="39"/>
      <c r="PBT106" s="39"/>
      <c r="PBU106" s="39"/>
      <c r="PBV106" s="39"/>
      <c r="PBW106" s="39"/>
      <c r="PBX106" s="39"/>
      <c r="PBY106" s="39"/>
      <c r="PBZ106" s="39"/>
      <c r="PCA106" s="39"/>
      <c r="PCB106" s="39"/>
      <c r="PCC106" s="39"/>
      <c r="PCD106" s="39"/>
      <c r="PCE106" s="39"/>
      <c r="PCF106" s="39"/>
      <c r="PCG106" s="39"/>
      <c r="PCH106" s="39"/>
      <c r="PCI106" s="39"/>
      <c r="PCJ106" s="39"/>
      <c r="PCK106" s="39"/>
      <c r="PCL106" s="39"/>
      <c r="PCM106" s="39"/>
      <c r="PCN106" s="39"/>
      <c r="PCO106" s="39"/>
      <c r="PCP106" s="39"/>
      <c r="PCQ106" s="39"/>
      <c r="PCR106" s="39"/>
      <c r="PCS106" s="39"/>
      <c r="PCT106" s="39"/>
      <c r="PCU106" s="39"/>
      <c r="PCV106" s="39"/>
      <c r="PCW106" s="39"/>
      <c r="PCX106" s="39"/>
      <c r="PCY106" s="39"/>
      <c r="PCZ106" s="39"/>
      <c r="PDA106" s="39"/>
      <c r="PDB106" s="39"/>
      <c r="PDC106" s="39"/>
      <c r="PDD106" s="39"/>
      <c r="PDE106" s="39"/>
      <c r="PDF106" s="39"/>
      <c r="PDG106" s="39"/>
      <c r="PDH106" s="39"/>
      <c r="PDI106" s="39"/>
      <c r="PDJ106" s="39"/>
      <c r="PDK106" s="39"/>
      <c r="PDL106" s="39"/>
      <c r="PDM106" s="39"/>
      <c r="PDN106" s="39"/>
      <c r="PDO106" s="39"/>
      <c r="PDP106" s="39"/>
      <c r="PDQ106" s="39"/>
      <c r="PDR106" s="39"/>
      <c r="PDS106" s="39"/>
      <c r="PDT106" s="39"/>
      <c r="PDU106" s="39"/>
      <c r="PDV106" s="39"/>
      <c r="PDW106" s="39"/>
      <c r="PDX106" s="39"/>
      <c r="PDY106" s="39"/>
      <c r="PDZ106" s="39"/>
      <c r="PEA106" s="39"/>
      <c r="PEB106" s="39"/>
      <c r="PEC106" s="39"/>
      <c r="PED106" s="39"/>
      <c r="PEE106" s="39"/>
      <c r="PEF106" s="39"/>
      <c r="PEG106" s="39"/>
      <c r="PEH106" s="39"/>
      <c r="PEI106" s="39"/>
      <c r="PEJ106" s="39"/>
      <c r="PEK106" s="39"/>
      <c r="PEL106" s="39"/>
      <c r="PEM106" s="39"/>
      <c r="PEN106" s="39"/>
      <c r="PEO106" s="39"/>
      <c r="PEP106" s="39"/>
      <c r="PEQ106" s="39"/>
      <c r="PER106" s="39"/>
      <c r="PES106" s="39"/>
      <c r="PET106" s="39"/>
      <c r="PEU106" s="39"/>
      <c r="PEV106" s="39"/>
      <c r="PEW106" s="39"/>
      <c r="PEX106" s="39"/>
      <c r="PEY106" s="39"/>
      <c r="PEZ106" s="39"/>
      <c r="PFA106" s="39"/>
      <c r="PFB106" s="39"/>
      <c r="PFC106" s="39"/>
      <c r="PFD106" s="39"/>
      <c r="PFE106" s="39"/>
      <c r="PFF106" s="39"/>
      <c r="PFG106" s="39"/>
      <c r="PFH106" s="39"/>
      <c r="PFI106" s="39"/>
      <c r="PFJ106" s="39"/>
      <c r="PFK106" s="39"/>
      <c r="PFL106" s="39"/>
      <c r="PFM106" s="39"/>
      <c r="PFN106" s="39"/>
      <c r="PFO106" s="39"/>
      <c r="PFP106" s="39"/>
      <c r="PFQ106" s="39"/>
      <c r="PFR106" s="39"/>
      <c r="PFS106" s="39"/>
      <c r="PFT106" s="39"/>
      <c r="PFU106" s="39"/>
      <c r="PFV106" s="39"/>
      <c r="PFW106" s="39"/>
      <c r="PFX106" s="39"/>
      <c r="PFY106" s="39"/>
      <c r="PFZ106" s="39"/>
      <c r="PGA106" s="39"/>
      <c r="PGB106" s="39"/>
      <c r="PGC106" s="39"/>
      <c r="PGD106" s="39"/>
      <c r="PGE106" s="39"/>
      <c r="PGF106" s="39"/>
      <c r="PGG106" s="39"/>
      <c r="PGH106" s="39"/>
      <c r="PGI106" s="39"/>
      <c r="PGJ106" s="39"/>
      <c r="PGK106" s="39"/>
      <c r="PGL106" s="39"/>
      <c r="PGM106" s="39"/>
      <c r="PGN106" s="39"/>
      <c r="PGO106" s="39"/>
      <c r="PGP106" s="39"/>
      <c r="PGQ106" s="39"/>
      <c r="PGR106" s="39"/>
      <c r="PGS106" s="39"/>
      <c r="PGT106" s="39"/>
      <c r="PGU106" s="39"/>
      <c r="PGV106" s="39"/>
      <c r="PGW106" s="39"/>
      <c r="PGX106" s="39"/>
      <c r="PGY106" s="39"/>
      <c r="PGZ106" s="39"/>
      <c r="PHA106" s="39"/>
      <c r="PHB106" s="39"/>
      <c r="PHC106" s="39"/>
      <c r="PHD106" s="39"/>
      <c r="PHE106" s="39"/>
      <c r="PHF106" s="39"/>
      <c r="PHG106" s="39"/>
      <c r="PHH106" s="39"/>
      <c r="PHI106" s="39"/>
      <c r="PHJ106" s="39"/>
      <c r="PHK106" s="39"/>
      <c r="PHL106" s="39"/>
      <c r="PHM106" s="39"/>
      <c r="PHN106" s="39"/>
      <c r="PHO106" s="39"/>
      <c r="PHP106" s="39"/>
      <c r="PHQ106" s="39"/>
      <c r="PHR106" s="39"/>
      <c r="PHS106" s="39"/>
      <c r="PHT106" s="39"/>
      <c r="PHU106" s="39"/>
      <c r="PHV106" s="39"/>
      <c r="PHW106" s="39"/>
      <c r="PHX106" s="39"/>
      <c r="PHY106" s="39"/>
      <c r="PHZ106" s="39"/>
      <c r="PIA106" s="39"/>
      <c r="PIB106" s="39"/>
      <c r="PIC106" s="39"/>
      <c r="PID106" s="39"/>
      <c r="PIE106" s="39"/>
      <c r="PIF106" s="39"/>
      <c r="PIG106" s="39"/>
      <c r="PIH106" s="39"/>
      <c r="PII106" s="39"/>
      <c r="PIJ106" s="39"/>
      <c r="PIK106" s="39"/>
      <c r="PIL106" s="39"/>
      <c r="PIM106" s="39"/>
      <c r="PIN106" s="39"/>
      <c r="PIO106" s="39"/>
      <c r="PIP106" s="39"/>
      <c r="PIQ106" s="39"/>
      <c r="PIR106" s="39"/>
      <c r="PIS106" s="39"/>
      <c r="PIT106" s="39"/>
      <c r="PIU106" s="39"/>
      <c r="PIV106" s="39"/>
      <c r="PIW106" s="39"/>
      <c r="PIX106" s="39"/>
      <c r="PIY106" s="39"/>
      <c r="PIZ106" s="39"/>
      <c r="PJA106" s="39"/>
      <c r="PJB106" s="39"/>
      <c r="PJC106" s="39"/>
      <c r="PJD106" s="39"/>
      <c r="PJE106" s="39"/>
      <c r="PJF106" s="39"/>
      <c r="PJG106" s="39"/>
      <c r="PJH106" s="39"/>
      <c r="PJI106" s="39"/>
      <c r="PJJ106" s="39"/>
      <c r="PJK106" s="39"/>
      <c r="PJL106" s="39"/>
      <c r="PJM106" s="39"/>
      <c r="PJN106" s="39"/>
      <c r="PJO106" s="39"/>
      <c r="PJP106" s="39"/>
      <c r="PJQ106" s="39"/>
      <c r="PJR106" s="39"/>
      <c r="PJS106" s="39"/>
      <c r="PJT106" s="39"/>
      <c r="PJU106" s="39"/>
      <c r="PJV106" s="39"/>
      <c r="PJW106" s="39"/>
      <c r="PJX106" s="39"/>
      <c r="PJY106" s="39"/>
      <c r="PJZ106" s="39"/>
      <c r="PKA106" s="39"/>
      <c r="PKB106" s="39"/>
      <c r="PKC106" s="39"/>
      <c r="PKD106" s="39"/>
      <c r="PKE106" s="39"/>
      <c r="PKF106" s="39"/>
      <c r="PKG106" s="39"/>
      <c r="PKH106" s="39"/>
      <c r="PKI106" s="39"/>
      <c r="PKJ106" s="39"/>
      <c r="PKK106" s="39"/>
      <c r="PKL106" s="39"/>
      <c r="PKM106" s="39"/>
      <c r="PKN106" s="39"/>
      <c r="PKO106" s="39"/>
      <c r="PKP106" s="39"/>
      <c r="PKQ106" s="39"/>
      <c r="PKR106" s="39"/>
      <c r="PKS106" s="39"/>
      <c r="PKT106" s="39"/>
      <c r="PKU106" s="39"/>
      <c r="PKV106" s="39"/>
      <c r="PKW106" s="39"/>
      <c r="PKX106" s="39"/>
      <c r="PKY106" s="39"/>
      <c r="PKZ106" s="39"/>
      <c r="PLA106" s="39"/>
      <c r="PLB106" s="39"/>
      <c r="PLC106" s="39"/>
      <c r="PLD106" s="39"/>
      <c r="PLE106" s="39"/>
      <c r="PLF106" s="39"/>
      <c r="PLG106" s="39"/>
      <c r="PLH106" s="39"/>
      <c r="PLI106" s="39"/>
      <c r="PLJ106" s="39"/>
      <c r="PLK106" s="39"/>
      <c r="PLL106" s="39"/>
      <c r="PLM106" s="39"/>
      <c r="PLN106" s="39"/>
      <c r="PLO106" s="39"/>
      <c r="PLP106" s="39"/>
      <c r="PLQ106" s="39"/>
      <c r="PLR106" s="39"/>
      <c r="PLS106" s="39"/>
      <c r="PLT106" s="39"/>
      <c r="PLU106" s="39"/>
      <c r="PLV106" s="39"/>
      <c r="PLW106" s="39"/>
      <c r="PLX106" s="39"/>
      <c r="PLY106" s="39"/>
      <c r="PLZ106" s="39"/>
      <c r="PMA106" s="39"/>
      <c r="PMB106" s="39"/>
      <c r="PMC106" s="39"/>
      <c r="PMD106" s="39"/>
      <c r="PME106" s="39"/>
      <c r="PMF106" s="39"/>
      <c r="PMG106" s="39"/>
      <c r="PMH106" s="39"/>
      <c r="PMI106" s="39"/>
      <c r="PMJ106" s="39"/>
      <c r="PMK106" s="39"/>
      <c r="PML106" s="39"/>
      <c r="PMM106" s="39"/>
      <c r="PMN106" s="39"/>
      <c r="PMO106" s="39"/>
      <c r="PMP106" s="39"/>
      <c r="PMQ106" s="39"/>
      <c r="PMR106" s="39"/>
      <c r="PMS106" s="39"/>
      <c r="PMT106" s="39"/>
      <c r="PMU106" s="39"/>
      <c r="PMV106" s="39"/>
      <c r="PMW106" s="39"/>
      <c r="PMX106" s="39"/>
      <c r="PMY106" s="39"/>
      <c r="PMZ106" s="39"/>
      <c r="PNA106" s="39"/>
      <c r="PNB106" s="39"/>
      <c r="PNC106" s="39"/>
      <c r="PND106" s="39"/>
      <c r="PNE106" s="39"/>
      <c r="PNF106" s="39"/>
      <c r="PNG106" s="39"/>
      <c r="PNH106" s="39"/>
      <c r="PNI106" s="39"/>
      <c r="PNJ106" s="39"/>
      <c r="PNK106" s="39"/>
      <c r="PNL106" s="39"/>
      <c r="PNM106" s="39"/>
      <c r="PNN106" s="39"/>
      <c r="PNO106" s="39"/>
      <c r="PNP106" s="39"/>
      <c r="PNQ106" s="39"/>
      <c r="PNR106" s="39"/>
      <c r="PNS106" s="39"/>
      <c r="PNT106" s="39"/>
      <c r="PNU106" s="39"/>
      <c r="PNV106" s="39"/>
      <c r="PNW106" s="39"/>
      <c r="PNX106" s="39"/>
      <c r="PNY106" s="39"/>
      <c r="PNZ106" s="39"/>
      <c r="POA106" s="39"/>
      <c r="POB106" s="39"/>
      <c r="POC106" s="39"/>
      <c r="POD106" s="39"/>
      <c r="POE106" s="39"/>
      <c r="POF106" s="39"/>
      <c r="POG106" s="39"/>
      <c r="POH106" s="39"/>
      <c r="POI106" s="39"/>
      <c r="POJ106" s="39"/>
      <c r="POK106" s="39"/>
      <c r="POL106" s="39"/>
      <c r="POM106" s="39"/>
      <c r="PON106" s="39"/>
      <c r="POO106" s="39"/>
      <c r="POP106" s="39"/>
      <c r="POQ106" s="39"/>
      <c r="POR106" s="39"/>
      <c r="POS106" s="39"/>
      <c r="POT106" s="39"/>
      <c r="POU106" s="39"/>
      <c r="POV106" s="39"/>
      <c r="POW106" s="39"/>
      <c r="POX106" s="39"/>
      <c r="POY106" s="39"/>
      <c r="POZ106" s="39"/>
      <c r="PPA106" s="39"/>
      <c r="PPB106" s="39"/>
      <c r="PPC106" s="39"/>
      <c r="PPD106" s="39"/>
      <c r="PPE106" s="39"/>
      <c r="PPF106" s="39"/>
      <c r="PPG106" s="39"/>
      <c r="PPH106" s="39"/>
      <c r="PPI106" s="39"/>
      <c r="PPJ106" s="39"/>
      <c r="PPK106" s="39"/>
      <c r="PPL106" s="39"/>
      <c r="PPM106" s="39"/>
      <c r="PPN106" s="39"/>
      <c r="PPO106" s="39"/>
      <c r="PPP106" s="39"/>
      <c r="PPQ106" s="39"/>
      <c r="PPR106" s="39"/>
      <c r="PPS106" s="39"/>
      <c r="PPT106" s="39"/>
      <c r="PPU106" s="39"/>
      <c r="PPV106" s="39"/>
      <c r="PPW106" s="39"/>
      <c r="PPX106" s="39"/>
      <c r="PPY106" s="39"/>
      <c r="PPZ106" s="39"/>
      <c r="PQA106" s="39"/>
      <c r="PQB106" s="39"/>
      <c r="PQC106" s="39"/>
      <c r="PQD106" s="39"/>
      <c r="PQE106" s="39"/>
      <c r="PQF106" s="39"/>
      <c r="PQG106" s="39"/>
      <c r="PQH106" s="39"/>
      <c r="PQI106" s="39"/>
      <c r="PQJ106" s="39"/>
      <c r="PQK106" s="39"/>
      <c r="PQL106" s="39"/>
      <c r="PQM106" s="39"/>
      <c r="PQN106" s="39"/>
      <c r="PQO106" s="39"/>
      <c r="PQP106" s="39"/>
      <c r="PQQ106" s="39"/>
      <c r="PQR106" s="39"/>
      <c r="PQS106" s="39"/>
      <c r="PQT106" s="39"/>
      <c r="PQU106" s="39"/>
      <c r="PQV106" s="39"/>
      <c r="PQW106" s="39"/>
      <c r="PQX106" s="39"/>
      <c r="PQY106" s="39"/>
      <c r="PQZ106" s="39"/>
      <c r="PRA106" s="39"/>
      <c r="PRB106" s="39"/>
      <c r="PRC106" s="39"/>
      <c r="PRD106" s="39"/>
      <c r="PRE106" s="39"/>
      <c r="PRF106" s="39"/>
      <c r="PRG106" s="39"/>
      <c r="PRH106" s="39"/>
      <c r="PRI106" s="39"/>
      <c r="PRJ106" s="39"/>
      <c r="PRK106" s="39"/>
      <c r="PRL106" s="39"/>
      <c r="PRM106" s="39"/>
      <c r="PRN106" s="39"/>
      <c r="PRO106" s="39"/>
      <c r="PRP106" s="39"/>
      <c r="PRQ106" s="39"/>
      <c r="PRR106" s="39"/>
      <c r="PRS106" s="39"/>
      <c r="PRT106" s="39"/>
      <c r="PRU106" s="39"/>
      <c r="PRV106" s="39"/>
      <c r="PRW106" s="39"/>
      <c r="PRX106" s="39"/>
      <c r="PRY106" s="39"/>
      <c r="PRZ106" s="39"/>
      <c r="PSA106" s="39"/>
      <c r="PSB106" s="39"/>
      <c r="PSC106" s="39"/>
      <c r="PSD106" s="39"/>
      <c r="PSE106" s="39"/>
      <c r="PSF106" s="39"/>
      <c r="PSG106" s="39"/>
      <c r="PSH106" s="39"/>
      <c r="PSI106" s="39"/>
      <c r="PSJ106" s="39"/>
      <c r="PSK106" s="39"/>
      <c r="PSL106" s="39"/>
      <c r="PSM106" s="39"/>
      <c r="PSN106" s="39"/>
      <c r="PSO106" s="39"/>
      <c r="PSP106" s="39"/>
      <c r="PSQ106" s="39"/>
      <c r="PSR106" s="39"/>
      <c r="PSS106" s="39"/>
      <c r="PST106" s="39"/>
      <c r="PSU106" s="39"/>
      <c r="PSV106" s="39"/>
      <c r="PSW106" s="39"/>
      <c r="PSX106" s="39"/>
      <c r="PSY106" s="39"/>
      <c r="PSZ106" s="39"/>
      <c r="PTA106" s="39"/>
      <c r="PTB106" s="39"/>
      <c r="PTC106" s="39"/>
      <c r="PTD106" s="39"/>
      <c r="PTE106" s="39"/>
      <c r="PTF106" s="39"/>
      <c r="PTG106" s="39"/>
      <c r="PTH106" s="39"/>
      <c r="PTI106" s="39"/>
      <c r="PTJ106" s="39"/>
      <c r="PTK106" s="39"/>
      <c r="PTL106" s="39"/>
      <c r="PTM106" s="39"/>
      <c r="PTN106" s="39"/>
      <c r="PTO106" s="39"/>
      <c r="PTP106" s="39"/>
      <c r="PTQ106" s="39"/>
      <c r="PTR106" s="39"/>
      <c r="PTS106" s="39"/>
      <c r="PTT106" s="39"/>
      <c r="PTU106" s="39"/>
      <c r="PTV106" s="39"/>
      <c r="PTW106" s="39"/>
      <c r="PTX106" s="39"/>
      <c r="PTY106" s="39"/>
      <c r="PTZ106" s="39"/>
      <c r="PUA106" s="39"/>
      <c r="PUB106" s="39"/>
      <c r="PUC106" s="39"/>
      <c r="PUD106" s="39"/>
      <c r="PUE106" s="39"/>
      <c r="PUF106" s="39"/>
      <c r="PUG106" s="39"/>
      <c r="PUH106" s="39"/>
      <c r="PUI106" s="39"/>
      <c r="PUJ106" s="39"/>
      <c r="PUK106" s="39"/>
      <c r="PUL106" s="39"/>
      <c r="PUM106" s="39"/>
      <c r="PUN106" s="39"/>
      <c r="PUO106" s="39"/>
      <c r="PUP106" s="39"/>
      <c r="PUQ106" s="39"/>
      <c r="PUR106" s="39"/>
      <c r="PUS106" s="39"/>
      <c r="PUT106" s="39"/>
      <c r="PUU106" s="39"/>
      <c r="PUV106" s="39"/>
      <c r="PUW106" s="39"/>
      <c r="PUX106" s="39"/>
      <c r="PUY106" s="39"/>
      <c r="PUZ106" s="39"/>
      <c r="PVA106" s="39"/>
      <c r="PVB106" s="39"/>
      <c r="PVC106" s="39"/>
      <c r="PVD106" s="39"/>
      <c r="PVE106" s="39"/>
      <c r="PVF106" s="39"/>
      <c r="PVG106" s="39"/>
      <c r="PVH106" s="39"/>
      <c r="PVI106" s="39"/>
      <c r="PVJ106" s="39"/>
      <c r="PVK106" s="39"/>
      <c r="PVL106" s="39"/>
      <c r="PVM106" s="39"/>
      <c r="PVN106" s="39"/>
      <c r="PVO106" s="39"/>
      <c r="PVP106" s="39"/>
      <c r="PVQ106" s="39"/>
      <c r="PVR106" s="39"/>
      <c r="PVS106" s="39"/>
      <c r="PVT106" s="39"/>
      <c r="PVU106" s="39"/>
      <c r="PVV106" s="39"/>
      <c r="PVW106" s="39"/>
      <c r="PVX106" s="39"/>
      <c r="PVY106" s="39"/>
      <c r="PVZ106" s="39"/>
      <c r="PWA106" s="39"/>
      <c r="PWB106" s="39"/>
      <c r="PWC106" s="39"/>
      <c r="PWD106" s="39"/>
      <c r="PWE106" s="39"/>
      <c r="PWF106" s="39"/>
      <c r="PWG106" s="39"/>
      <c r="PWH106" s="39"/>
      <c r="PWI106" s="39"/>
      <c r="PWJ106" s="39"/>
      <c r="PWK106" s="39"/>
      <c r="PWL106" s="39"/>
      <c r="PWM106" s="39"/>
      <c r="PWN106" s="39"/>
      <c r="PWO106" s="39"/>
      <c r="PWP106" s="39"/>
      <c r="PWQ106" s="39"/>
      <c r="PWR106" s="39"/>
      <c r="PWS106" s="39"/>
      <c r="PWT106" s="39"/>
      <c r="PWU106" s="39"/>
      <c r="PWV106" s="39"/>
      <c r="PWW106" s="39"/>
      <c r="PWX106" s="39"/>
      <c r="PWY106" s="39"/>
      <c r="PWZ106" s="39"/>
      <c r="PXA106" s="39"/>
      <c r="PXB106" s="39"/>
      <c r="PXC106" s="39"/>
      <c r="PXD106" s="39"/>
      <c r="PXE106" s="39"/>
      <c r="PXF106" s="39"/>
      <c r="PXG106" s="39"/>
      <c r="PXH106" s="39"/>
      <c r="PXI106" s="39"/>
      <c r="PXJ106" s="39"/>
      <c r="PXK106" s="39"/>
      <c r="PXL106" s="39"/>
      <c r="PXM106" s="39"/>
      <c r="PXN106" s="39"/>
      <c r="PXO106" s="39"/>
      <c r="PXP106" s="39"/>
      <c r="PXQ106" s="39"/>
      <c r="PXR106" s="39"/>
      <c r="PXS106" s="39"/>
      <c r="PXT106" s="39"/>
      <c r="PXU106" s="39"/>
      <c r="PXV106" s="39"/>
      <c r="PXW106" s="39"/>
      <c r="PXX106" s="39"/>
      <c r="PXY106" s="39"/>
      <c r="PXZ106" s="39"/>
      <c r="PYA106" s="39"/>
      <c r="PYB106" s="39"/>
      <c r="PYC106" s="39"/>
      <c r="PYD106" s="39"/>
      <c r="PYE106" s="39"/>
      <c r="PYF106" s="39"/>
      <c r="PYG106" s="39"/>
      <c r="PYH106" s="39"/>
      <c r="PYI106" s="39"/>
      <c r="PYJ106" s="39"/>
      <c r="PYK106" s="39"/>
      <c r="PYL106" s="39"/>
      <c r="PYM106" s="39"/>
      <c r="PYN106" s="39"/>
      <c r="PYO106" s="39"/>
      <c r="PYP106" s="39"/>
      <c r="PYQ106" s="39"/>
      <c r="PYR106" s="39"/>
      <c r="PYS106" s="39"/>
      <c r="PYT106" s="39"/>
      <c r="PYU106" s="39"/>
      <c r="PYV106" s="39"/>
      <c r="PYW106" s="39"/>
      <c r="PYX106" s="39"/>
      <c r="PYY106" s="39"/>
      <c r="PYZ106" s="39"/>
      <c r="PZA106" s="39"/>
      <c r="PZB106" s="39"/>
      <c r="PZC106" s="39"/>
      <c r="PZD106" s="39"/>
      <c r="PZE106" s="39"/>
      <c r="PZF106" s="39"/>
      <c r="PZG106" s="39"/>
      <c r="PZH106" s="39"/>
      <c r="PZI106" s="39"/>
      <c r="PZJ106" s="39"/>
      <c r="PZK106" s="39"/>
      <c r="PZL106" s="39"/>
      <c r="PZM106" s="39"/>
      <c r="PZN106" s="39"/>
      <c r="PZO106" s="39"/>
      <c r="PZP106" s="39"/>
      <c r="PZQ106" s="39"/>
      <c r="PZR106" s="39"/>
      <c r="PZS106" s="39"/>
      <c r="PZT106" s="39"/>
      <c r="PZU106" s="39"/>
      <c r="PZV106" s="39"/>
      <c r="PZW106" s="39"/>
      <c r="PZX106" s="39"/>
      <c r="PZY106" s="39"/>
      <c r="PZZ106" s="39"/>
      <c r="QAA106" s="39"/>
      <c r="QAB106" s="39"/>
      <c r="QAC106" s="39"/>
      <c r="QAD106" s="39"/>
      <c r="QAE106" s="39"/>
      <c r="QAF106" s="39"/>
      <c r="QAG106" s="39"/>
      <c r="QAH106" s="39"/>
      <c r="QAI106" s="39"/>
      <c r="QAJ106" s="39"/>
      <c r="QAK106" s="39"/>
      <c r="QAL106" s="39"/>
      <c r="QAM106" s="39"/>
      <c r="QAN106" s="39"/>
      <c r="QAO106" s="39"/>
      <c r="QAP106" s="39"/>
      <c r="QAQ106" s="39"/>
      <c r="QAR106" s="39"/>
      <c r="QAS106" s="39"/>
      <c r="QAT106" s="39"/>
      <c r="QAU106" s="39"/>
      <c r="QAV106" s="39"/>
      <c r="QAW106" s="39"/>
      <c r="QAX106" s="39"/>
      <c r="QAY106" s="39"/>
      <c r="QAZ106" s="39"/>
      <c r="QBA106" s="39"/>
      <c r="QBB106" s="39"/>
      <c r="QBC106" s="39"/>
      <c r="QBD106" s="39"/>
      <c r="QBE106" s="39"/>
      <c r="QBF106" s="39"/>
      <c r="QBG106" s="39"/>
      <c r="QBH106" s="39"/>
      <c r="QBI106" s="39"/>
      <c r="QBJ106" s="39"/>
      <c r="QBK106" s="39"/>
      <c r="QBL106" s="39"/>
      <c r="QBM106" s="39"/>
      <c r="QBN106" s="39"/>
      <c r="QBO106" s="39"/>
      <c r="QBP106" s="39"/>
      <c r="QBQ106" s="39"/>
      <c r="QBR106" s="39"/>
      <c r="QBS106" s="39"/>
      <c r="QBT106" s="39"/>
      <c r="QBU106" s="39"/>
      <c r="QBV106" s="39"/>
      <c r="QBW106" s="39"/>
      <c r="QBX106" s="39"/>
      <c r="QBY106" s="39"/>
      <c r="QBZ106" s="39"/>
      <c r="QCA106" s="39"/>
      <c r="QCB106" s="39"/>
      <c r="QCC106" s="39"/>
      <c r="QCD106" s="39"/>
      <c r="QCE106" s="39"/>
      <c r="QCF106" s="39"/>
      <c r="QCG106" s="39"/>
      <c r="QCH106" s="39"/>
      <c r="QCI106" s="39"/>
      <c r="QCJ106" s="39"/>
      <c r="QCK106" s="39"/>
      <c r="QCL106" s="39"/>
      <c r="QCM106" s="39"/>
      <c r="QCN106" s="39"/>
      <c r="QCO106" s="39"/>
      <c r="QCP106" s="39"/>
      <c r="QCQ106" s="39"/>
      <c r="QCR106" s="39"/>
      <c r="QCS106" s="39"/>
      <c r="QCT106" s="39"/>
      <c r="QCU106" s="39"/>
      <c r="QCV106" s="39"/>
      <c r="QCW106" s="39"/>
      <c r="QCX106" s="39"/>
      <c r="QCY106" s="39"/>
      <c r="QCZ106" s="39"/>
      <c r="QDA106" s="39"/>
      <c r="QDB106" s="39"/>
      <c r="QDC106" s="39"/>
      <c r="QDD106" s="39"/>
      <c r="QDE106" s="39"/>
      <c r="QDF106" s="39"/>
      <c r="QDG106" s="39"/>
      <c r="QDH106" s="39"/>
      <c r="QDI106" s="39"/>
      <c r="QDJ106" s="39"/>
      <c r="QDK106" s="39"/>
      <c r="QDL106" s="39"/>
      <c r="QDM106" s="39"/>
      <c r="QDN106" s="39"/>
      <c r="QDO106" s="39"/>
      <c r="QDP106" s="39"/>
      <c r="QDQ106" s="39"/>
      <c r="QDR106" s="39"/>
      <c r="QDS106" s="39"/>
      <c r="QDT106" s="39"/>
      <c r="QDU106" s="39"/>
      <c r="QDV106" s="39"/>
      <c r="QDW106" s="39"/>
      <c r="QDX106" s="39"/>
      <c r="QDY106" s="39"/>
      <c r="QDZ106" s="39"/>
      <c r="QEA106" s="39"/>
      <c r="QEB106" s="39"/>
      <c r="QEC106" s="39"/>
      <c r="QED106" s="39"/>
      <c r="QEE106" s="39"/>
      <c r="QEF106" s="39"/>
      <c r="QEG106" s="39"/>
      <c r="QEH106" s="39"/>
      <c r="QEI106" s="39"/>
      <c r="QEJ106" s="39"/>
      <c r="QEK106" s="39"/>
      <c r="QEL106" s="39"/>
      <c r="QEM106" s="39"/>
      <c r="QEN106" s="39"/>
      <c r="QEO106" s="39"/>
      <c r="QEP106" s="39"/>
      <c r="QEQ106" s="39"/>
      <c r="QER106" s="39"/>
      <c r="QES106" s="39"/>
      <c r="QET106" s="39"/>
      <c r="QEU106" s="39"/>
      <c r="QEV106" s="39"/>
      <c r="QEW106" s="39"/>
      <c r="QEX106" s="39"/>
      <c r="QEY106" s="39"/>
      <c r="QEZ106" s="39"/>
      <c r="QFA106" s="39"/>
      <c r="QFB106" s="39"/>
      <c r="QFC106" s="39"/>
      <c r="QFD106" s="39"/>
      <c r="QFE106" s="39"/>
      <c r="QFF106" s="39"/>
      <c r="QFG106" s="39"/>
      <c r="QFH106" s="39"/>
      <c r="QFI106" s="39"/>
      <c r="QFJ106" s="39"/>
      <c r="QFK106" s="39"/>
      <c r="QFL106" s="39"/>
      <c r="QFM106" s="39"/>
      <c r="QFN106" s="39"/>
      <c r="QFO106" s="39"/>
      <c r="QFP106" s="39"/>
      <c r="QFQ106" s="39"/>
      <c r="QFR106" s="39"/>
      <c r="QFS106" s="39"/>
      <c r="QFT106" s="39"/>
      <c r="QFU106" s="39"/>
      <c r="QFV106" s="39"/>
      <c r="QFW106" s="39"/>
      <c r="QFX106" s="39"/>
      <c r="QFY106" s="39"/>
      <c r="QFZ106" s="39"/>
      <c r="QGA106" s="39"/>
      <c r="QGB106" s="39"/>
      <c r="QGC106" s="39"/>
      <c r="QGD106" s="39"/>
      <c r="QGE106" s="39"/>
      <c r="QGF106" s="39"/>
      <c r="QGG106" s="39"/>
      <c r="QGH106" s="39"/>
      <c r="QGI106" s="39"/>
      <c r="QGJ106" s="39"/>
      <c r="QGK106" s="39"/>
      <c r="QGL106" s="39"/>
      <c r="QGM106" s="39"/>
      <c r="QGN106" s="39"/>
      <c r="QGO106" s="39"/>
      <c r="QGP106" s="39"/>
      <c r="QGQ106" s="39"/>
      <c r="QGR106" s="39"/>
      <c r="QGS106" s="39"/>
      <c r="QGT106" s="39"/>
      <c r="QGU106" s="39"/>
      <c r="QGV106" s="39"/>
      <c r="QGW106" s="39"/>
      <c r="QGX106" s="39"/>
      <c r="QGY106" s="39"/>
      <c r="QGZ106" s="39"/>
      <c r="QHA106" s="39"/>
      <c r="QHB106" s="39"/>
      <c r="QHC106" s="39"/>
      <c r="QHD106" s="39"/>
      <c r="QHE106" s="39"/>
      <c r="QHF106" s="39"/>
      <c r="QHG106" s="39"/>
      <c r="QHH106" s="39"/>
      <c r="QHI106" s="39"/>
      <c r="QHJ106" s="39"/>
      <c r="QHK106" s="39"/>
      <c r="QHL106" s="39"/>
      <c r="QHM106" s="39"/>
      <c r="QHN106" s="39"/>
      <c r="QHO106" s="39"/>
      <c r="QHP106" s="39"/>
      <c r="QHQ106" s="39"/>
      <c r="QHR106" s="39"/>
      <c r="QHS106" s="39"/>
      <c r="QHT106" s="39"/>
      <c r="QHU106" s="39"/>
      <c r="QHV106" s="39"/>
      <c r="QHW106" s="39"/>
      <c r="QHX106" s="39"/>
      <c r="QHY106" s="39"/>
      <c r="QHZ106" s="39"/>
      <c r="QIA106" s="39"/>
      <c r="QIB106" s="39"/>
      <c r="QIC106" s="39"/>
      <c r="QID106" s="39"/>
      <c r="QIE106" s="39"/>
      <c r="QIF106" s="39"/>
      <c r="QIG106" s="39"/>
      <c r="QIH106" s="39"/>
      <c r="QII106" s="39"/>
      <c r="QIJ106" s="39"/>
      <c r="QIK106" s="39"/>
      <c r="QIL106" s="39"/>
      <c r="QIM106" s="39"/>
      <c r="QIN106" s="39"/>
      <c r="QIO106" s="39"/>
      <c r="QIP106" s="39"/>
      <c r="QIQ106" s="39"/>
      <c r="QIR106" s="39"/>
      <c r="QIS106" s="39"/>
      <c r="QIT106" s="39"/>
      <c r="QIU106" s="39"/>
      <c r="QIV106" s="39"/>
      <c r="QIW106" s="39"/>
      <c r="QIX106" s="39"/>
      <c r="QIY106" s="39"/>
      <c r="QIZ106" s="39"/>
      <c r="QJA106" s="39"/>
      <c r="QJB106" s="39"/>
      <c r="QJC106" s="39"/>
      <c r="QJD106" s="39"/>
      <c r="QJE106" s="39"/>
      <c r="QJF106" s="39"/>
      <c r="QJG106" s="39"/>
      <c r="QJH106" s="39"/>
      <c r="QJI106" s="39"/>
      <c r="QJJ106" s="39"/>
      <c r="QJK106" s="39"/>
      <c r="QJL106" s="39"/>
      <c r="QJM106" s="39"/>
      <c r="QJN106" s="39"/>
      <c r="QJO106" s="39"/>
      <c r="QJP106" s="39"/>
      <c r="QJQ106" s="39"/>
      <c r="QJR106" s="39"/>
      <c r="QJS106" s="39"/>
      <c r="QJT106" s="39"/>
      <c r="QJU106" s="39"/>
      <c r="QJV106" s="39"/>
      <c r="QJW106" s="39"/>
      <c r="QJX106" s="39"/>
      <c r="QJY106" s="39"/>
      <c r="QJZ106" s="39"/>
      <c r="QKA106" s="39"/>
      <c r="QKB106" s="39"/>
      <c r="QKC106" s="39"/>
      <c r="QKD106" s="39"/>
      <c r="QKE106" s="39"/>
      <c r="QKF106" s="39"/>
      <c r="QKG106" s="39"/>
      <c r="QKH106" s="39"/>
      <c r="QKI106" s="39"/>
      <c r="QKJ106" s="39"/>
      <c r="QKK106" s="39"/>
      <c r="QKL106" s="39"/>
      <c r="QKM106" s="39"/>
      <c r="QKN106" s="39"/>
      <c r="QKO106" s="39"/>
      <c r="QKP106" s="39"/>
      <c r="QKQ106" s="39"/>
      <c r="QKR106" s="39"/>
      <c r="QKS106" s="39"/>
      <c r="QKT106" s="39"/>
      <c r="QKU106" s="39"/>
      <c r="QKV106" s="39"/>
      <c r="QKW106" s="39"/>
      <c r="QKX106" s="39"/>
      <c r="QKY106" s="39"/>
      <c r="QKZ106" s="39"/>
      <c r="QLA106" s="39"/>
      <c r="QLB106" s="39"/>
      <c r="QLC106" s="39"/>
      <c r="QLD106" s="39"/>
      <c r="QLE106" s="39"/>
      <c r="QLF106" s="39"/>
      <c r="QLG106" s="39"/>
      <c r="QLH106" s="39"/>
      <c r="QLI106" s="39"/>
      <c r="QLJ106" s="39"/>
      <c r="QLK106" s="39"/>
      <c r="QLL106" s="39"/>
      <c r="QLM106" s="39"/>
      <c r="QLN106" s="39"/>
      <c r="QLO106" s="39"/>
      <c r="QLP106" s="39"/>
      <c r="QLQ106" s="39"/>
      <c r="QLR106" s="39"/>
      <c r="QLS106" s="39"/>
      <c r="QLT106" s="39"/>
      <c r="QLU106" s="39"/>
      <c r="QLV106" s="39"/>
      <c r="QLW106" s="39"/>
      <c r="QLX106" s="39"/>
      <c r="QLY106" s="39"/>
      <c r="QLZ106" s="39"/>
      <c r="QMA106" s="39"/>
      <c r="QMB106" s="39"/>
      <c r="QMC106" s="39"/>
      <c r="QMD106" s="39"/>
      <c r="QME106" s="39"/>
      <c r="QMF106" s="39"/>
      <c r="QMG106" s="39"/>
      <c r="QMH106" s="39"/>
      <c r="QMI106" s="39"/>
      <c r="QMJ106" s="39"/>
      <c r="QMK106" s="39"/>
      <c r="QML106" s="39"/>
      <c r="QMM106" s="39"/>
      <c r="QMN106" s="39"/>
      <c r="QMO106" s="39"/>
      <c r="QMP106" s="39"/>
      <c r="QMQ106" s="39"/>
      <c r="QMR106" s="39"/>
      <c r="QMS106" s="39"/>
      <c r="QMT106" s="39"/>
      <c r="QMU106" s="39"/>
      <c r="QMV106" s="39"/>
      <c r="QMW106" s="39"/>
      <c r="QMX106" s="39"/>
      <c r="QMY106" s="39"/>
      <c r="QMZ106" s="39"/>
      <c r="QNA106" s="39"/>
      <c r="QNB106" s="39"/>
      <c r="QNC106" s="39"/>
      <c r="QND106" s="39"/>
      <c r="QNE106" s="39"/>
      <c r="QNF106" s="39"/>
      <c r="QNG106" s="39"/>
      <c r="QNH106" s="39"/>
      <c r="QNI106" s="39"/>
      <c r="QNJ106" s="39"/>
      <c r="QNK106" s="39"/>
      <c r="QNL106" s="39"/>
      <c r="QNM106" s="39"/>
      <c r="QNN106" s="39"/>
      <c r="QNO106" s="39"/>
      <c r="QNP106" s="39"/>
      <c r="QNQ106" s="39"/>
      <c r="QNR106" s="39"/>
      <c r="QNS106" s="39"/>
      <c r="QNT106" s="39"/>
      <c r="QNU106" s="39"/>
      <c r="QNV106" s="39"/>
      <c r="QNW106" s="39"/>
      <c r="QNX106" s="39"/>
      <c r="QNY106" s="39"/>
      <c r="QNZ106" s="39"/>
      <c r="QOA106" s="39"/>
      <c r="QOB106" s="39"/>
      <c r="QOC106" s="39"/>
      <c r="QOD106" s="39"/>
      <c r="QOE106" s="39"/>
      <c r="QOF106" s="39"/>
      <c r="QOG106" s="39"/>
      <c r="QOH106" s="39"/>
      <c r="QOI106" s="39"/>
      <c r="QOJ106" s="39"/>
      <c r="QOK106" s="39"/>
      <c r="QOL106" s="39"/>
      <c r="QOM106" s="39"/>
      <c r="QON106" s="39"/>
      <c r="QOO106" s="39"/>
      <c r="QOP106" s="39"/>
      <c r="QOQ106" s="39"/>
      <c r="QOR106" s="39"/>
      <c r="QOS106" s="39"/>
      <c r="QOT106" s="39"/>
      <c r="QOU106" s="39"/>
      <c r="QOV106" s="39"/>
      <c r="QOW106" s="39"/>
      <c r="QOX106" s="39"/>
      <c r="QOY106" s="39"/>
      <c r="QOZ106" s="39"/>
      <c r="QPA106" s="39"/>
      <c r="QPB106" s="39"/>
      <c r="QPC106" s="39"/>
      <c r="QPD106" s="39"/>
      <c r="QPE106" s="39"/>
      <c r="QPF106" s="39"/>
      <c r="QPG106" s="39"/>
      <c r="QPH106" s="39"/>
      <c r="QPI106" s="39"/>
      <c r="QPJ106" s="39"/>
      <c r="QPK106" s="39"/>
      <c r="QPL106" s="39"/>
      <c r="QPM106" s="39"/>
      <c r="QPN106" s="39"/>
      <c r="QPO106" s="39"/>
      <c r="QPP106" s="39"/>
      <c r="QPQ106" s="39"/>
      <c r="QPR106" s="39"/>
      <c r="QPS106" s="39"/>
      <c r="QPT106" s="39"/>
      <c r="QPU106" s="39"/>
      <c r="QPV106" s="39"/>
      <c r="QPW106" s="39"/>
      <c r="QPX106" s="39"/>
      <c r="QPY106" s="39"/>
      <c r="QPZ106" s="39"/>
      <c r="QQA106" s="39"/>
      <c r="QQB106" s="39"/>
      <c r="QQC106" s="39"/>
      <c r="QQD106" s="39"/>
      <c r="QQE106" s="39"/>
      <c r="QQF106" s="39"/>
      <c r="QQG106" s="39"/>
      <c r="QQH106" s="39"/>
      <c r="QQI106" s="39"/>
      <c r="QQJ106" s="39"/>
      <c r="QQK106" s="39"/>
      <c r="QQL106" s="39"/>
      <c r="QQM106" s="39"/>
      <c r="QQN106" s="39"/>
      <c r="QQO106" s="39"/>
      <c r="QQP106" s="39"/>
      <c r="QQQ106" s="39"/>
      <c r="QQR106" s="39"/>
      <c r="QQS106" s="39"/>
      <c r="QQT106" s="39"/>
      <c r="QQU106" s="39"/>
      <c r="QQV106" s="39"/>
      <c r="QQW106" s="39"/>
      <c r="QQX106" s="39"/>
      <c r="QQY106" s="39"/>
      <c r="QQZ106" s="39"/>
      <c r="QRA106" s="39"/>
      <c r="QRB106" s="39"/>
      <c r="QRC106" s="39"/>
      <c r="QRD106" s="39"/>
      <c r="QRE106" s="39"/>
      <c r="QRF106" s="39"/>
      <c r="QRG106" s="39"/>
      <c r="QRH106" s="39"/>
      <c r="QRI106" s="39"/>
      <c r="QRJ106" s="39"/>
      <c r="QRK106" s="39"/>
      <c r="QRL106" s="39"/>
      <c r="QRM106" s="39"/>
      <c r="QRN106" s="39"/>
      <c r="QRO106" s="39"/>
      <c r="QRP106" s="39"/>
      <c r="QRQ106" s="39"/>
      <c r="QRR106" s="39"/>
      <c r="QRS106" s="39"/>
      <c r="QRT106" s="39"/>
      <c r="QRU106" s="39"/>
      <c r="QRV106" s="39"/>
      <c r="QRW106" s="39"/>
      <c r="QRX106" s="39"/>
      <c r="QRY106" s="39"/>
      <c r="QRZ106" s="39"/>
      <c r="QSA106" s="39"/>
      <c r="QSB106" s="39"/>
      <c r="QSC106" s="39"/>
      <c r="QSD106" s="39"/>
      <c r="QSE106" s="39"/>
      <c r="QSF106" s="39"/>
      <c r="QSG106" s="39"/>
      <c r="QSH106" s="39"/>
      <c r="QSI106" s="39"/>
      <c r="QSJ106" s="39"/>
      <c r="QSK106" s="39"/>
      <c r="QSL106" s="39"/>
      <c r="QSM106" s="39"/>
      <c r="QSN106" s="39"/>
      <c r="QSO106" s="39"/>
      <c r="QSP106" s="39"/>
      <c r="QSQ106" s="39"/>
      <c r="QSR106" s="39"/>
      <c r="QSS106" s="39"/>
      <c r="QST106" s="39"/>
      <c r="QSU106" s="39"/>
      <c r="QSV106" s="39"/>
      <c r="QSW106" s="39"/>
      <c r="QSX106" s="39"/>
      <c r="QSY106" s="39"/>
      <c r="QSZ106" s="39"/>
      <c r="QTA106" s="39"/>
      <c r="QTB106" s="39"/>
      <c r="QTC106" s="39"/>
      <c r="QTD106" s="39"/>
      <c r="QTE106" s="39"/>
      <c r="QTF106" s="39"/>
      <c r="QTG106" s="39"/>
      <c r="QTH106" s="39"/>
      <c r="QTI106" s="39"/>
      <c r="QTJ106" s="39"/>
      <c r="QTK106" s="39"/>
      <c r="QTL106" s="39"/>
      <c r="QTM106" s="39"/>
      <c r="QTN106" s="39"/>
      <c r="QTO106" s="39"/>
      <c r="QTP106" s="39"/>
      <c r="QTQ106" s="39"/>
      <c r="QTR106" s="39"/>
      <c r="QTS106" s="39"/>
      <c r="QTT106" s="39"/>
      <c r="QTU106" s="39"/>
      <c r="QTV106" s="39"/>
      <c r="QTW106" s="39"/>
      <c r="QTX106" s="39"/>
      <c r="QTY106" s="39"/>
      <c r="QTZ106" s="39"/>
      <c r="QUA106" s="39"/>
      <c r="QUB106" s="39"/>
      <c r="QUC106" s="39"/>
      <c r="QUD106" s="39"/>
      <c r="QUE106" s="39"/>
      <c r="QUF106" s="39"/>
      <c r="QUG106" s="39"/>
      <c r="QUH106" s="39"/>
      <c r="QUI106" s="39"/>
      <c r="QUJ106" s="39"/>
      <c r="QUK106" s="39"/>
      <c r="QUL106" s="39"/>
      <c r="QUM106" s="39"/>
      <c r="QUN106" s="39"/>
      <c r="QUO106" s="39"/>
      <c r="QUP106" s="39"/>
      <c r="QUQ106" s="39"/>
      <c r="QUR106" s="39"/>
      <c r="QUS106" s="39"/>
      <c r="QUT106" s="39"/>
      <c r="QUU106" s="39"/>
      <c r="QUV106" s="39"/>
      <c r="QUW106" s="39"/>
      <c r="QUX106" s="39"/>
      <c r="QUY106" s="39"/>
      <c r="QUZ106" s="39"/>
      <c r="QVA106" s="39"/>
      <c r="QVB106" s="39"/>
      <c r="QVC106" s="39"/>
      <c r="QVD106" s="39"/>
      <c r="QVE106" s="39"/>
      <c r="QVF106" s="39"/>
      <c r="QVG106" s="39"/>
      <c r="QVH106" s="39"/>
      <c r="QVI106" s="39"/>
      <c r="QVJ106" s="39"/>
      <c r="QVK106" s="39"/>
      <c r="QVL106" s="39"/>
      <c r="QVM106" s="39"/>
      <c r="QVN106" s="39"/>
      <c r="QVO106" s="39"/>
      <c r="QVP106" s="39"/>
      <c r="QVQ106" s="39"/>
      <c r="QVR106" s="39"/>
      <c r="QVS106" s="39"/>
      <c r="QVT106" s="39"/>
      <c r="QVU106" s="39"/>
      <c r="QVV106" s="39"/>
      <c r="QVW106" s="39"/>
      <c r="QVX106" s="39"/>
      <c r="QVY106" s="39"/>
      <c r="QVZ106" s="39"/>
      <c r="QWA106" s="39"/>
      <c r="QWB106" s="39"/>
      <c r="QWC106" s="39"/>
      <c r="QWD106" s="39"/>
      <c r="QWE106" s="39"/>
      <c r="QWF106" s="39"/>
      <c r="QWG106" s="39"/>
      <c r="QWH106" s="39"/>
      <c r="QWI106" s="39"/>
      <c r="QWJ106" s="39"/>
      <c r="QWK106" s="39"/>
      <c r="QWL106" s="39"/>
      <c r="QWM106" s="39"/>
      <c r="QWN106" s="39"/>
      <c r="QWO106" s="39"/>
      <c r="QWP106" s="39"/>
      <c r="QWQ106" s="39"/>
      <c r="QWR106" s="39"/>
      <c r="QWS106" s="39"/>
      <c r="QWT106" s="39"/>
      <c r="QWU106" s="39"/>
      <c r="QWV106" s="39"/>
      <c r="QWW106" s="39"/>
      <c r="QWX106" s="39"/>
      <c r="QWY106" s="39"/>
      <c r="QWZ106" s="39"/>
      <c r="QXA106" s="39"/>
      <c r="QXB106" s="39"/>
      <c r="QXC106" s="39"/>
      <c r="QXD106" s="39"/>
      <c r="QXE106" s="39"/>
      <c r="QXF106" s="39"/>
      <c r="QXG106" s="39"/>
      <c r="QXH106" s="39"/>
      <c r="QXI106" s="39"/>
      <c r="QXJ106" s="39"/>
      <c r="QXK106" s="39"/>
      <c r="QXL106" s="39"/>
      <c r="QXM106" s="39"/>
      <c r="QXN106" s="39"/>
      <c r="QXO106" s="39"/>
      <c r="QXP106" s="39"/>
      <c r="QXQ106" s="39"/>
      <c r="QXR106" s="39"/>
      <c r="QXS106" s="39"/>
      <c r="QXT106" s="39"/>
      <c r="QXU106" s="39"/>
      <c r="QXV106" s="39"/>
      <c r="QXW106" s="39"/>
      <c r="QXX106" s="39"/>
      <c r="QXY106" s="39"/>
      <c r="QXZ106" s="39"/>
      <c r="QYA106" s="39"/>
      <c r="QYB106" s="39"/>
      <c r="QYC106" s="39"/>
      <c r="QYD106" s="39"/>
      <c r="QYE106" s="39"/>
      <c r="QYF106" s="39"/>
      <c r="QYG106" s="39"/>
      <c r="QYH106" s="39"/>
      <c r="QYI106" s="39"/>
      <c r="QYJ106" s="39"/>
      <c r="QYK106" s="39"/>
      <c r="QYL106" s="39"/>
      <c r="QYM106" s="39"/>
      <c r="QYN106" s="39"/>
      <c r="QYO106" s="39"/>
      <c r="QYP106" s="39"/>
      <c r="QYQ106" s="39"/>
      <c r="QYR106" s="39"/>
      <c r="QYS106" s="39"/>
      <c r="QYT106" s="39"/>
      <c r="QYU106" s="39"/>
      <c r="QYV106" s="39"/>
      <c r="QYW106" s="39"/>
      <c r="QYX106" s="39"/>
      <c r="QYY106" s="39"/>
      <c r="QYZ106" s="39"/>
      <c r="QZA106" s="39"/>
      <c r="QZB106" s="39"/>
      <c r="QZC106" s="39"/>
      <c r="QZD106" s="39"/>
      <c r="QZE106" s="39"/>
      <c r="QZF106" s="39"/>
      <c r="QZG106" s="39"/>
      <c r="QZH106" s="39"/>
      <c r="QZI106" s="39"/>
      <c r="QZJ106" s="39"/>
      <c r="QZK106" s="39"/>
      <c r="QZL106" s="39"/>
      <c r="QZM106" s="39"/>
      <c r="QZN106" s="39"/>
      <c r="QZO106" s="39"/>
      <c r="QZP106" s="39"/>
      <c r="QZQ106" s="39"/>
      <c r="QZR106" s="39"/>
      <c r="QZS106" s="39"/>
      <c r="QZT106" s="39"/>
      <c r="QZU106" s="39"/>
      <c r="QZV106" s="39"/>
      <c r="QZW106" s="39"/>
      <c r="QZX106" s="39"/>
      <c r="QZY106" s="39"/>
      <c r="QZZ106" s="39"/>
      <c r="RAA106" s="39"/>
      <c r="RAB106" s="39"/>
      <c r="RAC106" s="39"/>
      <c r="RAD106" s="39"/>
      <c r="RAE106" s="39"/>
      <c r="RAF106" s="39"/>
      <c r="RAG106" s="39"/>
      <c r="RAH106" s="39"/>
      <c r="RAI106" s="39"/>
      <c r="RAJ106" s="39"/>
      <c r="RAK106" s="39"/>
      <c r="RAL106" s="39"/>
      <c r="RAM106" s="39"/>
      <c r="RAN106" s="39"/>
      <c r="RAO106" s="39"/>
      <c r="RAP106" s="39"/>
      <c r="RAQ106" s="39"/>
      <c r="RAR106" s="39"/>
      <c r="RAS106" s="39"/>
      <c r="RAT106" s="39"/>
      <c r="RAU106" s="39"/>
      <c r="RAV106" s="39"/>
      <c r="RAW106" s="39"/>
      <c r="RAX106" s="39"/>
      <c r="RAY106" s="39"/>
      <c r="RAZ106" s="39"/>
      <c r="RBA106" s="39"/>
      <c r="RBB106" s="39"/>
      <c r="RBC106" s="39"/>
      <c r="RBD106" s="39"/>
      <c r="RBE106" s="39"/>
      <c r="RBF106" s="39"/>
      <c r="RBG106" s="39"/>
      <c r="RBH106" s="39"/>
      <c r="RBI106" s="39"/>
      <c r="RBJ106" s="39"/>
      <c r="RBK106" s="39"/>
      <c r="RBL106" s="39"/>
      <c r="RBM106" s="39"/>
      <c r="RBN106" s="39"/>
      <c r="RBO106" s="39"/>
      <c r="RBP106" s="39"/>
      <c r="RBQ106" s="39"/>
      <c r="RBR106" s="39"/>
      <c r="RBS106" s="39"/>
      <c r="RBT106" s="39"/>
      <c r="RBU106" s="39"/>
      <c r="RBV106" s="39"/>
      <c r="RBW106" s="39"/>
      <c r="RBX106" s="39"/>
      <c r="RBY106" s="39"/>
      <c r="RBZ106" s="39"/>
      <c r="RCA106" s="39"/>
      <c r="RCB106" s="39"/>
      <c r="RCC106" s="39"/>
      <c r="RCD106" s="39"/>
      <c r="RCE106" s="39"/>
      <c r="RCF106" s="39"/>
      <c r="RCG106" s="39"/>
      <c r="RCH106" s="39"/>
      <c r="RCI106" s="39"/>
      <c r="RCJ106" s="39"/>
      <c r="RCK106" s="39"/>
      <c r="RCL106" s="39"/>
      <c r="RCM106" s="39"/>
      <c r="RCN106" s="39"/>
      <c r="RCO106" s="39"/>
      <c r="RCP106" s="39"/>
      <c r="RCQ106" s="39"/>
      <c r="RCR106" s="39"/>
      <c r="RCS106" s="39"/>
      <c r="RCT106" s="39"/>
      <c r="RCU106" s="39"/>
      <c r="RCV106" s="39"/>
      <c r="RCW106" s="39"/>
      <c r="RCX106" s="39"/>
      <c r="RCY106" s="39"/>
      <c r="RCZ106" s="39"/>
      <c r="RDA106" s="39"/>
      <c r="RDB106" s="39"/>
      <c r="RDC106" s="39"/>
      <c r="RDD106" s="39"/>
      <c r="RDE106" s="39"/>
      <c r="RDF106" s="39"/>
      <c r="RDG106" s="39"/>
      <c r="RDH106" s="39"/>
      <c r="RDI106" s="39"/>
      <c r="RDJ106" s="39"/>
      <c r="RDK106" s="39"/>
      <c r="RDL106" s="39"/>
      <c r="RDM106" s="39"/>
      <c r="RDN106" s="39"/>
      <c r="RDO106" s="39"/>
      <c r="RDP106" s="39"/>
      <c r="RDQ106" s="39"/>
      <c r="RDR106" s="39"/>
      <c r="RDS106" s="39"/>
      <c r="RDT106" s="39"/>
      <c r="RDU106" s="39"/>
      <c r="RDV106" s="39"/>
      <c r="RDW106" s="39"/>
      <c r="RDX106" s="39"/>
      <c r="RDY106" s="39"/>
      <c r="RDZ106" s="39"/>
      <c r="REA106" s="39"/>
      <c r="REB106" s="39"/>
      <c r="REC106" s="39"/>
      <c r="RED106" s="39"/>
      <c r="REE106" s="39"/>
      <c r="REF106" s="39"/>
      <c r="REG106" s="39"/>
      <c r="REH106" s="39"/>
      <c r="REI106" s="39"/>
      <c r="REJ106" s="39"/>
      <c r="REK106" s="39"/>
      <c r="REL106" s="39"/>
      <c r="REM106" s="39"/>
      <c r="REN106" s="39"/>
      <c r="REO106" s="39"/>
      <c r="REP106" s="39"/>
      <c r="REQ106" s="39"/>
      <c r="RER106" s="39"/>
      <c r="RES106" s="39"/>
      <c r="RET106" s="39"/>
      <c r="REU106" s="39"/>
      <c r="REV106" s="39"/>
      <c r="REW106" s="39"/>
      <c r="REX106" s="39"/>
      <c r="REY106" s="39"/>
      <c r="REZ106" s="39"/>
      <c r="RFA106" s="39"/>
      <c r="RFB106" s="39"/>
      <c r="RFC106" s="39"/>
      <c r="RFD106" s="39"/>
      <c r="RFE106" s="39"/>
      <c r="RFF106" s="39"/>
      <c r="RFG106" s="39"/>
      <c r="RFH106" s="39"/>
      <c r="RFI106" s="39"/>
      <c r="RFJ106" s="39"/>
      <c r="RFK106" s="39"/>
      <c r="RFL106" s="39"/>
      <c r="RFM106" s="39"/>
      <c r="RFN106" s="39"/>
      <c r="RFO106" s="39"/>
      <c r="RFP106" s="39"/>
      <c r="RFQ106" s="39"/>
      <c r="RFR106" s="39"/>
      <c r="RFS106" s="39"/>
      <c r="RFT106" s="39"/>
      <c r="RFU106" s="39"/>
      <c r="RFV106" s="39"/>
      <c r="RFW106" s="39"/>
      <c r="RFX106" s="39"/>
      <c r="RFY106" s="39"/>
      <c r="RFZ106" s="39"/>
      <c r="RGA106" s="39"/>
      <c r="RGB106" s="39"/>
      <c r="RGC106" s="39"/>
      <c r="RGD106" s="39"/>
      <c r="RGE106" s="39"/>
      <c r="RGF106" s="39"/>
      <c r="RGG106" s="39"/>
      <c r="RGH106" s="39"/>
      <c r="RGI106" s="39"/>
      <c r="RGJ106" s="39"/>
      <c r="RGK106" s="39"/>
      <c r="RGL106" s="39"/>
      <c r="RGM106" s="39"/>
      <c r="RGN106" s="39"/>
      <c r="RGO106" s="39"/>
      <c r="RGP106" s="39"/>
      <c r="RGQ106" s="39"/>
      <c r="RGR106" s="39"/>
      <c r="RGS106" s="39"/>
      <c r="RGT106" s="39"/>
      <c r="RGU106" s="39"/>
      <c r="RGV106" s="39"/>
      <c r="RGW106" s="39"/>
      <c r="RGX106" s="39"/>
      <c r="RGY106" s="39"/>
      <c r="RGZ106" s="39"/>
      <c r="RHA106" s="39"/>
      <c r="RHB106" s="39"/>
      <c r="RHC106" s="39"/>
      <c r="RHD106" s="39"/>
      <c r="RHE106" s="39"/>
      <c r="RHF106" s="39"/>
      <c r="RHG106" s="39"/>
      <c r="RHH106" s="39"/>
      <c r="RHI106" s="39"/>
      <c r="RHJ106" s="39"/>
      <c r="RHK106" s="39"/>
      <c r="RHL106" s="39"/>
      <c r="RHM106" s="39"/>
      <c r="RHN106" s="39"/>
      <c r="RHO106" s="39"/>
      <c r="RHP106" s="39"/>
      <c r="RHQ106" s="39"/>
      <c r="RHR106" s="39"/>
      <c r="RHS106" s="39"/>
      <c r="RHT106" s="39"/>
      <c r="RHU106" s="39"/>
      <c r="RHV106" s="39"/>
      <c r="RHW106" s="39"/>
      <c r="RHX106" s="39"/>
      <c r="RHY106" s="39"/>
      <c r="RHZ106" s="39"/>
      <c r="RIA106" s="39"/>
      <c r="RIB106" s="39"/>
      <c r="RIC106" s="39"/>
      <c r="RID106" s="39"/>
      <c r="RIE106" s="39"/>
      <c r="RIF106" s="39"/>
      <c r="RIG106" s="39"/>
      <c r="RIH106" s="39"/>
      <c r="RII106" s="39"/>
      <c r="RIJ106" s="39"/>
      <c r="RIK106" s="39"/>
      <c r="RIL106" s="39"/>
      <c r="RIM106" s="39"/>
      <c r="RIN106" s="39"/>
      <c r="RIO106" s="39"/>
      <c r="RIP106" s="39"/>
      <c r="RIQ106" s="39"/>
      <c r="RIR106" s="39"/>
      <c r="RIS106" s="39"/>
      <c r="RIT106" s="39"/>
      <c r="RIU106" s="39"/>
      <c r="RIV106" s="39"/>
      <c r="RIW106" s="39"/>
      <c r="RIX106" s="39"/>
      <c r="RIY106" s="39"/>
      <c r="RIZ106" s="39"/>
      <c r="RJA106" s="39"/>
      <c r="RJB106" s="39"/>
      <c r="RJC106" s="39"/>
      <c r="RJD106" s="39"/>
      <c r="RJE106" s="39"/>
      <c r="RJF106" s="39"/>
      <c r="RJG106" s="39"/>
      <c r="RJH106" s="39"/>
      <c r="RJI106" s="39"/>
      <c r="RJJ106" s="39"/>
      <c r="RJK106" s="39"/>
      <c r="RJL106" s="39"/>
      <c r="RJM106" s="39"/>
      <c r="RJN106" s="39"/>
      <c r="RJO106" s="39"/>
      <c r="RJP106" s="39"/>
      <c r="RJQ106" s="39"/>
      <c r="RJR106" s="39"/>
      <c r="RJS106" s="39"/>
      <c r="RJT106" s="39"/>
      <c r="RJU106" s="39"/>
      <c r="RJV106" s="39"/>
      <c r="RJW106" s="39"/>
      <c r="RJX106" s="39"/>
      <c r="RJY106" s="39"/>
      <c r="RJZ106" s="39"/>
      <c r="RKA106" s="39"/>
      <c r="RKB106" s="39"/>
      <c r="RKC106" s="39"/>
      <c r="RKD106" s="39"/>
      <c r="RKE106" s="39"/>
      <c r="RKF106" s="39"/>
      <c r="RKG106" s="39"/>
      <c r="RKH106" s="39"/>
      <c r="RKI106" s="39"/>
      <c r="RKJ106" s="39"/>
      <c r="RKK106" s="39"/>
      <c r="RKL106" s="39"/>
      <c r="RKM106" s="39"/>
      <c r="RKN106" s="39"/>
      <c r="RKO106" s="39"/>
      <c r="RKP106" s="39"/>
      <c r="RKQ106" s="39"/>
      <c r="RKR106" s="39"/>
      <c r="RKS106" s="39"/>
      <c r="RKT106" s="39"/>
      <c r="RKU106" s="39"/>
      <c r="RKV106" s="39"/>
      <c r="RKW106" s="39"/>
      <c r="RKX106" s="39"/>
      <c r="RKY106" s="39"/>
      <c r="RKZ106" s="39"/>
      <c r="RLA106" s="39"/>
      <c r="RLB106" s="39"/>
      <c r="RLC106" s="39"/>
      <c r="RLD106" s="39"/>
      <c r="RLE106" s="39"/>
      <c r="RLF106" s="39"/>
      <c r="RLG106" s="39"/>
      <c r="RLH106" s="39"/>
      <c r="RLI106" s="39"/>
      <c r="RLJ106" s="39"/>
      <c r="RLK106" s="39"/>
      <c r="RLL106" s="39"/>
      <c r="RLM106" s="39"/>
      <c r="RLN106" s="39"/>
      <c r="RLO106" s="39"/>
      <c r="RLP106" s="39"/>
      <c r="RLQ106" s="39"/>
      <c r="RLR106" s="39"/>
      <c r="RLS106" s="39"/>
      <c r="RLT106" s="39"/>
      <c r="RLU106" s="39"/>
      <c r="RLV106" s="39"/>
      <c r="RLW106" s="39"/>
      <c r="RLX106" s="39"/>
      <c r="RLY106" s="39"/>
      <c r="RLZ106" s="39"/>
      <c r="RMA106" s="39"/>
      <c r="RMB106" s="39"/>
      <c r="RMC106" s="39"/>
      <c r="RMD106" s="39"/>
      <c r="RME106" s="39"/>
      <c r="RMF106" s="39"/>
      <c r="RMG106" s="39"/>
      <c r="RMH106" s="39"/>
      <c r="RMI106" s="39"/>
      <c r="RMJ106" s="39"/>
      <c r="RMK106" s="39"/>
      <c r="RML106" s="39"/>
      <c r="RMM106" s="39"/>
      <c r="RMN106" s="39"/>
      <c r="RMO106" s="39"/>
      <c r="RMP106" s="39"/>
      <c r="RMQ106" s="39"/>
      <c r="RMR106" s="39"/>
      <c r="RMS106" s="39"/>
      <c r="RMT106" s="39"/>
      <c r="RMU106" s="39"/>
      <c r="RMV106" s="39"/>
      <c r="RMW106" s="39"/>
      <c r="RMX106" s="39"/>
      <c r="RMY106" s="39"/>
      <c r="RMZ106" s="39"/>
      <c r="RNA106" s="39"/>
      <c r="RNB106" s="39"/>
      <c r="RNC106" s="39"/>
      <c r="RND106" s="39"/>
      <c r="RNE106" s="39"/>
      <c r="RNF106" s="39"/>
      <c r="RNG106" s="39"/>
      <c r="RNH106" s="39"/>
      <c r="RNI106" s="39"/>
      <c r="RNJ106" s="39"/>
      <c r="RNK106" s="39"/>
      <c r="RNL106" s="39"/>
      <c r="RNM106" s="39"/>
      <c r="RNN106" s="39"/>
      <c r="RNO106" s="39"/>
      <c r="RNP106" s="39"/>
      <c r="RNQ106" s="39"/>
      <c r="RNR106" s="39"/>
      <c r="RNS106" s="39"/>
      <c r="RNT106" s="39"/>
      <c r="RNU106" s="39"/>
      <c r="RNV106" s="39"/>
      <c r="RNW106" s="39"/>
      <c r="RNX106" s="39"/>
      <c r="RNY106" s="39"/>
      <c r="RNZ106" s="39"/>
      <c r="ROA106" s="39"/>
      <c r="ROB106" s="39"/>
      <c r="ROC106" s="39"/>
      <c r="ROD106" s="39"/>
      <c r="ROE106" s="39"/>
      <c r="ROF106" s="39"/>
      <c r="ROG106" s="39"/>
      <c r="ROH106" s="39"/>
      <c r="ROI106" s="39"/>
      <c r="ROJ106" s="39"/>
      <c r="ROK106" s="39"/>
      <c r="ROL106" s="39"/>
      <c r="ROM106" s="39"/>
      <c r="RON106" s="39"/>
      <c r="ROO106" s="39"/>
      <c r="ROP106" s="39"/>
      <c r="ROQ106" s="39"/>
      <c r="ROR106" s="39"/>
      <c r="ROS106" s="39"/>
      <c r="ROT106" s="39"/>
      <c r="ROU106" s="39"/>
      <c r="ROV106" s="39"/>
      <c r="ROW106" s="39"/>
      <c r="ROX106" s="39"/>
      <c r="ROY106" s="39"/>
      <c r="ROZ106" s="39"/>
      <c r="RPA106" s="39"/>
      <c r="RPB106" s="39"/>
      <c r="RPC106" s="39"/>
      <c r="RPD106" s="39"/>
      <c r="RPE106" s="39"/>
      <c r="RPF106" s="39"/>
      <c r="RPG106" s="39"/>
      <c r="RPH106" s="39"/>
      <c r="RPI106" s="39"/>
      <c r="RPJ106" s="39"/>
      <c r="RPK106" s="39"/>
      <c r="RPL106" s="39"/>
      <c r="RPM106" s="39"/>
      <c r="RPN106" s="39"/>
      <c r="RPO106" s="39"/>
      <c r="RPP106" s="39"/>
      <c r="RPQ106" s="39"/>
      <c r="RPR106" s="39"/>
      <c r="RPS106" s="39"/>
      <c r="RPT106" s="39"/>
      <c r="RPU106" s="39"/>
      <c r="RPV106" s="39"/>
      <c r="RPW106" s="39"/>
      <c r="RPX106" s="39"/>
      <c r="RPY106" s="39"/>
      <c r="RPZ106" s="39"/>
      <c r="RQA106" s="39"/>
      <c r="RQB106" s="39"/>
      <c r="RQC106" s="39"/>
      <c r="RQD106" s="39"/>
      <c r="RQE106" s="39"/>
      <c r="RQF106" s="39"/>
      <c r="RQG106" s="39"/>
      <c r="RQH106" s="39"/>
      <c r="RQI106" s="39"/>
      <c r="RQJ106" s="39"/>
      <c r="RQK106" s="39"/>
      <c r="RQL106" s="39"/>
      <c r="RQM106" s="39"/>
      <c r="RQN106" s="39"/>
      <c r="RQO106" s="39"/>
      <c r="RQP106" s="39"/>
      <c r="RQQ106" s="39"/>
      <c r="RQR106" s="39"/>
      <c r="RQS106" s="39"/>
      <c r="RQT106" s="39"/>
      <c r="RQU106" s="39"/>
      <c r="RQV106" s="39"/>
      <c r="RQW106" s="39"/>
      <c r="RQX106" s="39"/>
      <c r="RQY106" s="39"/>
      <c r="RQZ106" s="39"/>
      <c r="RRA106" s="39"/>
      <c r="RRB106" s="39"/>
      <c r="RRC106" s="39"/>
      <c r="RRD106" s="39"/>
      <c r="RRE106" s="39"/>
      <c r="RRF106" s="39"/>
      <c r="RRG106" s="39"/>
      <c r="RRH106" s="39"/>
      <c r="RRI106" s="39"/>
      <c r="RRJ106" s="39"/>
      <c r="RRK106" s="39"/>
      <c r="RRL106" s="39"/>
      <c r="RRM106" s="39"/>
      <c r="RRN106" s="39"/>
      <c r="RRO106" s="39"/>
      <c r="RRP106" s="39"/>
      <c r="RRQ106" s="39"/>
      <c r="RRR106" s="39"/>
      <c r="RRS106" s="39"/>
      <c r="RRT106" s="39"/>
      <c r="RRU106" s="39"/>
      <c r="RRV106" s="39"/>
      <c r="RRW106" s="39"/>
      <c r="RRX106" s="39"/>
      <c r="RRY106" s="39"/>
      <c r="RRZ106" s="39"/>
      <c r="RSA106" s="39"/>
      <c r="RSB106" s="39"/>
      <c r="RSC106" s="39"/>
      <c r="RSD106" s="39"/>
      <c r="RSE106" s="39"/>
      <c r="RSF106" s="39"/>
      <c r="RSG106" s="39"/>
      <c r="RSH106" s="39"/>
      <c r="RSI106" s="39"/>
      <c r="RSJ106" s="39"/>
      <c r="RSK106" s="39"/>
      <c r="RSL106" s="39"/>
      <c r="RSM106" s="39"/>
      <c r="RSN106" s="39"/>
      <c r="RSO106" s="39"/>
      <c r="RSP106" s="39"/>
      <c r="RSQ106" s="39"/>
      <c r="RSR106" s="39"/>
      <c r="RSS106" s="39"/>
      <c r="RST106" s="39"/>
      <c r="RSU106" s="39"/>
      <c r="RSV106" s="39"/>
      <c r="RSW106" s="39"/>
      <c r="RSX106" s="39"/>
      <c r="RSY106" s="39"/>
      <c r="RSZ106" s="39"/>
      <c r="RTA106" s="39"/>
      <c r="RTB106" s="39"/>
      <c r="RTC106" s="39"/>
      <c r="RTD106" s="39"/>
      <c r="RTE106" s="39"/>
      <c r="RTF106" s="39"/>
      <c r="RTG106" s="39"/>
      <c r="RTH106" s="39"/>
      <c r="RTI106" s="39"/>
      <c r="RTJ106" s="39"/>
      <c r="RTK106" s="39"/>
      <c r="RTL106" s="39"/>
      <c r="RTM106" s="39"/>
      <c r="RTN106" s="39"/>
      <c r="RTO106" s="39"/>
      <c r="RTP106" s="39"/>
      <c r="RTQ106" s="39"/>
      <c r="RTR106" s="39"/>
      <c r="RTS106" s="39"/>
      <c r="RTT106" s="39"/>
      <c r="RTU106" s="39"/>
      <c r="RTV106" s="39"/>
      <c r="RTW106" s="39"/>
      <c r="RTX106" s="39"/>
      <c r="RTY106" s="39"/>
      <c r="RTZ106" s="39"/>
      <c r="RUA106" s="39"/>
      <c r="RUB106" s="39"/>
      <c r="RUC106" s="39"/>
      <c r="RUD106" s="39"/>
      <c r="RUE106" s="39"/>
      <c r="RUF106" s="39"/>
      <c r="RUG106" s="39"/>
      <c r="RUH106" s="39"/>
      <c r="RUI106" s="39"/>
      <c r="RUJ106" s="39"/>
      <c r="RUK106" s="39"/>
      <c r="RUL106" s="39"/>
      <c r="RUM106" s="39"/>
      <c r="RUN106" s="39"/>
      <c r="RUO106" s="39"/>
      <c r="RUP106" s="39"/>
      <c r="RUQ106" s="39"/>
      <c r="RUR106" s="39"/>
      <c r="RUS106" s="39"/>
      <c r="RUT106" s="39"/>
      <c r="RUU106" s="39"/>
      <c r="RUV106" s="39"/>
      <c r="RUW106" s="39"/>
      <c r="RUX106" s="39"/>
      <c r="RUY106" s="39"/>
      <c r="RUZ106" s="39"/>
      <c r="RVA106" s="39"/>
      <c r="RVB106" s="39"/>
      <c r="RVC106" s="39"/>
      <c r="RVD106" s="39"/>
      <c r="RVE106" s="39"/>
      <c r="RVF106" s="39"/>
      <c r="RVG106" s="39"/>
      <c r="RVH106" s="39"/>
      <c r="RVI106" s="39"/>
      <c r="RVJ106" s="39"/>
      <c r="RVK106" s="39"/>
      <c r="RVL106" s="39"/>
      <c r="RVM106" s="39"/>
      <c r="RVN106" s="39"/>
      <c r="RVO106" s="39"/>
      <c r="RVP106" s="39"/>
      <c r="RVQ106" s="39"/>
      <c r="RVR106" s="39"/>
      <c r="RVS106" s="39"/>
      <c r="RVT106" s="39"/>
      <c r="RVU106" s="39"/>
      <c r="RVV106" s="39"/>
      <c r="RVW106" s="39"/>
      <c r="RVX106" s="39"/>
      <c r="RVY106" s="39"/>
      <c r="RVZ106" s="39"/>
      <c r="RWA106" s="39"/>
      <c r="RWB106" s="39"/>
      <c r="RWC106" s="39"/>
      <c r="RWD106" s="39"/>
      <c r="RWE106" s="39"/>
      <c r="RWF106" s="39"/>
      <c r="RWG106" s="39"/>
      <c r="RWH106" s="39"/>
      <c r="RWI106" s="39"/>
      <c r="RWJ106" s="39"/>
      <c r="RWK106" s="39"/>
      <c r="RWL106" s="39"/>
      <c r="RWM106" s="39"/>
      <c r="RWN106" s="39"/>
      <c r="RWO106" s="39"/>
      <c r="RWP106" s="39"/>
      <c r="RWQ106" s="39"/>
      <c r="RWR106" s="39"/>
      <c r="RWS106" s="39"/>
      <c r="RWT106" s="39"/>
      <c r="RWU106" s="39"/>
      <c r="RWV106" s="39"/>
      <c r="RWW106" s="39"/>
      <c r="RWX106" s="39"/>
      <c r="RWY106" s="39"/>
      <c r="RWZ106" s="39"/>
      <c r="RXA106" s="39"/>
      <c r="RXB106" s="39"/>
      <c r="RXC106" s="39"/>
      <c r="RXD106" s="39"/>
      <c r="RXE106" s="39"/>
      <c r="RXF106" s="39"/>
      <c r="RXG106" s="39"/>
      <c r="RXH106" s="39"/>
      <c r="RXI106" s="39"/>
      <c r="RXJ106" s="39"/>
      <c r="RXK106" s="39"/>
      <c r="RXL106" s="39"/>
      <c r="RXM106" s="39"/>
      <c r="RXN106" s="39"/>
      <c r="RXO106" s="39"/>
      <c r="RXP106" s="39"/>
      <c r="RXQ106" s="39"/>
      <c r="RXR106" s="39"/>
      <c r="RXS106" s="39"/>
      <c r="RXT106" s="39"/>
      <c r="RXU106" s="39"/>
      <c r="RXV106" s="39"/>
      <c r="RXW106" s="39"/>
      <c r="RXX106" s="39"/>
      <c r="RXY106" s="39"/>
      <c r="RXZ106" s="39"/>
      <c r="RYA106" s="39"/>
      <c r="RYB106" s="39"/>
      <c r="RYC106" s="39"/>
      <c r="RYD106" s="39"/>
      <c r="RYE106" s="39"/>
      <c r="RYF106" s="39"/>
      <c r="RYG106" s="39"/>
      <c r="RYH106" s="39"/>
      <c r="RYI106" s="39"/>
      <c r="RYJ106" s="39"/>
      <c r="RYK106" s="39"/>
      <c r="RYL106" s="39"/>
      <c r="RYM106" s="39"/>
      <c r="RYN106" s="39"/>
      <c r="RYO106" s="39"/>
      <c r="RYP106" s="39"/>
      <c r="RYQ106" s="39"/>
      <c r="RYR106" s="39"/>
      <c r="RYS106" s="39"/>
      <c r="RYT106" s="39"/>
      <c r="RYU106" s="39"/>
      <c r="RYV106" s="39"/>
      <c r="RYW106" s="39"/>
      <c r="RYX106" s="39"/>
      <c r="RYY106" s="39"/>
      <c r="RYZ106" s="39"/>
      <c r="RZA106" s="39"/>
      <c r="RZB106" s="39"/>
      <c r="RZC106" s="39"/>
      <c r="RZD106" s="39"/>
      <c r="RZE106" s="39"/>
      <c r="RZF106" s="39"/>
      <c r="RZG106" s="39"/>
      <c r="RZH106" s="39"/>
      <c r="RZI106" s="39"/>
      <c r="RZJ106" s="39"/>
      <c r="RZK106" s="39"/>
      <c r="RZL106" s="39"/>
      <c r="RZM106" s="39"/>
      <c r="RZN106" s="39"/>
      <c r="RZO106" s="39"/>
      <c r="RZP106" s="39"/>
      <c r="RZQ106" s="39"/>
      <c r="RZR106" s="39"/>
      <c r="RZS106" s="39"/>
      <c r="RZT106" s="39"/>
      <c r="RZU106" s="39"/>
      <c r="RZV106" s="39"/>
      <c r="RZW106" s="39"/>
      <c r="RZX106" s="39"/>
      <c r="RZY106" s="39"/>
      <c r="RZZ106" s="39"/>
      <c r="SAA106" s="39"/>
      <c r="SAB106" s="39"/>
      <c r="SAC106" s="39"/>
      <c r="SAD106" s="39"/>
      <c r="SAE106" s="39"/>
      <c r="SAF106" s="39"/>
      <c r="SAG106" s="39"/>
      <c r="SAH106" s="39"/>
      <c r="SAI106" s="39"/>
      <c r="SAJ106" s="39"/>
      <c r="SAK106" s="39"/>
      <c r="SAL106" s="39"/>
      <c r="SAM106" s="39"/>
      <c r="SAN106" s="39"/>
      <c r="SAO106" s="39"/>
      <c r="SAP106" s="39"/>
      <c r="SAQ106" s="39"/>
      <c r="SAR106" s="39"/>
      <c r="SAS106" s="39"/>
      <c r="SAT106" s="39"/>
      <c r="SAU106" s="39"/>
      <c r="SAV106" s="39"/>
      <c r="SAW106" s="39"/>
      <c r="SAX106" s="39"/>
      <c r="SAY106" s="39"/>
      <c r="SAZ106" s="39"/>
      <c r="SBA106" s="39"/>
      <c r="SBB106" s="39"/>
      <c r="SBC106" s="39"/>
      <c r="SBD106" s="39"/>
      <c r="SBE106" s="39"/>
      <c r="SBF106" s="39"/>
      <c r="SBG106" s="39"/>
      <c r="SBH106" s="39"/>
      <c r="SBI106" s="39"/>
      <c r="SBJ106" s="39"/>
      <c r="SBK106" s="39"/>
      <c r="SBL106" s="39"/>
      <c r="SBM106" s="39"/>
      <c r="SBN106" s="39"/>
      <c r="SBO106" s="39"/>
      <c r="SBP106" s="39"/>
      <c r="SBQ106" s="39"/>
      <c r="SBR106" s="39"/>
      <c r="SBS106" s="39"/>
      <c r="SBT106" s="39"/>
      <c r="SBU106" s="39"/>
      <c r="SBV106" s="39"/>
      <c r="SBW106" s="39"/>
      <c r="SBX106" s="39"/>
      <c r="SBY106" s="39"/>
      <c r="SBZ106" s="39"/>
      <c r="SCA106" s="39"/>
      <c r="SCB106" s="39"/>
      <c r="SCC106" s="39"/>
      <c r="SCD106" s="39"/>
      <c r="SCE106" s="39"/>
      <c r="SCF106" s="39"/>
      <c r="SCG106" s="39"/>
      <c r="SCH106" s="39"/>
      <c r="SCI106" s="39"/>
      <c r="SCJ106" s="39"/>
      <c r="SCK106" s="39"/>
      <c r="SCL106" s="39"/>
      <c r="SCM106" s="39"/>
      <c r="SCN106" s="39"/>
      <c r="SCO106" s="39"/>
      <c r="SCP106" s="39"/>
      <c r="SCQ106" s="39"/>
      <c r="SCR106" s="39"/>
      <c r="SCS106" s="39"/>
      <c r="SCT106" s="39"/>
      <c r="SCU106" s="39"/>
      <c r="SCV106" s="39"/>
      <c r="SCW106" s="39"/>
      <c r="SCX106" s="39"/>
      <c r="SCY106" s="39"/>
      <c r="SCZ106" s="39"/>
      <c r="SDA106" s="39"/>
      <c r="SDB106" s="39"/>
      <c r="SDC106" s="39"/>
      <c r="SDD106" s="39"/>
      <c r="SDE106" s="39"/>
      <c r="SDF106" s="39"/>
      <c r="SDG106" s="39"/>
      <c r="SDH106" s="39"/>
      <c r="SDI106" s="39"/>
      <c r="SDJ106" s="39"/>
      <c r="SDK106" s="39"/>
      <c r="SDL106" s="39"/>
      <c r="SDM106" s="39"/>
      <c r="SDN106" s="39"/>
      <c r="SDO106" s="39"/>
      <c r="SDP106" s="39"/>
      <c r="SDQ106" s="39"/>
      <c r="SDR106" s="39"/>
      <c r="SDS106" s="39"/>
      <c r="SDT106" s="39"/>
      <c r="SDU106" s="39"/>
      <c r="SDV106" s="39"/>
      <c r="SDW106" s="39"/>
      <c r="SDX106" s="39"/>
      <c r="SDY106" s="39"/>
      <c r="SDZ106" s="39"/>
      <c r="SEA106" s="39"/>
      <c r="SEB106" s="39"/>
      <c r="SEC106" s="39"/>
      <c r="SED106" s="39"/>
      <c r="SEE106" s="39"/>
      <c r="SEF106" s="39"/>
      <c r="SEG106" s="39"/>
      <c r="SEH106" s="39"/>
      <c r="SEI106" s="39"/>
      <c r="SEJ106" s="39"/>
      <c r="SEK106" s="39"/>
      <c r="SEL106" s="39"/>
      <c r="SEM106" s="39"/>
      <c r="SEN106" s="39"/>
      <c r="SEO106" s="39"/>
      <c r="SEP106" s="39"/>
      <c r="SEQ106" s="39"/>
      <c r="SER106" s="39"/>
      <c r="SES106" s="39"/>
      <c r="SET106" s="39"/>
      <c r="SEU106" s="39"/>
      <c r="SEV106" s="39"/>
      <c r="SEW106" s="39"/>
      <c r="SEX106" s="39"/>
      <c r="SEY106" s="39"/>
      <c r="SEZ106" s="39"/>
      <c r="SFA106" s="39"/>
      <c r="SFB106" s="39"/>
      <c r="SFC106" s="39"/>
      <c r="SFD106" s="39"/>
      <c r="SFE106" s="39"/>
      <c r="SFF106" s="39"/>
      <c r="SFG106" s="39"/>
      <c r="SFH106" s="39"/>
      <c r="SFI106" s="39"/>
      <c r="SFJ106" s="39"/>
      <c r="SFK106" s="39"/>
      <c r="SFL106" s="39"/>
      <c r="SFM106" s="39"/>
      <c r="SFN106" s="39"/>
      <c r="SFO106" s="39"/>
      <c r="SFP106" s="39"/>
      <c r="SFQ106" s="39"/>
      <c r="SFR106" s="39"/>
      <c r="SFS106" s="39"/>
      <c r="SFT106" s="39"/>
      <c r="SFU106" s="39"/>
      <c r="SFV106" s="39"/>
      <c r="SFW106" s="39"/>
      <c r="SFX106" s="39"/>
      <c r="SFY106" s="39"/>
      <c r="SFZ106" s="39"/>
      <c r="SGA106" s="39"/>
      <c r="SGB106" s="39"/>
      <c r="SGC106" s="39"/>
      <c r="SGD106" s="39"/>
      <c r="SGE106" s="39"/>
      <c r="SGF106" s="39"/>
      <c r="SGG106" s="39"/>
      <c r="SGH106" s="39"/>
      <c r="SGI106" s="39"/>
      <c r="SGJ106" s="39"/>
      <c r="SGK106" s="39"/>
      <c r="SGL106" s="39"/>
      <c r="SGM106" s="39"/>
      <c r="SGN106" s="39"/>
      <c r="SGO106" s="39"/>
      <c r="SGP106" s="39"/>
      <c r="SGQ106" s="39"/>
      <c r="SGR106" s="39"/>
      <c r="SGS106" s="39"/>
      <c r="SGT106" s="39"/>
      <c r="SGU106" s="39"/>
      <c r="SGV106" s="39"/>
      <c r="SGW106" s="39"/>
      <c r="SGX106" s="39"/>
      <c r="SGY106" s="39"/>
      <c r="SGZ106" s="39"/>
      <c r="SHA106" s="39"/>
      <c r="SHB106" s="39"/>
      <c r="SHC106" s="39"/>
      <c r="SHD106" s="39"/>
      <c r="SHE106" s="39"/>
      <c r="SHF106" s="39"/>
      <c r="SHG106" s="39"/>
      <c r="SHH106" s="39"/>
      <c r="SHI106" s="39"/>
      <c r="SHJ106" s="39"/>
      <c r="SHK106" s="39"/>
      <c r="SHL106" s="39"/>
      <c r="SHM106" s="39"/>
      <c r="SHN106" s="39"/>
      <c r="SHO106" s="39"/>
      <c r="SHP106" s="39"/>
      <c r="SHQ106" s="39"/>
      <c r="SHR106" s="39"/>
      <c r="SHS106" s="39"/>
      <c r="SHT106" s="39"/>
      <c r="SHU106" s="39"/>
      <c r="SHV106" s="39"/>
      <c r="SHW106" s="39"/>
      <c r="SHX106" s="39"/>
      <c r="SHY106" s="39"/>
      <c r="SHZ106" s="39"/>
      <c r="SIA106" s="39"/>
      <c r="SIB106" s="39"/>
      <c r="SIC106" s="39"/>
      <c r="SID106" s="39"/>
      <c r="SIE106" s="39"/>
      <c r="SIF106" s="39"/>
      <c r="SIG106" s="39"/>
      <c r="SIH106" s="39"/>
      <c r="SII106" s="39"/>
      <c r="SIJ106" s="39"/>
      <c r="SIK106" s="39"/>
      <c r="SIL106" s="39"/>
      <c r="SIM106" s="39"/>
      <c r="SIN106" s="39"/>
      <c r="SIO106" s="39"/>
      <c r="SIP106" s="39"/>
      <c r="SIQ106" s="39"/>
      <c r="SIR106" s="39"/>
      <c r="SIS106" s="39"/>
      <c r="SIT106" s="39"/>
      <c r="SIU106" s="39"/>
      <c r="SIV106" s="39"/>
      <c r="SIW106" s="39"/>
      <c r="SIX106" s="39"/>
      <c r="SIY106" s="39"/>
      <c r="SIZ106" s="39"/>
      <c r="SJA106" s="39"/>
      <c r="SJB106" s="39"/>
      <c r="SJC106" s="39"/>
      <c r="SJD106" s="39"/>
      <c r="SJE106" s="39"/>
      <c r="SJF106" s="39"/>
      <c r="SJG106" s="39"/>
      <c r="SJH106" s="39"/>
      <c r="SJI106" s="39"/>
      <c r="SJJ106" s="39"/>
      <c r="SJK106" s="39"/>
      <c r="SJL106" s="39"/>
      <c r="SJM106" s="39"/>
      <c r="SJN106" s="39"/>
      <c r="SJO106" s="39"/>
      <c r="SJP106" s="39"/>
      <c r="SJQ106" s="39"/>
      <c r="SJR106" s="39"/>
      <c r="SJS106" s="39"/>
      <c r="SJT106" s="39"/>
      <c r="SJU106" s="39"/>
      <c r="SJV106" s="39"/>
      <c r="SJW106" s="39"/>
      <c r="SJX106" s="39"/>
      <c r="SJY106" s="39"/>
      <c r="SJZ106" s="39"/>
      <c r="SKA106" s="39"/>
      <c r="SKB106" s="39"/>
      <c r="SKC106" s="39"/>
      <c r="SKD106" s="39"/>
      <c r="SKE106" s="39"/>
      <c r="SKF106" s="39"/>
      <c r="SKG106" s="39"/>
      <c r="SKH106" s="39"/>
      <c r="SKI106" s="39"/>
      <c r="SKJ106" s="39"/>
      <c r="SKK106" s="39"/>
      <c r="SKL106" s="39"/>
      <c r="SKM106" s="39"/>
      <c r="SKN106" s="39"/>
      <c r="SKO106" s="39"/>
      <c r="SKP106" s="39"/>
      <c r="SKQ106" s="39"/>
      <c r="SKR106" s="39"/>
      <c r="SKS106" s="39"/>
      <c r="SKT106" s="39"/>
      <c r="SKU106" s="39"/>
      <c r="SKV106" s="39"/>
      <c r="SKW106" s="39"/>
      <c r="SKX106" s="39"/>
      <c r="SKY106" s="39"/>
      <c r="SKZ106" s="39"/>
      <c r="SLA106" s="39"/>
      <c r="SLB106" s="39"/>
      <c r="SLC106" s="39"/>
      <c r="SLD106" s="39"/>
      <c r="SLE106" s="39"/>
      <c r="SLF106" s="39"/>
      <c r="SLG106" s="39"/>
      <c r="SLH106" s="39"/>
      <c r="SLI106" s="39"/>
      <c r="SLJ106" s="39"/>
      <c r="SLK106" s="39"/>
      <c r="SLL106" s="39"/>
      <c r="SLM106" s="39"/>
      <c r="SLN106" s="39"/>
      <c r="SLO106" s="39"/>
      <c r="SLP106" s="39"/>
      <c r="SLQ106" s="39"/>
      <c r="SLR106" s="39"/>
      <c r="SLS106" s="39"/>
      <c r="SLT106" s="39"/>
      <c r="SLU106" s="39"/>
      <c r="SLV106" s="39"/>
      <c r="SLW106" s="39"/>
      <c r="SLX106" s="39"/>
      <c r="SLY106" s="39"/>
      <c r="SLZ106" s="39"/>
      <c r="SMA106" s="39"/>
      <c r="SMB106" s="39"/>
      <c r="SMC106" s="39"/>
      <c r="SMD106" s="39"/>
      <c r="SME106" s="39"/>
      <c r="SMF106" s="39"/>
      <c r="SMG106" s="39"/>
      <c r="SMH106" s="39"/>
      <c r="SMI106" s="39"/>
      <c r="SMJ106" s="39"/>
      <c r="SMK106" s="39"/>
      <c r="SML106" s="39"/>
      <c r="SMM106" s="39"/>
      <c r="SMN106" s="39"/>
      <c r="SMO106" s="39"/>
      <c r="SMP106" s="39"/>
      <c r="SMQ106" s="39"/>
      <c r="SMR106" s="39"/>
      <c r="SMS106" s="39"/>
      <c r="SMT106" s="39"/>
      <c r="SMU106" s="39"/>
      <c r="SMV106" s="39"/>
      <c r="SMW106" s="39"/>
      <c r="SMX106" s="39"/>
      <c r="SMY106" s="39"/>
      <c r="SMZ106" s="39"/>
      <c r="SNA106" s="39"/>
      <c r="SNB106" s="39"/>
      <c r="SNC106" s="39"/>
      <c r="SND106" s="39"/>
      <c r="SNE106" s="39"/>
      <c r="SNF106" s="39"/>
      <c r="SNG106" s="39"/>
      <c r="SNH106" s="39"/>
      <c r="SNI106" s="39"/>
      <c r="SNJ106" s="39"/>
      <c r="SNK106" s="39"/>
      <c r="SNL106" s="39"/>
      <c r="SNM106" s="39"/>
      <c r="SNN106" s="39"/>
      <c r="SNO106" s="39"/>
      <c r="SNP106" s="39"/>
      <c r="SNQ106" s="39"/>
      <c r="SNR106" s="39"/>
      <c r="SNS106" s="39"/>
      <c r="SNT106" s="39"/>
      <c r="SNU106" s="39"/>
      <c r="SNV106" s="39"/>
      <c r="SNW106" s="39"/>
      <c r="SNX106" s="39"/>
      <c r="SNY106" s="39"/>
      <c r="SNZ106" s="39"/>
      <c r="SOA106" s="39"/>
      <c r="SOB106" s="39"/>
      <c r="SOC106" s="39"/>
      <c r="SOD106" s="39"/>
      <c r="SOE106" s="39"/>
      <c r="SOF106" s="39"/>
      <c r="SOG106" s="39"/>
      <c r="SOH106" s="39"/>
      <c r="SOI106" s="39"/>
      <c r="SOJ106" s="39"/>
      <c r="SOK106" s="39"/>
      <c r="SOL106" s="39"/>
      <c r="SOM106" s="39"/>
      <c r="SON106" s="39"/>
      <c r="SOO106" s="39"/>
      <c r="SOP106" s="39"/>
      <c r="SOQ106" s="39"/>
      <c r="SOR106" s="39"/>
      <c r="SOS106" s="39"/>
      <c r="SOT106" s="39"/>
      <c r="SOU106" s="39"/>
      <c r="SOV106" s="39"/>
      <c r="SOW106" s="39"/>
      <c r="SOX106" s="39"/>
      <c r="SOY106" s="39"/>
      <c r="SOZ106" s="39"/>
      <c r="SPA106" s="39"/>
      <c r="SPB106" s="39"/>
      <c r="SPC106" s="39"/>
      <c r="SPD106" s="39"/>
      <c r="SPE106" s="39"/>
      <c r="SPF106" s="39"/>
      <c r="SPG106" s="39"/>
      <c r="SPH106" s="39"/>
      <c r="SPI106" s="39"/>
      <c r="SPJ106" s="39"/>
      <c r="SPK106" s="39"/>
      <c r="SPL106" s="39"/>
      <c r="SPM106" s="39"/>
      <c r="SPN106" s="39"/>
      <c r="SPO106" s="39"/>
      <c r="SPP106" s="39"/>
      <c r="SPQ106" s="39"/>
      <c r="SPR106" s="39"/>
      <c r="SPS106" s="39"/>
      <c r="SPT106" s="39"/>
      <c r="SPU106" s="39"/>
      <c r="SPV106" s="39"/>
      <c r="SPW106" s="39"/>
      <c r="SPX106" s="39"/>
      <c r="SPY106" s="39"/>
      <c r="SPZ106" s="39"/>
      <c r="SQA106" s="39"/>
      <c r="SQB106" s="39"/>
      <c r="SQC106" s="39"/>
      <c r="SQD106" s="39"/>
      <c r="SQE106" s="39"/>
      <c r="SQF106" s="39"/>
      <c r="SQG106" s="39"/>
      <c r="SQH106" s="39"/>
      <c r="SQI106" s="39"/>
      <c r="SQJ106" s="39"/>
      <c r="SQK106" s="39"/>
      <c r="SQL106" s="39"/>
      <c r="SQM106" s="39"/>
      <c r="SQN106" s="39"/>
      <c r="SQO106" s="39"/>
      <c r="SQP106" s="39"/>
      <c r="SQQ106" s="39"/>
      <c r="SQR106" s="39"/>
      <c r="SQS106" s="39"/>
      <c r="SQT106" s="39"/>
      <c r="SQU106" s="39"/>
      <c r="SQV106" s="39"/>
      <c r="SQW106" s="39"/>
      <c r="SQX106" s="39"/>
      <c r="SQY106" s="39"/>
      <c r="SQZ106" s="39"/>
      <c r="SRA106" s="39"/>
      <c r="SRB106" s="39"/>
      <c r="SRC106" s="39"/>
      <c r="SRD106" s="39"/>
      <c r="SRE106" s="39"/>
      <c r="SRF106" s="39"/>
      <c r="SRG106" s="39"/>
      <c r="SRH106" s="39"/>
      <c r="SRI106" s="39"/>
      <c r="SRJ106" s="39"/>
      <c r="SRK106" s="39"/>
      <c r="SRL106" s="39"/>
      <c r="SRM106" s="39"/>
      <c r="SRN106" s="39"/>
      <c r="SRO106" s="39"/>
      <c r="SRP106" s="39"/>
      <c r="SRQ106" s="39"/>
      <c r="SRR106" s="39"/>
      <c r="SRS106" s="39"/>
      <c r="SRT106" s="39"/>
      <c r="SRU106" s="39"/>
      <c r="SRV106" s="39"/>
      <c r="SRW106" s="39"/>
      <c r="SRX106" s="39"/>
      <c r="SRY106" s="39"/>
      <c r="SRZ106" s="39"/>
      <c r="SSA106" s="39"/>
      <c r="SSB106" s="39"/>
      <c r="SSC106" s="39"/>
      <c r="SSD106" s="39"/>
      <c r="SSE106" s="39"/>
      <c r="SSF106" s="39"/>
      <c r="SSG106" s="39"/>
      <c r="SSH106" s="39"/>
      <c r="SSI106" s="39"/>
      <c r="SSJ106" s="39"/>
      <c r="SSK106" s="39"/>
      <c r="SSL106" s="39"/>
      <c r="SSM106" s="39"/>
      <c r="SSN106" s="39"/>
      <c r="SSO106" s="39"/>
      <c r="SSP106" s="39"/>
      <c r="SSQ106" s="39"/>
      <c r="SSR106" s="39"/>
      <c r="SSS106" s="39"/>
      <c r="SST106" s="39"/>
      <c r="SSU106" s="39"/>
      <c r="SSV106" s="39"/>
      <c r="SSW106" s="39"/>
      <c r="SSX106" s="39"/>
      <c r="SSY106" s="39"/>
      <c r="SSZ106" s="39"/>
      <c r="STA106" s="39"/>
      <c r="STB106" s="39"/>
      <c r="STC106" s="39"/>
      <c r="STD106" s="39"/>
      <c r="STE106" s="39"/>
      <c r="STF106" s="39"/>
      <c r="STG106" s="39"/>
      <c r="STH106" s="39"/>
      <c r="STI106" s="39"/>
      <c r="STJ106" s="39"/>
      <c r="STK106" s="39"/>
      <c r="STL106" s="39"/>
      <c r="STM106" s="39"/>
      <c r="STN106" s="39"/>
      <c r="STO106" s="39"/>
      <c r="STP106" s="39"/>
      <c r="STQ106" s="39"/>
      <c r="STR106" s="39"/>
      <c r="STS106" s="39"/>
      <c r="STT106" s="39"/>
      <c r="STU106" s="39"/>
      <c r="STV106" s="39"/>
      <c r="STW106" s="39"/>
      <c r="STX106" s="39"/>
      <c r="STY106" s="39"/>
      <c r="STZ106" s="39"/>
      <c r="SUA106" s="39"/>
      <c r="SUB106" s="39"/>
      <c r="SUC106" s="39"/>
      <c r="SUD106" s="39"/>
      <c r="SUE106" s="39"/>
      <c r="SUF106" s="39"/>
      <c r="SUG106" s="39"/>
      <c r="SUH106" s="39"/>
      <c r="SUI106" s="39"/>
      <c r="SUJ106" s="39"/>
      <c r="SUK106" s="39"/>
      <c r="SUL106" s="39"/>
      <c r="SUM106" s="39"/>
      <c r="SUN106" s="39"/>
      <c r="SUO106" s="39"/>
      <c r="SUP106" s="39"/>
      <c r="SUQ106" s="39"/>
      <c r="SUR106" s="39"/>
      <c r="SUS106" s="39"/>
      <c r="SUT106" s="39"/>
      <c r="SUU106" s="39"/>
      <c r="SUV106" s="39"/>
      <c r="SUW106" s="39"/>
      <c r="SUX106" s="39"/>
      <c r="SUY106" s="39"/>
      <c r="SUZ106" s="39"/>
      <c r="SVA106" s="39"/>
      <c r="SVB106" s="39"/>
      <c r="SVC106" s="39"/>
      <c r="SVD106" s="39"/>
      <c r="SVE106" s="39"/>
      <c r="SVF106" s="39"/>
      <c r="SVG106" s="39"/>
      <c r="SVH106" s="39"/>
      <c r="SVI106" s="39"/>
      <c r="SVJ106" s="39"/>
      <c r="SVK106" s="39"/>
      <c r="SVL106" s="39"/>
      <c r="SVM106" s="39"/>
      <c r="SVN106" s="39"/>
      <c r="SVO106" s="39"/>
      <c r="SVP106" s="39"/>
      <c r="SVQ106" s="39"/>
      <c r="SVR106" s="39"/>
      <c r="SVS106" s="39"/>
      <c r="SVT106" s="39"/>
      <c r="SVU106" s="39"/>
      <c r="SVV106" s="39"/>
      <c r="SVW106" s="39"/>
      <c r="SVX106" s="39"/>
      <c r="SVY106" s="39"/>
      <c r="SVZ106" s="39"/>
      <c r="SWA106" s="39"/>
      <c r="SWB106" s="39"/>
      <c r="SWC106" s="39"/>
      <c r="SWD106" s="39"/>
      <c r="SWE106" s="39"/>
      <c r="SWF106" s="39"/>
      <c r="SWG106" s="39"/>
      <c r="SWH106" s="39"/>
      <c r="SWI106" s="39"/>
      <c r="SWJ106" s="39"/>
      <c r="SWK106" s="39"/>
      <c r="SWL106" s="39"/>
      <c r="SWM106" s="39"/>
      <c r="SWN106" s="39"/>
      <c r="SWO106" s="39"/>
      <c r="SWP106" s="39"/>
      <c r="SWQ106" s="39"/>
      <c r="SWR106" s="39"/>
      <c r="SWS106" s="39"/>
      <c r="SWT106" s="39"/>
      <c r="SWU106" s="39"/>
      <c r="SWV106" s="39"/>
      <c r="SWW106" s="39"/>
      <c r="SWX106" s="39"/>
      <c r="SWY106" s="39"/>
      <c r="SWZ106" s="39"/>
      <c r="SXA106" s="39"/>
      <c r="SXB106" s="39"/>
      <c r="SXC106" s="39"/>
      <c r="SXD106" s="39"/>
      <c r="SXE106" s="39"/>
      <c r="SXF106" s="39"/>
      <c r="SXG106" s="39"/>
      <c r="SXH106" s="39"/>
      <c r="SXI106" s="39"/>
      <c r="SXJ106" s="39"/>
      <c r="SXK106" s="39"/>
      <c r="SXL106" s="39"/>
      <c r="SXM106" s="39"/>
      <c r="SXN106" s="39"/>
      <c r="SXO106" s="39"/>
      <c r="SXP106" s="39"/>
      <c r="SXQ106" s="39"/>
      <c r="SXR106" s="39"/>
      <c r="SXS106" s="39"/>
      <c r="SXT106" s="39"/>
      <c r="SXU106" s="39"/>
      <c r="SXV106" s="39"/>
      <c r="SXW106" s="39"/>
      <c r="SXX106" s="39"/>
      <c r="SXY106" s="39"/>
      <c r="SXZ106" s="39"/>
      <c r="SYA106" s="39"/>
      <c r="SYB106" s="39"/>
      <c r="SYC106" s="39"/>
      <c r="SYD106" s="39"/>
      <c r="SYE106" s="39"/>
      <c r="SYF106" s="39"/>
      <c r="SYG106" s="39"/>
      <c r="SYH106" s="39"/>
      <c r="SYI106" s="39"/>
      <c r="SYJ106" s="39"/>
      <c r="SYK106" s="39"/>
      <c r="SYL106" s="39"/>
      <c r="SYM106" s="39"/>
      <c r="SYN106" s="39"/>
      <c r="SYO106" s="39"/>
      <c r="SYP106" s="39"/>
      <c r="SYQ106" s="39"/>
      <c r="SYR106" s="39"/>
      <c r="SYS106" s="39"/>
      <c r="SYT106" s="39"/>
      <c r="SYU106" s="39"/>
      <c r="SYV106" s="39"/>
      <c r="SYW106" s="39"/>
      <c r="SYX106" s="39"/>
      <c r="SYY106" s="39"/>
      <c r="SYZ106" s="39"/>
      <c r="SZA106" s="39"/>
      <c r="SZB106" s="39"/>
      <c r="SZC106" s="39"/>
      <c r="SZD106" s="39"/>
      <c r="SZE106" s="39"/>
      <c r="SZF106" s="39"/>
      <c r="SZG106" s="39"/>
      <c r="SZH106" s="39"/>
      <c r="SZI106" s="39"/>
      <c r="SZJ106" s="39"/>
      <c r="SZK106" s="39"/>
      <c r="SZL106" s="39"/>
      <c r="SZM106" s="39"/>
      <c r="SZN106" s="39"/>
      <c r="SZO106" s="39"/>
      <c r="SZP106" s="39"/>
      <c r="SZQ106" s="39"/>
      <c r="SZR106" s="39"/>
      <c r="SZS106" s="39"/>
      <c r="SZT106" s="39"/>
      <c r="SZU106" s="39"/>
      <c r="SZV106" s="39"/>
      <c r="SZW106" s="39"/>
      <c r="SZX106" s="39"/>
      <c r="SZY106" s="39"/>
      <c r="SZZ106" s="39"/>
      <c r="TAA106" s="39"/>
      <c r="TAB106" s="39"/>
      <c r="TAC106" s="39"/>
      <c r="TAD106" s="39"/>
      <c r="TAE106" s="39"/>
      <c r="TAF106" s="39"/>
      <c r="TAG106" s="39"/>
      <c r="TAH106" s="39"/>
      <c r="TAI106" s="39"/>
      <c r="TAJ106" s="39"/>
      <c r="TAK106" s="39"/>
      <c r="TAL106" s="39"/>
      <c r="TAM106" s="39"/>
      <c r="TAN106" s="39"/>
      <c r="TAO106" s="39"/>
      <c r="TAP106" s="39"/>
      <c r="TAQ106" s="39"/>
      <c r="TAR106" s="39"/>
      <c r="TAS106" s="39"/>
      <c r="TAT106" s="39"/>
      <c r="TAU106" s="39"/>
      <c r="TAV106" s="39"/>
      <c r="TAW106" s="39"/>
      <c r="TAX106" s="39"/>
      <c r="TAY106" s="39"/>
      <c r="TAZ106" s="39"/>
      <c r="TBA106" s="39"/>
      <c r="TBB106" s="39"/>
      <c r="TBC106" s="39"/>
      <c r="TBD106" s="39"/>
      <c r="TBE106" s="39"/>
      <c r="TBF106" s="39"/>
      <c r="TBG106" s="39"/>
      <c r="TBH106" s="39"/>
      <c r="TBI106" s="39"/>
      <c r="TBJ106" s="39"/>
      <c r="TBK106" s="39"/>
      <c r="TBL106" s="39"/>
      <c r="TBM106" s="39"/>
      <c r="TBN106" s="39"/>
      <c r="TBO106" s="39"/>
      <c r="TBP106" s="39"/>
      <c r="TBQ106" s="39"/>
      <c r="TBR106" s="39"/>
      <c r="TBS106" s="39"/>
      <c r="TBT106" s="39"/>
      <c r="TBU106" s="39"/>
      <c r="TBV106" s="39"/>
      <c r="TBW106" s="39"/>
      <c r="TBX106" s="39"/>
      <c r="TBY106" s="39"/>
      <c r="TBZ106" s="39"/>
      <c r="TCA106" s="39"/>
      <c r="TCB106" s="39"/>
      <c r="TCC106" s="39"/>
      <c r="TCD106" s="39"/>
      <c r="TCE106" s="39"/>
      <c r="TCF106" s="39"/>
      <c r="TCG106" s="39"/>
      <c r="TCH106" s="39"/>
      <c r="TCI106" s="39"/>
      <c r="TCJ106" s="39"/>
      <c r="TCK106" s="39"/>
      <c r="TCL106" s="39"/>
      <c r="TCM106" s="39"/>
      <c r="TCN106" s="39"/>
      <c r="TCO106" s="39"/>
      <c r="TCP106" s="39"/>
      <c r="TCQ106" s="39"/>
      <c r="TCR106" s="39"/>
      <c r="TCS106" s="39"/>
      <c r="TCT106" s="39"/>
      <c r="TCU106" s="39"/>
      <c r="TCV106" s="39"/>
      <c r="TCW106" s="39"/>
      <c r="TCX106" s="39"/>
      <c r="TCY106" s="39"/>
      <c r="TCZ106" s="39"/>
      <c r="TDA106" s="39"/>
      <c r="TDB106" s="39"/>
      <c r="TDC106" s="39"/>
      <c r="TDD106" s="39"/>
      <c r="TDE106" s="39"/>
      <c r="TDF106" s="39"/>
      <c r="TDG106" s="39"/>
      <c r="TDH106" s="39"/>
      <c r="TDI106" s="39"/>
      <c r="TDJ106" s="39"/>
      <c r="TDK106" s="39"/>
      <c r="TDL106" s="39"/>
      <c r="TDM106" s="39"/>
      <c r="TDN106" s="39"/>
      <c r="TDO106" s="39"/>
      <c r="TDP106" s="39"/>
      <c r="TDQ106" s="39"/>
      <c r="TDR106" s="39"/>
      <c r="TDS106" s="39"/>
      <c r="TDT106" s="39"/>
      <c r="TDU106" s="39"/>
      <c r="TDV106" s="39"/>
      <c r="TDW106" s="39"/>
      <c r="TDX106" s="39"/>
      <c r="TDY106" s="39"/>
      <c r="TDZ106" s="39"/>
      <c r="TEA106" s="39"/>
      <c r="TEB106" s="39"/>
      <c r="TEC106" s="39"/>
      <c r="TED106" s="39"/>
      <c r="TEE106" s="39"/>
      <c r="TEF106" s="39"/>
      <c r="TEG106" s="39"/>
      <c r="TEH106" s="39"/>
      <c r="TEI106" s="39"/>
      <c r="TEJ106" s="39"/>
      <c r="TEK106" s="39"/>
      <c r="TEL106" s="39"/>
      <c r="TEM106" s="39"/>
      <c r="TEN106" s="39"/>
      <c r="TEO106" s="39"/>
      <c r="TEP106" s="39"/>
      <c r="TEQ106" s="39"/>
      <c r="TER106" s="39"/>
      <c r="TES106" s="39"/>
      <c r="TET106" s="39"/>
      <c r="TEU106" s="39"/>
      <c r="TEV106" s="39"/>
      <c r="TEW106" s="39"/>
      <c r="TEX106" s="39"/>
      <c r="TEY106" s="39"/>
      <c r="TEZ106" s="39"/>
      <c r="TFA106" s="39"/>
      <c r="TFB106" s="39"/>
      <c r="TFC106" s="39"/>
      <c r="TFD106" s="39"/>
      <c r="TFE106" s="39"/>
      <c r="TFF106" s="39"/>
      <c r="TFG106" s="39"/>
      <c r="TFH106" s="39"/>
      <c r="TFI106" s="39"/>
      <c r="TFJ106" s="39"/>
      <c r="TFK106" s="39"/>
      <c r="TFL106" s="39"/>
      <c r="TFM106" s="39"/>
      <c r="TFN106" s="39"/>
      <c r="TFO106" s="39"/>
      <c r="TFP106" s="39"/>
      <c r="TFQ106" s="39"/>
      <c r="TFR106" s="39"/>
      <c r="TFS106" s="39"/>
      <c r="TFT106" s="39"/>
      <c r="TFU106" s="39"/>
      <c r="TFV106" s="39"/>
      <c r="TFW106" s="39"/>
      <c r="TFX106" s="39"/>
      <c r="TFY106" s="39"/>
      <c r="TFZ106" s="39"/>
      <c r="TGA106" s="39"/>
      <c r="TGB106" s="39"/>
      <c r="TGC106" s="39"/>
      <c r="TGD106" s="39"/>
      <c r="TGE106" s="39"/>
      <c r="TGF106" s="39"/>
      <c r="TGG106" s="39"/>
      <c r="TGH106" s="39"/>
      <c r="TGI106" s="39"/>
      <c r="TGJ106" s="39"/>
      <c r="TGK106" s="39"/>
      <c r="TGL106" s="39"/>
      <c r="TGM106" s="39"/>
      <c r="TGN106" s="39"/>
      <c r="TGO106" s="39"/>
      <c r="TGP106" s="39"/>
      <c r="TGQ106" s="39"/>
      <c r="TGR106" s="39"/>
      <c r="TGS106" s="39"/>
      <c r="TGT106" s="39"/>
      <c r="TGU106" s="39"/>
      <c r="TGV106" s="39"/>
      <c r="TGW106" s="39"/>
      <c r="TGX106" s="39"/>
      <c r="TGY106" s="39"/>
      <c r="TGZ106" s="39"/>
      <c r="THA106" s="39"/>
      <c r="THB106" s="39"/>
      <c r="THC106" s="39"/>
      <c r="THD106" s="39"/>
      <c r="THE106" s="39"/>
      <c r="THF106" s="39"/>
      <c r="THG106" s="39"/>
      <c r="THH106" s="39"/>
      <c r="THI106" s="39"/>
      <c r="THJ106" s="39"/>
      <c r="THK106" s="39"/>
      <c r="THL106" s="39"/>
      <c r="THM106" s="39"/>
      <c r="THN106" s="39"/>
      <c r="THO106" s="39"/>
      <c r="THP106" s="39"/>
      <c r="THQ106" s="39"/>
      <c r="THR106" s="39"/>
      <c r="THS106" s="39"/>
      <c r="THT106" s="39"/>
      <c r="THU106" s="39"/>
      <c r="THV106" s="39"/>
      <c r="THW106" s="39"/>
      <c r="THX106" s="39"/>
      <c r="THY106" s="39"/>
      <c r="THZ106" s="39"/>
      <c r="TIA106" s="39"/>
      <c r="TIB106" s="39"/>
      <c r="TIC106" s="39"/>
      <c r="TID106" s="39"/>
      <c r="TIE106" s="39"/>
      <c r="TIF106" s="39"/>
      <c r="TIG106" s="39"/>
      <c r="TIH106" s="39"/>
      <c r="TII106" s="39"/>
      <c r="TIJ106" s="39"/>
      <c r="TIK106" s="39"/>
      <c r="TIL106" s="39"/>
      <c r="TIM106" s="39"/>
      <c r="TIN106" s="39"/>
      <c r="TIO106" s="39"/>
      <c r="TIP106" s="39"/>
      <c r="TIQ106" s="39"/>
      <c r="TIR106" s="39"/>
      <c r="TIS106" s="39"/>
      <c r="TIT106" s="39"/>
      <c r="TIU106" s="39"/>
      <c r="TIV106" s="39"/>
      <c r="TIW106" s="39"/>
      <c r="TIX106" s="39"/>
      <c r="TIY106" s="39"/>
      <c r="TIZ106" s="39"/>
      <c r="TJA106" s="39"/>
      <c r="TJB106" s="39"/>
      <c r="TJC106" s="39"/>
      <c r="TJD106" s="39"/>
      <c r="TJE106" s="39"/>
      <c r="TJF106" s="39"/>
      <c r="TJG106" s="39"/>
      <c r="TJH106" s="39"/>
      <c r="TJI106" s="39"/>
      <c r="TJJ106" s="39"/>
      <c r="TJK106" s="39"/>
      <c r="TJL106" s="39"/>
      <c r="TJM106" s="39"/>
      <c r="TJN106" s="39"/>
      <c r="TJO106" s="39"/>
      <c r="TJP106" s="39"/>
      <c r="TJQ106" s="39"/>
      <c r="TJR106" s="39"/>
      <c r="TJS106" s="39"/>
      <c r="TJT106" s="39"/>
      <c r="TJU106" s="39"/>
      <c r="TJV106" s="39"/>
      <c r="TJW106" s="39"/>
      <c r="TJX106" s="39"/>
      <c r="TJY106" s="39"/>
      <c r="TJZ106" s="39"/>
      <c r="TKA106" s="39"/>
      <c r="TKB106" s="39"/>
      <c r="TKC106" s="39"/>
      <c r="TKD106" s="39"/>
      <c r="TKE106" s="39"/>
      <c r="TKF106" s="39"/>
      <c r="TKG106" s="39"/>
      <c r="TKH106" s="39"/>
      <c r="TKI106" s="39"/>
      <c r="TKJ106" s="39"/>
      <c r="TKK106" s="39"/>
      <c r="TKL106" s="39"/>
      <c r="TKM106" s="39"/>
      <c r="TKN106" s="39"/>
      <c r="TKO106" s="39"/>
      <c r="TKP106" s="39"/>
      <c r="TKQ106" s="39"/>
      <c r="TKR106" s="39"/>
      <c r="TKS106" s="39"/>
      <c r="TKT106" s="39"/>
      <c r="TKU106" s="39"/>
      <c r="TKV106" s="39"/>
      <c r="TKW106" s="39"/>
      <c r="TKX106" s="39"/>
      <c r="TKY106" s="39"/>
      <c r="TKZ106" s="39"/>
      <c r="TLA106" s="39"/>
      <c r="TLB106" s="39"/>
      <c r="TLC106" s="39"/>
      <c r="TLD106" s="39"/>
      <c r="TLE106" s="39"/>
      <c r="TLF106" s="39"/>
      <c r="TLG106" s="39"/>
      <c r="TLH106" s="39"/>
      <c r="TLI106" s="39"/>
      <c r="TLJ106" s="39"/>
      <c r="TLK106" s="39"/>
      <c r="TLL106" s="39"/>
      <c r="TLM106" s="39"/>
      <c r="TLN106" s="39"/>
      <c r="TLO106" s="39"/>
      <c r="TLP106" s="39"/>
      <c r="TLQ106" s="39"/>
      <c r="TLR106" s="39"/>
      <c r="TLS106" s="39"/>
      <c r="TLT106" s="39"/>
      <c r="TLU106" s="39"/>
      <c r="TLV106" s="39"/>
      <c r="TLW106" s="39"/>
      <c r="TLX106" s="39"/>
      <c r="TLY106" s="39"/>
      <c r="TLZ106" s="39"/>
      <c r="TMA106" s="39"/>
      <c r="TMB106" s="39"/>
      <c r="TMC106" s="39"/>
      <c r="TMD106" s="39"/>
      <c r="TME106" s="39"/>
      <c r="TMF106" s="39"/>
      <c r="TMG106" s="39"/>
      <c r="TMH106" s="39"/>
      <c r="TMI106" s="39"/>
      <c r="TMJ106" s="39"/>
      <c r="TMK106" s="39"/>
      <c r="TML106" s="39"/>
      <c r="TMM106" s="39"/>
      <c r="TMN106" s="39"/>
      <c r="TMO106" s="39"/>
      <c r="TMP106" s="39"/>
      <c r="TMQ106" s="39"/>
      <c r="TMR106" s="39"/>
      <c r="TMS106" s="39"/>
      <c r="TMT106" s="39"/>
      <c r="TMU106" s="39"/>
      <c r="TMV106" s="39"/>
      <c r="TMW106" s="39"/>
      <c r="TMX106" s="39"/>
      <c r="TMY106" s="39"/>
      <c r="TMZ106" s="39"/>
      <c r="TNA106" s="39"/>
      <c r="TNB106" s="39"/>
      <c r="TNC106" s="39"/>
      <c r="TND106" s="39"/>
      <c r="TNE106" s="39"/>
      <c r="TNF106" s="39"/>
      <c r="TNG106" s="39"/>
      <c r="TNH106" s="39"/>
      <c r="TNI106" s="39"/>
      <c r="TNJ106" s="39"/>
      <c r="TNK106" s="39"/>
      <c r="TNL106" s="39"/>
      <c r="TNM106" s="39"/>
      <c r="TNN106" s="39"/>
      <c r="TNO106" s="39"/>
      <c r="TNP106" s="39"/>
      <c r="TNQ106" s="39"/>
      <c r="TNR106" s="39"/>
      <c r="TNS106" s="39"/>
      <c r="TNT106" s="39"/>
      <c r="TNU106" s="39"/>
      <c r="TNV106" s="39"/>
      <c r="TNW106" s="39"/>
      <c r="TNX106" s="39"/>
      <c r="TNY106" s="39"/>
      <c r="TNZ106" s="39"/>
      <c r="TOA106" s="39"/>
      <c r="TOB106" s="39"/>
      <c r="TOC106" s="39"/>
      <c r="TOD106" s="39"/>
      <c r="TOE106" s="39"/>
      <c r="TOF106" s="39"/>
      <c r="TOG106" s="39"/>
      <c r="TOH106" s="39"/>
      <c r="TOI106" s="39"/>
      <c r="TOJ106" s="39"/>
      <c r="TOK106" s="39"/>
      <c r="TOL106" s="39"/>
      <c r="TOM106" s="39"/>
      <c r="TON106" s="39"/>
      <c r="TOO106" s="39"/>
      <c r="TOP106" s="39"/>
      <c r="TOQ106" s="39"/>
      <c r="TOR106" s="39"/>
      <c r="TOS106" s="39"/>
      <c r="TOT106" s="39"/>
      <c r="TOU106" s="39"/>
      <c r="TOV106" s="39"/>
      <c r="TOW106" s="39"/>
      <c r="TOX106" s="39"/>
      <c r="TOY106" s="39"/>
      <c r="TOZ106" s="39"/>
      <c r="TPA106" s="39"/>
      <c r="TPB106" s="39"/>
      <c r="TPC106" s="39"/>
      <c r="TPD106" s="39"/>
      <c r="TPE106" s="39"/>
      <c r="TPF106" s="39"/>
      <c r="TPG106" s="39"/>
      <c r="TPH106" s="39"/>
      <c r="TPI106" s="39"/>
      <c r="TPJ106" s="39"/>
      <c r="TPK106" s="39"/>
      <c r="TPL106" s="39"/>
      <c r="TPM106" s="39"/>
      <c r="TPN106" s="39"/>
      <c r="TPO106" s="39"/>
      <c r="TPP106" s="39"/>
      <c r="TPQ106" s="39"/>
      <c r="TPR106" s="39"/>
      <c r="TPS106" s="39"/>
      <c r="TPT106" s="39"/>
      <c r="TPU106" s="39"/>
      <c r="TPV106" s="39"/>
      <c r="TPW106" s="39"/>
      <c r="TPX106" s="39"/>
      <c r="TPY106" s="39"/>
      <c r="TPZ106" s="39"/>
      <c r="TQA106" s="39"/>
      <c r="TQB106" s="39"/>
      <c r="TQC106" s="39"/>
      <c r="TQD106" s="39"/>
      <c r="TQE106" s="39"/>
      <c r="TQF106" s="39"/>
      <c r="TQG106" s="39"/>
      <c r="TQH106" s="39"/>
      <c r="TQI106" s="39"/>
      <c r="TQJ106" s="39"/>
      <c r="TQK106" s="39"/>
      <c r="TQL106" s="39"/>
      <c r="TQM106" s="39"/>
      <c r="TQN106" s="39"/>
      <c r="TQO106" s="39"/>
      <c r="TQP106" s="39"/>
      <c r="TQQ106" s="39"/>
      <c r="TQR106" s="39"/>
      <c r="TQS106" s="39"/>
      <c r="TQT106" s="39"/>
      <c r="TQU106" s="39"/>
      <c r="TQV106" s="39"/>
      <c r="TQW106" s="39"/>
      <c r="TQX106" s="39"/>
      <c r="TQY106" s="39"/>
      <c r="TQZ106" s="39"/>
      <c r="TRA106" s="39"/>
      <c r="TRB106" s="39"/>
      <c r="TRC106" s="39"/>
      <c r="TRD106" s="39"/>
      <c r="TRE106" s="39"/>
      <c r="TRF106" s="39"/>
      <c r="TRG106" s="39"/>
      <c r="TRH106" s="39"/>
      <c r="TRI106" s="39"/>
      <c r="TRJ106" s="39"/>
      <c r="TRK106" s="39"/>
      <c r="TRL106" s="39"/>
      <c r="TRM106" s="39"/>
      <c r="TRN106" s="39"/>
      <c r="TRO106" s="39"/>
      <c r="TRP106" s="39"/>
      <c r="TRQ106" s="39"/>
      <c r="TRR106" s="39"/>
      <c r="TRS106" s="39"/>
      <c r="TRT106" s="39"/>
      <c r="TRU106" s="39"/>
      <c r="TRV106" s="39"/>
      <c r="TRW106" s="39"/>
      <c r="TRX106" s="39"/>
      <c r="TRY106" s="39"/>
      <c r="TRZ106" s="39"/>
      <c r="TSA106" s="39"/>
      <c r="TSB106" s="39"/>
      <c r="TSC106" s="39"/>
      <c r="TSD106" s="39"/>
      <c r="TSE106" s="39"/>
      <c r="TSF106" s="39"/>
      <c r="TSG106" s="39"/>
      <c r="TSH106" s="39"/>
      <c r="TSI106" s="39"/>
      <c r="TSJ106" s="39"/>
      <c r="TSK106" s="39"/>
      <c r="TSL106" s="39"/>
      <c r="TSM106" s="39"/>
      <c r="TSN106" s="39"/>
      <c r="TSO106" s="39"/>
      <c r="TSP106" s="39"/>
      <c r="TSQ106" s="39"/>
      <c r="TSR106" s="39"/>
      <c r="TSS106" s="39"/>
      <c r="TST106" s="39"/>
      <c r="TSU106" s="39"/>
      <c r="TSV106" s="39"/>
      <c r="TSW106" s="39"/>
      <c r="TSX106" s="39"/>
      <c r="TSY106" s="39"/>
      <c r="TSZ106" s="39"/>
      <c r="TTA106" s="39"/>
      <c r="TTB106" s="39"/>
      <c r="TTC106" s="39"/>
      <c r="TTD106" s="39"/>
      <c r="TTE106" s="39"/>
      <c r="TTF106" s="39"/>
      <c r="TTG106" s="39"/>
      <c r="TTH106" s="39"/>
      <c r="TTI106" s="39"/>
      <c r="TTJ106" s="39"/>
      <c r="TTK106" s="39"/>
      <c r="TTL106" s="39"/>
      <c r="TTM106" s="39"/>
      <c r="TTN106" s="39"/>
      <c r="TTO106" s="39"/>
      <c r="TTP106" s="39"/>
      <c r="TTQ106" s="39"/>
      <c r="TTR106" s="39"/>
      <c r="TTS106" s="39"/>
      <c r="TTT106" s="39"/>
      <c r="TTU106" s="39"/>
      <c r="TTV106" s="39"/>
      <c r="TTW106" s="39"/>
      <c r="TTX106" s="39"/>
      <c r="TTY106" s="39"/>
      <c r="TTZ106" s="39"/>
      <c r="TUA106" s="39"/>
      <c r="TUB106" s="39"/>
      <c r="TUC106" s="39"/>
      <c r="TUD106" s="39"/>
      <c r="TUE106" s="39"/>
      <c r="TUF106" s="39"/>
      <c r="TUG106" s="39"/>
      <c r="TUH106" s="39"/>
      <c r="TUI106" s="39"/>
      <c r="TUJ106" s="39"/>
      <c r="TUK106" s="39"/>
      <c r="TUL106" s="39"/>
      <c r="TUM106" s="39"/>
      <c r="TUN106" s="39"/>
      <c r="TUO106" s="39"/>
      <c r="TUP106" s="39"/>
      <c r="TUQ106" s="39"/>
      <c r="TUR106" s="39"/>
      <c r="TUS106" s="39"/>
      <c r="TUT106" s="39"/>
      <c r="TUU106" s="39"/>
      <c r="TUV106" s="39"/>
      <c r="TUW106" s="39"/>
      <c r="TUX106" s="39"/>
      <c r="TUY106" s="39"/>
      <c r="TUZ106" s="39"/>
      <c r="TVA106" s="39"/>
      <c r="TVB106" s="39"/>
      <c r="TVC106" s="39"/>
      <c r="TVD106" s="39"/>
      <c r="TVE106" s="39"/>
      <c r="TVF106" s="39"/>
      <c r="TVG106" s="39"/>
      <c r="TVH106" s="39"/>
      <c r="TVI106" s="39"/>
      <c r="TVJ106" s="39"/>
      <c r="TVK106" s="39"/>
      <c r="TVL106" s="39"/>
      <c r="TVM106" s="39"/>
      <c r="TVN106" s="39"/>
      <c r="TVO106" s="39"/>
      <c r="TVP106" s="39"/>
      <c r="TVQ106" s="39"/>
      <c r="TVR106" s="39"/>
      <c r="TVS106" s="39"/>
      <c r="TVT106" s="39"/>
      <c r="TVU106" s="39"/>
      <c r="TVV106" s="39"/>
      <c r="TVW106" s="39"/>
      <c r="TVX106" s="39"/>
      <c r="TVY106" s="39"/>
      <c r="TVZ106" s="39"/>
      <c r="TWA106" s="39"/>
      <c r="TWB106" s="39"/>
      <c r="TWC106" s="39"/>
      <c r="TWD106" s="39"/>
      <c r="TWE106" s="39"/>
      <c r="TWF106" s="39"/>
      <c r="TWG106" s="39"/>
      <c r="TWH106" s="39"/>
      <c r="TWI106" s="39"/>
      <c r="TWJ106" s="39"/>
      <c r="TWK106" s="39"/>
      <c r="TWL106" s="39"/>
      <c r="TWM106" s="39"/>
      <c r="TWN106" s="39"/>
      <c r="TWO106" s="39"/>
      <c r="TWP106" s="39"/>
      <c r="TWQ106" s="39"/>
      <c r="TWR106" s="39"/>
      <c r="TWS106" s="39"/>
      <c r="TWT106" s="39"/>
      <c r="TWU106" s="39"/>
      <c r="TWV106" s="39"/>
      <c r="TWW106" s="39"/>
      <c r="TWX106" s="39"/>
      <c r="TWY106" s="39"/>
      <c r="TWZ106" s="39"/>
      <c r="TXA106" s="39"/>
      <c r="TXB106" s="39"/>
      <c r="TXC106" s="39"/>
      <c r="TXD106" s="39"/>
      <c r="TXE106" s="39"/>
      <c r="TXF106" s="39"/>
      <c r="TXG106" s="39"/>
      <c r="TXH106" s="39"/>
      <c r="TXI106" s="39"/>
      <c r="TXJ106" s="39"/>
      <c r="TXK106" s="39"/>
      <c r="TXL106" s="39"/>
      <c r="TXM106" s="39"/>
      <c r="TXN106" s="39"/>
      <c r="TXO106" s="39"/>
      <c r="TXP106" s="39"/>
      <c r="TXQ106" s="39"/>
      <c r="TXR106" s="39"/>
      <c r="TXS106" s="39"/>
      <c r="TXT106" s="39"/>
      <c r="TXU106" s="39"/>
      <c r="TXV106" s="39"/>
      <c r="TXW106" s="39"/>
      <c r="TXX106" s="39"/>
      <c r="TXY106" s="39"/>
      <c r="TXZ106" s="39"/>
      <c r="TYA106" s="39"/>
      <c r="TYB106" s="39"/>
      <c r="TYC106" s="39"/>
      <c r="TYD106" s="39"/>
      <c r="TYE106" s="39"/>
      <c r="TYF106" s="39"/>
      <c r="TYG106" s="39"/>
      <c r="TYH106" s="39"/>
      <c r="TYI106" s="39"/>
      <c r="TYJ106" s="39"/>
      <c r="TYK106" s="39"/>
      <c r="TYL106" s="39"/>
      <c r="TYM106" s="39"/>
      <c r="TYN106" s="39"/>
      <c r="TYO106" s="39"/>
      <c r="TYP106" s="39"/>
      <c r="TYQ106" s="39"/>
      <c r="TYR106" s="39"/>
      <c r="TYS106" s="39"/>
      <c r="TYT106" s="39"/>
      <c r="TYU106" s="39"/>
      <c r="TYV106" s="39"/>
      <c r="TYW106" s="39"/>
      <c r="TYX106" s="39"/>
      <c r="TYY106" s="39"/>
      <c r="TYZ106" s="39"/>
      <c r="TZA106" s="39"/>
      <c r="TZB106" s="39"/>
      <c r="TZC106" s="39"/>
      <c r="TZD106" s="39"/>
      <c r="TZE106" s="39"/>
      <c r="TZF106" s="39"/>
      <c r="TZG106" s="39"/>
      <c r="TZH106" s="39"/>
      <c r="TZI106" s="39"/>
      <c r="TZJ106" s="39"/>
      <c r="TZK106" s="39"/>
      <c r="TZL106" s="39"/>
      <c r="TZM106" s="39"/>
      <c r="TZN106" s="39"/>
      <c r="TZO106" s="39"/>
      <c r="TZP106" s="39"/>
      <c r="TZQ106" s="39"/>
      <c r="TZR106" s="39"/>
      <c r="TZS106" s="39"/>
      <c r="TZT106" s="39"/>
      <c r="TZU106" s="39"/>
      <c r="TZV106" s="39"/>
      <c r="TZW106" s="39"/>
      <c r="TZX106" s="39"/>
      <c r="TZY106" s="39"/>
      <c r="TZZ106" s="39"/>
      <c r="UAA106" s="39"/>
      <c r="UAB106" s="39"/>
      <c r="UAC106" s="39"/>
      <c r="UAD106" s="39"/>
      <c r="UAE106" s="39"/>
      <c r="UAF106" s="39"/>
      <c r="UAG106" s="39"/>
      <c r="UAH106" s="39"/>
      <c r="UAI106" s="39"/>
      <c r="UAJ106" s="39"/>
      <c r="UAK106" s="39"/>
      <c r="UAL106" s="39"/>
      <c r="UAM106" s="39"/>
      <c r="UAN106" s="39"/>
      <c r="UAO106" s="39"/>
      <c r="UAP106" s="39"/>
      <c r="UAQ106" s="39"/>
      <c r="UAR106" s="39"/>
      <c r="UAS106" s="39"/>
      <c r="UAT106" s="39"/>
      <c r="UAU106" s="39"/>
      <c r="UAV106" s="39"/>
      <c r="UAW106" s="39"/>
      <c r="UAX106" s="39"/>
      <c r="UAY106" s="39"/>
      <c r="UAZ106" s="39"/>
      <c r="UBA106" s="39"/>
      <c r="UBB106" s="39"/>
      <c r="UBC106" s="39"/>
      <c r="UBD106" s="39"/>
      <c r="UBE106" s="39"/>
      <c r="UBF106" s="39"/>
      <c r="UBG106" s="39"/>
      <c r="UBH106" s="39"/>
      <c r="UBI106" s="39"/>
      <c r="UBJ106" s="39"/>
      <c r="UBK106" s="39"/>
      <c r="UBL106" s="39"/>
      <c r="UBM106" s="39"/>
      <c r="UBN106" s="39"/>
      <c r="UBO106" s="39"/>
      <c r="UBP106" s="39"/>
      <c r="UBQ106" s="39"/>
      <c r="UBR106" s="39"/>
      <c r="UBS106" s="39"/>
      <c r="UBT106" s="39"/>
      <c r="UBU106" s="39"/>
      <c r="UBV106" s="39"/>
      <c r="UBW106" s="39"/>
      <c r="UBX106" s="39"/>
      <c r="UBY106" s="39"/>
      <c r="UBZ106" s="39"/>
      <c r="UCA106" s="39"/>
      <c r="UCB106" s="39"/>
      <c r="UCC106" s="39"/>
      <c r="UCD106" s="39"/>
      <c r="UCE106" s="39"/>
      <c r="UCF106" s="39"/>
      <c r="UCG106" s="39"/>
      <c r="UCH106" s="39"/>
      <c r="UCI106" s="39"/>
      <c r="UCJ106" s="39"/>
      <c r="UCK106" s="39"/>
      <c r="UCL106" s="39"/>
      <c r="UCM106" s="39"/>
      <c r="UCN106" s="39"/>
      <c r="UCO106" s="39"/>
      <c r="UCP106" s="39"/>
      <c r="UCQ106" s="39"/>
      <c r="UCR106" s="39"/>
      <c r="UCS106" s="39"/>
      <c r="UCT106" s="39"/>
      <c r="UCU106" s="39"/>
      <c r="UCV106" s="39"/>
      <c r="UCW106" s="39"/>
      <c r="UCX106" s="39"/>
      <c r="UCY106" s="39"/>
      <c r="UCZ106" s="39"/>
      <c r="UDA106" s="39"/>
      <c r="UDB106" s="39"/>
      <c r="UDC106" s="39"/>
      <c r="UDD106" s="39"/>
      <c r="UDE106" s="39"/>
      <c r="UDF106" s="39"/>
      <c r="UDG106" s="39"/>
      <c r="UDH106" s="39"/>
      <c r="UDI106" s="39"/>
      <c r="UDJ106" s="39"/>
      <c r="UDK106" s="39"/>
      <c r="UDL106" s="39"/>
      <c r="UDM106" s="39"/>
      <c r="UDN106" s="39"/>
      <c r="UDO106" s="39"/>
      <c r="UDP106" s="39"/>
      <c r="UDQ106" s="39"/>
      <c r="UDR106" s="39"/>
      <c r="UDS106" s="39"/>
      <c r="UDT106" s="39"/>
      <c r="UDU106" s="39"/>
      <c r="UDV106" s="39"/>
      <c r="UDW106" s="39"/>
      <c r="UDX106" s="39"/>
      <c r="UDY106" s="39"/>
      <c r="UDZ106" s="39"/>
      <c r="UEA106" s="39"/>
      <c r="UEB106" s="39"/>
      <c r="UEC106" s="39"/>
      <c r="UED106" s="39"/>
      <c r="UEE106" s="39"/>
      <c r="UEF106" s="39"/>
      <c r="UEG106" s="39"/>
      <c r="UEH106" s="39"/>
      <c r="UEI106" s="39"/>
      <c r="UEJ106" s="39"/>
      <c r="UEK106" s="39"/>
      <c r="UEL106" s="39"/>
      <c r="UEM106" s="39"/>
      <c r="UEN106" s="39"/>
      <c r="UEO106" s="39"/>
      <c r="UEP106" s="39"/>
      <c r="UEQ106" s="39"/>
      <c r="UER106" s="39"/>
      <c r="UES106" s="39"/>
      <c r="UET106" s="39"/>
      <c r="UEU106" s="39"/>
      <c r="UEV106" s="39"/>
      <c r="UEW106" s="39"/>
      <c r="UEX106" s="39"/>
      <c r="UEY106" s="39"/>
      <c r="UEZ106" s="39"/>
      <c r="UFA106" s="39"/>
      <c r="UFB106" s="39"/>
      <c r="UFC106" s="39"/>
      <c r="UFD106" s="39"/>
      <c r="UFE106" s="39"/>
      <c r="UFF106" s="39"/>
      <c r="UFG106" s="39"/>
      <c r="UFH106" s="39"/>
      <c r="UFI106" s="39"/>
      <c r="UFJ106" s="39"/>
      <c r="UFK106" s="39"/>
      <c r="UFL106" s="39"/>
      <c r="UFM106" s="39"/>
      <c r="UFN106" s="39"/>
      <c r="UFO106" s="39"/>
      <c r="UFP106" s="39"/>
      <c r="UFQ106" s="39"/>
      <c r="UFR106" s="39"/>
      <c r="UFS106" s="39"/>
      <c r="UFT106" s="39"/>
      <c r="UFU106" s="39"/>
      <c r="UFV106" s="39"/>
      <c r="UFW106" s="39"/>
      <c r="UFX106" s="39"/>
      <c r="UFY106" s="39"/>
      <c r="UFZ106" s="39"/>
      <c r="UGA106" s="39"/>
      <c r="UGB106" s="39"/>
      <c r="UGC106" s="39"/>
      <c r="UGD106" s="39"/>
      <c r="UGE106" s="39"/>
      <c r="UGF106" s="39"/>
      <c r="UGG106" s="39"/>
      <c r="UGH106" s="39"/>
      <c r="UGI106" s="39"/>
      <c r="UGJ106" s="39"/>
      <c r="UGK106" s="39"/>
      <c r="UGL106" s="39"/>
      <c r="UGM106" s="39"/>
      <c r="UGN106" s="39"/>
      <c r="UGO106" s="39"/>
      <c r="UGP106" s="39"/>
      <c r="UGQ106" s="39"/>
      <c r="UGR106" s="39"/>
      <c r="UGS106" s="39"/>
      <c r="UGT106" s="39"/>
      <c r="UGU106" s="39"/>
      <c r="UGV106" s="39"/>
      <c r="UGW106" s="39"/>
      <c r="UGX106" s="39"/>
      <c r="UGY106" s="39"/>
      <c r="UGZ106" s="39"/>
      <c r="UHA106" s="39"/>
      <c r="UHB106" s="39"/>
      <c r="UHC106" s="39"/>
      <c r="UHD106" s="39"/>
      <c r="UHE106" s="39"/>
      <c r="UHF106" s="39"/>
      <c r="UHG106" s="39"/>
      <c r="UHH106" s="39"/>
      <c r="UHI106" s="39"/>
      <c r="UHJ106" s="39"/>
      <c r="UHK106" s="39"/>
      <c r="UHL106" s="39"/>
      <c r="UHM106" s="39"/>
      <c r="UHN106" s="39"/>
      <c r="UHO106" s="39"/>
      <c r="UHP106" s="39"/>
      <c r="UHQ106" s="39"/>
      <c r="UHR106" s="39"/>
      <c r="UHS106" s="39"/>
      <c r="UHT106" s="39"/>
      <c r="UHU106" s="39"/>
      <c r="UHV106" s="39"/>
      <c r="UHW106" s="39"/>
      <c r="UHX106" s="39"/>
      <c r="UHY106" s="39"/>
      <c r="UHZ106" s="39"/>
      <c r="UIA106" s="39"/>
      <c r="UIB106" s="39"/>
      <c r="UIC106" s="39"/>
      <c r="UID106" s="39"/>
      <c r="UIE106" s="39"/>
      <c r="UIF106" s="39"/>
      <c r="UIG106" s="39"/>
      <c r="UIH106" s="39"/>
      <c r="UII106" s="39"/>
      <c r="UIJ106" s="39"/>
      <c r="UIK106" s="39"/>
      <c r="UIL106" s="39"/>
      <c r="UIM106" s="39"/>
      <c r="UIN106" s="39"/>
      <c r="UIO106" s="39"/>
      <c r="UIP106" s="39"/>
      <c r="UIQ106" s="39"/>
      <c r="UIR106" s="39"/>
      <c r="UIS106" s="39"/>
      <c r="UIT106" s="39"/>
      <c r="UIU106" s="39"/>
      <c r="UIV106" s="39"/>
      <c r="UIW106" s="39"/>
      <c r="UIX106" s="39"/>
      <c r="UIY106" s="39"/>
      <c r="UIZ106" s="39"/>
      <c r="UJA106" s="39"/>
      <c r="UJB106" s="39"/>
      <c r="UJC106" s="39"/>
      <c r="UJD106" s="39"/>
      <c r="UJE106" s="39"/>
      <c r="UJF106" s="39"/>
      <c r="UJG106" s="39"/>
      <c r="UJH106" s="39"/>
      <c r="UJI106" s="39"/>
      <c r="UJJ106" s="39"/>
      <c r="UJK106" s="39"/>
      <c r="UJL106" s="39"/>
      <c r="UJM106" s="39"/>
      <c r="UJN106" s="39"/>
      <c r="UJO106" s="39"/>
      <c r="UJP106" s="39"/>
      <c r="UJQ106" s="39"/>
      <c r="UJR106" s="39"/>
      <c r="UJS106" s="39"/>
      <c r="UJT106" s="39"/>
      <c r="UJU106" s="39"/>
      <c r="UJV106" s="39"/>
      <c r="UJW106" s="39"/>
      <c r="UJX106" s="39"/>
      <c r="UJY106" s="39"/>
      <c r="UJZ106" s="39"/>
      <c r="UKA106" s="39"/>
      <c r="UKB106" s="39"/>
      <c r="UKC106" s="39"/>
      <c r="UKD106" s="39"/>
      <c r="UKE106" s="39"/>
      <c r="UKF106" s="39"/>
      <c r="UKG106" s="39"/>
      <c r="UKH106" s="39"/>
      <c r="UKI106" s="39"/>
      <c r="UKJ106" s="39"/>
      <c r="UKK106" s="39"/>
      <c r="UKL106" s="39"/>
      <c r="UKM106" s="39"/>
      <c r="UKN106" s="39"/>
      <c r="UKO106" s="39"/>
      <c r="UKP106" s="39"/>
      <c r="UKQ106" s="39"/>
      <c r="UKR106" s="39"/>
      <c r="UKS106" s="39"/>
      <c r="UKT106" s="39"/>
      <c r="UKU106" s="39"/>
      <c r="UKV106" s="39"/>
      <c r="UKW106" s="39"/>
      <c r="UKX106" s="39"/>
      <c r="UKY106" s="39"/>
      <c r="UKZ106" s="39"/>
      <c r="ULA106" s="39"/>
      <c r="ULB106" s="39"/>
      <c r="ULC106" s="39"/>
      <c r="ULD106" s="39"/>
      <c r="ULE106" s="39"/>
      <c r="ULF106" s="39"/>
      <c r="ULG106" s="39"/>
      <c r="ULH106" s="39"/>
      <c r="ULI106" s="39"/>
      <c r="ULJ106" s="39"/>
      <c r="ULK106" s="39"/>
      <c r="ULL106" s="39"/>
      <c r="ULM106" s="39"/>
      <c r="ULN106" s="39"/>
      <c r="ULO106" s="39"/>
      <c r="ULP106" s="39"/>
      <c r="ULQ106" s="39"/>
      <c r="ULR106" s="39"/>
      <c r="ULS106" s="39"/>
      <c r="ULT106" s="39"/>
      <c r="ULU106" s="39"/>
      <c r="ULV106" s="39"/>
      <c r="ULW106" s="39"/>
      <c r="ULX106" s="39"/>
      <c r="ULY106" s="39"/>
      <c r="ULZ106" s="39"/>
      <c r="UMA106" s="39"/>
      <c r="UMB106" s="39"/>
      <c r="UMC106" s="39"/>
      <c r="UMD106" s="39"/>
      <c r="UME106" s="39"/>
      <c r="UMF106" s="39"/>
      <c r="UMG106" s="39"/>
      <c r="UMH106" s="39"/>
      <c r="UMI106" s="39"/>
      <c r="UMJ106" s="39"/>
      <c r="UMK106" s="39"/>
      <c r="UML106" s="39"/>
      <c r="UMM106" s="39"/>
      <c r="UMN106" s="39"/>
      <c r="UMO106" s="39"/>
      <c r="UMP106" s="39"/>
      <c r="UMQ106" s="39"/>
      <c r="UMR106" s="39"/>
      <c r="UMS106" s="39"/>
      <c r="UMT106" s="39"/>
      <c r="UMU106" s="39"/>
      <c r="UMV106" s="39"/>
      <c r="UMW106" s="39"/>
      <c r="UMX106" s="39"/>
      <c r="UMY106" s="39"/>
      <c r="UMZ106" s="39"/>
      <c r="UNA106" s="39"/>
      <c r="UNB106" s="39"/>
      <c r="UNC106" s="39"/>
      <c r="UND106" s="39"/>
      <c r="UNE106" s="39"/>
      <c r="UNF106" s="39"/>
      <c r="UNG106" s="39"/>
      <c r="UNH106" s="39"/>
      <c r="UNI106" s="39"/>
      <c r="UNJ106" s="39"/>
      <c r="UNK106" s="39"/>
      <c r="UNL106" s="39"/>
      <c r="UNM106" s="39"/>
      <c r="UNN106" s="39"/>
      <c r="UNO106" s="39"/>
      <c r="UNP106" s="39"/>
      <c r="UNQ106" s="39"/>
      <c r="UNR106" s="39"/>
      <c r="UNS106" s="39"/>
      <c r="UNT106" s="39"/>
      <c r="UNU106" s="39"/>
      <c r="UNV106" s="39"/>
      <c r="UNW106" s="39"/>
      <c r="UNX106" s="39"/>
      <c r="UNY106" s="39"/>
      <c r="UNZ106" s="39"/>
      <c r="UOA106" s="39"/>
      <c r="UOB106" s="39"/>
      <c r="UOC106" s="39"/>
      <c r="UOD106" s="39"/>
      <c r="UOE106" s="39"/>
      <c r="UOF106" s="39"/>
      <c r="UOG106" s="39"/>
      <c r="UOH106" s="39"/>
      <c r="UOI106" s="39"/>
      <c r="UOJ106" s="39"/>
      <c r="UOK106" s="39"/>
      <c r="UOL106" s="39"/>
      <c r="UOM106" s="39"/>
      <c r="UON106" s="39"/>
      <c r="UOO106" s="39"/>
      <c r="UOP106" s="39"/>
      <c r="UOQ106" s="39"/>
      <c r="UOR106" s="39"/>
      <c r="UOS106" s="39"/>
      <c r="UOT106" s="39"/>
      <c r="UOU106" s="39"/>
      <c r="UOV106" s="39"/>
      <c r="UOW106" s="39"/>
      <c r="UOX106" s="39"/>
      <c r="UOY106" s="39"/>
      <c r="UOZ106" s="39"/>
      <c r="UPA106" s="39"/>
      <c r="UPB106" s="39"/>
      <c r="UPC106" s="39"/>
      <c r="UPD106" s="39"/>
      <c r="UPE106" s="39"/>
      <c r="UPF106" s="39"/>
      <c r="UPG106" s="39"/>
      <c r="UPH106" s="39"/>
      <c r="UPI106" s="39"/>
      <c r="UPJ106" s="39"/>
      <c r="UPK106" s="39"/>
      <c r="UPL106" s="39"/>
      <c r="UPM106" s="39"/>
      <c r="UPN106" s="39"/>
      <c r="UPO106" s="39"/>
      <c r="UPP106" s="39"/>
      <c r="UPQ106" s="39"/>
      <c r="UPR106" s="39"/>
      <c r="UPS106" s="39"/>
      <c r="UPT106" s="39"/>
      <c r="UPU106" s="39"/>
      <c r="UPV106" s="39"/>
      <c r="UPW106" s="39"/>
      <c r="UPX106" s="39"/>
      <c r="UPY106" s="39"/>
      <c r="UPZ106" s="39"/>
      <c r="UQA106" s="39"/>
      <c r="UQB106" s="39"/>
      <c r="UQC106" s="39"/>
      <c r="UQD106" s="39"/>
      <c r="UQE106" s="39"/>
      <c r="UQF106" s="39"/>
      <c r="UQG106" s="39"/>
      <c r="UQH106" s="39"/>
      <c r="UQI106" s="39"/>
      <c r="UQJ106" s="39"/>
      <c r="UQK106" s="39"/>
      <c r="UQL106" s="39"/>
      <c r="UQM106" s="39"/>
      <c r="UQN106" s="39"/>
      <c r="UQO106" s="39"/>
      <c r="UQP106" s="39"/>
      <c r="UQQ106" s="39"/>
      <c r="UQR106" s="39"/>
      <c r="UQS106" s="39"/>
      <c r="UQT106" s="39"/>
      <c r="UQU106" s="39"/>
      <c r="UQV106" s="39"/>
      <c r="UQW106" s="39"/>
      <c r="UQX106" s="39"/>
      <c r="UQY106" s="39"/>
      <c r="UQZ106" s="39"/>
      <c r="URA106" s="39"/>
      <c r="URB106" s="39"/>
      <c r="URC106" s="39"/>
      <c r="URD106" s="39"/>
      <c r="URE106" s="39"/>
      <c r="URF106" s="39"/>
      <c r="URG106" s="39"/>
      <c r="URH106" s="39"/>
      <c r="URI106" s="39"/>
      <c r="URJ106" s="39"/>
      <c r="URK106" s="39"/>
      <c r="URL106" s="39"/>
      <c r="URM106" s="39"/>
      <c r="URN106" s="39"/>
      <c r="URO106" s="39"/>
      <c r="URP106" s="39"/>
      <c r="URQ106" s="39"/>
      <c r="URR106" s="39"/>
      <c r="URS106" s="39"/>
      <c r="URT106" s="39"/>
      <c r="URU106" s="39"/>
      <c r="URV106" s="39"/>
      <c r="URW106" s="39"/>
      <c r="URX106" s="39"/>
      <c r="URY106" s="39"/>
      <c r="URZ106" s="39"/>
      <c r="USA106" s="39"/>
      <c r="USB106" s="39"/>
      <c r="USC106" s="39"/>
      <c r="USD106" s="39"/>
      <c r="USE106" s="39"/>
      <c r="USF106" s="39"/>
      <c r="USG106" s="39"/>
      <c r="USH106" s="39"/>
      <c r="USI106" s="39"/>
      <c r="USJ106" s="39"/>
      <c r="USK106" s="39"/>
      <c r="USL106" s="39"/>
      <c r="USM106" s="39"/>
      <c r="USN106" s="39"/>
      <c r="USO106" s="39"/>
      <c r="USP106" s="39"/>
      <c r="USQ106" s="39"/>
      <c r="USR106" s="39"/>
      <c r="USS106" s="39"/>
      <c r="UST106" s="39"/>
      <c r="USU106" s="39"/>
      <c r="USV106" s="39"/>
      <c r="USW106" s="39"/>
      <c r="USX106" s="39"/>
      <c r="USY106" s="39"/>
      <c r="USZ106" s="39"/>
      <c r="UTA106" s="39"/>
      <c r="UTB106" s="39"/>
      <c r="UTC106" s="39"/>
      <c r="UTD106" s="39"/>
      <c r="UTE106" s="39"/>
      <c r="UTF106" s="39"/>
      <c r="UTG106" s="39"/>
      <c r="UTH106" s="39"/>
      <c r="UTI106" s="39"/>
      <c r="UTJ106" s="39"/>
      <c r="UTK106" s="39"/>
      <c r="UTL106" s="39"/>
      <c r="UTM106" s="39"/>
      <c r="UTN106" s="39"/>
      <c r="UTO106" s="39"/>
      <c r="UTP106" s="39"/>
      <c r="UTQ106" s="39"/>
      <c r="UTR106" s="39"/>
      <c r="UTS106" s="39"/>
      <c r="UTT106" s="39"/>
      <c r="UTU106" s="39"/>
      <c r="UTV106" s="39"/>
      <c r="UTW106" s="39"/>
      <c r="UTX106" s="39"/>
      <c r="UTY106" s="39"/>
      <c r="UTZ106" s="39"/>
      <c r="UUA106" s="39"/>
      <c r="UUB106" s="39"/>
      <c r="UUC106" s="39"/>
      <c r="UUD106" s="39"/>
      <c r="UUE106" s="39"/>
      <c r="UUF106" s="39"/>
      <c r="UUG106" s="39"/>
      <c r="UUH106" s="39"/>
      <c r="UUI106" s="39"/>
      <c r="UUJ106" s="39"/>
      <c r="UUK106" s="39"/>
      <c r="UUL106" s="39"/>
      <c r="UUM106" s="39"/>
      <c r="UUN106" s="39"/>
      <c r="UUO106" s="39"/>
      <c r="UUP106" s="39"/>
      <c r="UUQ106" s="39"/>
      <c r="UUR106" s="39"/>
      <c r="UUS106" s="39"/>
      <c r="UUT106" s="39"/>
      <c r="UUU106" s="39"/>
      <c r="UUV106" s="39"/>
      <c r="UUW106" s="39"/>
      <c r="UUX106" s="39"/>
      <c r="UUY106" s="39"/>
      <c r="UUZ106" s="39"/>
      <c r="UVA106" s="39"/>
      <c r="UVB106" s="39"/>
      <c r="UVC106" s="39"/>
      <c r="UVD106" s="39"/>
      <c r="UVE106" s="39"/>
      <c r="UVF106" s="39"/>
      <c r="UVG106" s="39"/>
      <c r="UVH106" s="39"/>
      <c r="UVI106" s="39"/>
      <c r="UVJ106" s="39"/>
      <c r="UVK106" s="39"/>
      <c r="UVL106" s="39"/>
      <c r="UVM106" s="39"/>
      <c r="UVN106" s="39"/>
      <c r="UVO106" s="39"/>
      <c r="UVP106" s="39"/>
      <c r="UVQ106" s="39"/>
      <c r="UVR106" s="39"/>
      <c r="UVS106" s="39"/>
      <c r="UVT106" s="39"/>
      <c r="UVU106" s="39"/>
      <c r="UVV106" s="39"/>
      <c r="UVW106" s="39"/>
      <c r="UVX106" s="39"/>
      <c r="UVY106" s="39"/>
      <c r="UVZ106" s="39"/>
      <c r="UWA106" s="39"/>
      <c r="UWB106" s="39"/>
      <c r="UWC106" s="39"/>
      <c r="UWD106" s="39"/>
      <c r="UWE106" s="39"/>
      <c r="UWF106" s="39"/>
      <c r="UWG106" s="39"/>
      <c r="UWH106" s="39"/>
      <c r="UWI106" s="39"/>
      <c r="UWJ106" s="39"/>
      <c r="UWK106" s="39"/>
      <c r="UWL106" s="39"/>
      <c r="UWM106" s="39"/>
      <c r="UWN106" s="39"/>
      <c r="UWO106" s="39"/>
      <c r="UWP106" s="39"/>
      <c r="UWQ106" s="39"/>
      <c r="UWR106" s="39"/>
      <c r="UWS106" s="39"/>
      <c r="UWT106" s="39"/>
      <c r="UWU106" s="39"/>
      <c r="UWV106" s="39"/>
      <c r="UWW106" s="39"/>
      <c r="UWX106" s="39"/>
      <c r="UWY106" s="39"/>
      <c r="UWZ106" s="39"/>
      <c r="UXA106" s="39"/>
      <c r="UXB106" s="39"/>
      <c r="UXC106" s="39"/>
      <c r="UXD106" s="39"/>
      <c r="UXE106" s="39"/>
      <c r="UXF106" s="39"/>
      <c r="UXG106" s="39"/>
      <c r="UXH106" s="39"/>
      <c r="UXI106" s="39"/>
      <c r="UXJ106" s="39"/>
      <c r="UXK106" s="39"/>
      <c r="UXL106" s="39"/>
      <c r="UXM106" s="39"/>
      <c r="UXN106" s="39"/>
      <c r="UXO106" s="39"/>
      <c r="UXP106" s="39"/>
      <c r="UXQ106" s="39"/>
      <c r="UXR106" s="39"/>
      <c r="UXS106" s="39"/>
      <c r="UXT106" s="39"/>
      <c r="UXU106" s="39"/>
      <c r="UXV106" s="39"/>
      <c r="UXW106" s="39"/>
      <c r="UXX106" s="39"/>
      <c r="UXY106" s="39"/>
      <c r="UXZ106" s="39"/>
      <c r="UYA106" s="39"/>
      <c r="UYB106" s="39"/>
      <c r="UYC106" s="39"/>
      <c r="UYD106" s="39"/>
      <c r="UYE106" s="39"/>
      <c r="UYF106" s="39"/>
      <c r="UYG106" s="39"/>
      <c r="UYH106" s="39"/>
      <c r="UYI106" s="39"/>
      <c r="UYJ106" s="39"/>
      <c r="UYK106" s="39"/>
      <c r="UYL106" s="39"/>
      <c r="UYM106" s="39"/>
      <c r="UYN106" s="39"/>
      <c r="UYO106" s="39"/>
      <c r="UYP106" s="39"/>
      <c r="UYQ106" s="39"/>
      <c r="UYR106" s="39"/>
      <c r="UYS106" s="39"/>
      <c r="UYT106" s="39"/>
      <c r="UYU106" s="39"/>
      <c r="UYV106" s="39"/>
      <c r="UYW106" s="39"/>
      <c r="UYX106" s="39"/>
      <c r="UYY106" s="39"/>
      <c r="UYZ106" s="39"/>
      <c r="UZA106" s="39"/>
      <c r="UZB106" s="39"/>
      <c r="UZC106" s="39"/>
      <c r="UZD106" s="39"/>
      <c r="UZE106" s="39"/>
      <c r="UZF106" s="39"/>
      <c r="UZG106" s="39"/>
      <c r="UZH106" s="39"/>
      <c r="UZI106" s="39"/>
      <c r="UZJ106" s="39"/>
      <c r="UZK106" s="39"/>
      <c r="UZL106" s="39"/>
      <c r="UZM106" s="39"/>
      <c r="UZN106" s="39"/>
      <c r="UZO106" s="39"/>
      <c r="UZP106" s="39"/>
      <c r="UZQ106" s="39"/>
      <c r="UZR106" s="39"/>
      <c r="UZS106" s="39"/>
      <c r="UZT106" s="39"/>
      <c r="UZU106" s="39"/>
      <c r="UZV106" s="39"/>
      <c r="UZW106" s="39"/>
      <c r="UZX106" s="39"/>
      <c r="UZY106" s="39"/>
      <c r="UZZ106" s="39"/>
      <c r="VAA106" s="39"/>
      <c r="VAB106" s="39"/>
      <c r="VAC106" s="39"/>
      <c r="VAD106" s="39"/>
      <c r="VAE106" s="39"/>
      <c r="VAF106" s="39"/>
      <c r="VAG106" s="39"/>
      <c r="VAH106" s="39"/>
      <c r="VAI106" s="39"/>
      <c r="VAJ106" s="39"/>
      <c r="VAK106" s="39"/>
      <c r="VAL106" s="39"/>
      <c r="VAM106" s="39"/>
      <c r="VAN106" s="39"/>
      <c r="VAO106" s="39"/>
      <c r="VAP106" s="39"/>
      <c r="VAQ106" s="39"/>
      <c r="VAR106" s="39"/>
      <c r="VAS106" s="39"/>
      <c r="VAT106" s="39"/>
      <c r="VAU106" s="39"/>
      <c r="VAV106" s="39"/>
      <c r="VAW106" s="39"/>
      <c r="VAX106" s="39"/>
      <c r="VAY106" s="39"/>
      <c r="VAZ106" s="39"/>
      <c r="VBA106" s="39"/>
      <c r="VBB106" s="39"/>
      <c r="VBC106" s="39"/>
      <c r="VBD106" s="39"/>
      <c r="VBE106" s="39"/>
      <c r="VBF106" s="39"/>
      <c r="VBG106" s="39"/>
      <c r="VBH106" s="39"/>
      <c r="VBI106" s="39"/>
      <c r="VBJ106" s="39"/>
      <c r="VBK106" s="39"/>
      <c r="VBL106" s="39"/>
      <c r="VBM106" s="39"/>
      <c r="VBN106" s="39"/>
      <c r="VBO106" s="39"/>
      <c r="VBP106" s="39"/>
      <c r="VBQ106" s="39"/>
      <c r="VBR106" s="39"/>
      <c r="VBS106" s="39"/>
      <c r="VBT106" s="39"/>
      <c r="VBU106" s="39"/>
      <c r="VBV106" s="39"/>
      <c r="VBW106" s="39"/>
      <c r="VBX106" s="39"/>
      <c r="VBY106" s="39"/>
      <c r="VBZ106" s="39"/>
      <c r="VCA106" s="39"/>
      <c r="VCB106" s="39"/>
      <c r="VCC106" s="39"/>
      <c r="VCD106" s="39"/>
      <c r="VCE106" s="39"/>
      <c r="VCF106" s="39"/>
      <c r="VCG106" s="39"/>
      <c r="VCH106" s="39"/>
      <c r="VCI106" s="39"/>
      <c r="VCJ106" s="39"/>
      <c r="VCK106" s="39"/>
      <c r="VCL106" s="39"/>
      <c r="VCM106" s="39"/>
      <c r="VCN106" s="39"/>
      <c r="VCO106" s="39"/>
      <c r="VCP106" s="39"/>
      <c r="VCQ106" s="39"/>
      <c r="VCR106" s="39"/>
      <c r="VCS106" s="39"/>
      <c r="VCT106" s="39"/>
      <c r="VCU106" s="39"/>
      <c r="VCV106" s="39"/>
      <c r="VCW106" s="39"/>
      <c r="VCX106" s="39"/>
      <c r="VCY106" s="39"/>
      <c r="VCZ106" s="39"/>
      <c r="VDA106" s="39"/>
      <c r="VDB106" s="39"/>
      <c r="VDC106" s="39"/>
      <c r="VDD106" s="39"/>
      <c r="VDE106" s="39"/>
      <c r="VDF106" s="39"/>
      <c r="VDG106" s="39"/>
      <c r="VDH106" s="39"/>
      <c r="VDI106" s="39"/>
      <c r="VDJ106" s="39"/>
      <c r="VDK106" s="39"/>
      <c r="VDL106" s="39"/>
      <c r="VDM106" s="39"/>
      <c r="VDN106" s="39"/>
      <c r="VDO106" s="39"/>
      <c r="VDP106" s="39"/>
      <c r="VDQ106" s="39"/>
      <c r="VDR106" s="39"/>
      <c r="VDS106" s="39"/>
      <c r="VDT106" s="39"/>
      <c r="VDU106" s="39"/>
      <c r="VDV106" s="39"/>
      <c r="VDW106" s="39"/>
      <c r="VDX106" s="39"/>
      <c r="VDY106" s="39"/>
      <c r="VDZ106" s="39"/>
      <c r="VEA106" s="39"/>
      <c r="VEB106" s="39"/>
      <c r="VEC106" s="39"/>
      <c r="VED106" s="39"/>
      <c r="VEE106" s="39"/>
      <c r="VEF106" s="39"/>
      <c r="VEG106" s="39"/>
      <c r="VEH106" s="39"/>
      <c r="VEI106" s="39"/>
      <c r="VEJ106" s="39"/>
      <c r="VEK106" s="39"/>
      <c r="VEL106" s="39"/>
      <c r="VEM106" s="39"/>
      <c r="VEN106" s="39"/>
      <c r="VEO106" s="39"/>
      <c r="VEP106" s="39"/>
      <c r="VEQ106" s="39"/>
      <c r="VER106" s="39"/>
      <c r="VES106" s="39"/>
      <c r="VET106" s="39"/>
      <c r="VEU106" s="39"/>
      <c r="VEV106" s="39"/>
      <c r="VEW106" s="39"/>
      <c r="VEX106" s="39"/>
      <c r="VEY106" s="39"/>
      <c r="VEZ106" s="39"/>
      <c r="VFA106" s="39"/>
      <c r="VFB106" s="39"/>
      <c r="VFC106" s="39"/>
      <c r="VFD106" s="39"/>
      <c r="VFE106" s="39"/>
      <c r="VFF106" s="39"/>
      <c r="VFG106" s="39"/>
      <c r="VFH106" s="39"/>
      <c r="VFI106" s="39"/>
      <c r="VFJ106" s="39"/>
      <c r="VFK106" s="39"/>
      <c r="VFL106" s="39"/>
      <c r="VFM106" s="39"/>
      <c r="VFN106" s="39"/>
      <c r="VFO106" s="39"/>
      <c r="VFP106" s="39"/>
      <c r="VFQ106" s="39"/>
      <c r="VFR106" s="39"/>
      <c r="VFS106" s="39"/>
      <c r="VFT106" s="39"/>
      <c r="VFU106" s="39"/>
      <c r="VFV106" s="39"/>
      <c r="VFW106" s="39"/>
      <c r="VFX106" s="39"/>
      <c r="VFY106" s="39"/>
      <c r="VFZ106" s="39"/>
      <c r="VGA106" s="39"/>
      <c r="VGB106" s="39"/>
      <c r="VGC106" s="39"/>
      <c r="VGD106" s="39"/>
      <c r="VGE106" s="39"/>
      <c r="VGF106" s="39"/>
      <c r="VGG106" s="39"/>
      <c r="VGH106" s="39"/>
      <c r="VGI106" s="39"/>
      <c r="VGJ106" s="39"/>
      <c r="VGK106" s="39"/>
      <c r="VGL106" s="39"/>
      <c r="VGM106" s="39"/>
      <c r="VGN106" s="39"/>
      <c r="VGO106" s="39"/>
      <c r="VGP106" s="39"/>
      <c r="VGQ106" s="39"/>
      <c r="VGR106" s="39"/>
      <c r="VGS106" s="39"/>
      <c r="VGT106" s="39"/>
      <c r="VGU106" s="39"/>
      <c r="VGV106" s="39"/>
      <c r="VGW106" s="39"/>
      <c r="VGX106" s="39"/>
      <c r="VGY106" s="39"/>
      <c r="VGZ106" s="39"/>
      <c r="VHA106" s="39"/>
      <c r="VHB106" s="39"/>
      <c r="VHC106" s="39"/>
      <c r="VHD106" s="39"/>
      <c r="VHE106" s="39"/>
      <c r="VHF106" s="39"/>
      <c r="VHG106" s="39"/>
      <c r="VHH106" s="39"/>
      <c r="VHI106" s="39"/>
      <c r="VHJ106" s="39"/>
      <c r="VHK106" s="39"/>
      <c r="VHL106" s="39"/>
      <c r="VHM106" s="39"/>
      <c r="VHN106" s="39"/>
      <c r="VHO106" s="39"/>
      <c r="VHP106" s="39"/>
      <c r="VHQ106" s="39"/>
      <c r="VHR106" s="39"/>
      <c r="VHS106" s="39"/>
      <c r="VHT106" s="39"/>
      <c r="VHU106" s="39"/>
      <c r="VHV106" s="39"/>
      <c r="VHW106" s="39"/>
      <c r="VHX106" s="39"/>
      <c r="VHY106" s="39"/>
      <c r="VHZ106" s="39"/>
      <c r="VIA106" s="39"/>
      <c r="VIB106" s="39"/>
      <c r="VIC106" s="39"/>
      <c r="VID106" s="39"/>
      <c r="VIE106" s="39"/>
      <c r="VIF106" s="39"/>
      <c r="VIG106" s="39"/>
      <c r="VIH106" s="39"/>
      <c r="VII106" s="39"/>
      <c r="VIJ106" s="39"/>
      <c r="VIK106" s="39"/>
      <c r="VIL106" s="39"/>
      <c r="VIM106" s="39"/>
      <c r="VIN106" s="39"/>
      <c r="VIO106" s="39"/>
      <c r="VIP106" s="39"/>
      <c r="VIQ106" s="39"/>
      <c r="VIR106" s="39"/>
      <c r="VIS106" s="39"/>
      <c r="VIT106" s="39"/>
      <c r="VIU106" s="39"/>
      <c r="VIV106" s="39"/>
      <c r="VIW106" s="39"/>
      <c r="VIX106" s="39"/>
      <c r="VIY106" s="39"/>
      <c r="VIZ106" s="39"/>
      <c r="VJA106" s="39"/>
      <c r="VJB106" s="39"/>
      <c r="VJC106" s="39"/>
      <c r="VJD106" s="39"/>
      <c r="VJE106" s="39"/>
      <c r="VJF106" s="39"/>
      <c r="VJG106" s="39"/>
      <c r="VJH106" s="39"/>
      <c r="VJI106" s="39"/>
      <c r="VJJ106" s="39"/>
      <c r="VJK106" s="39"/>
      <c r="VJL106" s="39"/>
      <c r="VJM106" s="39"/>
      <c r="VJN106" s="39"/>
      <c r="VJO106" s="39"/>
      <c r="VJP106" s="39"/>
      <c r="VJQ106" s="39"/>
      <c r="VJR106" s="39"/>
      <c r="VJS106" s="39"/>
      <c r="VJT106" s="39"/>
      <c r="VJU106" s="39"/>
      <c r="VJV106" s="39"/>
      <c r="VJW106" s="39"/>
      <c r="VJX106" s="39"/>
      <c r="VJY106" s="39"/>
      <c r="VJZ106" s="39"/>
      <c r="VKA106" s="39"/>
      <c r="VKB106" s="39"/>
      <c r="VKC106" s="39"/>
      <c r="VKD106" s="39"/>
      <c r="VKE106" s="39"/>
      <c r="VKF106" s="39"/>
      <c r="VKG106" s="39"/>
      <c r="VKH106" s="39"/>
      <c r="VKI106" s="39"/>
      <c r="VKJ106" s="39"/>
      <c r="VKK106" s="39"/>
      <c r="VKL106" s="39"/>
      <c r="VKM106" s="39"/>
      <c r="VKN106" s="39"/>
      <c r="VKO106" s="39"/>
      <c r="VKP106" s="39"/>
      <c r="VKQ106" s="39"/>
      <c r="VKR106" s="39"/>
      <c r="VKS106" s="39"/>
      <c r="VKT106" s="39"/>
      <c r="VKU106" s="39"/>
      <c r="VKV106" s="39"/>
      <c r="VKW106" s="39"/>
      <c r="VKX106" s="39"/>
      <c r="VKY106" s="39"/>
      <c r="VKZ106" s="39"/>
      <c r="VLA106" s="39"/>
      <c r="VLB106" s="39"/>
      <c r="VLC106" s="39"/>
      <c r="VLD106" s="39"/>
      <c r="VLE106" s="39"/>
      <c r="VLF106" s="39"/>
      <c r="VLG106" s="39"/>
      <c r="VLH106" s="39"/>
      <c r="VLI106" s="39"/>
      <c r="VLJ106" s="39"/>
      <c r="VLK106" s="39"/>
      <c r="VLL106" s="39"/>
      <c r="VLM106" s="39"/>
      <c r="VLN106" s="39"/>
      <c r="VLO106" s="39"/>
      <c r="VLP106" s="39"/>
      <c r="VLQ106" s="39"/>
      <c r="VLR106" s="39"/>
      <c r="VLS106" s="39"/>
      <c r="VLT106" s="39"/>
      <c r="VLU106" s="39"/>
      <c r="VLV106" s="39"/>
      <c r="VLW106" s="39"/>
      <c r="VLX106" s="39"/>
      <c r="VLY106" s="39"/>
      <c r="VLZ106" s="39"/>
      <c r="VMA106" s="39"/>
      <c r="VMB106" s="39"/>
      <c r="VMC106" s="39"/>
      <c r="VMD106" s="39"/>
      <c r="VME106" s="39"/>
      <c r="VMF106" s="39"/>
      <c r="VMG106" s="39"/>
      <c r="VMH106" s="39"/>
      <c r="VMI106" s="39"/>
      <c r="VMJ106" s="39"/>
      <c r="VMK106" s="39"/>
      <c r="VML106" s="39"/>
      <c r="VMM106" s="39"/>
      <c r="VMN106" s="39"/>
      <c r="VMO106" s="39"/>
      <c r="VMP106" s="39"/>
      <c r="VMQ106" s="39"/>
      <c r="VMR106" s="39"/>
      <c r="VMS106" s="39"/>
      <c r="VMT106" s="39"/>
      <c r="VMU106" s="39"/>
      <c r="VMV106" s="39"/>
      <c r="VMW106" s="39"/>
      <c r="VMX106" s="39"/>
      <c r="VMY106" s="39"/>
      <c r="VMZ106" s="39"/>
      <c r="VNA106" s="39"/>
      <c r="VNB106" s="39"/>
      <c r="VNC106" s="39"/>
      <c r="VND106" s="39"/>
      <c r="VNE106" s="39"/>
      <c r="VNF106" s="39"/>
      <c r="VNG106" s="39"/>
      <c r="VNH106" s="39"/>
      <c r="VNI106" s="39"/>
      <c r="VNJ106" s="39"/>
      <c r="VNK106" s="39"/>
      <c r="VNL106" s="39"/>
      <c r="VNM106" s="39"/>
      <c r="VNN106" s="39"/>
      <c r="VNO106" s="39"/>
      <c r="VNP106" s="39"/>
      <c r="VNQ106" s="39"/>
      <c r="VNR106" s="39"/>
      <c r="VNS106" s="39"/>
      <c r="VNT106" s="39"/>
      <c r="VNU106" s="39"/>
      <c r="VNV106" s="39"/>
      <c r="VNW106" s="39"/>
      <c r="VNX106" s="39"/>
      <c r="VNY106" s="39"/>
      <c r="VNZ106" s="39"/>
      <c r="VOA106" s="39"/>
      <c r="VOB106" s="39"/>
      <c r="VOC106" s="39"/>
      <c r="VOD106" s="39"/>
      <c r="VOE106" s="39"/>
      <c r="VOF106" s="39"/>
      <c r="VOG106" s="39"/>
      <c r="VOH106" s="39"/>
      <c r="VOI106" s="39"/>
      <c r="VOJ106" s="39"/>
      <c r="VOK106" s="39"/>
      <c r="VOL106" s="39"/>
      <c r="VOM106" s="39"/>
      <c r="VON106" s="39"/>
      <c r="VOO106" s="39"/>
      <c r="VOP106" s="39"/>
      <c r="VOQ106" s="39"/>
      <c r="VOR106" s="39"/>
      <c r="VOS106" s="39"/>
      <c r="VOT106" s="39"/>
      <c r="VOU106" s="39"/>
      <c r="VOV106" s="39"/>
      <c r="VOW106" s="39"/>
      <c r="VOX106" s="39"/>
      <c r="VOY106" s="39"/>
      <c r="VOZ106" s="39"/>
      <c r="VPA106" s="39"/>
      <c r="VPB106" s="39"/>
      <c r="VPC106" s="39"/>
      <c r="VPD106" s="39"/>
      <c r="VPE106" s="39"/>
      <c r="VPF106" s="39"/>
      <c r="VPG106" s="39"/>
      <c r="VPH106" s="39"/>
      <c r="VPI106" s="39"/>
      <c r="VPJ106" s="39"/>
      <c r="VPK106" s="39"/>
      <c r="VPL106" s="39"/>
      <c r="VPM106" s="39"/>
      <c r="VPN106" s="39"/>
      <c r="VPO106" s="39"/>
      <c r="VPP106" s="39"/>
      <c r="VPQ106" s="39"/>
      <c r="VPR106" s="39"/>
      <c r="VPS106" s="39"/>
      <c r="VPT106" s="39"/>
      <c r="VPU106" s="39"/>
      <c r="VPV106" s="39"/>
      <c r="VPW106" s="39"/>
      <c r="VPX106" s="39"/>
      <c r="VPY106" s="39"/>
      <c r="VPZ106" s="39"/>
      <c r="VQA106" s="39"/>
      <c r="VQB106" s="39"/>
      <c r="VQC106" s="39"/>
      <c r="VQD106" s="39"/>
      <c r="VQE106" s="39"/>
      <c r="VQF106" s="39"/>
      <c r="VQG106" s="39"/>
      <c r="VQH106" s="39"/>
      <c r="VQI106" s="39"/>
      <c r="VQJ106" s="39"/>
      <c r="VQK106" s="39"/>
      <c r="VQL106" s="39"/>
      <c r="VQM106" s="39"/>
      <c r="VQN106" s="39"/>
      <c r="VQO106" s="39"/>
      <c r="VQP106" s="39"/>
      <c r="VQQ106" s="39"/>
      <c r="VQR106" s="39"/>
      <c r="VQS106" s="39"/>
      <c r="VQT106" s="39"/>
      <c r="VQU106" s="39"/>
      <c r="VQV106" s="39"/>
      <c r="VQW106" s="39"/>
      <c r="VQX106" s="39"/>
      <c r="VQY106" s="39"/>
      <c r="VQZ106" s="39"/>
      <c r="VRA106" s="39"/>
      <c r="VRB106" s="39"/>
      <c r="VRC106" s="39"/>
      <c r="VRD106" s="39"/>
      <c r="VRE106" s="39"/>
      <c r="VRF106" s="39"/>
      <c r="VRG106" s="39"/>
      <c r="VRH106" s="39"/>
      <c r="VRI106" s="39"/>
      <c r="VRJ106" s="39"/>
      <c r="VRK106" s="39"/>
      <c r="VRL106" s="39"/>
      <c r="VRM106" s="39"/>
      <c r="VRN106" s="39"/>
      <c r="VRO106" s="39"/>
      <c r="VRP106" s="39"/>
      <c r="VRQ106" s="39"/>
      <c r="VRR106" s="39"/>
      <c r="VRS106" s="39"/>
      <c r="VRT106" s="39"/>
      <c r="VRU106" s="39"/>
      <c r="VRV106" s="39"/>
      <c r="VRW106" s="39"/>
      <c r="VRX106" s="39"/>
      <c r="VRY106" s="39"/>
      <c r="VRZ106" s="39"/>
      <c r="VSA106" s="39"/>
      <c r="VSB106" s="39"/>
      <c r="VSC106" s="39"/>
      <c r="VSD106" s="39"/>
      <c r="VSE106" s="39"/>
      <c r="VSF106" s="39"/>
      <c r="VSG106" s="39"/>
      <c r="VSH106" s="39"/>
      <c r="VSI106" s="39"/>
      <c r="VSJ106" s="39"/>
      <c r="VSK106" s="39"/>
      <c r="VSL106" s="39"/>
      <c r="VSM106" s="39"/>
      <c r="VSN106" s="39"/>
      <c r="VSO106" s="39"/>
      <c r="VSP106" s="39"/>
      <c r="VSQ106" s="39"/>
      <c r="VSR106" s="39"/>
      <c r="VSS106" s="39"/>
      <c r="VST106" s="39"/>
      <c r="VSU106" s="39"/>
      <c r="VSV106" s="39"/>
      <c r="VSW106" s="39"/>
      <c r="VSX106" s="39"/>
      <c r="VSY106" s="39"/>
      <c r="VSZ106" s="39"/>
      <c r="VTA106" s="39"/>
      <c r="VTB106" s="39"/>
      <c r="VTC106" s="39"/>
      <c r="VTD106" s="39"/>
      <c r="VTE106" s="39"/>
      <c r="VTF106" s="39"/>
      <c r="VTG106" s="39"/>
      <c r="VTH106" s="39"/>
      <c r="VTI106" s="39"/>
      <c r="VTJ106" s="39"/>
      <c r="VTK106" s="39"/>
      <c r="VTL106" s="39"/>
      <c r="VTM106" s="39"/>
      <c r="VTN106" s="39"/>
      <c r="VTO106" s="39"/>
      <c r="VTP106" s="39"/>
      <c r="VTQ106" s="39"/>
      <c r="VTR106" s="39"/>
      <c r="VTS106" s="39"/>
      <c r="VTT106" s="39"/>
      <c r="VTU106" s="39"/>
      <c r="VTV106" s="39"/>
      <c r="VTW106" s="39"/>
      <c r="VTX106" s="39"/>
      <c r="VTY106" s="39"/>
      <c r="VTZ106" s="39"/>
      <c r="VUA106" s="39"/>
      <c r="VUB106" s="39"/>
      <c r="VUC106" s="39"/>
      <c r="VUD106" s="39"/>
      <c r="VUE106" s="39"/>
      <c r="VUF106" s="39"/>
      <c r="VUG106" s="39"/>
      <c r="VUH106" s="39"/>
      <c r="VUI106" s="39"/>
      <c r="VUJ106" s="39"/>
      <c r="VUK106" s="39"/>
      <c r="VUL106" s="39"/>
      <c r="VUM106" s="39"/>
      <c r="VUN106" s="39"/>
      <c r="VUO106" s="39"/>
      <c r="VUP106" s="39"/>
      <c r="VUQ106" s="39"/>
      <c r="VUR106" s="39"/>
      <c r="VUS106" s="39"/>
      <c r="VUT106" s="39"/>
      <c r="VUU106" s="39"/>
      <c r="VUV106" s="39"/>
      <c r="VUW106" s="39"/>
      <c r="VUX106" s="39"/>
      <c r="VUY106" s="39"/>
      <c r="VUZ106" s="39"/>
      <c r="VVA106" s="39"/>
      <c r="VVB106" s="39"/>
      <c r="VVC106" s="39"/>
      <c r="VVD106" s="39"/>
      <c r="VVE106" s="39"/>
      <c r="VVF106" s="39"/>
      <c r="VVG106" s="39"/>
      <c r="VVH106" s="39"/>
      <c r="VVI106" s="39"/>
      <c r="VVJ106" s="39"/>
      <c r="VVK106" s="39"/>
      <c r="VVL106" s="39"/>
      <c r="VVM106" s="39"/>
      <c r="VVN106" s="39"/>
      <c r="VVO106" s="39"/>
      <c r="VVP106" s="39"/>
      <c r="VVQ106" s="39"/>
      <c r="VVR106" s="39"/>
      <c r="VVS106" s="39"/>
      <c r="VVT106" s="39"/>
      <c r="VVU106" s="39"/>
      <c r="VVV106" s="39"/>
      <c r="VVW106" s="39"/>
      <c r="VVX106" s="39"/>
      <c r="VVY106" s="39"/>
      <c r="VVZ106" s="39"/>
      <c r="VWA106" s="39"/>
      <c r="VWB106" s="39"/>
      <c r="VWC106" s="39"/>
      <c r="VWD106" s="39"/>
      <c r="VWE106" s="39"/>
      <c r="VWF106" s="39"/>
      <c r="VWG106" s="39"/>
      <c r="VWH106" s="39"/>
      <c r="VWI106" s="39"/>
      <c r="VWJ106" s="39"/>
      <c r="VWK106" s="39"/>
      <c r="VWL106" s="39"/>
      <c r="VWM106" s="39"/>
      <c r="VWN106" s="39"/>
      <c r="VWO106" s="39"/>
      <c r="VWP106" s="39"/>
      <c r="VWQ106" s="39"/>
      <c r="VWR106" s="39"/>
      <c r="VWS106" s="39"/>
      <c r="VWT106" s="39"/>
      <c r="VWU106" s="39"/>
      <c r="VWV106" s="39"/>
      <c r="VWW106" s="39"/>
      <c r="VWX106" s="39"/>
      <c r="VWY106" s="39"/>
      <c r="VWZ106" s="39"/>
      <c r="VXA106" s="39"/>
      <c r="VXB106" s="39"/>
      <c r="VXC106" s="39"/>
      <c r="VXD106" s="39"/>
      <c r="VXE106" s="39"/>
      <c r="VXF106" s="39"/>
      <c r="VXG106" s="39"/>
      <c r="VXH106" s="39"/>
      <c r="VXI106" s="39"/>
      <c r="VXJ106" s="39"/>
      <c r="VXK106" s="39"/>
      <c r="VXL106" s="39"/>
      <c r="VXM106" s="39"/>
      <c r="VXN106" s="39"/>
      <c r="VXO106" s="39"/>
      <c r="VXP106" s="39"/>
      <c r="VXQ106" s="39"/>
      <c r="VXR106" s="39"/>
      <c r="VXS106" s="39"/>
      <c r="VXT106" s="39"/>
      <c r="VXU106" s="39"/>
      <c r="VXV106" s="39"/>
      <c r="VXW106" s="39"/>
      <c r="VXX106" s="39"/>
      <c r="VXY106" s="39"/>
      <c r="VXZ106" s="39"/>
      <c r="VYA106" s="39"/>
      <c r="VYB106" s="39"/>
      <c r="VYC106" s="39"/>
      <c r="VYD106" s="39"/>
      <c r="VYE106" s="39"/>
      <c r="VYF106" s="39"/>
      <c r="VYG106" s="39"/>
      <c r="VYH106" s="39"/>
      <c r="VYI106" s="39"/>
      <c r="VYJ106" s="39"/>
      <c r="VYK106" s="39"/>
      <c r="VYL106" s="39"/>
      <c r="VYM106" s="39"/>
      <c r="VYN106" s="39"/>
      <c r="VYO106" s="39"/>
      <c r="VYP106" s="39"/>
      <c r="VYQ106" s="39"/>
      <c r="VYR106" s="39"/>
      <c r="VYS106" s="39"/>
      <c r="VYT106" s="39"/>
      <c r="VYU106" s="39"/>
      <c r="VYV106" s="39"/>
      <c r="VYW106" s="39"/>
      <c r="VYX106" s="39"/>
      <c r="VYY106" s="39"/>
      <c r="VYZ106" s="39"/>
      <c r="VZA106" s="39"/>
      <c r="VZB106" s="39"/>
      <c r="VZC106" s="39"/>
      <c r="VZD106" s="39"/>
      <c r="VZE106" s="39"/>
      <c r="VZF106" s="39"/>
      <c r="VZG106" s="39"/>
      <c r="VZH106" s="39"/>
      <c r="VZI106" s="39"/>
      <c r="VZJ106" s="39"/>
      <c r="VZK106" s="39"/>
      <c r="VZL106" s="39"/>
      <c r="VZM106" s="39"/>
      <c r="VZN106" s="39"/>
      <c r="VZO106" s="39"/>
      <c r="VZP106" s="39"/>
      <c r="VZQ106" s="39"/>
      <c r="VZR106" s="39"/>
      <c r="VZS106" s="39"/>
      <c r="VZT106" s="39"/>
      <c r="VZU106" s="39"/>
      <c r="VZV106" s="39"/>
      <c r="VZW106" s="39"/>
      <c r="VZX106" s="39"/>
      <c r="VZY106" s="39"/>
      <c r="VZZ106" s="39"/>
      <c r="WAA106" s="39"/>
      <c r="WAB106" s="39"/>
      <c r="WAC106" s="39"/>
      <c r="WAD106" s="39"/>
      <c r="WAE106" s="39"/>
      <c r="WAF106" s="39"/>
      <c r="WAG106" s="39"/>
      <c r="WAH106" s="39"/>
      <c r="WAI106" s="39"/>
      <c r="WAJ106" s="39"/>
      <c r="WAK106" s="39"/>
      <c r="WAL106" s="39"/>
      <c r="WAM106" s="39"/>
      <c r="WAN106" s="39"/>
      <c r="WAO106" s="39"/>
      <c r="WAP106" s="39"/>
      <c r="WAQ106" s="39"/>
      <c r="WAR106" s="39"/>
      <c r="WAS106" s="39"/>
      <c r="WAT106" s="39"/>
      <c r="WAU106" s="39"/>
      <c r="WAV106" s="39"/>
      <c r="WAW106" s="39"/>
      <c r="WAX106" s="39"/>
      <c r="WAY106" s="39"/>
      <c r="WAZ106" s="39"/>
      <c r="WBA106" s="39"/>
      <c r="WBB106" s="39"/>
      <c r="WBC106" s="39"/>
      <c r="WBD106" s="39"/>
      <c r="WBE106" s="39"/>
      <c r="WBF106" s="39"/>
      <c r="WBG106" s="39"/>
      <c r="WBH106" s="39"/>
      <c r="WBI106" s="39"/>
      <c r="WBJ106" s="39"/>
      <c r="WBK106" s="39"/>
      <c r="WBL106" s="39"/>
      <c r="WBM106" s="39"/>
      <c r="WBN106" s="39"/>
      <c r="WBO106" s="39"/>
      <c r="WBP106" s="39"/>
      <c r="WBQ106" s="39"/>
      <c r="WBR106" s="39"/>
      <c r="WBS106" s="39"/>
      <c r="WBT106" s="39"/>
      <c r="WBU106" s="39"/>
      <c r="WBV106" s="39"/>
      <c r="WBW106" s="39"/>
      <c r="WBX106" s="39"/>
      <c r="WBY106" s="39"/>
      <c r="WBZ106" s="39"/>
      <c r="WCA106" s="39"/>
      <c r="WCB106" s="39"/>
      <c r="WCC106" s="39"/>
      <c r="WCD106" s="39"/>
      <c r="WCE106" s="39"/>
      <c r="WCF106" s="39"/>
      <c r="WCG106" s="39"/>
      <c r="WCH106" s="39"/>
      <c r="WCI106" s="39"/>
      <c r="WCJ106" s="39"/>
      <c r="WCK106" s="39"/>
      <c r="WCL106" s="39"/>
      <c r="WCM106" s="39"/>
      <c r="WCN106" s="39"/>
      <c r="WCO106" s="39"/>
      <c r="WCP106" s="39"/>
      <c r="WCQ106" s="39"/>
      <c r="WCR106" s="39"/>
      <c r="WCS106" s="39"/>
      <c r="WCT106" s="39"/>
      <c r="WCU106" s="39"/>
      <c r="WCV106" s="39"/>
      <c r="WCW106" s="39"/>
      <c r="WCX106" s="39"/>
      <c r="WCY106" s="39"/>
      <c r="WCZ106" s="39"/>
      <c r="WDA106" s="39"/>
      <c r="WDB106" s="39"/>
      <c r="WDC106" s="39"/>
      <c r="WDD106" s="39"/>
      <c r="WDE106" s="39"/>
      <c r="WDF106" s="39"/>
      <c r="WDG106" s="39"/>
      <c r="WDH106" s="39"/>
      <c r="WDI106" s="39"/>
      <c r="WDJ106" s="39"/>
      <c r="WDK106" s="39"/>
      <c r="WDL106" s="39"/>
      <c r="WDM106" s="39"/>
      <c r="WDN106" s="39"/>
      <c r="WDO106" s="39"/>
      <c r="WDP106" s="39"/>
      <c r="WDQ106" s="39"/>
      <c r="WDR106" s="39"/>
      <c r="WDS106" s="39"/>
      <c r="WDT106" s="39"/>
      <c r="WDU106" s="39"/>
      <c r="WDV106" s="39"/>
      <c r="WDW106" s="39"/>
      <c r="WDX106" s="39"/>
      <c r="WDY106" s="39"/>
      <c r="WDZ106" s="39"/>
      <c r="WEA106" s="39"/>
      <c r="WEB106" s="39"/>
      <c r="WEC106" s="39"/>
      <c r="WED106" s="39"/>
      <c r="WEE106" s="39"/>
      <c r="WEF106" s="39"/>
      <c r="WEG106" s="39"/>
      <c r="WEH106" s="39"/>
      <c r="WEI106" s="39"/>
      <c r="WEJ106" s="39"/>
      <c r="WEK106" s="39"/>
      <c r="WEL106" s="39"/>
      <c r="WEM106" s="39"/>
      <c r="WEN106" s="39"/>
      <c r="WEO106" s="39"/>
      <c r="WEP106" s="39"/>
      <c r="WEQ106" s="39"/>
      <c r="WER106" s="39"/>
      <c r="WES106" s="39"/>
      <c r="WET106" s="39"/>
      <c r="WEU106" s="39"/>
      <c r="WEV106" s="39"/>
      <c r="WEW106" s="39"/>
      <c r="WEX106" s="39"/>
      <c r="WEY106" s="39"/>
      <c r="WEZ106" s="39"/>
      <c r="WFA106" s="39"/>
      <c r="WFB106" s="39"/>
      <c r="WFC106" s="39"/>
      <c r="WFD106" s="39"/>
      <c r="WFE106" s="39"/>
      <c r="WFF106" s="39"/>
      <c r="WFG106" s="39"/>
      <c r="WFH106" s="39"/>
      <c r="WFI106" s="39"/>
      <c r="WFJ106" s="39"/>
      <c r="WFK106" s="39"/>
      <c r="WFL106" s="39"/>
      <c r="WFM106" s="39"/>
      <c r="WFN106" s="39"/>
      <c r="WFO106" s="39"/>
      <c r="WFP106" s="39"/>
      <c r="WFQ106" s="39"/>
      <c r="WFR106" s="39"/>
      <c r="WFS106" s="39"/>
      <c r="WFT106" s="39"/>
      <c r="WFU106" s="39"/>
      <c r="WFV106" s="39"/>
      <c r="WFW106" s="39"/>
      <c r="WFX106" s="39"/>
      <c r="WFY106" s="39"/>
      <c r="WFZ106" s="39"/>
      <c r="WGA106" s="39"/>
      <c r="WGB106" s="39"/>
      <c r="WGC106" s="39"/>
      <c r="WGD106" s="39"/>
      <c r="WGE106" s="39"/>
      <c r="WGF106" s="39"/>
      <c r="WGG106" s="39"/>
      <c r="WGH106" s="39"/>
      <c r="WGI106" s="39"/>
      <c r="WGJ106" s="39"/>
      <c r="WGK106" s="39"/>
      <c r="WGL106" s="39"/>
      <c r="WGM106" s="39"/>
      <c r="WGN106" s="39"/>
      <c r="WGO106" s="39"/>
      <c r="WGP106" s="39"/>
      <c r="WGQ106" s="39"/>
      <c r="WGR106" s="39"/>
      <c r="WGS106" s="39"/>
      <c r="WGT106" s="39"/>
      <c r="WGU106" s="39"/>
      <c r="WGV106" s="39"/>
      <c r="WGW106" s="39"/>
      <c r="WGX106" s="39"/>
      <c r="WGY106" s="39"/>
      <c r="WGZ106" s="39"/>
      <c r="WHA106" s="39"/>
      <c r="WHB106" s="39"/>
      <c r="WHC106" s="39"/>
      <c r="WHD106" s="39"/>
      <c r="WHE106" s="39"/>
      <c r="WHF106" s="39"/>
      <c r="WHG106" s="39"/>
      <c r="WHH106" s="39"/>
      <c r="WHI106" s="39"/>
      <c r="WHJ106" s="39"/>
      <c r="WHK106" s="39"/>
      <c r="WHL106" s="39"/>
      <c r="WHM106" s="39"/>
      <c r="WHN106" s="39"/>
      <c r="WHO106" s="39"/>
      <c r="WHP106" s="39"/>
      <c r="WHQ106" s="39"/>
      <c r="WHR106" s="39"/>
      <c r="WHS106" s="39"/>
      <c r="WHT106" s="39"/>
      <c r="WHU106" s="39"/>
      <c r="WHV106" s="39"/>
      <c r="WHW106" s="39"/>
      <c r="WHX106" s="39"/>
      <c r="WHY106" s="39"/>
      <c r="WHZ106" s="39"/>
      <c r="WIA106" s="39"/>
      <c r="WIB106" s="39"/>
      <c r="WIC106" s="39"/>
      <c r="WID106" s="39"/>
      <c r="WIE106" s="39"/>
      <c r="WIF106" s="39"/>
      <c r="WIG106" s="39"/>
      <c r="WIH106" s="39"/>
      <c r="WII106" s="39"/>
      <c r="WIJ106" s="39"/>
      <c r="WIK106" s="39"/>
      <c r="WIL106" s="39"/>
      <c r="WIM106" s="39"/>
      <c r="WIN106" s="39"/>
      <c r="WIO106" s="39"/>
      <c r="WIP106" s="39"/>
      <c r="WIQ106" s="39"/>
      <c r="WIR106" s="39"/>
      <c r="WIS106" s="39"/>
      <c r="WIT106" s="39"/>
      <c r="WIU106" s="39"/>
      <c r="WIV106" s="39"/>
      <c r="WIW106" s="39"/>
      <c r="WIX106" s="39"/>
      <c r="WIY106" s="39"/>
      <c r="WIZ106" s="39"/>
      <c r="WJA106" s="39"/>
      <c r="WJB106" s="39"/>
      <c r="WJC106" s="39"/>
      <c r="WJD106" s="39"/>
      <c r="WJE106" s="39"/>
      <c r="WJF106" s="39"/>
      <c r="WJG106" s="39"/>
      <c r="WJH106" s="39"/>
      <c r="WJI106" s="39"/>
      <c r="WJJ106" s="39"/>
      <c r="WJK106" s="39"/>
      <c r="WJL106" s="39"/>
      <c r="WJM106" s="39"/>
      <c r="WJN106" s="39"/>
      <c r="WJO106" s="39"/>
      <c r="WJP106" s="39"/>
      <c r="WJQ106" s="39"/>
      <c r="WJR106" s="39"/>
      <c r="WJS106" s="39"/>
      <c r="WJT106" s="39"/>
      <c r="WJU106" s="39"/>
      <c r="WJV106" s="39"/>
      <c r="WJW106" s="39"/>
      <c r="WJX106" s="39"/>
      <c r="WJY106" s="39"/>
      <c r="WJZ106" s="39"/>
      <c r="WKA106" s="39"/>
      <c r="WKB106" s="39"/>
      <c r="WKC106" s="39"/>
      <c r="WKD106" s="39"/>
      <c r="WKE106" s="39"/>
      <c r="WKF106" s="39"/>
      <c r="WKG106" s="39"/>
      <c r="WKH106" s="39"/>
      <c r="WKI106" s="39"/>
      <c r="WKJ106" s="39"/>
      <c r="WKK106" s="39"/>
      <c r="WKL106" s="39"/>
      <c r="WKM106" s="39"/>
      <c r="WKN106" s="39"/>
      <c r="WKO106" s="39"/>
      <c r="WKP106" s="39"/>
      <c r="WKQ106" s="39"/>
      <c r="WKR106" s="39"/>
      <c r="WKS106" s="39"/>
      <c r="WKT106" s="39"/>
      <c r="WKU106" s="39"/>
      <c r="WKV106" s="39"/>
      <c r="WKW106" s="39"/>
      <c r="WKX106" s="39"/>
      <c r="WKY106" s="39"/>
      <c r="WKZ106" s="39"/>
      <c r="WLA106" s="39"/>
      <c r="WLB106" s="39"/>
      <c r="WLC106" s="39"/>
      <c r="WLD106" s="39"/>
      <c r="WLE106" s="39"/>
      <c r="WLF106" s="39"/>
      <c r="WLG106" s="39"/>
      <c r="WLH106" s="39"/>
      <c r="WLI106" s="39"/>
      <c r="WLJ106" s="39"/>
      <c r="WLK106" s="39"/>
      <c r="WLL106" s="39"/>
      <c r="WLM106" s="39"/>
      <c r="WLN106" s="39"/>
      <c r="WLO106" s="39"/>
      <c r="WLP106" s="39"/>
      <c r="WLQ106" s="39"/>
      <c r="WLR106" s="39"/>
      <c r="WLS106" s="39"/>
      <c r="WLT106" s="39"/>
      <c r="WLU106" s="39"/>
      <c r="WLV106" s="39"/>
      <c r="WLW106" s="39"/>
      <c r="WLX106" s="39"/>
      <c r="WLY106" s="39"/>
      <c r="WLZ106" s="39"/>
      <c r="WMA106" s="39"/>
      <c r="WMB106" s="39"/>
      <c r="WMC106" s="39"/>
      <c r="WMD106" s="39"/>
      <c r="WME106" s="39"/>
      <c r="WMF106" s="39"/>
      <c r="WMG106" s="39"/>
      <c r="WMH106" s="39"/>
      <c r="WMI106" s="39"/>
      <c r="WMJ106" s="39"/>
      <c r="WMK106" s="39"/>
      <c r="WML106" s="39"/>
      <c r="WMM106" s="39"/>
      <c r="WMN106" s="39"/>
      <c r="WMO106" s="39"/>
      <c r="WMP106" s="39"/>
      <c r="WMQ106" s="39"/>
      <c r="WMR106" s="39"/>
      <c r="WMS106" s="39"/>
      <c r="WMT106" s="39"/>
      <c r="WMU106" s="39"/>
      <c r="WMV106" s="39"/>
      <c r="WMW106" s="39"/>
      <c r="WMX106" s="39"/>
      <c r="WMY106" s="39"/>
      <c r="WMZ106" s="39"/>
      <c r="WNA106" s="39"/>
      <c r="WNB106" s="39"/>
      <c r="WNC106" s="39"/>
      <c r="WND106" s="39"/>
      <c r="WNE106" s="39"/>
      <c r="WNF106" s="39"/>
      <c r="WNG106" s="39"/>
      <c r="WNH106" s="39"/>
      <c r="WNI106" s="39"/>
      <c r="WNJ106" s="39"/>
      <c r="WNK106" s="39"/>
      <c r="WNL106" s="39"/>
      <c r="WNM106" s="39"/>
      <c r="WNN106" s="39"/>
      <c r="WNO106" s="39"/>
      <c r="WNP106" s="39"/>
      <c r="WNQ106" s="39"/>
      <c r="WNR106" s="39"/>
      <c r="WNS106" s="39"/>
      <c r="WNT106" s="39"/>
      <c r="WNU106" s="39"/>
      <c r="WNV106" s="39"/>
      <c r="WNW106" s="39"/>
      <c r="WNX106" s="39"/>
      <c r="WNY106" s="39"/>
      <c r="WNZ106" s="39"/>
      <c r="WOA106" s="39"/>
      <c r="WOB106" s="39"/>
      <c r="WOC106" s="39"/>
      <c r="WOD106" s="39"/>
      <c r="WOE106" s="39"/>
      <c r="WOF106" s="39"/>
      <c r="WOG106" s="39"/>
      <c r="WOH106" s="39"/>
      <c r="WOI106" s="39"/>
      <c r="WOJ106" s="39"/>
      <c r="WOK106" s="39"/>
      <c r="WOL106" s="39"/>
      <c r="WOM106" s="39"/>
      <c r="WON106" s="39"/>
      <c r="WOO106" s="39"/>
      <c r="WOP106" s="39"/>
      <c r="WOQ106" s="39"/>
      <c r="WOR106" s="39"/>
      <c r="WOS106" s="39"/>
      <c r="WOT106" s="39"/>
      <c r="WOU106" s="39"/>
      <c r="WOV106" s="39"/>
      <c r="WOW106" s="39"/>
      <c r="WOX106" s="39"/>
      <c r="WOY106" s="39"/>
      <c r="WOZ106" s="39"/>
      <c r="WPA106" s="39"/>
      <c r="WPB106" s="39"/>
      <c r="WPC106" s="39"/>
      <c r="WPD106" s="39"/>
      <c r="WPE106" s="39"/>
      <c r="WPF106" s="39"/>
      <c r="WPG106" s="39"/>
      <c r="WPH106" s="39"/>
      <c r="WPI106" s="39"/>
      <c r="WPJ106" s="39"/>
      <c r="WPK106" s="39"/>
      <c r="WPL106" s="39"/>
      <c r="WPM106" s="39"/>
      <c r="WPN106" s="39"/>
      <c r="WPO106" s="39"/>
      <c r="WPP106" s="39"/>
      <c r="WPQ106" s="39"/>
      <c r="WPR106" s="39"/>
      <c r="WPS106" s="39"/>
      <c r="WPT106" s="39"/>
      <c r="WPU106" s="39"/>
      <c r="WPV106" s="39"/>
      <c r="WPW106" s="39"/>
      <c r="WPX106" s="39"/>
      <c r="WPY106" s="39"/>
      <c r="WPZ106" s="39"/>
      <c r="WQA106" s="39"/>
      <c r="WQB106" s="39"/>
      <c r="WQC106" s="39"/>
      <c r="WQD106" s="39"/>
      <c r="WQE106" s="39"/>
      <c r="WQF106" s="39"/>
      <c r="WQG106" s="39"/>
      <c r="WQH106" s="39"/>
      <c r="WQI106" s="39"/>
      <c r="WQJ106" s="39"/>
      <c r="WQK106" s="39"/>
      <c r="WQL106" s="39"/>
      <c r="WQM106" s="39"/>
      <c r="WQN106" s="39"/>
      <c r="WQO106" s="39"/>
      <c r="WQP106" s="39"/>
      <c r="WQQ106" s="39"/>
      <c r="WQR106" s="39"/>
      <c r="WQS106" s="39"/>
      <c r="WQT106" s="39"/>
      <c r="WQU106" s="39"/>
      <c r="WQV106" s="39"/>
      <c r="WQW106" s="39"/>
      <c r="WQX106" s="39"/>
      <c r="WQY106" s="39"/>
      <c r="WQZ106" s="39"/>
      <c r="WRA106" s="39"/>
      <c r="WRB106" s="39"/>
      <c r="WRC106" s="39"/>
      <c r="WRD106" s="39"/>
      <c r="WRE106" s="39"/>
      <c r="WRF106" s="39"/>
      <c r="WRG106" s="39"/>
      <c r="WRH106" s="39"/>
      <c r="WRI106" s="39"/>
      <c r="WRJ106" s="39"/>
      <c r="WRK106" s="39"/>
      <c r="WRL106" s="39"/>
      <c r="WRM106" s="39"/>
      <c r="WRN106" s="39"/>
      <c r="WRO106" s="39"/>
      <c r="WRP106" s="39"/>
      <c r="WRQ106" s="39"/>
      <c r="WRR106" s="39"/>
      <c r="WRS106" s="39"/>
      <c r="WRT106" s="39"/>
      <c r="WRU106" s="39"/>
      <c r="WRV106" s="39"/>
      <c r="WRW106" s="39"/>
      <c r="WRX106" s="39"/>
      <c r="WRY106" s="39"/>
      <c r="WRZ106" s="39"/>
      <c r="WSA106" s="39"/>
      <c r="WSB106" s="39"/>
      <c r="WSC106" s="39"/>
      <c r="WSD106" s="39"/>
      <c r="WSE106" s="39"/>
      <c r="WSF106" s="39"/>
      <c r="WSG106" s="39"/>
      <c r="WSH106" s="39"/>
      <c r="WSI106" s="39"/>
      <c r="WSJ106" s="39"/>
      <c r="WSK106" s="39"/>
      <c r="WSL106" s="39"/>
      <c r="WSM106" s="39"/>
      <c r="WSN106" s="39"/>
      <c r="WSO106" s="39"/>
      <c r="WSP106" s="39"/>
      <c r="WSQ106" s="39"/>
      <c r="WSR106" s="39"/>
      <c r="WSS106" s="39"/>
      <c r="WST106" s="39"/>
      <c r="WSU106" s="39"/>
      <c r="WSV106" s="39"/>
      <c r="WSW106" s="39"/>
      <c r="WSX106" s="39"/>
      <c r="WSY106" s="39"/>
      <c r="WSZ106" s="39"/>
      <c r="WTA106" s="39"/>
      <c r="WTB106" s="39"/>
      <c r="WTC106" s="39"/>
      <c r="WTD106" s="39"/>
      <c r="WTE106" s="39"/>
      <c r="WTF106" s="39"/>
      <c r="WTG106" s="39"/>
      <c r="WTH106" s="39"/>
      <c r="WTI106" s="39"/>
      <c r="WTJ106" s="39"/>
      <c r="WTK106" s="39"/>
      <c r="WTL106" s="39"/>
      <c r="WTM106" s="39"/>
      <c r="WTN106" s="39"/>
      <c r="WTO106" s="39"/>
      <c r="WTP106" s="39"/>
      <c r="WTQ106" s="39"/>
      <c r="WTR106" s="39"/>
      <c r="WTS106" s="39"/>
      <c r="WTT106" s="39"/>
      <c r="WTU106" s="39"/>
      <c r="WTV106" s="39"/>
      <c r="WTW106" s="39"/>
      <c r="WTX106" s="39"/>
      <c r="WTY106" s="39"/>
      <c r="WTZ106" s="39"/>
      <c r="WUA106" s="39"/>
      <c r="WUB106" s="39"/>
      <c r="WUC106" s="39"/>
      <c r="WUD106" s="39"/>
      <c r="WUE106" s="39"/>
      <c r="WUF106" s="39"/>
      <c r="WUG106" s="39"/>
      <c r="WUH106" s="39"/>
      <c r="WUI106" s="39"/>
      <c r="WUJ106" s="39"/>
      <c r="WUK106" s="39"/>
      <c r="WUL106" s="39"/>
      <c r="WUM106" s="39"/>
      <c r="WUN106" s="39"/>
      <c r="WUO106" s="39"/>
      <c r="WUP106" s="39"/>
      <c r="WUQ106" s="39"/>
      <c r="WUR106" s="39"/>
      <c r="WUS106" s="39"/>
      <c r="WUT106" s="39"/>
      <c r="WUU106" s="39"/>
      <c r="WUV106" s="39"/>
      <c r="WUW106" s="39"/>
      <c r="WUX106" s="39"/>
      <c r="WUY106" s="39"/>
      <c r="WUZ106" s="39"/>
      <c r="WVA106" s="39"/>
      <c r="WVB106" s="39"/>
      <c r="WVC106" s="39"/>
      <c r="WVD106" s="39"/>
      <c r="WVE106" s="39"/>
      <c r="WVF106" s="39"/>
      <c r="WVG106" s="39"/>
      <c r="WVH106" s="39"/>
      <c r="WVI106" s="39"/>
      <c r="WVJ106" s="39"/>
      <c r="WVK106" s="39"/>
      <c r="WVL106" s="39"/>
      <c r="WVM106" s="39"/>
      <c r="WVN106" s="39"/>
      <c r="WVO106" s="39"/>
      <c r="WVP106" s="39"/>
      <c r="WVQ106" s="39"/>
      <c r="WVR106" s="39"/>
      <c r="WVS106" s="39"/>
      <c r="WVT106" s="39"/>
      <c r="WVU106" s="39"/>
      <c r="WVV106" s="39"/>
      <c r="WVW106" s="39"/>
      <c r="WVX106" s="39"/>
      <c r="WVY106" s="39"/>
      <c r="WVZ106" s="39"/>
      <c r="WWA106" s="39"/>
      <c r="WWB106" s="39"/>
      <c r="WWC106" s="39"/>
      <c r="WWD106" s="39"/>
      <c r="WWE106" s="39"/>
      <c r="WWF106" s="39"/>
      <c r="WWG106" s="39"/>
      <c r="WWH106" s="39"/>
      <c r="WWI106" s="39"/>
      <c r="WWJ106" s="39"/>
      <c r="WWK106" s="39"/>
      <c r="WWL106" s="39"/>
      <c r="WWM106" s="39"/>
      <c r="WWN106" s="39"/>
      <c r="WWO106" s="39"/>
      <c r="WWP106" s="39"/>
      <c r="WWQ106" s="39"/>
      <c r="WWR106" s="39"/>
      <c r="WWS106" s="39"/>
      <c r="WWT106" s="39"/>
      <c r="WWU106" s="39"/>
      <c r="WWV106" s="39"/>
      <c r="WWW106" s="39"/>
      <c r="WWX106" s="39"/>
      <c r="WWY106" s="39"/>
      <c r="WWZ106" s="39"/>
      <c r="WXA106" s="39"/>
      <c r="WXB106" s="39"/>
      <c r="WXC106" s="39"/>
      <c r="WXD106" s="39"/>
      <c r="WXE106" s="39"/>
      <c r="WXF106" s="39"/>
      <c r="WXG106" s="39"/>
      <c r="WXH106" s="39"/>
      <c r="WXI106" s="39"/>
      <c r="WXJ106" s="39"/>
      <c r="WXK106" s="39"/>
      <c r="WXL106" s="39"/>
      <c r="WXM106" s="39"/>
      <c r="WXN106" s="39"/>
      <c r="WXO106" s="39"/>
      <c r="WXP106" s="39"/>
      <c r="WXQ106" s="39"/>
      <c r="WXR106" s="39"/>
      <c r="WXS106" s="39"/>
      <c r="WXT106" s="39"/>
      <c r="WXU106" s="39"/>
      <c r="WXV106" s="39"/>
      <c r="WXW106" s="39"/>
      <c r="WXX106" s="39"/>
      <c r="WXY106" s="39"/>
      <c r="WXZ106" s="39"/>
      <c r="WYA106" s="39"/>
      <c r="WYB106" s="39"/>
      <c r="WYC106" s="39"/>
      <c r="WYD106" s="39"/>
      <c r="WYE106" s="39"/>
      <c r="WYF106" s="39"/>
      <c r="WYG106" s="39"/>
      <c r="WYH106" s="39"/>
      <c r="WYI106" s="39"/>
      <c r="WYJ106" s="39"/>
      <c r="WYK106" s="39"/>
      <c r="WYL106" s="39"/>
      <c r="WYM106" s="39"/>
      <c r="WYN106" s="39"/>
      <c r="WYO106" s="39"/>
      <c r="WYP106" s="39"/>
      <c r="WYQ106" s="39"/>
      <c r="WYR106" s="39"/>
      <c r="WYS106" s="39"/>
      <c r="WYT106" s="39"/>
      <c r="WYU106" s="39"/>
      <c r="WYV106" s="39"/>
      <c r="WYW106" s="39"/>
      <c r="WYX106" s="39"/>
      <c r="WYY106" s="39"/>
      <c r="WYZ106" s="39"/>
      <c r="WZA106" s="39"/>
      <c r="WZB106" s="39"/>
      <c r="WZC106" s="39"/>
      <c r="WZD106" s="39"/>
      <c r="WZE106" s="39"/>
      <c r="WZF106" s="39"/>
      <c r="WZG106" s="39"/>
      <c r="WZH106" s="39"/>
      <c r="WZI106" s="39"/>
      <c r="WZJ106" s="39"/>
      <c r="WZK106" s="39"/>
      <c r="WZL106" s="39"/>
      <c r="WZM106" s="39"/>
      <c r="WZN106" s="39"/>
      <c r="WZO106" s="39"/>
      <c r="WZP106" s="39"/>
      <c r="WZQ106" s="39"/>
      <c r="WZR106" s="39"/>
      <c r="WZS106" s="39"/>
      <c r="WZT106" s="39"/>
      <c r="WZU106" s="39"/>
      <c r="WZV106" s="39"/>
      <c r="WZW106" s="39"/>
      <c r="WZX106" s="39"/>
      <c r="WZY106" s="39"/>
      <c r="WZZ106" s="39"/>
      <c r="XAA106" s="39"/>
      <c r="XAB106" s="39"/>
      <c r="XAC106" s="39"/>
      <c r="XAD106" s="39"/>
      <c r="XAE106" s="39"/>
      <c r="XAF106" s="39"/>
      <c r="XAG106" s="39"/>
      <c r="XAH106" s="39"/>
      <c r="XAI106" s="39"/>
      <c r="XAJ106" s="39"/>
      <c r="XAK106" s="39"/>
      <c r="XAL106" s="39"/>
      <c r="XAM106" s="39"/>
      <c r="XAN106" s="39"/>
      <c r="XAO106" s="39"/>
      <c r="XAP106" s="39"/>
      <c r="XAQ106" s="39"/>
      <c r="XAR106" s="39"/>
      <c r="XAS106" s="39"/>
      <c r="XAT106" s="39"/>
      <c r="XAU106" s="39"/>
      <c r="XAV106" s="39"/>
      <c r="XAW106" s="39"/>
      <c r="XAX106" s="39"/>
      <c r="XAY106" s="39"/>
      <c r="XAZ106" s="39"/>
      <c r="XBA106" s="39"/>
      <c r="XBB106" s="39"/>
      <c r="XBC106" s="39"/>
      <c r="XBD106" s="39"/>
      <c r="XBE106" s="39"/>
      <c r="XBF106" s="39"/>
      <c r="XBG106" s="39"/>
      <c r="XBH106" s="39"/>
      <c r="XBI106" s="39"/>
      <c r="XBJ106" s="39"/>
      <c r="XBK106" s="39"/>
      <c r="XBL106" s="39"/>
      <c r="XBM106" s="39"/>
      <c r="XBN106" s="39"/>
      <c r="XBO106" s="39"/>
      <c r="XBP106" s="39"/>
      <c r="XBQ106" s="39"/>
      <c r="XBR106" s="39"/>
      <c r="XBS106" s="39"/>
      <c r="XBT106" s="39"/>
      <c r="XBU106" s="39"/>
      <c r="XBV106" s="39"/>
      <c r="XBW106" s="39"/>
      <c r="XBX106" s="39"/>
      <c r="XBY106" s="39"/>
      <c r="XBZ106" s="39"/>
      <c r="XCA106" s="39"/>
      <c r="XCB106" s="39"/>
      <c r="XCC106" s="39"/>
      <c r="XCD106" s="39"/>
      <c r="XCE106" s="39"/>
      <c r="XCF106" s="39"/>
      <c r="XCG106" s="39"/>
      <c r="XCH106" s="39"/>
      <c r="XCI106" s="39"/>
      <c r="XCJ106" s="39"/>
      <c r="XCK106" s="39"/>
      <c r="XCL106" s="39"/>
      <c r="XCM106" s="39"/>
      <c r="XCN106" s="39"/>
      <c r="XCO106" s="39"/>
      <c r="XCP106" s="39"/>
      <c r="XCQ106" s="39"/>
      <c r="XCR106" s="39"/>
      <c r="XCS106" s="39"/>
      <c r="XCT106" s="39"/>
      <c r="XCU106" s="39"/>
      <c r="XCV106" s="39"/>
      <c r="XCW106" s="39"/>
      <c r="XCX106" s="39"/>
      <c r="XCY106" s="39"/>
      <c r="XCZ106" s="39"/>
      <c r="XDA106" s="39"/>
      <c r="XDB106" s="39"/>
      <c r="XDC106" s="39"/>
      <c r="XDD106" s="39"/>
      <c r="XDE106" s="39"/>
      <c r="XDF106" s="39"/>
      <c r="XDG106" s="39"/>
      <c r="XDH106" s="39"/>
      <c r="XDI106" s="39"/>
      <c r="XDJ106" s="39"/>
      <c r="XDK106" s="39"/>
      <c r="XDL106" s="39"/>
      <c r="XDM106" s="39"/>
      <c r="XDN106" s="39"/>
      <c r="XDO106" s="39"/>
      <c r="XDP106" s="39"/>
      <c r="XDQ106" s="39"/>
      <c r="XDR106" s="39"/>
      <c r="XDS106" s="39"/>
      <c r="XDT106" s="39"/>
      <c r="XDU106" s="39"/>
      <c r="XDV106" s="39"/>
      <c r="XDW106" s="39"/>
      <c r="XDX106" s="39"/>
      <c r="XDY106" s="39"/>
      <c r="XDZ106" s="39"/>
      <c r="XEA106" s="39"/>
      <c r="XEB106" s="39"/>
      <c r="XEC106" s="39"/>
      <c r="XED106" s="39"/>
      <c r="XEE106" s="39"/>
      <c r="XEF106" s="39"/>
      <c r="XEG106" s="39"/>
      <c r="XEH106" s="39"/>
      <c r="XEI106" s="39"/>
      <c r="XEJ106" s="39"/>
      <c r="XEK106" s="39"/>
      <c r="XEL106" s="39"/>
      <c r="XEM106" s="39"/>
      <c r="XEN106" s="39"/>
      <c r="XEO106" s="39"/>
      <c r="XEP106" s="39"/>
      <c r="XEQ106" s="39"/>
      <c r="XER106" s="39"/>
      <c r="XES106" s="39"/>
      <c r="XET106" s="39"/>
      <c r="XEU106" s="39"/>
      <c r="XEV106" s="39"/>
      <c r="XEW106" s="39"/>
      <c r="XEX106" s="39"/>
      <c r="XEY106" s="39"/>
      <c r="XEZ106" s="39"/>
      <c r="XFA106" s="39"/>
      <c r="XFB106" s="39"/>
      <c r="XFC106" s="39"/>
    </row>
    <row r="107" spans="1:16383" ht="15" customHeight="1">
      <c r="A107" s="233" t="s">
        <v>845</v>
      </c>
      <c r="B107" s="25"/>
      <c r="C107" s="26">
        <v>42744</v>
      </c>
      <c r="D107" s="38" t="s">
        <v>29</v>
      </c>
      <c r="E107" s="38" t="s">
        <v>29</v>
      </c>
      <c r="F107" s="38" t="s">
        <v>30</v>
      </c>
      <c r="G107" s="38">
        <v>9</v>
      </c>
      <c r="H107" s="39" t="s">
        <v>846</v>
      </c>
      <c r="I107" s="39" t="s">
        <v>847</v>
      </c>
      <c r="J107" s="39" t="s">
        <v>848</v>
      </c>
      <c r="K107" s="393" t="s">
        <v>849</v>
      </c>
      <c r="L107" s="39" t="s">
        <v>850</v>
      </c>
      <c r="M107" s="45" t="s">
        <v>851</v>
      </c>
      <c r="N107" s="158" t="s">
        <v>13</v>
      </c>
      <c r="O107" s="95">
        <v>42599.4375</v>
      </c>
      <c r="P107" s="41" t="s">
        <v>169</v>
      </c>
      <c r="Q107" s="41" t="s">
        <v>169</v>
      </c>
      <c r="R107" s="42" t="s">
        <v>39</v>
      </c>
      <c r="T107" s="44" t="s">
        <v>170</v>
      </c>
      <c r="U107" s="52">
        <v>42651</v>
      </c>
      <c r="W107" s="54" t="s">
        <v>852</v>
      </c>
      <c r="X107" s="239" t="s">
        <v>397</v>
      </c>
      <c r="Y107" s="38">
        <v>436</v>
      </c>
      <c r="Z107" s="25" t="s">
        <v>44</v>
      </c>
      <c r="AA107" s="25">
        <f t="shared" si="1"/>
        <v>0</v>
      </c>
    </row>
    <row r="108" spans="1:16383" ht="15" customHeight="1">
      <c r="A108" s="24" t="s">
        <v>853</v>
      </c>
      <c r="B108" s="25"/>
      <c r="C108" s="26">
        <v>42668</v>
      </c>
      <c r="D108" s="38" t="s">
        <v>29</v>
      </c>
      <c r="E108" s="38" t="s">
        <v>29</v>
      </c>
      <c r="F108" s="38" t="s">
        <v>47</v>
      </c>
      <c r="G108" s="38">
        <v>2</v>
      </c>
      <c r="H108" s="39" t="s">
        <v>480</v>
      </c>
      <c r="I108" s="39" t="s">
        <v>854</v>
      </c>
      <c r="J108" s="39" t="s">
        <v>855</v>
      </c>
      <c r="K108" s="39" t="s">
        <v>856</v>
      </c>
      <c r="L108" s="39" t="s">
        <v>422</v>
      </c>
      <c r="M108" s="45" t="s">
        <v>857</v>
      </c>
      <c r="N108" s="40" t="s">
        <v>13</v>
      </c>
      <c r="O108" s="94">
        <v>42571.333333333336</v>
      </c>
      <c r="P108" s="41" t="s">
        <v>547</v>
      </c>
      <c r="Q108" s="41" t="s">
        <v>54</v>
      </c>
      <c r="R108" s="42" t="s">
        <v>39</v>
      </c>
      <c r="T108" s="44" t="s">
        <v>65</v>
      </c>
      <c r="U108" s="52">
        <v>42614</v>
      </c>
      <c r="V108" s="48" t="s">
        <v>858</v>
      </c>
      <c r="W108" s="54" t="s">
        <v>859</v>
      </c>
      <c r="X108" s="212" t="s">
        <v>80</v>
      </c>
      <c r="Y108" s="38">
        <v>130</v>
      </c>
      <c r="Z108" s="231" t="s">
        <v>44</v>
      </c>
      <c r="AA108" s="25">
        <f t="shared" si="1"/>
        <v>0</v>
      </c>
    </row>
    <row r="109" spans="1:16383" ht="15" customHeight="1">
      <c r="A109" s="39" t="s">
        <v>860</v>
      </c>
      <c r="B109" s="25"/>
      <c r="C109" s="26">
        <v>42740</v>
      </c>
      <c r="D109" s="38" t="s">
        <v>29</v>
      </c>
      <c r="E109" s="38" t="s">
        <v>29</v>
      </c>
      <c r="F109" s="159" t="s">
        <v>47</v>
      </c>
      <c r="G109" s="159">
        <v>4</v>
      </c>
      <c r="H109" s="39" t="s">
        <v>861</v>
      </c>
      <c r="I109" s="39" t="s">
        <v>862</v>
      </c>
      <c r="J109" s="39" t="s">
        <v>863</v>
      </c>
      <c r="K109" s="39" t="s">
        <v>864</v>
      </c>
      <c r="L109" s="39" t="s">
        <v>167</v>
      </c>
      <c r="M109" s="45" t="s">
        <v>865</v>
      </c>
      <c r="N109" s="40" t="s">
        <v>13</v>
      </c>
      <c r="O109" s="94">
        <v>42570.395833333336</v>
      </c>
      <c r="P109" s="152" t="s">
        <v>669</v>
      </c>
      <c r="Q109" s="152" t="s">
        <v>102</v>
      </c>
      <c r="R109" s="42" t="s">
        <v>39</v>
      </c>
      <c r="S109" s="43">
        <v>42461</v>
      </c>
      <c r="T109" s="44" t="s">
        <v>219</v>
      </c>
      <c r="U109" s="52">
        <v>42537</v>
      </c>
      <c r="W109" s="54" t="s">
        <v>866</v>
      </c>
      <c r="X109" s="50" t="s">
        <v>867</v>
      </c>
      <c r="Y109" s="38">
        <v>109</v>
      </c>
      <c r="Z109" s="232" t="s">
        <v>44</v>
      </c>
      <c r="AA109" s="25">
        <f t="shared" si="1"/>
        <v>0</v>
      </c>
      <c r="AB109" s="39"/>
    </row>
    <row r="110" spans="1:16383" ht="15" customHeight="1">
      <c r="A110" s="24" t="s">
        <v>868</v>
      </c>
      <c r="B110" s="25" t="s">
        <v>196</v>
      </c>
      <c r="C110" s="26">
        <v>42755</v>
      </c>
      <c r="D110" s="38" t="s">
        <v>94</v>
      </c>
      <c r="E110" s="38" t="s">
        <v>29</v>
      </c>
      <c r="F110" s="38" t="s">
        <v>69</v>
      </c>
      <c r="G110" s="38">
        <v>2</v>
      </c>
      <c r="H110" s="39" t="s">
        <v>197</v>
      </c>
      <c r="I110" s="39" t="s">
        <v>198</v>
      </c>
      <c r="J110" s="25" t="s">
        <v>199</v>
      </c>
      <c r="K110" s="25" t="s">
        <v>200</v>
      </c>
      <c r="L110" s="39" t="s">
        <v>201</v>
      </c>
      <c r="M110" s="45" t="s">
        <v>869</v>
      </c>
      <c r="N110" s="40" t="s">
        <v>13</v>
      </c>
      <c r="O110" s="94">
        <v>42669.458333333336</v>
      </c>
      <c r="P110" s="41" t="s">
        <v>202</v>
      </c>
      <c r="Q110" s="41" t="s">
        <v>202</v>
      </c>
      <c r="R110" s="42" t="s">
        <v>77</v>
      </c>
      <c r="T110" s="44" t="s">
        <v>65</v>
      </c>
      <c r="U110" s="52">
        <v>42707</v>
      </c>
      <c r="W110" s="216" t="s">
        <v>203</v>
      </c>
      <c r="X110" s="50" t="s">
        <v>204</v>
      </c>
      <c r="Y110" s="38">
        <v>135</v>
      </c>
      <c r="Z110" s="25" t="s">
        <v>44</v>
      </c>
      <c r="AA110" s="25">
        <f t="shared" si="1"/>
        <v>0</v>
      </c>
    </row>
    <row r="111" spans="1:16383" ht="15" customHeight="1">
      <c r="A111" s="233" t="s">
        <v>870</v>
      </c>
      <c r="B111" s="25"/>
      <c r="C111" s="26">
        <v>42720</v>
      </c>
      <c r="D111" s="38" t="s">
        <v>29</v>
      </c>
      <c r="E111" s="38" t="s">
        <v>29</v>
      </c>
      <c r="F111" s="38" t="s">
        <v>30</v>
      </c>
      <c r="G111" s="38">
        <v>5</v>
      </c>
      <c r="H111" s="39" t="s">
        <v>871</v>
      </c>
      <c r="I111" s="39" t="s">
        <v>872</v>
      </c>
      <c r="J111" s="39" t="s">
        <v>873</v>
      </c>
      <c r="K111" s="39" t="s">
        <v>874</v>
      </c>
      <c r="L111" s="39" t="s">
        <v>676</v>
      </c>
      <c r="M111" s="395" t="s">
        <v>875</v>
      </c>
      <c r="N111" s="158" t="s">
        <v>13</v>
      </c>
      <c r="O111" s="95">
        <v>42599.541666666664</v>
      </c>
      <c r="P111" s="41" t="s">
        <v>169</v>
      </c>
      <c r="Q111" s="41" t="s">
        <v>169</v>
      </c>
      <c r="R111" s="42" t="s">
        <v>77</v>
      </c>
      <c r="T111" s="44" t="s">
        <v>219</v>
      </c>
      <c r="U111" s="52">
        <v>42675</v>
      </c>
      <c r="W111" s="54" t="s">
        <v>876</v>
      </c>
      <c r="X111" s="50" t="s">
        <v>57</v>
      </c>
      <c r="Y111" s="234">
        <v>542</v>
      </c>
      <c r="Z111" s="25" t="s">
        <v>44</v>
      </c>
      <c r="AA111" s="25">
        <f t="shared" si="1"/>
        <v>0</v>
      </c>
    </row>
    <row r="112" spans="1:16383" ht="15" customHeight="1">
      <c r="A112" s="24" t="s">
        <v>877</v>
      </c>
      <c r="B112" s="25"/>
      <c r="C112" s="26">
        <v>42748</v>
      </c>
      <c r="D112" s="38" t="s">
        <v>29</v>
      </c>
      <c r="E112" s="38" t="s">
        <v>29</v>
      </c>
      <c r="F112" s="38" t="s">
        <v>30</v>
      </c>
      <c r="G112" s="38">
        <v>4</v>
      </c>
      <c r="H112" s="39" t="s">
        <v>878</v>
      </c>
      <c r="I112" s="39" t="s">
        <v>879</v>
      </c>
      <c r="J112" s="39" t="s">
        <v>880</v>
      </c>
      <c r="K112" s="39" t="s">
        <v>881</v>
      </c>
      <c r="L112" s="39" t="s">
        <v>882</v>
      </c>
      <c r="M112" s="45" t="s">
        <v>883</v>
      </c>
      <c r="N112" s="40" t="s">
        <v>13</v>
      </c>
      <c r="O112" s="94">
        <v>42606.416666666664</v>
      </c>
      <c r="P112" s="41" t="s">
        <v>37</v>
      </c>
      <c r="Q112" s="41" t="s">
        <v>38</v>
      </c>
      <c r="R112" s="42" t="s">
        <v>39</v>
      </c>
      <c r="T112" s="44" t="s">
        <v>219</v>
      </c>
      <c r="U112" s="52">
        <v>42663</v>
      </c>
      <c r="W112" s="54" t="s">
        <v>884</v>
      </c>
      <c r="X112" s="50" t="s">
        <v>57</v>
      </c>
      <c r="Y112" s="38">
        <v>394</v>
      </c>
      <c r="Z112" s="25" t="s">
        <v>44</v>
      </c>
      <c r="AA112" s="25">
        <f t="shared" si="1"/>
        <v>0</v>
      </c>
    </row>
    <row r="113" spans="1:38" ht="15" customHeight="1">
      <c r="A113" s="233" t="s">
        <v>885</v>
      </c>
      <c r="B113" s="25" t="s">
        <v>462</v>
      </c>
      <c r="C113" s="26">
        <v>42753</v>
      </c>
      <c r="D113" s="38" t="s">
        <v>29</v>
      </c>
      <c r="E113" s="38" t="s">
        <v>29</v>
      </c>
      <c r="F113" s="38" t="s">
        <v>30</v>
      </c>
      <c r="G113" s="38">
        <v>2</v>
      </c>
      <c r="H113" s="39" t="s">
        <v>463</v>
      </c>
      <c r="I113" s="39" t="s">
        <v>464</v>
      </c>
      <c r="J113" s="39" t="s">
        <v>465</v>
      </c>
      <c r="K113" s="39" t="s">
        <v>466</v>
      </c>
      <c r="L113" s="39" t="s">
        <v>63</v>
      </c>
      <c r="M113" s="45" t="s">
        <v>886</v>
      </c>
      <c r="N113" s="158" t="s">
        <v>468</v>
      </c>
      <c r="O113" s="95">
        <v>42607.354166666664</v>
      </c>
      <c r="P113" s="41" t="s">
        <v>131</v>
      </c>
      <c r="Q113" s="41" t="s">
        <v>131</v>
      </c>
      <c r="R113" s="42" t="s">
        <v>77</v>
      </c>
      <c r="T113" s="44" t="s">
        <v>65</v>
      </c>
      <c r="U113" s="52">
        <v>42707</v>
      </c>
      <c r="W113" s="54" t="s">
        <v>469</v>
      </c>
      <c r="X113" s="50" t="s">
        <v>57</v>
      </c>
      <c r="Y113" s="234">
        <v>163</v>
      </c>
      <c r="Z113" s="25" t="s">
        <v>44</v>
      </c>
      <c r="AA113" s="25">
        <f t="shared" si="1"/>
        <v>0</v>
      </c>
    </row>
    <row r="114" spans="1:38" ht="15" customHeight="1">
      <c r="A114" s="24" t="s">
        <v>887</v>
      </c>
      <c r="B114" s="25"/>
      <c r="C114" s="26">
        <v>42657</v>
      </c>
      <c r="D114" s="38" t="s">
        <v>29</v>
      </c>
      <c r="E114" s="38" t="s">
        <v>29</v>
      </c>
      <c r="F114" s="38" t="s">
        <v>69</v>
      </c>
      <c r="G114" s="38">
        <v>1</v>
      </c>
      <c r="H114" s="39" t="s">
        <v>888</v>
      </c>
      <c r="I114" s="39" t="s">
        <v>889</v>
      </c>
      <c r="J114" s="39" t="s">
        <v>890</v>
      </c>
      <c r="K114" s="39" t="s">
        <v>891</v>
      </c>
      <c r="L114" s="39" t="s">
        <v>129</v>
      </c>
      <c r="M114" s="45" t="s">
        <v>892</v>
      </c>
      <c r="N114" s="40" t="s">
        <v>13</v>
      </c>
      <c r="O114" s="94">
        <v>42634.416666666664</v>
      </c>
      <c r="P114" s="41" t="s">
        <v>185</v>
      </c>
      <c r="Q114" s="41" t="s">
        <v>185</v>
      </c>
      <c r="R114" s="42" t="s">
        <v>39</v>
      </c>
      <c r="S114" s="43">
        <v>42461</v>
      </c>
      <c r="T114" s="179" t="s">
        <v>78</v>
      </c>
      <c r="U114" s="224">
        <v>42657</v>
      </c>
      <c r="V114" s="210" t="s">
        <v>406</v>
      </c>
      <c r="W114" s="54" t="s">
        <v>893</v>
      </c>
      <c r="X114" s="50" t="s">
        <v>80</v>
      </c>
      <c r="Y114" s="180">
        <v>14</v>
      </c>
      <c r="Z114" s="173" t="s">
        <v>44</v>
      </c>
      <c r="AA114" s="25">
        <f t="shared" si="1"/>
        <v>0</v>
      </c>
    </row>
    <row r="115" spans="1:38" ht="15" customHeight="1">
      <c r="A115" s="233" t="s">
        <v>894</v>
      </c>
      <c r="B115" s="25"/>
      <c r="C115" s="26">
        <v>42772</v>
      </c>
      <c r="D115" s="38" t="s">
        <v>29</v>
      </c>
      <c r="E115" s="38" t="s">
        <v>94</v>
      </c>
      <c r="F115" s="38" t="s">
        <v>95</v>
      </c>
      <c r="G115" s="38">
        <v>10</v>
      </c>
      <c r="H115" s="39" t="s">
        <v>266</v>
      </c>
      <c r="I115" s="39" t="s">
        <v>895</v>
      </c>
      <c r="J115" s="39" t="s">
        <v>896</v>
      </c>
      <c r="K115" s="39" t="s">
        <v>897</v>
      </c>
      <c r="L115" s="39" t="s">
        <v>898</v>
      </c>
      <c r="M115" s="45" t="s">
        <v>899</v>
      </c>
      <c r="N115" s="40" t="s">
        <v>13</v>
      </c>
      <c r="O115" s="94">
        <v>42599.375</v>
      </c>
      <c r="P115" s="41" t="s">
        <v>102</v>
      </c>
      <c r="Q115" s="41" t="s">
        <v>102</v>
      </c>
      <c r="R115" s="42" t="s">
        <v>39</v>
      </c>
      <c r="S115" s="43">
        <v>42430</v>
      </c>
      <c r="T115" s="44" t="s">
        <v>170</v>
      </c>
      <c r="U115" s="52">
        <v>42655</v>
      </c>
      <c r="W115" s="54" t="s">
        <v>900</v>
      </c>
      <c r="X115" s="50" t="s">
        <v>104</v>
      </c>
      <c r="Y115" s="234">
        <v>870</v>
      </c>
      <c r="Z115" s="25" t="s">
        <v>44</v>
      </c>
      <c r="AA115" s="25">
        <f t="shared" si="1"/>
        <v>0</v>
      </c>
    </row>
    <row r="116" spans="1:38" ht="15" customHeight="1">
      <c r="A116" s="24" t="s">
        <v>901</v>
      </c>
      <c r="B116" s="25" t="s">
        <v>82</v>
      </c>
      <c r="D116" s="38" t="s">
        <v>29</v>
      </c>
      <c r="E116" s="38" t="s">
        <v>29</v>
      </c>
      <c r="F116" s="38" t="s">
        <v>69</v>
      </c>
      <c r="G116" s="38">
        <v>1</v>
      </c>
      <c r="H116" s="39" t="s">
        <v>83</v>
      </c>
      <c r="I116" s="39" t="s">
        <v>84</v>
      </c>
      <c r="J116" s="39" t="s">
        <v>85</v>
      </c>
      <c r="K116" s="39" t="s">
        <v>86</v>
      </c>
      <c r="L116" s="39" t="s">
        <v>676</v>
      </c>
      <c r="M116" s="45" t="s">
        <v>902</v>
      </c>
      <c r="N116" s="302" t="s">
        <v>903</v>
      </c>
      <c r="O116" s="94">
        <v>42572.416666666664</v>
      </c>
      <c r="P116" s="152" t="s">
        <v>89</v>
      </c>
      <c r="Q116" s="152" t="s">
        <v>41</v>
      </c>
      <c r="R116" s="42" t="s">
        <v>77</v>
      </c>
      <c r="T116" s="44" t="s">
        <v>78</v>
      </c>
      <c r="U116" s="52">
        <v>42622</v>
      </c>
      <c r="V116" s="48" t="s">
        <v>904</v>
      </c>
      <c r="W116" s="54" t="s">
        <v>92</v>
      </c>
      <c r="X116" s="212" t="s">
        <v>80</v>
      </c>
      <c r="Y116" s="156">
        <v>44</v>
      </c>
      <c r="Z116" s="25" t="s">
        <v>44</v>
      </c>
      <c r="AA116" s="25">
        <f t="shared" si="1"/>
        <v>0</v>
      </c>
    </row>
    <row r="117" spans="1:38" ht="15" customHeight="1">
      <c r="A117" s="24" t="s">
        <v>905</v>
      </c>
      <c r="B117" s="25"/>
      <c r="C117" s="26">
        <v>42776</v>
      </c>
      <c r="D117" s="38" t="s">
        <v>29</v>
      </c>
      <c r="E117" s="38" t="s">
        <v>29</v>
      </c>
      <c r="F117" s="38" t="s">
        <v>30</v>
      </c>
      <c r="G117" s="38">
        <v>5</v>
      </c>
      <c r="H117" s="39" t="s">
        <v>906</v>
      </c>
      <c r="I117" s="39" t="s">
        <v>907</v>
      </c>
      <c r="J117" s="39" t="s">
        <v>908</v>
      </c>
      <c r="K117" s="39" t="s">
        <v>909</v>
      </c>
      <c r="L117" s="39" t="s">
        <v>100</v>
      </c>
      <c r="M117" s="45" t="s">
        <v>910</v>
      </c>
      <c r="N117" s="158" t="s">
        <v>13</v>
      </c>
      <c r="O117" s="95">
        <v>42691.458333333336</v>
      </c>
      <c r="P117" s="41" t="s">
        <v>169</v>
      </c>
      <c r="Q117" s="41" t="s">
        <v>169</v>
      </c>
      <c r="R117" s="42" t="s">
        <v>77</v>
      </c>
      <c r="T117" s="44" t="s">
        <v>40</v>
      </c>
      <c r="U117" s="228">
        <v>42719</v>
      </c>
      <c r="W117" s="54" t="s">
        <v>911</v>
      </c>
      <c r="X117" s="50" t="s">
        <v>57</v>
      </c>
      <c r="Y117" s="38">
        <v>544</v>
      </c>
      <c r="Z117" s="25" t="s">
        <v>44</v>
      </c>
      <c r="AA117" s="25">
        <f t="shared" si="1"/>
        <v>0</v>
      </c>
    </row>
    <row r="118" spans="1:38" ht="15" customHeight="1">
      <c r="A118" s="24" t="s">
        <v>912</v>
      </c>
      <c r="B118" s="25" t="s">
        <v>913</v>
      </c>
      <c r="C118" s="26">
        <v>42725</v>
      </c>
      <c r="D118" s="38" t="s">
        <v>29</v>
      </c>
      <c r="E118" s="38" t="s">
        <v>29</v>
      </c>
      <c r="F118" s="38" t="s">
        <v>47</v>
      </c>
      <c r="G118" s="38">
        <v>3</v>
      </c>
      <c r="H118" s="39" t="s">
        <v>914</v>
      </c>
      <c r="I118" s="39" t="s">
        <v>915</v>
      </c>
      <c r="J118" s="39" t="s">
        <v>916</v>
      </c>
      <c r="K118" s="39" t="s">
        <v>917</v>
      </c>
      <c r="L118" s="39" t="s">
        <v>100</v>
      </c>
      <c r="M118" s="45" t="s">
        <v>918</v>
      </c>
      <c r="N118" s="158" t="s">
        <v>13</v>
      </c>
      <c r="O118" s="94">
        <v>42684.5</v>
      </c>
      <c r="P118" s="41" t="s">
        <v>520</v>
      </c>
      <c r="Q118" s="41" t="s">
        <v>520</v>
      </c>
      <c r="R118" s="42" t="s">
        <v>77</v>
      </c>
      <c r="T118" s="44" t="s">
        <v>65</v>
      </c>
      <c r="U118" s="52">
        <v>42707</v>
      </c>
      <c r="W118" s="54" t="s">
        <v>919</v>
      </c>
      <c r="X118" s="50" t="s">
        <v>149</v>
      </c>
      <c r="Y118" s="38">
        <v>104</v>
      </c>
      <c r="Z118" s="25" t="s">
        <v>44</v>
      </c>
      <c r="AA118" s="25">
        <f t="shared" si="1"/>
        <v>0</v>
      </c>
    </row>
    <row r="119" spans="1:38" ht="15" customHeight="1">
      <c r="A119" s="24" t="s">
        <v>920</v>
      </c>
      <c r="B119" s="25"/>
      <c r="C119" s="26">
        <v>42794</v>
      </c>
      <c r="D119" s="38" t="s">
        <v>29</v>
      </c>
      <c r="E119" s="38" t="s">
        <v>29</v>
      </c>
      <c r="F119" s="38" t="s">
        <v>30</v>
      </c>
      <c r="G119" s="38">
        <v>2</v>
      </c>
      <c r="H119" s="39" t="s">
        <v>921</v>
      </c>
      <c r="I119" s="39" t="s">
        <v>922</v>
      </c>
      <c r="J119" s="39" t="s">
        <v>923</v>
      </c>
      <c r="K119" s="39" t="s">
        <v>924</v>
      </c>
      <c r="L119" s="39" t="s">
        <v>925</v>
      </c>
      <c r="M119" s="45" t="s">
        <v>926</v>
      </c>
      <c r="N119" s="176" t="s">
        <v>927</v>
      </c>
      <c r="O119" s="95">
        <v>42655.5</v>
      </c>
      <c r="P119" s="41" t="s">
        <v>169</v>
      </c>
      <c r="Q119" s="41" t="s">
        <v>169</v>
      </c>
      <c r="R119" s="42" t="s">
        <v>77</v>
      </c>
      <c r="T119" s="44" t="s">
        <v>65</v>
      </c>
      <c r="U119" s="52">
        <v>42689</v>
      </c>
      <c r="W119" s="54" t="s">
        <v>928</v>
      </c>
      <c r="X119" s="50" t="s">
        <v>172</v>
      </c>
      <c r="Y119" s="38">
        <v>36</v>
      </c>
      <c r="Z119" s="25" t="s">
        <v>44</v>
      </c>
      <c r="AA119" s="25">
        <f t="shared" si="1"/>
        <v>0</v>
      </c>
    </row>
    <row r="120" spans="1:38" ht="15" customHeight="1">
      <c r="A120" s="391" t="s">
        <v>929</v>
      </c>
      <c r="B120" s="25"/>
      <c r="C120" s="26">
        <v>42790</v>
      </c>
      <c r="D120" s="38" t="s">
        <v>29</v>
      </c>
      <c r="E120" s="38" t="s">
        <v>94</v>
      </c>
      <c r="F120" s="38" t="s">
        <v>95</v>
      </c>
      <c r="G120" s="38">
        <v>19</v>
      </c>
      <c r="H120" s="39" t="s">
        <v>665</v>
      </c>
      <c r="I120" s="39" t="s">
        <v>930</v>
      </c>
      <c r="J120" s="39" t="s">
        <v>931</v>
      </c>
      <c r="K120" s="39" t="s">
        <v>932</v>
      </c>
      <c r="L120" s="39" t="s">
        <v>933</v>
      </c>
      <c r="M120" s="45" t="s">
        <v>934</v>
      </c>
      <c r="N120" s="158" t="s">
        <v>13</v>
      </c>
      <c r="O120" s="95">
        <v>42576.416666666664</v>
      </c>
      <c r="P120" s="237" t="s">
        <v>122</v>
      </c>
      <c r="Q120" s="41" t="s">
        <v>122</v>
      </c>
      <c r="R120" s="42" t="s">
        <v>77</v>
      </c>
      <c r="T120" s="44" t="s">
        <v>935</v>
      </c>
      <c r="U120" s="52">
        <v>42633</v>
      </c>
      <c r="V120" s="48" t="s">
        <v>936</v>
      </c>
      <c r="W120" s="54" t="s">
        <v>937</v>
      </c>
      <c r="X120" s="50" t="s">
        <v>172</v>
      </c>
      <c r="Y120" s="38">
        <v>1161</v>
      </c>
      <c r="Z120" s="231" t="s">
        <v>44</v>
      </c>
      <c r="AA120" s="25">
        <f t="shared" si="1"/>
        <v>1</v>
      </c>
      <c r="AB120" s="26"/>
    </row>
    <row r="121" spans="1:38" ht="15" customHeight="1">
      <c r="A121" s="24" t="s">
        <v>938</v>
      </c>
      <c r="B121" s="25"/>
      <c r="C121" s="26">
        <v>42651</v>
      </c>
      <c r="D121" s="38" t="s">
        <v>29</v>
      </c>
      <c r="E121" s="38" t="s">
        <v>29</v>
      </c>
      <c r="F121" s="38" t="s">
        <v>30</v>
      </c>
      <c r="G121" s="38">
        <v>5</v>
      </c>
      <c r="H121" s="39" t="s">
        <v>939</v>
      </c>
      <c r="I121" s="39" t="s">
        <v>940</v>
      </c>
      <c r="J121" s="39" t="s">
        <v>941</v>
      </c>
      <c r="K121" s="39" t="s">
        <v>942</v>
      </c>
      <c r="L121" s="39" t="s">
        <v>505</v>
      </c>
      <c r="M121" s="45" t="s">
        <v>943</v>
      </c>
      <c r="N121" s="158" t="s">
        <v>13</v>
      </c>
      <c r="O121" s="95">
        <v>42599.416666666664</v>
      </c>
      <c r="P121" s="41" t="s">
        <v>37</v>
      </c>
      <c r="Q121" s="41" t="s">
        <v>37</v>
      </c>
      <c r="R121" s="42" t="s">
        <v>77</v>
      </c>
      <c r="S121" s="43">
        <v>42401</v>
      </c>
      <c r="T121" s="44" t="s">
        <v>40</v>
      </c>
      <c r="U121" s="52">
        <v>42635</v>
      </c>
      <c r="W121" s="54" t="s">
        <v>944</v>
      </c>
      <c r="X121" s="50" t="s">
        <v>43</v>
      </c>
      <c r="Y121" s="38">
        <v>66</v>
      </c>
      <c r="Z121" s="25" t="s">
        <v>44</v>
      </c>
      <c r="AA121" s="25">
        <f t="shared" si="1"/>
        <v>0</v>
      </c>
    </row>
    <row r="122" spans="1:38" ht="15" customHeight="1">
      <c r="A122" s="233" t="s">
        <v>945</v>
      </c>
      <c r="B122" s="25"/>
      <c r="C122" s="26">
        <v>42788</v>
      </c>
      <c r="D122" s="38" t="s">
        <v>29</v>
      </c>
      <c r="E122" s="38" t="s">
        <v>29</v>
      </c>
      <c r="F122" s="38" t="s">
        <v>95</v>
      </c>
      <c r="G122" s="38">
        <v>12</v>
      </c>
      <c r="H122" s="39" t="s">
        <v>861</v>
      </c>
      <c r="I122" s="39" t="s">
        <v>946</v>
      </c>
      <c r="J122" s="39" t="s">
        <v>947</v>
      </c>
      <c r="K122" s="39" t="s">
        <v>948</v>
      </c>
      <c r="L122" s="39" t="s">
        <v>949</v>
      </c>
      <c r="M122" s="45" t="s">
        <v>950</v>
      </c>
      <c r="N122" s="158" t="s">
        <v>13</v>
      </c>
      <c r="O122" s="95">
        <v>42583.375</v>
      </c>
      <c r="P122" s="41" t="s">
        <v>122</v>
      </c>
      <c r="Q122" s="41" t="s">
        <v>102</v>
      </c>
      <c r="R122" s="42" t="s">
        <v>77</v>
      </c>
      <c r="T122" s="44" t="s">
        <v>951</v>
      </c>
      <c r="U122" s="52">
        <v>42742</v>
      </c>
      <c r="V122" s="48" t="s">
        <v>406</v>
      </c>
      <c r="W122" s="54" t="s">
        <v>952</v>
      </c>
      <c r="X122" s="50" t="s">
        <v>57</v>
      </c>
      <c r="Y122" s="234">
        <v>1414</v>
      </c>
      <c r="Z122" s="231" t="s">
        <v>44</v>
      </c>
      <c r="AA122" s="25">
        <f t="shared" si="1"/>
        <v>0</v>
      </c>
    </row>
    <row r="123" spans="1:38" ht="15" customHeight="1">
      <c r="A123" s="235" t="s">
        <v>953</v>
      </c>
      <c r="B123" s="25"/>
      <c r="C123" s="26">
        <v>42709</v>
      </c>
      <c r="D123" s="38" t="s">
        <v>29</v>
      </c>
      <c r="E123" s="38" t="s">
        <v>29</v>
      </c>
      <c r="F123" s="38" t="s">
        <v>95</v>
      </c>
      <c r="G123" s="38">
        <v>1</v>
      </c>
      <c r="H123" s="161" t="s">
        <v>954</v>
      </c>
      <c r="I123" s="161" t="s">
        <v>955</v>
      </c>
      <c r="J123" s="161" t="s">
        <v>956</v>
      </c>
      <c r="K123" s="161" t="s">
        <v>957</v>
      </c>
      <c r="L123" s="161" t="s">
        <v>882</v>
      </c>
      <c r="M123" s="45" t="s">
        <v>950</v>
      </c>
      <c r="N123" s="158" t="s">
        <v>13</v>
      </c>
      <c r="O123" s="95">
        <v>42691.458333333336</v>
      </c>
      <c r="P123" s="41" t="s">
        <v>122</v>
      </c>
      <c r="Q123" s="41" t="s">
        <v>122</v>
      </c>
      <c r="T123" s="44" t="s">
        <v>78</v>
      </c>
      <c r="U123" s="52">
        <v>42712</v>
      </c>
      <c r="W123" s="54" t="s">
        <v>958</v>
      </c>
      <c r="X123" s="239" t="s">
        <v>558</v>
      </c>
      <c r="Y123" s="234">
        <v>17</v>
      </c>
      <c r="Z123" s="231" t="s">
        <v>44</v>
      </c>
      <c r="AA123" s="25">
        <f t="shared" si="1"/>
        <v>0</v>
      </c>
    </row>
    <row r="124" spans="1:38" ht="15" customHeight="1">
      <c r="A124" s="24" t="s">
        <v>959</v>
      </c>
      <c r="B124" s="25"/>
      <c r="C124" s="26">
        <v>42772</v>
      </c>
      <c r="D124" s="38" t="s">
        <v>29</v>
      </c>
      <c r="E124" s="38" t="s">
        <v>29</v>
      </c>
      <c r="F124" s="38" t="s">
        <v>30</v>
      </c>
      <c r="G124" s="38">
        <v>4</v>
      </c>
      <c r="H124" s="39" t="s">
        <v>960</v>
      </c>
      <c r="I124" s="39" t="s">
        <v>961</v>
      </c>
      <c r="J124" s="25" t="s">
        <v>962</v>
      </c>
      <c r="K124" s="25" t="s">
        <v>963</v>
      </c>
      <c r="L124" s="39"/>
      <c r="N124" s="158" t="s">
        <v>13</v>
      </c>
      <c r="O124" s="95">
        <v>42675.458333333336</v>
      </c>
      <c r="P124" s="41" t="s">
        <v>169</v>
      </c>
      <c r="Q124" s="41" t="s">
        <v>169</v>
      </c>
      <c r="T124" s="44" t="s">
        <v>219</v>
      </c>
      <c r="U124" s="52">
        <v>42706</v>
      </c>
      <c r="W124" s="54" t="s">
        <v>964</v>
      </c>
      <c r="X124" s="50" t="s">
        <v>57</v>
      </c>
      <c r="Y124" s="38">
        <v>288</v>
      </c>
      <c r="Z124" s="25" t="s">
        <v>44</v>
      </c>
      <c r="AA124" s="25">
        <f t="shared" si="1"/>
        <v>0</v>
      </c>
      <c r="AC124" s="159"/>
    </row>
    <row r="125" spans="1:38" ht="15" customHeight="1">
      <c r="A125" s="24" t="s">
        <v>965</v>
      </c>
      <c r="B125" s="25"/>
      <c r="C125" s="26">
        <v>42712</v>
      </c>
      <c r="D125" s="38" t="s">
        <v>29</v>
      </c>
      <c r="E125" s="38" t="s">
        <v>94</v>
      </c>
      <c r="F125" s="38" t="s">
        <v>95</v>
      </c>
      <c r="G125" s="38">
        <v>7</v>
      </c>
      <c r="H125" s="39" t="s">
        <v>966</v>
      </c>
      <c r="I125" s="39" t="s">
        <v>967</v>
      </c>
      <c r="J125" s="39" t="s">
        <v>968</v>
      </c>
      <c r="K125" s="39" t="s">
        <v>969</v>
      </c>
      <c r="L125" s="39" t="s">
        <v>970</v>
      </c>
      <c r="M125" s="45" t="s">
        <v>971</v>
      </c>
      <c r="N125" s="40" t="s">
        <v>13</v>
      </c>
      <c r="O125" s="94">
        <v>42600.416666666664</v>
      </c>
      <c r="P125" s="41" t="s">
        <v>102</v>
      </c>
      <c r="Q125" s="41" t="s">
        <v>102</v>
      </c>
      <c r="R125" s="153" t="s">
        <v>77</v>
      </c>
      <c r="S125" s="154"/>
      <c r="T125" s="155" t="s">
        <v>55</v>
      </c>
      <c r="U125" s="222">
        <v>42668</v>
      </c>
      <c r="V125" s="209" t="s">
        <v>220</v>
      </c>
      <c r="W125" s="54" t="s">
        <v>972</v>
      </c>
      <c r="X125" s="212" t="s">
        <v>104</v>
      </c>
      <c r="Y125" s="156">
        <v>292</v>
      </c>
      <c r="Z125" s="25" t="s">
        <v>44</v>
      </c>
      <c r="AA125" s="25">
        <f t="shared" si="1"/>
        <v>0</v>
      </c>
    </row>
    <row r="126" spans="1:38" ht="15" customHeight="1">
      <c r="A126" s="233" t="s">
        <v>973</v>
      </c>
      <c r="B126" s="25"/>
      <c r="C126" s="26">
        <v>42767</v>
      </c>
      <c r="D126" s="38" t="s">
        <v>29</v>
      </c>
      <c r="E126" s="38" t="s">
        <v>29</v>
      </c>
      <c r="F126" s="38" t="s">
        <v>30</v>
      </c>
      <c r="G126" s="38">
        <v>6</v>
      </c>
      <c r="H126" s="39" t="s">
        <v>152</v>
      </c>
      <c r="I126" s="39" t="s">
        <v>974</v>
      </c>
      <c r="J126" s="39" t="s">
        <v>975</v>
      </c>
      <c r="K126" s="39" t="s">
        <v>976</v>
      </c>
      <c r="L126" s="39" t="s">
        <v>753</v>
      </c>
      <c r="M126" s="45" t="s">
        <v>977</v>
      </c>
      <c r="N126" s="40" t="s">
        <v>13</v>
      </c>
      <c r="O126" s="94">
        <v>42684.416666666664</v>
      </c>
      <c r="P126" s="41" t="s">
        <v>169</v>
      </c>
      <c r="Q126" s="41" t="s">
        <v>169</v>
      </c>
      <c r="R126" s="42" t="s">
        <v>77</v>
      </c>
      <c r="S126" s="43">
        <v>42491</v>
      </c>
      <c r="T126" s="44" t="s">
        <v>193</v>
      </c>
      <c r="U126" s="52">
        <v>42712</v>
      </c>
      <c r="W126" s="54" t="s">
        <v>978</v>
      </c>
      <c r="X126" s="50" t="s">
        <v>43</v>
      </c>
      <c r="Y126" s="38">
        <v>382</v>
      </c>
      <c r="Z126" s="231" t="s">
        <v>44</v>
      </c>
      <c r="AA126" s="25">
        <f t="shared" si="1"/>
        <v>0</v>
      </c>
    </row>
    <row r="127" spans="1:38" ht="15" customHeight="1">
      <c r="A127" s="24" t="s">
        <v>979</v>
      </c>
      <c r="B127" s="25"/>
      <c r="C127" s="26">
        <v>42691</v>
      </c>
      <c r="D127" s="38" t="s">
        <v>29</v>
      </c>
      <c r="E127" s="38" t="s">
        <v>29</v>
      </c>
      <c r="F127" s="38" t="s">
        <v>30</v>
      </c>
      <c r="G127" s="38">
        <v>5</v>
      </c>
      <c r="H127" s="39" t="s">
        <v>980</v>
      </c>
      <c r="I127" s="39" t="s">
        <v>981</v>
      </c>
      <c r="J127" s="39" t="s">
        <v>982</v>
      </c>
      <c r="K127" s="39" t="s">
        <v>983</v>
      </c>
      <c r="L127" s="39" t="s">
        <v>984</v>
      </c>
      <c r="M127" s="45" t="s">
        <v>985</v>
      </c>
      <c r="N127" s="158" t="s">
        <v>13</v>
      </c>
      <c r="O127" s="95">
        <v>42639.375</v>
      </c>
      <c r="P127" s="41" t="s">
        <v>37</v>
      </c>
      <c r="Q127" s="41" t="s">
        <v>986</v>
      </c>
      <c r="R127" s="42" t="s">
        <v>77</v>
      </c>
      <c r="T127" s="44" t="s">
        <v>40</v>
      </c>
      <c r="U127" s="52">
        <v>42657</v>
      </c>
      <c r="W127" s="216" t="s">
        <v>987</v>
      </c>
      <c r="X127" s="50" t="s">
        <v>43</v>
      </c>
      <c r="Y127" s="38">
        <v>558</v>
      </c>
      <c r="Z127" s="25" t="s">
        <v>44</v>
      </c>
      <c r="AA127" s="25">
        <f t="shared" si="1"/>
        <v>0</v>
      </c>
      <c r="AB127" s="24" t="s">
        <v>988</v>
      </c>
      <c r="AC127" s="159"/>
    </row>
    <row r="128" spans="1:38" ht="15" customHeight="1">
      <c r="A128" s="24" t="s">
        <v>989</v>
      </c>
      <c r="B128" s="25" t="s">
        <v>106</v>
      </c>
      <c r="C128" s="26">
        <v>42753</v>
      </c>
      <c r="D128" s="38" t="s">
        <v>29</v>
      </c>
      <c r="E128" s="38" t="s">
        <v>29</v>
      </c>
      <c r="F128" s="38" t="s">
        <v>69</v>
      </c>
      <c r="G128" s="38">
        <v>2</v>
      </c>
      <c r="H128" s="24" t="s">
        <v>107</v>
      </c>
      <c r="I128" s="24" t="s">
        <v>108</v>
      </c>
      <c r="J128" s="24" t="s">
        <v>109</v>
      </c>
      <c r="K128" s="25" t="s">
        <v>110</v>
      </c>
      <c r="L128" s="24" t="s">
        <v>111</v>
      </c>
      <c r="N128" s="40" t="s">
        <v>13</v>
      </c>
      <c r="O128" s="94">
        <v>42663.5</v>
      </c>
      <c r="P128" s="41" t="s">
        <v>112</v>
      </c>
      <c r="Q128" s="41" t="s">
        <v>112</v>
      </c>
      <c r="T128" s="44" t="s">
        <v>65</v>
      </c>
      <c r="U128" s="52">
        <v>42719</v>
      </c>
      <c r="W128" s="215" t="s">
        <v>113</v>
      </c>
      <c r="X128" s="50" t="s">
        <v>990</v>
      </c>
      <c r="Y128" s="38">
        <v>244</v>
      </c>
      <c r="Z128" s="25" t="s">
        <v>44</v>
      </c>
      <c r="AA128" s="25">
        <f t="shared" si="1"/>
        <v>0</v>
      </c>
      <c r="AD128" s="159"/>
      <c r="AE128" s="159"/>
      <c r="AF128" s="159"/>
      <c r="AG128" s="159"/>
      <c r="AH128" s="159"/>
      <c r="AI128" s="159"/>
      <c r="AJ128" s="159"/>
      <c r="AK128" s="159"/>
      <c r="AL128" s="159"/>
    </row>
    <row r="129" spans="1:51" ht="15" customHeight="1">
      <c r="A129" s="233" t="s">
        <v>991</v>
      </c>
      <c r="B129" s="25" t="s">
        <v>151</v>
      </c>
      <c r="C129" s="26">
        <v>42726</v>
      </c>
      <c r="D129" s="38" t="s">
        <v>29</v>
      </c>
      <c r="E129" s="38" t="s">
        <v>29</v>
      </c>
      <c r="F129" s="38" t="s">
        <v>47</v>
      </c>
      <c r="G129" s="38">
        <v>1</v>
      </c>
      <c r="H129" s="39" t="s">
        <v>152</v>
      </c>
      <c r="I129" s="162" t="s">
        <v>153</v>
      </c>
      <c r="J129" s="39" t="s">
        <v>154</v>
      </c>
      <c r="K129" s="39" t="s">
        <v>155</v>
      </c>
      <c r="L129" s="39" t="s">
        <v>111</v>
      </c>
      <c r="M129" s="45" t="s">
        <v>992</v>
      </c>
      <c r="N129" s="40" t="s">
        <v>993</v>
      </c>
      <c r="O129" s="95">
        <v>42535.458333333336</v>
      </c>
      <c r="P129" s="152" t="s">
        <v>158</v>
      </c>
      <c r="Q129" s="152" t="s">
        <v>102</v>
      </c>
      <c r="R129" s="42" t="s">
        <v>77</v>
      </c>
      <c r="T129" s="44" t="s">
        <v>78</v>
      </c>
      <c r="U129" s="52">
        <v>42682</v>
      </c>
      <c r="W129" s="54" t="s">
        <v>994</v>
      </c>
      <c r="X129" s="239" t="s">
        <v>995</v>
      </c>
      <c r="Y129" s="38">
        <v>84</v>
      </c>
      <c r="Z129" s="25" t="s">
        <v>44</v>
      </c>
      <c r="AA129" s="25">
        <f t="shared" si="1"/>
        <v>0</v>
      </c>
      <c r="AB129" s="39"/>
    </row>
    <row r="130" spans="1:51" ht="15" customHeight="1">
      <c r="A130" s="233" t="s">
        <v>996</v>
      </c>
      <c r="B130" s="25"/>
      <c r="C130" s="26">
        <v>42657</v>
      </c>
      <c r="D130" s="38" t="s">
        <v>29</v>
      </c>
      <c r="E130" s="38" t="s">
        <v>29</v>
      </c>
      <c r="F130" s="38" t="s">
        <v>30</v>
      </c>
      <c r="G130" s="38">
        <v>5</v>
      </c>
      <c r="H130" s="39" t="s">
        <v>997</v>
      </c>
      <c r="I130" s="39" t="s">
        <v>998</v>
      </c>
      <c r="J130" s="39" t="s">
        <v>999</v>
      </c>
      <c r="K130" s="39" t="s">
        <v>1000</v>
      </c>
      <c r="L130" s="39" t="s">
        <v>74</v>
      </c>
      <c r="M130" s="45" t="s">
        <v>1001</v>
      </c>
      <c r="N130" s="158" t="s">
        <v>13</v>
      </c>
      <c r="O130" s="95">
        <v>42577.375</v>
      </c>
      <c r="P130" s="41" t="s">
        <v>169</v>
      </c>
      <c r="Q130" s="41" t="s">
        <v>169</v>
      </c>
      <c r="R130" s="42" t="s">
        <v>77</v>
      </c>
      <c r="T130" s="44" t="s">
        <v>40</v>
      </c>
      <c r="U130" s="52">
        <v>42649</v>
      </c>
      <c r="W130" s="54" t="s">
        <v>1002</v>
      </c>
      <c r="X130" s="239" t="s">
        <v>397</v>
      </c>
      <c r="Y130" s="38">
        <v>194</v>
      </c>
      <c r="Z130" s="25" t="s">
        <v>44</v>
      </c>
      <c r="AA130" s="25">
        <f t="shared" ref="AA130:AA193" si="2">IF(AND(E130="YES",X130&lt;&gt;"MWRA"),1,0)</f>
        <v>0</v>
      </c>
    </row>
    <row r="131" spans="1:51" ht="15" customHeight="1">
      <c r="A131" s="24" t="s">
        <v>1003</v>
      </c>
      <c r="B131" s="25" t="s">
        <v>324</v>
      </c>
      <c r="C131" s="26">
        <v>42755</v>
      </c>
      <c r="D131" s="38" t="s">
        <v>29</v>
      </c>
      <c r="E131" s="38" t="s">
        <v>29</v>
      </c>
      <c r="F131" s="38" t="s">
        <v>69</v>
      </c>
      <c r="G131" s="38">
        <v>1</v>
      </c>
      <c r="H131" s="39" t="s">
        <v>325</v>
      </c>
      <c r="I131" s="39" t="s">
        <v>326</v>
      </c>
      <c r="J131" s="39" t="s">
        <v>327</v>
      </c>
      <c r="K131" s="39" t="s">
        <v>328</v>
      </c>
      <c r="L131" s="39" t="s">
        <v>100</v>
      </c>
      <c r="M131" s="45" t="s">
        <v>1004</v>
      </c>
      <c r="N131" s="158" t="s">
        <v>13</v>
      </c>
      <c r="O131" s="94">
        <v>42681.604166666664</v>
      </c>
      <c r="R131" s="42" t="s">
        <v>77</v>
      </c>
      <c r="T131" s="44" t="s">
        <v>78</v>
      </c>
      <c r="U131" s="52">
        <v>42720</v>
      </c>
      <c r="W131" s="216" t="s">
        <v>329</v>
      </c>
      <c r="X131" s="50" t="s">
        <v>204</v>
      </c>
      <c r="Y131" s="38">
        <v>140</v>
      </c>
      <c r="Z131" s="161" t="s">
        <v>44</v>
      </c>
      <c r="AA131" s="25">
        <f t="shared" si="2"/>
        <v>0</v>
      </c>
      <c r="AB131" s="39"/>
      <c r="AD131" s="159"/>
      <c r="AE131" s="159"/>
      <c r="AF131" s="159" t="s">
        <v>1005</v>
      </c>
      <c r="AG131" s="159" t="s">
        <v>1005</v>
      </c>
      <c r="AH131" s="159"/>
      <c r="AI131" s="159"/>
      <c r="AJ131" s="159"/>
      <c r="AK131" s="159"/>
      <c r="AL131" s="159"/>
      <c r="AM131" s="159"/>
      <c r="AN131" s="159"/>
      <c r="AO131" s="159"/>
      <c r="AP131" s="159"/>
      <c r="AQ131" s="159"/>
      <c r="AR131" s="159"/>
      <c r="AS131" s="159"/>
      <c r="AT131" s="159"/>
      <c r="AU131" s="159"/>
      <c r="AV131" s="159"/>
      <c r="AW131" s="159"/>
      <c r="AX131" s="159" t="s">
        <v>1005</v>
      </c>
      <c r="AY131" s="159" t="s">
        <v>1005</v>
      </c>
    </row>
    <row r="132" spans="1:51" ht="15" customHeight="1">
      <c r="A132" s="24" t="s">
        <v>1006</v>
      </c>
      <c r="B132" s="25" t="s">
        <v>1007</v>
      </c>
      <c r="C132" s="26">
        <v>42712</v>
      </c>
      <c r="D132" s="38" t="s">
        <v>29</v>
      </c>
      <c r="E132" s="38" t="s">
        <v>94</v>
      </c>
      <c r="F132" s="38" t="s">
        <v>47</v>
      </c>
      <c r="G132" s="38">
        <v>4</v>
      </c>
      <c r="H132" s="39" t="s">
        <v>1008</v>
      </c>
      <c r="I132" s="39" t="s">
        <v>1009</v>
      </c>
      <c r="J132" s="39" t="s">
        <v>1010</v>
      </c>
      <c r="K132" s="39" t="s">
        <v>1011</v>
      </c>
      <c r="L132" s="39" t="s">
        <v>100</v>
      </c>
      <c r="M132" s="45" t="s">
        <v>1012</v>
      </c>
      <c r="N132" s="40" t="s">
        <v>1013</v>
      </c>
      <c r="O132" s="94">
        <v>42604.395833333336</v>
      </c>
      <c r="P132" s="41" t="s">
        <v>185</v>
      </c>
      <c r="Q132" s="41" t="s">
        <v>185</v>
      </c>
      <c r="R132" s="200" t="s">
        <v>39</v>
      </c>
      <c r="S132" s="178">
        <v>42636</v>
      </c>
      <c r="T132" s="179" t="s">
        <v>219</v>
      </c>
      <c r="U132" s="224">
        <v>42668</v>
      </c>
      <c r="V132" s="210" t="s">
        <v>476</v>
      </c>
      <c r="W132" s="54" t="s">
        <v>1014</v>
      </c>
      <c r="X132" s="50" t="s">
        <v>104</v>
      </c>
      <c r="Y132" s="38">
        <v>583</v>
      </c>
      <c r="Z132" s="25" t="s">
        <v>44</v>
      </c>
      <c r="AA132" s="25">
        <f t="shared" si="2"/>
        <v>0</v>
      </c>
    </row>
    <row r="133" spans="1:51" ht="15" customHeight="1">
      <c r="A133" s="24" t="s">
        <v>1015</v>
      </c>
      <c r="B133" s="25"/>
      <c r="D133" s="38" t="s">
        <v>29</v>
      </c>
      <c r="E133" s="38" t="s">
        <v>29</v>
      </c>
      <c r="F133" s="38" t="s">
        <v>69</v>
      </c>
      <c r="G133" s="38">
        <v>3</v>
      </c>
      <c r="H133" s="39" t="s">
        <v>390</v>
      </c>
      <c r="I133" s="39" t="s">
        <v>1016</v>
      </c>
      <c r="J133" s="39" t="s">
        <v>1017</v>
      </c>
      <c r="K133" s="39" t="s">
        <v>1018</v>
      </c>
      <c r="L133" s="39" t="s">
        <v>785</v>
      </c>
      <c r="M133" s="45" t="s">
        <v>1019</v>
      </c>
      <c r="N133" s="158" t="s">
        <v>13</v>
      </c>
      <c r="O133" s="95">
        <v>42598.354166666664</v>
      </c>
      <c r="P133" s="41" t="s">
        <v>41</v>
      </c>
      <c r="Q133" s="41" t="s">
        <v>41</v>
      </c>
      <c r="R133" s="42" t="s">
        <v>39</v>
      </c>
      <c r="S133" s="43">
        <v>42430</v>
      </c>
      <c r="T133" s="44" t="s">
        <v>159</v>
      </c>
      <c r="U133" s="52">
        <v>42621</v>
      </c>
      <c r="V133" s="48" t="s">
        <v>1020</v>
      </c>
      <c r="W133" s="54" t="s">
        <v>1021</v>
      </c>
      <c r="X133" s="50" t="s">
        <v>80</v>
      </c>
      <c r="Y133" s="38">
        <v>316</v>
      </c>
      <c r="Z133" s="25" t="s">
        <v>44</v>
      </c>
      <c r="AA133" s="25">
        <f t="shared" si="2"/>
        <v>0</v>
      </c>
    </row>
    <row r="134" spans="1:51" ht="15" customHeight="1">
      <c r="A134" s="233" t="s">
        <v>1022</v>
      </c>
      <c r="B134" s="25"/>
      <c r="C134" s="26">
        <v>42747</v>
      </c>
      <c r="D134" s="38" t="s">
        <v>29</v>
      </c>
      <c r="E134" s="38" t="s">
        <v>29</v>
      </c>
      <c r="F134" s="38" t="s">
        <v>69</v>
      </c>
      <c r="G134" s="38">
        <v>52</v>
      </c>
      <c r="H134" s="39" t="s">
        <v>1023</v>
      </c>
      <c r="I134" s="39" t="s">
        <v>1024</v>
      </c>
      <c r="J134" s="39" t="s">
        <v>1025</v>
      </c>
      <c r="K134" s="39" t="s">
        <v>1026</v>
      </c>
      <c r="L134" s="39" t="s">
        <v>1027</v>
      </c>
      <c r="M134" s="45" t="s">
        <v>1028</v>
      </c>
      <c r="N134" s="40" t="s">
        <v>13</v>
      </c>
      <c r="O134" s="94">
        <v>42642.541666666664</v>
      </c>
      <c r="P134" s="41" t="s">
        <v>41</v>
      </c>
      <c r="Q134" s="41" t="s">
        <v>41</v>
      </c>
      <c r="R134" s="42" t="s">
        <v>39</v>
      </c>
      <c r="S134" s="43">
        <v>42491</v>
      </c>
      <c r="T134" s="44" t="s">
        <v>1029</v>
      </c>
      <c r="U134" s="52">
        <v>42672</v>
      </c>
      <c r="W134" s="216" t="s">
        <v>1030</v>
      </c>
      <c r="X134" s="50" t="s">
        <v>80</v>
      </c>
      <c r="Y134" s="234">
        <v>3607</v>
      </c>
      <c r="Z134" s="25" t="s">
        <v>44</v>
      </c>
      <c r="AA134" s="25">
        <f t="shared" si="2"/>
        <v>0</v>
      </c>
    </row>
    <row r="135" spans="1:51" ht="15" customHeight="1">
      <c r="A135" s="24" t="s">
        <v>1031</v>
      </c>
      <c r="B135" s="25"/>
      <c r="C135" s="26">
        <v>42748</v>
      </c>
      <c r="D135" s="38" t="s">
        <v>29</v>
      </c>
      <c r="E135" s="38" t="s">
        <v>29</v>
      </c>
      <c r="F135" s="38" t="s">
        <v>95</v>
      </c>
      <c r="G135" s="38">
        <v>1</v>
      </c>
      <c r="H135" s="39" t="s">
        <v>530</v>
      </c>
      <c r="I135" s="39" t="s">
        <v>1032</v>
      </c>
      <c r="J135" s="39" t="s">
        <v>1033</v>
      </c>
      <c r="K135" s="39" t="s">
        <v>1034</v>
      </c>
      <c r="L135" s="39" t="s">
        <v>167</v>
      </c>
      <c r="M135" s="45" t="s">
        <v>1035</v>
      </c>
      <c r="N135" s="40" t="s">
        <v>13</v>
      </c>
      <c r="O135" s="94">
        <v>42578.416666666664</v>
      </c>
      <c r="P135" s="41" t="s">
        <v>122</v>
      </c>
      <c r="Q135" s="41" t="s">
        <v>122</v>
      </c>
      <c r="R135" s="42" t="s">
        <v>39</v>
      </c>
      <c r="S135" s="43">
        <v>42430</v>
      </c>
      <c r="T135" s="44" t="s">
        <v>78</v>
      </c>
      <c r="U135" s="52">
        <v>42641</v>
      </c>
      <c r="W135" s="54" t="s">
        <v>1036</v>
      </c>
      <c r="X135" s="50" t="s">
        <v>57</v>
      </c>
      <c r="Y135" s="38">
        <v>130</v>
      </c>
      <c r="Z135" s="231" t="s">
        <v>44</v>
      </c>
      <c r="AA135" s="25">
        <f t="shared" si="2"/>
        <v>0</v>
      </c>
    </row>
    <row r="136" spans="1:51" ht="15" customHeight="1">
      <c r="A136" s="24" t="s">
        <v>1037</v>
      </c>
      <c r="B136" s="25" t="s">
        <v>354</v>
      </c>
      <c r="C136" s="26">
        <v>42709</v>
      </c>
      <c r="D136" s="38" t="s">
        <v>29</v>
      </c>
      <c r="E136" s="38" t="s">
        <v>29</v>
      </c>
      <c r="F136" s="38" t="s">
        <v>69</v>
      </c>
      <c r="G136" s="38">
        <v>1</v>
      </c>
      <c r="H136" s="39" t="s">
        <v>152</v>
      </c>
      <c r="I136" s="39" t="s">
        <v>355</v>
      </c>
      <c r="J136" s="39" t="s">
        <v>356</v>
      </c>
      <c r="K136" s="39" t="s">
        <v>357</v>
      </c>
      <c r="L136" s="39" t="s">
        <v>100</v>
      </c>
      <c r="M136" s="45" t="s">
        <v>1038</v>
      </c>
      <c r="N136" s="158" t="s">
        <v>13</v>
      </c>
      <c r="O136" s="97">
        <v>42656.541666666664</v>
      </c>
      <c r="P136" s="41" t="s">
        <v>185</v>
      </c>
      <c r="Q136" s="41" t="s">
        <v>185</v>
      </c>
      <c r="R136" s="42" t="s">
        <v>39</v>
      </c>
      <c r="S136" s="43">
        <v>42677</v>
      </c>
      <c r="T136" s="44" t="s">
        <v>78</v>
      </c>
      <c r="U136" s="52">
        <v>42705</v>
      </c>
      <c r="V136" s="48" t="s">
        <v>220</v>
      </c>
      <c r="W136" s="219" t="s">
        <v>352</v>
      </c>
      <c r="X136" s="50" t="s">
        <v>204</v>
      </c>
      <c r="Y136" s="38">
        <v>80</v>
      </c>
      <c r="Z136" s="25" t="s">
        <v>44</v>
      </c>
      <c r="AA136" s="25">
        <f t="shared" si="2"/>
        <v>0</v>
      </c>
    </row>
    <row r="137" spans="1:51" ht="15" customHeight="1">
      <c r="A137" s="233" t="s">
        <v>1039</v>
      </c>
      <c r="B137" s="25"/>
      <c r="C137" s="26">
        <v>42769</v>
      </c>
      <c r="D137" s="38" t="s">
        <v>29</v>
      </c>
      <c r="E137" s="38" t="s">
        <v>29</v>
      </c>
      <c r="F137" s="38" t="s">
        <v>30</v>
      </c>
      <c r="G137" s="38">
        <v>1</v>
      </c>
      <c r="H137" s="184" t="s">
        <v>1040</v>
      </c>
      <c r="I137" s="184" t="s">
        <v>1041</v>
      </c>
      <c r="J137" s="184" t="s">
        <v>1042</v>
      </c>
      <c r="K137" s="184" t="s">
        <v>1043</v>
      </c>
      <c r="L137" s="39" t="s">
        <v>183</v>
      </c>
      <c r="M137" s="45" t="s">
        <v>1044</v>
      </c>
      <c r="N137" s="158" t="s">
        <v>13</v>
      </c>
      <c r="O137" s="95">
        <v>42692.416666666664</v>
      </c>
      <c r="P137" s="41" t="s">
        <v>202</v>
      </c>
      <c r="Q137" s="41" t="s">
        <v>202</v>
      </c>
      <c r="T137" s="44" t="s">
        <v>708</v>
      </c>
      <c r="U137" s="52">
        <v>42714</v>
      </c>
      <c r="W137" s="396" t="s">
        <v>1045</v>
      </c>
      <c r="X137" s="50" t="s">
        <v>57</v>
      </c>
      <c r="Y137" s="38">
        <v>1031</v>
      </c>
      <c r="Z137" s="236" t="s">
        <v>44</v>
      </c>
      <c r="AA137" s="25">
        <f t="shared" si="2"/>
        <v>0</v>
      </c>
    </row>
    <row r="138" spans="1:51" ht="15" customHeight="1">
      <c r="A138" s="24" t="s">
        <v>1046</v>
      </c>
      <c r="B138" s="25"/>
      <c r="C138" s="26">
        <v>42741</v>
      </c>
      <c r="D138" s="38" t="s">
        <v>29</v>
      </c>
      <c r="E138" s="38" t="s">
        <v>29</v>
      </c>
      <c r="F138" s="38" t="s">
        <v>30</v>
      </c>
      <c r="G138" s="38">
        <v>1</v>
      </c>
      <c r="H138" s="39" t="s">
        <v>390</v>
      </c>
      <c r="I138" s="39" t="s">
        <v>1047</v>
      </c>
      <c r="J138" s="39" t="s">
        <v>1048</v>
      </c>
      <c r="K138" s="39" t="s">
        <v>1049</v>
      </c>
      <c r="L138" s="39" t="s">
        <v>183</v>
      </c>
      <c r="M138" s="24" t="s">
        <v>1050</v>
      </c>
      <c r="N138" s="158" t="s">
        <v>13</v>
      </c>
      <c r="O138" s="95">
        <v>42578.375</v>
      </c>
      <c r="P138" s="41" t="s">
        <v>169</v>
      </c>
      <c r="Q138" s="41" t="s">
        <v>169</v>
      </c>
      <c r="R138" s="42" t="s">
        <v>39</v>
      </c>
      <c r="S138" s="43">
        <v>42491</v>
      </c>
      <c r="T138" s="44" t="s">
        <v>78</v>
      </c>
      <c r="U138" s="52">
        <v>42655</v>
      </c>
      <c r="W138" s="54" t="s">
        <v>1051</v>
      </c>
      <c r="X138" s="50" t="s">
        <v>57</v>
      </c>
      <c r="Y138" s="38">
        <v>72</v>
      </c>
      <c r="Z138" s="25" t="s">
        <v>44</v>
      </c>
      <c r="AA138" s="25">
        <f t="shared" si="2"/>
        <v>0</v>
      </c>
    </row>
    <row r="139" spans="1:51" ht="15" customHeight="1">
      <c r="A139" s="233" t="s">
        <v>1052</v>
      </c>
      <c r="B139" s="25"/>
      <c r="C139" s="26">
        <v>42768</v>
      </c>
      <c r="D139" s="38" t="s">
        <v>29</v>
      </c>
      <c r="E139" s="38" t="s">
        <v>29</v>
      </c>
      <c r="F139" s="38" t="s">
        <v>95</v>
      </c>
      <c r="G139" s="38">
        <v>7</v>
      </c>
      <c r="H139" s="39" t="s">
        <v>1053</v>
      </c>
      <c r="I139" s="39" t="s">
        <v>1054</v>
      </c>
      <c r="J139" s="39" t="s">
        <v>1055</v>
      </c>
      <c r="K139" s="39" t="s">
        <v>1056</v>
      </c>
      <c r="L139" s="39" t="s">
        <v>270</v>
      </c>
      <c r="M139" s="45" t="s">
        <v>1057</v>
      </c>
      <c r="N139" s="40" t="s">
        <v>1058</v>
      </c>
      <c r="O139" s="94">
        <v>42627.375</v>
      </c>
      <c r="P139" s="41" t="s">
        <v>520</v>
      </c>
      <c r="Q139" s="41" t="s">
        <v>520</v>
      </c>
      <c r="R139" s="42" t="s">
        <v>77</v>
      </c>
      <c r="T139" s="44" t="s">
        <v>55</v>
      </c>
      <c r="U139" s="52">
        <v>42681</v>
      </c>
      <c r="W139" s="216" t="s">
        <v>1059</v>
      </c>
      <c r="X139" s="50" t="s">
        <v>149</v>
      </c>
      <c r="Y139" s="38">
        <v>715</v>
      </c>
      <c r="Z139" s="25" t="s">
        <v>44</v>
      </c>
      <c r="AA139" s="25">
        <f t="shared" si="2"/>
        <v>0</v>
      </c>
      <c r="AC139" s="159"/>
    </row>
    <row r="140" spans="1:51" ht="15" customHeight="1">
      <c r="A140" s="24" t="s">
        <v>1060</v>
      </c>
      <c r="B140" s="25" t="s">
        <v>462</v>
      </c>
      <c r="C140" s="26">
        <v>42723</v>
      </c>
      <c r="D140" s="38" t="s">
        <v>29</v>
      </c>
      <c r="E140" s="38" t="s">
        <v>29</v>
      </c>
      <c r="F140" s="38" t="s">
        <v>30</v>
      </c>
      <c r="G140" s="38">
        <v>1</v>
      </c>
      <c r="H140" s="39" t="s">
        <v>463</v>
      </c>
      <c r="I140" s="39" t="s">
        <v>464</v>
      </c>
      <c r="J140" s="39" t="s">
        <v>465</v>
      </c>
      <c r="K140" s="39" t="s">
        <v>466</v>
      </c>
      <c r="L140" s="39" t="s">
        <v>63</v>
      </c>
      <c r="M140" s="45" t="s">
        <v>1061</v>
      </c>
      <c r="N140" s="158" t="s">
        <v>468</v>
      </c>
      <c r="O140" s="95">
        <v>42607.354166666664</v>
      </c>
      <c r="P140" s="41" t="s">
        <v>131</v>
      </c>
      <c r="Q140" s="41" t="s">
        <v>131</v>
      </c>
      <c r="R140" s="42" t="s">
        <v>77</v>
      </c>
      <c r="T140" s="44" t="s">
        <v>78</v>
      </c>
      <c r="U140" s="52">
        <v>42693</v>
      </c>
      <c r="W140" s="54" t="s">
        <v>469</v>
      </c>
      <c r="X140" s="50" t="s">
        <v>57</v>
      </c>
      <c r="Y140" s="38">
        <v>40</v>
      </c>
      <c r="Z140" s="25" t="s">
        <v>44</v>
      </c>
      <c r="AA140" s="25">
        <f t="shared" si="2"/>
        <v>0</v>
      </c>
    </row>
    <row r="141" spans="1:51" ht="15" customHeight="1">
      <c r="A141" s="24" t="s">
        <v>1062</v>
      </c>
      <c r="B141" s="25" t="s">
        <v>913</v>
      </c>
      <c r="C141" s="26">
        <v>42726</v>
      </c>
      <c r="D141" s="38" t="s">
        <v>29</v>
      </c>
      <c r="E141" s="38" t="s">
        <v>29</v>
      </c>
      <c r="F141" s="38" t="s">
        <v>47</v>
      </c>
      <c r="G141" s="38">
        <v>4</v>
      </c>
      <c r="H141" s="39" t="s">
        <v>914</v>
      </c>
      <c r="I141" s="39" t="s">
        <v>915</v>
      </c>
      <c r="J141" s="39" t="s">
        <v>916</v>
      </c>
      <c r="K141" s="39" t="s">
        <v>917</v>
      </c>
      <c r="L141" s="39" t="s">
        <v>100</v>
      </c>
      <c r="M141" s="45" t="s">
        <v>1063</v>
      </c>
      <c r="N141" s="40" t="s">
        <v>13</v>
      </c>
      <c r="O141" s="94">
        <v>42684.5</v>
      </c>
      <c r="P141" s="41" t="s">
        <v>520</v>
      </c>
      <c r="Q141" s="41" t="s">
        <v>520</v>
      </c>
      <c r="R141" s="42" t="s">
        <v>77</v>
      </c>
      <c r="T141" s="44" t="s">
        <v>65</v>
      </c>
      <c r="U141" s="52">
        <v>42707</v>
      </c>
      <c r="W141" s="54" t="s">
        <v>919</v>
      </c>
      <c r="X141" s="50" t="s">
        <v>149</v>
      </c>
      <c r="Y141" s="38">
        <v>144</v>
      </c>
      <c r="Z141" s="25" t="s">
        <v>44</v>
      </c>
      <c r="AA141" s="25">
        <f t="shared" si="2"/>
        <v>0</v>
      </c>
    </row>
    <row r="142" spans="1:51" ht="15" customHeight="1">
      <c r="A142" s="24" t="s">
        <v>1064</v>
      </c>
      <c r="B142" s="25"/>
      <c r="C142" s="26">
        <v>42705</v>
      </c>
      <c r="D142" s="38" t="s">
        <v>29</v>
      </c>
      <c r="E142" s="38" t="s">
        <v>29</v>
      </c>
      <c r="F142" s="38" t="s">
        <v>30</v>
      </c>
      <c r="G142" s="38">
        <v>1</v>
      </c>
      <c r="H142" s="39" t="s">
        <v>1065</v>
      </c>
      <c r="I142" s="39" t="s">
        <v>1066</v>
      </c>
      <c r="J142" s="39" t="s">
        <v>1067</v>
      </c>
      <c r="K142" s="39" t="s">
        <v>1068</v>
      </c>
      <c r="L142" s="39" t="s">
        <v>1069</v>
      </c>
      <c r="M142" s="45" t="s">
        <v>1070</v>
      </c>
      <c r="N142" s="40" t="s">
        <v>13</v>
      </c>
      <c r="O142" s="94">
        <v>42655.416666666664</v>
      </c>
      <c r="P142" s="41" t="s">
        <v>169</v>
      </c>
      <c r="Q142" s="41" t="s">
        <v>169</v>
      </c>
      <c r="R142" s="42" t="s">
        <v>77</v>
      </c>
      <c r="T142" s="44" t="s">
        <v>78</v>
      </c>
      <c r="U142" s="52">
        <v>42691</v>
      </c>
      <c r="W142" s="216" t="s">
        <v>1071</v>
      </c>
      <c r="X142" s="50" t="s">
        <v>172</v>
      </c>
      <c r="Y142" s="38">
        <v>28</v>
      </c>
      <c r="Z142" s="25" t="s">
        <v>44</v>
      </c>
      <c r="AA142" s="25">
        <f t="shared" si="2"/>
        <v>0</v>
      </c>
    </row>
    <row r="143" spans="1:51" ht="15" customHeight="1">
      <c r="A143" s="24" t="s">
        <v>1072</v>
      </c>
      <c r="B143" s="25"/>
      <c r="C143" s="167">
        <v>42790</v>
      </c>
      <c r="D143" s="38" t="s">
        <v>29</v>
      </c>
      <c r="E143" s="38" t="s">
        <v>29</v>
      </c>
      <c r="F143" s="38" t="s">
        <v>95</v>
      </c>
      <c r="G143" s="38">
        <v>4</v>
      </c>
      <c r="H143" s="39" t="s">
        <v>213</v>
      </c>
      <c r="I143" s="39" t="s">
        <v>1073</v>
      </c>
      <c r="J143" s="39" t="s">
        <v>1074</v>
      </c>
      <c r="K143" s="39" t="s">
        <v>1075</v>
      </c>
      <c r="L143" s="39" t="s">
        <v>1076</v>
      </c>
      <c r="M143" s="45" t="s">
        <v>1077</v>
      </c>
      <c r="N143" s="40" t="s">
        <v>13</v>
      </c>
      <c r="O143" s="94">
        <v>42690.416666666664</v>
      </c>
      <c r="P143" s="41" t="s">
        <v>202</v>
      </c>
      <c r="Q143" s="41" t="s">
        <v>202</v>
      </c>
      <c r="R143" s="42" t="s">
        <v>39</v>
      </c>
      <c r="S143" s="43">
        <v>42430</v>
      </c>
      <c r="T143" s="44" t="s">
        <v>159</v>
      </c>
      <c r="U143" s="52">
        <v>42721</v>
      </c>
      <c r="W143" s="54" t="s">
        <v>1078</v>
      </c>
      <c r="X143" s="50" t="s">
        <v>149</v>
      </c>
      <c r="Y143" s="38">
        <v>364</v>
      </c>
      <c r="Z143" s="25" t="s">
        <v>44</v>
      </c>
      <c r="AA143" s="25">
        <f t="shared" si="2"/>
        <v>0</v>
      </c>
    </row>
    <row r="144" spans="1:51" ht="15" customHeight="1">
      <c r="A144" s="379" t="s">
        <v>1079</v>
      </c>
      <c r="B144" s="25" t="s">
        <v>224</v>
      </c>
      <c r="C144" s="26">
        <v>42741</v>
      </c>
      <c r="D144" s="38" t="s">
        <v>29</v>
      </c>
      <c r="E144" s="38" t="s">
        <v>29</v>
      </c>
      <c r="F144" s="38" t="s">
        <v>95</v>
      </c>
      <c r="G144" s="38">
        <v>1</v>
      </c>
      <c r="H144" s="39" t="s">
        <v>225</v>
      </c>
      <c r="I144" s="39" t="s">
        <v>226</v>
      </c>
      <c r="J144" s="39" t="s">
        <v>227</v>
      </c>
      <c r="K144" s="25" t="s">
        <v>228</v>
      </c>
      <c r="L144" s="39" t="s">
        <v>229</v>
      </c>
      <c r="O144" s="94">
        <v>42690.416666666664</v>
      </c>
      <c r="T144" s="44" t="s">
        <v>78</v>
      </c>
      <c r="U144" s="52">
        <v>42721</v>
      </c>
      <c r="W144" s="392" t="s">
        <v>1078</v>
      </c>
      <c r="X144" s="239" t="s">
        <v>663</v>
      </c>
      <c r="Y144" s="38">
        <v>37</v>
      </c>
      <c r="Z144" s="231" t="s">
        <v>44</v>
      </c>
      <c r="AA144" s="25">
        <f t="shared" si="2"/>
        <v>0</v>
      </c>
    </row>
    <row r="145" spans="1:16383" ht="15" customHeight="1">
      <c r="A145" s="24" t="s">
        <v>1080</v>
      </c>
      <c r="B145" s="25"/>
      <c r="C145" s="26">
        <v>42741</v>
      </c>
      <c r="D145" s="38" t="s">
        <v>29</v>
      </c>
      <c r="E145" s="38" t="s">
        <v>29</v>
      </c>
      <c r="F145" s="38" t="s">
        <v>47</v>
      </c>
      <c r="G145" s="38">
        <v>4</v>
      </c>
      <c r="H145" s="39" t="s">
        <v>1081</v>
      </c>
      <c r="I145" s="39" t="s">
        <v>1082</v>
      </c>
      <c r="J145" s="39" t="s">
        <v>1083</v>
      </c>
      <c r="K145" s="39" t="s">
        <v>1084</v>
      </c>
      <c r="L145" s="39" t="s">
        <v>376</v>
      </c>
      <c r="M145" s="45" t="s">
        <v>1085</v>
      </c>
      <c r="N145" s="158" t="s">
        <v>13</v>
      </c>
      <c r="O145" s="95">
        <v>42605.375</v>
      </c>
      <c r="P145" s="41" t="s">
        <v>54</v>
      </c>
      <c r="Q145" s="41" t="s">
        <v>54</v>
      </c>
      <c r="R145" s="42" t="s">
        <v>77</v>
      </c>
      <c r="T145" s="44" t="s">
        <v>219</v>
      </c>
      <c r="U145" s="52">
        <v>42671</v>
      </c>
      <c r="W145" s="54" t="s">
        <v>1086</v>
      </c>
      <c r="X145" s="50" t="s">
        <v>433</v>
      </c>
      <c r="Y145" s="38">
        <v>239</v>
      </c>
      <c r="Z145" s="231" t="s">
        <v>44</v>
      </c>
      <c r="AA145" s="25">
        <f t="shared" si="2"/>
        <v>0</v>
      </c>
    </row>
    <row r="146" spans="1:16383" ht="15" customHeight="1">
      <c r="A146" s="233" t="s">
        <v>1087</v>
      </c>
      <c r="B146" s="25"/>
      <c r="C146" s="26">
        <v>42768</v>
      </c>
      <c r="D146" s="38" t="s">
        <v>29</v>
      </c>
      <c r="E146" s="38" t="s">
        <v>94</v>
      </c>
      <c r="F146" s="38" t="s">
        <v>95</v>
      </c>
      <c r="G146" s="38">
        <v>6</v>
      </c>
      <c r="H146" s="201" t="s">
        <v>1088</v>
      </c>
      <c r="I146" s="201" t="s">
        <v>1089</v>
      </c>
      <c r="J146" s="202" t="s">
        <v>1090</v>
      </c>
      <c r="K146" s="201" t="s">
        <v>1091</v>
      </c>
      <c r="L146" s="202" t="s">
        <v>1092</v>
      </c>
      <c r="N146" s="158" t="s">
        <v>13</v>
      </c>
      <c r="O146" s="95">
        <v>42657.416666666664</v>
      </c>
      <c r="P146" s="41" t="s">
        <v>102</v>
      </c>
      <c r="Q146" s="41" t="s">
        <v>102</v>
      </c>
      <c r="T146" s="44" t="s">
        <v>55</v>
      </c>
      <c r="U146" s="52">
        <v>42726</v>
      </c>
      <c r="W146" s="216" t="s">
        <v>1093</v>
      </c>
      <c r="X146" s="50" t="s">
        <v>104</v>
      </c>
      <c r="Y146" s="234">
        <v>512</v>
      </c>
      <c r="Z146" s="25" t="s">
        <v>44</v>
      </c>
      <c r="AA146" s="25">
        <f t="shared" si="2"/>
        <v>0</v>
      </c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/>
      <c r="EJ146" s="37"/>
      <c r="EK146" s="37"/>
      <c r="EL146" s="37"/>
      <c r="EM146" s="37"/>
      <c r="EN146" s="37"/>
      <c r="EO146" s="37"/>
      <c r="EP146" s="37"/>
      <c r="EQ146" s="37"/>
      <c r="ER146" s="37"/>
      <c r="ES146" s="37"/>
      <c r="ET146" s="37"/>
      <c r="EU146" s="37"/>
      <c r="EV146" s="37"/>
      <c r="EW146" s="37"/>
      <c r="EX146" s="37"/>
      <c r="EY146" s="37"/>
      <c r="EZ146" s="37"/>
      <c r="FA146" s="37"/>
      <c r="FB146" s="37"/>
      <c r="FC146" s="37"/>
      <c r="FD146" s="37"/>
      <c r="FE146" s="37"/>
      <c r="FF146" s="37"/>
      <c r="FG146" s="37"/>
      <c r="FH146" s="37"/>
      <c r="FI146" s="37"/>
      <c r="FJ146" s="37"/>
      <c r="FK146" s="37"/>
      <c r="FL146" s="37"/>
      <c r="FM146" s="37"/>
      <c r="FN146" s="37"/>
      <c r="FO146" s="37"/>
      <c r="FP146" s="37"/>
      <c r="FQ146" s="37"/>
      <c r="FR146" s="37"/>
      <c r="FS146" s="37"/>
      <c r="FT146" s="37"/>
      <c r="FU146" s="37"/>
      <c r="FV146" s="37"/>
      <c r="FW146" s="37"/>
      <c r="FX146" s="37"/>
      <c r="FY146" s="37"/>
      <c r="FZ146" s="37"/>
      <c r="GA146" s="37"/>
      <c r="GB146" s="37"/>
      <c r="GC146" s="37"/>
      <c r="GD146" s="37"/>
      <c r="GE146" s="37"/>
      <c r="GF146" s="37"/>
      <c r="GG146" s="37"/>
      <c r="GH146" s="37"/>
      <c r="GI146" s="37"/>
      <c r="GJ146" s="37"/>
      <c r="GK146" s="37"/>
      <c r="GL146" s="37"/>
      <c r="GM146" s="37"/>
      <c r="GN146" s="37"/>
      <c r="GO146" s="37"/>
      <c r="GP146" s="37"/>
      <c r="GQ146" s="37"/>
      <c r="GR146" s="37"/>
      <c r="GS146" s="37"/>
      <c r="GT146" s="37"/>
      <c r="GU146" s="37"/>
      <c r="GV146" s="37"/>
      <c r="GW146" s="37"/>
      <c r="GX146" s="37"/>
      <c r="GY146" s="37"/>
      <c r="GZ146" s="37"/>
      <c r="HA146" s="37"/>
      <c r="HB146" s="37"/>
      <c r="HC146" s="37"/>
      <c r="HD146" s="37"/>
      <c r="HE146" s="37"/>
      <c r="HF146" s="37"/>
      <c r="HG146" s="37"/>
      <c r="HH146" s="37"/>
      <c r="HI146" s="37"/>
      <c r="HJ146" s="37"/>
      <c r="HK146" s="37"/>
      <c r="HL146" s="37"/>
      <c r="HM146" s="37"/>
      <c r="HN146" s="37"/>
      <c r="HO146" s="37"/>
      <c r="HP146" s="37"/>
      <c r="HQ146" s="37"/>
      <c r="HR146" s="37"/>
      <c r="HS146" s="37"/>
      <c r="HT146" s="37"/>
      <c r="HU146" s="37"/>
      <c r="HV146" s="37"/>
      <c r="HW146" s="37"/>
      <c r="HX146" s="37"/>
      <c r="HY146" s="37"/>
      <c r="HZ146" s="37"/>
      <c r="IA146" s="37"/>
      <c r="IB146" s="37"/>
      <c r="IC146" s="37"/>
      <c r="ID146" s="37"/>
      <c r="IE146" s="37"/>
      <c r="IF146" s="37"/>
      <c r="IG146" s="37"/>
      <c r="IH146" s="37"/>
      <c r="II146" s="37"/>
      <c r="IJ146" s="37"/>
      <c r="IK146" s="37"/>
      <c r="IL146" s="37"/>
      <c r="IM146" s="37"/>
      <c r="IN146" s="37"/>
      <c r="IO146" s="37"/>
      <c r="IP146" s="37"/>
      <c r="IQ146" s="37"/>
      <c r="IR146" s="37"/>
      <c r="IS146" s="37"/>
      <c r="IT146" s="37"/>
      <c r="IU146" s="37"/>
      <c r="IV146" s="37"/>
      <c r="IW146" s="37"/>
      <c r="IX146" s="37"/>
      <c r="IY146" s="37"/>
      <c r="IZ146" s="37"/>
      <c r="JA146" s="37"/>
      <c r="JB146" s="37"/>
      <c r="JC146" s="37"/>
      <c r="JD146" s="37"/>
      <c r="JE146" s="37"/>
      <c r="JF146" s="37"/>
      <c r="JG146" s="37"/>
      <c r="JH146" s="37"/>
      <c r="JI146" s="37"/>
      <c r="JJ146" s="37"/>
      <c r="JK146" s="37"/>
      <c r="JL146" s="37"/>
      <c r="JM146" s="37"/>
      <c r="JN146" s="37"/>
      <c r="JO146" s="37"/>
      <c r="JP146" s="37"/>
      <c r="JQ146" s="37"/>
      <c r="JR146" s="37"/>
      <c r="JS146" s="37"/>
      <c r="JT146" s="37"/>
      <c r="JU146" s="37"/>
      <c r="JV146" s="37"/>
      <c r="JW146" s="37"/>
      <c r="JX146" s="37"/>
      <c r="JY146" s="37"/>
      <c r="JZ146" s="37"/>
      <c r="KA146" s="37"/>
      <c r="KB146" s="37"/>
      <c r="KC146" s="37"/>
      <c r="KD146" s="37"/>
      <c r="KE146" s="37"/>
      <c r="KF146" s="37"/>
      <c r="KG146" s="37"/>
      <c r="KH146" s="37"/>
      <c r="KI146" s="37"/>
      <c r="KJ146" s="37"/>
      <c r="KK146" s="37"/>
      <c r="KL146" s="37"/>
      <c r="KM146" s="37"/>
      <c r="KN146" s="37"/>
      <c r="KO146" s="37"/>
      <c r="KP146" s="37"/>
      <c r="KQ146" s="37"/>
      <c r="KR146" s="37"/>
      <c r="KS146" s="37"/>
      <c r="KT146" s="37"/>
      <c r="KU146" s="37"/>
      <c r="KV146" s="37"/>
      <c r="KW146" s="37"/>
      <c r="KX146" s="37"/>
      <c r="KY146" s="37"/>
      <c r="KZ146" s="37"/>
      <c r="LA146" s="37"/>
      <c r="LB146" s="37"/>
      <c r="LC146" s="37"/>
      <c r="LD146" s="37"/>
      <c r="LE146" s="37"/>
      <c r="LF146" s="37"/>
      <c r="LG146" s="37"/>
      <c r="LH146" s="37"/>
      <c r="LI146" s="37"/>
      <c r="LJ146" s="37"/>
      <c r="LK146" s="37"/>
      <c r="LL146" s="37"/>
      <c r="LM146" s="37"/>
      <c r="LN146" s="37"/>
      <c r="LO146" s="37"/>
      <c r="LP146" s="37"/>
      <c r="LQ146" s="37"/>
      <c r="LR146" s="37"/>
      <c r="LS146" s="37"/>
      <c r="LT146" s="37"/>
      <c r="LU146" s="37"/>
      <c r="LV146" s="37"/>
      <c r="LW146" s="37"/>
      <c r="LX146" s="37"/>
      <c r="LY146" s="37"/>
      <c r="LZ146" s="37"/>
      <c r="MA146" s="37"/>
      <c r="MB146" s="37"/>
      <c r="MC146" s="37"/>
      <c r="MD146" s="37"/>
      <c r="ME146" s="37"/>
      <c r="MF146" s="37"/>
      <c r="MG146" s="37"/>
      <c r="MH146" s="37"/>
      <c r="MI146" s="37"/>
      <c r="MJ146" s="37"/>
      <c r="MK146" s="37"/>
      <c r="ML146" s="37"/>
      <c r="MM146" s="37"/>
      <c r="MN146" s="37"/>
      <c r="MO146" s="37"/>
      <c r="MP146" s="37"/>
      <c r="MQ146" s="37"/>
      <c r="MR146" s="37"/>
      <c r="MS146" s="37"/>
      <c r="MT146" s="37"/>
      <c r="MU146" s="37"/>
      <c r="MV146" s="37"/>
      <c r="MW146" s="37"/>
      <c r="MX146" s="37"/>
      <c r="MY146" s="37"/>
      <c r="MZ146" s="37"/>
      <c r="NA146" s="37"/>
      <c r="NB146" s="37"/>
      <c r="NC146" s="37"/>
      <c r="ND146" s="37"/>
      <c r="NE146" s="37"/>
      <c r="NF146" s="37"/>
      <c r="NG146" s="37"/>
      <c r="NH146" s="37"/>
      <c r="NI146" s="37"/>
      <c r="NJ146" s="37"/>
      <c r="NK146" s="37"/>
      <c r="NL146" s="37"/>
      <c r="NM146" s="37"/>
      <c r="NN146" s="37"/>
      <c r="NO146" s="37"/>
      <c r="NP146" s="37"/>
      <c r="NQ146" s="37"/>
      <c r="NR146" s="37"/>
      <c r="NS146" s="37"/>
      <c r="NT146" s="37"/>
      <c r="NU146" s="37"/>
      <c r="NV146" s="37"/>
      <c r="NW146" s="37"/>
      <c r="NX146" s="37"/>
      <c r="NY146" s="37"/>
      <c r="NZ146" s="37"/>
      <c r="OA146" s="37"/>
      <c r="OB146" s="37"/>
      <c r="OC146" s="37"/>
      <c r="OD146" s="37"/>
      <c r="OE146" s="37"/>
      <c r="OF146" s="37"/>
      <c r="OG146" s="37"/>
      <c r="OH146" s="37"/>
      <c r="OI146" s="37"/>
      <c r="OJ146" s="37"/>
      <c r="OK146" s="37"/>
      <c r="OL146" s="37"/>
      <c r="OM146" s="37"/>
      <c r="ON146" s="37"/>
      <c r="OO146" s="37"/>
      <c r="OP146" s="37"/>
      <c r="OQ146" s="37"/>
      <c r="OR146" s="37"/>
      <c r="OS146" s="37"/>
      <c r="OT146" s="37"/>
      <c r="OU146" s="37"/>
      <c r="OV146" s="37"/>
      <c r="OW146" s="37"/>
      <c r="OX146" s="37"/>
      <c r="OY146" s="37"/>
      <c r="OZ146" s="37"/>
      <c r="PA146" s="37"/>
      <c r="PB146" s="37"/>
      <c r="PC146" s="37"/>
      <c r="PD146" s="37"/>
      <c r="PE146" s="37"/>
      <c r="PF146" s="37"/>
      <c r="PG146" s="37"/>
      <c r="PH146" s="37"/>
      <c r="PI146" s="37"/>
      <c r="PJ146" s="37"/>
      <c r="PK146" s="37"/>
      <c r="PL146" s="37"/>
      <c r="PM146" s="37"/>
      <c r="PN146" s="37"/>
      <c r="PO146" s="37"/>
      <c r="PP146" s="37"/>
      <c r="PQ146" s="37"/>
      <c r="PR146" s="37"/>
      <c r="PS146" s="37"/>
      <c r="PT146" s="37"/>
      <c r="PU146" s="37"/>
      <c r="PV146" s="37"/>
      <c r="PW146" s="37"/>
      <c r="PX146" s="37"/>
      <c r="PY146" s="37"/>
      <c r="PZ146" s="37"/>
      <c r="QA146" s="37"/>
      <c r="QB146" s="37"/>
      <c r="QC146" s="37"/>
      <c r="QD146" s="37"/>
      <c r="QE146" s="37"/>
      <c r="QF146" s="37"/>
      <c r="QG146" s="37"/>
      <c r="QH146" s="37"/>
      <c r="QI146" s="37"/>
      <c r="QJ146" s="37"/>
      <c r="QK146" s="37"/>
      <c r="QL146" s="37"/>
      <c r="QM146" s="37"/>
      <c r="QN146" s="37"/>
      <c r="QO146" s="37"/>
      <c r="QP146" s="37"/>
      <c r="QQ146" s="37"/>
      <c r="QR146" s="37"/>
      <c r="QS146" s="37"/>
      <c r="QT146" s="37"/>
      <c r="QU146" s="37"/>
      <c r="QV146" s="37"/>
      <c r="QW146" s="37"/>
      <c r="QX146" s="37"/>
      <c r="QY146" s="37"/>
      <c r="QZ146" s="37"/>
      <c r="RA146" s="37"/>
      <c r="RB146" s="37"/>
      <c r="RC146" s="37"/>
      <c r="RD146" s="37"/>
      <c r="RE146" s="37"/>
      <c r="RF146" s="37"/>
      <c r="RG146" s="37"/>
      <c r="RH146" s="37"/>
      <c r="RI146" s="37"/>
      <c r="RJ146" s="37"/>
      <c r="RK146" s="37"/>
      <c r="RL146" s="37"/>
      <c r="RM146" s="37"/>
      <c r="RN146" s="37"/>
      <c r="RO146" s="37"/>
      <c r="RP146" s="37"/>
      <c r="RQ146" s="37"/>
      <c r="RR146" s="37"/>
      <c r="RS146" s="37"/>
      <c r="RT146" s="37"/>
      <c r="RU146" s="37"/>
      <c r="RV146" s="37"/>
      <c r="RW146" s="37"/>
      <c r="RX146" s="37"/>
      <c r="RY146" s="37"/>
      <c r="RZ146" s="37"/>
      <c r="SA146" s="37"/>
      <c r="SB146" s="37"/>
      <c r="SC146" s="37"/>
      <c r="SD146" s="37"/>
      <c r="SE146" s="37"/>
      <c r="SF146" s="37"/>
      <c r="SG146" s="37"/>
      <c r="SH146" s="37"/>
      <c r="SI146" s="37"/>
      <c r="SJ146" s="37"/>
      <c r="SK146" s="37"/>
      <c r="SL146" s="37"/>
      <c r="SM146" s="37"/>
      <c r="SN146" s="37"/>
      <c r="SO146" s="37"/>
      <c r="SP146" s="37"/>
      <c r="SQ146" s="37"/>
      <c r="SR146" s="37"/>
      <c r="SS146" s="37"/>
      <c r="ST146" s="37"/>
      <c r="SU146" s="37"/>
      <c r="SV146" s="37"/>
      <c r="SW146" s="37"/>
      <c r="SX146" s="37"/>
      <c r="SY146" s="37"/>
      <c r="SZ146" s="37"/>
      <c r="TA146" s="37"/>
      <c r="TB146" s="37"/>
      <c r="TC146" s="37"/>
      <c r="TD146" s="37"/>
      <c r="TE146" s="37"/>
      <c r="TF146" s="37"/>
      <c r="TG146" s="37"/>
      <c r="TH146" s="37"/>
      <c r="TI146" s="37"/>
      <c r="TJ146" s="37"/>
      <c r="TK146" s="37"/>
      <c r="TL146" s="37"/>
      <c r="TM146" s="37"/>
      <c r="TN146" s="37"/>
      <c r="TO146" s="37"/>
      <c r="TP146" s="37"/>
      <c r="TQ146" s="37"/>
      <c r="TR146" s="37"/>
      <c r="TS146" s="37"/>
      <c r="TT146" s="37"/>
      <c r="TU146" s="37"/>
      <c r="TV146" s="37"/>
      <c r="TW146" s="37"/>
      <c r="TX146" s="37"/>
      <c r="TY146" s="37"/>
      <c r="TZ146" s="37"/>
      <c r="UA146" s="37"/>
      <c r="UB146" s="37"/>
      <c r="UC146" s="37"/>
      <c r="UD146" s="37"/>
      <c r="UE146" s="37"/>
      <c r="UF146" s="37"/>
      <c r="UG146" s="37"/>
      <c r="UH146" s="37"/>
      <c r="UI146" s="37"/>
      <c r="UJ146" s="37"/>
      <c r="UK146" s="37"/>
      <c r="UL146" s="37"/>
      <c r="UM146" s="37"/>
      <c r="UN146" s="37"/>
      <c r="UO146" s="37"/>
      <c r="UP146" s="37"/>
      <c r="UQ146" s="37"/>
      <c r="UR146" s="37"/>
      <c r="US146" s="37"/>
      <c r="UT146" s="37"/>
      <c r="UU146" s="37"/>
      <c r="UV146" s="37"/>
      <c r="UW146" s="37"/>
      <c r="UX146" s="37"/>
      <c r="UY146" s="37"/>
      <c r="UZ146" s="37"/>
      <c r="VA146" s="37"/>
      <c r="VB146" s="37"/>
      <c r="VC146" s="37"/>
      <c r="VD146" s="37"/>
      <c r="VE146" s="37"/>
      <c r="VF146" s="37"/>
      <c r="VG146" s="37"/>
      <c r="VH146" s="37"/>
      <c r="VI146" s="37"/>
      <c r="VJ146" s="37"/>
      <c r="VK146" s="37"/>
      <c r="VL146" s="37"/>
      <c r="VM146" s="37"/>
      <c r="VN146" s="37"/>
      <c r="VO146" s="37"/>
      <c r="VP146" s="37"/>
      <c r="VQ146" s="37"/>
      <c r="VR146" s="37"/>
      <c r="VS146" s="37"/>
      <c r="VT146" s="37"/>
      <c r="VU146" s="37"/>
      <c r="VV146" s="37"/>
      <c r="VW146" s="37"/>
      <c r="VX146" s="37"/>
      <c r="VY146" s="37"/>
      <c r="VZ146" s="37"/>
      <c r="WA146" s="37"/>
      <c r="WB146" s="37"/>
      <c r="WC146" s="37"/>
      <c r="WD146" s="37"/>
      <c r="WE146" s="37"/>
      <c r="WF146" s="37"/>
      <c r="WG146" s="37"/>
      <c r="WH146" s="37"/>
      <c r="WI146" s="37"/>
      <c r="WJ146" s="37"/>
      <c r="WK146" s="37"/>
      <c r="WL146" s="37"/>
      <c r="WM146" s="37"/>
      <c r="WN146" s="37"/>
      <c r="WO146" s="37"/>
      <c r="WP146" s="37"/>
      <c r="WQ146" s="37"/>
      <c r="WR146" s="37"/>
      <c r="WS146" s="37"/>
      <c r="WT146" s="37"/>
      <c r="WU146" s="37"/>
      <c r="WV146" s="37"/>
      <c r="WW146" s="37"/>
      <c r="WX146" s="37"/>
      <c r="WY146" s="37"/>
      <c r="WZ146" s="37"/>
      <c r="XA146" s="37"/>
      <c r="XB146" s="37"/>
      <c r="XC146" s="37"/>
      <c r="XD146" s="37"/>
      <c r="XE146" s="37"/>
      <c r="XF146" s="37"/>
      <c r="XG146" s="37"/>
      <c r="XH146" s="37"/>
      <c r="XI146" s="37"/>
      <c r="XJ146" s="37"/>
      <c r="XK146" s="37"/>
      <c r="XL146" s="37"/>
      <c r="XM146" s="37"/>
      <c r="XN146" s="37"/>
      <c r="XO146" s="37"/>
      <c r="XP146" s="37"/>
      <c r="XQ146" s="37"/>
      <c r="XR146" s="37"/>
      <c r="XS146" s="37"/>
      <c r="XT146" s="37"/>
      <c r="XU146" s="37"/>
      <c r="XV146" s="37"/>
      <c r="XW146" s="37"/>
      <c r="XX146" s="37"/>
      <c r="XY146" s="37"/>
      <c r="XZ146" s="37"/>
      <c r="YA146" s="37"/>
      <c r="YB146" s="37"/>
      <c r="YC146" s="37"/>
      <c r="YD146" s="37"/>
      <c r="YE146" s="37"/>
      <c r="YF146" s="37"/>
      <c r="YG146" s="37"/>
      <c r="YH146" s="37"/>
      <c r="YI146" s="37"/>
      <c r="YJ146" s="37"/>
      <c r="YK146" s="37"/>
      <c r="YL146" s="37"/>
      <c r="YM146" s="37"/>
      <c r="YN146" s="37"/>
      <c r="YO146" s="37"/>
      <c r="YP146" s="37"/>
      <c r="YQ146" s="37"/>
      <c r="YR146" s="37"/>
      <c r="YS146" s="37"/>
      <c r="YT146" s="37"/>
      <c r="YU146" s="37"/>
      <c r="YV146" s="37"/>
      <c r="YW146" s="37"/>
      <c r="YX146" s="37"/>
      <c r="YY146" s="37"/>
      <c r="YZ146" s="37"/>
      <c r="ZA146" s="37"/>
      <c r="ZB146" s="37"/>
      <c r="ZC146" s="37"/>
      <c r="ZD146" s="37"/>
      <c r="ZE146" s="37"/>
      <c r="ZF146" s="37"/>
      <c r="ZG146" s="37"/>
      <c r="ZH146" s="37"/>
      <c r="ZI146" s="37"/>
      <c r="ZJ146" s="37"/>
      <c r="ZK146" s="37"/>
      <c r="ZL146" s="37"/>
      <c r="ZM146" s="37"/>
      <c r="ZN146" s="37"/>
      <c r="ZO146" s="37"/>
      <c r="ZP146" s="37"/>
      <c r="ZQ146" s="37"/>
      <c r="ZR146" s="37"/>
      <c r="ZS146" s="37"/>
      <c r="ZT146" s="37"/>
      <c r="ZU146" s="37"/>
      <c r="ZV146" s="37"/>
      <c r="ZW146" s="37"/>
      <c r="ZX146" s="37"/>
      <c r="ZY146" s="37"/>
      <c r="ZZ146" s="37"/>
      <c r="AAA146" s="37"/>
      <c r="AAB146" s="37"/>
      <c r="AAC146" s="37"/>
      <c r="AAD146" s="37"/>
      <c r="AAE146" s="37"/>
      <c r="AAF146" s="37"/>
      <c r="AAG146" s="37"/>
      <c r="AAH146" s="37"/>
      <c r="AAI146" s="37"/>
      <c r="AAJ146" s="37"/>
      <c r="AAK146" s="37"/>
      <c r="AAL146" s="37"/>
      <c r="AAM146" s="37"/>
      <c r="AAN146" s="37"/>
      <c r="AAO146" s="37"/>
      <c r="AAP146" s="37"/>
      <c r="AAQ146" s="37"/>
      <c r="AAR146" s="37"/>
      <c r="AAS146" s="37"/>
      <c r="AAT146" s="37"/>
      <c r="AAU146" s="37"/>
      <c r="AAV146" s="37"/>
      <c r="AAW146" s="37"/>
      <c r="AAX146" s="37"/>
      <c r="AAY146" s="37"/>
      <c r="AAZ146" s="37"/>
      <c r="ABA146" s="37"/>
      <c r="ABB146" s="37"/>
      <c r="ABC146" s="37"/>
      <c r="ABD146" s="37"/>
      <c r="ABE146" s="37"/>
      <c r="ABF146" s="37"/>
      <c r="ABG146" s="37"/>
      <c r="ABH146" s="37"/>
      <c r="ABI146" s="37"/>
      <c r="ABJ146" s="37"/>
      <c r="ABK146" s="37"/>
      <c r="ABL146" s="37"/>
      <c r="ABM146" s="37"/>
      <c r="ABN146" s="37"/>
      <c r="ABO146" s="37"/>
      <c r="ABP146" s="37"/>
      <c r="ABQ146" s="37"/>
      <c r="ABR146" s="37"/>
      <c r="ABS146" s="37"/>
      <c r="ABT146" s="37"/>
      <c r="ABU146" s="37"/>
      <c r="ABV146" s="37"/>
      <c r="ABW146" s="37"/>
      <c r="ABX146" s="37"/>
      <c r="ABY146" s="37"/>
      <c r="ABZ146" s="37"/>
      <c r="ACA146" s="37"/>
      <c r="ACB146" s="37"/>
      <c r="ACC146" s="37"/>
      <c r="ACD146" s="37"/>
      <c r="ACE146" s="37"/>
      <c r="ACF146" s="37"/>
      <c r="ACG146" s="37"/>
      <c r="ACH146" s="37"/>
      <c r="ACI146" s="37"/>
      <c r="ACJ146" s="37"/>
      <c r="ACK146" s="37"/>
      <c r="ACL146" s="37"/>
      <c r="ACM146" s="37"/>
      <c r="ACN146" s="37"/>
      <c r="ACO146" s="37"/>
      <c r="ACP146" s="37"/>
      <c r="ACQ146" s="37"/>
      <c r="ACR146" s="37"/>
      <c r="ACS146" s="37"/>
      <c r="ACT146" s="37"/>
      <c r="ACU146" s="37"/>
      <c r="ACV146" s="37"/>
      <c r="ACW146" s="37"/>
      <c r="ACX146" s="37"/>
      <c r="ACY146" s="37"/>
      <c r="ACZ146" s="37"/>
      <c r="ADA146" s="37"/>
      <c r="ADB146" s="37"/>
      <c r="ADC146" s="37"/>
      <c r="ADD146" s="37"/>
      <c r="ADE146" s="37"/>
      <c r="ADF146" s="37"/>
      <c r="ADG146" s="37"/>
      <c r="ADH146" s="37"/>
      <c r="ADI146" s="37"/>
      <c r="ADJ146" s="37"/>
      <c r="ADK146" s="37"/>
      <c r="ADL146" s="37"/>
      <c r="ADM146" s="37"/>
      <c r="ADN146" s="37"/>
      <c r="ADO146" s="37"/>
      <c r="ADP146" s="37"/>
      <c r="ADQ146" s="37"/>
      <c r="ADR146" s="37"/>
      <c r="ADS146" s="37"/>
      <c r="ADT146" s="37"/>
      <c r="ADU146" s="37"/>
      <c r="ADV146" s="37"/>
      <c r="ADW146" s="37"/>
      <c r="ADX146" s="37"/>
      <c r="ADY146" s="37"/>
      <c r="ADZ146" s="37"/>
      <c r="AEA146" s="37"/>
      <c r="AEB146" s="37"/>
      <c r="AEC146" s="37"/>
      <c r="AED146" s="37"/>
      <c r="AEE146" s="37"/>
      <c r="AEF146" s="37"/>
      <c r="AEG146" s="37"/>
      <c r="AEH146" s="37"/>
      <c r="AEI146" s="37"/>
      <c r="AEJ146" s="37"/>
      <c r="AEK146" s="37"/>
      <c r="AEL146" s="37"/>
      <c r="AEM146" s="37"/>
      <c r="AEN146" s="37"/>
      <c r="AEO146" s="37"/>
      <c r="AEP146" s="37"/>
      <c r="AEQ146" s="37"/>
      <c r="AER146" s="37"/>
      <c r="AES146" s="37"/>
      <c r="AET146" s="37"/>
      <c r="AEU146" s="37"/>
      <c r="AEV146" s="37"/>
      <c r="AEW146" s="37"/>
      <c r="AEX146" s="37"/>
      <c r="AEY146" s="37"/>
      <c r="AEZ146" s="37"/>
      <c r="AFA146" s="37"/>
      <c r="AFB146" s="37"/>
      <c r="AFC146" s="37"/>
      <c r="AFD146" s="37"/>
      <c r="AFE146" s="37"/>
      <c r="AFF146" s="37"/>
      <c r="AFG146" s="37"/>
      <c r="AFH146" s="37"/>
      <c r="AFI146" s="37"/>
      <c r="AFJ146" s="37"/>
      <c r="AFK146" s="37"/>
      <c r="AFL146" s="37"/>
      <c r="AFM146" s="37"/>
      <c r="AFN146" s="37"/>
      <c r="AFO146" s="37"/>
      <c r="AFP146" s="37"/>
      <c r="AFQ146" s="37"/>
      <c r="AFR146" s="37"/>
      <c r="AFS146" s="37"/>
      <c r="AFT146" s="37"/>
      <c r="AFU146" s="37"/>
      <c r="AFV146" s="37"/>
      <c r="AFW146" s="37"/>
      <c r="AFX146" s="37"/>
      <c r="AFY146" s="37"/>
      <c r="AFZ146" s="37"/>
      <c r="AGA146" s="37"/>
      <c r="AGB146" s="37"/>
      <c r="AGC146" s="37"/>
      <c r="AGD146" s="37"/>
      <c r="AGE146" s="37"/>
      <c r="AGF146" s="37"/>
      <c r="AGG146" s="37"/>
      <c r="AGH146" s="37"/>
      <c r="AGI146" s="37"/>
      <c r="AGJ146" s="37"/>
      <c r="AGK146" s="37"/>
      <c r="AGL146" s="37"/>
      <c r="AGM146" s="37"/>
      <c r="AGN146" s="37"/>
      <c r="AGO146" s="37"/>
      <c r="AGP146" s="37"/>
      <c r="AGQ146" s="37"/>
      <c r="AGR146" s="37"/>
      <c r="AGS146" s="37"/>
      <c r="AGT146" s="37"/>
      <c r="AGU146" s="37"/>
      <c r="AGV146" s="37"/>
      <c r="AGW146" s="37"/>
      <c r="AGX146" s="37"/>
      <c r="AGY146" s="37"/>
      <c r="AGZ146" s="37"/>
      <c r="AHA146" s="37"/>
      <c r="AHB146" s="37"/>
      <c r="AHC146" s="37"/>
      <c r="AHD146" s="37"/>
      <c r="AHE146" s="37"/>
      <c r="AHF146" s="37"/>
      <c r="AHG146" s="37"/>
      <c r="AHH146" s="37"/>
      <c r="AHI146" s="37"/>
      <c r="AHJ146" s="37"/>
      <c r="AHK146" s="37"/>
      <c r="AHL146" s="37"/>
      <c r="AHM146" s="37"/>
      <c r="AHN146" s="37"/>
      <c r="AHO146" s="37"/>
      <c r="AHP146" s="37"/>
      <c r="AHQ146" s="37"/>
      <c r="AHR146" s="37"/>
      <c r="AHS146" s="37"/>
      <c r="AHT146" s="37"/>
      <c r="AHU146" s="37"/>
      <c r="AHV146" s="37"/>
      <c r="AHW146" s="37"/>
      <c r="AHX146" s="37"/>
      <c r="AHY146" s="37"/>
      <c r="AHZ146" s="37"/>
      <c r="AIA146" s="37"/>
      <c r="AIB146" s="37"/>
      <c r="AIC146" s="37"/>
      <c r="AID146" s="37"/>
      <c r="AIE146" s="37"/>
      <c r="AIF146" s="37"/>
      <c r="AIG146" s="37"/>
      <c r="AIH146" s="37"/>
      <c r="AII146" s="37"/>
      <c r="AIJ146" s="37"/>
      <c r="AIK146" s="37"/>
      <c r="AIL146" s="37"/>
      <c r="AIM146" s="37"/>
      <c r="AIN146" s="37"/>
      <c r="AIO146" s="37"/>
      <c r="AIP146" s="37"/>
      <c r="AIQ146" s="37"/>
      <c r="AIR146" s="37"/>
      <c r="AIS146" s="37"/>
      <c r="AIT146" s="37"/>
      <c r="AIU146" s="37"/>
      <c r="AIV146" s="37"/>
      <c r="AIW146" s="37"/>
      <c r="AIX146" s="37"/>
      <c r="AIY146" s="37"/>
      <c r="AIZ146" s="37"/>
      <c r="AJA146" s="37"/>
      <c r="AJB146" s="37"/>
      <c r="AJC146" s="37"/>
      <c r="AJD146" s="37"/>
      <c r="AJE146" s="37"/>
      <c r="AJF146" s="37"/>
      <c r="AJG146" s="37"/>
      <c r="AJH146" s="37"/>
      <c r="AJI146" s="37"/>
      <c r="AJJ146" s="37"/>
      <c r="AJK146" s="37"/>
      <c r="AJL146" s="37"/>
      <c r="AJM146" s="37"/>
      <c r="AJN146" s="37"/>
      <c r="AJO146" s="37"/>
      <c r="AJP146" s="37"/>
      <c r="AJQ146" s="37"/>
      <c r="AJR146" s="37"/>
      <c r="AJS146" s="37"/>
      <c r="AJT146" s="37"/>
      <c r="AJU146" s="37"/>
      <c r="AJV146" s="37"/>
      <c r="AJW146" s="37"/>
      <c r="AJX146" s="37"/>
      <c r="AJY146" s="37"/>
      <c r="AJZ146" s="37"/>
      <c r="AKA146" s="37"/>
      <c r="AKB146" s="37"/>
      <c r="AKC146" s="37"/>
      <c r="AKD146" s="37"/>
      <c r="AKE146" s="37"/>
      <c r="AKF146" s="37"/>
      <c r="AKG146" s="37"/>
      <c r="AKH146" s="37"/>
      <c r="AKI146" s="37"/>
      <c r="AKJ146" s="37"/>
      <c r="AKK146" s="37"/>
      <c r="AKL146" s="37"/>
      <c r="AKM146" s="37"/>
      <c r="AKN146" s="37"/>
      <c r="AKO146" s="37"/>
      <c r="AKP146" s="37"/>
      <c r="AKQ146" s="37"/>
      <c r="AKR146" s="37"/>
      <c r="AKS146" s="37"/>
      <c r="AKT146" s="37"/>
      <c r="AKU146" s="37"/>
      <c r="AKV146" s="37"/>
      <c r="AKW146" s="37"/>
      <c r="AKX146" s="37"/>
      <c r="AKY146" s="37"/>
      <c r="AKZ146" s="37"/>
      <c r="ALA146" s="37"/>
      <c r="ALB146" s="37"/>
      <c r="ALC146" s="37"/>
      <c r="ALD146" s="37"/>
      <c r="ALE146" s="37"/>
      <c r="ALF146" s="37"/>
      <c r="ALG146" s="37"/>
      <c r="ALH146" s="37"/>
      <c r="ALI146" s="37"/>
      <c r="ALJ146" s="37"/>
      <c r="ALK146" s="37"/>
      <c r="ALL146" s="37"/>
      <c r="ALM146" s="37"/>
      <c r="ALN146" s="37"/>
      <c r="ALO146" s="37"/>
      <c r="ALP146" s="37"/>
      <c r="ALQ146" s="37"/>
      <c r="ALR146" s="37"/>
      <c r="ALS146" s="37"/>
      <c r="ALT146" s="37"/>
      <c r="ALU146" s="37"/>
      <c r="ALV146" s="37"/>
      <c r="ALW146" s="37"/>
      <c r="ALX146" s="37"/>
      <c r="ALY146" s="37"/>
      <c r="ALZ146" s="37"/>
      <c r="AMA146" s="37"/>
      <c r="AMB146" s="37"/>
      <c r="AMC146" s="37"/>
      <c r="AMD146" s="37"/>
      <c r="AME146" s="37"/>
      <c r="AMF146" s="37"/>
      <c r="AMG146" s="37"/>
      <c r="AMH146" s="37"/>
      <c r="AMI146" s="37"/>
      <c r="AMJ146" s="37"/>
      <c r="AMK146" s="37"/>
      <c r="AML146" s="37"/>
      <c r="AMM146" s="37"/>
      <c r="AMN146" s="37"/>
      <c r="AMO146" s="37"/>
      <c r="AMP146" s="37"/>
      <c r="AMQ146" s="37"/>
      <c r="AMR146" s="37"/>
      <c r="AMS146" s="37"/>
      <c r="AMT146" s="37"/>
      <c r="AMU146" s="37"/>
      <c r="AMV146" s="37"/>
      <c r="AMW146" s="37"/>
      <c r="AMX146" s="37"/>
      <c r="AMY146" s="37"/>
      <c r="AMZ146" s="37"/>
      <c r="ANA146" s="37"/>
      <c r="ANB146" s="37"/>
      <c r="ANC146" s="37"/>
      <c r="AND146" s="37"/>
      <c r="ANE146" s="37"/>
      <c r="ANF146" s="37"/>
      <c r="ANG146" s="37"/>
      <c r="ANH146" s="37"/>
      <c r="ANI146" s="37"/>
      <c r="ANJ146" s="37"/>
      <c r="ANK146" s="37"/>
      <c r="ANL146" s="37"/>
      <c r="ANM146" s="37"/>
      <c r="ANN146" s="37"/>
      <c r="ANO146" s="37"/>
      <c r="ANP146" s="37"/>
      <c r="ANQ146" s="37"/>
      <c r="ANR146" s="37"/>
      <c r="ANS146" s="37"/>
      <c r="ANT146" s="37"/>
      <c r="ANU146" s="37"/>
      <c r="ANV146" s="37"/>
      <c r="ANW146" s="37"/>
      <c r="ANX146" s="37"/>
      <c r="ANY146" s="37"/>
      <c r="ANZ146" s="37"/>
      <c r="AOA146" s="37"/>
      <c r="AOB146" s="37"/>
      <c r="AOC146" s="37"/>
      <c r="AOD146" s="37"/>
      <c r="AOE146" s="37"/>
      <c r="AOF146" s="37"/>
      <c r="AOG146" s="37"/>
      <c r="AOH146" s="37"/>
      <c r="AOI146" s="37"/>
      <c r="AOJ146" s="37"/>
      <c r="AOK146" s="37"/>
      <c r="AOL146" s="37"/>
      <c r="AOM146" s="37"/>
      <c r="AON146" s="37"/>
      <c r="AOO146" s="37"/>
      <c r="AOP146" s="37"/>
      <c r="AOQ146" s="37"/>
      <c r="AOR146" s="37"/>
      <c r="AOS146" s="37"/>
      <c r="AOT146" s="37"/>
      <c r="AOU146" s="37"/>
      <c r="AOV146" s="37"/>
      <c r="AOW146" s="37"/>
      <c r="AOX146" s="37"/>
      <c r="AOY146" s="37"/>
      <c r="AOZ146" s="37"/>
      <c r="APA146" s="37"/>
      <c r="APB146" s="37"/>
      <c r="APC146" s="37"/>
      <c r="APD146" s="37"/>
      <c r="APE146" s="37"/>
      <c r="APF146" s="37"/>
      <c r="APG146" s="37"/>
      <c r="APH146" s="37"/>
      <c r="API146" s="37"/>
      <c r="APJ146" s="37"/>
      <c r="APK146" s="37"/>
      <c r="APL146" s="37"/>
      <c r="APM146" s="37"/>
      <c r="APN146" s="37"/>
      <c r="APO146" s="37"/>
      <c r="APP146" s="37"/>
      <c r="APQ146" s="37"/>
      <c r="APR146" s="37"/>
      <c r="APS146" s="37"/>
      <c r="APT146" s="37"/>
      <c r="APU146" s="37"/>
      <c r="APV146" s="37"/>
      <c r="APW146" s="37"/>
      <c r="APX146" s="37"/>
      <c r="APY146" s="37"/>
      <c r="APZ146" s="37"/>
      <c r="AQA146" s="37"/>
      <c r="AQB146" s="37"/>
      <c r="AQC146" s="37"/>
      <c r="AQD146" s="37"/>
      <c r="AQE146" s="37"/>
      <c r="AQF146" s="37"/>
      <c r="AQG146" s="37"/>
      <c r="AQH146" s="37"/>
      <c r="AQI146" s="37"/>
      <c r="AQJ146" s="37"/>
      <c r="AQK146" s="37"/>
      <c r="AQL146" s="37"/>
      <c r="AQM146" s="37"/>
      <c r="AQN146" s="37"/>
      <c r="AQO146" s="37"/>
      <c r="AQP146" s="37"/>
      <c r="AQQ146" s="37"/>
      <c r="AQR146" s="37"/>
      <c r="AQS146" s="37"/>
      <c r="AQT146" s="37"/>
      <c r="AQU146" s="37"/>
      <c r="AQV146" s="37"/>
      <c r="AQW146" s="37"/>
      <c r="AQX146" s="37"/>
      <c r="AQY146" s="37"/>
      <c r="AQZ146" s="37"/>
      <c r="ARA146" s="37"/>
      <c r="ARB146" s="37"/>
      <c r="ARC146" s="37"/>
      <c r="ARD146" s="37"/>
      <c r="ARE146" s="37"/>
      <c r="ARF146" s="37"/>
      <c r="ARG146" s="37"/>
      <c r="ARH146" s="37"/>
      <c r="ARI146" s="37"/>
      <c r="ARJ146" s="37"/>
      <c r="ARK146" s="37"/>
      <c r="ARL146" s="37"/>
      <c r="ARM146" s="37"/>
      <c r="ARN146" s="37"/>
      <c r="ARO146" s="37"/>
      <c r="ARP146" s="37"/>
      <c r="ARQ146" s="37"/>
      <c r="ARR146" s="37"/>
      <c r="ARS146" s="37"/>
      <c r="ART146" s="37"/>
      <c r="ARU146" s="37"/>
      <c r="ARV146" s="37"/>
      <c r="ARW146" s="37"/>
      <c r="ARX146" s="37"/>
      <c r="ARY146" s="37"/>
      <c r="ARZ146" s="37"/>
      <c r="ASA146" s="37"/>
      <c r="ASB146" s="37"/>
      <c r="ASC146" s="37"/>
      <c r="ASD146" s="37"/>
      <c r="ASE146" s="37"/>
      <c r="ASF146" s="37"/>
      <c r="ASG146" s="37"/>
      <c r="ASH146" s="37"/>
      <c r="ASI146" s="37"/>
      <c r="ASJ146" s="37"/>
      <c r="ASK146" s="37"/>
      <c r="ASL146" s="37"/>
      <c r="ASM146" s="37"/>
      <c r="ASN146" s="37"/>
      <c r="ASO146" s="37"/>
      <c r="ASP146" s="37"/>
      <c r="ASQ146" s="37"/>
      <c r="ASR146" s="37"/>
      <c r="ASS146" s="37"/>
      <c r="AST146" s="37"/>
      <c r="ASU146" s="37"/>
      <c r="ASV146" s="37"/>
      <c r="ASW146" s="37"/>
      <c r="ASX146" s="37"/>
      <c r="ASY146" s="37"/>
      <c r="ASZ146" s="37"/>
      <c r="ATA146" s="37"/>
      <c r="ATB146" s="37"/>
      <c r="ATC146" s="37"/>
      <c r="ATD146" s="37"/>
      <c r="ATE146" s="37"/>
      <c r="ATF146" s="37"/>
      <c r="ATG146" s="37"/>
      <c r="ATH146" s="37"/>
      <c r="ATI146" s="37"/>
      <c r="ATJ146" s="37"/>
      <c r="ATK146" s="37"/>
      <c r="ATL146" s="37"/>
      <c r="ATM146" s="37"/>
      <c r="ATN146" s="37"/>
      <c r="ATO146" s="37"/>
      <c r="ATP146" s="37"/>
      <c r="ATQ146" s="37"/>
      <c r="ATR146" s="37"/>
      <c r="ATS146" s="37"/>
      <c r="ATT146" s="37"/>
      <c r="ATU146" s="37"/>
      <c r="ATV146" s="37"/>
      <c r="ATW146" s="37"/>
      <c r="ATX146" s="37"/>
      <c r="ATY146" s="37"/>
      <c r="ATZ146" s="37"/>
      <c r="AUA146" s="37"/>
      <c r="AUB146" s="37"/>
      <c r="AUC146" s="37"/>
      <c r="AUD146" s="37"/>
      <c r="AUE146" s="37"/>
      <c r="AUF146" s="37"/>
      <c r="AUG146" s="37"/>
      <c r="AUH146" s="37"/>
      <c r="AUI146" s="37"/>
      <c r="AUJ146" s="37"/>
      <c r="AUK146" s="37"/>
      <c r="AUL146" s="37"/>
      <c r="AUM146" s="37"/>
      <c r="AUN146" s="37"/>
      <c r="AUO146" s="37"/>
      <c r="AUP146" s="37"/>
      <c r="AUQ146" s="37"/>
      <c r="AUR146" s="37"/>
      <c r="AUS146" s="37"/>
      <c r="AUT146" s="37"/>
      <c r="AUU146" s="37"/>
      <c r="AUV146" s="37"/>
      <c r="AUW146" s="37"/>
      <c r="AUX146" s="37"/>
      <c r="AUY146" s="37"/>
      <c r="AUZ146" s="37"/>
      <c r="AVA146" s="37"/>
      <c r="AVB146" s="37"/>
      <c r="AVC146" s="37"/>
      <c r="AVD146" s="37"/>
      <c r="AVE146" s="37"/>
      <c r="AVF146" s="37"/>
      <c r="AVG146" s="37"/>
      <c r="AVH146" s="37"/>
      <c r="AVI146" s="37"/>
      <c r="AVJ146" s="37"/>
      <c r="AVK146" s="37"/>
      <c r="AVL146" s="37"/>
      <c r="AVM146" s="37"/>
      <c r="AVN146" s="37"/>
      <c r="AVO146" s="37"/>
      <c r="AVP146" s="37"/>
      <c r="AVQ146" s="37"/>
      <c r="AVR146" s="37"/>
      <c r="AVS146" s="37"/>
      <c r="AVT146" s="37"/>
      <c r="AVU146" s="37"/>
      <c r="AVV146" s="37"/>
      <c r="AVW146" s="37"/>
      <c r="AVX146" s="37"/>
      <c r="AVY146" s="37"/>
      <c r="AVZ146" s="37"/>
      <c r="AWA146" s="37"/>
      <c r="AWB146" s="37"/>
      <c r="AWC146" s="37"/>
      <c r="AWD146" s="37"/>
      <c r="AWE146" s="37"/>
      <c r="AWF146" s="37"/>
      <c r="AWG146" s="37"/>
      <c r="AWH146" s="37"/>
      <c r="AWI146" s="37"/>
      <c r="AWJ146" s="37"/>
      <c r="AWK146" s="37"/>
      <c r="AWL146" s="37"/>
      <c r="AWM146" s="37"/>
      <c r="AWN146" s="37"/>
      <c r="AWO146" s="37"/>
      <c r="AWP146" s="37"/>
      <c r="AWQ146" s="37"/>
      <c r="AWR146" s="37"/>
      <c r="AWS146" s="37"/>
      <c r="AWT146" s="37"/>
      <c r="AWU146" s="37"/>
      <c r="AWV146" s="37"/>
      <c r="AWW146" s="37"/>
      <c r="AWX146" s="37"/>
      <c r="AWY146" s="37"/>
      <c r="AWZ146" s="37"/>
      <c r="AXA146" s="37"/>
      <c r="AXB146" s="37"/>
      <c r="AXC146" s="37"/>
      <c r="AXD146" s="37"/>
      <c r="AXE146" s="37"/>
      <c r="AXF146" s="37"/>
      <c r="AXG146" s="37"/>
      <c r="AXH146" s="37"/>
      <c r="AXI146" s="37"/>
      <c r="AXJ146" s="37"/>
      <c r="AXK146" s="37"/>
      <c r="AXL146" s="37"/>
      <c r="AXM146" s="37"/>
      <c r="AXN146" s="37"/>
      <c r="AXO146" s="37"/>
      <c r="AXP146" s="37"/>
      <c r="AXQ146" s="37"/>
      <c r="AXR146" s="37"/>
      <c r="AXS146" s="37"/>
      <c r="AXT146" s="37"/>
      <c r="AXU146" s="37"/>
      <c r="AXV146" s="37"/>
      <c r="AXW146" s="37"/>
      <c r="AXX146" s="37"/>
      <c r="AXY146" s="37"/>
      <c r="AXZ146" s="37"/>
      <c r="AYA146" s="37"/>
      <c r="AYB146" s="37"/>
      <c r="AYC146" s="37"/>
      <c r="AYD146" s="37"/>
      <c r="AYE146" s="37"/>
      <c r="AYF146" s="37"/>
      <c r="AYG146" s="37"/>
      <c r="AYH146" s="37"/>
      <c r="AYI146" s="37"/>
      <c r="AYJ146" s="37"/>
      <c r="AYK146" s="37"/>
      <c r="AYL146" s="37"/>
      <c r="AYM146" s="37"/>
      <c r="AYN146" s="37"/>
      <c r="AYO146" s="37"/>
      <c r="AYP146" s="37"/>
      <c r="AYQ146" s="37"/>
      <c r="AYR146" s="37"/>
      <c r="AYS146" s="37"/>
      <c r="AYT146" s="37"/>
      <c r="AYU146" s="37"/>
      <c r="AYV146" s="37"/>
      <c r="AYW146" s="37"/>
      <c r="AYX146" s="37"/>
      <c r="AYY146" s="37"/>
      <c r="AYZ146" s="37"/>
      <c r="AZA146" s="37"/>
      <c r="AZB146" s="37"/>
      <c r="AZC146" s="37"/>
      <c r="AZD146" s="37"/>
      <c r="AZE146" s="37"/>
      <c r="AZF146" s="37"/>
      <c r="AZG146" s="37"/>
      <c r="AZH146" s="37"/>
      <c r="AZI146" s="37"/>
      <c r="AZJ146" s="37"/>
      <c r="AZK146" s="37"/>
      <c r="AZL146" s="37"/>
      <c r="AZM146" s="37"/>
      <c r="AZN146" s="37"/>
      <c r="AZO146" s="37"/>
      <c r="AZP146" s="37"/>
      <c r="AZQ146" s="37"/>
      <c r="AZR146" s="37"/>
      <c r="AZS146" s="37"/>
      <c r="AZT146" s="37"/>
      <c r="AZU146" s="37"/>
      <c r="AZV146" s="37"/>
      <c r="AZW146" s="37"/>
      <c r="AZX146" s="37"/>
      <c r="AZY146" s="37"/>
      <c r="AZZ146" s="37"/>
      <c r="BAA146" s="37"/>
      <c r="BAB146" s="37"/>
      <c r="BAC146" s="37"/>
      <c r="BAD146" s="37"/>
      <c r="BAE146" s="37"/>
      <c r="BAF146" s="37"/>
      <c r="BAG146" s="37"/>
      <c r="BAH146" s="37"/>
      <c r="BAI146" s="37"/>
      <c r="BAJ146" s="37"/>
      <c r="BAK146" s="37"/>
      <c r="BAL146" s="37"/>
      <c r="BAM146" s="37"/>
      <c r="BAN146" s="37"/>
      <c r="BAO146" s="37"/>
      <c r="BAP146" s="37"/>
      <c r="BAQ146" s="37"/>
      <c r="BAR146" s="37"/>
      <c r="BAS146" s="37"/>
      <c r="BAT146" s="37"/>
      <c r="BAU146" s="37"/>
      <c r="BAV146" s="37"/>
      <c r="BAW146" s="37"/>
      <c r="BAX146" s="37"/>
      <c r="BAY146" s="37"/>
      <c r="BAZ146" s="37"/>
      <c r="BBA146" s="37"/>
      <c r="BBB146" s="37"/>
      <c r="BBC146" s="37"/>
      <c r="BBD146" s="37"/>
      <c r="BBE146" s="37"/>
      <c r="BBF146" s="37"/>
      <c r="BBG146" s="37"/>
      <c r="BBH146" s="37"/>
      <c r="BBI146" s="37"/>
      <c r="BBJ146" s="37"/>
      <c r="BBK146" s="37"/>
      <c r="BBL146" s="37"/>
      <c r="BBM146" s="37"/>
      <c r="BBN146" s="37"/>
      <c r="BBO146" s="37"/>
      <c r="BBP146" s="37"/>
      <c r="BBQ146" s="37"/>
      <c r="BBR146" s="37"/>
      <c r="BBS146" s="37"/>
      <c r="BBT146" s="37"/>
      <c r="BBU146" s="37"/>
      <c r="BBV146" s="37"/>
      <c r="BBW146" s="37"/>
      <c r="BBX146" s="37"/>
      <c r="BBY146" s="37"/>
      <c r="BBZ146" s="37"/>
      <c r="BCA146" s="37"/>
      <c r="BCB146" s="37"/>
      <c r="BCC146" s="37"/>
      <c r="BCD146" s="37"/>
      <c r="BCE146" s="37"/>
      <c r="BCF146" s="37"/>
      <c r="BCG146" s="37"/>
      <c r="BCH146" s="37"/>
      <c r="BCI146" s="37"/>
      <c r="BCJ146" s="37"/>
      <c r="BCK146" s="37"/>
      <c r="BCL146" s="37"/>
      <c r="BCM146" s="37"/>
      <c r="BCN146" s="37"/>
      <c r="BCO146" s="37"/>
      <c r="BCP146" s="37"/>
      <c r="BCQ146" s="37"/>
      <c r="BCR146" s="37"/>
      <c r="BCS146" s="37"/>
      <c r="BCT146" s="37"/>
      <c r="BCU146" s="37"/>
      <c r="BCV146" s="37"/>
      <c r="BCW146" s="37"/>
      <c r="BCX146" s="37"/>
      <c r="BCY146" s="37"/>
      <c r="BCZ146" s="37"/>
      <c r="BDA146" s="37"/>
      <c r="BDB146" s="37"/>
      <c r="BDC146" s="37"/>
      <c r="BDD146" s="37"/>
      <c r="BDE146" s="37"/>
      <c r="BDF146" s="37"/>
      <c r="BDG146" s="37"/>
      <c r="BDH146" s="37"/>
      <c r="BDI146" s="37"/>
      <c r="BDJ146" s="37"/>
      <c r="BDK146" s="37"/>
      <c r="BDL146" s="37"/>
      <c r="BDM146" s="37"/>
      <c r="BDN146" s="37"/>
      <c r="BDO146" s="37"/>
      <c r="BDP146" s="37"/>
      <c r="BDQ146" s="37"/>
      <c r="BDR146" s="37"/>
      <c r="BDS146" s="37"/>
      <c r="BDT146" s="37"/>
      <c r="BDU146" s="37"/>
      <c r="BDV146" s="37"/>
      <c r="BDW146" s="37"/>
      <c r="BDX146" s="37"/>
      <c r="BDY146" s="37"/>
      <c r="BDZ146" s="37"/>
      <c r="BEA146" s="37"/>
      <c r="BEB146" s="37"/>
      <c r="BEC146" s="37"/>
      <c r="BED146" s="37"/>
      <c r="BEE146" s="37"/>
      <c r="BEF146" s="37"/>
      <c r="BEG146" s="37"/>
      <c r="BEH146" s="37"/>
      <c r="BEI146" s="37"/>
      <c r="BEJ146" s="37"/>
      <c r="BEK146" s="37"/>
      <c r="BEL146" s="37"/>
      <c r="BEM146" s="37"/>
      <c r="BEN146" s="37"/>
      <c r="BEO146" s="37"/>
      <c r="BEP146" s="37"/>
      <c r="BEQ146" s="37"/>
      <c r="BER146" s="37"/>
      <c r="BES146" s="37"/>
      <c r="BET146" s="37"/>
      <c r="BEU146" s="37"/>
      <c r="BEV146" s="37"/>
      <c r="BEW146" s="37"/>
      <c r="BEX146" s="37"/>
      <c r="BEY146" s="37"/>
      <c r="BEZ146" s="37"/>
      <c r="BFA146" s="37"/>
      <c r="BFB146" s="37"/>
      <c r="BFC146" s="37"/>
      <c r="BFD146" s="37"/>
      <c r="BFE146" s="37"/>
      <c r="BFF146" s="37"/>
      <c r="BFG146" s="37"/>
      <c r="BFH146" s="37"/>
      <c r="BFI146" s="37"/>
      <c r="BFJ146" s="37"/>
      <c r="BFK146" s="37"/>
      <c r="BFL146" s="37"/>
      <c r="BFM146" s="37"/>
      <c r="BFN146" s="37"/>
      <c r="BFO146" s="37"/>
      <c r="BFP146" s="37"/>
      <c r="BFQ146" s="37"/>
      <c r="BFR146" s="37"/>
      <c r="BFS146" s="37"/>
      <c r="BFT146" s="37"/>
      <c r="BFU146" s="37"/>
      <c r="BFV146" s="37"/>
      <c r="BFW146" s="37"/>
      <c r="BFX146" s="37"/>
      <c r="BFY146" s="37"/>
      <c r="BFZ146" s="37"/>
      <c r="BGA146" s="37"/>
      <c r="BGB146" s="37"/>
      <c r="BGC146" s="37"/>
      <c r="BGD146" s="37"/>
      <c r="BGE146" s="37"/>
      <c r="BGF146" s="37"/>
      <c r="BGG146" s="37"/>
      <c r="BGH146" s="37"/>
      <c r="BGI146" s="37"/>
      <c r="BGJ146" s="37"/>
      <c r="BGK146" s="37"/>
      <c r="BGL146" s="37"/>
      <c r="BGM146" s="37"/>
      <c r="BGN146" s="37"/>
      <c r="BGO146" s="37"/>
      <c r="BGP146" s="37"/>
      <c r="BGQ146" s="37"/>
      <c r="BGR146" s="37"/>
      <c r="BGS146" s="37"/>
      <c r="BGT146" s="37"/>
      <c r="BGU146" s="37"/>
      <c r="BGV146" s="37"/>
      <c r="BGW146" s="37"/>
      <c r="BGX146" s="37"/>
      <c r="BGY146" s="37"/>
      <c r="BGZ146" s="37"/>
      <c r="BHA146" s="37"/>
      <c r="BHB146" s="37"/>
      <c r="BHC146" s="37"/>
      <c r="BHD146" s="37"/>
      <c r="BHE146" s="37"/>
      <c r="BHF146" s="37"/>
      <c r="BHG146" s="37"/>
      <c r="BHH146" s="37"/>
      <c r="BHI146" s="37"/>
      <c r="BHJ146" s="37"/>
      <c r="BHK146" s="37"/>
      <c r="BHL146" s="37"/>
      <c r="BHM146" s="37"/>
      <c r="BHN146" s="37"/>
      <c r="BHO146" s="37"/>
      <c r="BHP146" s="37"/>
      <c r="BHQ146" s="37"/>
      <c r="BHR146" s="37"/>
      <c r="BHS146" s="37"/>
      <c r="BHT146" s="37"/>
      <c r="BHU146" s="37"/>
      <c r="BHV146" s="37"/>
      <c r="BHW146" s="37"/>
      <c r="BHX146" s="37"/>
      <c r="BHY146" s="37"/>
      <c r="BHZ146" s="37"/>
      <c r="BIA146" s="37"/>
      <c r="BIB146" s="37"/>
      <c r="BIC146" s="37"/>
      <c r="BID146" s="37"/>
      <c r="BIE146" s="37"/>
      <c r="BIF146" s="37"/>
      <c r="BIG146" s="37"/>
      <c r="BIH146" s="37"/>
      <c r="BII146" s="37"/>
      <c r="BIJ146" s="37"/>
      <c r="BIK146" s="37"/>
      <c r="BIL146" s="37"/>
      <c r="BIM146" s="37"/>
      <c r="BIN146" s="37"/>
      <c r="BIO146" s="37"/>
      <c r="BIP146" s="37"/>
      <c r="BIQ146" s="37"/>
      <c r="BIR146" s="37"/>
      <c r="BIS146" s="37"/>
      <c r="BIT146" s="37"/>
      <c r="BIU146" s="37"/>
      <c r="BIV146" s="37"/>
      <c r="BIW146" s="37"/>
      <c r="BIX146" s="37"/>
      <c r="BIY146" s="37"/>
      <c r="BIZ146" s="37"/>
      <c r="BJA146" s="37"/>
      <c r="BJB146" s="37"/>
      <c r="BJC146" s="37"/>
      <c r="BJD146" s="37"/>
      <c r="BJE146" s="37"/>
      <c r="BJF146" s="37"/>
      <c r="BJG146" s="37"/>
      <c r="BJH146" s="37"/>
      <c r="BJI146" s="37"/>
      <c r="BJJ146" s="37"/>
      <c r="BJK146" s="37"/>
      <c r="BJL146" s="37"/>
      <c r="BJM146" s="37"/>
      <c r="BJN146" s="37"/>
      <c r="BJO146" s="37"/>
      <c r="BJP146" s="37"/>
      <c r="BJQ146" s="37"/>
      <c r="BJR146" s="37"/>
      <c r="BJS146" s="37"/>
      <c r="BJT146" s="37"/>
      <c r="BJU146" s="37"/>
      <c r="BJV146" s="37"/>
      <c r="BJW146" s="37"/>
      <c r="BJX146" s="37"/>
      <c r="BJY146" s="37"/>
      <c r="BJZ146" s="37"/>
      <c r="BKA146" s="37"/>
      <c r="BKB146" s="37"/>
      <c r="BKC146" s="37"/>
      <c r="BKD146" s="37"/>
      <c r="BKE146" s="37"/>
      <c r="BKF146" s="37"/>
      <c r="BKG146" s="37"/>
      <c r="BKH146" s="37"/>
      <c r="BKI146" s="37"/>
      <c r="BKJ146" s="37"/>
      <c r="BKK146" s="37"/>
      <c r="BKL146" s="37"/>
      <c r="BKM146" s="37"/>
      <c r="BKN146" s="37"/>
      <c r="BKO146" s="37"/>
      <c r="BKP146" s="37"/>
      <c r="BKQ146" s="37"/>
      <c r="BKR146" s="37"/>
      <c r="BKS146" s="37"/>
      <c r="BKT146" s="37"/>
      <c r="BKU146" s="37"/>
      <c r="BKV146" s="37"/>
      <c r="BKW146" s="37"/>
      <c r="BKX146" s="37"/>
      <c r="BKY146" s="37"/>
      <c r="BKZ146" s="37"/>
      <c r="BLA146" s="37"/>
      <c r="BLB146" s="37"/>
      <c r="BLC146" s="37"/>
      <c r="BLD146" s="37"/>
      <c r="BLE146" s="37"/>
      <c r="BLF146" s="37"/>
      <c r="BLG146" s="37"/>
      <c r="BLH146" s="37"/>
      <c r="BLI146" s="37"/>
      <c r="BLJ146" s="37"/>
      <c r="BLK146" s="37"/>
      <c r="BLL146" s="37"/>
      <c r="BLM146" s="37"/>
      <c r="BLN146" s="37"/>
      <c r="BLO146" s="37"/>
      <c r="BLP146" s="37"/>
      <c r="BLQ146" s="37"/>
      <c r="BLR146" s="37"/>
      <c r="BLS146" s="37"/>
      <c r="BLT146" s="37"/>
      <c r="BLU146" s="37"/>
      <c r="BLV146" s="37"/>
      <c r="BLW146" s="37"/>
      <c r="BLX146" s="37"/>
      <c r="BLY146" s="37"/>
      <c r="BLZ146" s="37"/>
      <c r="BMA146" s="37"/>
      <c r="BMB146" s="37"/>
      <c r="BMC146" s="37"/>
      <c r="BMD146" s="37"/>
      <c r="BME146" s="37"/>
      <c r="BMF146" s="37"/>
      <c r="BMG146" s="37"/>
      <c r="BMH146" s="37"/>
      <c r="BMI146" s="37"/>
      <c r="BMJ146" s="37"/>
      <c r="BMK146" s="37"/>
      <c r="BML146" s="37"/>
      <c r="BMM146" s="37"/>
      <c r="BMN146" s="37"/>
      <c r="BMO146" s="37"/>
      <c r="BMP146" s="37"/>
      <c r="BMQ146" s="37"/>
      <c r="BMR146" s="37"/>
      <c r="BMS146" s="37"/>
      <c r="BMT146" s="37"/>
      <c r="BMU146" s="37"/>
      <c r="BMV146" s="37"/>
      <c r="BMW146" s="37"/>
      <c r="BMX146" s="37"/>
      <c r="BMY146" s="37"/>
      <c r="BMZ146" s="37"/>
      <c r="BNA146" s="37"/>
      <c r="BNB146" s="37"/>
      <c r="BNC146" s="37"/>
      <c r="BND146" s="37"/>
      <c r="BNE146" s="37"/>
      <c r="BNF146" s="37"/>
      <c r="BNG146" s="37"/>
      <c r="BNH146" s="37"/>
      <c r="BNI146" s="37"/>
      <c r="BNJ146" s="37"/>
      <c r="BNK146" s="37"/>
      <c r="BNL146" s="37"/>
      <c r="BNM146" s="37"/>
      <c r="BNN146" s="37"/>
      <c r="BNO146" s="37"/>
      <c r="BNP146" s="37"/>
      <c r="BNQ146" s="37"/>
      <c r="BNR146" s="37"/>
      <c r="BNS146" s="37"/>
      <c r="BNT146" s="37"/>
      <c r="BNU146" s="37"/>
      <c r="BNV146" s="37"/>
      <c r="BNW146" s="37"/>
      <c r="BNX146" s="37"/>
      <c r="BNY146" s="37"/>
      <c r="BNZ146" s="37"/>
      <c r="BOA146" s="37"/>
      <c r="BOB146" s="37"/>
      <c r="BOC146" s="37"/>
      <c r="BOD146" s="37"/>
      <c r="BOE146" s="37"/>
      <c r="BOF146" s="37"/>
      <c r="BOG146" s="37"/>
      <c r="BOH146" s="37"/>
      <c r="BOI146" s="37"/>
      <c r="BOJ146" s="37"/>
      <c r="BOK146" s="37"/>
      <c r="BOL146" s="37"/>
      <c r="BOM146" s="37"/>
      <c r="BON146" s="37"/>
      <c r="BOO146" s="37"/>
      <c r="BOP146" s="37"/>
      <c r="BOQ146" s="37"/>
      <c r="BOR146" s="37"/>
      <c r="BOS146" s="37"/>
      <c r="BOT146" s="37"/>
      <c r="BOU146" s="37"/>
      <c r="BOV146" s="37"/>
      <c r="BOW146" s="37"/>
      <c r="BOX146" s="37"/>
      <c r="BOY146" s="37"/>
      <c r="BOZ146" s="37"/>
      <c r="BPA146" s="37"/>
      <c r="BPB146" s="37"/>
      <c r="BPC146" s="37"/>
      <c r="BPD146" s="37"/>
      <c r="BPE146" s="37"/>
      <c r="BPF146" s="37"/>
      <c r="BPG146" s="37"/>
      <c r="BPH146" s="37"/>
      <c r="BPI146" s="37"/>
      <c r="BPJ146" s="37"/>
      <c r="BPK146" s="37"/>
      <c r="BPL146" s="37"/>
      <c r="BPM146" s="37"/>
      <c r="BPN146" s="37"/>
      <c r="BPO146" s="37"/>
      <c r="BPP146" s="37"/>
      <c r="BPQ146" s="37"/>
      <c r="BPR146" s="37"/>
      <c r="BPS146" s="37"/>
      <c r="BPT146" s="37"/>
      <c r="BPU146" s="37"/>
      <c r="BPV146" s="37"/>
      <c r="BPW146" s="37"/>
      <c r="BPX146" s="37"/>
      <c r="BPY146" s="37"/>
      <c r="BPZ146" s="37"/>
      <c r="BQA146" s="37"/>
      <c r="BQB146" s="37"/>
      <c r="BQC146" s="37"/>
      <c r="BQD146" s="37"/>
      <c r="BQE146" s="37"/>
      <c r="BQF146" s="37"/>
      <c r="BQG146" s="37"/>
      <c r="BQH146" s="37"/>
      <c r="BQI146" s="37"/>
      <c r="BQJ146" s="37"/>
      <c r="BQK146" s="37"/>
      <c r="BQL146" s="37"/>
      <c r="BQM146" s="37"/>
      <c r="BQN146" s="37"/>
      <c r="BQO146" s="37"/>
      <c r="BQP146" s="37"/>
      <c r="BQQ146" s="37"/>
      <c r="BQR146" s="37"/>
      <c r="BQS146" s="37"/>
      <c r="BQT146" s="37"/>
      <c r="BQU146" s="37"/>
      <c r="BQV146" s="37"/>
      <c r="BQW146" s="37"/>
      <c r="BQX146" s="37"/>
      <c r="BQY146" s="37"/>
      <c r="BQZ146" s="37"/>
      <c r="BRA146" s="37"/>
      <c r="BRB146" s="37"/>
      <c r="BRC146" s="37"/>
      <c r="BRD146" s="37"/>
      <c r="BRE146" s="37"/>
      <c r="BRF146" s="37"/>
      <c r="BRG146" s="37"/>
      <c r="BRH146" s="37"/>
      <c r="BRI146" s="37"/>
      <c r="BRJ146" s="37"/>
      <c r="BRK146" s="37"/>
      <c r="BRL146" s="37"/>
      <c r="BRM146" s="37"/>
      <c r="BRN146" s="37"/>
      <c r="BRO146" s="37"/>
      <c r="BRP146" s="37"/>
      <c r="BRQ146" s="37"/>
      <c r="BRR146" s="37"/>
      <c r="BRS146" s="37"/>
      <c r="BRT146" s="37"/>
      <c r="BRU146" s="37"/>
      <c r="BRV146" s="37"/>
      <c r="BRW146" s="37"/>
      <c r="BRX146" s="37"/>
      <c r="BRY146" s="37"/>
      <c r="BRZ146" s="37"/>
      <c r="BSA146" s="37"/>
      <c r="BSB146" s="37"/>
      <c r="BSC146" s="37"/>
      <c r="BSD146" s="37"/>
      <c r="BSE146" s="37"/>
      <c r="BSF146" s="37"/>
      <c r="BSG146" s="37"/>
      <c r="BSH146" s="37"/>
      <c r="BSI146" s="37"/>
      <c r="BSJ146" s="37"/>
      <c r="BSK146" s="37"/>
      <c r="BSL146" s="37"/>
      <c r="BSM146" s="37"/>
      <c r="BSN146" s="37"/>
      <c r="BSO146" s="37"/>
      <c r="BSP146" s="37"/>
      <c r="BSQ146" s="37"/>
      <c r="BSR146" s="37"/>
      <c r="BSS146" s="37"/>
      <c r="BST146" s="37"/>
      <c r="BSU146" s="37"/>
      <c r="BSV146" s="37"/>
      <c r="BSW146" s="37"/>
      <c r="BSX146" s="37"/>
      <c r="BSY146" s="37"/>
      <c r="BSZ146" s="37"/>
      <c r="BTA146" s="37"/>
      <c r="BTB146" s="37"/>
      <c r="BTC146" s="37"/>
      <c r="BTD146" s="37"/>
      <c r="BTE146" s="37"/>
      <c r="BTF146" s="37"/>
      <c r="BTG146" s="37"/>
      <c r="BTH146" s="37"/>
      <c r="BTI146" s="37"/>
      <c r="BTJ146" s="37"/>
      <c r="BTK146" s="37"/>
      <c r="BTL146" s="37"/>
      <c r="BTM146" s="37"/>
      <c r="BTN146" s="37"/>
      <c r="BTO146" s="37"/>
      <c r="BTP146" s="37"/>
      <c r="BTQ146" s="37"/>
      <c r="BTR146" s="37"/>
      <c r="BTS146" s="37"/>
      <c r="BTT146" s="37"/>
      <c r="BTU146" s="37"/>
      <c r="BTV146" s="37"/>
      <c r="BTW146" s="37"/>
      <c r="BTX146" s="37"/>
      <c r="BTY146" s="37"/>
      <c r="BTZ146" s="37"/>
      <c r="BUA146" s="37"/>
      <c r="BUB146" s="37"/>
      <c r="BUC146" s="37"/>
      <c r="BUD146" s="37"/>
      <c r="BUE146" s="37"/>
      <c r="BUF146" s="37"/>
      <c r="BUG146" s="37"/>
      <c r="BUH146" s="37"/>
      <c r="BUI146" s="37"/>
      <c r="BUJ146" s="37"/>
      <c r="BUK146" s="37"/>
      <c r="BUL146" s="37"/>
      <c r="BUM146" s="37"/>
      <c r="BUN146" s="37"/>
      <c r="BUO146" s="37"/>
      <c r="BUP146" s="37"/>
      <c r="BUQ146" s="37"/>
      <c r="BUR146" s="37"/>
      <c r="BUS146" s="37"/>
      <c r="BUT146" s="37"/>
      <c r="BUU146" s="37"/>
      <c r="BUV146" s="37"/>
      <c r="BUW146" s="37"/>
      <c r="BUX146" s="37"/>
      <c r="BUY146" s="37"/>
      <c r="BUZ146" s="37"/>
      <c r="BVA146" s="37"/>
      <c r="BVB146" s="37"/>
      <c r="BVC146" s="37"/>
      <c r="BVD146" s="37"/>
      <c r="BVE146" s="37"/>
      <c r="BVF146" s="37"/>
      <c r="BVG146" s="37"/>
      <c r="BVH146" s="37"/>
      <c r="BVI146" s="37"/>
      <c r="BVJ146" s="37"/>
      <c r="BVK146" s="37"/>
      <c r="BVL146" s="37"/>
      <c r="BVM146" s="37"/>
      <c r="BVN146" s="37"/>
      <c r="BVO146" s="37"/>
      <c r="BVP146" s="37"/>
      <c r="BVQ146" s="37"/>
      <c r="BVR146" s="37"/>
      <c r="BVS146" s="37"/>
      <c r="BVT146" s="37"/>
      <c r="BVU146" s="37"/>
      <c r="BVV146" s="37"/>
      <c r="BVW146" s="37"/>
      <c r="BVX146" s="37"/>
      <c r="BVY146" s="37"/>
      <c r="BVZ146" s="37"/>
      <c r="BWA146" s="37"/>
      <c r="BWB146" s="37"/>
      <c r="BWC146" s="37"/>
      <c r="BWD146" s="37"/>
      <c r="BWE146" s="37"/>
      <c r="BWF146" s="37"/>
      <c r="BWG146" s="37"/>
      <c r="BWH146" s="37"/>
      <c r="BWI146" s="37"/>
      <c r="BWJ146" s="37"/>
      <c r="BWK146" s="37"/>
      <c r="BWL146" s="37"/>
      <c r="BWM146" s="37"/>
      <c r="BWN146" s="37"/>
      <c r="BWO146" s="37"/>
      <c r="BWP146" s="37"/>
      <c r="BWQ146" s="37"/>
      <c r="BWR146" s="37"/>
      <c r="BWS146" s="37"/>
      <c r="BWT146" s="37"/>
      <c r="BWU146" s="37"/>
      <c r="BWV146" s="37"/>
      <c r="BWW146" s="37"/>
      <c r="BWX146" s="37"/>
      <c r="BWY146" s="37"/>
      <c r="BWZ146" s="37"/>
      <c r="BXA146" s="37"/>
      <c r="BXB146" s="37"/>
      <c r="BXC146" s="37"/>
      <c r="BXD146" s="37"/>
      <c r="BXE146" s="37"/>
      <c r="BXF146" s="37"/>
      <c r="BXG146" s="37"/>
      <c r="BXH146" s="37"/>
      <c r="BXI146" s="37"/>
      <c r="BXJ146" s="37"/>
      <c r="BXK146" s="37"/>
      <c r="BXL146" s="37"/>
      <c r="BXM146" s="37"/>
      <c r="BXN146" s="37"/>
      <c r="BXO146" s="37"/>
      <c r="BXP146" s="37"/>
      <c r="BXQ146" s="37"/>
      <c r="BXR146" s="37"/>
      <c r="BXS146" s="37"/>
      <c r="BXT146" s="37"/>
      <c r="BXU146" s="37"/>
      <c r="BXV146" s="37"/>
      <c r="BXW146" s="37"/>
      <c r="BXX146" s="37"/>
      <c r="BXY146" s="37"/>
      <c r="BXZ146" s="37"/>
      <c r="BYA146" s="37"/>
      <c r="BYB146" s="37"/>
      <c r="BYC146" s="37"/>
      <c r="BYD146" s="37"/>
      <c r="BYE146" s="37"/>
      <c r="BYF146" s="37"/>
      <c r="BYG146" s="37"/>
      <c r="BYH146" s="37"/>
      <c r="BYI146" s="37"/>
      <c r="BYJ146" s="37"/>
      <c r="BYK146" s="37"/>
      <c r="BYL146" s="37"/>
      <c r="BYM146" s="37"/>
      <c r="BYN146" s="37"/>
      <c r="BYO146" s="37"/>
      <c r="BYP146" s="37"/>
      <c r="BYQ146" s="37"/>
      <c r="BYR146" s="37"/>
      <c r="BYS146" s="37"/>
      <c r="BYT146" s="37"/>
      <c r="BYU146" s="37"/>
      <c r="BYV146" s="37"/>
      <c r="BYW146" s="37"/>
      <c r="BYX146" s="37"/>
      <c r="BYY146" s="37"/>
      <c r="BYZ146" s="37"/>
      <c r="BZA146" s="37"/>
      <c r="BZB146" s="37"/>
      <c r="BZC146" s="37"/>
      <c r="BZD146" s="37"/>
      <c r="BZE146" s="37"/>
      <c r="BZF146" s="37"/>
      <c r="BZG146" s="37"/>
      <c r="BZH146" s="37"/>
      <c r="BZI146" s="37"/>
      <c r="BZJ146" s="37"/>
      <c r="BZK146" s="37"/>
      <c r="BZL146" s="37"/>
      <c r="BZM146" s="37"/>
      <c r="BZN146" s="37"/>
      <c r="BZO146" s="37"/>
      <c r="BZP146" s="37"/>
      <c r="BZQ146" s="37"/>
      <c r="BZR146" s="37"/>
      <c r="BZS146" s="37"/>
      <c r="BZT146" s="37"/>
      <c r="BZU146" s="37"/>
      <c r="BZV146" s="37"/>
      <c r="BZW146" s="37"/>
      <c r="BZX146" s="37"/>
      <c r="BZY146" s="37"/>
      <c r="BZZ146" s="37"/>
      <c r="CAA146" s="37"/>
      <c r="CAB146" s="37"/>
      <c r="CAC146" s="37"/>
      <c r="CAD146" s="37"/>
      <c r="CAE146" s="37"/>
      <c r="CAF146" s="37"/>
      <c r="CAG146" s="37"/>
      <c r="CAH146" s="37"/>
      <c r="CAI146" s="37"/>
      <c r="CAJ146" s="37"/>
      <c r="CAK146" s="37"/>
      <c r="CAL146" s="37"/>
      <c r="CAM146" s="37"/>
      <c r="CAN146" s="37"/>
      <c r="CAO146" s="37"/>
      <c r="CAP146" s="37"/>
      <c r="CAQ146" s="37"/>
      <c r="CAR146" s="37"/>
      <c r="CAS146" s="37"/>
      <c r="CAT146" s="37"/>
      <c r="CAU146" s="37"/>
      <c r="CAV146" s="37"/>
      <c r="CAW146" s="37"/>
      <c r="CAX146" s="37"/>
      <c r="CAY146" s="37"/>
      <c r="CAZ146" s="37"/>
      <c r="CBA146" s="37"/>
      <c r="CBB146" s="37"/>
      <c r="CBC146" s="37"/>
      <c r="CBD146" s="37"/>
      <c r="CBE146" s="37"/>
      <c r="CBF146" s="37"/>
      <c r="CBG146" s="37"/>
      <c r="CBH146" s="37"/>
      <c r="CBI146" s="37"/>
      <c r="CBJ146" s="37"/>
      <c r="CBK146" s="37"/>
      <c r="CBL146" s="37"/>
      <c r="CBM146" s="37"/>
      <c r="CBN146" s="37"/>
      <c r="CBO146" s="37"/>
      <c r="CBP146" s="37"/>
      <c r="CBQ146" s="37"/>
      <c r="CBR146" s="37"/>
      <c r="CBS146" s="37"/>
      <c r="CBT146" s="37"/>
      <c r="CBU146" s="37"/>
      <c r="CBV146" s="37"/>
      <c r="CBW146" s="37"/>
      <c r="CBX146" s="37"/>
      <c r="CBY146" s="37"/>
      <c r="CBZ146" s="37"/>
      <c r="CCA146" s="37"/>
      <c r="CCB146" s="37"/>
      <c r="CCC146" s="37"/>
      <c r="CCD146" s="37"/>
      <c r="CCE146" s="37"/>
      <c r="CCF146" s="37"/>
      <c r="CCG146" s="37"/>
      <c r="CCH146" s="37"/>
      <c r="CCI146" s="37"/>
      <c r="CCJ146" s="37"/>
      <c r="CCK146" s="37"/>
      <c r="CCL146" s="37"/>
      <c r="CCM146" s="37"/>
      <c r="CCN146" s="37"/>
      <c r="CCO146" s="37"/>
      <c r="CCP146" s="37"/>
      <c r="CCQ146" s="37"/>
      <c r="CCR146" s="37"/>
      <c r="CCS146" s="37"/>
      <c r="CCT146" s="37"/>
      <c r="CCU146" s="37"/>
      <c r="CCV146" s="37"/>
      <c r="CCW146" s="37"/>
      <c r="CCX146" s="37"/>
      <c r="CCY146" s="37"/>
      <c r="CCZ146" s="37"/>
      <c r="CDA146" s="37"/>
      <c r="CDB146" s="37"/>
      <c r="CDC146" s="37"/>
      <c r="CDD146" s="37"/>
      <c r="CDE146" s="37"/>
      <c r="CDF146" s="37"/>
      <c r="CDG146" s="37"/>
      <c r="CDH146" s="37"/>
      <c r="CDI146" s="37"/>
      <c r="CDJ146" s="37"/>
      <c r="CDK146" s="37"/>
      <c r="CDL146" s="37"/>
      <c r="CDM146" s="37"/>
      <c r="CDN146" s="37"/>
      <c r="CDO146" s="37"/>
      <c r="CDP146" s="37"/>
      <c r="CDQ146" s="37"/>
      <c r="CDR146" s="37"/>
      <c r="CDS146" s="37"/>
      <c r="CDT146" s="37"/>
      <c r="CDU146" s="37"/>
      <c r="CDV146" s="37"/>
      <c r="CDW146" s="37"/>
      <c r="CDX146" s="37"/>
      <c r="CDY146" s="37"/>
      <c r="CDZ146" s="37"/>
      <c r="CEA146" s="37"/>
      <c r="CEB146" s="37"/>
      <c r="CEC146" s="37"/>
      <c r="CED146" s="37"/>
      <c r="CEE146" s="37"/>
      <c r="CEF146" s="37"/>
      <c r="CEG146" s="37"/>
      <c r="CEH146" s="37"/>
      <c r="CEI146" s="37"/>
      <c r="CEJ146" s="37"/>
      <c r="CEK146" s="37"/>
      <c r="CEL146" s="37"/>
      <c r="CEM146" s="37"/>
      <c r="CEN146" s="37"/>
      <c r="CEO146" s="37"/>
      <c r="CEP146" s="37"/>
      <c r="CEQ146" s="37"/>
      <c r="CER146" s="37"/>
      <c r="CES146" s="37"/>
      <c r="CET146" s="37"/>
      <c r="CEU146" s="37"/>
      <c r="CEV146" s="37"/>
      <c r="CEW146" s="37"/>
      <c r="CEX146" s="37"/>
      <c r="CEY146" s="37"/>
      <c r="CEZ146" s="37"/>
      <c r="CFA146" s="37"/>
      <c r="CFB146" s="37"/>
      <c r="CFC146" s="37"/>
      <c r="CFD146" s="37"/>
      <c r="CFE146" s="37"/>
      <c r="CFF146" s="37"/>
      <c r="CFG146" s="37"/>
      <c r="CFH146" s="37"/>
      <c r="CFI146" s="37"/>
      <c r="CFJ146" s="37"/>
      <c r="CFK146" s="37"/>
      <c r="CFL146" s="37"/>
      <c r="CFM146" s="37"/>
      <c r="CFN146" s="37"/>
      <c r="CFO146" s="37"/>
      <c r="CFP146" s="37"/>
      <c r="CFQ146" s="37"/>
      <c r="CFR146" s="37"/>
      <c r="CFS146" s="37"/>
      <c r="CFT146" s="37"/>
      <c r="CFU146" s="37"/>
      <c r="CFV146" s="37"/>
      <c r="CFW146" s="37"/>
      <c r="CFX146" s="37"/>
      <c r="CFY146" s="37"/>
      <c r="CFZ146" s="37"/>
      <c r="CGA146" s="37"/>
      <c r="CGB146" s="37"/>
      <c r="CGC146" s="37"/>
      <c r="CGD146" s="37"/>
      <c r="CGE146" s="37"/>
      <c r="CGF146" s="37"/>
      <c r="CGG146" s="37"/>
      <c r="CGH146" s="37"/>
      <c r="CGI146" s="37"/>
      <c r="CGJ146" s="37"/>
      <c r="CGK146" s="37"/>
      <c r="CGL146" s="37"/>
      <c r="CGM146" s="37"/>
      <c r="CGN146" s="37"/>
      <c r="CGO146" s="37"/>
      <c r="CGP146" s="37"/>
      <c r="CGQ146" s="37"/>
      <c r="CGR146" s="37"/>
      <c r="CGS146" s="37"/>
      <c r="CGT146" s="37"/>
      <c r="CGU146" s="37"/>
      <c r="CGV146" s="37"/>
      <c r="CGW146" s="37"/>
      <c r="CGX146" s="37"/>
      <c r="CGY146" s="37"/>
      <c r="CGZ146" s="37"/>
      <c r="CHA146" s="37"/>
      <c r="CHB146" s="37"/>
      <c r="CHC146" s="37"/>
      <c r="CHD146" s="37"/>
      <c r="CHE146" s="37"/>
      <c r="CHF146" s="37"/>
      <c r="CHG146" s="37"/>
      <c r="CHH146" s="37"/>
      <c r="CHI146" s="37"/>
      <c r="CHJ146" s="37"/>
      <c r="CHK146" s="37"/>
      <c r="CHL146" s="37"/>
      <c r="CHM146" s="37"/>
      <c r="CHN146" s="37"/>
      <c r="CHO146" s="37"/>
      <c r="CHP146" s="37"/>
      <c r="CHQ146" s="37"/>
      <c r="CHR146" s="37"/>
      <c r="CHS146" s="37"/>
      <c r="CHT146" s="37"/>
      <c r="CHU146" s="37"/>
      <c r="CHV146" s="37"/>
      <c r="CHW146" s="37"/>
      <c r="CHX146" s="37"/>
      <c r="CHY146" s="37"/>
      <c r="CHZ146" s="37"/>
      <c r="CIA146" s="37"/>
      <c r="CIB146" s="37"/>
      <c r="CIC146" s="37"/>
      <c r="CID146" s="37"/>
      <c r="CIE146" s="37"/>
      <c r="CIF146" s="37"/>
      <c r="CIG146" s="37"/>
      <c r="CIH146" s="37"/>
      <c r="CII146" s="37"/>
      <c r="CIJ146" s="37"/>
      <c r="CIK146" s="37"/>
      <c r="CIL146" s="37"/>
      <c r="CIM146" s="37"/>
      <c r="CIN146" s="37"/>
      <c r="CIO146" s="37"/>
      <c r="CIP146" s="37"/>
      <c r="CIQ146" s="37"/>
      <c r="CIR146" s="37"/>
      <c r="CIS146" s="37"/>
      <c r="CIT146" s="37"/>
      <c r="CIU146" s="37"/>
      <c r="CIV146" s="37"/>
      <c r="CIW146" s="37"/>
      <c r="CIX146" s="37"/>
      <c r="CIY146" s="37"/>
      <c r="CIZ146" s="37"/>
      <c r="CJA146" s="37"/>
      <c r="CJB146" s="37"/>
      <c r="CJC146" s="37"/>
      <c r="CJD146" s="37"/>
      <c r="CJE146" s="37"/>
      <c r="CJF146" s="37"/>
      <c r="CJG146" s="37"/>
      <c r="CJH146" s="37"/>
      <c r="CJI146" s="37"/>
      <c r="CJJ146" s="37"/>
      <c r="CJK146" s="37"/>
      <c r="CJL146" s="37"/>
      <c r="CJM146" s="37"/>
      <c r="CJN146" s="37"/>
      <c r="CJO146" s="37"/>
      <c r="CJP146" s="37"/>
      <c r="CJQ146" s="37"/>
      <c r="CJR146" s="37"/>
      <c r="CJS146" s="37"/>
      <c r="CJT146" s="37"/>
      <c r="CJU146" s="37"/>
      <c r="CJV146" s="37"/>
      <c r="CJW146" s="37"/>
      <c r="CJX146" s="37"/>
      <c r="CJY146" s="37"/>
      <c r="CJZ146" s="37"/>
      <c r="CKA146" s="37"/>
      <c r="CKB146" s="37"/>
      <c r="CKC146" s="37"/>
      <c r="CKD146" s="37"/>
      <c r="CKE146" s="37"/>
      <c r="CKF146" s="37"/>
      <c r="CKG146" s="37"/>
      <c r="CKH146" s="37"/>
      <c r="CKI146" s="37"/>
      <c r="CKJ146" s="37"/>
      <c r="CKK146" s="37"/>
      <c r="CKL146" s="37"/>
      <c r="CKM146" s="37"/>
      <c r="CKN146" s="37"/>
      <c r="CKO146" s="37"/>
      <c r="CKP146" s="37"/>
      <c r="CKQ146" s="37"/>
      <c r="CKR146" s="37"/>
      <c r="CKS146" s="37"/>
      <c r="CKT146" s="37"/>
      <c r="CKU146" s="37"/>
      <c r="CKV146" s="37"/>
      <c r="CKW146" s="37"/>
      <c r="CKX146" s="37"/>
      <c r="CKY146" s="37"/>
      <c r="CKZ146" s="37"/>
      <c r="CLA146" s="37"/>
      <c r="CLB146" s="37"/>
      <c r="CLC146" s="37"/>
      <c r="CLD146" s="37"/>
      <c r="CLE146" s="37"/>
      <c r="CLF146" s="37"/>
      <c r="CLG146" s="37"/>
      <c r="CLH146" s="37"/>
      <c r="CLI146" s="37"/>
      <c r="CLJ146" s="37"/>
      <c r="CLK146" s="37"/>
      <c r="CLL146" s="37"/>
      <c r="CLM146" s="37"/>
      <c r="CLN146" s="37"/>
      <c r="CLO146" s="37"/>
      <c r="CLP146" s="37"/>
      <c r="CLQ146" s="37"/>
      <c r="CLR146" s="37"/>
      <c r="CLS146" s="37"/>
      <c r="CLT146" s="37"/>
      <c r="CLU146" s="37"/>
      <c r="CLV146" s="37"/>
      <c r="CLW146" s="37"/>
      <c r="CLX146" s="37"/>
      <c r="CLY146" s="37"/>
      <c r="CLZ146" s="37"/>
      <c r="CMA146" s="37"/>
      <c r="CMB146" s="37"/>
      <c r="CMC146" s="37"/>
      <c r="CMD146" s="37"/>
      <c r="CME146" s="37"/>
      <c r="CMF146" s="37"/>
      <c r="CMG146" s="37"/>
      <c r="CMH146" s="37"/>
      <c r="CMI146" s="37"/>
      <c r="CMJ146" s="37"/>
      <c r="CMK146" s="37"/>
      <c r="CML146" s="37"/>
      <c r="CMM146" s="37"/>
      <c r="CMN146" s="37"/>
      <c r="CMO146" s="37"/>
      <c r="CMP146" s="37"/>
      <c r="CMQ146" s="37"/>
      <c r="CMR146" s="37"/>
      <c r="CMS146" s="37"/>
      <c r="CMT146" s="37"/>
      <c r="CMU146" s="37"/>
      <c r="CMV146" s="37"/>
      <c r="CMW146" s="37"/>
      <c r="CMX146" s="37"/>
      <c r="CMY146" s="37"/>
      <c r="CMZ146" s="37"/>
      <c r="CNA146" s="37"/>
      <c r="CNB146" s="37"/>
      <c r="CNC146" s="37"/>
      <c r="CND146" s="37"/>
      <c r="CNE146" s="37"/>
      <c r="CNF146" s="37"/>
      <c r="CNG146" s="37"/>
      <c r="CNH146" s="37"/>
      <c r="CNI146" s="37"/>
      <c r="CNJ146" s="37"/>
      <c r="CNK146" s="37"/>
      <c r="CNL146" s="37"/>
      <c r="CNM146" s="37"/>
      <c r="CNN146" s="37"/>
      <c r="CNO146" s="37"/>
      <c r="CNP146" s="37"/>
      <c r="CNQ146" s="37"/>
      <c r="CNR146" s="37"/>
      <c r="CNS146" s="37"/>
      <c r="CNT146" s="37"/>
      <c r="CNU146" s="37"/>
      <c r="CNV146" s="37"/>
      <c r="CNW146" s="37"/>
      <c r="CNX146" s="37"/>
      <c r="CNY146" s="37"/>
      <c r="CNZ146" s="37"/>
      <c r="COA146" s="37"/>
      <c r="COB146" s="37"/>
      <c r="COC146" s="37"/>
      <c r="COD146" s="37"/>
      <c r="COE146" s="37"/>
      <c r="COF146" s="37"/>
      <c r="COG146" s="37"/>
      <c r="COH146" s="37"/>
      <c r="COI146" s="37"/>
      <c r="COJ146" s="37"/>
      <c r="COK146" s="37"/>
      <c r="COL146" s="37"/>
      <c r="COM146" s="37"/>
      <c r="CON146" s="37"/>
      <c r="COO146" s="37"/>
      <c r="COP146" s="37"/>
      <c r="COQ146" s="37"/>
      <c r="COR146" s="37"/>
      <c r="COS146" s="37"/>
      <c r="COT146" s="37"/>
      <c r="COU146" s="37"/>
      <c r="COV146" s="37"/>
      <c r="COW146" s="37"/>
      <c r="COX146" s="37"/>
      <c r="COY146" s="37"/>
      <c r="COZ146" s="37"/>
      <c r="CPA146" s="37"/>
      <c r="CPB146" s="37"/>
      <c r="CPC146" s="37"/>
      <c r="CPD146" s="37"/>
      <c r="CPE146" s="37"/>
      <c r="CPF146" s="37"/>
      <c r="CPG146" s="37"/>
      <c r="CPH146" s="37"/>
      <c r="CPI146" s="37"/>
      <c r="CPJ146" s="37"/>
      <c r="CPK146" s="37"/>
      <c r="CPL146" s="37"/>
      <c r="CPM146" s="37"/>
      <c r="CPN146" s="37"/>
      <c r="CPO146" s="37"/>
      <c r="CPP146" s="37"/>
      <c r="CPQ146" s="37"/>
      <c r="CPR146" s="37"/>
      <c r="CPS146" s="37"/>
      <c r="CPT146" s="37"/>
      <c r="CPU146" s="37"/>
      <c r="CPV146" s="37"/>
      <c r="CPW146" s="37"/>
      <c r="CPX146" s="37"/>
      <c r="CPY146" s="37"/>
      <c r="CPZ146" s="37"/>
      <c r="CQA146" s="37"/>
      <c r="CQB146" s="37"/>
      <c r="CQC146" s="37"/>
      <c r="CQD146" s="37"/>
      <c r="CQE146" s="37"/>
      <c r="CQF146" s="37"/>
      <c r="CQG146" s="37"/>
      <c r="CQH146" s="37"/>
      <c r="CQI146" s="37"/>
      <c r="CQJ146" s="37"/>
      <c r="CQK146" s="37"/>
      <c r="CQL146" s="37"/>
      <c r="CQM146" s="37"/>
      <c r="CQN146" s="37"/>
      <c r="CQO146" s="37"/>
      <c r="CQP146" s="37"/>
      <c r="CQQ146" s="37"/>
      <c r="CQR146" s="37"/>
      <c r="CQS146" s="37"/>
      <c r="CQT146" s="37"/>
      <c r="CQU146" s="37"/>
      <c r="CQV146" s="37"/>
      <c r="CQW146" s="37"/>
      <c r="CQX146" s="37"/>
      <c r="CQY146" s="37"/>
      <c r="CQZ146" s="37"/>
      <c r="CRA146" s="37"/>
      <c r="CRB146" s="37"/>
      <c r="CRC146" s="37"/>
      <c r="CRD146" s="37"/>
      <c r="CRE146" s="37"/>
      <c r="CRF146" s="37"/>
      <c r="CRG146" s="37"/>
      <c r="CRH146" s="37"/>
      <c r="CRI146" s="37"/>
      <c r="CRJ146" s="37"/>
      <c r="CRK146" s="37"/>
      <c r="CRL146" s="37"/>
      <c r="CRM146" s="37"/>
      <c r="CRN146" s="37"/>
      <c r="CRO146" s="37"/>
      <c r="CRP146" s="37"/>
      <c r="CRQ146" s="37"/>
      <c r="CRR146" s="37"/>
      <c r="CRS146" s="37"/>
      <c r="CRT146" s="37"/>
      <c r="CRU146" s="37"/>
      <c r="CRV146" s="37"/>
      <c r="CRW146" s="37"/>
      <c r="CRX146" s="37"/>
      <c r="CRY146" s="37"/>
      <c r="CRZ146" s="37"/>
      <c r="CSA146" s="37"/>
      <c r="CSB146" s="37"/>
      <c r="CSC146" s="37"/>
      <c r="CSD146" s="37"/>
      <c r="CSE146" s="37"/>
      <c r="CSF146" s="37"/>
      <c r="CSG146" s="37"/>
      <c r="CSH146" s="37"/>
      <c r="CSI146" s="37"/>
      <c r="CSJ146" s="37"/>
      <c r="CSK146" s="37"/>
      <c r="CSL146" s="37"/>
      <c r="CSM146" s="37"/>
      <c r="CSN146" s="37"/>
      <c r="CSO146" s="37"/>
      <c r="CSP146" s="37"/>
      <c r="CSQ146" s="37"/>
      <c r="CSR146" s="37"/>
      <c r="CSS146" s="37"/>
      <c r="CST146" s="37"/>
      <c r="CSU146" s="37"/>
      <c r="CSV146" s="37"/>
      <c r="CSW146" s="37"/>
      <c r="CSX146" s="37"/>
      <c r="CSY146" s="37"/>
      <c r="CSZ146" s="37"/>
      <c r="CTA146" s="37"/>
      <c r="CTB146" s="37"/>
      <c r="CTC146" s="37"/>
      <c r="CTD146" s="37"/>
      <c r="CTE146" s="37"/>
      <c r="CTF146" s="37"/>
      <c r="CTG146" s="37"/>
      <c r="CTH146" s="37"/>
      <c r="CTI146" s="37"/>
      <c r="CTJ146" s="37"/>
      <c r="CTK146" s="37"/>
      <c r="CTL146" s="37"/>
      <c r="CTM146" s="37"/>
      <c r="CTN146" s="37"/>
      <c r="CTO146" s="37"/>
      <c r="CTP146" s="37"/>
      <c r="CTQ146" s="37"/>
      <c r="CTR146" s="37"/>
      <c r="CTS146" s="37"/>
      <c r="CTT146" s="37"/>
      <c r="CTU146" s="37"/>
      <c r="CTV146" s="37"/>
      <c r="CTW146" s="37"/>
      <c r="CTX146" s="37"/>
      <c r="CTY146" s="37"/>
      <c r="CTZ146" s="37"/>
      <c r="CUA146" s="37"/>
      <c r="CUB146" s="37"/>
      <c r="CUC146" s="37"/>
      <c r="CUD146" s="37"/>
      <c r="CUE146" s="37"/>
      <c r="CUF146" s="37"/>
      <c r="CUG146" s="37"/>
      <c r="CUH146" s="37"/>
      <c r="CUI146" s="37"/>
      <c r="CUJ146" s="37"/>
      <c r="CUK146" s="37"/>
      <c r="CUL146" s="37"/>
      <c r="CUM146" s="37"/>
      <c r="CUN146" s="37"/>
      <c r="CUO146" s="37"/>
      <c r="CUP146" s="37"/>
      <c r="CUQ146" s="37"/>
      <c r="CUR146" s="37"/>
      <c r="CUS146" s="37"/>
      <c r="CUT146" s="37"/>
      <c r="CUU146" s="37"/>
      <c r="CUV146" s="37"/>
      <c r="CUW146" s="37"/>
      <c r="CUX146" s="37"/>
      <c r="CUY146" s="37"/>
      <c r="CUZ146" s="37"/>
      <c r="CVA146" s="37"/>
      <c r="CVB146" s="37"/>
      <c r="CVC146" s="37"/>
      <c r="CVD146" s="37"/>
      <c r="CVE146" s="37"/>
      <c r="CVF146" s="37"/>
      <c r="CVG146" s="37"/>
      <c r="CVH146" s="37"/>
      <c r="CVI146" s="37"/>
      <c r="CVJ146" s="37"/>
      <c r="CVK146" s="37"/>
      <c r="CVL146" s="37"/>
      <c r="CVM146" s="37"/>
      <c r="CVN146" s="37"/>
      <c r="CVO146" s="37"/>
      <c r="CVP146" s="37"/>
      <c r="CVQ146" s="37"/>
      <c r="CVR146" s="37"/>
      <c r="CVS146" s="37"/>
      <c r="CVT146" s="37"/>
      <c r="CVU146" s="37"/>
      <c r="CVV146" s="37"/>
      <c r="CVW146" s="37"/>
      <c r="CVX146" s="37"/>
      <c r="CVY146" s="37"/>
      <c r="CVZ146" s="37"/>
      <c r="CWA146" s="37"/>
      <c r="CWB146" s="37"/>
      <c r="CWC146" s="37"/>
      <c r="CWD146" s="37"/>
      <c r="CWE146" s="37"/>
      <c r="CWF146" s="37"/>
      <c r="CWG146" s="37"/>
      <c r="CWH146" s="37"/>
      <c r="CWI146" s="37"/>
      <c r="CWJ146" s="37"/>
      <c r="CWK146" s="37"/>
      <c r="CWL146" s="37"/>
      <c r="CWM146" s="37"/>
      <c r="CWN146" s="37"/>
      <c r="CWO146" s="37"/>
      <c r="CWP146" s="37"/>
      <c r="CWQ146" s="37"/>
      <c r="CWR146" s="37"/>
      <c r="CWS146" s="37"/>
      <c r="CWT146" s="37"/>
      <c r="CWU146" s="37"/>
      <c r="CWV146" s="37"/>
      <c r="CWW146" s="37"/>
      <c r="CWX146" s="37"/>
      <c r="CWY146" s="37"/>
      <c r="CWZ146" s="37"/>
      <c r="CXA146" s="37"/>
      <c r="CXB146" s="37"/>
      <c r="CXC146" s="37"/>
      <c r="CXD146" s="37"/>
      <c r="CXE146" s="37"/>
      <c r="CXF146" s="37"/>
      <c r="CXG146" s="37"/>
      <c r="CXH146" s="37"/>
      <c r="CXI146" s="37"/>
      <c r="CXJ146" s="37"/>
      <c r="CXK146" s="37"/>
      <c r="CXL146" s="37"/>
      <c r="CXM146" s="37"/>
      <c r="CXN146" s="37"/>
      <c r="CXO146" s="37"/>
      <c r="CXP146" s="37"/>
      <c r="CXQ146" s="37"/>
      <c r="CXR146" s="37"/>
      <c r="CXS146" s="37"/>
      <c r="CXT146" s="37"/>
      <c r="CXU146" s="37"/>
      <c r="CXV146" s="37"/>
      <c r="CXW146" s="37"/>
      <c r="CXX146" s="37"/>
      <c r="CXY146" s="37"/>
      <c r="CXZ146" s="37"/>
      <c r="CYA146" s="37"/>
      <c r="CYB146" s="37"/>
      <c r="CYC146" s="37"/>
      <c r="CYD146" s="37"/>
      <c r="CYE146" s="37"/>
      <c r="CYF146" s="37"/>
      <c r="CYG146" s="37"/>
      <c r="CYH146" s="37"/>
      <c r="CYI146" s="37"/>
      <c r="CYJ146" s="37"/>
      <c r="CYK146" s="37"/>
      <c r="CYL146" s="37"/>
      <c r="CYM146" s="37"/>
      <c r="CYN146" s="37"/>
      <c r="CYO146" s="37"/>
      <c r="CYP146" s="37"/>
      <c r="CYQ146" s="37"/>
      <c r="CYR146" s="37"/>
      <c r="CYS146" s="37"/>
      <c r="CYT146" s="37"/>
      <c r="CYU146" s="37"/>
      <c r="CYV146" s="37"/>
      <c r="CYW146" s="37"/>
      <c r="CYX146" s="37"/>
      <c r="CYY146" s="37"/>
      <c r="CYZ146" s="37"/>
      <c r="CZA146" s="37"/>
      <c r="CZB146" s="37"/>
      <c r="CZC146" s="37"/>
      <c r="CZD146" s="37"/>
      <c r="CZE146" s="37"/>
      <c r="CZF146" s="37"/>
      <c r="CZG146" s="37"/>
      <c r="CZH146" s="37"/>
      <c r="CZI146" s="37"/>
      <c r="CZJ146" s="37"/>
      <c r="CZK146" s="37"/>
      <c r="CZL146" s="37"/>
      <c r="CZM146" s="37"/>
      <c r="CZN146" s="37"/>
      <c r="CZO146" s="37"/>
      <c r="CZP146" s="37"/>
      <c r="CZQ146" s="37"/>
      <c r="CZR146" s="37"/>
      <c r="CZS146" s="37"/>
      <c r="CZT146" s="37"/>
      <c r="CZU146" s="37"/>
      <c r="CZV146" s="37"/>
      <c r="CZW146" s="37"/>
      <c r="CZX146" s="37"/>
      <c r="CZY146" s="37"/>
      <c r="CZZ146" s="37"/>
      <c r="DAA146" s="37"/>
      <c r="DAB146" s="37"/>
      <c r="DAC146" s="37"/>
      <c r="DAD146" s="37"/>
      <c r="DAE146" s="37"/>
      <c r="DAF146" s="37"/>
      <c r="DAG146" s="37"/>
      <c r="DAH146" s="37"/>
      <c r="DAI146" s="37"/>
      <c r="DAJ146" s="37"/>
      <c r="DAK146" s="37"/>
      <c r="DAL146" s="37"/>
      <c r="DAM146" s="37"/>
      <c r="DAN146" s="37"/>
      <c r="DAO146" s="37"/>
      <c r="DAP146" s="37"/>
      <c r="DAQ146" s="37"/>
      <c r="DAR146" s="37"/>
      <c r="DAS146" s="37"/>
      <c r="DAT146" s="37"/>
      <c r="DAU146" s="37"/>
      <c r="DAV146" s="37"/>
      <c r="DAW146" s="37"/>
      <c r="DAX146" s="37"/>
      <c r="DAY146" s="37"/>
      <c r="DAZ146" s="37"/>
      <c r="DBA146" s="37"/>
      <c r="DBB146" s="37"/>
      <c r="DBC146" s="37"/>
      <c r="DBD146" s="37"/>
      <c r="DBE146" s="37"/>
      <c r="DBF146" s="37"/>
      <c r="DBG146" s="37"/>
      <c r="DBH146" s="37"/>
      <c r="DBI146" s="37"/>
      <c r="DBJ146" s="37"/>
      <c r="DBK146" s="37"/>
      <c r="DBL146" s="37"/>
      <c r="DBM146" s="37"/>
      <c r="DBN146" s="37"/>
      <c r="DBO146" s="37"/>
      <c r="DBP146" s="37"/>
      <c r="DBQ146" s="37"/>
      <c r="DBR146" s="37"/>
      <c r="DBS146" s="37"/>
      <c r="DBT146" s="37"/>
      <c r="DBU146" s="37"/>
      <c r="DBV146" s="37"/>
      <c r="DBW146" s="37"/>
      <c r="DBX146" s="37"/>
      <c r="DBY146" s="37"/>
      <c r="DBZ146" s="37"/>
      <c r="DCA146" s="37"/>
      <c r="DCB146" s="37"/>
      <c r="DCC146" s="37"/>
      <c r="DCD146" s="37"/>
      <c r="DCE146" s="37"/>
      <c r="DCF146" s="37"/>
      <c r="DCG146" s="37"/>
      <c r="DCH146" s="37"/>
      <c r="DCI146" s="37"/>
      <c r="DCJ146" s="37"/>
      <c r="DCK146" s="37"/>
      <c r="DCL146" s="37"/>
      <c r="DCM146" s="37"/>
      <c r="DCN146" s="37"/>
      <c r="DCO146" s="37"/>
      <c r="DCP146" s="37"/>
      <c r="DCQ146" s="37"/>
      <c r="DCR146" s="37"/>
      <c r="DCS146" s="37"/>
      <c r="DCT146" s="37"/>
      <c r="DCU146" s="37"/>
      <c r="DCV146" s="37"/>
      <c r="DCW146" s="37"/>
      <c r="DCX146" s="37"/>
      <c r="DCY146" s="37"/>
      <c r="DCZ146" s="37"/>
      <c r="DDA146" s="37"/>
      <c r="DDB146" s="37"/>
      <c r="DDC146" s="37"/>
      <c r="DDD146" s="37"/>
      <c r="DDE146" s="37"/>
      <c r="DDF146" s="37"/>
      <c r="DDG146" s="37"/>
      <c r="DDH146" s="37"/>
      <c r="DDI146" s="37"/>
      <c r="DDJ146" s="37"/>
      <c r="DDK146" s="37"/>
      <c r="DDL146" s="37"/>
      <c r="DDM146" s="37"/>
      <c r="DDN146" s="37"/>
      <c r="DDO146" s="37"/>
      <c r="DDP146" s="37"/>
      <c r="DDQ146" s="37"/>
      <c r="DDR146" s="37"/>
      <c r="DDS146" s="37"/>
      <c r="DDT146" s="37"/>
      <c r="DDU146" s="37"/>
      <c r="DDV146" s="37"/>
      <c r="DDW146" s="37"/>
      <c r="DDX146" s="37"/>
      <c r="DDY146" s="37"/>
      <c r="DDZ146" s="37"/>
      <c r="DEA146" s="37"/>
      <c r="DEB146" s="37"/>
      <c r="DEC146" s="37"/>
      <c r="DED146" s="37"/>
      <c r="DEE146" s="37"/>
      <c r="DEF146" s="37"/>
      <c r="DEG146" s="37"/>
      <c r="DEH146" s="37"/>
      <c r="DEI146" s="37"/>
      <c r="DEJ146" s="37"/>
      <c r="DEK146" s="37"/>
      <c r="DEL146" s="37"/>
      <c r="DEM146" s="37"/>
      <c r="DEN146" s="37"/>
      <c r="DEO146" s="37"/>
      <c r="DEP146" s="37"/>
      <c r="DEQ146" s="37"/>
      <c r="DER146" s="37"/>
      <c r="DES146" s="37"/>
      <c r="DET146" s="37"/>
      <c r="DEU146" s="37"/>
      <c r="DEV146" s="37"/>
      <c r="DEW146" s="37"/>
      <c r="DEX146" s="37"/>
      <c r="DEY146" s="37"/>
      <c r="DEZ146" s="37"/>
      <c r="DFA146" s="37"/>
      <c r="DFB146" s="37"/>
      <c r="DFC146" s="37"/>
      <c r="DFD146" s="37"/>
      <c r="DFE146" s="37"/>
      <c r="DFF146" s="37"/>
      <c r="DFG146" s="37"/>
      <c r="DFH146" s="37"/>
      <c r="DFI146" s="37"/>
      <c r="DFJ146" s="37"/>
      <c r="DFK146" s="37"/>
      <c r="DFL146" s="37"/>
      <c r="DFM146" s="37"/>
      <c r="DFN146" s="37"/>
      <c r="DFO146" s="37"/>
      <c r="DFP146" s="37"/>
      <c r="DFQ146" s="37"/>
      <c r="DFR146" s="37"/>
      <c r="DFS146" s="37"/>
      <c r="DFT146" s="37"/>
      <c r="DFU146" s="37"/>
      <c r="DFV146" s="37"/>
      <c r="DFW146" s="37"/>
      <c r="DFX146" s="37"/>
      <c r="DFY146" s="37"/>
      <c r="DFZ146" s="37"/>
      <c r="DGA146" s="37"/>
      <c r="DGB146" s="37"/>
      <c r="DGC146" s="37"/>
      <c r="DGD146" s="37"/>
      <c r="DGE146" s="37"/>
      <c r="DGF146" s="37"/>
      <c r="DGG146" s="37"/>
      <c r="DGH146" s="37"/>
      <c r="DGI146" s="37"/>
      <c r="DGJ146" s="37"/>
      <c r="DGK146" s="37"/>
      <c r="DGL146" s="37"/>
      <c r="DGM146" s="37"/>
      <c r="DGN146" s="37"/>
      <c r="DGO146" s="37"/>
      <c r="DGP146" s="37"/>
      <c r="DGQ146" s="37"/>
      <c r="DGR146" s="37"/>
      <c r="DGS146" s="37"/>
      <c r="DGT146" s="37"/>
      <c r="DGU146" s="37"/>
      <c r="DGV146" s="37"/>
      <c r="DGW146" s="37"/>
      <c r="DGX146" s="37"/>
      <c r="DGY146" s="37"/>
      <c r="DGZ146" s="37"/>
      <c r="DHA146" s="37"/>
      <c r="DHB146" s="37"/>
      <c r="DHC146" s="37"/>
      <c r="DHD146" s="37"/>
      <c r="DHE146" s="37"/>
      <c r="DHF146" s="37"/>
      <c r="DHG146" s="37"/>
      <c r="DHH146" s="37"/>
      <c r="DHI146" s="37"/>
      <c r="DHJ146" s="37"/>
      <c r="DHK146" s="37"/>
      <c r="DHL146" s="37"/>
      <c r="DHM146" s="37"/>
      <c r="DHN146" s="37"/>
      <c r="DHO146" s="37"/>
      <c r="DHP146" s="37"/>
      <c r="DHQ146" s="37"/>
      <c r="DHR146" s="37"/>
      <c r="DHS146" s="37"/>
      <c r="DHT146" s="37"/>
      <c r="DHU146" s="37"/>
      <c r="DHV146" s="37"/>
      <c r="DHW146" s="37"/>
      <c r="DHX146" s="37"/>
      <c r="DHY146" s="37"/>
      <c r="DHZ146" s="37"/>
      <c r="DIA146" s="37"/>
      <c r="DIB146" s="37"/>
      <c r="DIC146" s="37"/>
      <c r="DID146" s="37"/>
      <c r="DIE146" s="37"/>
      <c r="DIF146" s="37"/>
      <c r="DIG146" s="37"/>
      <c r="DIH146" s="37"/>
      <c r="DII146" s="37"/>
      <c r="DIJ146" s="37"/>
      <c r="DIK146" s="37"/>
      <c r="DIL146" s="37"/>
      <c r="DIM146" s="37"/>
      <c r="DIN146" s="37"/>
      <c r="DIO146" s="37"/>
      <c r="DIP146" s="37"/>
      <c r="DIQ146" s="37"/>
      <c r="DIR146" s="37"/>
      <c r="DIS146" s="37"/>
      <c r="DIT146" s="37"/>
      <c r="DIU146" s="37"/>
      <c r="DIV146" s="37"/>
      <c r="DIW146" s="37"/>
      <c r="DIX146" s="37"/>
      <c r="DIY146" s="37"/>
      <c r="DIZ146" s="37"/>
      <c r="DJA146" s="37"/>
      <c r="DJB146" s="37"/>
      <c r="DJC146" s="37"/>
      <c r="DJD146" s="37"/>
      <c r="DJE146" s="37"/>
      <c r="DJF146" s="37"/>
      <c r="DJG146" s="37"/>
      <c r="DJH146" s="37"/>
      <c r="DJI146" s="37"/>
      <c r="DJJ146" s="37"/>
      <c r="DJK146" s="37"/>
      <c r="DJL146" s="37"/>
      <c r="DJM146" s="37"/>
      <c r="DJN146" s="37"/>
      <c r="DJO146" s="37"/>
      <c r="DJP146" s="37"/>
      <c r="DJQ146" s="37"/>
      <c r="DJR146" s="37"/>
      <c r="DJS146" s="37"/>
      <c r="DJT146" s="37"/>
      <c r="DJU146" s="37"/>
      <c r="DJV146" s="37"/>
      <c r="DJW146" s="37"/>
      <c r="DJX146" s="37"/>
      <c r="DJY146" s="37"/>
      <c r="DJZ146" s="37"/>
      <c r="DKA146" s="37"/>
      <c r="DKB146" s="37"/>
      <c r="DKC146" s="37"/>
      <c r="DKD146" s="37"/>
      <c r="DKE146" s="37"/>
      <c r="DKF146" s="37"/>
      <c r="DKG146" s="37"/>
      <c r="DKH146" s="37"/>
      <c r="DKI146" s="37"/>
      <c r="DKJ146" s="37"/>
      <c r="DKK146" s="37"/>
      <c r="DKL146" s="37"/>
      <c r="DKM146" s="37"/>
      <c r="DKN146" s="37"/>
      <c r="DKO146" s="37"/>
      <c r="DKP146" s="37"/>
      <c r="DKQ146" s="37"/>
      <c r="DKR146" s="37"/>
      <c r="DKS146" s="37"/>
      <c r="DKT146" s="37"/>
      <c r="DKU146" s="37"/>
      <c r="DKV146" s="37"/>
      <c r="DKW146" s="37"/>
      <c r="DKX146" s="37"/>
      <c r="DKY146" s="37"/>
      <c r="DKZ146" s="37"/>
      <c r="DLA146" s="37"/>
      <c r="DLB146" s="37"/>
      <c r="DLC146" s="37"/>
      <c r="DLD146" s="37"/>
      <c r="DLE146" s="37"/>
      <c r="DLF146" s="37"/>
      <c r="DLG146" s="37"/>
      <c r="DLH146" s="37"/>
      <c r="DLI146" s="37"/>
      <c r="DLJ146" s="37"/>
      <c r="DLK146" s="37"/>
      <c r="DLL146" s="37"/>
      <c r="DLM146" s="37"/>
      <c r="DLN146" s="37"/>
      <c r="DLO146" s="37"/>
      <c r="DLP146" s="37"/>
      <c r="DLQ146" s="37"/>
      <c r="DLR146" s="37"/>
      <c r="DLS146" s="37"/>
      <c r="DLT146" s="37"/>
      <c r="DLU146" s="37"/>
      <c r="DLV146" s="37"/>
      <c r="DLW146" s="37"/>
      <c r="DLX146" s="37"/>
      <c r="DLY146" s="37"/>
      <c r="DLZ146" s="37"/>
      <c r="DMA146" s="37"/>
      <c r="DMB146" s="37"/>
      <c r="DMC146" s="37"/>
      <c r="DMD146" s="37"/>
      <c r="DME146" s="37"/>
      <c r="DMF146" s="37"/>
      <c r="DMG146" s="37"/>
      <c r="DMH146" s="37"/>
      <c r="DMI146" s="37"/>
      <c r="DMJ146" s="37"/>
      <c r="DMK146" s="37"/>
      <c r="DML146" s="37"/>
      <c r="DMM146" s="37"/>
      <c r="DMN146" s="37"/>
      <c r="DMO146" s="37"/>
      <c r="DMP146" s="37"/>
      <c r="DMQ146" s="37"/>
      <c r="DMR146" s="37"/>
      <c r="DMS146" s="37"/>
      <c r="DMT146" s="37"/>
      <c r="DMU146" s="37"/>
      <c r="DMV146" s="37"/>
      <c r="DMW146" s="37"/>
      <c r="DMX146" s="37"/>
      <c r="DMY146" s="37"/>
      <c r="DMZ146" s="37"/>
      <c r="DNA146" s="37"/>
      <c r="DNB146" s="37"/>
      <c r="DNC146" s="37"/>
      <c r="DND146" s="37"/>
      <c r="DNE146" s="37"/>
      <c r="DNF146" s="37"/>
      <c r="DNG146" s="37"/>
      <c r="DNH146" s="37"/>
      <c r="DNI146" s="37"/>
      <c r="DNJ146" s="37"/>
      <c r="DNK146" s="37"/>
      <c r="DNL146" s="37"/>
      <c r="DNM146" s="37"/>
      <c r="DNN146" s="37"/>
      <c r="DNO146" s="37"/>
      <c r="DNP146" s="37"/>
      <c r="DNQ146" s="37"/>
      <c r="DNR146" s="37"/>
      <c r="DNS146" s="37"/>
      <c r="DNT146" s="37"/>
      <c r="DNU146" s="37"/>
      <c r="DNV146" s="37"/>
      <c r="DNW146" s="37"/>
      <c r="DNX146" s="37"/>
      <c r="DNY146" s="37"/>
      <c r="DNZ146" s="37"/>
      <c r="DOA146" s="37"/>
      <c r="DOB146" s="37"/>
      <c r="DOC146" s="37"/>
      <c r="DOD146" s="37"/>
      <c r="DOE146" s="37"/>
      <c r="DOF146" s="37"/>
      <c r="DOG146" s="37"/>
      <c r="DOH146" s="37"/>
      <c r="DOI146" s="37"/>
      <c r="DOJ146" s="37"/>
      <c r="DOK146" s="37"/>
      <c r="DOL146" s="37"/>
      <c r="DOM146" s="37"/>
      <c r="DON146" s="37"/>
      <c r="DOO146" s="37"/>
      <c r="DOP146" s="37"/>
      <c r="DOQ146" s="37"/>
      <c r="DOR146" s="37"/>
      <c r="DOS146" s="37"/>
      <c r="DOT146" s="37"/>
      <c r="DOU146" s="37"/>
      <c r="DOV146" s="37"/>
      <c r="DOW146" s="37"/>
      <c r="DOX146" s="37"/>
      <c r="DOY146" s="37"/>
      <c r="DOZ146" s="37"/>
      <c r="DPA146" s="37"/>
      <c r="DPB146" s="37"/>
      <c r="DPC146" s="37"/>
      <c r="DPD146" s="37"/>
      <c r="DPE146" s="37"/>
      <c r="DPF146" s="37"/>
      <c r="DPG146" s="37"/>
      <c r="DPH146" s="37"/>
      <c r="DPI146" s="37"/>
      <c r="DPJ146" s="37"/>
      <c r="DPK146" s="37"/>
      <c r="DPL146" s="37"/>
      <c r="DPM146" s="37"/>
      <c r="DPN146" s="37"/>
      <c r="DPO146" s="37"/>
      <c r="DPP146" s="37"/>
      <c r="DPQ146" s="37"/>
      <c r="DPR146" s="37"/>
      <c r="DPS146" s="37"/>
      <c r="DPT146" s="37"/>
      <c r="DPU146" s="37"/>
      <c r="DPV146" s="37"/>
      <c r="DPW146" s="37"/>
      <c r="DPX146" s="37"/>
      <c r="DPY146" s="37"/>
      <c r="DPZ146" s="37"/>
      <c r="DQA146" s="37"/>
      <c r="DQB146" s="37"/>
      <c r="DQC146" s="37"/>
      <c r="DQD146" s="37"/>
      <c r="DQE146" s="37"/>
      <c r="DQF146" s="37"/>
      <c r="DQG146" s="37"/>
      <c r="DQH146" s="37"/>
      <c r="DQI146" s="37"/>
      <c r="DQJ146" s="37"/>
      <c r="DQK146" s="37"/>
      <c r="DQL146" s="37"/>
      <c r="DQM146" s="37"/>
      <c r="DQN146" s="37"/>
      <c r="DQO146" s="37"/>
      <c r="DQP146" s="37"/>
      <c r="DQQ146" s="37"/>
      <c r="DQR146" s="37"/>
      <c r="DQS146" s="37"/>
      <c r="DQT146" s="37"/>
      <c r="DQU146" s="37"/>
      <c r="DQV146" s="37"/>
      <c r="DQW146" s="37"/>
      <c r="DQX146" s="37"/>
      <c r="DQY146" s="37"/>
      <c r="DQZ146" s="37"/>
      <c r="DRA146" s="37"/>
      <c r="DRB146" s="37"/>
      <c r="DRC146" s="37"/>
      <c r="DRD146" s="37"/>
      <c r="DRE146" s="37"/>
      <c r="DRF146" s="37"/>
      <c r="DRG146" s="37"/>
      <c r="DRH146" s="37"/>
      <c r="DRI146" s="37"/>
      <c r="DRJ146" s="37"/>
      <c r="DRK146" s="37"/>
      <c r="DRL146" s="37"/>
      <c r="DRM146" s="37"/>
      <c r="DRN146" s="37"/>
      <c r="DRO146" s="37"/>
      <c r="DRP146" s="37"/>
      <c r="DRQ146" s="37"/>
      <c r="DRR146" s="37"/>
      <c r="DRS146" s="37"/>
      <c r="DRT146" s="37"/>
      <c r="DRU146" s="37"/>
      <c r="DRV146" s="37"/>
      <c r="DRW146" s="37"/>
      <c r="DRX146" s="37"/>
      <c r="DRY146" s="37"/>
      <c r="DRZ146" s="37"/>
      <c r="DSA146" s="37"/>
      <c r="DSB146" s="37"/>
      <c r="DSC146" s="37"/>
      <c r="DSD146" s="37"/>
      <c r="DSE146" s="37"/>
      <c r="DSF146" s="37"/>
      <c r="DSG146" s="37"/>
      <c r="DSH146" s="37"/>
      <c r="DSI146" s="37"/>
      <c r="DSJ146" s="37"/>
      <c r="DSK146" s="37"/>
      <c r="DSL146" s="37"/>
      <c r="DSM146" s="37"/>
      <c r="DSN146" s="37"/>
      <c r="DSO146" s="37"/>
      <c r="DSP146" s="37"/>
      <c r="DSQ146" s="37"/>
      <c r="DSR146" s="37"/>
      <c r="DSS146" s="37"/>
      <c r="DST146" s="37"/>
      <c r="DSU146" s="37"/>
      <c r="DSV146" s="37"/>
      <c r="DSW146" s="37"/>
      <c r="DSX146" s="37"/>
      <c r="DSY146" s="37"/>
      <c r="DSZ146" s="37"/>
      <c r="DTA146" s="37"/>
      <c r="DTB146" s="37"/>
      <c r="DTC146" s="37"/>
      <c r="DTD146" s="37"/>
      <c r="DTE146" s="37"/>
      <c r="DTF146" s="37"/>
      <c r="DTG146" s="37"/>
      <c r="DTH146" s="37"/>
      <c r="DTI146" s="37"/>
      <c r="DTJ146" s="37"/>
      <c r="DTK146" s="37"/>
      <c r="DTL146" s="37"/>
      <c r="DTM146" s="37"/>
      <c r="DTN146" s="37"/>
      <c r="DTO146" s="37"/>
      <c r="DTP146" s="37"/>
      <c r="DTQ146" s="37"/>
      <c r="DTR146" s="37"/>
      <c r="DTS146" s="37"/>
      <c r="DTT146" s="37"/>
      <c r="DTU146" s="37"/>
      <c r="DTV146" s="37"/>
      <c r="DTW146" s="37"/>
      <c r="DTX146" s="37"/>
      <c r="DTY146" s="37"/>
      <c r="DTZ146" s="37"/>
      <c r="DUA146" s="37"/>
      <c r="DUB146" s="37"/>
      <c r="DUC146" s="37"/>
      <c r="DUD146" s="37"/>
      <c r="DUE146" s="37"/>
      <c r="DUF146" s="37"/>
      <c r="DUG146" s="37"/>
      <c r="DUH146" s="37"/>
      <c r="DUI146" s="37"/>
      <c r="DUJ146" s="37"/>
      <c r="DUK146" s="37"/>
      <c r="DUL146" s="37"/>
      <c r="DUM146" s="37"/>
      <c r="DUN146" s="37"/>
      <c r="DUO146" s="37"/>
      <c r="DUP146" s="37"/>
      <c r="DUQ146" s="37"/>
      <c r="DUR146" s="37"/>
      <c r="DUS146" s="37"/>
      <c r="DUT146" s="37"/>
      <c r="DUU146" s="37"/>
      <c r="DUV146" s="37"/>
      <c r="DUW146" s="37"/>
      <c r="DUX146" s="37"/>
      <c r="DUY146" s="37"/>
      <c r="DUZ146" s="37"/>
      <c r="DVA146" s="37"/>
      <c r="DVB146" s="37"/>
      <c r="DVC146" s="37"/>
      <c r="DVD146" s="37"/>
      <c r="DVE146" s="37"/>
      <c r="DVF146" s="37"/>
      <c r="DVG146" s="37"/>
      <c r="DVH146" s="37"/>
      <c r="DVI146" s="37"/>
      <c r="DVJ146" s="37"/>
      <c r="DVK146" s="37"/>
      <c r="DVL146" s="37"/>
      <c r="DVM146" s="37"/>
      <c r="DVN146" s="37"/>
      <c r="DVO146" s="37"/>
      <c r="DVP146" s="37"/>
      <c r="DVQ146" s="37"/>
      <c r="DVR146" s="37"/>
      <c r="DVS146" s="37"/>
      <c r="DVT146" s="37"/>
      <c r="DVU146" s="37"/>
      <c r="DVV146" s="37"/>
      <c r="DVW146" s="37"/>
      <c r="DVX146" s="37"/>
      <c r="DVY146" s="37"/>
      <c r="DVZ146" s="37"/>
      <c r="DWA146" s="37"/>
      <c r="DWB146" s="37"/>
      <c r="DWC146" s="37"/>
      <c r="DWD146" s="37"/>
      <c r="DWE146" s="37"/>
      <c r="DWF146" s="37"/>
      <c r="DWG146" s="37"/>
      <c r="DWH146" s="37"/>
      <c r="DWI146" s="37"/>
      <c r="DWJ146" s="37"/>
      <c r="DWK146" s="37"/>
      <c r="DWL146" s="37"/>
      <c r="DWM146" s="37"/>
      <c r="DWN146" s="37"/>
      <c r="DWO146" s="37"/>
      <c r="DWP146" s="37"/>
      <c r="DWQ146" s="37"/>
      <c r="DWR146" s="37"/>
      <c r="DWS146" s="37"/>
      <c r="DWT146" s="37"/>
      <c r="DWU146" s="37"/>
      <c r="DWV146" s="37"/>
      <c r="DWW146" s="37"/>
      <c r="DWX146" s="37"/>
      <c r="DWY146" s="37"/>
      <c r="DWZ146" s="37"/>
      <c r="DXA146" s="37"/>
      <c r="DXB146" s="37"/>
      <c r="DXC146" s="37"/>
      <c r="DXD146" s="37"/>
      <c r="DXE146" s="37"/>
      <c r="DXF146" s="37"/>
      <c r="DXG146" s="37"/>
      <c r="DXH146" s="37"/>
      <c r="DXI146" s="37"/>
      <c r="DXJ146" s="37"/>
      <c r="DXK146" s="37"/>
      <c r="DXL146" s="37"/>
      <c r="DXM146" s="37"/>
      <c r="DXN146" s="37"/>
      <c r="DXO146" s="37"/>
      <c r="DXP146" s="37"/>
      <c r="DXQ146" s="37"/>
      <c r="DXR146" s="37"/>
      <c r="DXS146" s="37"/>
      <c r="DXT146" s="37"/>
      <c r="DXU146" s="37"/>
      <c r="DXV146" s="37"/>
      <c r="DXW146" s="37"/>
      <c r="DXX146" s="37"/>
      <c r="DXY146" s="37"/>
      <c r="DXZ146" s="37"/>
      <c r="DYA146" s="37"/>
      <c r="DYB146" s="37"/>
      <c r="DYC146" s="37"/>
      <c r="DYD146" s="37"/>
      <c r="DYE146" s="37"/>
      <c r="DYF146" s="37"/>
      <c r="DYG146" s="37"/>
      <c r="DYH146" s="37"/>
      <c r="DYI146" s="37"/>
      <c r="DYJ146" s="37"/>
      <c r="DYK146" s="37"/>
      <c r="DYL146" s="37"/>
      <c r="DYM146" s="37"/>
      <c r="DYN146" s="37"/>
      <c r="DYO146" s="37"/>
      <c r="DYP146" s="37"/>
      <c r="DYQ146" s="37"/>
      <c r="DYR146" s="37"/>
      <c r="DYS146" s="37"/>
      <c r="DYT146" s="37"/>
      <c r="DYU146" s="37"/>
      <c r="DYV146" s="37"/>
      <c r="DYW146" s="37"/>
      <c r="DYX146" s="37"/>
      <c r="DYY146" s="37"/>
      <c r="DYZ146" s="37"/>
      <c r="DZA146" s="37"/>
      <c r="DZB146" s="37"/>
      <c r="DZC146" s="37"/>
      <c r="DZD146" s="37"/>
      <c r="DZE146" s="37"/>
      <c r="DZF146" s="37"/>
      <c r="DZG146" s="37"/>
      <c r="DZH146" s="37"/>
      <c r="DZI146" s="37"/>
      <c r="DZJ146" s="37"/>
      <c r="DZK146" s="37"/>
      <c r="DZL146" s="37"/>
      <c r="DZM146" s="37"/>
      <c r="DZN146" s="37"/>
      <c r="DZO146" s="37"/>
      <c r="DZP146" s="37"/>
      <c r="DZQ146" s="37"/>
      <c r="DZR146" s="37"/>
      <c r="DZS146" s="37"/>
      <c r="DZT146" s="37"/>
      <c r="DZU146" s="37"/>
      <c r="DZV146" s="37"/>
      <c r="DZW146" s="37"/>
      <c r="DZX146" s="37"/>
      <c r="DZY146" s="37"/>
      <c r="DZZ146" s="37"/>
      <c r="EAA146" s="37"/>
      <c r="EAB146" s="37"/>
      <c r="EAC146" s="37"/>
      <c r="EAD146" s="37"/>
      <c r="EAE146" s="37"/>
      <c r="EAF146" s="37"/>
      <c r="EAG146" s="37"/>
      <c r="EAH146" s="37"/>
      <c r="EAI146" s="37"/>
      <c r="EAJ146" s="37"/>
      <c r="EAK146" s="37"/>
      <c r="EAL146" s="37"/>
      <c r="EAM146" s="37"/>
      <c r="EAN146" s="37"/>
      <c r="EAO146" s="37"/>
      <c r="EAP146" s="37"/>
      <c r="EAQ146" s="37"/>
      <c r="EAR146" s="37"/>
      <c r="EAS146" s="37"/>
      <c r="EAT146" s="37"/>
      <c r="EAU146" s="37"/>
      <c r="EAV146" s="37"/>
      <c r="EAW146" s="37"/>
      <c r="EAX146" s="37"/>
      <c r="EAY146" s="37"/>
      <c r="EAZ146" s="37"/>
      <c r="EBA146" s="37"/>
      <c r="EBB146" s="37"/>
      <c r="EBC146" s="37"/>
      <c r="EBD146" s="37"/>
      <c r="EBE146" s="37"/>
      <c r="EBF146" s="37"/>
      <c r="EBG146" s="37"/>
      <c r="EBH146" s="37"/>
      <c r="EBI146" s="37"/>
      <c r="EBJ146" s="37"/>
      <c r="EBK146" s="37"/>
      <c r="EBL146" s="37"/>
      <c r="EBM146" s="37"/>
      <c r="EBN146" s="37"/>
      <c r="EBO146" s="37"/>
      <c r="EBP146" s="37"/>
      <c r="EBQ146" s="37"/>
      <c r="EBR146" s="37"/>
      <c r="EBS146" s="37"/>
      <c r="EBT146" s="37"/>
      <c r="EBU146" s="37"/>
      <c r="EBV146" s="37"/>
      <c r="EBW146" s="37"/>
      <c r="EBX146" s="37"/>
      <c r="EBY146" s="37"/>
      <c r="EBZ146" s="37"/>
      <c r="ECA146" s="37"/>
      <c r="ECB146" s="37"/>
      <c r="ECC146" s="37"/>
      <c r="ECD146" s="37"/>
      <c r="ECE146" s="37"/>
      <c r="ECF146" s="37"/>
      <c r="ECG146" s="37"/>
      <c r="ECH146" s="37"/>
      <c r="ECI146" s="37"/>
      <c r="ECJ146" s="37"/>
      <c r="ECK146" s="37"/>
      <c r="ECL146" s="37"/>
      <c r="ECM146" s="37"/>
      <c r="ECN146" s="37"/>
      <c r="ECO146" s="37"/>
      <c r="ECP146" s="37"/>
      <c r="ECQ146" s="37"/>
      <c r="ECR146" s="37"/>
      <c r="ECS146" s="37"/>
      <c r="ECT146" s="37"/>
      <c r="ECU146" s="37"/>
      <c r="ECV146" s="37"/>
      <c r="ECW146" s="37"/>
      <c r="ECX146" s="37"/>
      <c r="ECY146" s="37"/>
      <c r="ECZ146" s="37"/>
      <c r="EDA146" s="37"/>
      <c r="EDB146" s="37"/>
      <c r="EDC146" s="37"/>
      <c r="EDD146" s="37"/>
      <c r="EDE146" s="37"/>
      <c r="EDF146" s="37"/>
      <c r="EDG146" s="37"/>
      <c r="EDH146" s="37"/>
      <c r="EDI146" s="37"/>
      <c r="EDJ146" s="37"/>
      <c r="EDK146" s="37"/>
      <c r="EDL146" s="37"/>
      <c r="EDM146" s="37"/>
      <c r="EDN146" s="37"/>
      <c r="EDO146" s="37"/>
      <c r="EDP146" s="37"/>
      <c r="EDQ146" s="37"/>
      <c r="EDR146" s="37"/>
      <c r="EDS146" s="37"/>
      <c r="EDT146" s="37"/>
      <c r="EDU146" s="37"/>
      <c r="EDV146" s="37"/>
      <c r="EDW146" s="37"/>
      <c r="EDX146" s="37"/>
      <c r="EDY146" s="37"/>
      <c r="EDZ146" s="37"/>
      <c r="EEA146" s="37"/>
      <c r="EEB146" s="37"/>
      <c r="EEC146" s="37"/>
      <c r="EED146" s="37"/>
      <c r="EEE146" s="37"/>
      <c r="EEF146" s="37"/>
      <c r="EEG146" s="37"/>
      <c r="EEH146" s="37"/>
      <c r="EEI146" s="37"/>
      <c r="EEJ146" s="37"/>
      <c r="EEK146" s="37"/>
      <c r="EEL146" s="37"/>
      <c r="EEM146" s="37"/>
      <c r="EEN146" s="37"/>
      <c r="EEO146" s="37"/>
      <c r="EEP146" s="37"/>
      <c r="EEQ146" s="37"/>
      <c r="EER146" s="37"/>
      <c r="EES146" s="37"/>
      <c r="EET146" s="37"/>
      <c r="EEU146" s="37"/>
      <c r="EEV146" s="37"/>
      <c r="EEW146" s="37"/>
      <c r="EEX146" s="37"/>
      <c r="EEY146" s="37"/>
      <c r="EEZ146" s="37"/>
      <c r="EFA146" s="37"/>
      <c r="EFB146" s="37"/>
      <c r="EFC146" s="37"/>
      <c r="EFD146" s="37"/>
      <c r="EFE146" s="37"/>
      <c r="EFF146" s="37"/>
      <c r="EFG146" s="37"/>
      <c r="EFH146" s="37"/>
      <c r="EFI146" s="37"/>
      <c r="EFJ146" s="37"/>
      <c r="EFK146" s="37"/>
      <c r="EFL146" s="37"/>
      <c r="EFM146" s="37"/>
      <c r="EFN146" s="37"/>
      <c r="EFO146" s="37"/>
      <c r="EFP146" s="37"/>
      <c r="EFQ146" s="37"/>
      <c r="EFR146" s="37"/>
      <c r="EFS146" s="37"/>
      <c r="EFT146" s="37"/>
      <c r="EFU146" s="37"/>
      <c r="EFV146" s="37"/>
      <c r="EFW146" s="37"/>
      <c r="EFX146" s="37"/>
      <c r="EFY146" s="37"/>
      <c r="EFZ146" s="37"/>
      <c r="EGA146" s="37"/>
      <c r="EGB146" s="37"/>
      <c r="EGC146" s="37"/>
      <c r="EGD146" s="37"/>
      <c r="EGE146" s="37"/>
      <c r="EGF146" s="37"/>
      <c r="EGG146" s="37"/>
      <c r="EGH146" s="37"/>
      <c r="EGI146" s="37"/>
      <c r="EGJ146" s="37"/>
      <c r="EGK146" s="37"/>
      <c r="EGL146" s="37"/>
      <c r="EGM146" s="37"/>
      <c r="EGN146" s="37"/>
      <c r="EGO146" s="37"/>
      <c r="EGP146" s="37"/>
      <c r="EGQ146" s="37"/>
      <c r="EGR146" s="37"/>
      <c r="EGS146" s="37"/>
      <c r="EGT146" s="37"/>
      <c r="EGU146" s="37"/>
      <c r="EGV146" s="37"/>
      <c r="EGW146" s="37"/>
      <c r="EGX146" s="37"/>
      <c r="EGY146" s="37"/>
      <c r="EGZ146" s="37"/>
      <c r="EHA146" s="37"/>
      <c r="EHB146" s="37"/>
      <c r="EHC146" s="37"/>
      <c r="EHD146" s="37"/>
      <c r="EHE146" s="37"/>
      <c r="EHF146" s="37"/>
      <c r="EHG146" s="37"/>
      <c r="EHH146" s="37"/>
      <c r="EHI146" s="37"/>
      <c r="EHJ146" s="37"/>
      <c r="EHK146" s="37"/>
      <c r="EHL146" s="37"/>
      <c r="EHM146" s="37"/>
      <c r="EHN146" s="37"/>
      <c r="EHO146" s="37"/>
      <c r="EHP146" s="37"/>
      <c r="EHQ146" s="37"/>
      <c r="EHR146" s="37"/>
      <c r="EHS146" s="37"/>
      <c r="EHT146" s="37"/>
      <c r="EHU146" s="37"/>
      <c r="EHV146" s="37"/>
      <c r="EHW146" s="37"/>
      <c r="EHX146" s="37"/>
      <c r="EHY146" s="37"/>
      <c r="EHZ146" s="37"/>
      <c r="EIA146" s="37"/>
      <c r="EIB146" s="37"/>
      <c r="EIC146" s="37"/>
      <c r="EID146" s="37"/>
      <c r="EIE146" s="37"/>
      <c r="EIF146" s="37"/>
      <c r="EIG146" s="37"/>
      <c r="EIH146" s="37"/>
      <c r="EII146" s="37"/>
      <c r="EIJ146" s="37"/>
      <c r="EIK146" s="37"/>
      <c r="EIL146" s="37"/>
      <c r="EIM146" s="37"/>
      <c r="EIN146" s="37"/>
      <c r="EIO146" s="37"/>
      <c r="EIP146" s="37"/>
      <c r="EIQ146" s="37"/>
      <c r="EIR146" s="37"/>
      <c r="EIS146" s="37"/>
      <c r="EIT146" s="37"/>
      <c r="EIU146" s="37"/>
      <c r="EIV146" s="37"/>
      <c r="EIW146" s="37"/>
      <c r="EIX146" s="37"/>
      <c r="EIY146" s="37"/>
      <c r="EIZ146" s="37"/>
      <c r="EJA146" s="37"/>
      <c r="EJB146" s="37"/>
      <c r="EJC146" s="37"/>
      <c r="EJD146" s="37"/>
      <c r="EJE146" s="37"/>
      <c r="EJF146" s="37"/>
      <c r="EJG146" s="37"/>
      <c r="EJH146" s="37"/>
      <c r="EJI146" s="37"/>
      <c r="EJJ146" s="37"/>
      <c r="EJK146" s="37"/>
      <c r="EJL146" s="37"/>
      <c r="EJM146" s="37"/>
      <c r="EJN146" s="37"/>
      <c r="EJO146" s="37"/>
      <c r="EJP146" s="37"/>
      <c r="EJQ146" s="37"/>
      <c r="EJR146" s="37"/>
      <c r="EJS146" s="37"/>
      <c r="EJT146" s="37"/>
      <c r="EJU146" s="37"/>
      <c r="EJV146" s="37"/>
      <c r="EJW146" s="37"/>
      <c r="EJX146" s="37"/>
      <c r="EJY146" s="37"/>
      <c r="EJZ146" s="37"/>
      <c r="EKA146" s="37"/>
      <c r="EKB146" s="37"/>
      <c r="EKC146" s="37"/>
      <c r="EKD146" s="37"/>
      <c r="EKE146" s="37"/>
      <c r="EKF146" s="37"/>
      <c r="EKG146" s="37"/>
      <c r="EKH146" s="37"/>
      <c r="EKI146" s="37"/>
      <c r="EKJ146" s="37"/>
      <c r="EKK146" s="37"/>
      <c r="EKL146" s="37"/>
      <c r="EKM146" s="37"/>
      <c r="EKN146" s="37"/>
      <c r="EKO146" s="37"/>
      <c r="EKP146" s="37"/>
      <c r="EKQ146" s="37"/>
      <c r="EKR146" s="37"/>
      <c r="EKS146" s="37"/>
      <c r="EKT146" s="37"/>
      <c r="EKU146" s="37"/>
      <c r="EKV146" s="37"/>
      <c r="EKW146" s="37"/>
      <c r="EKX146" s="37"/>
      <c r="EKY146" s="37"/>
      <c r="EKZ146" s="37"/>
      <c r="ELA146" s="37"/>
      <c r="ELB146" s="37"/>
      <c r="ELC146" s="37"/>
      <c r="ELD146" s="37"/>
      <c r="ELE146" s="37"/>
      <c r="ELF146" s="37"/>
      <c r="ELG146" s="37"/>
      <c r="ELH146" s="37"/>
      <c r="ELI146" s="37"/>
      <c r="ELJ146" s="37"/>
      <c r="ELK146" s="37"/>
      <c r="ELL146" s="37"/>
      <c r="ELM146" s="37"/>
      <c r="ELN146" s="37"/>
      <c r="ELO146" s="37"/>
      <c r="ELP146" s="37"/>
      <c r="ELQ146" s="37"/>
      <c r="ELR146" s="37"/>
      <c r="ELS146" s="37"/>
      <c r="ELT146" s="37"/>
      <c r="ELU146" s="37"/>
      <c r="ELV146" s="37"/>
      <c r="ELW146" s="37"/>
      <c r="ELX146" s="37"/>
      <c r="ELY146" s="37"/>
      <c r="ELZ146" s="37"/>
      <c r="EMA146" s="37"/>
      <c r="EMB146" s="37"/>
      <c r="EMC146" s="37"/>
      <c r="EMD146" s="37"/>
      <c r="EME146" s="37"/>
      <c r="EMF146" s="37"/>
      <c r="EMG146" s="37"/>
      <c r="EMH146" s="37"/>
      <c r="EMI146" s="37"/>
      <c r="EMJ146" s="37"/>
      <c r="EMK146" s="37"/>
      <c r="EML146" s="37"/>
      <c r="EMM146" s="37"/>
      <c r="EMN146" s="37"/>
      <c r="EMO146" s="37"/>
      <c r="EMP146" s="37"/>
      <c r="EMQ146" s="37"/>
      <c r="EMR146" s="37"/>
      <c r="EMS146" s="37"/>
      <c r="EMT146" s="37"/>
      <c r="EMU146" s="37"/>
      <c r="EMV146" s="37"/>
      <c r="EMW146" s="37"/>
      <c r="EMX146" s="37"/>
      <c r="EMY146" s="37"/>
      <c r="EMZ146" s="37"/>
      <c r="ENA146" s="37"/>
      <c r="ENB146" s="37"/>
      <c r="ENC146" s="37"/>
      <c r="END146" s="37"/>
      <c r="ENE146" s="37"/>
      <c r="ENF146" s="37"/>
      <c r="ENG146" s="37"/>
      <c r="ENH146" s="37"/>
      <c r="ENI146" s="37"/>
      <c r="ENJ146" s="37"/>
      <c r="ENK146" s="37"/>
      <c r="ENL146" s="37"/>
      <c r="ENM146" s="37"/>
      <c r="ENN146" s="37"/>
      <c r="ENO146" s="37"/>
      <c r="ENP146" s="37"/>
      <c r="ENQ146" s="37"/>
      <c r="ENR146" s="37"/>
      <c r="ENS146" s="37"/>
      <c r="ENT146" s="37"/>
      <c r="ENU146" s="37"/>
      <c r="ENV146" s="37"/>
      <c r="ENW146" s="37"/>
      <c r="ENX146" s="37"/>
      <c r="ENY146" s="37"/>
      <c r="ENZ146" s="37"/>
      <c r="EOA146" s="37"/>
      <c r="EOB146" s="37"/>
      <c r="EOC146" s="37"/>
      <c r="EOD146" s="37"/>
      <c r="EOE146" s="37"/>
      <c r="EOF146" s="37"/>
      <c r="EOG146" s="37"/>
      <c r="EOH146" s="37"/>
      <c r="EOI146" s="37"/>
      <c r="EOJ146" s="37"/>
      <c r="EOK146" s="37"/>
      <c r="EOL146" s="37"/>
      <c r="EOM146" s="37"/>
      <c r="EON146" s="37"/>
      <c r="EOO146" s="37"/>
      <c r="EOP146" s="37"/>
      <c r="EOQ146" s="37"/>
      <c r="EOR146" s="37"/>
      <c r="EOS146" s="37"/>
      <c r="EOT146" s="37"/>
      <c r="EOU146" s="37"/>
      <c r="EOV146" s="37"/>
      <c r="EOW146" s="37"/>
      <c r="EOX146" s="37"/>
      <c r="EOY146" s="37"/>
      <c r="EOZ146" s="37"/>
      <c r="EPA146" s="37"/>
      <c r="EPB146" s="37"/>
      <c r="EPC146" s="37"/>
      <c r="EPD146" s="37"/>
      <c r="EPE146" s="37"/>
      <c r="EPF146" s="37"/>
      <c r="EPG146" s="37"/>
      <c r="EPH146" s="37"/>
      <c r="EPI146" s="37"/>
      <c r="EPJ146" s="37"/>
      <c r="EPK146" s="37"/>
      <c r="EPL146" s="37"/>
      <c r="EPM146" s="37"/>
      <c r="EPN146" s="37"/>
      <c r="EPO146" s="37"/>
      <c r="EPP146" s="37"/>
      <c r="EPQ146" s="37"/>
      <c r="EPR146" s="37"/>
      <c r="EPS146" s="37"/>
      <c r="EPT146" s="37"/>
      <c r="EPU146" s="37"/>
      <c r="EPV146" s="37"/>
      <c r="EPW146" s="37"/>
      <c r="EPX146" s="37"/>
      <c r="EPY146" s="37"/>
      <c r="EPZ146" s="37"/>
      <c r="EQA146" s="37"/>
      <c r="EQB146" s="37"/>
      <c r="EQC146" s="37"/>
      <c r="EQD146" s="37"/>
      <c r="EQE146" s="37"/>
      <c r="EQF146" s="37"/>
      <c r="EQG146" s="37"/>
      <c r="EQH146" s="37"/>
      <c r="EQI146" s="37"/>
      <c r="EQJ146" s="37"/>
      <c r="EQK146" s="37"/>
      <c r="EQL146" s="37"/>
      <c r="EQM146" s="37"/>
      <c r="EQN146" s="37"/>
      <c r="EQO146" s="37"/>
      <c r="EQP146" s="37"/>
      <c r="EQQ146" s="37"/>
      <c r="EQR146" s="37"/>
      <c r="EQS146" s="37"/>
      <c r="EQT146" s="37"/>
      <c r="EQU146" s="37"/>
      <c r="EQV146" s="37"/>
      <c r="EQW146" s="37"/>
      <c r="EQX146" s="37"/>
      <c r="EQY146" s="37"/>
      <c r="EQZ146" s="37"/>
      <c r="ERA146" s="37"/>
      <c r="ERB146" s="37"/>
      <c r="ERC146" s="37"/>
      <c r="ERD146" s="37"/>
      <c r="ERE146" s="37"/>
      <c r="ERF146" s="37"/>
      <c r="ERG146" s="37"/>
      <c r="ERH146" s="37"/>
      <c r="ERI146" s="37"/>
      <c r="ERJ146" s="37"/>
      <c r="ERK146" s="37"/>
      <c r="ERL146" s="37"/>
      <c r="ERM146" s="37"/>
      <c r="ERN146" s="37"/>
      <c r="ERO146" s="37"/>
      <c r="ERP146" s="37"/>
      <c r="ERQ146" s="37"/>
      <c r="ERR146" s="37"/>
      <c r="ERS146" s="37"/>
      <c r="ERT146" s="37"/>
      <c r="ERU146" s="37"/>
      <c r="ERV146" s="37"/>
      <c r="ERW146" s="37"/>
      <c r="ERX146" s="37"/>
      <c r="ERY146" s="37"/>
      <c r="ERZ146" s="37"/>
      <c r="ESA146" s="37"/>
      <c r="ESB146" s="37"/>
      <c r="ESC146" s="37"/>
      <c r="ESD146" s="37"/>
      <c r="ESE146" s="37"/>
      <c r="ESF146" s="37"/>
      <c r="ESG146" s="37"/>
      <c r="ESH146" s="37"/>
      <c r="ESI146" s="37"/>
      <c r="ESJ146" s="37"/>
      <c r="ESK146" s="37"/>
      <c r="ESL146" s="37"/>
      <c r="ESM146" s="37"/>
      <c r="ESN146" s="37"/>
      <c r="ESO146" s="37"/>
      <c r="ESP146" s="37"/>
      <c r="ESQ146" s="37"/>
      <c r="ESR146" s="37"/>
      <c r="ESS146" s="37"/>
      <c r="EST146" s="37"/>
      <c r="ESU146" s="37"/>
      <c r="ESV146" s="37"/>
      <c r="ESW146" s="37"/>
      <c r="ESX146" s="37"/>
      <c r="ESY146" s="37"/>
      <c r="ESZ146" s="37"/>
      <c r="ETA146" s="37"/>
      <c r="ETB146" s="37"/>
      <c r="ETC146" s="37"/>
      <c r="ETD146" s="37"/>
      <c r="ETE146" s="37"/>
      <c r="ETF146" s="37"/>
      <c r="ETG146" s="37"/>
      <c r="ETH146" s="37"/>
      <c r="ETI146" s="37"/>
      <c r="ETJ146" s="37"/>
      <c r="ETK146" s="37"/>
      <c r="ETL146" s="37"/>
      <c r="ETM146" s="37"/>
      <c r="ETN146" s="37"/>
      <c r="ETO146" s="37"/>
      <c r="ETP146" s="37"/>
      <c r="ETQ146" s="37"/>
      <c r="ETR146" s="37"/>
      <c r="ETS146" s="37"/>
      <c r="ETT146" s="37"/>
      <c r="ETU146" s="37"/>
      <c r="ETV146" s="37"/>
      <c r="ETW146" s="37"/>
      <c r="ETX146" s="37"/>
      <c r="ETY146" s="37"/>
      <c r="ETZ146" s="37"/>
      <c r="EUA146" s="37"/>
      <c r="EUB146" s="37"/>
      <c r="EUC146" s="37"/>
      <c r="EUD146" s="37"/>
      <c r="EUE146" s="37"/>
      <c r="EUF146" s="37"/>
      <c r="EUG146" s="37"/>
      <c r="EUH146" s="37"/>
      <c r="EUI146" s="37"/>
      <c r="EUJ146" s="37"/>
      <c r="EUK146" s="37"/>
      <c r="EUL146" s="37"/>
      <c r="EUM146" s="37"/>
      <c r="EUN146" s="37"/>
      <c r="EUO146" s="37"/>
      <c r="EUP146" s="37"/>
      <c r="EUQ146" s="37"/>
      <c r="EUR146" s="37"/>
      <c r="EUS146" s="37"/>
      <c r="EUT146" s="37"/>
      <c r="EUU146" s="37"/>
      <c r="EUV146" s="37"/>
      <c r="EUW146" s="37"/>
      <c r="EUX146" s="37"/>
      <c r="EUY146" s="37"/>
      <c r="EUZ146" s="37"/>
      <c r="EVA146" s="37"/>
      <c r="EVB146" s="37"/>
      <c r="EVC146" s="37"/>
      <c r="EVD146" s="37"/>
      <c r="EVE146" s="37"/>
      <c r="EVF146" s="37"/>
      <c r="EVG146" s="37"/>
      <c r="EVH146" s="37"/>
      <c r="EVI146" s="37"/>
      <c r="EVJ146" s="37"/>
      <c r="EVK146" s="37"/>
      <c r="EVL146" s="37"/>
      <c r="EVM146" s="37"/>
      <c r="EVN146" s="37"/>
      <c r="EVO146" s="37"/>
      <c r="EVP146" s="37"/>
      <c r="EVQ146" s="37"/>
      <c r="EVR146" s="37"/>
      <c r="EVS146" s="37"/>
      <c r="EVT146" s="37"/>
      <c r="EVU146" s="37"/>
      <c r="EVV146" s="37"/>
      <c r="EVW146" s="37"/>
      <c r="EVX146" s="37"/>
      <c r="EVY146" s="37"/>
      <c r="EVZ146" s="37"/>
      <c r="EWA146" s="37"/>
      <c r="EWB146" s="37"/>
      <c r="EWC146" s="37"/>
      <c r="EWD146" s="37"/>
      <c r="EWE146" s="37"/>
      <c r="EWF146" s="37"/>
      <c r="EWG146" s="37"/>
      <c r="EWH146" s="37"/>
      <c r="EWI146" s="37"/>
      <c r="EWJ146" s="37"/>
      <c r="EWK146" s="37"/>
      <c r="EWL146" s="37"/>
      <c r="EWM146" s="37"/>
      <c r="EWN146" s="37"/>
      <c r="EWO146" s="37"/>
      <c r="EWP146" s="37"/>
      <c r="EWQ146" s="37"/>
      <c r="EWR146" s="37"/>
      <c r="EWS146" s="37"/>
      <c r="EWT146" s="37"/>
      <c r="EWU146" s="37"/>
      <c r="EWV146" s="37"/>
      <c r="EWW146" s="37"/>
      <c r="EWX146" s="37"/>
      <c r="EWY146" s="37"/>
      <c r="EWZ146" s="37"/>
      <c r="EXA146" s="37"/>
      <c r="EXB146" s="37"/>
      <c r="EXC146" s="37"/>
      <c r="EXD146" s="37"/>
      <c r="EXE146" s="37"/>
      <c r="EXF146" s="37"/>
      <c r="EXG146" s="37"/>
      <c r="EXH146" s="37"/>
      <c r="EXI146" s="37"/>
      <c r="EXJ146" s="37"/>
      <c r="EXK146" s="37"/>
      <c r="EXL146" s="37"/>
      <c r="EXM146" s="37"/>
      <c r="EXN146" s="37"/>
      <c r="EXO146" s="37"/>
      <c r="EXP146" s="37"/>
      <c r="EXQ146" s="37"/>
      <c r="EXR146" s="37"/>
      <c r="EXS146" s="37"/>
      <c r="EXT146" s="37"/>
      <c r="EXU146" s="37"/>
      <c r="EXV146" s="37"/>
      <c r="EXW146" s="37"/>
      <c r="EXX146" s="37"/>
      <c r="EXY146" s="37"/>
      <c r="EXZ146" s="37"/>
      <c r="EYA146" s="37"/>
      <c r="EYB146" s="37"/>
      <c r="EYC146" s="37"/>
      <c r="EYD146" s="37"/>
      <c r="EYE146" s="37"/>
      <c r="EYF146" s="37"/>
      <c r="EYG146" s="37"/>
      <c r="EYH146" s="37"/>
      <c r="EYI146" s="37"/>
      <c r="EYJ146" s="37"/>
      <c r="EYK146" s="37"/>
      <c r="EYL146" s="37"/>
      <c r="EYM146" s="37"/>
      <c r="EYN146" s="37"/>
      <c r="EYO146" s="37"/>
      <c r="EYP146" s="37"/>
      <c r="EYQ146" s="37"/>
      <c r="EYR146" s="37"/>
      <c r="EYS146" s="37"/>
      <c r="EYT146" s="37"/>
      <c r="EYU146" s="37"/>
      <c r="EYV146" s="37"/>
      <c r="EYW146" s="37"/>
      <c r="EYX146" s="37"/>
      <c r="EYY146" s="37"/>
      <c r="EYZ146" s="37"/>
      <c r="EZA146" s="37"/>
      <c r="EZB146" s="37"/>
      <c r="EZC146" s="37"/>
      <c r="EZD146" s="37"/>
      <c r="EZE146" s="37"/>
      <c r="EZF146" s="37"/>
      <c r="EZG146" s="37"/>
      <c r="EZH146" s="37"/>
      <c r="EZI146" s="37"/>
      <c r="EZJ146" s="37"/>
      <c r="EZK146" s="37"/>
      <c r="EZL146" s="37"/>
      <c r="EZM146" s="37"/>
      <c r="EZN146" s="37"/>
      <c r="EZO146" s="37"/>
      <c r="EZP146" s="37"/>
      <c r="EZQ146" s="37"/>
      <c r="EZR146" s="37"/>
      <c r="EZS146" s="37"/>
      <c r="EZT146" s="37"/>
      <c r="EZU146" s="37"/>
      <c r="EZV146" s="37"/>
      <c r="EZW146" s="37"/>
      <c r="EZX146" s="37"/>
      <c r="EZY146" s="37"/>
      <c r="EZZ146" s="37"/>
      <c r="FAA146" s="37"/>
      <c r="FAB146" s="37"/>
      <c r="FAC146" s="37"/>
      <c r="FAD146" s="37"/>
      <c r="FAE146" s="37"/>
      <c r="FAF146" s="37"/>
      <c r="FAG146" s="37"/>
      <c r="FAH146" s="37"/>
      <c r="FAI146" s="37"/>
      <c r="FAJ146" s="37"/>
      <c r="FAK146" s="37"/>
      <c r="FAL146" s="37"/>
      <c r="FAM146" s="37"/>
      <c r="FAN146" s="37"/>
      <c r="FAO146" s="37"/>
      <c r="FAP146" s="37"/>
      <c r="FAQ146" s="37"/>
      <c r="FAR146" s="37"/>
      <c r="FAS146" s="37"/>
      <c r="FAT146" s="37"/>
      <c r="FAU146" s="37"/>
      <c r="FAV146" s="37"/>
      <c r="FAW146" s="37"/>
      <c r="FAX146" s="37"/>
      <c r="FAY146" s="37"/>
      <c r="FAZ146" s="37"/>
      <c r="FBA146" s="37"/>
      <c r="FBB146" s="37"/>
      <c r="FBC146" s="37"/>
      <c r="FBD146" s="37"/>
      <c r="FBE146" s="37"/>
      <c r="FBF146" s="37"/>
      <c r="FBG146" s="37"/>
      <c r="FBH146" s="37"/>
      <c r="FBI146" s="37"/>
      <c r="FBJ146" s="37"/>
      <c r="FBK146" s="37"/>
      <c r="FBL146" s="37"/>
      <c r="FBM146" s="37"/>
      <c r="FBN146" s="37"/>
      <c r="FBO146" s="37"/>
      <c r="FBP146" s="37"/>
      <c r="FBQ146" s="37"/>
      <c r="FBR146" s="37"/>
      <c r="FBS146" s="37"/>
      <c r="FBT146" s="37"/>
      <c r="FBU146" s="37"/>
      <c r="FBV146" s="37"/>
      <c r="FBW146" s="37"/>
      <c r="FBX146" s="37"/>
      <c r="FBY146" s="37"/>
      <c r="FBZ146" s="37"/>
      <c r="FCA146" s="37"/>
      <c r="FCB146" s="37"/>
      <c r="FCC146" s="37"/>
      <c r="FCD146" s="37"/>
      <c r="FCE146" s="37"/>
      <c r="FCF146" s="37"/>
      <c r="FCG146" s="37"/>
      <c r="FCH146" s="37"/>
      <c r="FCI146" s="37"/>
      <c r="FCJ146" s="37"/>
      <c r="FCK146" s="37"/>
      <c r="FCL146" s="37"/>
      <c r="FCM146" s="37"/>
      <c r="FCN146" s="37"/>
      <c r="FCO146" s="37"/>
      <c r="FCP146" s="37"/>
      <c r="FCQ146" s="37"/>
      <c r="FCR146" s="37"/>
      <c r="FCS146" s="37"/>
      <c r="FCT146" s="37"/>
      <c r="FCU146" s="37"/>
      <c r="FCV146" s="37"/>
      <c r="FCW146" s="37"/>
      <c r="FCX146" s="37"/>
      <c r="FCY146" s="37"/>
      <c r="FCZ146" s="37"/>
      <c r="FDA146" s="37"/>
      <c r="FDB146" s="37"/>
      <c r="FDC146" s="37"/>
      <c r="FDD146" s="37"/>
      <c r="FDE146" s="37"/>
      <c r="FDF146" s="37"/>
      <c r="FDG146" s="37"/>
      <c r="FDH146" s="37"/>
      <c r="FDI146" s="37"/>
      <c r="FDJ146" s="37"/>
      <c r="FDK146" s="37"/>
      <c r="FDL146" s="37"/>
      <c r="FDM146" s="37"/>
      <c r="FDN146" s="37"/>
      <c r="FDO146" s="37"/>
      <c r="FDP146" s="37"/>
      <c r="FDQ146" s="37"/>
      <c r="FDR146" s="37"/>
      <c r="FDS146" s="37"/>
      <c r="FDT146" s="37"/>
      <c r="FDU146" s="37"/>
      <c r="FDV146" s="37"/>
      <c r="FDW146" s="37"/>
      <c r="FDX146" s="37"/>
      <c r="FDY146" s="37"/>
      <c r="FDZ146" s="37"/>
      <c r="FEA146" s="37"/>
      <c r="FEB146" s="37"/>
      <c r="FEC146" s="37"/>
      <c r="FED146" s="37"/>
      <c r="FEE146" s="37"/>
      <c r="FEF146" s="37"/>
      <c r="FEG146" s="37"/>
      <c r="FEH146" s="37"/>
      <c r="FEI146" s="37"/>
      <c r="FEJ146" s="37"/>
      <c r="FEK146" s="37"/>
      <c r="FEL146" s="37"/>
      <c r="FEM146" s="37"/>
      <c r="FEN146" s="37"/>
      <c r="FEO146" s="37"/>
      <c r="FEP146" s="37"/>
      <c r="FEQ146" s="37"/>
      <c r="FER146" s="37"/>
      <c r="FES146" s="37"/>
      <c r="FET146" s="37"/>
      <c r="FEU146" s="37"/>
      <c r="FEV146" s="37"/>
      <c r="FEW146" s="37"/>
      <c r="FEX146" s="37"/>
      <c r="FEY146" s="37"/>
      <c r="FEZ146" s="37"/>
      <c r="FFA146" s="37"/>
      <c r="FFB146" s="37"/>
      <c r="FFC146" s="37"/>
      <c r="FFD146" s="37"/>
      <c r="FFE146" s="37"/>
      <c r="FFF146" s="37"/>
      <c r="FFG146" s="37"/>
      <c r="FFH146" s="37"/>
      <c r="FFI146" s="37"/>
      <c r="FFJ146" s="37"/>
      <c r="FFK146" s="37"/>
      <c r="FFL146" s="37"/>
      <c r="FFM146" s="37"/>
      <c r="FFN146" s="37"/>
      <c r="FFO146" s="37"/>
      <c r="FFP146" s="37"/>
      <c r="FFQ146" s="37"/>
      <c r="FFR146" s="37"/>
      <c r="FFS146" s="37"/>
      <c r="FFT146" s="37"/>
      <c r="FFU146" s="37"/>
      <c r="FFV146" s="37"/>
      <c r="FFW146" s="37"/>
      <c r="FFX146" s="37"/>
      <c r="FFY146" s="37"/>
      <c r="FFZ146" s="37"/>
      <c r="FGA146" s="37"/>
      <c r="FGB146" s="37"/>
      <c r="FGC146" s="37"/>
      <c r="FGD146" s="37"/>
      <c r="FGE146" s="37"/>
      <c r="FGF146" s="37"/>
      <c r="FGG146" s="37"/>
      <c r="FGH146" s="37"/>
      <c r="FGI146" s="37"/>
      <c r="FGJ146" s="37"/>
      <c r="FGK146" s="37"/>
      <c r="FGL146" s="37"/>
      <c r="FGM146" s="37"/>
      <c r="FGN146" s="37"/>
      <c r="FGO146" s="37"/>
      <c r="FGP146" s="37"/>
      <c r="FGQ146" s="37"/>
      <c r="FGR146" s="37"/>
      <c r="FGS146" s="37"/>
      <c r="FGT146" s="37"/>
      <c r="FGU146" s="37"/>
      <c r="FGV146" s="37"/>
      <c r="FGW146" s="37"/>
      <c r="FGX146" s="37"/>
      <c r="FGY146" s="37"/>
      <c r="FGZ146" s="37"/>
      <c r="FHA146" s="37"/>
      <c r="FHB146" s="37"/>
      <c r="FHC146" s="37"/>
      <c r="FHD146" s="37"/>
      <c r="FHE146" s="37"/>
      <c r="FHF146" s="37"/>
      <c r="FHG146" s="37"/>
      <c r="FHH146" s="37"/>
      <c r="FHI146" s="37"/>
      <c r="FHJ146" s="37"/>
      <c r="FHK146" s="37"/>
      <c r="FHL146" s="37"/>
      <c r="FHM146" s="37"/>
      <c r="FHN146" s="37"/>
      <c r="FHO146" s="37"/>
      <c r="FHP146" s="37"/>
      <c r="FHQ146" s="37"/>
      <c r="FHR146" s="37"/>
      <c r="FHS146" s="37"/>
      <c r="FHT146" s="37"/>
      <c r="FHU146" s="37"/>
      <c r="FHV146" s="37"/>
      <c r="FHW146" s="37"/>
      <c r="FHX146" s="37"/>
      <c r="FHY146" s="37"/>
      <c r="FHZ146" s="37"/>
      <c r="FIA146" s="37"/>
      <c r="FIB146" s="37"/>
      <c r="FIC146" s="37"/>
      <c r="FID146" s="37"/>
      <c r="FIE146" s="37"/>
      <c r="FIF146" s="37"/>
      <c r="FIG146" s="37"/>
      <c r="FIH146" s="37"/>
      <c r="FII146" s="37"/>
      <c r="FIJ146" s="37"/>
      <c r="FIK146" s="37"/>
      <c r="FIL146" s="37"/>
      <c r="FIM146" s="37"/>
      <c r="FIN146" s="37"/>
      <c r="FIO146" s="37"/>
      <c r="FIP146" s="37"/>
      <c r="FIQ146" s="37"/>
      <c r="FIR146" s="37"/>
      <c r="FIS146" s="37"/>
      <c r="FIT146" s="37"/>
      <c r="FIU146" s="37"/>
      <c r="FIV146" s="37"/>
      <c r="FIW146" s="37"/>
      <c r="FIX146" s="37"/>
      <c r="FIY146" s="37"/>
      <c r="FIZ146" s="37"/>
      <c r="FJA146" s="37"/>
      <c r="FJB146" s="37"/>
      <c r="FJC146" s="37"/>
      <c r="FJD146" s="37"/>
      <c r="FJE146" s="37"/>
      <c r="FJF146" s="37"/>
      <c r="FJG146" s="37"/>
      <c r="FJH146" s="37"/>
      <c r="FJI146" s="37"/>
      <c r="FJJ146" s="37"/>
      <c r="FJK146" s="37"/>
      <c r="FJL146" s="37"/>
      <c r="FJM146" s="37"/>
      <c r="FJN146" s="37"/>
      <c r="FJO146" s="37"/>
      <c r="FJP146" s="37"/>
      <c r="FJQ146" s="37"/>
      <c r="FJR146" s="37"/>
      <c r="FJS146" s="37"/>
      <c r="FJT146" s="37"/>
      <c r="FJU146" s="37"/>
      <c r="FJV146" s="37"/>
      <c r="FJW146" s="37"/>
      <c r="FJX146" s="37"/>
      <c r="FJY146" s="37"/>
      <c r="FJZ146" s="37"/>
      <c r="FKA146" s="37"/>
      <c r="FKB146" s="37"/>
      <c r="FKC146" s="37"/>
      <c r="FKD146" s="37"/>
      <c r="FKE146" s="37"/>
      <c r="FKF146" s="37"/>
      <c r="FKG146" s="37"/>
      <c r="FKH146" s="37"/>
      <c r="FKI146" s="37"/>
      <c r="FKJ146" s="37"/>
      <c r="FKK146" s="37"/>
      <c r="FKL146" s="37"/>
      <c r="FKM146" s="37"/>
      <c r="FKN146" s="37"/>
      <c r="FKO146" s="37"/>
      <c r="FKP146" s="37"/>
      <c r="FKQ146" s="37"/>
      <c r="FKR146" s="37"/>
      <c r="FKS146" s="37"/>
      <c r="FKT146" s="37"/>
      <c r="FKU146" s="37"/>
      <c r="FKV146" s="37"/>
      <c r="FKW146" s="37"/>
      <c r="FKX146" s="37"/>
      <c r="FKY146" s="37"/>
      <c r="FKZ146" s="37"/>
      <c r="FLA146" s="37"/>
      <c r="FLB146" s="37"/>
      <c r="FLC146" s="37"/>
      <c r="FLD146" s="37"/>
      <c r="FLE146" s="37"/>
      <c r="FLF146" s="37"/>
      <c r="FLG146" s="37"/>
      <c r="FLH146" s="37"/>
      <c r="FLI146" s="37"/>
      <c r="FLJ146" s="37"/>
      <c r="FLK146" s="37"/>
      <c r="FLL146" s="37"/>
      <c r="FLM146" s="37"/>
      <c r="FLN146" s="37"/>
      <c r="FLO146" s="37"/>
      <c r="FLP146" s="37"/>
      <c r="FLQ146" s="37"/>
      <c r="FLR146" s="37"/>
      <c r="FLS146" s="37"/>
      <c r="FLT146" s="37"/>
      <c r="FLU146" s="37"/>
      <c r="FLV146" s="37"/>
      <c r="FLW146" s="37"/>
      <c r="FLX146" s="37"/>
      <c r="FLY146" s="37"/>
      <c r="FLZ146" s="37"/>
      <c r="FMA146" s="37"/>
      <c r="FMB146" s="37"/>
      <c r="FMC146" s="37"/>
      <c r="FMD146" s="37"/>
      <c r="FME146" s="37"/>
      <c r="FMF146" s="37"/>
      <c r="FMG146" s="37"/>
      <c r="FMH146" s="37"/>
      <c r="FMI146" s="37"/>
      <c r="FMJ146" s="37"/>
      <c r="FMK146" s="37"/>
      <c r="FML146" s="37"/>
      <c r="FMM146" s="37"/>
      <c r="FMN146" s="37"/>
      <c r="FMO146" s="37"/>
      <c r="FMP146" s="37"/>
      <c r="FMQ146" s="37"/>
      <c r="FMR146" s="37"/>
      <c r="FMS146" s="37"/>
      <c r="FMT146" s="37"/>
      <c r="FMU146" s="37"/>
      <c r="FMV146" s="37"/>
      <c r="FMW146" s="37"/>
      <c r="FMX146" s="37"/>
      <c r="FMY146" s="37"/>
      <c r="FMZ146" s="37"/>
      <c r="FNA146" s="37"/>
      <c r="FNB146" s="37"/>
      <c r="FNC146" s="37"/>
      <c r="FND146" s="37"/>
      <c r="FNE146" s="37"/>
      <c r="FNF146" s="37"/>
      <c r="FNG146" s="37"/>
      <c r="FNH146" s="37"/>
      <c r="FNI146" s="37"/>
      <c r="FNJ146" s="37"/>
      <c r="FNK146" s="37"/>
      <c r="FNL146" s="37"/>
      <c r="FNM146" s="37"/>
      <c r="FNN146" s="37"/>
      <c r="FNO146" s="37"/>
      <c r="FNP146" s="37"/>
      <c r="FNQ146" s="37"/>
      <c r="FNR146" s="37"/>
      <c r="FNS146" s="37"/>
      <c r="FNT146" s="37"/>
      <c r="FNU146" s="37"/>
      <c r="FNV146" s="37"/>
      <c r="FNW146" s="37"/>
      <c r="FNX146" s="37"/>
      <c r="FNY146" s="37"/>
      <c r="FNZ146" s="37"/>
      <c r="FOA146" s="37"/>
      <c r="FOB146" s="37"/>
      <c r="FOC146" s="37"/>
      <c r="FOD146" s="37"/>
      <c r="FOE146" s="37"/>
      <c r="FOF146" s="37"/>
      <c r="FOG146" s="37"/>
      <c r="FOH146" s="37"/>
      <c r="FOI146" s="37"/>
      <c r="FOJ146" s="37"/>
      <c r="FOK146" s="37"/>
      <c r="FOL146" s="37"/>
      <c r="FOM146" s="37"/>
      <c r="FON146" s="37"/>
      <c r="FOO146" s="37"/>
      <c r="FOP146" s="37"/>
      <c r="FOQ146" s="37"/>
      <c r="FOR146" s="37"/>
      <c r="FOS146" s="37"/>
      <c r="FOT146" s="37"/>
      <c r="FOU146" s="37"/>
      <c r="FOV146" s="37"/>
      <c r="FOW146" s="37"/>
      <c r="FOX146" s="37"/>
      <c r="FOY146" s="37"/>
      <c r="FOZ146" s="37"/>
      <c r="FPA146" s="37"/>
      <c r="FPB146" s="37"/>
      <c r="FPC146" s="37"/>
      <c r="FPD146" s="37"/>
      <c r="FPE146" s="37"/>
      <c r="FPF146" s="37"/>
      <c r="FPG146" s="37"/>
      <c r="FPH146" s="37"/>
      <c r="FPI146" s="37"/>
      <c r="FPJ146" s="37"/>
      <c r="FPK146" s="37"/>
      <c r="FPL146" s="37"/>
      <c r="FPM146" s="37"/>
      <c r="FPN146" s="37"/>
      <c r="FPO146" s="37"/>
      <c r="FPP146" s="37"/>
      <c r="FPQ146" s="37"/>
      <c r="FPR146" s="37"/>
      <c r="FPS146" s="37"/>
      <c r="FPT146" s="37"/>
      <c r="FPU146" s="37"/>
      <c r="FPV146" s="37"/>
      <c r="FPW146" s="37"/>
      <c r="FPX146" s="37"/>
      <c r="FPY146" s="37"/>
      <c r="FPZ146" s="37"/>
      <c r="FQA146" s="37"/>
      <c r="FQB146" s="37"/>
      <c r="FQC146" s="37"/>
      <c r="FQD146" s="37"/>
      <c r="FQE146" s="37"/>
      <c r="FQF146" s="37"/>
      <c r="FQG146" s="37"/>
      <c r="FQH146" s="37"/>
      <c r="FQI146" s="37"/>
      <c r="FQJ146" s="37"/>
      <c r="FQK146" s="37"/>
      <c r="FQL146" s="37"/>
      <c r="FQM146" s="37"/>
      <c r="FQN146" s="37"/>
      <c r="FQO146" s="37"/>
      <c r="FQP146" s="37"/>
      <c r="FQQ146" s="37"/>
      <c r="FQR146" s="37"/>
      <c r="FQS146" s="37"/>
      <c r="FQT146" s="37"/>
      <c r="FQU146" s="37"/>
      <c r="FQV146" s="37"/>
      <c r="FQW146" s="37"/>
      <c r="FQX146" s="37"/>
      <c r="FQY146" s="37"/>
      <c r="FQZ146" s="37"/>
      <c r="FRA146" s="37"/>
      <c r="FRB146" s="37"/>
      <c r="FRC146" s="37"/>
      <c r="FRD146" s="37"/>
      <c r="FRE146" s="37"/>
      <c r="FRF146" s="37"/>
      <c r="FRG146" s="37"/>
      <c r="FRH146" s="37"/>
      <c r="FRI146" s="37"/>
      <c r="FRJ146" s="37"/>
      <c r="FRK146" s="37"/>
      <c r="FRL146" s="37"/>
      <c r="FRM146" s="37"/>
      <c r="FRN146" s="37"/>
      <c r="FRO146" s="37"/>
      <c r="FRP146" s="37"/>
      <c r="FRQ146" s="37"/>
      <c r="FRR146" s="37"/>
      <c r="FRS146" s="37"/>
      <c r="FRT146" s="37"/>
      <c r="FRU146" s="37"/>
      <c r="FRV146" s="37"/>
      <c r="FRW146" s="37"/>
      <c r="FRX146" s="37"/>
      <c r="FRY146" s="37"/>
      <c r="FRZ146" s="37"/>
      <c r="FSA146" s="37"/>
      <c r="FSB146" s="37"/>
      <c r="FSC146" s="37"/>
      <c r="FSD146" s="37"/>
      <c r="FSE146" s="37"/>
      <c r="FSF146" s="37"/>
      <c r="FSG146" s="37"/>
      <c r="FSH146" s="37"/>
      <c r="FSI146" s="37"/>
      <c r="FSJ146" s="37"/>
      <c r="FSK146" s="37"/>
      <c r="FSL146" s="37"/>
      <c r="FSM146" s="37"/>
      <c r="FSN146" s="37"/>
      <c r="FSO146" s="37"/>
      <c r="FSP146" s="37"/>
      <c r="FSQ146" s="37"/>
      <c r="FSR146" s="37"/>
      <c r="FSS146" s="37"/>
      <c r="FST146" s="37"/>
      <c r="FSU146" s="37"/>
      <c r="FSV146" s="37"/>
      <c r="FSW146" s="37"/>
      <c r="FSX146" s="37"/>
      <c r="FSY146" s="37"/>
      <c r="FSZ146" s="37"/>
      <c r="FTA146" s="37"/>
      <c r="FTB146" s="37"/>
      <c r="FTC146" s="37"/>
      <c r="FTD146" s="37"/>
      <c r="FTE146" s="37"/>
      <c r="FTF146" s="37"/>
      <c r="FTG146" s="37"/>
      <c r="FTH146" s="37"/>
      <c r="FTI146" s="37"/>
      <c r="FTJ146" s="37"/>
      <c r="FTK146" s="37"/>
      <c r="FTL146" s="37"/>
      <c r="FTM146" s="37"/>
      <c r="FTN146" s="37"/>
      <c r="FTO146" s="37"/>
      <c r="FTP146" s="37"/>
      <c r="FTQ146" s="37"/>
      <c r="FTR146" s="37"/>
      <c r="FTS146" s="37"/>
      <c r="FTT146" s="37"/>
      <c r="FTU146" s="37"/>
      <c r="FTV146" s="37"/>
      <c r="FTW146" s="37"/>
      <c r="FTX146" s="37"/>
      <c r="FTY146" s="37"/>
      <c r="FTZ146" s="37"/>
      <c r="FUA146" s="37"/>
      <c r="FUB146" s="37"/>
      <c r="FUC146" s="37"/>
      <c r="FUD146" s="37"/>
      <c r="FUE146" s="37"/>
      <c r="FUF146" s="37"/>
      <c r="FUG146" s="37"/>
      <c r="FUH146" s="37"/>
      <c r="FUI146" s="37"/>
      <c r="FUJ146" s="37"/>
      <c r="FUK146" s="37"/>
      <c r="FUL146" s="37"/>
      <c r="FUM146" s="37"/>
      <c r="FUN146" s="37"/>
      <c r="FUO146" s="37"/>
      <c r="FUP146" s="37"/>
      <c r="FUQ146" s="37"/>
      <c r="FUR146" s="37"/>
      <c r="FUS146" s="37"/>
      <c r="FUT146" s="37"/>
      <c r="FUU146" s="37"/>
      <c r="FUV146" s="37"/>
      <c r="FUW146" s="37"/>
      <c r="FUX146" s="37"/>
      <c r="FUY146" s="37"/>
      <c r="FUZ146" s="37"/>
      <c r="FVA146" s="37"/>
      <c r="FVB146" s="37"/>
      <c r="FVC146" s="37"/>
      <c r="FVD146" s="37"/>
      <c r="FVE146" s="37"/>
      <c r="FVF146" s="37"/>
      <c r="FVG146" s="37"/>
      <c r="FVH146" s="37"/>
      <c r="FVI146" s="37"/>
      <c r="FVJ146" s="37"/>
      <c r="FVK146" s="37"/>
      <c r="FVL146" s="37"/>
      <c r="FVM146" s="37"/>
      <c r="FVN146" s="37"/>
      <c r="FVO146" s="37"/>
      <c r="FVP146" s="37"/>
      <c r="FVQ146" s="37"/>
      <c r="FVR146" s="37"/>
      <c r="FVS146" s="37"/>
      <c r="FVT146" s="37"/>
      <c r="FVU146" s="37"/>
      <c r="FVV146" s="37"/>
      <c r="FVW146" s="37"/>
      <c r="FVX146" s="37"/>
      <c r="FVY146" s="37"/>
      <c r="FVZ146" s="37"/>
      <c r="FWA146" s="37"/>
      <c r="FWB146" s="37"/>
      <c r="FWC146" s="37"/>
      <c r="FWD146" s="37"/>
      <c r="FWE146" s="37"/>
      <c r="FWF146" s="37"/>
      <c r="FWG146" s="37"/>
      <c r="FWH146" s="37"/>
      <c r="FWI146" s="37"/>
      <c r="FWJ146" s="37"/>
      <c r="FWK146" s="37"/>
      <c r="FWL146" s="37"/>
      <c r="FWM146" s="37"/>
      <c r="FWN146" s="37"/>
      <c r="FWO146" s="37"/>
      <c r="FWP146" s="37"/>
      <c r="FWQ146" s="37"/>
      <c r="FWR146" s="37"/>
      <c r="FWS146" s="37"/>
      <c r="FWT146" s="37"/>
      <c r="FWU146" s="37"/>
      <c r="FWV146" s="37"/>
      <c r="FWW146" s="37"/>
      <c r="FWX146" s="37"/>
      <c r="FWY146" s="37"/>
      <c r="FWZ146" s="37"/>
      <c r="FXA146" s="37"/>
      <c r="FXB146" s="37"/>
      <c r="FXC146" s="37"/>
      <c r="FXD146" s="37"/>
      <c r="FXE146" s="37"/>
      <c r="FXF146" s="37"/>
      <c r="FXG146" s="37"/>
      <c r="FXH146" s="37"/>
      <c r="FXI146" s="37"/>
      <c r="FXJ146" s="37"/>
      <c r="FXK146" s="37"/>
      <c r="FXL146" s="37"/>
      <c r="FXM146" s="37"/>
      <c r="FXN146" s="37"/>
      <c r="FXO146" s="37"/>
      <c r="FXP146" s="37"/>
      <c r="FXQ146" s="37"/>
      <c r="FXR146" s="37"/>
      <c r="FXS146" s="37"/>
      <c r="FXT146" s="37"/>
      <c r="FXU146" s="37"/>
      <c r="FXV146" s="37"/>
      <c r="FXW146" s="37"/>
      <c r="FXX146" s="37"/>
      <c r="FXY146" s="37"/>
      <c r="FXZ146" s="37"/>
      <c r="FYA146" s="37"/>
      <c r="FYB146" s="37"/>
      <c r="FYC146" s="37"/>
      <c r="FYD146" s="37"/>
      <c r="FYE146" s="37"/>
      <c r="FYF146" s="37"/>
      <c r="FYG146" s="37"/>
      <c r="FYH146" s="37"/>
      <c r="FYI146" s="37"/>
      <c r="FYJ146" s="37"/>
      <c r="FYK146" s="37"/>
      <c r="FYL146" s="37"/>
      <c r="FYM146" s="37"/>
      <c r="FYN146" s="37"/>
      <c r="FYO146" s="37"/>
      <c r="FYP146" s="37"/>
      <c r="FYQ146" s="37"/>
      <c r="FYR146" s="37"/>
      <c r="FYS146" s="37"/>
      <c r="FYT146" s="37"/>
      <c r="FYU146" s="37"/>
      <c r="FYV146" s="37"/>
      <c r="FYW146" s="37"/>
      <c r="FYX146" s="37"/>
      <c r="FYY146" s="37"/>
      <c r="FYZ146" s="37"/>
      <c r="FZA146" s="37"/>
      <c r="FZB146" s="37"/>
      <c r="FZC146" s="37"/>
      <c r="FZD146" s="37"/>
      <c r="FZE146" s="37"/>
      <c r="FZF146" s="37"/>
      <c r="FZG146" s="37"/>
      <c r="FZH146" s="37"/>
      <c r="FZI146" s="37"/>
      <c r="FZJ146" s="37"/>
      <c r="FZK146" s="37"/>
      <c r="FZL146" s="37"/>
      <c r="FZM146" s="37"/>
      <c r="FZN146" s="37"/>
      <c r="FZO146" s="37"/>
      <c r="FZP146" s="37"/>
      <c r="FZQ146" s="37"/>
      <c r="FZR146" s="37"/>
      <c r="FZS146" s="37"/>
      <c r="FZT146" s="37"/>
      <c r="FZU146" s="37"/>
      <c r="FZV146" s="37"/>
      <c r="FZW146" s="37"/>
      <c r="FZX146" s="37"/>
      <c r="FZY146" s="37"/>
      <c r="FZZ146" s="37"/>
      <c r="GAA146" s="37"/>
      <c r="GAB146" s="37"/>
      <c r="GAC146" s="37"/>
      <c r="GAD146" s="37"/>
      <c r="GAE146" s="37"/>
      <c r="GAF146" s="37"/>
      <c r="GAG146" s="37"/>
      <c r="GAH146" s="37"/>
      <c r="GAI146" s="37"/>
      <c r="GAJ146" s="37"/>
      <c r="GAK146" s="37"/>
      <c r="GAL146" s="37"/>
      <c r="GAM146" s="37"/>
      <c r="GAN146" s="37"/>
      <c r="GAO146" s="37"/>
      <c r="GAP146" s="37"/>
      <c r="GAQ146" s="37"/>
      <c r="GAR146" s="37"/>
      <c r="GAS146" s="37"/>
      <c r="GAT146" s="37"/>
      <c r="GAU146" s="37"/>
      <c r="GAV146" s="37"/>
      <c r="GAW146" s="37"/>
      <c r="GAX146" s="37"/>
      <c r="GAY146" s="37"/>
      <c r="GAZ146" s="37"/>
      <c r="GBA146" s="37"/>
      <c r="GBB146" s="37"/>
      <c r="GBC146" s="37"/>
      <c r="GBD146" s="37"/>
      <c r="GBE146" s="37"/>
      <c r="GBF146" s="37"/>
      <c r="GBG146" s="37"/>
      <c r="GBH146" s="37"/>
      <c r="GBI146" s="37"/>
      <c r="GBJ146" s="37"/>
      <c r="GBK146" s="37"/>
      <c r="GBL146" s="37"/>
      <c r="GBM146" s="37"/>
      <c r="GBN146" s="37"/>
      <c r="GBO146" s="37"/>
      <c r="GBP146" s="37"/>
      <c r="GBQ146" s="37"/>
      <c r="GBR146" s="37"/>
      <c r="GBS146" s="37"/>
      <c r="GBT146" s="37"/>
      <c r="GBU146" s="37"/>
      <c r="GBV146" s="37"/>
      <c r="GBW146" s="37"/>
      <c r="GBX146" s="37"/>
      <c r="GBY146" s="37"/>
      <c r="GBZ146" s="37"/>
      <c r="GCA146" s="37"/>
      <c r="GCB146" s="37"/>
      <c r="GCC146" s="37"/>
      <c r="GCD146" s="37"/>
      <c r="GCE146" s="37"/>
      <c r="GCF146" s="37"/>
      <c r="GCG146" s="37"/>
      <c r="GCH146" s="37"/>
      <c r="GCI146" s="37"/>
      <c r="GCJ146" s="37"/>
      <c r="GCK146" s="37"/>
      <c r="GCL146" s="37"/>
      <c r="GCM146" s="37"/>
      <c r="GCN146" s="37"/>
      <c r="GCO146" s="37"/>
      <c r="GCP146" s="37"/>
      <c r="GCQ146" s="37"/>
      <c r="GCR146" s="37"/>
      <c r="GCS146" s="37"/>
      <c r="GCT146" s="37"/>
      <c r="GCU146" s="37"/>
      <c r="GCV146" s="37"/>
      <c r="GCW146" s="37"/>
      <c r="GCX146" s="37"/>
      <c r="GCY146" s="37"/>
      <c r="GCZ146" s="37"/>
      <c r="GDA146" s="37"/>
      <c r="GDB146" s="37"/>
      <c r="GDC146" s="37"/>
      <c r="GDD146" s="37"/>
      <c r="GDE146" s="37"/>
      <c r="GDF146" s="37"/>
      <c r="GDG146" s="37"/>
      <c r="GDH146" s="37"/>
      <c r="GDI146" s="37"/>
      <c r="GDJ146" s="37"/>
      <c r="GDK146" s="37"/>
      <c r="GDL146" s="37"/>
      <c r="GDM146" s="37"/>
      <c r="GDN146" s="37"/>
      <c r="GDO146" s="37"/>
      <c r="GDP146" s="37"/>
      <c r="GDQ146" s="37"/>
      <c r="GDR146" s="37"/>
      <c r="GDS146" s="37"/>
      <c r="GDT146" s="37"/>
      <c r="GDU146" s="37"/>
      <c r="GDV146" s="37"/>
      <c r="GDW146" s="37"/>
      <c r="GDX146" s="37"/>
      <c r="GDY146" s="37"/>
      <c r="GDZ146" s="37"/>
      <c r="GEA146" s="37"/>
      <c r="GEB146" s="37"/>
      <c r="GEC146" s="37"/>
      <c r="GED146" s="37"/>
      <c r="GEE146" s="37"/>
      <c r="GEF146" s="37"/>
      <c r="GEG146" s="37"/>
      <c r="GEH146" s="37"/>
      <c r="GEI146" s="37"/>
      <c r="GEJ146" s="37"/>
      <c r="GEK146" s="37"/>
      <c r="GEL146" s="37"/>
      <c r="GEM146" s="37"/>
      <c r="GEN146" s="37"/>
      <c r="GEO146" s="37"/>
      <c r="GEP146" s="37"/>
      <c r="GEQ146" s="37"/>
      <c r="GER146" s="37"/>
      <c r="GES146" s="37"/>
      <c r="GET146" s="37"/>
      <c r="GEU146" s="37"/>
      <c r="GEV146" s="37"/>
      <c r="GEW146" s="37"/>
      <c r="GEX146" s="37"/>
      <c r="GEY146" s="37"/>
      <c r="GEZ146" s="37"/>
      <c r="GFA146" s="37"/>
      <c r="GFB146" s="37"/>
      <c r="GFC146" s="37"/>
      <c r="GFD146" s="37"/>
      <c r="GFE146" s="37"/>
      <c r="GFF146" s="37"/>
      <c r="GFG146" s="37"/>
      <c r="GFH146" s="37"/>
      <c r="GFI146" s="37"/>
      <c r="GFJ146" s="37"/>
      <c r="GFK146" s="37"/>
      <c r="GFL146" s="37"/>
      <c r="GFM146" s="37"/>
      <c r="GFN146" s="37"/>
      <c r="GFO146" s="37"/>
      <c r="GFP146" s="37"/>
      <c r="GFQ146" s="37"/>
      <c r="GFR146" s="37"/>
      <c r="GFS146" s="37"/>
      <c r="GFT146" s="37"/>
      <c r="GFU146" s="37"/>
      <c r="GFV146" s="37"/>
      <c r="GFW146" s="37"/>
      <c r="GFX146" s="37"/>
      <c r="GFY146" s="37"/>
      <c r="GFZ146" s="37"/>
      <c r="GGA146" s="37"/>
      <c r="GGB146" s="37"/>
      <c r="GGC146" s="37"/>
      <c r="GGD146" s="37"/>
      <c r="GGE146" s="37"/>
      <c r="GGF146" s="37"/>
      <c r="GGG146" s="37"/>
      <c r="GGH146" s="37"/>
      <c r="GGI146" s="37"/>
      <c r="GGJ146" s="37"/>
      <c r="GGK146" s="37"/>
      <c r="GGL146" s="37"/>
      <c r="GGM146" s="37"/>
      <c r="GGN146" s="37"/>
      <c r="GGO146" s="37"/>
      <c r="GGP146" s="37"/>
      <c r="GGQ146" s="37"/>
      <c r="GGR146" s="37"/>
      <c r="GGS146" s="37"/>
      <c r="GGT146" s="37"/>
      <c r="GGU146" s="37"/>
      <c r="GGV146" s="37"/>
      <c r="GGW146" s="37"/>
      <c r="GGX146" s="37"/>
      <c r="GGY146" s="37"/>
      <c r="GGZ146" s="37"/>
      <c r="GHA146" s="37"/>
      <c r="GHB146" s="37"/>
      <c r="GHC146" s="37"/>
      <c r="GHD146" s="37"/>
      <c r="GHE146" s="37"/>
      <c r="GHF146" s="37"/>
      <c r="GHG146" s="37"/>
      <c r="GHH146" s="37"/>
      <c r="GHI146" s="37"/>
      <c r="GHJ146" s="37"/>
      <c r="GHK146" s="37"/>
      <c r="GHL146" s="37"/>
      <c r="GHM146" s="37"/>
      <c r="GHN146" s="37"/>
      <c r="GHO146" s="37"/>
      <c r="GHP146" s="37"/>
      <c r="GHQ146" s="37"/>
      <c r="GHR146" s="37"/>
      <c r="GHS146" s="37"/>
      <c r="GHT146" s="37"/>
      <c r="GHU146" s="37"/>
      <c r="GHV146" s="37"/>
      <c r="GHW146" s="37"/>
      <c r="GHX146" s="37"/>
      <c r="GHY146" s="37"/>
      <c r="GHZ146" s="37"/>
      <c r="GIA146" s="37"/>
      <c r="GIB146" s="37"/>
      <c r="GIC146" s="37"/>
      <c r="GID146" s="37"/>
      <c r="GIE146" s="37"/>
      <c r="GIF146" s="37"/>
      <c r="GIG146" s="37"/>
      <c r="GIH146" s="37"/>
      <c r="GII146" s="37"/>
      <c r="GIJ146" s="37"/>
      <c r="GIK146" s="37"/>
      <c r="GIL146" s="37"/>
      <c r="GIM146" s="37"/>
      <c r="GIN146" s="37"/>
      <c r="GIO146" s="37"/>
      <c r="GIP146" s="37"/>
      <c r="GIQ146" s="37"/>
      <c r="GIR146" s="37"/>
      <c r="GIS146" s="37"/>
      <c r="GIT146" s="37"/>
      <c r="GIU146" s="37"/>
      <c r="GIV146" s="37"/>
      <c r="GIW146" s="37"/>
      <c r="GIX146" s="37"/>
      <c r="GIY146" s="37"/>
      <c r="GIZ146" s="37"/>
      <c r="GJA146" s="37"/>
      <c r="GJB146" s="37"/>
      <c r="GJC146" s="37"/>
      <c r="GJD146" s="37"/>
      <c r="GJE146" s="37"/>
      <c r="GJF146" s="37"/>
      <c r="GJG146" s="37"/>
      <c r="GJH146" s="37"/>
      <c r="GJI146" s="37"/>
      <c r="GJJ146" s="37"/>
      <c r="GJK146" s="37"/>
      <c r="GJL146" s="37"/>
      <c r="GJM146" s="37"/>
      <c r="GJN146" s="37"/>
      <c r="GJO146" s="37"/>
      <c r="GJP146" s="37"/>
      <c r="GJQ146" s="37"/>
      <c r="GJR146" s="37"/>
      <c r="GJS146" s="37"/>
      <c r="GJT146" s="37"/>
      <c r="GJU146" s="37"/>
      <c r="GJV146" s="37"/>
      <c r="GJW146" s="37"/>
      <c r="GJX146" s="37"/>
      <c r="GJY146" s="37"/>
      <c r="GJZ146" s="37"/>
      <c r="GKA146" s="37"/>
      <c r="GKB146" s="37"/>
      <c r="GKC146" s="37"/>
      <c r="GKD146" s="37"/>
      <c r="GKE146" s="37"/>
      <c r="GKF146" s="37"/>
      <c r="GKG146" s="37"/>
      <c r="GKH146" s="37"/>
      <c r="GKI146" s="37"/>
      <c r="GKJ146" s="37"/>
      <c r="GKK146" s="37"/>
      <c r="GKL146" s="37"/>
      <c r="GKM146" s="37"/>
      <c r="GKN146" s="37"/>
      <c r="GKO146" s="37"/>
      <c r="GKP146" s="37"/>
      <c r="GKQ146" s="37"/>
      <c r="GKR146" s="37"/>
      <c r="GKS146" s="37"/>
      <c r="GKT146" s="37"/>
      <c r="GKU146" s="37"/>
      <c r="GKV146" s="37"/>
      <c r="GKW146" s="37"/>
      <c r="GKX146" s="37"/>
      <c r="GKY146" s="37"/>
      <c r="GKZ146" s="37"/>
      <c r="GLA146" s="37"/>
      <c r="GLB146" s="37"/>
      <c r="GLC146" s="37"/>
      <c r="GLD146" s="37"/>
      <c r="GLE146" s="37"/>
      <c r="GLF146" s="37"/>
      <c r="GLG146" s="37"/>
      <c r="GLH146" s="37"/>
      <c r="GLI146" s="37"/>
      <c r="GLJ146" s="37"/>
      <c r="GLK146" s="37"/>
      <c r="GLL146" s="37"/>
      <c r="GLM146" s="37"/>
      <c r="GLN146" s="37"/>
      <c r="GLO146" s="37"/>
      <c r="GLP146" s="37"/>
      <c r="GLQ146" s="37"/>
      <c r="GLR146" s="37"/>
      <c r="GLS146" s="37"/>
      <c r="GLT146" s="37"/>
      <c r="GLU146" s="37"/>
      <c r="GLV146" s="37"/>
      <c r="GLW146" s="37"/>
      <c r="GLX146" s="37"/>
      <c r="GLY146" s="37"/>
      <c r="GLZ146" s="37"/>
      <c r="GMA146" s="37"/>
      <c r="GMB146" s="37"/>
      <c r="GMC146" s="37"/>
      <c r="GMD146" s="37"/>
      <c r="GME146" s="37"/>
      <c r="GMF146" s="37"/>
      <c r="GMG146" s="37"/>
      <c r="GMH146" s="37"/>
      <c r="GMI146" s="37"/>
      <c r="GMJ146" s="37"/>
      <c r="GMK146" s="37"/>
      <c r="GML146" s="37"/>
      <c r="GMM146" s="37"/>
      <c r="GMN146" s="37"/>
      <c r="GMO146" s="37"/>
      <c r="GMP146" s="37"/>
      <c r="GMQ146" s="37"/>
      <c r="GMR146" s="37"/>
      <c r="GMS146" s="37"/>
      <c r="GMT146" s="37"/>
      <c r="GMU146" s="37"/>
      <c r="GMV146" s="37"/>
      <c r="GMW146" s="37"/>
      <c r="GMX146" s="37"/>
      <c r="GMY146" s="37"/>
      <c r="GMZ146" s="37"/>
      <c r="GNA146" s="37"/>
      <c r="GNB146" s="37"/>
      <c r="GNC146" s="37"/>
      <c r="GND146" s="37"/>
      <c r="GNE146" s="37"/>
      <c r="GNF146" s="37"/>
      <c r="GNG146" s="37"/>
      <c r="GNH146" s="37"/>
      <c r="GNI146" s="37"/>
      <c r="GNJ146" s="37"/>
      <c r="GNK146" s="37"/>
      <c r="GNL146" s="37"/>
      <c r="GNM146" s="37"/>
      <c r="GNN146" s="37"/>
      <c r="GNO146" s="37"/>
      <c r="GNP146" s="37"/>
      <c r="GNQ146" s="37"/>
      <c r="GNR146" s="37"/>
      <c r="GNS146" s="37"/>
      <c r="GNT146" s="37"/>
      <c r="GNU146" s="37"/>
      <c r="GNV146" s="37"/>
      <c r="GNW146" s="37"/>
      <c r="GNX146" s="37"/>
      <c r="GNY146" s="37"/>
      <c r="GNZ146" s="37"/>
      <c r="GOA146" s="37"/>
      <c r="GOB146" s="37"/>
      <c r="GOC146" s="37"/>
      <c r="GOD146" s="37"/>
      <c r="GOE146" s="37"/>
      <c r="GOF146" s="37"/>
      <c r="GOG146" s="37"/>
      <c r="GOH146" s="37"/>
      <c r="GOI146" s="37"/>
      <c r="GOJ146" s="37"/>
      <c r="GOK146" s="37"/>
      <c r="GOL146" s="37"/>
      <c r="GOM146" s="37"/>
      <c r="GON146" s="37"/>
      <c r="GOO146" s="37"/>
      <c r="GOP146" s="37"/>
      <c r="GOQ146" s="37"/>
      <c r="GOR146" s="37"/>
      <c r="GOS146" s="37"/>
      <c r="GOT146" s="37"/>
      <c r="GOU146" s="37"/>
      <c r="GOV146" s="37"/>
      <c r="GOW146" s="37"/>
      <c r="GOX146" s="37"/>
      <c r="GOY146" s="37"/>
      <c r="GOZ146" s="37"/>
      <c r="GPA146" s="37"/>
      <c r="GPB146" s="37"/>
      <c r="GPC146" s="37"/>
      <c r="GPD146" s="37"/>
      <c r="GPE146" s="37"/>
      <c r="GPF146" s="37"/>
      <c r="GPG146" s="37"/>
      <c r="GPH146" s="37"/>
      <c r="GPI146" s="37"/>
      <c r="GPJ146" s="37"/>
      <c r="GPK146" s="37"/>
      <c r="GPL146" s="37"/>
      <c r="GPM146" s="37"/>
      <c r="GPN146" s="37"/>
      <c r="GPO146" s="37"/>
      <c r="GPP146" s="37"/>
      <c r="GPQ146" s="37"/>
      <c r="GPR146" s="37"/>
      <c r="GPS146" s="37"/>
      <c r="GPT146" s="37"/>
      <c r="GPU146" s="37"/>
      <c r="GPV146" s="37"/>
      <c r="GPW146" s="37"/>
      <c r="GPX146" s="37"/>
      <c r="GPY146" s="37"/>
      <c r="GPZ146" s="37"/>
      <c r="GQA146" s="37"/>
      <c r="GQB146" s="37"/>
      <c r="GQC146" s="37"/>
      <c r="GQD146" s="37"/>
      <c r="GQE146" s="37"/>
      <c r="GQF146" s="37"/>
      <c r="GQG146" s="37"/>
      <c r="GQH146" s="37"/>
      <c r="GQI146" s="37"/>
      <c r="GQJ146" s="37"/>
      <c r="GQK146" s="37"/>
      <c r="GQL146" s="37"/>
      <c r="GQM146" s="37"/>
      <c r="GQN146" s="37"/>
      <c r="GQO146" s="37"/>
      <c r="GQP146" s="37"/>
      <c r="GQQ146" s="37"/>
      <c r="GQR146" s="37"/>
      <c r="GQS146" s="37"/>
      <c r="GQT146" s="37"/>
      <c r="GQU146" s="37"/>
      <c r="GQV146" s="37"/>
      <c r="GQW146" s="37"/>
      <c r="GQX146" s="37"/>
      <c r="GQY146" s="37"/>
      <c r="GQZ146" s="37"/>
      <c r="GRA146" s="37"/>
      <c r="GRB146" s="37"/>
      <c r="GRC146" s="37"/>
      <c r="GRD146" s="37"/>
      <c r="GRE146" s="37"/>
      <c r="GRF146" s="37"/>
      <c r="GRG146" s="37"/>
      <c r="GRH146" s="37"/>
      <c r="GRI146" s="37"/>
      <c r="GRJ146" s="37"/>
      <c r="GRK146" s="37"/>
      <c r="GRL146" s="37"/>
      <c r="GRM146" s="37"/>
      <c r="GRN146" s="37"/>
      <c r="GRO146" s="37"/>
      <c r="GRP146" s="37"/>
      <c r="GRQ146" s="37"/>
      <c r="GRR146" s="37"/>
      <c r="GRS146" s="37"/>
      <c r="GRT146" s="37"/>
      <c r="GRU146" s="37"/>
      <c r="GRV146" s="37"/>
      <c r="GRW146" s="37"/>
      <c r="GRX146" s="37"/>
      <c r="GRY146" s="37"/>
      <c r="GRZ146" s="37"/>
      <c r="GSA146" s="37"/>
      <c r="GSB146" s="37"/>
      <c r="GSC146" s="37"/>
      <c r="GSD146" s="37"/>
      <c r="GSE146" s="37"/>
      <c r="GSF146" s="37"/>
      <c r="GSG146" s="37"/>
      <c r="GSH146" s="37"/>
      <c r="GSI146" s="37"/>
      <c r="GSJ146" s="37"/>
      <c r="GSK146" s="37"/>
      <c r="GSL146" s="37"/>
      <c r="GSM146" s="37"/>
      <c r="GSN146" s="37"/>
      <c r="GSO146" s="37"/>
      <c r="GSP146" s="37"/>
      <c r="GSQ146" s="37"/>
      <c r="GSR146" s="37"/>
      <c r="GSS146" s="37"/>
      <c r="GST146" s="37"/>
      <c r="GSU146" s="37"/>
      <c r="GSV146" s="37"/>
      <c r="GSW146" s="37"/>
      <c r="GSX146" s="37"/>
      <c r="GSY146" s="37"/>
      <c r="GSZ146" s="37"/>
      <c r="GTA146" s="37"/>
      <c r="GTB146" s="37"/>
      <c r="GTC146" s="37"/>
      <c r="GTD146" s="37"/>
      <c r="GTE146" s="37"/>
      <c r="GTF146" s="37"/>
      <c r="GTG146" s="37"/>
      <c r="GTH146" s="37"/>
      <c r="GTI146" s="37"/>
      <c r="GTJ146" s="37"/>
      <c r="GTK146" s="37"/>
      <c r="GTL146" s="37"/>
      <c r="GTM146" s="37"/>
      <c r="GTN146" s="37"/>
      <c r="GTO146" s="37"/>
      <c r="GTP146" s="37"/>
      <c r="GTQ146" s="37"/>
      <c r="GTR146" s="37"/>
      <c r="GTS146" s="37"/>
      <c r="GTT146" s="37"/>
      <c r="GTU146" s="37"/>
      <c r="GTV146" s="37"/>
      <c r="GTW146" s="37"/>
      <c r="GTX146" s="37"/>
      <c r="GTY146" s="37"/>
      <c r="GTZ146" s="37"/>
      <c r="GUA146" s="37"/>
      <c r="GUB146" s="37"/>
      <c r="GUC146" s="37"/>
      <c r="GUD146" s="37"/>
      <c r="GUE146" s="37"/>
      <c r="GUF146" s="37"/>
      <c r="GUG146" s="37"/>
      <c r="GUH146" s="37"/>
      <c r="GUI146" s="37"/>
      <c r="GUJ146" s="37"/>
      <c r="GUK146" s="37"/>
      <c r="GUL146" s="37"/>
      <c r="GUM146" s="37"/>
      <c r="GUN146" s="37"/>
      <c r="GUO146" s="37"/>
      <c r="GUP146" s="37"/>
      <c r="GUQ146" s="37"/>
      <c r="GUR146" s="37"/>
      <c r="GUS146" s="37"/>
      <c r="GUT146" s="37"/>
      <c r="GUU146" s="37"/>
      <c r="GUV146" s="37"/>
      <c r="GUW146" s="37"/>
      <c r="GUX146" s="37"/>
      <c r="GUY146" s="37"/>
      <c r="GUZ146" s="37"/>
      <c r="GVA146" s="37"/>
      <c r="GVB146" s="37"/>
      <c r="GVC146" s="37"/>
      <c r="GVD146" s="37"/>
      <c r="GVE146" s="37"/>
      <c r="GVF146" s="37"/>
      <c r="GVG146" s="37"/>
      <c r="GVH146" s="37"/>
      <c r="GVI146" s="37"/>
      <c r="GVJ146" s="37"/>
      <c r="GVK146" s="37"/>
      <c r="GVL146" s="37"/>
      <c r="GVM146" s="37"/>
      <c r="GVN146" s="37"/>
      <c r="GVO146" s="37"/>
      <c r="GVP146" s="37"/>
      <c r="GVQ146" s="37"/>
      <c r="GVR146" s="37"/>
      <c r="GVS146" s="37"/>
      <c r="GVT146" s="37"/>
      <c r="GVU146" s="37"/>
      <c r="GVV146" s="37"/>
      <c r="GVW146" s="37"/>
      <c r="GVX146" s="37"/>
      <c r="GVY146" s="37"/>
      <c r="GVZ146" s="37"/>
      <c r="GWA146" s="37"/>
      <c r="GWB146" s="37"/>
      <c r="GWC146" s="37"/>
      <c r="GWD146" s="37"/>
      <c r="GWE146" s="37"/>
      <c r="GWF146" s="37"/>
      <c r="GWG146" s="37"/>
      <c r="GWH146" s="37"/>
      <c r="GWI146" s="37"/>
      <c r="GWJ146" s="37"/>
      <c r="GWK146" s="37"/>
      <c r="GWL146" s="37"/>
      <c r="GWM146" s="37"/>
      <c r="GWN146" s="37"/>
      <c r="GWO146" s="37"/>
      <c r="GWP146" s="37"/>
      <c r="GWQ146" s="37"/>
      <c r="GWR146" s="37"/>
      <c r="GWS146" s="37"/>
      <c r="GWT146" s="37"/>
      <c r="GWU146" s="37"/>
      <c r="GWV146" s="37"/>
      <c r="GWW146" s="37"/>
      <c r="GWX146" s="37"/>
      <c r="GWY146" s="37"/>
      <c r="GWZ146" s="37"/>
      <c r="GXA146" s="37"/>
      <c r="GXB146" s="37"/>
      <c r="GXC146" s="37"/>
      <c r="GXD146" s="37"/>
      <c r="GXE146" s="37"/>
      <c r="GXF146" s="37"/>
      <c r="GXG146" s="37"/>
      <c r="GXH146" s="37"/>
      <c r="GXI146" s="37"/>
      <c r="GXJ146" s="37"/>
      <c r="GXK146" s="37"/>
      <c r="GXL146" s="37"/>
      <c r="GXM146" s="37"/>
      <c r="GXN146" s="37"/>
      <c r="GXO146" s="37"/>
      <c r="GXP146" s="37"/>
      <c r="GXQ146" s="37"/>
      <c r="GXR146" s="37"/>
      <c r="GXS146" s="37"/>
      <c r="GXT146" s="37"/>
      <c r="GXU146" s="37"/>
      <c r="GXV146" s="37"/>
      <c r="GXW146" s="37"/>
      <c r="GXX146" s="37"/>
      <c r="GXY146" s="37"/>
      <c r="GXZ146" s="37"/>
      <c r="GYA146" s="37"/>
      <c r="GYB146" s="37"/>
      <c r="GYC146" s="37"/>
      <c r="GYD146" s="37"/>
      <c r="GYE146" s="37"/>
      <c r="GYF146" s="37"/>
      <c r="GYG146" s="37"/>
      <c r="GYH146" s="37"/>
      <c r="GYI146" s="37"/>
      <c r="GYJ146" s="37"/>
      <c r="GYK146" s="37"/>
      <c r="GYL146" s="37"/>
      <c r="GYM146" s="37"/>
      <c r="GYN146" s="37"/>
      <c r="GYO146" s="37"/>
      <c r="GYP146" s="37"/>
      <c r="GYQ146" s="37"/>
      <c r="GYR146" s="37"/>
      <c r="GYS146" s="37"/>
      <c r="GYT146" s="37"/>
      <c r="GYU146" s="37"/>
      <c r="GYV146" s="37"/>
      <c r="GYW146" s="37"/>
      <c r="GYX146" s="37"/>
      <c r="GYY146" s="37"/>
      <c r="GYZ146" s="37"/>
      <c r="GZA146" s="37"/>
      <c r="GZB146" s="37"/>
      <c r="GZC146" s="37"/>
      <c r="GZD146" s="37"/>
      <c r="GZE146" s="37"/>
      <c r="GZF146" s="37"/>
      <c r="GZG146" s="37"/>
      <c r="GZH146" s="37"/>
      <c r="GZI146" s="37"/>
      <c r="GZJ146" s="37"/>
      <c r="GZK146" s="37"/>
      <c r="GZL146" s="37"/>
      <c r="GZM146" s="37"/>
      <c r="GZN146" s="37"/>
      <c r="GZO146" s="37"/>
      <c r="GZP146" s="37"/>
      <c r="GZQ146" s="37"/>
      <c r="GZR146" s="37"/>
      <c r="GZS146" s="37"/>
      <c r="GZT146" s="37"/>
      <c r="GZU146" s="37"/>
      <c r="GZV146" s="37"/>
      <c r="GZW146" s="37"/>
      <c r="GZX146" s="37"/>
      <c r="GZY146" s="37"/>
      <c r="GZZ146" s="37"/>
      <c r="HAA146" s="37"/>
      <c r="HAB146" s="37"/>
      <c r="HAC146" s="37"/>
      <c r="HAD146" s="37"/>
      <c r="HAE146" s="37"/>
      <c r="HAF146" s="37"/>
      <c r="HAG146" s="37"/>
      <c r="HAH146" s="37"/>
      <c r="HAI146" s="37"/>
      <c r="HAJ146" s="37"/>
      <c r="HAK146" s="37"/>
      <c r="HAL146" s="37"/>
      <c r="HAM146" s="37"/>
      <c r="HAN146" s="37"/>
      <c r="HAO146" s="37"/>
      <c r="HAP146" s="37"/>
      <c r="HAQ146" s="37"/>
      <c r="HAR146" s="37"/>
      <c r="HAS146" s="37"/>
      <c r="HAT146" s="37"/>
      <c r="HAU146" s="37"/>
      <c r="HAV146" s="37"/>
      <c r="HAW146" s="37"/>
      <c r="HAX146" s="37"/>
      <c r="HAY146" s="37"/>
      <c r="HAZ146" s="37"/>
      <c r="HBA146" s="37"/>
      <c r="HBB146" s="37"/>
      <c r="HBC146" s="37"/>
      <c r="HBD146" s="37"/>
      <c r="HBE146" s="37"/>
      <c r="HBF146" s="37"/>
      <c r="HBG146" s="37"/>
      <c r="HBH146" s="37"/>
      <c r="HBI146" s="37"/>
      <c r="HBJ146" s="37"/>
      <c r="HBK146" s="37"/>
      <c r="HBL146" s="37"/>
      <c r="HBM146" s="37"/>
      <c r="HBN146" s="37"/>
      <c r="HBO146" s="37"/>
      <c r="HBP146" s="37"/>
      <c r="HBQ146" s="37"/>
      <c r="HBR146" s="37"/>
      <c r="HBS146" s="37"/>
      <c r="HBT146" s="37"/>
      <c r="HBU146" s="37"/>
      <c r="HBV146" s="37"/>
      <c r="HBW146" s="37"/>
      <c r="HBX146" s="37"/>
      <c r="HBY146" s="37"/>
      <c r="HBZ146" s="37"/>
      <c r="HCA146" s="37"/>
      <c r="HCB146" s="37"/>
      <c r="HCC146" s="37"/>
      <c r="HCD146" s="37"/>
      <c r="HCE146" s="37"/>
      <c r="HCF146" s="37"/>
      <c r="HCG146" s="37"/>
      <c r="HCH146" s="37"/>
      <c r="HCI146" s="37"/>
      <c r="HCJ146" s="37"/>
      <c r="HCK146" s="37"/>
      <c r="HCL146" s="37"/>
      <c r="HCM146" s="37"/>
      <c r="HCN146" s="37"/>
      <c r="HCO146" s="37"/>
      <c r="HCP146" s="37"/>
      <c r="HCQ146" s="37"/>
      <c r="HCR146" s="37"/>
      <c r="HCS146" s="37"/>
      <c r="HCT146" s="37"/>
      <c r="HCU146" s="37"/>
      <c r="HCV146" s="37"/>
      <c r="HCW146" s="37"/>
      <c r="HCX146" s="37"/>
      <c r="HCY146" s="37"/>
      <c r="HCZ146" s="37"/>
      <c r="HDA146" s="37"/>
      <c r="HDB146" s="37"/>
      <c r="HDC146" s="37"/>
      <c r="HDD146" s="37"/>
      <c r="HDE146" s="37"/>
      <c r="HDF146" s="37"/>
      <c r="HDG146" s="37"/>
      <c r="HDH146" s="37"/>
      <c r="HDI146" s="37"/>
      <c r="HDJ146" s="37"/>
      <c r="HDK146" s="37"/>
      <c r="HDL146" s="37"/>
      <c r="HDM146" s="37"/>
      <c r="HDN146" s="37"/>
      <c r="HDO146" s="37"/>
      <c r="HDP146" s="37"/>
      <c r="HDQ146" s="37"/>
      <c r="HDR146" s="37"/>
      <c r="HDS146" s="37"/>
      <c r="HDT146" s="37"/>
      <c r="HDU146" s="37"/>
      <c r="HDV146" s="37"/>
      <c r="HDW146" s="37"/>
      <c r="HDX146" s="37"/>
      <c r="HDY146" s="37"/>
      <c r="HDZ146" s="37"/>
      <c r="HEA146" s="37"/>
      <c r="HEB146" s="37"/>
      <c r="HEC146" s="37"/>
      <c r="HED146" s="37"/>
      <c r="HEE146" s="37"/>
      <c r="HEF146" s="37"/>
      <c r="HEG146" s="37"/>
      <c r="HEH146" s="37"/>
      <c r="HEI146" s="37"/>
      <c r="HEJ146" s="37"/>
      <c r="HEK146" s="37"/>
      <c r="HEL146" s="37"/>
      <c r="HEM146" s="37"/>
      <c r="HEN146" s="37"/>
      <c r="HEO146" s="37"/>
      <c r="HEP146" s="37"/>
      <c r="HEQ146" s="37"/>
      <c r="HER146" s="37"/>
      <c r="HES146" s="37"/>
      <c r="HET146" s="37"/>
      <c r="HEU146" s="37"/>
      <c r="HEV146" s="37"/>
      <c r="HEW146" s="37"/>
      <c r="HEX146" s="37"/>
      <c r="HEY146" s="37"/>
      <c r="HEZ146" s="37"/>
      <c r="HFA146" s="37"/>
      <c r="HFB146" s="37"/>
      <c r="HFC146" s="37"/>
      <c r="HFD146" s="37"/>
      <c r="HFE146" s="37"/>
      <c r="HFF146" s="37"/>
      <c r="HFG146" s="37"/>
      <c r="HFH146" s="37"/>
      <c r="HFI146" s="37"/>
      <c r="HFJ146" s="37"/>
      <c r="HFK146" s="37"/>
      <c r="HFL146" s="37"/>
      <c r="HFM146" s="37"/>
      <c r="HFN146" s="37"/>
      <c r="HFO146" s="37"/>
      <c r="HFP146" s="37"/>
      <c r="HFQ146" s="37"/>
      <c r="HFR146" s="37"/>
      <c r="HFS146" s="37"/>
      <c r="HFT146" s="37"/>
      <c r="HFU146" s="37"/>
      <c r="HFV146" s="37"/>
      <c r="HFW146" s="37"/>
      <c r="HFX146" s="37"/>
      <c r="HFY146" s="37"/>
      <c r="HFZ146" s="37"/>
      <c r="HGA146" s="37"/>
      <c r="HGB146" s="37"/>
      <c r="HGC146" s="37"/>
      <c r="HGD146" s="37"/>
      <c r="HGE146" s="37"/>
      <c r="HGF146" s="37"/>
      <c r="HGG146" s="37"/>
      <c r="HGH146" s="37"/>
      <c r="HGI146" s="37"/>
      <c r="HGJ146" s="37"/>
      <c r="HGK146" s="37"/>
      <c r="HGL146" s="37"/>
      <c r="HGM146" s="37"/>
      <c r="HGN146" s="37"/>
      <c r="HGO146" s="37"/>
      <c r="HGP146" s="37"/>
      <c r="HGQ146" s="37"/>
      <c r="HGR146" s="37"/>
      <c r="HGS146" s="37"/>
      <c r="HGT146" s="37"/>
      <c r="HGU146" s="37"/>
      <c r="HGV146" s="37"/>
      <c r="HGW146" s="37"/>
      <c r="HGX146" s="37"/>
      <c r="HGY146" s="37"/>
      <c r="HGZ146" s="37"/>
      <c r="HHA146" s="37"/>
      <c r="HHB146" s="37"/>
      <c r="HHC146" s="37"/>
      <c r="HHD146" s="37"/>
      <c r="HHE146" s="37"/>
      <c r="HHF146" s="37"/>
      <c r="HHG146" s="37"/>
      <c r="HHH146" s="37"/>
      <c r="HHI146" s="37"/>
      <c r="HHJ146" s="37"/>
      <c r="HHK146" s="37"/>
      <c r="HHL146" s="37"/>
      <c r="HHM146" s="37"/>
      <c r="HHN146" s="37"/>
      <c r="HHO146" s="37"/>
      <c r="HHP146" s="37"/>
      <c r="HHQ146" s="37"/>
      <c r="HHR146" s="37"/>
      <c r="HHS146" s="37"/>
      <c r="HHT146" s="37"/>
      <c r="HHU146" s="37"/>
      <c r="HHV146" s="37"/>
      <c r="HHW146" s="37"/>
      <c r="HHX146" s="37"/>
      <c r="HHY146" s="37"/>
      <c r="HHZ146" s="37"/>
      <c r="HIA146" s="37"/>
      <c r="HIB146" s="37"/>
      <c r="HIC146" s="37"/>
      <c r="HID146" s="37"/>
      <c r="HIE146" s="37"/>
      <c r="HIF146" s="37"/>
      <c r="HIG146" s="37"/>
      <c r="HIH146" s="37"/>
      <c r="HII146" s="37"/>
      <c r="HIJ146" s="37"/>
      <c r="HIK146" s="37"/>
      <c r="HIL146" s="37"/>
      <c r="HIM146" s="37"/>
      <c r="HIN146" s="37"/>
      <c r="HIO146" s="37"/>
      <c r="HIP146" s="37"/>
      <c r="HIQ146" s="37"/>
      <c r="HIR146" s="37"/>
      <c r="HIS146" s="37"/>
      <c r="HIT146" s="37"/>
      <c r="HIU146" s="37"/>
      <c r="HIV146" s="37"/>
      <c r="HIW146" s="37"/>
      <c r="HIX146" s="37"/>
      <c r="HIY146" s="37"/>
      <c r="HIZ146" s="37"/>
      <c r="HJA146" s="37"/>
      <c r="HJB146" s="37"/>
      <c r="HJC146" s="37"/>
      <c r="HJD146" s="37"/>
      <c r="HJE146" s="37"/>
      <c r="HJF146" s="37"/>
      <c r="HJG146" s="37"/>
      <c r="HJH146" s="37"/>
      <c r="HJI146" s="37"/>
      <c r="HJJ146" s="37"/>
      <c r="HJK146" s="37"/>
      <c r="HJL146" s="37"/>
      <c r="HJM146" s="37"/>
      <c r="HJN146" s="37"/>
      <c r="HJO146" s="37"/>
      <c r="HJP146" s="37"/>
      <c r="HJQ146" s="37"/>
      <c r="HJR146" s="37"/>
      <c r="HJS146" s="37"/>
      <c r="HJT146" s="37"/>
      <c r="HJU146" s="37"/>
      <c r="HJV146" s="37"/>
      <c r="HJW146" s="37"/>
      <c r="HJX146" s="37"/>
      <c r="HJY146" s="37"/>
      <c r="HJZ146" s="37"/>
      <c r="HKA146" s="37"/>
      <c r="HKB146" s="37"/>
      <c r="HKC146" s="37"/>
      <c r="HKD146" s="37"/>
      <c r="HKE146" s="37"/>
      <c r="HKF146" s="37"/>
      <c r="HKG146" s="37"/>
      <c r="HKH146" s="37"/>
      <c r="HKI146" s="37"/>
      <c r="HKJ146" s="37"/>
      <c r="HKK146" s="37"/>
      <c r="HKL146" s="37"/>
      <c r="HKM146" s="37"/>
      <c r="HKN146" s="37"/>
      <c r="HKO146" s="37"/>
      <c r="HKP146" s="37"/>
      <c r="HKQ146" s="37"/>
      <c r="HKR146" s="37"/>
      <c r="HKS146" s="37"/>
      <c r="HKT146" s="37"/>
      <c r="HKU146" s="37"/>
      <c r="HKV146" s="37"/>
      <c r="HKW146" s="37"/>
      <c r="HKX146" s="37"/>
      <c r="HKY146" s="37"/>
      <c r="HKZ146" s="37"/>
      <c r="HLA146" s="37"/>
      <c r="HLB146" s="37"/>
      <c r="HLC146" s="37"/>
      <c r="HLD146" s="37"/>
      <c r="HLE146" s="37"/>
      <c r="HLF146" s="37"/>
      <c r="HLG146" s="37"/>
      <c r="HLH146" s="37"/>
      <c r="HLI146" s="37"/>
      <c r="HLJ146" s="37"/>
      <c r="HLK146" s="37"/>
      <c r="HLL146" s="37"/>
      <c r="HLM146" s="37"/>
      <c r="HLN146" s="37"/>
      <c r="HLO146" s="37"/>
      <c r="HLP146" s="37"/>
      <c r="HLQ146" s="37"/>
      <c r="HLR146" s="37"/>
      <c r="HLS146" s="37"/>
      <c r="HLT146" s="37"/>
      <c r="HLU146" s="37"/>
      <c r="HLV146" s="37"/>
      <c r="HLW146" s="37"/>
      <c r="HLX146" s="37"/>
      <c r="HLY146" s="37"/>
      <c r="HLZ146" s="37"/>
      <c r="HMA146" s="37"/>
      <c r="HMB146" s="37"/>
      <c r="HMC146" s="37"/>
      <c r="HMD146" s="37"/>
      <c r="HME146" s="37"/>
      <c r="HMF146" s="37"/>
      <c r="HMG146" s="37"/>
      <c r="HMH146" s="37"/>
      <c r="HMI146" s="37"/>
      <c r="HMJ146" s="37"/>
      <c r="HMK146" s="37"/>
      <c r="HML146" s="37"/>
      <c r="HMM146" s="37"/>
      <c r="HMN146" s="37"/>
      <c r="HMO146" s="37"/>
      <c r="HMP146" s="37"/>
      <c r="HMQ146" s="37"/>
      <c r="HMR146" s="37"/>
      <c r="HMS146" s="37"/>
      <c r="HMT146" s="37"/>
      <c r="HMU146" s="37"/>
      <c r="HMV146" s="37"/>
      <c r="HMW146" s="37"/>
      <c r="HMX146" s="37"/>
      <c r="HMY146" s="37"/>
      <c r="HMZ146" s="37"/>
      <c r="HNA146" s="37"/>
      <c r="HNB146" s="37"/>
      <c r="HNC146" s="37"/>
      <c r="HND146" s="37"/>
      <c r="HNE146" s="37"/>
      <c r="HNF146" s="37"/>
      <c r="HNG146" s="37"/>
      <c r="HNH146" s="37"/>
      <c r="HNI146" s="37"/>
      <c r="HNJ146" s="37"/>
      <c r="HNK146" s="37"/>
      <c r="HNL146" s="37"/>
      <c r="HNM146" s="37"/>
      <c r="HNN146" s="37"/>
      <c r="HNO146" s="37"/>
      <c r="HNP146" s="37"/>
      <c r="HNQ146" s="37"/>
      <c r="HNR146" s="37"/>
      <c r="HNS146" s="37"/>
      <c r="HNT146" s="37"/>
      <c r="HNU146" s="37"/>
      <c r="HNV146" s="37"/>
      <c r="HNW146" s="37"/>
      <c r="HNX146" s="37"/>
      <c r="HNY146" s="37"/>
      <c r="HNZ146" s="37"/>
      <c r="HOA146" s="37"/>
      <c r="HOB146" s="37"/>
      <c r="HOC146" s="37"/>
      <c r="HOD146" s="37"/>
      <c r="HOE146" s="37"/>
      <c r="HOF146" s="37"/>
      <c r="HOG146" s="37"/>
      <c r="HOH146" s="37"/>
      <c r="HOI146" s="37"/>
      <c r="HOJ146" s="37"/>
      <c r="HOK146" s="37"/>
      <c r="HOL146" s="37"/>
      <c r="HOM146" s="37"/>
      <c r="HON146" s="37"/>
      <c r="HOO146" s="37"/>
      <c r="HOP146" s="37"/>
      <c r="HOQ146" s="37"/>
      <c r="HOR146" s="37"/>
      <c r="HOS146" s="37"/>
      <c r="HOT146" s="37"/>
      <c r="HOU146" s="37"/>
      <c r="HOV146" s="37"/>
      <c r="HOW146" s="37"/>
      <c r="HOX146" s="37"/>
      <c r="HOY146" s="37"/>
      <c r="HOZ146" s="37"/>
      <c r="HPA146" s="37"/>
      <c r="HPB146" s="37"/>
      <c r="HPC146" s="37"/>
      <c r="HPD146" s="37"/>
      <c r="HPE146" s="37"/>
      <c r="HPF146" s="37"/>
      <c r="HPG146" s="37"/>
      <c r="HPH146" s="37"/>
      <c r="HPI146" s="37"/>
      <c r="HPJ146" s="37"/>
      <c r="HPK146" s="37"/>
      <c r="HPL146" s="37"/>
      <c r="HPM146" s="37"/>
      <c r="HPN146" s="37"/>
      <c r="HPO146" s="37"/>
      <c r="HPP146" s="37"/>
      <c r="HPQ146" s="37"/>
      <c r="HPR146" s="37"/>
      <c r="HPS146" s="37"/>
      <c r="HPT146" s="37"/>
      <c r="HPU146" s="37"/>
      <c r="HPV146" s="37"/>
      <c r="HPW146" s="37"/>
      <c r="HPX146" s="37"/>
      <c r="HPY146" s="37"/>
      <c r="HPZ146" s="37"/>
      <c r="HQA146" s="37"/>
      <c r="HQB146" s="37"/>
      <c r="HQC146" s="37"/>
      <c r="HQD146" s="37"/>
      <c r="HQE146" s="37"/>
      <c r="HQF146" s="37"/>
      <c r="HQG146" s="37"/>
      <c r="HQH146" s="37"/>
      <c r="HQI146" s="37"/>
      <c r="HQJ146" s="37"/>
      <c r="HQK146" s="37"/>
      <c r="HQL146" s="37"/>
      <c r="HQM146" s="37"/>
      <c r="HQN146" s="37"/>
      <c r="HQO146" s="37"/>
      <c r="HQP146" s="37"/>
      <c r="HQQ146" s="37"/>
      <c r="HQR146" s="37"/>
      <c r="HQS146" s="37"/>
      <c r="HQT146" s="37"/>
      <c r="HQU146" s="37"/>
      <c r="HQV146" s="37"/>
      <c r="HQW146" s="37"/>
      <c r="HQX146" s="37"/>
      <c r="HQY146" s="37"/>
      <c r="HQZ146" s="37"/>
      <c r="HRA146" s="37"/>
      <c r="HRB146" s="37"/>
      <c r="HRC146" s="37"/>
      <c r="HRD146" s="37"/>
      <c r="HRE146" s="37"/>
      <c r="HRF146" s="37"/>
      <c r="HRG146" s="37"/>
      <c r="HRH146" s="37"/>
      <c r="HRI146" s="37"/>
      <c r="HRJ146" s="37"/>
      <c r="HRK146" s="37"/>
      <c r="HRL146" s="37"/>
      <c r="HRM146" s="37"/>
      <c r="HRN146" s="37"/>
      <c r="HRO146" s="37"/>
      <c r="HRP146" s="37"/>
      <c r="HRQ146" s="37"/>
      <c r="HRR146" s="37"/>
      <c r="HRS146" s="37"/>
      <c r="HRT146" s="37"/>
      <c r="HRU146" s="37"/>
      <c r="HRV146" s="37"/>
      <c r="HRW146" s="37"/>
      <c r="HRX146" s="37"/>
      <c r="HRY146" s="37"/>
      <c r="HRZ146" s="37"/>
      <c r="HSA146" s="37"/>
      <c r="HSB146" s="37"/>
      <c r="HSC146" s="37"/>
      <c r="HSD146" s="37"/>
      <c r="HSE146" s="37"/>
      <c r="HSF146" s="37"/>
      <c r="HSG146" s="37"/>
      <c r="HSH146" s="37"/>
      <c r="HSI146" s="37"/>
      <c r="HSJ146" s="37"/>
      <c r="HSK146" s="37"/>
      <c r="HSL146" s="37"/>
      <c r="HSM146" s="37"/>
      <c r="HSN146" s="37"/>
      <c r="HSO146" s="37"/>
      <c r="HSP146" s="37"/>
      <c r="HSQ146" s="37"/>
      <c r="HSR146" s="37"/>
      <c r="HSS146" s="37"/>
      <c r="HST146" s="37"/>
      <c r="HSU146" s="37"/>
      <c r="HSV146" s="37"/>
      <c r="HSW146" s="37"/>
      <c r="HSX146" s="37"/>
      <c r="HSY146" s="37"/>
      <c r="HSZ146" s="37"/>
      <c r="HTA146" s="37"/>
      <c r="HTB146" s="37"/>
      <c r="HTC146" s="37"/>
      <c r="HTD146" s="37"/>
      <c r="HTE146" s="37"/>
      <c r="HTF146" s="37"/>
      <c r="HTG146" s="37"/>
      <c r="HTH146" s="37"/>
      <c r="HTI146" s="37"/>
      <c r="HTJ146" s="37"/>
      <c r="HTK146" s="37"/>
      <c r="HTL146" s="37"/>
      <c r="HTM146" s="37"/>
      <c r="HTN146" s="37"/>
      <c r="HTO146" s="37"/>
      <c r="HTP146" s="37"/>
      <c r="HTQ146" s="37"/>
      <c r="HTR146" s="37"/>
      <c r="HTS146" s="37"/>
      <c r="HTT146" s="37"/>
      <c r="HTU146" s="37"/>
      <c r="HTV146" s="37"/>
      <c r="HTW146" s="37"/>
      <c r="HTX146" s="37"/>
      <c r="HTY146" s="37"/>
      <c r="HTZ146" s="37"/>
      <c r="HUA146" s="37"/>
      <c r="HUB146" s="37"/>
      <c r="HUC146" s="37"/>
      <c r="HUD146" s="37"/>
      <c r="HUE146" s="37"/>
      <c r="HUF146" s="37"/>
      <c r="HUG146" s="37"/>
      <c r="HUH146" s="37"/>
      <c r="HUI146" s="37"/>
      <c r="HUJ146" s="37"/>
      <c r="HUK146" s="37"/>
      <c r="HUL146" s="37"/>
      <c r="HUM146" s="37"/>
      <c r="HUN146" s="37"/>
      <c r="HUO146" s="37"/>
      <c r="HUP146" s="37"/>
      <c r="HUQ146" s="37"/>
      <c r="HUR146" s="37"/>
      <c r="HUS146" s="37"/>
      <c r="HUT146" s="37"/>
      <c r="HUU146" s="37"/>
      <c r="HUV146" s="37"/>
      <c r="HUW146" s="37"/>
      <c r="HUX146" s="37"/>
      <c r="HUY146" s="37"/>
      <c r="HUZ146" s="37"/>
      <c r="HVA146" s="37"/>
      <c r="HVB146" s="37"/>
      <c r="HVC146" s="37"/>
      <c r="HVD146" s="37"/>
      <c r="HVE146" s="37"/>
      <c r="HVF146" s="37"/>
      <c r="HVG146" s="37"/>
      <c r="HVH146" s="37"/>
      <c r="HVI146" s="37"/>
      <c r="HVJ146" s="37"/>
      <c r="HVK146" s="37"/>
      <c r="HVL146" s="37"/>
      <c r="HVM146" s="37"/>
      <c r="HVN146" s="37"/>
      <c r="HVO146" s="37"/>
      <c r="HVP146" s="37"/>
      <c r="HVQ146" s="37"/>
      <c r="HVR146" s="37"/>
      <c r="HVS146" s="37"/>
      <c r="HVT146" s="37"/>
      <c r="HVU146" s="37"/>
      <c r="HVV146" s="37"/>
      <c r="HVW146" s="37"/>
      <c r="HVX146" s="37"/>
      <c r="HVY146" s="37"/>
      <c r="HVZ146" s="37"/>
      <c r="HWA146" s="37"/>
      <c r="HWB146" s="37"/>
      <c r="HWC146" s="37"/>
      <c r="HWD146" s="37"/>
      <c r="HWE146" s="37"/>
      <c r="HWF146" s="37"/>
      <c r="HWG146" s="37"/>
      <c r="HWH146" s="37"/>
      <c r="HWI146" s="37"/>
      <c r="HWJ146" s="37"/>
      <c r="HWK146" s="37"/>
      <c r="HWL146" s="37"/>
      <c r="HWM146" s="37"/>
      <c r="HWN146" s="37"/>
      <c r="HWO146" s="37"/>
      <c r="HWP146" s="37"/>
      <c r="HWQ146" s="37"/>
      <c r="HWR146" s="37"/>
      <c r="HWS146" s="37"/>
      <c r="HWT146" s="37"/>
      <c r="HWU146" s="37"/>
      <c r="HWV146" s="37"/>
      <c r="HWW146" s="37"/>
      <c r="HWX146" s="37"/>
      <c r="HWY146" s="37"/>
      <c r="HWZ146" s="37"/>
      <c r="HXA146" s="37"/>
      <c r="HXB146" s="37"/>
      <c r="HXC146" s="37"/>
      <c r="HXD146" s="37"/>
      <c r="HXE146" s="37"/>
      <c r="HXF146" s="37"/>
      <c r="HXG146" s="37"/>
      <c r="HXH146" s="37"/>
      <c r="HXI146" s="37"/>
      <c r="HXJ146" s="37"/>
      <c r="HXK146" s="37"/>
      <c r="HXL146" s="37"/>
      <c r="HXM146" s="37"/>
      <c r="HXN146" s="37"/>
      <c r="HXO146" s="37"/>
      <c r="HXP146" s="37"/>
      <c r="HXQ146" s="37"/>
      <c r="HXR146" s="37"/>
      <c r="HXS146" s="37"/>
      <c r="HXT146" s="37"/>
      <c r="HXU146" s="37"/>
      <c r="HXV146" s="37"/>
      <c r="HXW146" s="37"/>
      <c r="HXX146" s="37"/>
      <c r="HXY146" s="37"/>
      <c r="HXZ146" s="37"/>
      <c r="HYA146" s="37"/>
      <c r="HYB146" s="37"/>
      <c r="HYC146" s="37"/>
      <c r="HYD146" s="37"/>
      <c r="HYE146" s="37"/>
      <c r="HYF146" s="37"/>
      <c r="HYG146" s="37"/>
      <c r="HYH146" s="37"/>
      <c r="HYI146" s="37"/>
      <c r="HYJ146" s="37"/>
      <c r="HYK146" s="37"/>
      <c r="HYL146" s="37"/>
      <c r="HYM146" s="37"/>
      <c r="HYN146" s="37"/>
      <c r="HYO146" s="37"/>
      <c r="HYP146" s="37"/>
      <c r="HYQ146" s="37"/>
      <c r="HYR146" s="37"/>
      <c r="HYS146" s="37"/>
      <c r="HYT146" s="37"/>
      <c r="HYU146" s="37"/>
      <c r="HYV146" s="37"/>
      <c r="HYW146" s="37"/>
      <c r="HYX146" s="37"/>
      <c r="HYY146" s="37"/>
      <c r="HYZ146" s="37"/>
      <c r="HZA146" s="37"/>
      <c r="HZB146" s="37"/>
      <c r="HZC146" s="37"/>
      <c r="HZD146" s="37"/>
      <c r="HZE146" s="37"/>
      <c r="HZF146" s="37"/>
      <c r="HZG146" s="37"/>
      <c r="HZH146" s="37"/>
      <c r="HZI146" s="37"/>
      <c r="HZJ146" s="37"/>
      <c r="HZK146" s="37"/>
      <c r="HZL146" s="37"/>
      <c r="HZM146" s="37"/>
      <c r="HZN146" s="37"/>
      <c r="HZO146" s="37"/>
      <c r="HZP146" s="37"/>
      <c r="HZQ146" s="37"/>
      <c r="HZR146" s="37"/>
      <c r="HZS146" s="37"/>
      <c r="HZT146" s="37"/>
      <c r="HZU146" s="37"/>
      <c r="HZV146" s="37"/>
      <c r="HZW146" s="37"/>
      <c r="HZX146" s="37"/>
      <c r="HZY146" s="37"/>
      <c r="HZZ146" s="37"/>
      <c r="IAA146" s="37"/>
      <c r="IAB146" s="37"/>
      <c r="IAC146" s="37"/>
      <c r="IAD146" s="37"/>
      <c r="IAE146" s="37"/>
      <c r="IAF146" s="37"/>
      <c r="IAG146" s="37"/>
      <c r="IAH146" s="37"/>
      <c r="IAI146" s="37"/>
      <c r="IAJ146" s="37"/>
      <c r="IAK146" s="37"/>
      <c r="IAL146" s="37"/>
      <c r="IAM146" s="37"/>
      <c r="IAN146" s="37"/>
      <c r="IAO146" s="37"/>
      <c r="IAP146" s="37"/>
      <c r="IAQ146" s="37"/>
      <c r="IAR146" s="37"/>
      <c r="IAS146" s="37"/>
      <c r="IAT146" s="37"/>
      <c r="IAU146" s="37"/>
      <c r="IAV146" s="37"/>
      <c r="IAW146" s="37"/>
      <c r="IAX146" s="37"/>
      <c r="IAY146" s="37"/>
      <c r="IAZ146" s="37"/>
      <c r="IBA146" s="37"/>
      <c r="IBB146" s="37"/>
      <c r="IBC146" s="37"/>
      <c r="IBD146" s="37"/>
      <c r="IBE146" s="37"/>
      <c r="IBF146" s="37"/>
      <c r="IBG146" s="37"/>
      <c r="IBH146" s="37"/>
      <c r="IBI146" s="37"/>
      <c r="IBJ146" s="37"/>
      <c r="IBK146" s="37"/>
      <c r="IBL146" s="37"/>
      <c r="IBM146" s="37"/>
      <c r="IBN146" s="37"/>
      <c r="IBO146" s="37"/>
      <c r="IBP146" s="37"/>
      <c r="IBQ146" s="37"/>
      <c r="IBR146" s="37"/>
      <c r="IBS146" s="37"/>
      <c r="IBT146" s="37"/>
      <c r="IBU146" s="37"/>
      <c r="IBV146" s="37"/>
      <c r="IBW146" s="37"/>
      <c r="IBX146" s="37"/>
      <c r="IBY146" s="37"/>
      <c r="IBZ146" s="37"/>
      <c r="ICA146" s="37"/>
      <c r="ICB146" s="37"/>
      <c r="ICC146" s="37"/>
      <c r="ICD146" s="37"/>
      <c r="ICE146" s="37"/>
      <c r="ICF146" s="37"/>
      <c r="ICG146" s="37"/>
      <c r="ICH146" s="37"/>
      <c r="ICI146" s="37"/>
      <c r="ICJ146" s="37"/>
      <c r="ICK146" s="37"/>
      <c r="ICL146" s="37"/>
      <c r="ICM146" s="37"/>
      <c r="ICN146" s="37"/>
      <c r="ICO146" s="37"/>
      <c r="ICP146" s="37"/>
      <c r="ICQ146" s="37"/>
      <c r="ICR146" s="37"/>
      <c r="ICS146" s="37"/>
      <c r="ICT146" s="37"/>
      <c r="ICU146" s="37"/>
      <c r="ICV146" s="37"/>
      <c r="ICW146" s="37"/>
      <c r="ICX146" s="37"/>
      <c r="ICY146" s="37"/>
      <c r="ICZ146" s="37"/>
      <c r="IDA146" s="37"/>
      <c r="IDB146" s="37"/>
      <c r="IDC146" s="37"/>
      <c r="IDD146" s="37"/>
      <c r="IDE146" s="37"/>
      <c r="IDF146" s="37"/>
      <c r="IDG146" s="37"/>
      <c r="IDH146" s="37"/>
      <c r="IDI146" s="37"/>
      <c r="IDJ146" s="37"/>
      <c r="IDK146" s="37"/>
      <c r="IDL146" s="37"/>
      <c r="IDM146" s="37"/>
      <c r="IDN146" s="37"/>
      <c r="IDO146" s="37"/>
      <c r="IDP146" s="37"/>
      <c r="IDQ146" s="37"/>
      <c r="IDR146" s="37"/>
      <c r="IDS146" s="37"/>
      <c r="IDT146" s="37"/>
      <c r="IDU146" s="37"/>
      <c r="IDV146" s="37"/>
      <c r="IDW146" s="37"/>
      <c r="IDX146" s="37"/>
      <c r="IDY146" s="37"/>
      <c r="IDZ146" s="37"/>
      <c r="IEA146" s="37"/>
      <c r="IEB146" s="37"/>
      <c r="IEC146" s="37"/>
      <c r="IED146" s="37"/>
      <c r="IEE146" s="37"/>
      <c r="IEF146" s="37"/>
      <c r="IEG146" s="37"/>
      <c r="IEH146" s="37"/>
      <c r="IEI146" s="37"/>
      <c r="IEJ146" s="37"/>
      <c r="IEK146" s="37"/>
      <c r="IEL146" s="37"/>
      <c r="IEM146" s="37"/>
      <c r="IEN146" s="37"/>
      <c r="IEO146" s="37"/>
      <c r="IEP146" s="37"/>
      <c r="IEQ146" s="37"/>
      <c r="IER146" s="37"/>
      <c r="IES146" s="37"/>
      <c r="IET146" s="37"/>
      <c r="IEU146" s="37"/>
      <c r="IEV146" s="37"/>
      <c r="IEW146" s="37"/>
      <c r="IEX146" s="37"/>
      <c r="IEY146" s="37"/>
      <c r="IEZ146" s="37"/>
      <c r="IFA146" s="37"/>
      <c r="IFB146" s="37"/>
      <c r="IFC146" s="37"/>
      <c r="IFD146" s="37"/>
      <c r="IFE146" s="37"/>
      <c r="IFF146" s="37"/>
      <c r="IFG146" s="37"/>
      <c r="IFH146" s="37"/>
      <c r="IFI146" s="37"/>
      <c r="IFJ146" s="37"/>
      <c r="IFK146" s="37"/>
      <c r="IFL146" s="37"/>
      <c r="IFM146" s="37"/>
      <c r="IFN146" s="37"/>
      <c r="IFO146" s="37"/>
      <c r="IFP146" s="37"/>
      <c r="IFQ146" s="37"/>
      <c r="IFR146" s="37"/>
      <c r="IFS146" s="37"/>
      <c r="IFT146" s="37"/>
      <c r="IFU146" s="37"/>
      <c r="IFV146" s="37"/>
      <c r="IFW146" s="37"/>
      <c r="IFX146" s="37"/>
      <c r="IFY146" s="37"/>
      <c r="IFZ146" s="37"/>
      <c r="IGA146" s="37"/>
      <c r="IGB146" s="37"/>
      <c r="IGC146" s="37"/>
      <c r="IGD146" s="37"/>
      <c r="IGE146" s="37"/>
      <c r="IGF146" s="37"/>
      <c r="IGG146" s="37"/>
      <c r="IGH146" s="37"/>
      <c r="IGI146" s="37"/>
      <c r="IGJ146" s="37"/>
      <c r="IGK146" s="37"/>
      <c r="IGL146" s="37"/>
      <c r="IGM146" s="37"/>
      <c r="IGN146" s="37"/>
      <c r="IGO146" s="37"/>
      <c r="IGP146" s="37"/>
      <c r="IGQ146" s="37"/>
      <c r="IGR146" s="37"/>
      <c r="IGS146" s="37"/>
      <c r="IGT146" s="37"/>
      <c r="IGU146" s="37"/>
      <c r="IGV146" s="37"/>
      <c r="IGW146" s="37"/>
      <c r="IGX146" s="37"/>
      <c r="IGY146" s="37"/>
      <c r="IGZ146" s="37"/>
      <c r="IHA146" s="37"/>
      <c r="IHB146" s="37"/>
      <c r="IHC146" s="37"/>
      <c r="IHD146" s="37"/>
      <c r="IHE146" s="37"/>
      <c r="IHF146" s="37"/>
      <c r="IHG146" s="37"/>
      <c r="IHH146" s="37"/>
      <c r="IHI146" s="37"/>
      <c r="IHJ146" s="37"/>
      <c r="IHK146" s="37"/>
      <c r="IHL146" s="37"/>
      <c r="IHM146" s="37"/>
      <c r="IHN146" s="37"/>
      <c r="IHO146" s="37"/>
      <c r="IHP146" s="37"/>
      <c r="IHQ146" s="37"/>
      <c r="IHR146" s="37"/>
      <c r="IHS146" s="37"/>
      <c r="IHT146" s="37"/>
      <c r="IHU146" s="37"/>
      <c r="IHV146" s="37"/>
      <c r="IHW146" s="37"/>
      <c r="IHX146" s="37"/>
      <c r="IHY146" s="37"/>
      <c r="IHZ146" s="37"/>
      <c r="IIA146" s="37"/>
      <c r="IIB146" s="37"/>
      <c r="IIC146" s="37"/>
      <c r="IID146" s="37"/>
      <c r="IIE146" s="37"/>
      <c r="IIF146" s="37"/>
      <c r="IIG146" s="37"/>
      <c r="IIH146" s="37"/>
      <c r="III146" s="37"/>
      <c r="IIJ146" s="37"/>
      <c r="IIK146" s="37"/>
      <c r="IIL146" s="37"/>
      <c r="IIM146" s="37"/>
      <c r="IIN146" s="37"/>
      <c r="IIO146" s="37"/>
      <c r="IIP146" s="37"/>
      <c r="IIQ146" s="37"/>
      <c r="IIR146" s="37"/>
      <c r="IIS146" s="37"/>
      <c r="IIT146" s="37"/>
      <c r="IIU146" s="37"/>
      <c r="IIV146" s="37"/>
      <c r="IIW146" s="37"/>
      <c r="IIX146" s="37"/>
      <c r="IIY146" s="37"/>
      <c r="IIZ146" s="37"/>
      <c r="IJA146" s="37"/>
      <c r="IJB146" s="37"/>
      <c r="IJC146" s="37"/>
      <c r="IJD146" s="37"/>
      <c r="IJE146" s="37"/>
      <c r="IJF146" s="37"/>
      <c r="IJG146" s="37"/>
      <c r="IJH146" s="37"/>
      <c r="IJI146" s="37"/>
      <c r="IJJ146" s="37"/>
      <c r="IJK146" s="37"/>
      <c r="IJL146" s="37"/>
      <c r="IJM146" s="37"/>
      <c r="IJN146" s="37"/>
      <c r="IJO146" s="37"/>
      <c r="IJP146" s="37"/>
      <c r="IJQ146" s="37"/>
      <c r="IJR146" s="37"/>
      <c r="IJS146" s="37"/>
      <c r="IJT146" s="37"/>
      <c r="IJU146" s="37"/>
      <c r="IJV146" s="37"/>
      <c r="IJW146" s="37"/>
      <c r="IJX146" s="37"/>
      <c r="IJY146" s="37"/>
      <c r="IJZ146" s="37"/>
      <c r="IKA146" s="37"/>
      <c r="IKB146" s="37"/>
      <c r="IKC146" s="37"/>
      <c r="IKD146" s="37"/>
      <c r="IKE146" s="37"/>
      <c r="IKF146" s="37"/>
      <c r="IKG146" s="37"/>
      <c r="IKH146" s="37"/>
      <c r="IKI146" s="37"/>
      <c r="IKJ146" s="37"/>
      <c r="IKK146" s="37"/>
      <c r="IKL146" s="37"/>
      <c r="IKM146" s="37"/>
      <c r="IKN146" s="37"/>
      <c r="IKO146" s="37"/>
      <c r="IKP146" s="37"/>
      <c r="IKQ146" s="37"/>
      <c r="IKR146" s="37"/>
      <c r="IKS146" s="37"/>
      <c r="IKT146" s="37"/>
      <c r="IKU146" s="37"/>
      <c r="IKV146" s="37"/>
      <c r="IKW146" s="37"/>
      <c r="IKX146" s="37"/>
      <c r="IKY146" s="37"/>
      <c r="IKZ146" s="37"/>
      <c r="ILA146" s="37"/>
      <c r="ILB146" s="37"/>
      <c r="ILC146" s="37"/>
      <c r="ILD146" s="37"/>
      <c r="ILE146" s="37"/>
      <c r="ILF146" s="37"/>
      <c r="ILG146" s="37"/>
      <c r="ILH146" s="37"/>
      <c r="ILI146" s="37"/>
      <c r="ILJ146" s="37"/>
      <c r="ILK146" s="37"/>
      <c r="ILL146" s="37"/>
      <c r="ILM146" s="37"/>
      <c r="ILN146" s="37"/>
      <c r="ILO146" s="37"/>
      <c r="ILP146" s="37"/>
      <c r="ILQ146" s="37"/>
      <c r="ILR146" s="37"/>
      <c r="ILS146" s="37"/>
      <c r="ILT146" s="37"/>
      <c r="ILU146" s="37"/>
      <c r="ILV146" s="37"/>
      <c r="ILW146" s="37"/>
      <c r="ILX146" s="37"/>
      <c r="ILY146" s="37"/>
      <c r="ILZ146" s="37"/>
      <c r="IMA146" s="37"/>
      <c r="IMB146" s="37"/>
      <c r="IMC146" s="37"/>
      <c r="IMD146" s="37"/>
      <c r="IME146" s="37"/>
      <c r="IMF146" s="37"/>
      <c r="IMG146" s="37"/>
      <c r="IMH146" s="37"/>
      <c r="IMI146" s="37"/>
      <c r="IMJ146" s="37"/>
      <c r="IMK146" s="37"/>
      <c r="IML146" s="37"/>
      <c r="IMM146" s="37"/>
      <c r="IMN146" s="37"/>
      <c r="IMO146" s="37"/>
      <c r="IMP146" s="37"/>
      <c r="IMQ146" s="37"/>
      <c r="IMR146" s="37"/>
      <c r="IMS146" s="37"/>
      <c r="IMT146" s="37"/>
      <c r="IMU146" s="37"/>
      <c r="IMV146" s="37"/>
      <c r="IMW146" s="37"/>
      <c r="IMX146" s="37"/>
      <c r="IMY146" s="37"/>
      <c r="IMZ146" s="37"/>
      <c r="INA146" s="37"/>
      <c r="INB146" s="37"/>
      <c r="INC146" s="37"/>
      <c r="IND146" s="37"/>
      <c r="INE146" s="37"/>
      <c r="INF146" s="37"/>
      <c r="ING146" s="37"/>
      <c r="INH146" s="37"/>
      <c r="INI146" s="37"/>
      <c r="INJ146" s="37"/>
      <c r="INK146" s="37"/>
      <c r="INL146" s="37"/>
      <c r="INM146" s="37"/>
      <c r="INN146" s="37"/>
      <c r="INO146" s="37"/>
      <c r="INP146" s="37"/>
      <c r="INQ146" s="37"/>
      <c r="INR146" s="37"/>
      <c r="INS146" s="37"/>
      <c r="INT146" s="37"/>
      <c r="INU146" s="37"/>
      <c r="INV146" s="37"/>
      <c r="INW146" s="37"/>
      <c r="INX146" s="37"/>
      <c r="INY146" s="37"/>
      <c r="INZ146" s="37"/>
      <c r="IOA146" s="37"/>
      <c r="IOB146" s="37"/>
      <c r="IOC146" s="37"/>
      <c r="IOD146" s="37"/>
      <c r="IOE146" s="37"/>
      <c r="IOF146" s="37"/>
      <c r="IOG146" s="37"/>
      <c r="IOH146" s="37"/>
      <c r="IOI146" s="37"/>
      <c r="IOJ146" s="37"/>
      <c r="IOK146" s="37"/>
      <c r="IOL146" s="37"/>
      <c r="IOM146" s="37"/>
      <c r="ION146" s="37"/>
      <c r="IOO146" s="37"/>
      <c r="IOP146" s="37"/>
      <c r="IOQ146" s="37"/>
      <c r="IOR146" s="37"/>
      <c r="IOS146" s="37"/>
      <c r="IOT146" s="37"/>
      <c r="IOU146" s="37"/>
      <c r="IOV146" s="37"/>
      <c r="IOW146" s="37"/>
      <c r="IOX146" s="37"/>
      <c r="IOY146" s="37"/>
      <c r="IOZ146" s="37"/>
      <c r="IPA146" s="37"/>
      <c r="IPB146" s="37"/>
      <c r="IPC146" s="37"/>
      <c r="IPD146" s="37"/>
      <c r="IPE146" s="37"/>
      <c r="IPF146" s="37"/>
      <c r="IPG146" s="37"/>
      <c r="IPH146" s="37"/>
      <c r="IPI146" s="37"/>
      <c r="IPJ146" s="37"/>
      <c r="IPK146" s="37"/>
      <c r="IPL146" s="37"/>
      <c r="IPM146" s="37"/>
      <c r="IPN146" s="37"/>
      <c r="IPO146" s="37"/>
      <c r="IPP146" s="37"/>
      <c r="IPQ146" s="37"/>
      <c r="IPR146" s="37"/>
      <c r="IPS146" s="37"/>
      <c r="IPT146" s="37"/>
      <c r="IPU146" s="37"/>
      <c r="IPV146" s="37"/>
      <c r="IPW146" s="37"/>
      <c r="IPX146" s="37"/>
      <c r="IPY146" s="37"/>
      <c r="IPZ146" s="37"/>
      <c r="IQA146" s="37"/>
      <c r="IQB146" s="37"/>
      <c r="IQC146" s="37"/>
      <c r="IQD146" s="37"/>
      <c r="IQE146" s="37"/>
      <c r="IQF146" s="37"/>
      <c r="IQG146" s="37"/>
      <c r="IQH146" s="37"/>
      <c r="IQI146" s="37"/>
      <c r="IQJ146" s="37"/>
      <c r="IQK146" s="37"/>
      <c r="IQL146" s="37"/>
      <c r="IQM146" s="37"/>
      <c r="IQN146" s="37"/>
      <c r="IQO146" s="37"/>
      <c r="IQP146" s="37"/>
      <c r="IQQ146" s="37"/>
      <c r="IQR146" s="37"/>
      <c r="IQS146" s="37"/>
      <c r="IQT146" s="37"/>
      <c r="IQU146" s="37"/>
      <c r="IQV146" s="37"/>
      <c r="IQW146" s="37"/>
      <c r="IQX146" s="37"/>
      <c r="IQY146" s="37"/>
      <c r="IQZ146" s="37"/>
      <c r="IRA146" s="37"/>
      <c r="IRB146" s="37"/>
      <c r="IRC146" s="37"/>
      <c r="IRD146" s="37"/>
      <c r="IRE146" s="37"/>
      <c r="IRF146" s="37"/>
      <c r="IRG146" s="37"/>
      <c r="IRH146" s="37"/>
      <c r="IRI146" s="37"/>
      <c r="IRJ146" s="37"/>
      <c r="IRK146" s="37"/>
      <c r="IRL146" s="37"/>
      <c r="IRM146" s="37"/>
      <c r="IRN146" s="37"/>
      <c r="IRO146" s="37"/>
      <c r="IRP146" s="37"/>
      <c r="IRQ146" s="37"/>
      <c r="IRR146" s="37"/>
      <c r="IRS146" s="37"/>
      <c r="IRT146" s="37"/>
      <c r="IRU146" s="37"/>
      <c r="IRV146" s="37"/>
      <c r="IRW146" s="37"/>
      <c r="IRX146" s="37"/>
      <c r="IRY146" s="37"/>
      <c r="IRZ146" s="37"/>
      <c r="ISA146" s="37"/>
      <c r="ISB146" s="37"/>
      <c r="ISC146" s="37"/>
      <c r="ISD146" s="37"/>
      <c r="ISE146" s="37"/>
      <c r="ISF146" s="37"/>
      <c r="ISG146" s="37"/>
      <c r="ISH146" s="37"/>
      <c r="ISI146" s="37"/>
      <c r="ISJ146" s="37"/>
      <c r="ISK146" s="37"/>
      <c r="ISL146" s="37"/>
      <c r="ISM146" s="37"/>
      <c r="ISN146" s="37"/>
      <c r="ISO146" s="37"/>
      <c r="ISP146" s="37"/>
      <c r="ISQ146" s="37"/>
      <c r="ISR146" s="37"/>
      <c r="ISS146" s="37"/>
      <c r="IST146" s="37"/>
      <c r="ISU146" s="37"/>
      <c r="ISV146" s="37"/>
      <c r="ISW146" s="37"/>
      <c r="ISX146" s="37"/>
      <c r="ISY146" s="37"/>
      <c r="ISZ146" s="37"/>
      <c r="ITA146" s="37"/>
      <c r="ITB146" s="37"/>
      <c r="ITC146" s="37"/>
      <c r="ITD146" s="37"/>
      <c r="ITE146" s="37"/>
      <c r="ITF146" s="37"/>
      <c r="ITG146" s="37"/>
      <c r="ITH146" s="37"/>
      <c r="ITI146" s="37"/>
      <c r="ITJ146" s="37"/>
      <c r="ITK146" s="37"/>
      <c r="ITL146" s="37"/>
      <c r="ITM146" s="37"/>
      <c r="ITN146" s="37"/>
      <c r="ITO146" s="37"/>
      <c r="ITP146" s="37"/>
      <c r="ITQ146" s="37"/>
      <c r="ITR146" s="37"/>
      <c r="ITS146" s="37"/>
      <c r="ITT146" s="37"/>
      <c r="ITU146" s="37"/>
      <c r="ITV146" s="37"/>
      <c r="ITW146" s="37"/>
      <c r="ITX146" s="37"/>
      <c r="ITY146" s="37"/>
      <c r="ITZ146" s="37"/>
      <c r="IUA146" s="37"/>
      <c r="IUB146" s="37"/>
      <c r="IUC146" s="37"/>
      <c r="IUD146" s="37"/>
      <c r="IUE146" s="37"/>
      <c r="IUF146" s="37"/>
      <c r="IUG146" s="37"/>
      <c r="IUH146" s="37"/>
      <c r="IUI146" s="37"/>
      <c r="IUJ146" s="37"/>
      <c r="IUK146" s="37"/>
      <c r="IUL146" s="37"/>
      <c r="IUM146" s="37"/>
      <c r="IUN146" s="37"/>
      <c r="IUO146" s="37"/>
      <c r="IUP146" s="37"/>
      <c r="IUQ146" s="37"/>
      <c r="IUR146" s="37"/>
      <c r="IUS146" s="37"/>
      <c r="IUT146" s="37"/>
      <c r="IUU146" s="37"/>
      <c r="IUV146" s="37"/>
      <c r="IUW146" s="37"/>
      <c r="IUX146" s="37"/>
      <c r="IUY146" s="37"/>
      <c r="IUZ146" s="37"/>
      <c r="IVA146" s="37"/>
      <c r="IVB146" s="37"/>
      <c r="IVC146" s="37"/>
      <c r="IVD146" s="37"/>
      <c r="IVE146" s="37"/>
      <c r="IVF146" s="37"/>
      <c r="IVG146" s="37"/>
      <c r="IVH146" s="37"/>
      <c r="IVI146" s="37"/>
      <c r="IVJ146" s="37"/>
      <c r="IVK146" s="37"/>
      <c r="IVL146" s="37"/>
      <c r="IVM146" s="37"/>
      <c r="IVN146" s="37"/>
      <c r="IVO146" s="37"/>
      <c r="IVP146" s="37"/>
      <c r="IVQ146" s="37"/>
      <c r="IVR146" s="37"/>
      <c r="IVS146" s="37"/>
      <c r="IVT146" s="37"/>
      <c r="IVU146" s="37"/>
      <c r="IVV146" s="37"/>
      <c r="IVW146" s="37"/>
      <c r="IVX146" s="37"/>
      <c r="IVY146" s="37"/>
      <c r="IVZ146" s="37"/>
      <c r="IWA146" s="37"/>
      <c r="IWB146" s="37"/>
      <c r="IWC146" s="37"/>
      <c r="IWD146" s="37"/>
      <c r="IWE146" s="37"/>
      <c r="IWF146" s="37"/>
      <c r="IWG146" s="37"/>
      <c r="IWH146" s="37"/>
      <c r="IWI146" s="37"/>
      <c r="IWJ146" s="37"/>
      <c r="IWK146" s="37"/>
      <c r="IWL146" s="37"/>
      <c r="IWM146" s="37"/>
      <c r="IWN146" s="37"/>
      <c r="IWO146" s="37"/>
      <c r="IWP146" s="37"/>
      <c r="IWQ146" s="37"/>
      <c r="IWR146" s="37"/>
      <c r="IWS146" s="37"/>
      <c r="IWT146" s="37"/>
      <c r="IWU146" s="37"/>
      <c r="IWV146" s="37"/>
      <c r="IWW146" s="37"/>
      <c r="IWX146" s="37"/>
      <c r="IWY146" s="37"/>
      <c r="IWZ146" s="37"/>
      <c r="IXA146" s="37"/>
      <c r="IXB146" s="37"/>
      <c r="IXC146" s="37"/>
      <c r="IXD146" s="37"/>
      <c r="IXE146" s="37"/>
      <c r="IXF146" s="37"/>
      <c r="IXG146" s="37"/>
      <c r="IXH146" s="37"/>
      <c r="IXI146" s="37"/>
      <c r="IXJ146" s="37"/>
      <c r="IXK146" s="37"/>
      <c r="IXL146" s="37"/>
      <c r="IXM146" s="37"/>
      <c r="IXN146" s="37"/>
      <c r="IXO146" s="37"/>
      <c r="IXP146" s="37"/>
      <c r="IXQ146" s="37"/>
      <c r="IXR146" s="37"/>
      <c r="IXS146" s="37"/>
      <c r="IXT146" s="37"/>
      <c r="IXU146" s="37"/>
      <c r="IXV146" s="37"/>
      <c r="IXW146" s="37"/>
      <c r="IXX146" s="37"/>
      <c r="IXY146" s="37"/>
      <c r="IXZ146" s="37"/>
      <c r="IYA146" s="37"/>
      <c r="IYB146" s="37"/>
      <c r="IYC146" s="37"/>
      <c r="IYD146" s="37"/>
      <c r="IYE146" s="37"/>
      <c r="IYF146" s="37"/>
      <c r="IYG146" s="37"/>
      <c r="IYH146" s="37"/>
      <c r="IYI146" s="37"/>
      <c r="IYJ146" s="37"/>
      <c r="IYK146" s="37"/>
      <c r="IYL146" s="37"/>
      <c r="IYM146" s="37"/>
      <c r="IYN146" s="37"/>
      <c r="IYO146" s="37"/>
      <c r="IYP146" s="37"/>
      <c r="IYQ146" s="37"/>
      <c r="IYR146" s="37"/>
      <c r="IYS146" s="37"/>
      <c r="IYT146" s="37"/>
      <c r="IYU146" s="37"/>
      <c r="IYV146" s="37"/>
      <c r="IYW146" s="37"/>
      <c r="IYX146" s="37"/>
      <c r="IYY146" s="37"/>
      <c r="IYZ146" s="37"/>
      <c r="IZA146" s="37"/>
      <c r="IZB146" s="37"/>
      <c r="IZC146" s="37"/>
      <c r="IZD146" s="37"/>
      <c r="IZE146" s="37"/>
      <c r="IZF146" s="37"/>
      <c r="IZG146" s="37"/>
      <c r="IZH146" s="37"/>
      <c r="IZI146" s="37"/>
      <c r="IZJ146" s="37"/>
      <c r="IZK146" s="37"/>
      <c r="IZL146" s="37"/>
      <c r="IZM146" s="37"/>
      <c r="IZN146" s="37"/>
      <c r="IZO146" s="37"/>
      <c r="IZP146" s="37"/>
      <c r="IZQ146" s="37"/>
      <c r="IZR146" s="37"/>
      <c r="IZS146" s="37"/>
      <c r="IZT146" s="37"/>
      <c r="IZU146" s="37"/>
      <c r="IZV146" s="37"/>
      <c r="IZW146" s="37"/>
      <c r="IZX146" s="37"/>
      <c r="IZY146" s="37"/>
      <c r="IZZ146" s="37"/>
      <c r="JAA146" s="37"/>
      <c r="JAB146" s="37"/>
      <c r="JAC146" s="37"/>
      <c r="JAD146" s="37"/>
      <c r="JAE146" s="37"/>
      <c r="JAF146" s="37"/>
      <c r="JAG146" s="37"/>
      <c r="JAH146" s="37"/>
      <c r="JAI146" s="37"/>
      <c r="JAJ146" s="37"/>
      <c r="JAK146" s="37"/>
      <c r="JAL146" s="37"/>
      <c r="JAM146" s="37"/>
      <c r="JAN146" s="37"/>
      <c r="JAO146" s="37"/>
      <c r="JAP146" s="37"/>
      <c r="JAQ146" s="37"/>
      <c r="JAR146" s="37"/>
      <c r="JAS146" s="37"/>
      <c r="JAT146" s="37"/>
      <c r="JAU146" s="37"/>
      <c r="JAV146" s="37"/>
      <c r="JAW146" s="37"/>
      <c r="JAX146" s="37"/>
      <c r="JAY146" s="37"/>
      <c r="JAZ146" s="37"/>
      <c r="JBA146" s="37"/>
      <c r="JBB146" s="37"/>
      <c r="JBC146" s="37"/>
      <c r="JBD146" s="37"/>
      <c r="JBE146" s="37"/>
      <c r="JBF146" s="37"/>
      <c r="JBG146" s="37"/>
      <c r="JBH146" s="37"/>
      <c r="JBI146" s="37"/>
      <c r="JBJ146" s="37"/>
      <c r="JBK146" s="37"/>
      <c r="JBL146" s="37"/>
      <c r="JBM146" s="37"/>
      <c r="JBN146" s="37"/>
      <c r="JBO146" s="37"/>
      <c r="JBP146" s="37"/>
      <c r="JBQ146" s="37"/>
      <c r="JBR146" s="37"/>
      <c r="JBS146" s="37"/>
      <c r="JBT146" s="37"/>
      <c r="JBU146" s="37"/>
      <c r="JBV146" s="37"/>
      <c r="JBW146" s="37"/>
      <c r="JBX146" s="37"/>
      <c r="JBY146" s="37"/>
      <c r="JBZ146" s="37"/>
      <c r="JCA146" s="37"/>
      <c r="JCB146" s="37"/>
      <c r="JCC146" s="37"/>
      <c r="JCD146" s="37"/>
      <c r="JCE146" s="37"/>
      <c r="JCF146" s="37"/>
      <c r="JCG146" s="37"/>
      <c r="JCH146" s="37"/>
      <c r="JCI146" s="37"/>
      <c r="JCJ146" s="37"/>
      <c r="JCK146" s="37"/>
      <c r="JCL146" s="37"/>
      <c r="JCM146" s="37"/>
      <c r="JCN146" s="37"/>
      <c r="JCO146" s="37"/>
      <c r="JCP146" s="37"/>
      <c r="JCQ146" s="37"/>
      <c r="JCR146" s="37"/>
      <c r="JCS146" s="37"/>
      <c r="JCT146" s="37"/>
      <c r="JCU146" s="37"/>
      <c r="JCV146" s="37"/>
      <c r="JCW146" s="37"/>
      <c r="JCX146" s="37"/>
      <c r="JCY146" s="37"/>
      <c r="JCZ146" s="37"/>
      <c r="JDA146" s="37"/>
      <c r="JDB146" s="37"/>
      <c r="JDC146" s="37"/>
      <c r="JDD146" s="37"/>
      <c r="JDE146" s="37"/>
      <c r="JDF146" s="37"/>
      <c r="JDG146" s="37"/>
      <c r="JDH146" s="37"/>
      <c r="JDI146" s="37"/>
      <c r="JDJ146" s="37"/>
      <c r="JDK146" s="37"/>
      <c r="JDL146" s="37"/>
      <c r="JDM146" s="37"/>
      <c r="JDN146" s="37"/>
      <c r="JDO146" s="37"/>
      <c r="JDP146" s="37"/>
      <c r="JDQ146" s="37"/>
      <c r="JDR146" s="37"/>
      <c r="JDS146" s="37"/>
      <c r="JDT146" s="37"/>
      <c r="JDU146" s="37"/>
      <c r="JDV146" s="37"/>
      <c r="JDW146" s="37"/>
      <c r="JDX146" s="37"/>
      <c r="JDY146" s="37"/>
      <c r="JDZ146" s="37"/>
      <c r="JEA146" s="37"/>
      <c r="JEB146" s="37"/>
      <c r="JEC146" s="37"/>
      <c r="JED146" s="37"/>
      <c r="JEE146" s="37"/>
      <c r="JEF146" s="37"/>
      <c r="JEG146" s="37"/>
      <c r="JEH146" s="37"/>
      <c r="JEI146" s="37"/>
      <c r="JEJ146" s="37"/>
      <c r="JEK146" s="37"/>
      <c r="JEL146" s="37"/>
      <c r="JEM146" s="37"/>
      <c r="JEN146" s="37"/>
      <c r="JEO146" s="37"/>
      <c r="JEP146" s="37"/>
      <c r="JEQ146" s="37"/>
      <c r="JER146" s="37"/>
      <c r="JES146" s="37"/>
      <c r="JET146" s="37"/>
      <c r="JEU146" s="37"/>
      <c r="JEV146" s="37"/>
      <c r="JEW146" s="37"/>
      <c r="JEX146" s="37"/>
      <c r="JEY146" s="37"/>
      <c r="JEZ146" s="37"/>
      <c r="JFA146" s="37"/>
      <c r="JFB146" s="37"/>
      <c r="JFC146" s="37"/>
      <c r="JFD146" s="37"/>
      <c r="JFE146" s="37"/>
      <c r="JFF146" s="37"/>
      <c r="JFG146" s="37"/>
      <c r="JFH146" s="37"/>
      <c r="JFI146" s="37"/>
      <c r="JFJ146" s="37"/>
      <c r="JFK146" s="37"/>
      <c r="JFL146" s="37"/>
      <c r="JFM146" s="37"/>
      <c r="JFN146" s="37"/>
      <c r="JFO146" s="37"/>
      <c r="JFP146" s="37"/>
      <c r="JFQ146" s="37"/>
      <c r="JFR146" s="37"/>
      <c r="JFS146" s="37"/>
      <c r="JFT146" s="37"/>
      <c r="JFU146" s="37"/>
      <c r="JFV146" s="37"/>
      <c r="JFW146" s="37"/>
      <c r="JFX146" s="37"/>
      <c r="JFY146" s="37"/>
      <c r="JFZ146" s="37"/>
      <c r="JGA146" s="37"/>
      <c r="JGB146" s="37"/>
      <c r="JGC146" s="37"/>
      <c r="JGD146" s="37"/>
      <c r="JGE146" s="37"/>
      <c r="JGF146" s="37"/>
      <c r="JGG146" s="37"/>
      <c r="JGH146" s="37"/>
      <c r="JGI146" s="37"/>
      <c r="JGJ146" s="37"/>
      <c r="JGK146" s="37"/>
      <c r="JGL146" s="37"/>
      <c r="JGM146" s="37"/>
      <c r="JGN146" s="37"/>
      <c r="JGO146" s="37"/>
      <c r="JGP146" s="37"/>
      <c r="JGQ146" s="37"/>
      <c r="JGR146" s="37"/>
      <c r="JGS146" s="37"/>
      <c r="JGT146" s="37"/>
      <c r="JGU146" s="37"/>
      <c r="JGV146" s="37"/>
      <c r="JGW146" s="37"/>
      <c r="JGX146" s="37"/>
      <c r="JGY146" s="37"/>
      <c r="JGZ146" s="37"/>
      <c r="JHA146" s="37"/>
      <c r="JHB146" s="37"/>
      <c r="JHC146" s="37"/>
      <c r="JHD146" s="37"/>
      <c r="JHE146" s="37"/>
      <c r="JHF146" s="37"/>
      <c r="JHG146" s="37"/>
      <c r="JHH146" s="37"/>
      <c r="JHI146" s="37"/>
      <c r="JHJ146" s="37"/>
      <c r="JHK146" s="37"/>
      <c r="JHL146" s="37"/>
      <c r="JHM146" s="37"/>
      <c r="JHN146" s="37"/>
      <c r="JHO146" s="37"/>
      <c r="JHP146" s="37"/>
      <c r="JHQ146" s="37"/>
      <c r="JHR146" s="37"/>
      <c r="JHS146" s="37"/>
      <c r="JHT146" s="37"/>
      <c r="JHU146" s="37"/>
      <c r="JHV146" s="37"/>
      <c r="JHW146" s="37"/>
      <c r="JHX146" s="37"/>
      <c r="JHY146" s="37"/>
      <c r="JHZ146" s="37"/>
      <c r="JIA146" s="37"/>
      <c r="JIB146" s="37"/>
      <c r="JIC146" s="37"/>
      <c r="JID146" s="37"/>
      <c r="JIE146" s="37"/>
      <c r="JIF146" s="37"/>
      <c r="JIG146" s="37"/>
      <c r="JIH146" s="37"/>
      <c r="JII146" s="37"/>
      <c r="JIJ146" s="37"/>
      <c r="JIK146" s="37"/>
      <c r="JIL146" s="37"/>
      <c r="JIM146" s="37"/>
      <c r="JIN146" s="37"/>
      <c r="JIO146" s="37"/>
      <c r="JIP146" s="37"/>
      <c r="JIQ146" s="37"/>
      <c r="JIR146" s="37"/>
      <c r="JIS146" s="37"/>
      <c r="JIT146" s="37"/>
      <c r="JIU146" s="37"/>
      <c r="JIV146" s="37"/>
      <c r="JIW146" s="37"/>
      <c r="JIX146" s="37"/>
      <c r="JIY146" s="37"/>
      <c r="JIZ146" s="37"/>
      <c r="JJA146" s="37"/>
      <c r="JJB146" s="37"/>
      <c r="JJC146" s="37"/>
      <c r="JJD146" s="37"/>
      <c r="JJE146" s="37"/>
      <c r="JJF146" s="37"/>
      <c r="JJG146" s="37"/>
      <c r="JJH146" s="37"/>
      <c r="JJI146" s="37"/>
      <c r="JJJ146" s="37"/>
      <c r="JJK146" s="37"/>
      <c r="JJL146" s="37"/>
      <c r="JJM146" s="37"/>
      <c r="JJN146" s="37"/>
      <c r="JJO146" s="37"/>
      <c r="JJP146" s="37"/>
      <c r="JJQ146" s="37"/>
      <c r="JJR146" s="37"/>
      <c r="JJS146" s="37"/>
      <c r="JJT146" s="37"/>
      <c r="JJU146" s="37"/>
      <c r="JJV146" s="37"/>
      <c r="JJW146" s="37"/>
      <c r="JJX146" s="37"/>
      <c r="JJY146" s="37"/>
      <c r="JJZ146" s="37"/>
      <c r="JKA146" s="37"/>
      <c r="JKB146" s="37"/>
      <c r="JKC146" s="37"/>
      <c r="JKD146" s="37"/>
      <c r="JKE146" s="37"/>
      <c r="JKF146" s="37"/>
      <c r="JKG146" s="37"/>
      <c r="JKH146" s="37"/>
      <c r="JKI146" s="37"/>
      <c r="JKJ146" s="37"/>
      <c r="JKK146" s="37"/>
      <c r="JKL146" s="37"/>
      <c r="JKM146" s="37"/>
      <c r="JKN146" s="37"/>
      <c r="JKO146" s="37"/>
      <c r="JKP146" s="37"/>
      <c r="JKQ146" s="37"/>
      <c r="JKR146" s="37"/>
      <c r="JKS146" s="37"/>
      <c r="JKT146" s="37"/>
      <c r="JKU146" s="37"/>
      <c r="JKV146" s="37"/>
      <c r="JKW146" s="37"/>
      <c r="JKX146" s="37"/>
      <c r="JKY146" s="37"/>
      <c r="JKZ146" s="37"/>
      <c r="JLA146" s="37"/>
      <c r="JLB146" s="37"/>
      <c r="JLC146" s="37"/>
      <c r="JLD146" s="37"/>
      <c r="JLE146" s="37"/>
      <c r="JLF146" s="37"/>
      <c r="JLG146" s="37"/>
      <c r="JLH146" s="37"/>
      <c r="JLI146" s="37"/>
      <c r="JLJ146" s="37"/>
      <c r="JLK146" s="37"/>
      <c r="JLL146" s="37"/>
      <c r="JLM146" s="37"/>
      <c r="JLN146" s="37"/>
      <c r="JLO146" s="37"/>
      <c r="JLP146" s="37"/>
      <c r="JLQ146" s="37"/>
      <c r="JLR146" s="37"/>
      <c r="JLS146" s="37"/>
      <c r="JLT146" s="37"/>
      <c r="JLU146" s="37"/>
      <c r="JLV146" s="37"/>
      <c r="JLW146" s="37"/>
      <c r="JLX146" s="37"/>
      <c r="JLY146" s="37"/>
      <c r="JLZ146" s="37"/>
      <c r="JMA146" s="37"/>
      <c r="JMB146" s="37"/>
      <c r="JMC146" s="37"/>
      <c r="JMD146" s="37"/>
      <c r="JME146" s="37"/>
      <c r="JMF146" s="37"/>
      <c r="JMG146" s="37"/>
      <c r="JMH146" s="37"/>
      <c r="JMI146" s="37"/>
      <c r="JMJ146" s="37"/>
      <c r="JMK146" s="37"/>
      <c r="JML146" s="37"/>
      <c r="JMM146" s="37"/>
      <c r="JMN146" s="37"/>
      <c r="JMO146" s="37"/>
      <c r="JMP146" s="37"/>
      <c r="JMQ146" s="37"/>
      <c r="JMR146" s="37"/>
      <c r="JMS146" s="37"/>
      <c r="JMT146" s="37"/>
      <c r="JMU146" s="37"/>
      <c r="JMV146" s="37"/>
      <c r="JMW146" s="37"/>
      <c r="JMX146" s="37"/>
      <c r="JMY146" s="37"/>
      <c r="JMZ146" s="37"/>
      <c r="JNA146" s="37"/>
      <c r="JNB146" s="37"/>
      <c r="JNC146" s="37"/>
      <c r="JND146" s="37"/>
      <c r="JNE146" s="37"/>
      <c r="JNF146" s="37"/>
      <c r="JNG146" s="37"/>
      <c r="JNH146" s="37"/>
      <c r="JNI146" s="37"/>
      <c r="JNJ146" s="37"/>
      <c r="JNK146" s="37"/>
      <c r="JNL146" s="37"/>
      <c r="JNM146" s="37"/>
      <c r="JNN146" s="37"/>
      <c r="JNO146" s="37"/>
      <c r="JNP146" s="37"/>
      <c r="JNQ146" s="37"/>
      <c r="JNR146" s="37"/>
      <c r="JNS146" s="37"/>
      <c r="JNT146" s="37"/>
      <c r="JNU146" s="37"/>
      <c r="JNV146" s="37"/>
      <c r="JNW146" s="37"/>
      <c r="JNX146" s="37"/>
      <c r="JNY146" s="37"/>
      <c r="JNZ146" s="37"/>
      <c r="JOA146" s="37"/>
      <c r="JOB146" s="37"/>
      <c r="JOC146" s="37"/>
      <c r="JOD146" s="37"/>
      <c r="JOE146" s="37"/>
      <c r="JOF146" s="37"/>
      <c r="JOG146" s="37"/>
      <c r="JOH146" s="37"/>
      <c r="JOI146" s="37"/>
      <c r="JOJ146" s="37"/>
      <c r="JOK146" s="37"/>
      <c r="JOL146" s="37"/>
      <c r="JOM146" s="37"/>
      <c r="JON146" s="37"/>
      <c r="JOO146" s="37"/>
      <c r="JOP146" s="37"/>
      <c r="JOQ146" s="37"/>
      <c r="JOR146" s="37"/>
      <c r="JOS146" s="37"/>
      <c r="JOT146" s="37"/>
      <c r="JOU146" s="37"/>
      <c r="JOV146" s="37"/>
      <c r="JOW146" s="37"/>
      <c r="JOX146" s="37"/>
      <c r="JOY146" s="37"/>
      <c r="JOZ146" s="37"/>
      <c r="JPA146" s="37"/>
      <c r="JPB146" s="37"/>
      <c r="JPC146" s="37"/>
      <c r="JPD146" s="37"/>
      <c r="JPE146" s="37"/>
      <c r="JPF146" s="37"/>
      <c r="JPG146" s="37"/>
      <c r="JPH146" s="37"/>
      <c r="JPI146" s="37"/>
      <c r="JPJ146" s="37"/>
      <c r="JPK146" s="37"/>
      <c r="JPL146" s="37"/>
      <c r="JPM146" s="37"/>
      <c r="JPN146" s="37"/>
      <c r="JPO146" s="37"/>
      <c r="JPP146" s="37"/>
      <c r="JPQ146" s="37"/>
      <c r="JPR146" s="37"/>
      <c r="JPS146" s="37"/>
      <c r="JPT146" s="37"/>
      <c r="JPU146" s="37"/>
      <c r="JPV146" s="37"/>
      <c r="JPW146" s="37"/>
      <c r="JPX146" s="37"/>
      <c r="JPY146" s="37"/>
      <c r="JPZ146" s="37"/>
      <c r="JQA146" s="37"/>
      <c r="JQB146" s="37"/>
      <c r="JQC146" s="37"/>
      <c r="JQD146" s="37"/>
      <c r="JQE146" s="37"/>
      <c r="JQF146" s="37"/>
      <c r="JQG146" s="37"/>
      <c r="JQH146" s="37"/>
      <c r="JQI146" s="37"/>
      <c r="JQJ146" s="37"/>
      <c r="JQK146" s="37"/>
      <c r="JQL146" s="37"/>
      <c r="JQM146" s="37"/>
      <c r="JQN146" s="37"/>
      <c r="JQO146" s="37"/>
      <c r="JQP146" s="37"/>
      <c r="JQQ146" s="37"/>
      <c r="JQR146" s="37"/>
      <c r="JQS146" s="37"/>
      <c r="JQT146" s="37"/>
      <c r="JQU146" s="37"/>
      <c r="JQV146" s="37"/>
      <c r="JQW146" s="37"/>
      <c r="JQX146" s="37"/>
      <c r="JQY146" s="37"/>
      <c r="JQZ146" s="37"/>
      <c r="JRA146" s="37"/>
      <c r="JRB146" s="37"/>
      <c r="JRC146" s="37"/>
      <c r="JRD146" s="37"/>
      <c r="JRE146" s="37"/>
      <c r="JRF146" s="37"/>
      <c r="JRG146" s="37"/>
      <c r="JRH146" s="37"/>
      <c r="JRI146" s="37"/>
      <c r="JRJ146" s="37"/>
      <c r="JRK146" s="37"/>
      <c r="JRL146" s="37"/>
      <c r="JRM146" s="37"/>
      <c r="JRN146" s="37"/>
      <c r="JRO146" s="37"/>
      <c r="JRP146" s="37"/>
      <c r="JRQ146" s="37"/>
      <c r="JRR146" s="37"/>
      <c r="JRS146" s="37"/>
      <c r="JRT146" s="37"/>
      <c r="JRU146" s="37"/>
      <c r="JRV146" s="37"/>
      <c r="JRW146" s="37"/>
      <c r="JRX146" s="37"/>
      <c r="JRY146" s="37"/>
      <c r="JRZ146" s="37"/>
      <c r="JSA146" s="37"/>
      <c r="JSB146" s="37"/>
      <c r="JSC146" s="37"/>
      <c r="JSD146" s="37"/>
      <c r="JSE146" s="37"/>
      <c r="JSF146" s="37"/>
      <c r="JSG146" s="37"/>
      <c r="JSH146" s="37"/>
      <c r="JSI146" s="37"/>
      <c r="JSJ146" s="37"/>
      <c r="JSK146" s="37"/>
      <c r="JSL146" s="37"/>
      <c r="JSM146" s="37"/>
      <c r="JSN146" s="37"/>
      <c r="JSO146" s="37"/>
      <c r="JSP146" s="37"/>
      <c r="JSQ146" s="37"/>
      <c r="JSR146" s="37"/>
      <c r="JSS146" s="37"/>
      <c r="JST146" s="37"/>
      <c r="JSU146" s="37"/>
      <c r="JSV146" s="37"/>
      <c r="JSW146" s="37"/>
      <c r="JSX146" s="37"/>
      <c r="JSY146" s="37"/>
      <c r="JSZ146" s="37"/>
      <c r="JTA146" s="37"/>
      <c r="JTB146" s="37"/>
      <c r="JTC146" s="37"/>
      <c r="JTD146" s="37"/>
      <c r="JTE146" s="37"/>
      <c r="JTF146" s="37"/>
      <c r="JTG146" s="37"/>
      <c r="JTH146" s="37"/>
      <c r="JTI146" s="37"/>
      <c r="JTJ146" s="37"/>
      <c r="JTK146" s="37"/>
      <c r="JTL146" s="37"/>
      <c r="JTM146" s="37"/>
      <c r="JTN146" s="37"/>
      <c r="JTO146" s="37"/>
      <c r="JTP146" s="37"/>
      <c r="JTQ146" s="37"/>
      <c r="JTR146" s="37"/>
      <c r="JTS146" s="37"/>
      <c r="JTT146" s="37"/>
      <c r="JTU146" s="37"/>
      <c r="JTV146" s="37"/>
      <c r="JTW146" s="37"/>
      <c r="JTX146" s="37"/>
      <c r="JTY146" s="37"/>
      <c r="JTZ146" s="37"/>
      <c r="JUA146" s="37"/>
      <c r="JUB146" s="37"/>
      <c r="JUC146" s="37"/>
      <c r="JUD146" s="37"/>
      <c r="JUE146" s="37"/>
      <c r="JUF146" s="37"/>
      <c r="JUG146" s="37"/>
      <c r="JUH146" s="37"/>
      <c r="JUI146" s="37"/>
      <c r="JUJ146" s="37"/>
      <c r="JUK146" s="37"/>
      <c r="JUL146" s="37"/>
      <c r="JUM146" s="37"/>
      <c r="JUN146" s="37"/>
      <c r="JUO146" s="37"/>
      <c r="JUP146" s="37"/>
      <c r="JUQ146" s="37"/>
      <c r="JUR146" s="37"/>
      <c r="JUS146" s="37"/>
      <c r="JUT146" s="37"/>
      <c r="JUU146" s="37"/>
      <c r="JUV146" s="37"/>
      <c r="JUW146" s="37"/>
      <c r="JUX146" s="37"/>
      <c r="JUY146" s="37"/>
      <c r="JUZ146" s="37"/>
      <c r="JVA146" s="37"/>
      <c r="JVB146" s="37"/>
      <c r="JVC146" s="37"/>
      <c r="JVD146" s="37"/>
      <c r="JVE146" s="37"/>
      <c r="JVF146" s="37"/>
      <c r="JVG146" s="37"/>
      <c r="JVH146" s="37"/>
      <c r="JVI146" s="37"/>
      <c r="JVJ146" s="37"/>
      <c r="JVK146" s="37"/>
      <c r="JVL146" s="37"/>
      <c r="JVM146" s="37"/>
      <c r="JVN146" s="37"/>
      <c r="JVO146" s="37"/>
      <c r="JVP146" s="37"/>
      <c r="JVQ146" s="37"/>
      <c r="JVR146" s="37"/>
      <c r="JVS146" s="37"/>
      <c r="JVT146" s="37"/>
      <c r="JVU146" s="37"/>
      <c r="JVV146" s="37"/>
      <c r="JVW146" s="37"/>
      <c r="JVX146" s="37"/>
      <c r="JVY146" s="37"/>
      <c r="JVZ146" s="37"/>
      <c r="JWA146" s="37"/>
      <c r="JWB146" s="37"/>
      <c r="JWC146" s="37"/>
      <c r="JWD146" s="37"/>
      <c r="JWE146" s="37"/>
      <c r="JWF146" s="37"/>
      <c r="JWG146" s="37"/>
      <c r="JWH146" s="37"/>
      <c r="JWI146" s="37"/>
      <c r="JWJ146" s="37"/>
      <c r="JWK146" s="37"/>
      <c r="JWL146" s="37"/>
      <c r="JWM146" s="37"/>
      <c r="JWN146" s="37"/>
      <c r="JWO146" s="37"/>
      <c r="JWP146" s="37"/>
      <c r="JWQ146" s="37"/>
      <c r="JWR146" s="37"/>
      <c r="JWS146" s="37"/>
      <c r="JWT146" s="37"/>
      <c r="JWU146" s="37"/>
      <c r="JWV146" s="37"/>
      <c r="JWW146" s="37"/>
      <c r="JWX146" s="37"/>
      <c r="JWY146" s="37"/>
      <c r="JWZ146" s="37"/>
      <c r="JXA146" s="37"/>
      <c r="JXB146" s="37"/>
      <c r="JXC146" s="37"/>
      <c r="JXD146" s="37"/>
      <c r="JXE146" s="37"/>
      <c r="JXF146" s="37"/>
      <c r="JXG146" s="37"/>
      <c r="JXH146" s="37"/>
      <c r="JXI146" s="37"/>
      <c r="JXJ146" s="37"/>
      <c r="JXK146" s="37"/>
      <c r="JXL146" s="37"/>
      <c r="JXM146" s="37"/>
      <c r="JXN146" s="37"/>
      <c r="JXO146" s="37"/>
      <c r="JXP146" s="37"/>
      <c r="JXQ146" s="37"/>
      <c r="JXR146" s="37"/>
      <c r="JXS146" s="37"/>
      <c r="JXT146" s="37"/>
      <c r="JXU146" s="37"/>
      <c r="JXV146" s="37"/>
      <c r="JXW146" s="37"/>
      <c r="JXX146" s="37"/>
      <c r="JXY146" s="37"/>
      <c r="JXZ146" s="37"/>
      <c r="JYA146" s="37"/>
      <c r="JYB146" s="37"/>
      <c r="JYC146" s="37"/>
      <c r="JYD146" s="37"/>
      <c r="JYE146" s="37"/>
      <c r="JYF146" s="37"/>
      <c r="JYG146" s="37"/>
      <c r="JYH146" s="37"/>
      <c r="JYI146" s="37"/>
      <c r="JYJ146" s="37"/>
      <c r="JYK146" s="37"/>
      <c r="JYL146" s="37"/>
      <c r="JYM146" s="37"/>
      <c r="JYN146" s="37"/>
      <c r="JYO146" s="37"/>
      <c r="JYP146" s="37"/>
      <c r="JYQ146" s="37"/>
      <c r="JYR146" s="37"/>
      <c r="JYS146" s="37"/>
      <c r="JYT146" s="37"/>
      <c r="JYU146" s="37"/>
      <c r="JYV146" s="37"/>
      <c r="JYW146" s="37"/>
      <c r="JYX146" s="37"/>
      <c r="JYY146" s="37"/>
      <c r="JYZ146" s="37"/>
      <c r="JZA146" s="37"/>
      <c r="JZB146" s="37"/>
      <c r="JZC146" s="37"/>
      <c r="JZD146" s="37"/>
      <c r="JZE146" s="37"/>
      <c r="JZF146" s="37"/>
      <c r="JZG146" s="37"/>
      <c r="JZH146" s="37"/>
      <c r="JZI146" s="37"/>
      <c r="JZJ146" s="37"/>
      <c r="JZK146" s="37"/>
      <c r="JZL146" s="37"/>
      <c r="JZM146" s="37"/>
      <c r="JZN146" s="37"/>
      <c r="JZO146" s="37"/>
      <c r="JZP146" s="37"/>
      <c r="JZQ146" s="37"/>
      <c r="JZR146" s="37"/>
      <c r="JZS146" s="37"/>
      <c r="JZT146" s="37"/>
      <c r="JZU146" s="37"/>
      <c r="JZV146" s="37"/>
      <c r="JZW146" s="37"/>
      <c r="JZX146" s="37"/>
      <c r="JZY146" s="37"/>
      <c r="JZZ146" s="37"/>
      <c r="KAA146" s="37"/>
      <c r="KAB146" s="37"/>
      <c r="KAC146" s="37"/>
      <c r="KAD146" s="37"/>
      <c r="KAE146" s="37"/>
      <c r="KAF146" s="37"/>
      <c r="KAG146" s="37"/>
      <c r="KAH146" s="37"/>
      <c r="KAI146" s="37"/>
      <c r="KAJ146" s="37"/>
      <c r="KAK146" s="37"/>
      <c r="KAL146" s="37"/>
      <c r="KAM146" s="37"/>
      <c r="KAN146" s="37"/>
      <c r="KAO146" s="37"/>
      <c r="KAP146" s="37"/>
      <c r="KAQ146" s="37"/>
      <c r="KAR146" s="37"/>
      <c r="KAS146" s="37"/>
      <c r="KAT146" s="37"/>
      <c r="KAU146" s="37"/>
      <c r="KAV146" s="37"/>
      <c r="KAW146" s="37"/>
      <c r="KAX146" s="37"/>
      <c r="KAY146" s="37"/>
      <c r="KAZ146" s="37"/>
      <c r="KBA146" s="37"/>
      <c r="KBB146" s="37"/>
      <c r="KBC146" s="37"/>
      <c r="KBD146" s="37"/>
      <c r="KBE146" s="37"/>
      <c r="KBF146" s="37"/>
      <c r="KBG146" s="37"/>
      <c r="KBH146" s="37"/>
      <c r="KBI146" s="37"/>
      <c r="KBJ146" s="37"/>
      <c r="KBK146" s="37"/>
      <c r="KBL146" s="37"/>
      <c r="KBM146" s="37"/>
      <c r="KBN146" s="37"/>
      <c r="KBO146" s="37"/>
      <c r="KBP146" s="37"/>
      <c r="KBQ146" s="37"/>
      <c r="KBR146" s="37"/>
      <c r="KBS146" s="37"/>
      <c r="KBT146" s="37"/>
      <c r="KBU146" s="37"/>
      <c r="KBV146" s="37"/>
      <c r="KBW146" s="37"/>
      <c r="KBX146" s="37"/>
      <c r="KBY146" s="37"/>
      <c r="KBZ146" s="37"/>
      <c r="KCA146" s="37"/>
      <c r="KCB146" s="37"/>
      <c r="KCC146" s="37"/>
      <c r="KCD146" s="37"/>
      <c r="KCE146" s="37"/>
      <c r="KCF146" s="37"/>
      <c r="KCG146" s="37"/>
      <c r="KCH146" s="37"/>
      <c r="KCI146" s="37"/>
      <c r="KCJ146" s="37"/>
      <c r="KCK146" s="37"/>
      <c r="KCL146" s="37"/>
      <c r="KCM146" s="37"/>
      <c r="KCN146" s="37"/>
      <c r="KCO146" s="37"/>
      <c r="KCP146" s="37"/>
      <c r="KCQ146" s="37"/>
      <c r="KCR146" s="37"/>
      <c r="KCS146" s="37"/>
      <c r="KCT146" s="37"/>
      <c r="KCU146" s="37"/>
      <c r="KCV146" s="37"/>
      <c r="KCW146" s="37"/>
      <c r="KCX146" s="37"/>
      <c r="KCY146" s="37"/>
      <c r="KCZ146" s="37"/>
      <c r="KDA146" s="37"/>
      <c r="KDB146" s="37"/>
      <c r="KDC146" s="37"/>
      <c r="KDD146" s="37"/>
      <c r="KDE146" s="37"/>
      <c r="KDF146" s="37"/>
      <c r="KDG146" s="37"/>
      <c r="KDH146" s="37"/>
      <c r="KDI146" s="37"/>
      <c r="KDJ146" s="37"/>
      <c r="KDK146" s="37"/>
      <c r="KDL146" s="37"/>
      <c r="KDM146" s="37"/>
      <c r="KDN146" s="37"/>
      <c r="KDO146" s="37"/>
      <c r="KDP146" s="37"/>
      <c r="KDQ146" s="37"/>
      <c r="KDR146" s="37"/>
      <c r="KDS146" s="37"/>
      <c r="KDT146" s="37"/>
      <c r="KDU146" s="37"/>
      <c r="KDV146" s="37"/>
      <c r="KDW146" s="37"/>
      <c r="KDX146" s="37"/>
      <c r="KDY146" s="37"/>
      <c r="KDZ146" s="37"/>
      <c r="KEA146" s="37"/>
      <c r="KEB146" s="37"/>
      <c r="KEC146" s="37"/>
      <c r="KED146" s="37"/>
      <c r="KEE146" s="37"/>
      <c r="KEF146" s="37"/>
      <c r="KEG146" s="37"/>
      <c r="KEH146" s="37"/>
      <c r="KEI146" s="37"/>
      <c r="KEJ146" s="37"/>
      <c r="KEK146" s="37"/>
      <c r="KEL146" s="37"/>
      <c r="KEM146" s="37"/>
      <c r="KEN146" s="37"/>
      <c r="KEO146" s="37"/>
      <c r="KEP146" s="37"/>
      <c r="KEQ146" s="37"/>
      <c r="KER146" s="37"/>
      <c r="KES146" s="37"/>
      <c r="KET146" s="37"/>
      <c r="KEU146" s="37"/>
      <c r="KEV146" s="37"/>
      <c r="KEW146" s="37"/>
      <c r="KEX146" s="37"/>
      <c r="KEY146" s="37"/>
      <c r="KEZ146" s="37"/>
      <c r="KFA146" s="37"/>
      <c r="KFB146" s="37"/>
      <c r="KFC146" s="37"/>
      <c r="KFD146" s="37"/>
      <c r="KFE146" s="37"/>
      <c r="KFF146" s="37"/>
      <c r="KFG146" s="37"/>
      <c r="KFH146" s="37"/>
      <c r="KFI146" s="37"/>
      <c r="KFJ146" s="37"/>
      <c r="KFK146" s="37"/>
      <c r="KFL146" s="37"/>
      <c r="KFM146" s="37"/>
      <c r="KFN146" s="37"/>
      <c r="KFO146" s="37"/>
      <c r="KFP146" s="37"/>
      <c r="KFQ146" s="37"/>
      <c r="KFR146" s="37"/>
      <c r="KFS146" s="37"/>
      <c r="KFT146" s="37"/>
      <c r="KFU146" s="37"/>
      <c r="KFV146" s="37"/>
      <c r="KFW146" s="37"/>
      <c r="KFX146" s="37"/>
      <c r="KFY146" s="37"/>
      <c r="KFZ146" s="37"/>
      <c r="KGA146" s="37"/>
      <c r="KGB146" s="37"/>
      <c r="KGC146" s="37"/>
      <c r="KGD146" s="37"/>
      <c r="KGE146" s="37"/>
      <c r="KGF146" s="37"/>
      <c r="KGG146" s="37"/>
      <c r="KGH146" s="37"/>
      <c r="KGI146" s="37"/>
      <c r="KGJ146" s="37"/>
      <c r="KGK146" s="37"/>
      <c r="KGL146" s="37"/>
      <c r="KGM146" s="37"/>
      <c r="KGN146" s="37"/>
      <c r="KGO146" s="37"/>
      <c r="KGP146" s="37"/>
      <c r="KGQ146" s="37"/>
      <c r="KGR146" s="37"/>
      <c r="KGS146" s="37"/>
      <c r="KGT146" s="37"/>
      <c r="KGU146" s="37"/>
      <c r="KGV146" s="37"/>
      <c r="KGW146" s="37"/>
      <c r="KGX146" s="37"/>
      <c r="KGY146" s="37"/>
      <c r="KGZ146" s="37"/>
      <c r="KHA146" s="37"/>
      <c r="KHB146" s="37"/>
      <c r="KHC146" s="37"/>
      <c r="KHD146" s="37"/>
      <c r="KHE146" s="37"/>
      <c r="KHF146" s="37"/>
      <c r="KHG146" s="37"/>
      <c r="KHH146" s="37"/>
      <c r="KHI146" s="37"/>
      <c r="KHJ146" s="37"/>
      <c r="KHK146" s="37"/>
      <c r="KHL146" s="37"/>
      <c r="KHM146" s="37"/>
      <c r="KHN146" s="37"/>
      <c r="KHO146" s="37"/>
      <c r="KHP146" s="37"/>
      <c r="KHQ146" s="37"/>
      <c r="KHR146" s="37"/>
      <c r="KHS146" s="37"/>
      <c r="KHT146" s="37"/>
      <c r="KHU146" s="37"/>
      <c r="KHV146" s="37"/>
      <c r="KHW146" s="37"/>
      <c r="KHX146" s="37"/>
      <c r="KHY146" s="37"/>
      <c r="KHZ146" s="37"/>
      <c r="KIA146" s="37"/>
      <c r="KIB146" s="37"/>
      <c r="KIC146" s="37"/>
      <c r="KID146" s="37"/>
      <c r="KIE146" s="37"/>
      <c r="KIF146" s="37"/>
      <c r="KIG146" s="37"/>
      <c r="KIH146" s="37"/>
      <c r="KII146" s="37"/>
      <c r="KIJ146" s="37"/>
      <c r="KIK146" s="37"/>
      <c r="KIL146" s="37"/>
      <c r="KIM146" s="37"/>
      <c r="KIN146" s="37"/>
      <c r="KIO146" s="37"/>
      <c r="KIP146" s="37"/>
      <c r="KIQ146" s="37"/>
      <c r="KIR146" s="37"/>
      <c r="KIS146" s="37"/>
      <c r="KIT146" s="37"/>
      <c r="KIU146" s="37"/>
      <c r="KIV146" s="37"/>
      <c r="KIW146" s="37"/>
      <c r="KIX146" s="37"/>
      <c r="KIY146" s="37"/>
      <c r="KIZ146" s="37"/>
      <c r="KJA146" s="37"/>
      <c r="KJB146" s="37"/>
      <c r="KJC146" s="37"/>
      <c r="KJD146" s="37"/>
      <c r="KJE146" s="37"/>
      <c r="KJF146" s="37"/>
      <c r="KJG146" s="37"/>
      <c r="KJH146" s="37"/>
      <c r="KJI146" s="37"/>
      <c r="KJJ146" s="37"/>
      <c r="KJK146" s="37"/>
      <c r="KJL146" s="37"/>
      <c r="KJM146" s="37"/>
      <c r="KJN146" s="37"/>
      <c r="KJO146" s="37"/>
      <c r="KJP146" s="37"/>
      <c r="KJQ146" s="37"/>
      <c r="KJR146" s="37"/>
      <c r="KJS146" s="37"/>
      <c r="KJT146" s="37"/>
      <c r="KJU146" s="37"/>
      <c r="KJV146" s="37"/>
      <c r="KJW146" s="37"/>
      <c r="KJX146" s="37"/>
      <c r="KJY146" s="37"/>
      <c r="KJZ146" s="37"/>
      <c r="KKA146" s="37"/>
      <c r="KKB146" s="37"/>
      <c r="KKC146" s="37"/>
      <c r="KKD146" s="37"/>
      <c r="KKE146" s="37"/>
      <c r="KKF146" s="37"/>
      <c r="KKG146" s="37"/>
      <c r="KKH146" s="37"/>
      <c r="KKI146" s="37"/>
      <c r="KKJ146" s="37"/>
      <c r="KKK146" s="37"/>
      <c r="KKL146" s="37"/>
      <c r="KKM146" s="37"/>
      <c r="KKN146" s="37"/>
      <c r="KKO146" s="37"/>
      <c r="KKP146" s="37"/>
      <c r="KKQ146" s="37"/>
      <c r="KKR146" s="37"/>
      <c r="KKS146" s="37"/>
      <c r="KKT146" s="37"/>
      <c r="KKU146" s="37"/>
      <c r="KKV146" s="37"/>
      <c r="KKW146" s="37"/>
      <c r="KKX146" s="37"/>
      <c r="KKY146" s="37"/>
      <c r="KKZ146" s="37"/>
      <c r="KLA146" s="37"/>
      <c r="KLB146" s="37"/>
      <c r="KLC146" s="37"/>
      <c r="KLD146" s="37"/>
      <c r="KLE146" s="37"/>
      <c r="KLF146" s="37"/>
      <c r="KLG146" s="37"/>
      <c r="KLH146" s="37"/>
      <c r="KLI146" s="37"/>
      <c r="KLJ146" s="37"/>
      <c r="KLK146" s="37"/>
      <c r="KLL146" s="37"/>
      <c r="KLM146" s="37"/>
      <c r="KLN146" s="37"/>
      <c r="KLO146" s="37"/>
      <c r="KLP146" s="37"/>
      <c r="KLQ146" s="37"/>
      <c r="KLR146" s="37"/>
      <c r="KLS146" s="37"/>
      <c r="KLT146" s="37"/>
      <c r="KLU146" s="37"/>
      <c r="KLV146" s="37"/>
      <c r="KLW146" s="37"/>
      <c r="KLX146" s="37"/>
      <c r="KLY146" s="37"/>
      <c r="KLZ146" s="37"/>
      <c r="KMA146" s="37"/>
      <c r="KMB146" s="37"/>
      <c r="KMC146" s="37"/>
      <c r="KMD146" s="37"/>
      <c r="KME146" s="37"/>
      <c r="KMF146" s="37"/>
      <c r="KMG146" s="37"/>
      <c r="KMH146" s="37"/>
      <c r="KMI146" s="37"/>
      <c r="KMJ146" s="37"/>
      <c r="KMK146" s="37"/>
      <c r="KML146" s="37"/>
      <c r="KMM146" s="37"/>
      <c r="KMN146" s="37"/>
      <c r="KMO146" s="37"/>
      <c r="KMP146" s="37"/>
      <c r="KMQ146" s="37"/>
      <c r="KMR146" s="37"/>
      <c r="KMS146" s="37"/>
      <c r="KMT146" s="37"/>
      <c r="KMU146" s="37"/>
      <c r="KMV146" s="37"/>
      <c r="KMW146" s="37"/>
      <c r="KMX146" s="37"/>
      <c r="KMY146" s="37"/>
      <c r="KMZ146" s="37"/>
      <c r="KNA146" s="37"/>
      <c r="KNB146" s="37"/>
      <c r="KNC146" s="37"/>
      <c r="KND146" s="37"/>
      <c r="KNE146" s="37"/>
      <c r="KNF146" s="37"/>
      <c r="KNG146" s="37"/>
      <c r="KNH146" s="37"/>
      <c r="KNI146" s="37"/>
      <c r="KNJ146" s="37"/>
      <c r="KNK146" s="37"/>
      <c r="KNL146" s="37"/>
      <c r="KNM146" s="37"/>
      <c r="KNN146" s="37"/>
      <c r="KNO146" s="37"/>
      <c r="KNP146" s="37"/>
      <c r="KNQ146" s="37"/>
      <c r="KNR146" s="37"/>
      <c r="KNS146" s="37"/>
      <c r="KNT146" s="37"/>
      <c r="KNU146" s="37"/>
      <c r="KNV146" s="37"/>
      <c r="KNW146" s="37"/>
      <c r="KNX146" s="37"/>
      <c r="KNY146" s="37"/>
      <c r="KNZ146" s="37"/>
      <c r="KOA146" s="37"/>
      <c r="KOB146" s="37"/>
      <c r="KOC146" s="37"/>
      <c r="KOD146" s="37"/>
      <c r="KOE146" s="37"/>
      <c r="KOF146" s="37"/>
      <c r="KOG146" s="37"/>
      <c r="KOH146" s="37"/>
      <c r="KOI146" s="37"/>
      <c r="KOJ146" s="37"/>
      <c r="KOK146" s="37"/>
      <c r="KOL146" s="37"/>
      <c r="KOM146" s="37"/>
      <c r="KON146" s="37"/>
      <c r="KOO146" s="37"/>
      <c r="KOP146" s="37"/>
      <c r="KOQ146" s="37"/>
      <c r="KOR146" s="37"/>
      <c r="KOS146" s="37"/>
      <c r="KOT146" s="37"/>
      <c r="KOU146" s="37"/>
      <c r="KOV146" s="37"/>
      <c r="KOW146" s="37"/>
      <c r="KOX146" s="37"/>
      <c r="KOY146" s="37"/>
      <c r="KOZ146" s="37"/>
      <c r="KPA146" s="37"/>
      <c r="KPB146" s="37"/>
      <c r="KPC146" s="37"/>
      <c r="KPD146" s="37"/>
      <c r="KPE146" s="37"/>
      <c r="KPF146" s="37"/>
      <c r="KPG146" s="37"/>
      <c r="KPH146" s="37"/>
      <c r="KPI146" s="37"/>
      <c r="KPJ146" s="37"/>
      <c r="KPK146" s="37"/>
      <c r="KPL146" s="37"/>
      <c r="KPM146" s="37"/>
      <c r="KPN146" s="37"/>
      <c r="KPO146" s="37"/>
      <c r="KPP146" s="37"/>
      <c r="KPQ146" s="37"/>
      <c r="KPR146" s="37"/>
      <c r="KPS146" s="37"/>
      <c r="KPT146" s="37"/>
      <c r="KPU146" s="37"/>
      <c r="KPV146" s="37"/>
      <c r="KPW146" s="37"/>
      <c r="KPX146" s="37"/>
      <c r="KPY146" s="37"/>
      <c r="KPZ146" s="37"/>
      <c r="KQA146" s="37"/>
      <c r="KQB146" s="37"/>
      <c r="KQC146" s="37"/>
      <c r="KQD146" s="37"/>
      <c r="KQE146" s="37"/>
      <c r="KQF146" s="37"/>
      <c r="KQG146" s="37"/>
      <c r="KQH146" s="37"/>
      <c r="KQI146" s="37"/>
      <c r="KQJ146" s="37"/>
      <c r="KQK146" s="37"/>
      <c r="KQL146" s="37"/>
      <c r="KQM146" s="37"/>
      <c r="KQN146" s="37"/>
      <c r="KQO146" s="37"/>
      <c r="KQP146" s="37"/>
      <c r="KQQ146" s="37"/>
      <c r="KQR146" s="37"/>
      <c r="KQS146" s="37"/>
      <c r="KQT146" s="37"/>
      <c r="KQU146" s="37"/>
      <c r="KQV146" s="37"/>
      <c r="KQW146" s="37"/>
      <c r="KQX146" s="37"/>
      <c r="KQY146" s="37"/>
      <c r="KQZ146" s="37"/>
      <c r="KRA146" s="37"/>
      <c r="KRB146" s="37"/>
      <c r="KRC146" s="37"/>
      <c r="KRD146" s="37"/>
      <c r="KRE146" s="37"/>
      <c r="KRF146" s="37"/>
      <c r="KRG146" s="37"/>
      <c r="KRH146" s="37"/>
      <c r="KRI146" s="37"/>
      <c r="KRJ146" s="37"/>
      <c r="KRK146" s="37"/>
      <c r="KRL146" s="37"/>
      <c r="KRM146" s="37"/>
      <c r="KRN146" s="37"/>
      <c r="KRO146" s="37"/>
      <c r="KRP146" s="37"/>
      <c r="KRQ146" s="37"/>
      <c r="KRR146" s="37"/>
      <c r="KRS146" s="37"/>
      <c r="KRT146" s="37"/>
      <c r="KRU146" s="37"/>
      <c r="KRV146" s="37"/>
      <c r="KRW146" s="37"/>
      <c r="KRX146" s="37"/>
      <c r="KRY146" s="37"/>
      <c r="KRZ146" s="37"/>
      <c r="KSA146" s="37"/>
      <c r="KSB146" s="37"/>
      <c r="KSC146" s="37"/>
      <c r="KSD146" s="37"/>
      <c r="KSE146" s="37"/>
      <c r="KSF146" s="37"/>
      <c r="KSG146" s="37"/>
      <c r="KSH146" s="37"/>
      <c r="KSI146" s="37"/>
      <c r="KSJ146" s="37"/>
      <c r="KSK146" s="37"/>
      <c r="KSL146" s="37"/>
      <c r="KSM146" s="37"/>
      <c r="KSN146" s="37"/>
      <c r="KSO146" s="37"/>
      <c r="KSP146" s="37"/>
      <c r="KSQ146" s="37"/>
      <c r="KSR146" s="37"/>
      <c r="KSS146" s="37"/>
      <c r="KST146" s="37"/>
      <c r="KSU146" s="37"/>
      <c r="KSV146" s="37"/>
      <c r="KSW146" s="37"/>
      <c r="KSX146" s="37"/>
      <c r="KSY146" s="37"/>
      <c r="KSZ146" s="37"/>
      <c r="KTA146" s="37"/>
      <c r="KTB146" s="37"/>
      <c r="KTC146" s="37"/>
      <c r="KTD146" s="37"/>
      <c r="KTE146" s="37"/>
      <c r="KTF146" s="37"/>
      <c r="KTG146" s="37"/>
      <c r="KTH146" s="37"/>
      <c r="KTI146" s="37"/>
      <c r="KTJ146" s="37"/>
      <c r="KTK146" s="37"/>
      <c r="KTL146" s="37"/>
      <c r="KTM146" s="37"/>
      <c r="KTN146" s="37"/>
      <c r="KTO146" s="37"/>
      <c r="KTP146" s="37"/>
      <c r="KTQ146" s="37"/>
      <c r="KTR146" s="37"/>
      <c r="KTS146" s="37"/>
      <c r="KTT146" s="37"/>
      <c r="KTU146" s="37"/>
      <c r="KTV146" s="37"/>
      <c r="KTW146" s="37"/>
      <c r="KTX146" s="37"/>
      <c r="KTY146" s="37"/>
      <c r="KTZ146" s="37"/>
      <c r="KUA146" s="37"/>
      <c r="KUB146" s="37"/>
      <c r="KUC146" s="37"/>
      <c r="KUD146" s="37"/>
      <c r="KUE146" s="37"/>
      <c r="KUF146" s="37"/>
      <c r="KUG146" s="37"/>
      <c r="KUH146" s="37"/>
      <c r="KUI146" s="37"/>
      <c r="KUJ146" s="37"/>
      <c r="KUK146" s="37"/>
      <c r="KUL146" s="37"/>
      <c r="KUM146" s="37"/>
      <c r="KUN146" s="37"/>
      <c r="KUO146" s="37"/>
      <c r="KUP146" s="37"/>
      <c r="KUQ146" s="37"/>
      <c r="KUR146" s="37"/>
      <c r="KUS146" s="37"/>
      <c r="KUT146" s="37"/>
      <c r="KUU146" s="37"/>
      <c r="KUV146" s="37"/>
      <c r="KUW146" s="37"/>
      <c r="KUX146" s="37"/>
      <c r="KUY146" s="37"/>
      <c r="KUZ146" s="37"/>
      <c r="KVA146" s="37"/>
      <c r="KVB146" s="37"/>
      <c r="KVC146" s="37"/>
      <c r="KVD146" s="37"/>
      <c r="KVE146" s="37"/>
      <c r="KVF146" s="37"/>
      <c r="KVG146" s="37"/>
      <c r="KVH146" s="37"/>
      <c r="KVI146" s="37"/>
      <c r="KVJ146" s="37"/>
      <c r="KVK146" s="37"/>
      <c r="KVL146" s="37"/>
      <c r="KVM146" s="37"/>
      <c r="KVN146" s="37"/>
      <c r="KVO146" s="37"/>
      <c r="KVP146" s="37"/>
      <c r="KVQ146" s="37"/>
      <c r="KVR146" s="37"/>
      <c r="KVS146" s="37"/>
      <c r="KVT146" s="37"/>
      <c r="KVU146" s="37"/>
      <c r="KVV146" s="37"/>
      <c r="KVW146" s="37"/>
      <c r="KVX146" s="37"/>
      <c r="KVY146" s="37"/>
      <c r="KVZ146" s="37"/>
      <c r="KWA146" s="37"/>
      <c r="KWB146" s="37"/>
      <c r="KWC146" s="37"/>
      <c r="KWD146" s="37"/>
      <c r="KWE146" s="37"/>
      <c r="KWF146" s="37"/>
      <c r="KWG146" s="37"/>
      <c r="KWH146" s="37"/>
      <c r="KWI146" s="37"/>
      <c r="KWJ146" s="37"/>
      <c r="KWK146" s="37"/>
      <c r="KWL146" s="37"/>
      <c r="KWM146" s="37"/>
      <c r="KWN146" s="37"/>
      <c r="KWO146" s="37"/>
      <c r="KWP146" s="37"/>
      <c r="KWQ146" s="37"/>
      <c r="KWR146" s="37"/>
      <c r="KWS146" s="37"/>
      <c r="KWT146" s="37"/>
      <c r="KWU146" s="37"/>
      <c r="KWV146" s="37"/>
      <c r="KWW146" s="37"/>
      <c r="KWX146" s="37"/>
      <c r="KWY146" s="37"/>
      <c r="KWZ146" s="37"/>
      <c r="KXA146" s="37"/>
      <c r="KXB146" s="37"/>
      <c r="KXC146" s="37"/>
      <c r="KXD146" s="37"/>
      <c r="KXE146" s="37"/>
      <c r="KXF146" s="37"/>
      <c r="KXG146" s="37"/>
      <c r="KXH146" s="37"/>
      <c r="KXI146" s="37"/>
      <c r="KXJ146" s="37"/>
      <c r="KXK146" s="37"/>
      <c r="KXL146" s="37"/>
      <c r="KXM146" s="37"/>
      <c r="KXN146" s="37"/>
      <c r="KXO146" s="37"/>
      <c r="KXP146" s="37"/>
      <c r="KXQ146" s="37"/>
      <c r="KXR146" s="37"/>
      <c r="KXS146" s="37"/>
      <c r="KXT146" s="37"/>
      <c r="KXU146" s="37"/>
      <c r="KXV146" s="37"/>
      <c r="KXW146" s="37"/>
      <c r="KXX146" s="37"/>
      <c r="KXY146" s="37"/>
      <c r="KXZ146" s="37"/>
      <c r="KYA146" s="37"/>
      <c r="KYB146" s="37"/>
      <c r="KYC146" s="37"/>
      <c r="KYD146" s="37"/>
      <c r="KYE146" s="37"/>
      <c r="KYF146" s="37"/>
      <c r="KYG146" s="37"/>
      <c r="KYH146" s="37"/>
      <c r="KYI146" s="37"/>
      <c r="KYJ146" s="37"/>
      <c r="KYK146" s="37"/>
      <c r="KYL146" s="37"/>
      <c r="KYM146" s="37"/>
      <c r="KYN146" s="37"/>
      <c r="KYO146" s="37"/>
      <c r="KYP146" s="37"/>
      <c r="KYQ146" s="37"/>
      <c r="KYR146" s="37"/>
      <c r="KYS146" s="37"/>
      <c r="KYT146" s="37"/>
      <c r="KYU146" s="37"/>
      <c r="KYV146" s="37"/>
      <c r="KYW146" s="37"/>
      <c r="KYX146" s="37"/>
      <c r="KYY146" s="37"/>
      <c r="KYZ146" s="37"/>
      <c r="KZA146" s="37"/>
      <c r="KZB146" s="37"/>
      <c r="KZC146" s="37"/>
      <c r="KZD146" s="37"/>
      <c r="KZE146" s="37"/>
      <c r="KZF146" s="37"/>
      <c r="KZG146" s="37"/>
      <c r="KZH146" s="37"/>
      <c r="KZI146" s="37"/>
      <c r="KZJ146" s="37"/>
      <c r="KZK146" s="37"/>
      <c r="KZL146" s="37"/>
      <c r="KZM146" s="37"/>
      <c r="KZN146" s="37"/>
      <c r="KZO146" s="37"/>
      <c r="KZP146" s="37"/>
      <c r="KZQ146" s="37"/>
      <c r="KZR146" s="37"/>
      <c r="KZS146" s="37"/>
      <c r="KZT146" s="37"/>
      <c r="KZU146" s="37"/>
      <c r="KZV146" s="37"/>
      <c r="KZW146" s="37"/>
      <c r="KZX146" s="37"/>
      <c r="KZY146" s="37"/>
      <c r="KZZ146" s="37"/>
      <c r="LAA146" s="37"/>
      <c r="LAB146" s="37"/>
      <c r="LAC146" s="37"/>
      <c r="LAD146" s="37"/>
      <c r="LAE146" s="37"/>
      <c r="LAF146" s="37"/>
      <c r="LAG146" s="37"/>
      <c r="LAH146" s="37"/>
      <c r="LAI146" s="37"/>
      <c r="LAJ146" s="37"/>
      <c r="LAK146" s="37"/>
      <c r="LAL146" s="37"/>
      <c r="LAM146" s="37"/>
      <c r="LAN146" s="37"/>
      <c r="LAO146" s="37"/>
      <c r="LAP146" s="37"/>
      <c r="LAQ146" s="37"/>
      <c r="LAR146" s="37"/>
      <c r="LAS146" s="37"/>
      <c r="LAT146" s="37"/>
      <c r="LAU146" s="37"/>
      <c r="LAV146" s="37"/>
      <c r="LAW146" s="37"/>
      <c r="LAX146" s="37"/>
      <c r="LAY146" s="37"/>
      <c r="LAZ146" s="37"/>
      <c r="LBA146" s="37"/>
      <c r="LBB146" s="37"/>
      <c r="LBC146" s="37"/>
      <c r="LBD146" s="37"/>
      <c r="LBE146" s="37"/>
      <c r="LBF146" s="37"/>
      <c r="LBG146" s="37"/>
      <c r="LBH146" s="37"/>
      <c r="LBI146" s="37"/>
      <c r="LBJ146" s="37"/>
      <c r="LBK146" s="37"/>
      <c r="LBL146" s="37"/>
      <c r="LBM146" s="37"/>
      <c r="LBN146" s="37"/>
      <c r="LBO146" s="37"/>
      <c r="LBP146" s="37"/>
      <c r="LBQ146" s="37"/>
      <c r="LBR146" s="37"/>
      <c r="LBS146" s="37"/>
      <c r="LBT146" s="37"/>
      <c r="LBU146" s="37"/>
      <c r="LBV146" s="37"/>
      <c r="LBW146" s="37"/>
      <c r="LBX146" s="37"/>
      <c r="LBY146" s="37"/>
      <c r="LBZ146" s="37"/>
      <c r="LCA146" s="37"/>
      <c r="LCB146" s="37"/>
      <c r="LCC146" s="37"/>
      <c r="LCD146" s="37"/>
      <c r="LCE146" s="37"/>
      <c r="LCF146" s="37"/>
      <c r="LCG146" s="37"/>
      <c r="LCH146" s="37"/>
      <c r="LCI146" s="37"/>
      <c r="LCJ146" s="37"/>
      <c r="LCK146" s="37"/>
      <c r="LCL146" s="37"/>
      <c r="LCM146" s="37"/>
      <c r="LCN146" s="37"/>
      <c r="LCO146" s="37"/>
      <c r="LCP146" s="37"/>
      <c r="LCQ146" s="37"/>
      <c r="LCR146" s="37"/>
      <c r="LCS146" s="37"/>
      <c r="LCT146" s="37"/>
      <c r="LCU146" s="37"/>
      <c r="LCV146" s="37"/>
      <c r="LCW146" s="37"/>
      <c r="LCX146" s="37"/>
      <c r="LCY146" s="37"/>
      <c r="LCZ146" s="37"/>
      <c r="LDA146" s="37"/>
      <c r="LDB146" s="37"/>
      <c r="LDC146" s="37"/>
      <c r="LDD146" s="37"/>
      <c r="LDE146" s="37"/>
      <c r="LDF146" s="37"/>
      <c r="LDG146" s="37"/>
      <c r="LDH146" s="37"/>
      <c r="LDI146" s="37"/>
      <c r="LDJ146" s="37"/>
      <c r="LDK146" s="37"/>
      <c r="LDL146" s="37"/>
      <c r="LDM146" s="37"/>
      <c r="LDN146" s="37"/>
      <c r="LDO146" s="37"/>
      <c r="LDP146" s="37"/>
      <c r="LDQ146" s="37"/>
      <c r="LDR146" s="37"/>
      <c r="LDS146" s="37"/>
      <c r="LDT146" s="37"/>
      <c r="LDU146" s="37"/>
      <c r="LDV146" s="37"/>
      <c r="LDW146" s="37"/>
      <c r="LDX146" s="37"/>
      <c r="LDY146" s="37"/>
      <c r="LDZ146" s="37"/>
      <c r="LEA146" s="37"/>
      <c r="LEB146" s="37"/>
      <c r="LEC146" s="37"/>
      <c r="LED146" s="37"/>
      <c r="LEE146" s="37"/>
      <c r="LEF146" s="37"/>
      <c r="LEG146" s="37"/>
      <c r="LEH146" s="37"/>
      <c r="LEI146" s="37"/>
      <c r="LEJ146" s="37"/>
      <c r="LEK146" s="37"/>
      <c r="LEL146" s="37"/>
      <c r="LEM146" s="37"/>
      <c r="LEN146" s="37"/>
      <c r="LEO146" s="37"/>
      <c r="LEP146" s="37"/>
      <c r="LEQ146" s="37"/>
      <c r="LER146" s="37"/>
      <c r="LES146" s="37"/>
      <c r="LET146" s="37"/>
      <c r="LEU146" s="37"/>
      <c r="LEV146" s="37"/>
      <c r="LEW146" s="37"/>
      <c r="LEX146" s="37"/>
      <c r="LEY146" s="37"/>
      <c r="LEZ146" s="37"/>
      <c r="LFA146" s="37"/>
      <c r="LFB146" s="37"/>
      <c r="LFC146" s="37"/>
      <c r="LFD146" s="37"/>
      <c r="LFE146" s="37"/>
      <c r="LFF146" s="37"/>
      <c r="LFG146" s="37"/>
      <c r="LFH146" s="37"/>
      <c r="LFI146" s="37"/>
      <c r="LFJ146" s="37"/>
      <c r="LFK146" s="37"/>
      <c r="LFL146" s="37"/>
      <c r="LFM146" s="37"/>
      <c r="LFN146" s="37"/>
      <c r="LFO146" s="37"/>
      <c r="LFP146" s="37"/>
      <c r="LFQ146" s="37"/>
      <c r="LFR146" s="37"/>
      <c r="LFS146" s="37"/>
      <c r="LFT146" s="37"/>
      <c r="LFU146" s="37"/>
      <c r="LFV146" s="37"/>
      <c r="LFW146" s="37"/>
      <c r="LFX146" s="37"/>
      <c r="LFY146" s="37"/>
      <c r="LFZ146" s="37"/>
      <c r="LGA146" s="37"/>
      <c r="LGB146" s="37"/>
      <c r="LGC146" s="37"/>
      <c r="LGD146" s="37"/>
      <c r="LGE146" s="37"/>
      <c r="LGF146" s="37"/>
      <c r="LGG146" s="37"/>
      <c r="LGH146" s="37"/>
      <c r="LGI146" s="37"/>
      <c r="LGJ146" s="37"/>
      <c r="LGK146" s="37"/>
      <c r="LGL146" s="37"/>
      <c r="LGM146" s="37"/>
      <c r="LGN146" s="37"/>
      <c r="LGO146" s="37"/>
      <c r="LGP146" s="37"/>
      <c r="LGQ146" s="37"/>
      <c r="LGR146" s="37"/>
      <c r="LGS146" s="37"/>
      <c r="LGT146" s="37"/>
      <c r="LGU146" s="37"/>
      <c r="LGV146" s="37"/>
      <c r="LGW146" s="37"/>
      <c r="LGX146" s="37"/>
      <c r="LGY146" s="37"/>
      <c r="LGZ146" s="37"/>
      <c r="LHA146" s="37"/>
      <c r="LHB146" s="37"/>
      <c r="LHC146" s="37"/>
      <c r="LHD146" s="37"/>
      <c r="LHE146" s="37"/>
      <c r="LHF146" s="37"/>
      <c r="LHG146" s="37"/>
      <c r="LHH146" s="37"/>
      <c r="LHI146" s="37"/>
      <c r="LHJ146" s="37"/>
      <c r="LHK146" s="37"/>
      <c r="LHL146" s="37"/>
      <c r="LHM146" s="37"/>
      <c r="LHN146" s="37"/>
      <c r="LHO146" s="37"/>
      <c r="LHP146" s="37"/>
      <c r="LHQ146" s="37"/>
      <c r="LHR146" s="37"/>
      <c r="LHS146" s="37"/>
      <c r="LHT146" s="37"/>
      <c r="LHU146" s="37"/>
      <c r="LHV146" s="37"/>
      <c r="LHW146" s="37"/>
      <c r="LHX146" s="37"/>
      <c r="LHY146" s="37"/>
      <c r="LHZ146" s="37"/>
      <c r="LIA146" s="37"/>
      <c r="LIB146" s="37"/>
      <c r="LIC146" s="37"/>
      <c r="LID146" s="37"/>
      <c r="LIE146" s="37"/>
      <c r="LIF146" s="37"/>
      <c r="LIG146" s="37"/>
      <c r="LIH146" s="37"/>
      <c r="LII146" s="37"/>
      <c r="LIJ146" s="37"/>
      <c r="LIK146" s="37"/>
      <c r="LIL146" s="37"/>
      <c r="LIM146" s="37"/>
      <c r="LIN146" s="37"/>
      <c r="LIO146" s="37"/>
      <c r="LIP146" s="37"/>
      <c r="LIQ146" s="37"/>
      <c r="LIR146" s="37"/>
      <c r="LIS146" s="37"/>
      <c r="LIT146" s="37"/>
      <c r="LIU146" s="37"/>
      <c r="LIV146" s="37"/>
      <c r="LIW146" s="37"/>
      <c r="LIX146" s="37"/>
      <c r="LIY146" s="37"/>
      <c r="LIZ146" s="37"/>
      <c r="LJA146" s="37"/>
      <c r="LJB146" s="37"/>
      <c r="LJC146" s="37"/>
      <c r="LJD146" s="37"/>
      <c r="LJE146" s="37"/>
      <c r="LJF146" s="37"/>
      <c r="LJG146" s="37"/>
      <c r="LJH146" s="37"/>
      <c r="LJI146" s="37"/>
      <c r="LJJ146" s="37"/>
      <c r="LJK146" s="37"/>
      <c r="LJL146" s="37"/>
      <c r="LJM146" s="37"/>
      <c r="LJN146" s="37"/>
      <c r="LJO146" s="37"/>
      <c r="LJP146" s="37"/>
      <c r="LJQ146" s="37"/>
      <c r="LJR146" s="37"/>
      <c r="LJS146" s="37"/>
      <c r="LJT146" s="37"/>
      <c r="LJU146" s="37"/>
      <c r="LJV146" s="37"/>
      <c r="LJW146" s="37"/>
      <c r="LJX146" s="37"/>
      <c r="LJY146" s="37"/>
      <c r="LJZ146" s="37"/>
      <c r="LKA146" s="37"/>
      <c r="LKB146" s="37"/>
      <c r="LKC146" s="37"/>
      <c r="LKD146" s="37"/>
      <c r="LKE146" s="37"/>
      <c r="LKF146" s="37"/>
      <c r="LKG146" s="37"/>
      <c r="LKH146" s="37"/>
      <c r="LKI146" s="37"/>
      <c r="LKJ146" s="37"/>
      <c r="LKK146" s="37"/>
      <c r="LKL146" s="37"/>
      <c r="LKM146" s="37"/>
      <c r="LKN146" s="37"/>
      <c r="LKO146" s="37"/>
      <c r="LKP146" s="37"/>
      <c r="LKQ146" s="37"/>
      <c r="LKR146" s="37"/>
      <c r="LKS146" s="37"/>
      <c r="LKT146" s="37"/>
      <c r="LKU146" s="37"/>
      <c r="LKV146" s="37"/>
      <c r="LKW146" s="37"/>
      <c r="LKX146" s="37"/>
      <c r="LKY146" s="37"/>
      <c r="LKZ146" s="37"/>
      <c r="LLA146" s="37"/>
      <c r="LLB146" s="37"/>
      <c r="LLC146" s="37"/>
      <c r="LLD146" s="37"/>
      <c r="LLE146" s="37"/>
      <c r="LLF146" s="37"/>
      <c r="LLG146" s="37"/>
      <c r="LLH146" s="37"/>
      <c r="LLI146" s="37"/>
      <c r="LLJ146" s="37"/>
      <c r="LLK146" s="37"/>
      <c r="LLL146" s="37"/>
      <c r="LLM146" s="37"/>
      <c r="LLN146" s="37"/>
      <c r="LLO146" s="37"/>
      <c r="LLP146" s="37"/>
      <c r="LLQ146" s="37"/>
      <c r="LLR146" s="37"/>
      <c r="LLS146" s="37"/>
      <c r="LLT146" s="37"/>
      <c r="LLU146" s="37"/>
      <c r="LLV146" s="37"/>
      <c r="LLW146" s="37"/>
      <c r="LLX146" s="37"/>
      <c r="LLY146" s="37"/>
      <c r="LLZ146" s="37"/>
      <c r="LMA146" s="37"/>
      <c r="LMB146" s="37"/>
      <c r="LMC146" s="37"/>
      <c r="LMD146" s="37"/>
      <c r="LME146" s="37"/>
      <c r="LMF146" s="37"/>
      <c r="LMG146" s="37"/>
      <c r="LMH146" s="37"/>
      <c r="LMI146" s="37"/>
      <c r="LMJ146" s="37"/>
      <c r="LMK146" s="37"/>
      <c r="LML146" s="37"/>
      <c r="LMM146" s="37"/>
      <c r="LMN146" s="37"/>
      <c r="LMO146" s="37"/>
      <c r="LMP146" s="37"/>
      <c r="LMQ146" s="37"/>
      <c r="LMR146" s="37"/>
      <c r="LMS146" s="37"/>
      <c r="LMT146" s="37"/>
      <c r="LMU146" s="37"/>
      <c r="LMV146" s="37"/>
      <c r="LMW146" s="37"/>
      <c r="LMX146" s="37"/>
      <c r="LMY146" s="37"/>
      <c r="LMZ146" s="37"/>
      <c r="LNA146" s="37"/>
      <c r="LNB146" s="37"/>
      <c r="LNC146" s="37"/>
      <c r="LND146" s="37"/>
      <c r="LNE146" s="37"/>
      <c r="LNF146" s="37"/>
      <c r="LNG146" s="37"/>
      <c r="LNH146" s="37"/>
      <c r="LNI146" s="37"/>
      <c r="LNJ146" s="37"/>
      <c r="LNK146" s="37"/>
      <c r="LNL146" s="37"/>
      <c r="LNM146" s="37"/>
      <c r="LNN146" s="37"/>
      <c r="LNO146" s="37"/>
      <c r="LNP146" s="37"/>
      <c r="LNQ146" s="37"/>
      <c r="LNR146" s="37"/>
      <c r="LNS146" s="37"/>
      <c r="LNT146" s="37"/>
      <c r="LNU146" s="37"/>
      <c r="LNV146" s="37"/>
      <c r="LNW146" s="37"/>
      <c r="LNX146" s="37"/>
      <c r="LNY146" s="37"/>
      <c r="LNZ146" s="37"/>
      <c r="LOA146" s="37"/>
      <c r="LOB146" s="37"/>
      <c r="LOC146" s="37"/>
      <c r="LOD146" s="37"/>
      <c r="LOE146" s="37"/>
      <c r="LOF146" s="37"/>
      <c r="LOG146" s="37"/>
      <c r="LOH146" s="37"/>
      <c r="LOI146" s="37"/>
      <c r="LOJ146" s="37"/>
      <c r="LOK146" s="37"/>
      <c r="LOL146" s="37"/>
      <c r="LOM146" s="37"/>
      <c r="LON146" s="37"/>
      <c r="LOO146" s="37"/>
      <c r="LOP146" s="37"/>
      <c r="LOQ146" s="37"/>
      <c r="LOR146" s="37"/>
      <c r="LOS146" s="37"/>
      <c r="LOT146" s="37"/>
      <c r="LOU146" s="37"/>
      <c r="LOV146" s="37"/>
      <c r="LOW146" s="37"/>
      <c r="LOX146" s="37"/>
      <c r="LOY146" s="37"/>
      <c r="LOZ146" s="37"/>
      <c r="LPA146" s="37"/>
      <c r="LPB146" s="37"/>
      <c r="LPC146" s="37"/>
      <c r="LPD146" s="37"/>
      <c r="LPE146" s="37"/>
      <c r="LPF146" s="37"/>
      <c r="LPG146" s="37"/>
      <c r="LPH146" s="37"/>
      <c r="LPI146" s="37"/>
      <c r="LPJ146" s="37"/>
      <c r="LPK146" s="37"/>
      <c r="LPL146" s="37"/>
      <c r="LPM146" s="37"/>
      <c r="LPN146" s="37"/>
      <c r="LPO146" s="37"/>
      <c r="LPP146" s="37"/>
      <c r="LPQ146" s="37"/>
      <c r="LPR146" s="37"/>
      <c r="LPS146" s="37"/>
      <c r="LPT146" s="37"/>
      <c r="LPU146" s="37"/>
      <c r="LPV146" s="37"/>
      <c r="LPW146" s="37"/>
      <c r="LPX146" s="37"/>
      <c r="LPY146" s="37"/>
      <c r="LPZ146" s="37"/>
      <c r="LQA146" s="37"/>
      <c r="LQB146" s="37"/>
      <c r="LQC146" s="37"/>
      <c r="LQD146" s="37"/>
      <c r="LQE146" s="37"/>
      <c r="LQF146" s="37"/>
      <c r="LQG146" s="37"/>
      <c r="LQH146" s="37"/>
      <c r="LQI146" s="37"/>
      <c r="LQJ146" s="37"/>
      <c r="LQK146" s="37"/>
      <c r="LQL146" s="37"/>
      <c r="LQM146" s="37"/>
      <c r="LQN146" s="37"/>
      <c r="LQO146" s="37"/>
      <c r="LQP146" s="37"/>
      <c r="LQQ146" s="37"/>
      <c r="LQR146" s="37"/>
      <c r="LQS146" s="37"/>
      <c r="LQT146" s="37"/>
      <c r="LQU146" s="37"/>
      <c r="LQV146" s="37"/>
      <c r="LQW146" s="37"/>
      <c r="LQX146" s="37"/>
      <c r="LQY146" s="37"/>
      <c r="LQZ146" s="37"/>
      <c r="LRA146" s="37"/>
      <c r="LRB146" s="37"/>
      <c r="LRC146" s="37"/>
      <c r="LRD146" s="37"/>
      <c r="LRE146" s="37"/>
      <c r="LRF146" s="37"/>
      <c r="LRG146" s="37"/>
      <c r="LRH146" s="37"/>
      <c r="LRI146" s="37"/>
      <c r="LRJ146" s="37"/>
      <c r="LRK146" s="37"/>
      <c r="LRL146" s="37"/>
      <c r="LRM146" s="37"/>
      <c r="LRN146" s="37"/>
      <c r="LRO146" s="37"/>
      <c r="LRP146" s="37"/>
      <c r="LRQ146" s="37"/>
      <c r="LRR146" s="37"/>
      <c r="LRS146" s="37"/>
      <c r="LRT146" s="37"/>
      <c r="LRU146" s="37"/>
      <c r="LRV146" s="37"/>
      <c r="LRW146" s="37"/>
      <c r="LRX146" s="37"/>
      <c r="LRY146" s="37"/>
      <c r="LRZ146" s="37"/>
      <c r="LSA146" s="37"/>
      <c r="LSB146" s="37"/>
      <c r="LSC146" s="37"/>
      <c r="LSD146" s="37"/>
      <c r="LSE146" s="37"/>
      <c r="LSF146" s="37"/>
      <c r="LSG146" s="37"/>
      <c r="LSH146" s="37"/>
      <c r="LSI146" s="37"/>
      <c r="LSJ146" s="37"/>
      <c r="LSK146" s="37"/>
      <c r="LSL146" s="37"/>
      <c r="LSM146" s="37"/>
      <c r="LSN146" s="37"/>
      <c r="LSO146" s="37"/>
      <c r="LSP146" s="37"/>
      <c r="LSQ146" s="37"/>
      <c r="LSR146" s="37"/>
      <c r="LSS146" s="37"/>
      <c r="LST146" s="37"/>
      <c r="LSU146" s="37"/>
      <c r="LSV146" s="37"/>
      <c r="LSW146" s="37"/>
      <c r="LSX146" s="37"/>
      <c r="LSY146" s="37"/>
      <c r="LSZ146" s="37"/>
      <c r="LTA146" s="37"/>
      <c r="LTB146" s="37"/>
      <c r="LTC146" s="37"/>
      <c r="LTD146" s="37"/>
      <c r="LTE146" s="37"/>
      <c r="LTF146" s="37"/>
      <c r="LTG146" s="37"/>
      <c r="LTH146" s="37"/>
      <c r="LTI146" s="37"/>
      <c r="LTJ146" s="37"/>
      <c r="LTK146" s="37"/>
      <c r="LTL146" s="37"/>
      <c r="LTM146" s="37"/>
      <c r="LTN146" s="37"/>
      <c r="LTO146" s="37"/>
      <c r="LTP146" s="37"/>
      <c r="LTQ146" s="37"/>
      <c r="LTR146" s="37"/>
      <c r="LTS146" s="37"/>
      <c r="LTT146" s="37"/>
      <c r="LTU146" s="37"/>
      <c r="LTV146" s="37"/>
      <c r="LTW146" s="37"/>
      <c r="LTX146" s="37"/>
      <c r="LTY146" s="37"/>
      <c r="LTZ146" s="37"/>
      <c r="LUA146" s="37"/>
      <c r="LUB146" s="37"/>
      <c r="LUC146" s="37"/>
      <c r="LUD146" s="37"/>
      <c r="LUE146" s="37"/>
      <c r="LUF146" s="37"/>
      <c r="LUG146" s="37"/>
      <c r="LUH146" s="37"/>
      <c r="LUI146" s="37"/>
      <c r="LUJ146" s="37"/>
      <c r="LUK146" s="37"/>
      <c r="LUL146" s="37"/>
      <c r="LUM146" s="37"/>
      <c r="LUN146" s="37"/>
      <c r="LUO146" s="37"/>
      <c r="LUP146" s="37"/>
      <c r="LUQ146" s="37"/>
      <c r="LUR146" s="37"/>
      <c r="LUS146" s="37"/>
      <c r="LUT146" s="37"/>
      <c r="LUU146" s="37"/>
      <c r="LUV146" s="37"/>
      <c r="LUW146" s="37"/>
      <c r="LUX146" s="37"/>
      <c r="LUY146" s="37"/>
      <c r="LUZ146" s="37"/>
      <c r="LVA146" s="37"/>
      <c r="LVB146" s="37"/>
      <c r="LVC146" s="37"/>
      <c r="LVD146" s="37"/>
      <c r="LVE146" s="37"/>
      <c r="LVF146" s="37"/>
      <c r="LVG146" s="37"/>
      <c r="LVH146" s="37"/>
      <c r="LVI146" s="37"/>
      <c r="LVJ146" s="37"/>
      <c r="LVK146" s="37"/>
      <c r="LVL146" s="37"/>
      <c r="LVM146" s="37"/>
      <c r="LVN146" s="37"/>
      <c r="LVO146" s="37"/>
      <c r="LVP146" s="37"/>
      <c r="LVQ146" s="37"/>
      <c r="LVR146" s="37"/>
      <c r="LVS146" s="37"/>
      <c r="LVT146" s="37"/>
      <c r="LVU146" s="37"/>
      <c r="LVV146" s="37"/>
      <c r="LVW146" s="37"/>
      <c r="LVX146" s="37"/>
      <c r="LVY146" s="37"/>
      <c r="LVZ146" s="37"/>
      <c r="LWA146" s="37"/>
      <c r="LWB146" s="37"/>
      <c r="LWC146" s="37"/>
      <c r="LWD146" s="37"/>
      <c r="LWE146" s="37"/>
      <c r="LWF146" s="37"/>
      <c r="LWG146" s="37"/>
      <c r="LWH146" s="37"/>
      <c r="LWI146" s="37"/>
      <c r="LWJ146" s="37"/>
      <c r="LWK146" s="37"/>
      <c r="LWL146" s="37"/>
      <c r="LWM146" s="37"/>
      <c r="LWN146" s="37"/>
      <c r="LWO146" s="37"/>
      <c r="LWP146" s="37"/>
      <c r="LWQ146" s="37"/>
      <c r="LWR146" s="37"/>
      <c r="LWS146" s="37"/>
      <c r="LWT146" s="37"/>
      <c r="LWU146" s="37"/>
      <c r="LWV146" s="37"/>
      <c r="LWW146" s="37"/>
      <c r="LWX146" s="37"/>
      <c r="LWY146" s="37"/>
      <c r="LWZ146" s="37"/>
      <c r="LXA146" s="37"/>
      <c r="LXB146" s="37"/>
      <c r="LXC146" s="37"/>
      <c r="LXD146" s="37"/>
      <c r="LXE146" s="37"/>
      <c r="LXF146" s="37"/>
      <c r="LXG146" s="37"/>
      <c r="LXH146" s="37"/>
      <c r="LXI146" s="37"/>
      <c r="LXJ146" s="37"/>
      <c r="LXK146" s="37"/>
      <c r="LXL146" s="37"/>
      <c r="LXM146" s="37"/>
      <c r="LXN146" s="37"/>
      <c r="LXO146" s="37"/>
      <c r="LXP146" s="37"/>
      <c r="LXQ146" s="37"/>
      <c r="LXR146" s="37"/>
      <c r="LXS146" s="37"/>
      <c r="LXT146" s="37"/>
      <c r="LXU146" s="37"/>
      <c r="LXV146" s="37"/>
      <c r="LXW146" s="37"/>
      <c r="LXX146" s="37"/>
      <c r="LXY146" s="37"/>
      <c r="LXZ146" s="37"/>
      <c r="LYA146" s="37"/>
      <c r="LYB146" s="37"/>
      <c r="LYC146" s="37"/>
      <c r="LYD146" s="37"/>
      <c r="LYE146" s="37"/>
      <c r="LYF146" s="37"/>
      <c r="LYG146" s="37"/>
      <c r="LYH146" s="37"/>
      <c r="LYI146" s="37"/>
      <c r="LYJ146" s="37"/>
      <c r="LYK146" s="37"/>
      <c r="LYL146" s="37"/>
      <c r="LYM146" s="37"/>
      <c r="LYN146" s="37"/>
      <c r="LYO146" s="37"/>
      <c r="LYP146" s="37"/>
      <c r="LYQ146" s="37"/>
      <c r="LYR146" s="37"/>
      <c r="LYS146" s="37"/>
      <c r="LYT146" s="37"/>
      <c r="LYU146" s="37"/>
      <c r="LYV146" s="37"/>
      <c r="LYW146" s="37"/>
      <c r="LYX146" s="37"/>
      <c r="LYY146" s="37"/>
      <c r="LYZ146" s="37"/>
      <c r="LZA146" s="37"/>
      <c r="LZB146" s="37"/>
      <c r="LZC146" s="37"/>
      <c r="LZD146" s="37"/>
      <c r="LZE146" s="37"/>
      <c r="LZF146" s="37"/>
      <c r="LZG146" s="37"/>
      <c r="LZH146" s="37"/>
      <c r="LZI146" s="37"/>
      <c r="LZJ146" s="37"/>
      <c r="LZK146" s="37"/>
      <c r="LZL146" s="37"/>
      <c r="LZM146" s="37"/>
      <c r="LZN146" s="37"/>
      <c r="LZO146" s="37"/>
      <c r="LZP146" s="37"/>
      <c r="LZQ146" s="37"/>
      <c r="LZR146" s="37"/>
      <c r="LZS146" s="37"/>
      <c r="LZT146" s="37"/>
      <c r="LZU146" s="37"/>
      <c r="LZV146" s="37"/>
      <c r="LZW146" s="37"/>
      <c r="LZX146" s="37"/>
      <c r="LZY146" s="37"/>
      <c r="LZZ146" s="37"/>
      <c r="MAA146" s="37"/>
      <c r="MAB146" s="37"/>
      <c r="MAC146" s="37"/>
      <c r="MAD146" s="37"/>
      <c r="MAE146" s="37"/>
      <c r="MAF146" s="37"/>
      <c r="MAG146" s="37"/>
      <c r="MAH146" s="37"/>
      <c r="MAI146" s="37"/>
      <c r="MAJ146" s="37"/>
      <c r="MAK146" s="37"/>
      <c r="MAL146" s="37"/>
      <c r="MAM146" s="37"/>
      <c r="MAN146" s="37"/>
      <c r="MAO146" s="37"/>
      <c r="MAP146" s="37"/>
      <c r="MAQ146" s="37"/>
      <c r="MAR146" s="37"/>
      <c r="MAS146" s="37"/>
      <c r="MAT146" s="37"/>
      <c r="MAU146" s="37"/>
      <c r="MAV146" s="37"/>
      <c r="MAW146" s="37"/>
      <c r="MAX146" s="37"/>
      <c r="MAY146" s="37"/>
      <c r="MAZ146" s="37"/>
      <c r="MBA146" s="37"/>
      <c r="MBB146" s="37"/>
      <c r="MBC146" s="37"/>
      <c r="MBD146" s="37"/>
      <c r="MBE146" s="37"/>
      <c r="MBF146" s="37"/>
      <c r="MBG146" s="37"/>
      <c r="MBH146" s="37"/>
      <c r="MBI146" s="37"/>
      <c r="MBJ146" s="37"/>
      <c r="MBK146" s="37"/>
      <c r="MBL146" s="37"/>
      <c r="MBM146" s="37"/>
      <c r="MBN146" s="37"/>
      <c r="MBO146" s="37"/>
      <c r="MBP146" s="37"/>
      <c r="MBQ146" s="37"/>
      <c r="MBR146" s="37"/>
      <c r="MBS146" s="37"/>
      <c r="MBT146" s="37"/>
      <c r="MBU146" s="37"/>
      <c r="MBV146" s="37"/>
      <c r="MBW146" s="37"/>
      <c r="MBX146" s="37"/>
      <c r="MBY146" s="37"/>
      <c r="MBZ146" s="37"/>
      <c r="MCA146" s="37"/>
      <c r="MCB146" s="37"/>
      <c r="MCC146" s="37"/>
      <c r="MCD146" s="37"/>
      <c r="MCE146" s="37"/>
      <c r="MCF146" s="37"/>
      <c r="MCG146" s="37"/>
      <c r="MCH146" s="37"/>
      <c r="MCI146" s="37"/>
      <c r="MCJ146" s="37"/>
      <c r="MCK146" s="37"/>
      <c r="MCL146" s="37"/>
      <c r="MCM146" s="37"/>
      <c r="MCN146" s="37"/>
      <c r="MCO146" s="37"/>
      <c r="MCP146" s="37"/>
      <c r="MCQ146" s="37"/>
      <c r="MCR146" s="37"/>
      <c r="MCS146" s="37"/>
      <c r="MCT146" s="37"/>
      <c r="MCU146" s="37"/>
      <c r="MCV146" s="37"/>
      <c r="MCW146" s="37"/>
      <c r="MCX146" s="37"/>
      <c r="MCY146" s="37"/>
      <c r="MCZ146" s="37"/>
      <c r="MDA146" s="37"/>
      <c r="MDB146" s="37"/>
      <c r="MDC146" s="37"/>
      <c r="MDD146" s="37"/>
      <c r="MDE146" s="37"/>
      <c r="MDF146" s="37"/>
      <c r="MDG146" s="37"/>
      <c r="MDH146" s="37"/>
      <c r="MDI146" s="37"/>
      <c r="MDJ146" s="37"/>
      <c r="MDK146" s="37"/>
      <c r="MDL146" s="37"/>
      <c r="MDM146" s="37"/>
      <c r="MDN146" s="37"/>
      <c r="MDO146" s="37"/>
      <c r="MDP146" s="37"/>
      <c r="MDQ146" s="37"/>
      <c r="MDR146" s="37"/>
      <c r="MDS146" s="37"/>
      <c r="MDT146" s="37"/>
      <c r="MDU146" s="37"/>
      <c r="MDV146" s="37"/>
      <c r="MDW146" s="37"/>
      <c r="MDX146" s="37"/>
      <c r="MDY146" s="37"/>
      <c r="MDZ146" s="37"/>
      <c r="MEA146" s="37"/>
      <c r="MEB146" s="37"/>
      <c r="MEC146" s="37"/>
      <c r="MED146" s="37"/>
      <c r="MEE146" s="37"/>
      <c r="MEF146" s="37"/>
      <c r="MEG146" s="37"/>
      <c r="MEH146" s="37"/>
      <c r="MEI146" s="37"/>
      <c r="MEJ146" s="37"/>
      <c r="MEK146" s="37"/>
      <c r="MEL146" s="37"/>
      <c r="MEM146" s="37"/>
      <c r="MEN146" s="37"/>
      <c r="MEO146" s="37"/>
      <c r="MEP146" s="37"/>
      <c r="MEQ146" s="37"/>
      <c r="MER146" s="37"/>
      <c r="MES146" s="37"/>
      <c r="MET146" s="37"/>
      <c r="MEU146" s="37"/>
      <c r="MEV146" s="37"/>
      <c r="MEW146" s="37"/>
      <c r="MEX146" s="37"/>
      <c r="MEY146" s="37"/>
      <c r="MEZ146" s="37"/>
      <c r="MFA146" s="37"/>
      <c r="MFB146" s="37"/>
      <c r="MFC146" s="37"/>
      <c r="MFD146" s="37"/>
      <c r="MFE146" s="37"/>
      <c r="MFF146" s="37"/>
      <c r="MFG146" s="37"/>
      <c r="MFH146" s="37"/>
      <c r="MFI146" s="37"/>
      <c r="MFJ146" s="37"/>
      <c r="MFK146" s="37"/>
      <c r="MFL146" s="37"/>
      <c r="MFM146" s="37"/>
      <c r="MFN146" s="37"/>
      <c r="MFO146" s="37"/>
      <c r="MFP146" s="37"/>
      <c r="MFQ146" s="37"/>
      <c r="MFR146" s="37"/>
      <c r="MFS146" s="37"/>
      <c r="MFT146" s="37"/>
      <c r="MFU146" s="37"/>
      <c r="MFV146" s="37"/>
      <c r="MFW146" s="37"/>
      <c r="MFX146" s="37"/>
      <c r="MFY146" s="37"/>
      <c r="MFZ146" s="37"/>
      <c r="MGA146" s="37"/>
      <c r="MGB146" s="37"/>
      <c r="MGC146" s="37"/>
      <c r="MGD146" s="37"/>
      <c r="MGE146" s="37"/>
      <c r="MGF146" s="37"/>
      <c r="MGG146" s="37"/>
      <c r="MGH146" s="37"/>
      <c r="MGI146" s="37"/>
      <c r="MGJ146" s="37"/>
      <c r="MGK146" s="37"/>
      <c r="MGL146" s="37"/>
      <c r="MGM146" s="37"/>
      <c r="MGN146" s="37"/>
      <c r="MGO146" s="37"/>
      <c r="MGP146" s="37"/>
      <c r="MGQ146" s="37"/>
      <c r="MGR146" s="37"/>
      <c r="MGS146" s="37"/>
      <c r="MGT146" s="37"/>
      <c r="MGU146" s="37"/>
      <c r="MGV146" s="37"/>
      <c r="MGW146" s="37"/>
      <c r="MGX146" s="37"/>
      <c r="MGY146" s="37"/>
      <c r="MGZ146" s="37"/>
      <c r="MHA146" s="37"/>
      <c r="MHB146" s="37"/>
      <c r="MHC146" s="37"/>
      <c r="MHD146" s="37"/>
      <c r="MHE146" s="37"/>
      <c r="MHF146" s="37"/>
      <c r="MHG146" s="37"/>
      <c r="MHH146" s="37"/>
      <c r="MHI146" s="37"/>
      <c r="MHJ146" s="37"/>
      <c r="MHK146" s="37"/>
      <c r="MHL146" s="37"/>
      <c r="MHM146" s="37"/>
      <c r="MHN146" s="37"/>
      <c r="MHO146" s="37"/>
      <c r="MHP146" s="37"/>
      <c r="MHQ146" s="37"/>
      <c r="MHR146" s="37"/>
      <c r="MHS146" s="37"/>
      <c r="MHT146" s="37"/>
      <c r="MHU146" s="37"/>
      <c r="MHV146" s="37"/>
      <c r="MHW146" s="37"/>
      <c r="MHX146" s="37"/>
      <c r="MHY146" s="37"/>
      <c r="MHZ146" s="37"/>
      <c r="MIA146" s="37"/>
      <c r="MIB146" s="37"/>
      <c r="MIC146" s="37"/>
      <c r="MID146" s="37"/>
      <c r="MIE146" s="37"/>
      <c r="MIF146" s="37"/>
      <c r="MIG146" s="37"/>
      <c r="MIH146" s="37"/>
      <c r="MII146" s="37"/>
      <c r="MIJ146" s="37"/>
      <c r="MIK146" s="37"/>
      <c r="MIL146" s="37"/>
      <c r="MIM146" s="37"/>
      <c r="MIN146" s="37"/>
      <c r="MIO146" s="37"/>
      <c r="MIP146" s="37"/>
      <c r="MIQ146" s="37"/>
      <c r="MIR146" s="37"/>
      <c r="MIS146" s="37"/>
      <c r="MIT146" s="37"/>
      <c r="MIU146" s="37"/>
      <c r="MIV146" s="37"/>
      <c r="MIW146" s="37"/>
      <c r="MIX146" s="37"/>
      <c r="MIY146" s="37"/>
      <c r="MIZ146" s="37"/>
      <c r="MJA146" s="37"/>
      <c r="MJB146" s="37"/>
      <c r="MJC146" s="37"/>
      <c r="MJD146" s="37"/>
      <c r="MJE146" s="37"/>
      <c r="MJF146" s="37"/>
      <c r="MJG146" s="37"/>
      <c r="MJH146" s="37"/>
      <c r="MJI146" s="37"/>
      <c r="MJJ146" s="37"/>
      <c r="MJK146" s="37"/>
      <c r="MJL146" s="37"/>
      <c r="MJM146" s="37"/>
      <c r="MJN146" s="37"/>
      <c r="MJO146" s="37"/>
      <c r="MJP146" s="37"/>
      <c r="MJQ146" s="37"/>
      <c r="MJR146" s="37"/>
      <c r="MJS146" s="37"/>
      <c r="MJT146" s="37"/>
      <c r="MJU146" s="37"/>
      <c r="MJV146" s="37"/>
      <c r="MJW146" s="37"/>
      <c r="MJX146" s="37"/>
      <c r="MJY146" s="37"/>
      <c r="MJZ146" s="37"/>
      <c r="MKA146" s="37"/>
      <c r="MKB146" s="37"/>
      <c r="MKC146" s="37"/>
      <c r="MKD146" s="37"/>
      <c r="MKE146" s="37"/>
      <c r="MKF146" s="37"/>
      <c r="MKG146" s="37"/>
      <c r="MKH146" s="37"/>
      <c r="MKI146" s="37"/>
      <c r="MKJ146" s="37"/>
      <c r="MKK146" s="37"/>
      <c r="MKL146" s="37"/>
      <c r="MKM146" s="37"/>
      <c r="MKN146" s="37"/>
      <c r="MKO146" s="37"/>
      <c r="MKP146" s="37"/>
      <c r="MKQ146" s="37"/>
      <c r="MKR146" s="37"/>
      <c r="MKS146" s="37"/>
      <c r="MKT146" s="37"/>
      <c r="MKU146" s="37"/>
      <c r="MKV146" s="37"/>
      <c r="MKW146" s="37"/>
      <c r="MKX146" s="37"/>
      <c r="MKY146" s="37"/>
      <c r="MKZ146" s="37"/>
      <c r="MLA146" s="37"/>
      <c r="MLB146" s="37"/>
      <c r="MLC146" s="37"/>
      <c r="MLD146" s="37"/>
      <c r="MLE146" s="37"/>
      <c r="MLF146" s="37"/>
      <c r="MLG146" s="37"/>
      <c r="MLH146" s="37"/>
      <c r="MLI146" s="37"/>
      <c r="MLJ146" s="37"/>
      <c r="MLK146" s="37"/>
      <c r="MLL146" s="37"/>
      <c r="MLM146" s="37"/>
      <c r="MLN146" s="37"/>
      <c r="MLO146" s="37"/>
      <c r="MLP146" s="37"/>
      <c r="MLQ146" s="37"/>
      <c r="MLR146" s="37"/>
      <c r="MLS146" s="37"/>
      <c r="MLT146" s="37"/>
      <c r="MLU146" s="37"/>
      <c r="MLV146" s="37"/>
      <c r="MLW146" s="37"/>
      <c r="MLX146" s="37"/>
      <c r="MLY146" s="37"/>
      <c r="MLZ146" s="37"/>
      <c r="MMA146" s="37"/>
      <c r="MMB146" s="37"/>
      <c r="MMC146" s="37"/>
      <c r="MMD146" s="37"/>
      <c r="MME146" s="37"/>
      <c r="MMF146" s="37"/>
      <c r="MMG146" s="37"/>
      <c r="MMH146" s="37"/>
      <c r="MMI146" s="37"/>
      <c r="MMJ146" s="37"/>
      <c r="MMK146" s="37"/>
      <c r="MML146" s="37"/>
      <c r="MMM146" s="37"/>
      <c r="MMN146" s="37"/>
      <c r="MMO146" s="37"/>
      <c r="MMP146" s="37"/>
      <c r="MMQ146" s="37"/>
      <c r="MMR146" s="37"/>
      <c r="MMS146" s="37"/>
      <c r="MMT146" s="37"/>
      <c r="MMU146" s="37"/>
      <c r="MMV146" s="37"/>
      <c r="MMW146" s="37"/>
      <c r="MMX146" s="37"/>
      <c r="MMY146" s="37"/>
      <c r="MMZ146" s="37"/>
      <c r="MNA146" s="37"/>
      <c r="MNB146" s="37"/>
      <c r="MNC146" s="37"/>
      <c r="MND146" s="37"/>
      <c r="MNE146" s="37"/>
      <c r="MNF146" s="37"/>
      <c r="MNG146" s="37"/>
      <c r="MNH146" s="37"/>
      <c r="MNI146" s="37"/>
      <c r="MNJ146" s="37"/>
      <c r="MNK146" s="37"/>
      <c r="MNL146" s="37"/>
      <c r="MNM146" s="37"/>
      <c r="MNN146" s="37"/>
      <c r="MNO146" s="37"/>
      <c r="MNP146" s="37"/>
      <c r="MNQ146" s="37"/>
      <c r="MNR146" s="37"/>
      <c r="MNS146" s="37"/>
      <c r="MNT146" s="37"/>
      <c r="MNU146" s="37"/>
      <c r="MNV146" s="37"/>
      <c r="MNW146" s="37"/>
      <c r="MNX146" s="37"/>
      <c r="MNY146" s="37"/>
      <c r="MNZ146" s="37"/>
      <c r="MOA146" s="37"/>
      <c r="MOB146" s="37"/>
      <c r="MOC146" s="37"/>
      <c r="MOD146" s="37"/>
      <c r="MOE146" s="37"/>
      <c r="MOF146" s="37"/>
      <c r="MOG146" s="37"/>
      <c r="MOH146" s="37"/>
      <c r="MOI146" s="37"/>
      <c r="MOJ146" s="37"/>
      <c r="MOK146" s="37"/>
      <c r="MOL146" s="37"/>
      <c r="MOM146" s="37"/>
      <c r="MON146" s="37"/>
      <c r="MOO146" s="37"/>
      <c r="MOP146" s="37"/>
      <c r="MOQ146" s="37"/>
      <c r="MOR146" s="37"/>
      <c r="MOS146" s="37"/>
      <c r="MOT146" s="37"/>
      <c r="MOU146" s="37"/>
      <c r="MOV146" s="37"/>
      <c r="MOW146" s="37"/>
      <c r="MOX146" s="37"/>
      <c r="MOY146" s="37"/>
      <c r="MOZ146" s="37"/>
      <c r="MPA146" s="37"/>
      <c r="MPB146" s="37"/>
      <c r="MPC146" s="37"/>
      <c r="MPD146" s="37"/>
      <c r="MPE146" s="37"/>
      <c r="MPF146" s="37"/>
      <c r="MPG146" s="37"/>
      <c r="MPH146" s="37"/>
      <c r="MPI146" s="37"/>
      <c r="MPJ146" s="37"/>
      <c r="MPK146" s="37"/>
      <c r="MPL146" s="37"/>
      <c r="MPM146" s="37"/>
      <c r="MPN146" s="37"/>
      <c r="MPO146" s="37"/>
      <c r="MPP146" s="37"/>
      <c r="MPQ146" s="37"/>
      <c r="MPR146" s="37"/>
      <c r="MPS146" s="37"/>
      <c r="MPT146" s="37"/>
      <c r="MPU146" s="37"/>
      <c r="MPV146" s="37"/>
      <c r="MPW146" s="37"/>
      <c r="MPX146" s="37"/>
      <c r="MPY146" s="37"/>
      <c r="MPZ146" s="37"/>
      <c r="MQA146" s="37"/>
      <c r="MQB146" s="37"/>
      <c r="MQC146" s="37"/>
      <c r="MQD146" s="37"/>
      <c r="MQE146" s="37"/>
      <c r="MQF146" s="37"/>
      <c r="MQG146" s="37"/>
      <c r="MQH146" s="37"/>
      <c r="MQI146" s="37"/>
      <c r="MQJ146" s="37"/>
      <c r="MQK146" s="37"/>
      <c r="MQL146" s="37"/>
      <c r="MQM146" s="37"/>
      <c r="MQN146" s="37"/>
      <c r="MQO146" s="37"/>
      <c r="MQP146" s="37"/>
      <c r="MQQ146" s="37"/>
      <c r="MQR146" s="37"/>
      <c r="MQS146" s="37"/>
      <c r="MQT146" s="37"/>
      <c r="MQU146" s="37"/>
      <c r="MQV146" s="37"/>
      <c r="MQW146" s="37"/>
      <c r="MQX146" s="37"/>
      <c r="MQY146" s="37"/>
      <c r="MQZ146" s="37"/>
      <c r="MRA146" s="37"/>
      <c r="MRB146" s="37"/>
      <c r="MRC146" s="37"/>
      <c r="MRD146" s="37"/>
      <c r="MRE146" s="37"/>
      <c r="MRF146" s="37"/>
      <c r="MRG146" s="37"/>
      <c r="MRH146" s="37"/>
      <c r="MRI146" s="37"/>
      <c r="MRJ146" s="37"/>
      <c r="MRK146" s="37"/>
      <c r="MRL146" s="37"/>
      <c r="MRM146" s="37"/>
      <c r="MRN146" s="37"/>
      <c r="MRO146" s="37"/>
      <c r="MRP146" s="37"/>
      <c r="MRQ146" s="37"/>
      <c r="MRR146" s="37"/>
      <c r="MRS146" s="37"/>
      <c r="MRT146" s="37"/>
      <c r="MRU146" s="37"/>
      <c r="MRV146" s="37"/>
      <c r="MRW146" s="37"/>
      <c r="MRX146" s="37"/>
      <c r="MRY146" s="37"/>
      <c r="MRZ146" s="37"/>
      <c r="MSA146" s="37"/>
      <c r="MSB146" s="37"/>
      <c r="MSC146" s="37"/>
      <c r="MSD146" s="37"/>
      <c r="MSE146" s="37"/>
      <c r="MSF146" s="37"/>
      <c r="MSG146" s="37"/>
      <c r="MSH146" s="37"/>
      <c r="MSI146" s="37"/>
      <c r="MSJ146" s="37"/>
      <c r="MSK146" s="37"/>
      <c r="MSL146" s="37"/>
      <c r="MSM146" s="37"/>
      <c r="MSN146" s="37"/>
      <c r="MSO146" s="37"/>
      <c r="MSP146" s="37"/>
      <c r="MSQ146" s="37"/>
      <c r="MSR146" s="37"/>
      <c r="MSS146" s="37"/>
      <c r="MST146" s="37"/>
      <c r="MSU146" s="37"/>
      <c r="MSV146" s="37"/>
      <c r="MSW146" s="37"/>
      <c r="MSX146" s="37"/>
      <c r="MSY146" s="37"/>
      <c r="MSZ146" s="37"/>
      <c r="MTA146" s="37"/>
      <c r="MTB146" s="37"/>
      <c r="MTC146" s="37"/>
      <c r="MTD146" s="37"/>
      <c r="MTE146" s="37"/>
      <c r="MTF146" s="37"/>
      <c r="MTG146" s="37"/>
      <c r="MTH146" s="37"/>
      <c r="MTI146" s="37"/>
      <c r="MTJ146" s="37"/>
      <c r="MTK146" s="37"/>
      <c r="MTL146" s="37"/>
      <c r="MTM146" s="37"/>
      <c r="MTN146" s="37"/>
      <c r="MTO146" s="37"/>
      <c r="MTP146" s="37"/>
      <c r="MTQ146" s="37"/>
      <c r="MTR146" s="37"/>
      <c r="MTS146" s="37"/>
      <c r="MTT146" s="37"/>
      <c r="MTU146" s="37"/>
      <c r="MTV146" s="37"/>
      <c r="MTW146" s="37"/>
      <c r="MTX146" s="37"/>
      <c r="MTY146" s="37"/>
      <c r="MTZ146" s="37"/>
      <c r="MUA146" s="37"/>
      <c r="MUB146" s="37"/>
      <c r="MUC146" s="37"/>
      <c r="MUD146" s="37"/>
      <c r="MUE146" s="37"/>
      <c r="MUF146" s="37"/>
      <c r="MUG146" s="37"/>
      <c r="MUH146" s="37"/>
      <c r="MUI146" s="37"/>
      <c r="MUJ146" s="37"/>
      <c r="MUK146" s="37"/>
      <c r="MUL146" s="37"/>
      <c r="MUM146" s="37"/>
      <c r="MUN146" s="37"/>
      <c r="MUO146" s="37"/>
      <c r="MUP146" s="37"/>
      <c r="MUQ146" s="37"/>
      <c r="MUR146" s="37"/>
      <c r="MUS146" s="37"/>
      <c r="MUT146" s="37"/>
      <c r="MUU146" s="37"/>
      <c r="MUV146" s="37"/>
      <c r="MUW146" s="37"/>
      <c r="MUX146" s="37"/>
      <c r="MUY146" s="37"/>
      <c r="MUZ146" s="37"/>
      <c r="MVA146" s="37"/>
      <c r="MVB146" s="37"/>
      <c r="MVC146" s="37"/>
      <c r="MVD146" s="37"/>
      <c r="MVE146" s="37"/>
      <c r="MVF146" s="37"/>
      <c r="MVG146" s="37"/>
      <c r="MVH146" s="37"/>
      <c r="MVI146" s="37"/>
      <c r="MVJ146" s="37"/>
      <c r="MVK146" s="37"/>
      <c r="MVL146" s="37"/>
      <c r="MVM146" s="37"/>
      <c r="MVN146" s="37"/>
      <c r="MVO146" s="37"/>
      <c r="MVP146" s="37"/>
      <c r="MVQ146" s="37"/>
      <c r="MVR146" s="37"/>
      <c r="MVS146" s="37"/>
      <c r="MVT146" s="37"/>
      <c r="MVU146" s="37"/>
      <c r="MVV146" s="37"/>
      <c r="MVW146" s="37"/>
      <c r="MVX146" s="37"/>
      <c r="MVY146" s="37"/>
      <c r="MVZ146" s="37"/>
      <c r="MWA146" s="37"/>
      <c r="MWB146" s="37"/>
      <c r="MWC146" s="37"/>
      <c r="MWD146" s="37"/>
      <c r="MWE146" s="37"/>
      <c r="MWF146" s="37"/>
      <c r="MWG146" s="37"/>
      <c r="MWH146" s="37"/>
      <c r="MWI146" s="37"/>
      <c r="MWJ146" s="37"/>
      <c r="MWK146" s="37"/>
      <c r="MWL146" s="37"/>
      <c r="MWM146" s="37"/>
      <c r="MWN146" s="37"/>
      <c r="MWO146" s="37"/>
      <c r="MWP146" s="37"/>
      <c r="MWQ146" s="37"/>
      <c r="MWR146" s="37"/>
      <c r="MWS146" s="37"/>
      <c r="MWT146" s="37"/>
      <c r="MWU146" s="37"/>
      <c r="MWV146" s="37"/>
      <c r="MWW146" s="37"/>
      <c r="MWX146" s="37"/>
      <c r="MWY146" s="37"/>
      <c r="MWZ146" s="37"/>
      <c r="MXA146" s="37"/>
      <c r="MXB146" s="37"/>
      <c r="MXC146" s="37"/>
      <c r="MXD146" s="37"/>
      <c r="MXE146" s="37"/>
      <c r="MXF146" s="37"/>
      <c r="MXG146" s="37"/>
      <c r="MXH146" s="37"/>
      <c r="MXI146" s="37"/>
      <c r="MXJ146" s="37"/>
      <c r="MXK146" s="37"/>
      <c r="MXL146" s="37"/>
      <c r="MXM146" s="37"/>
      <c r="MXN146" s="37"/>
      <c r="MXO146" s="37"/>
      <c r="MXP146" s="37"/>
      <c r="MXQ146" s="37"/>
      <c r="MXR146" s="37"/>
      <c r="MXS146" s="37"/>
      <c r="MXT146" s="37"/>
      <c r="MXU146" s="37"/>
      <c r="MXV146" s="37"/>
      <c r="MXW146" s="37"/>
      <c r="MXX146" s="37"/>
      <c r="MXY146" s="37"/>
      <c r="MXZ146" s="37"/>
      <c r="MYA146" s="37"/>
      <c r="MYB146" s="37"/>
      <c r="MYC146" s="37"/>
      <c r="MYD146" s="37"/>
      <c r="MYE146" s="37"/>
      <c r="MYF146" s="37"/>
      <c r="MYG146" s="37"/>
      <c r="MYH146" s="37"/>
      <c r="MYI146" s="37"/>
      <c r="MYJ146" s="37"/>
      <c r="MYK146" s="37"/>
      <c r="MYL146" s="37"/>
      <c r="MYM146" s="37"/>
      <c r="MYN146" s="37"/>
      <c r="MYO146" s="37"/>
      <c r="MYP146" s="37"/>
      <c r="MYQ146" s="37"/>
      <c r="MYR146" s="37"/>
      <c r="MYS146" s="37"/>
      <c r="MYT146" s="37"/>
      <c r="MYU146" s="37"/>
      <c r="MYV146" s="37"/>
      <c r="MYW146" s="37"/>
      <c r="MYX146" s="37"/>
      <c r="MYY146" s="37"/>
      <c r="MYZ146" s="37"/>
      <c r="MZA146" s="37"/>
      <c r="MZB146" s="37"/>
      <c r="MZC146" s="37"/>
      <c r="MZD146" s="37"/>
      <c r="MZE146" s="37"/>
      <c r="MZF146" s="37"/>
      <c r="MZG146" s="37"/>
      <c r="MZH146" s="37"/>
      <c r="MZI146" s="37"/>
      <c r="MZJ146" s="37"/>
      <c r="MZK146" s="37"/>
      <c r="MZL146" s="37"/>
      <c r="MZM146" s="37"/>
      <c r="MZN146" s="37"/>
      <c r="MZO146" s="37"/>
      <c r="MZP146" s="37"/>
      <c r="MZQ146" s="37"/>
      <c r="MZR146" s="37"/>
      <c r="MZS146" s="37"/>
      <c r="MZT146" s="37"/>
      <c r="MZU146" s="37"/>
      <c r="MZV146" s="37"/>
      <c r="MZW146" s="37"/>
      <c r="MZX146" s="37"/>
      <c r="MZY146" s="37"/>
      <c r="MZZ146" s="37"/>
      <c r="NAA146" s="37"/>
      <c r="NAB146" s="37"/>
      <c r="NAC146" s="37"/>
      <c r="NAD146" s="37"/>
      <c r="NAE146" s="37"/>
      <c r="NAF146" s="37"/>
      <c r="NAG146" s="37"/>
      <c r="NAH146" s="37"/>
      <c r="NAI146" s="37"/>
      <c r="NAJ146" s="37"/>
      <c r="NAK146" s="37"/>
      <c r="NAL146" s="37"/>
      <c r="NAM146" s="37"/>
      <c r="NAN146" s="37"/>
      <c r="NAO146" s="37"/>
      <c r="NAP146" s="37"/>
      <c r="NAQ146" s="37"/>
      <c r="NAR146" s="37"/>
      <c r="NAS146" s="37"/>
      <c r="NAT146" s="37"/>
      <c r="NAU146" s="37"/>
      <c r="NAV146" s="37"/>
      <c r="NAW146" s="37"/>
      <c r="NAX146" s="37"/>
      <c r="NAY146" s="37"/>
      <c r="NAZ146" s="37"/>
      <c r="NBA146" s="37"/>
      <c r="NBB146" s="37"/>
      <c r="NBC146" s="37"/>
      <c r="NBD146" s="37"/>
      <c r="NBE146" s="37"/>
      <c r="NBF146" s="37"/>
      <c r="NBG146" s="37"/>
      <c r="NBH146" s="37"/>
      <c r="NBI146" s="37"/>
      <c r="NBJ146" s="37"/>
      <c r="NBK146" s="37"/>
      <c r="NBL146" s="37"/>
      <c r="NBM146" s="37"/>
      <c r="NBN146" s="37"/>
      <c r="NBO146" s="37"/>
      <c r="NBP146" s="37"/>
      <c r="NBQ146" s="37"/>
      <c r="NBR146" s="37"/>
      <c r="NBS146" s="37"/>
      <c r="NBT146" s="37"/>
      <c r="NBU146" s="37"/>
      <c r="NBV146" s="37"/>
      <c r="NBW146" s="37"/>
      <c r="NBX146" s="37"/>
      <c r="NBY146" s="37"/>
      <c r="NBZ146" s="37"/>
      <c r="NCA146" s="37"/>
      <c r="NCB146" s="37"/>
      <c r="NCC146" s="37"/>
      <c r="NCD146" s="37"/>
      <c r="NCE146" s="37"/>
      <c r="NCF146" s="37"/>
      <c r="NCG146" s="37"/>
      <c r="NCH146" s="37"/>
      <c r="NCI146" s="37"/>
      <c r="NCJ146" s="37"/>
      <c r="NCK146" s="37"/>
      <c r="NCL146" s="37"/>
      <c r="NCM146" s="37"/>
      <c r="NCN146" s="37"/>
      <c r="NCO146" s="37"/>
      <c r="NCP146" s="37"/>
      <c r="NCQ146" s="37"/>
      <c r="NCR146" s="37"/>
      <c r="NCS146" s="37"/>
      <c r="NCT146" s="37"/>
      <c r="NCU146" s="37"/>
      <c r="NCV146" s="37"/>
      <c r="NCW146" s="37"/>
      <c r="NCX146" s="37"/>
      <c r="NCY146" s="37"/>
      <c r="NCZ146" s="37"/>
      <c r="NDA146" s="37"/>
      <c r="NDB146" s="37"/>
      <c r="NDC146" s="37"/>
      <c r="NDD146" s="37"/>
      <c r="NDE146" s="37"/>
      <c r="NDF146" s="37"/>
      <c r="NDG146" s="37"/>
      <c r="NDH146" s="37"/>
      <c r="NDI146" s="37"/>
      <c r="NDJ146" s="37"/>
      <c r="NDK146" s="37"/>
      <c r="NDL146" s="37"/>
      <c r="NDM146" s="37"/>
      <c r="NDN146" s="37"/>
      <c r="NDO146" s="37"/>
      <c r="NDP146" s="37"/>
      <c r="NDQ146" s="37"/>
      <c r="NDR146" s="37"/>
      <c r="NDS146" s="37"/>
      <c r="NDT146" s="37"/>
      <c r="NDU146" s="37"/>
      <c r="NDV146" s="37"/>
      <c r="NDW146" s="37"/>
      <c r="NDX146" s="37"/>
      <c r="NDY146" s="37"/>
      <c r="NDZ146" s="37"/>
      <c r="NEA146" s="37"/>
      <c r="NEB146" s="37"/>
      <c r="NEC146" s="37"/>
      <c r="NED146" s="37"/>
      <c r="NEE146" s="37"/>
      <c r="NEF146" s="37"/>
      <c r="NEG146" s="37"/>
      <c r="NEH146" s="37"/>
      <c r="NEI146" s="37"/>
      <c r="NEJ146" s="37"/>
      <c r="NEK146" s="37"/>
      <c r="NEL146" s="37"/>
      <c r="NEM146" s="37"/>
      <c r="NEN146" s="37"/>
      <c r="NEO146" s="37"/>
      <c r="NEP146" s="37"/>
      <c r="NEQ146" s="37"/>
      <c r="NER146" s="37"/>
      <c r="NES146" s="37"/>
      <c r="NET146" s="37"/>
      <c r="NEU146" s="37"/>
      <c r="NEV146" s="37"/>
      <c r="NEW146" s="37"/>
      <c r="NEX146" s="37"/>
      <c r="NEY146" s="37"/>
      <c r="NEZ146" s="37"/>
      <c r="NFA146" s="37"/>
      <c r="NFB146" s="37"/>
      <c r="NFC146" s="37"/>
      <c r="NFD146" s="37"/>
      <c r="NFE146" s="37"/>
      <c r="NFF146" s="37"/>
      <c r="NFG146" s="37"/>
      <c r="NFH146" s="37"/>
      <c r="NFI146" s="37"/>
      <c r="NFJ146" s="37"/>
      <c r="NFK146" s="37"/>
      <c r="NFL146" s="37"/>
      <c r="NFM146" s="37"/>
      <c r="NFN146" s="37"/>
      <c r="NFO146" s="37"/>
      <c r="NFP146" s="37"/>
      <c r="NFQ146" s="37"/>
      <c r="NFR146" s="37"/>
      <c r="NFS146" s="37"/>
      <c r="NFT146" s="37"/>
      <c r="NFU146" s="37"/>
      <c r="NFV146" s="37"/>
      <c r="NFW146" s="37"/>
      <c r="NFX146" s="37"/>
      <c r="NFY146" s="37"/>
      <c r="NFZ146" s="37"/>
      <c r="NGA146" s="37"/>
      <c r="NGB146" s="37"/>
      <c r="NGC146" s="37"/>
      <c r="NGD146" s="37"/>
      <c r="NGE146" s="37"/>
      <c r="NGF146" s="37"/>
      <c r="NGG146" s="37"/>
      <c r="NGH146" s="37"/>
      <c r="NGI146" s="37"/>
      <c r="NGJ146" s="37"/>
      <c r="NGK146" s="37"/>
      <c r="NGL146" s="37"/>
      <c r="NGM146" s="37"/>
      <c r="NGN146" s="37"/>
      <c r="NGO146" s="37"/>
      <c r="NGP146" s="37"/>
      <c r="NGQ146" s="37"/>
      <c r="NGR146" s="37"/>
      <c r="NGS146" s="37"/>
      <c r="NGT146" s="37"/>
      <c r="NGU146" s="37"/>
      <c r="NGV146" s="37"/>
      <c r="NGW146" s="37"/>
      <c r="NGX146" s="37"/>
      <c r="NGY146" s="37"/>
      <c r="NGZ146" s="37"/>
      <c r="NHA146" s="37"/>
      <c r="NHB146" s="37"/>
      <c r="NHC146" s="37"/>
      <c r="NHD146" s="37"/>
      <c r="NHE146" s="37"/>
      <c r="NHF146" s="37"/>
      <c r="NHG146" s="37"/>
      <c r="NHH146" s="37"/>
      <c r="NHI146" s="37"/>
      <c r="NHJ146" s="37"/>
      <c r="NHK146" s="37"/>
      <c r="NHL146" s="37"/>
      <c r="NHM146" s="37"/>
      <c r="NHN146" s="37"/>
      <c r="NHO146" s="37"/>
      <c r="NHP146" s="37"/>
      <c r="NHQ146" s="37"/>
      <c r="NHR146" s="37"/>
      <c r="NHS146" s="37"/>
      <c r="NHT146" s="37"/>
      <c r="NHU146" s="37"/>
      <c r="NHV146" s="37"/>
      <c r="NHW146" s="37"/>
      <c r="NHX146" s="37"/>
      <c r="NHY146" s="37"/>
      <c r="NHZ146" s="37"/>
      <c r="NIA146" s="37"/>
      <c r="NIB146" s="37"/>
      <c r="NIC146" s="37"/>
      <c r="NID146" s="37"/>
      <c r="NIE146" s="37"/>
      <c r="NIF146" s="37"/>
      <c r="NIG146" s="37"/>
      <c r="NIH146" s="37"/>
      <c r="NII146" s="37"/>
      <c r="NIJ146" s="37"/>
      <c r="NIK146" s="37"/>
      <c r="NIL146" s="37"/>
      <c r="NIM146" s="37"/>
      <c r="NIN146" s="37"/>
      <c r="NIO146" s="37"/>
      <c r="NIP146" s="37"/>
      <c r="NIQ146" s="37"/>
      <c r="NIR146" s="37"/>
      <c r="NIS146" s="37"/>
      <c r="NIT146" s="37"/>
      <c r="NIU146" s="37"/>
      <c r="NIV146" s="37"/>
      <c r="NIW146" s="37"/>
      <c r="NIX146" s="37"/>
      <c r="NIY146" s="37"/>
      <c r="NIZ146" s="37"/>
      <c r="NJA146" s="37"/>
      <c r="NJB146" s="37"/>
      <c r="NJC146" s="37"/>
      <c r="NJD146" s="37"/>
      <c r="NJE146" s="37"/>
      <c r="NJF146" s="37"/>
      <c r="NJG146" s="37"/>
      <c r="NJH146" s="37"/>
      <c r="NJI146" s="37"/>
      <c r="NJJ146" s="37"/>
      <c r="NJK146" s="37"/>
      <c r="NJL146" s="37"/>
      <c r="NJM146" s="37"/>
      <c r="NJN146" s="37"/>
      <c r="NJO146" s="37"/>
      <c r="NJP146" s="37"/>
      <c r="NJQ146" s="37"/>
      <c r="NJR146" s="37"/>
      <c r="NJS146" s="37"/>
      <c r="NJT146" s="37"/>
      <c r="NJU146" s="37"/>
      <c r="NJV146" s="37"/>
      <c r="NJW146" s="37"/>
      <c r="NJX146" s="37"/>
      <c r="NJY146" s="37"/>
      <c r="NJZ146" s="37"/>
      <c r="NKA146" s="37"/>
      <c r="NKB146" s="37"/>
      <c r="NKC146" s="37"/>
      <c r="NKD146" s="37"/>
      <c r="NKE146" s="37"/>
      <c r="NKF146" s="37"/>
      <c r="NKG146" s="37"/>
      <c r="NKH146" s="37"/>
      <c r="NKI146" s="37"/>
      <c r="NKJ146" s="37"/>
      <c r="NKK146" s="37"/>
      <c r="NKL146" s="37"/>
      <c r="NKM146" s="37"/>
      <c r="NKN146" s="37"/>
      <c r="NKO146" s="37"/>
      <c r="NKP146" s="37"/>
      <c r="NKQ146" s="37"/>
      <c r="NKR146" s="37"/>
      <c r="NKS146" s="37"/>
      <c r="NKT146" s="37"/>
      <c r="NKU146" s="37"/>
      <c r="NKV146" s="37"/>
      <c r="NKW146" s="37"/>
      <c r="NKX146" s="37"/>
      <c r="NKY146" s="37"/>
      <c r="NKZ146" s="37"/>
      <c r="NLA146" s="37"/>
      <c r="NLB146" s="37"/>
      <c r="NLC146" s="37"/>
      <c r="NLD146" s="37"/>
      <c r="NLE146" s="37"/>
      <c r="NLF146" s="37"/>
      <c r="NLG146" s="37"/>
      <c r="NLH146" s="37"/>
      <c r="NLI146" s="37"/>
      <c r="NLJ146" s="37"/>
      <c r="NLK146" s="37"/>
      <c r="NLL146" s="37"/>
      <c r="NLM146" s="37"/>
      <c r="NLN146" s="37"/>
      <c r="NLO146" s="37"/>
      <c r="NLP146" s="37"/>
      <c r="NLQ146" s="37"/>
      <c r="NLR146" s="37"/>
      <c r="NLS146" s="37"/>
      <c r="NLT146" s="37"/>
      <c r="NLU146" s="37"/>
      <c r="NLV146" s="37"/>
      <c r="NLW146" s="37"/>
      <c r="NLX146" s="37"/>
      <c r="NLY146" s="37"/>
      <c r="NLZ146" s="37"/>
      <c r="NMA146" s="37"/>
      <c r="NMB146" s="37"/>
      <c r="NMC146" s="37"/>
      <c r="NMD146" s="37"/>
      <c r="NME146" s="37"/>
      <c r="NMF146" s="37"/>
      <c r="NMG146" s="37"/>
      <c r="NMH146" s="37"/>
      <c r="NMI146" s="37"/>
      <c r="NMJ146" s="37"/>
      <c r="NMK146" s="37"/>
      <c r="NML146" s="37"/>
      <c r="NMM146" s="37"/>
      <c r="NMN146" s="37"/>
      <c r="NMO146" s="37"/>
      <c r="NMP146" s="37"/>
      <c r="NMQ146" s="37"/>
      <c r="NMR146" s="37"/>
      <c r="NMS146" s="37"/>
      <c r="NMT146" s="37"/>
      <c r="NMU146" s="37"/>
      <c r="NMV146" s="37"/>
      <c r="NMW146" s="37"/>
      <c r="NMX146" s="37"/>
      <c r="NMY146" s="37"/>
      <c r="NMZ146" s="37"/>
      <c r="NNA146" s="37"/>
      <c r="NNB146" s="37"/>
      <c r="NNC146" s="37"/>
      <c r="NND146" s="37"/>
      <c r="NNE146" s="37"/>
      <c r="NNF146" s="37"/>
      <c r="NNG146" s="37"/>
      <c r="NNH146" s="37"/>
      <c r="NNI146" s="37"/>
      <c r="NNJ146" s="37"/>
      <c r="NNK146" s="37"/>
      <c r="NNL146" s="37"/>
      <c r="NNM146" s="37"/>
      <c r="NNN146" s="37"/>
      <c r="NNO146" s="37"/>
      <c r="NNP146" s="37"/>
      <c r="NNQ146" s="37"/>
      <c r="NNR146" s="37"/>
      <c r="NNS146" s="37"/>
      <c r="NNT146" s="37"/>
      <c r="NNU146" s="37"/>
      <c r="NNV146" s="37"/>
      <c r="NNW146" s="37"/>
      <c r="NNX146" s="37"/>
      <c r="NNY146" s="37"/>
      <c r="NNZ146" s="37"/>
      <c r="NOA146" s="37"/>
      <c r="NOB146" s="37"/>
      <c r="NOC146" s="37"/>
      <c r="NOD146" s="37"/>
      <c r="NOE146" s="37"/>
      <c r="NOF146" s="37"/>
      <c r="NOG146" s="37"/>
      <c r="NOH146" s="37"/>
      <c r="NOI146" s="37"/>
      <c r="NOJ146" s="37"/>
      <c r="NOK146" s="37"/>
      <c r="NOL146" s="37"/>
      <c r="NOM146" s="37"/>
      <c r="NON146" s="37"/>
      <c r="NOO146" s="37"/>
      <c r="NOP146" s="37"/>
      <c r="NOQ146" s="37"/>
      <c r="NOR146" s="37"/>
      <c r="NOS146" s="37"/>
      <c r="NOT146" s="37"/>
      <c r="NOU146" s="37"/>
      <c r="NOV146" s="37"/>
      <c r="NOW146" s="37"/>
      <c r="NOX146" s="37"/>
      <c r="NOY146" s="37"/>
      <c r="NOZ146" s="37"/>
      <c r="NPA146" s="37"/>
      <c r="NPB146" s="37"/>
      <c r="NPC146" s="37"/>
      <c r="NPD146" s="37"/>
      <c r="NPE146" s="37"/>
      <c r="NPF146" s="37"/>
      <c r="NPG146" s="37"/>
      <c r="NPH146" s="37"/>
      <c r="NPI146" s="37"/>
      <c r="NPJ146" s="37"/>
      <c r="NPK146" s="37"/>
      <c r="NPL146" s="37"/>
      <c r="NPM146" s="37"/>
      <c r="NPN146" s="37"/>
      <c r="NPO146" s="37"/>
      <c r="NPP146" s="37"/>
      <c r="NPQ146" s="37"/>
      <c r="NPR146" s="37"/>
      <c r="NPS146" s="37"/>
      <c r="NPT146" s="37"/>
      <c r="NPU146" s="37"/>
      <c r="NPV146" s="37"/>
      <c r="NPW146" s="37"/>
      <c r="NPX146" s="37"/>
      <c r="NPY146" s="37"/>
      <c r="NPZ146" s="37"/>
      <c r="NQA146" s="37"/>
      <c r="NQB146" s="37"/>
      <c r="NQC146" s="37"/>
      <c r="NQD146" s="37"/>
      <c r="NQE146" s="37"/>
      <c r="NQF146" s="37"/>
      <c r="NQG146" s="37"/>
      <c r="NQH146" s="37"/>
      <c r="NQI146" s="37"/>
      <c r="NQJ146" s="37"/>
      <c r="NQK146" s="37"/>
      <c r="NQL146" s="37"/>
      <c r="NQM146" s="37"/>
      <c r="NQN146" s="37"/>
      <c r="NQO146" s="37"/>
      <c r="NQP146" s="37"/>
      <c r="NQQ146" s="37"/>
      <c r="NQR146" s="37"/>
      <c r="NQS146" s="37"/>
      <c r="NQT146" s="37"/>
      <c r="NQU146" s="37"/>
      <c r="NQV146" s="37"/>
      <c r="NQW146" s="37"/>
      <c r="NQX146" s="37"/>
      <c r="NQY146" s="37"/>
      <c r="NQZ146" s="37"/>
      <c r="NRA146" s="37"/>
      <c r="NRB146" s="37"/>
      <c r="NRC146" s="37"/>
      <c r="NRD146" s="37"/>
      <c r="NRE146" s="37"/>
      <c r="NRF146" s="37"/>
      <c r="NRG146" s="37"/>
      <c r="NRH146" s="37"/>
      <c r="NRI146" s="37"/>
      <c r="NRJ146" s="37"/>
      <c r="NRK146" s="37"/>
      <c r="NRL146" s="37"/>
      <c r="NRM146" s="37"/>
      <c r="NRN146" s="37"/>
      <c r="NRO146" s="37"/>
      <c r="NRP146" s="37"/>
      <c r="NRQ146" s="37"/>
      <c r="NRR146" s="37"/>
      <c r="NRS146" s="37"/>
      <c r="NRT146" s="37"/>
      <c r="NRU146" s="37"/>
      <c r="NRV146" s="37"/>
      <c r="NRW146" s="37"/>
      <c r="NRX146" s="37"/>
      <c r="NRY146" s="37"/>
      <c r="NRZ146" s="37"/>
      <c r="NSA146" s="37"/>
      <c r="NSB146" s="37"/>
      <c r="NSC146" s="37"/>
      <c r="NSD146" s="37"/>
      <c r="NSE146" s="37"/>
      <c r="NSF146" s="37"/>
      <c r="NSG146" s="37"/>
      <c r="NSH146" s="37"/>
      <c r="NSI146" s="37"/>
      <c r="NSJ146" s="37"/>
      <c r="NSK146" s="37"/>
      <c r="NSL146" s="37"/>
      <c r="NSM146" s="37"/>
      <c r="NSN146" s="37"/>
      <c r="NSO146" s="37"/>
      <c r="NSP146" s="37"/>
      <c r="NSQ146" s="37"/>
      <c r="NSR146" s="37"/>
      <c r="NSS146" s="37"/>
      <c r="NST146" s="37"/>
      <c r="NSU146" s="37"/>
      <c r="NSV146" s="37"/>
      <c r="NSW146" s="37"/>
      <c r="NSX146" s="37"/>
      <c r="NSY146" s="37"/>
      <c r="NSZ146" s="37"/>
      <c r="NTA146" s="37"/>
      <c r="NTB146" s="37"/>
      <c r="NTC146" s="37"/>
      <c r="NTD146" s="37"/>
      <c r="NTE146" s="37"/>
      <c r="NTF146" s="37"/>
      <c r="NTG146" s="37"/>
      <c r="NTH146" s="37"/>
      <c r="NTI146" s="37"/>
      <c r="NTJ146" s="37"/>
      <c r="NTK146" s="37"/>
      <c r="NTL146" s="37"/>
      <c r="NTM146" s="37"/>
      <c r="NTN146" s="37"/>
      <c r="NTO146" s="37"/>
      <c r="NTP146" s="37"/>
      <c r="NTQ146" s="37"/>
      <c r="NTR146" s="37"/>
      <c r="NTS146" s="37"/>
      <c r="NTT146" s="37"/>
      <c r="NTU146" s="37"/>
      <c r="NTV146" s="37"/>
      <c r="NTW146" s="37"/>
      <c r="NTX146" s="37"/>
      <c r="NTY146" s="37"/>
      <c r="NTZ146" s="37"/>
      <c r="NUA146" s="37"/>
      <c r="NUB146" s="37"/>
      <c r="NUC146" s="37"/>
      <c r="NUD146" s="37"/>
      <c r="NUE146" s="37"/>
      <c r="NUF146" s="37"/>
      <c r="NUG146" s="37"/>
      <c r="NUH146" s="37"/>
      <c r="NUI146" s="37"/>
      <c r="NUJ146" s="37"/>
      <c r="NUK146" s="37"/>
      <c r="NUL146" s="37"/>
      <c r="NUM146" s="37"/>
      <c r="NUN146" s="37"/>
      <c r="NUO146" s="37"/>
      <c r="NUP146" s="37"/>
      <c r="NUQ146" s="37"/>
      <c r="NUR146" s="37"/>
      <c r="NUS146" s="37"/>
      <c r="NUT146" s="37"/>
      <c r="NUU146" s="37"/>
      <c r="NUV146" s="37"/>
      <c r="NUW146" s="37"/>
      <c r="NUX146" s="37"/>
      <c r="NUY146" s="37"/>
      <c r="NUZ146" s="37"/>
      <c r="NVA146" s="37"/>
      <c r="NVB146" s="37"/>
      <c r="NVC146" s="37"/>
      <c r="NVD146" s="37"/>
      <c r="NVE146" s="37"/>
      <c r="NVF146" s="37"/>
      <c r="NVG146" s="37"/>
      <c r="NVH146" s="37"/>
      <c r="NVI146" s="37"/>
      <c r="NVJ146" s="37"/>
      <c r="NVK146" s="37"/>
      <c r="NVL146" s="37"/>
      <c r="NVM146" s="37"/>
      <c r="NVN146" s="37"/>
      <c r="NVO146" s="37"/>
      <c r="NVP146" s="37"/>
      <c r="NVQ146" s="37"/>
      <c r="NVR146" s="37"/>
      <c r="NVS146" s="37"/>
      <c r="NVT146" s="37"/>
      <c r="NVU146" s="37"/>
      <c r="NVV146" s="37"/>
      <c r="NVW146" s="37"/>
      <c r="NVX146" s="37"/>
      <c r="NVY146" s="37"/>
      <c r="NVZ146" s="37"/>
      <c r="NWA146" s="37"/>
      <c r="NWB146" s="37"/>
      <c r="NWC146" s="37"/>
      <c r="NWD146" s="37"/>
      <c r="NWE146" s="37"/>
      <c r="NWF146" s="37"/>
      <c r="NWG146" s="37"/>
      <c r="NWH146" s="37"/>
      <c r="NWI146" s="37"/>
      <c r="NWJ146" s="37"/>
      <c r="NWK146" s="37"/>
      <c r="NWL146" s="37"/>
      <c r="NWM146" s="37"/>
      <c r="NWN146" s="37"/>
      <c r="NWO146" s="37"/>
      <c r="NWP146" s="37"/>
      <c r="NWQ146" s="37"/>
      <c r="NWR146" s="37"/>
      <c r="NWS146" s="37"/>
      <c r="NWT146" s="37"/>
      <c r="NWU146" s="37"/>
      <c r="NWV146" s="37"/>
      <c r="NWW146" s="37"/>
      <c r="NWX146" s="37"/>
      <c r="NWY146" s="37"/>
      <c r="NWZ146" s="37"/>
      <c r="NXA146" s="37"/>
      <c r="NXB146" s="37"/>
      <c r="NXC146" s="37"/>
      <c r="NXD146" s="37"/>
      <c r="NXE146" s="37"/>
      <c r="NXF146" s="37"/>
      <c r="NXG146" s="37"/>
      <c r="NXH146" s="37"/>
      <c r="NXI146" s="37"/>
      <c r="NXJ146" s="37"/>
      <c r="NXK146" s="37"/>
      <c r="NXL146" s="37"/>
      <c r="NXM146" s="37"/>
      <c r="NXN146" s="37"/>
      <c r="NXO146" s="37"/>
      <c r="NXP146" s="37"/>
      <c r="NXQ146" s="37"/>
      <c r="NXR146" s="37"/>
      <c r="NXS146" s="37"/>
      <c r="NXT146" s="37"/>
      <c r="NXU146" s="37"/>
      <c r="NXV146" s="37"/>
      <c r="NXW146" s="37"/>
      <c r="NXX146" s="37"/>
      <c r="NXY146" s="37"/>
      <c r="NXZ146" s="37"/>
      <c r="NYA146" s="37"/>
      <c r="NYB146" s="37"/>
      <c r="NYC146" s="37"/>
      <c r="NYD146" s="37"/>
      <c r="NYE146" s="37"/>
      <c r="NYF146" s="37"/>
      <c r="NYG146" s="37"/>
      <c r="NYH146" s="37"/>
      <c r="NYI146" s="37"/>
      <c r="NYJ146" s="37"/>
      <c r="NYK146" s="37"/>
      <c r="NYL146" s="37"/>
      <c r="NYM146" s="37"/>
      <c r="NYN146" s="37"/>
      <c r="NYO146" s="37"/>
      <c r="NYP146" s="37"/>
      <c r="NYQ146" s="37"/>
      <c r="NYR146" s="37"/>
      <c r="NYS146" s="37"/>
      <c r="NYT146" s="37"/>
      <c r="NYU146" s="37"/>
      <c r="NYV146" s="37"/>
      <c r="NYW146" s="37"/>
      <c r="NYX146" s="37"/>
      <c r="NYY146" s="37"/>
      <c r="NYZ146" s="37"/>
      <c r="NZA146" s="37"/>
      <c r="NZB146" s="37"/>
      <c r="NZC146" s="37"/>
      <c r="NZD146" s="37"/>
      <c r="NZE146" s="37"/>
      <c r="NZF146" s="37"/>
      <c r="NZG146" s="37"/>
      <c r="NZH146" s="37"/>
      <c r="NZI146" s="37"/>
      <c r="NZJ146" s="37"/>
      <c r="NZK146" s="37"/>
      <c r="NZL146" s="37"/>
      <c r="NZM146" s="37"/>
      <c r="NZN146" s="37"/>
      <c r="NZO146" s="37"/>
      <c r="NZP146" s="37"/>
      <c r="NZQ146" s="37"/>
      <c r="NZR146" s="37"/>
      <c r="NZS146" s="37"/>
      <c r="NZT146" s="37"/>
      <c r="NZU146" s="37"/>
      <c r="NZV146" s="37"/>
      <c r="NZW146" s="37"/>
      <c r="NZX146" s="37"/>
      <c r="NZY146" s="37"/>
      <c r="NZZ146" s="37"/>
      <c r="OAA146" s="37"/>
      <c r="OAB146" s="37"/>
      <c r="OAC146" s="37"/>
      <c r="OAD146" s="37"/>
      <c r="OAE146" s="37"/>
      <c r="OAF146" s="37"/>
      <c r="OAG146" s="37"/>
      <c r="OAH146" s="37"/>
      <c r="OAI146" s="37"/>
      <c r="OAJ146" s="37"/>
      <c r="OAK146" s="37"/>
      <c r="OAL146" s="37"/>
      <c r="OAM146" s="37"/>
      <c r="OAN146" s="37"/>
      <c r="OAO146" s="37"/>
      <c r="OAP146" s="37"/>
      <c r="OAQ146" s="37"/>
      <c r="OAR146" s="37"/>
      <c r="OAS146" s="37"/>
      <c r="OAT146" s="37"/>
      <c r="OAU146" s="37"/>
      <c r="OAV146" s="37"/>
      <c r="OAW146" s="37"/>
      <c r="OAX146" s="37"/>
      <c r="OAY146" s="37"/>
      <c r="OAZ146" s="37"/>
      <c r="OBA146" s="37"/>
      <c r="OBB146" s="37"/>
      <c r="OBC146" s="37"/>
      <c r="OBD146" s="37"/>
      <c r="OBE146" s="37"/>
      <c r="OBF146" s="37"/>
      <c r="OBG146" s="37"/>
      <c r="OBH146" s="37"/>
      <c r="OBI146" s="37"/>
      <c r="OBJ146" s="37"/>
      <c r="OBK146" s="37"/>
      <c r="OBL146" s="37"/>
      <c r="OBM146" s="37"/>
      <c r="OBN146" s="37"/>
      <c r="OBO146" s="37"/>
      <c r="OBP146" s="37"/>
      <c r="OBQ146" s="37"/>
      <c r="OBR146" s="37"/>
      <c r="OBS146" s="37"/>
      <c r="OBT146" s="37"/>
      <c r="OBU146" s="37"/>
      <c r="OBV146" s="37"/>
      <c r="OBW146" s="37"/>
      <c r="OBX146" s="37"/>
      <c r="OBY146" s="37"/>
      <c r="OBZ146" s="37"/>
      <c r="OCA146" s="37"/>
      <c r="OCB146" s="37"/>
      <c r="OCC146" s="37"/>
      <c r="OCD146" s="37"/>
      <c r="OCE146" s="37"/>
      <c r="OCF146" s="37"/>
      <c r="OCG146" s="37"/>
      <c r="OCH146" s="37"/>
      <c r="OCI146" s="37"/>
      <c r="OCJ146" s="37"/>
      <c r="OCK146" s="37"/>
      <c r="OCL146" s="37"/>
      <c r="OCM146" s="37"/>
      <c r="OCN146" s="37"/>
      <c r="OCO146" s="37"/>
      <c r="OCP146" s="37"/>
      <c r="OCQ146" s="37"/>
      <c r="OCR146" s="37"/>
      <c r="OCS146" s="37"/>
      <c r="OCT146" s="37"/>
      <c r="OCU146" s="37"/>
      <c r="OCV146" s="37"/>
      <c r="OCW146" s="37"/>
      <c r="OCX146" s="37"/>
      <c r="OCY146" s="37"/>
      <c r="OCZ146" s="37"/>
      <c r="ODA146" s="37"/>
      <c r="ODB146" s="37"/>
      <c r="ODC146" s="37"/>
      <c r="ODD146" s="37"/>
      <c r="ODE146" s="37"/>
      <c r="ODF146" s="37"/>
      <c r="ODG146" s="37"/>
      <c r="ODH146" s="37"/>
      <c r="ODI146" s="37"/>
      <c r="ODJ146" s="37"/>
      <c r="ODK146" s="37"/>
      <c r="ODL146" s="37"/>
      <c r="ODM146" s="37"/>
      <c r="ODN146" s="37"/>
      <c r="ODO146" s="37"/>
      <c r="ODP146" s="37"/>
      <c r="ODQ146" s="37"/>
      <c r="ODR146" s="37"/>
      <c r="ODS146" s="37"/>
      <c r="ODT146" s="37"/>
      <c r="ODU146" s="37"/>
      <c r="ODV146" s="37"/>
      <c r="ODW146" s="37"/>
      <c r="ODX146" s="37"/>
      <c r="ODY146" s="37"/>
      <c r="ODZ146" s="37"/>
      <c r="OEA146" s="37"/>
      <c r="OEB146" s="37"/>
      <c r="OEC146" s="37"/>
      <c r="OED146" s="37"/>
      <c r="OEE146" s="37"/>
      <c r="OEF146" s="37"/>
      <c r="OEG146" s="37"/>
      <c r="OEH146" s="37"/>
      <c r="OEI146" s="37"/>
      <c r="OEJ146" s="37"/>
      <c r="OEK146" s="37"/>
      <c r="OEL146" s="37"/>
      <c r="OEM146" s="37"/>
      <c r="OEN146" s="37"/>
      <c r="OEO146" s="37"/>
      <c r="OEP146" s="37"/>
      <c r="OEQ146" s="37"/>
      <c r="OER146" s="37"/>
      <c r="OES146" s="37"/>
      <c r="OET146" s="37"/>
      <c r="OEU146" s="37"/>
      <c r="OEV146" s="37"/>
      <c r="OEW146" s="37"/>
      <c r="OEX146" s="37"/>
      <c r="OEY146" s="37"/>
      <c r="OEZ146" s="37"/>
      <c r="OFA146" s="37"/>
      <c r="OFB146" s="37"/>
      <c r="OFC146" s="37"/>
      <c r="OFD146" s="37"/>
      <c r="OFE146" s="37"/>
      <c r="OFF146" s="37"/>
      <c r="OFG146" s="37"/>
      <c r="OFH146" s="37"/>
      <c r="OFI146" s="37"/>
      <c r="OFJ146" s="37"/>
      <c r="OFK146" s="37"/>
      <c r="OFL146" s="37"/>
      <c r="OFM146" s="37"/>
      <c r="OFN146" s="37"/>
      <c r="OFO146" s="37"/>
      <c r="OFP146" s="37"/>
      <c r="OFQ146" s="37"/>
      <c r="OFR146" s="37"/>
      <c r="OFS146" s="37"/>
      <c r="OFT146" s="37"/>
      <c r="OFU146" s="37"/>
      <c r="OFV146" s="37"/>
      <c r="OFW146" s="37"/>
      <c r="OFX146" s="37"/>
      <c r="OFY146" s="37"/>
      <c r="OFZ146" s="37"/>
      <c r="OGA146" s="37"/>
      <c r="OGB146" s="37"/>
      <c r="OGC146" s="37"/>
      <c r="OGD146" s="37"/>
      <c r="OGE146" s="37"/>
      <c r="OGF146" s="37"/>
      <c r="OGG146" s="37"/>
      <c r="OGH146" s="37"/>
      <c r="OGI146" s="37"/>
      <c r="OGJ146" s="37"/>
      <c r="OGK146" s="37"/>
      <c r="OGL146" s="37"/>
      <c r="OGM146" s="37"/>
      <c r="OGN146" s="37"/>
      <c r="OGO146" s="37"/>
      <c r="OGP146" s="37"/>
      <c r="OGQ146" s="37"/>
      <c r="OGR146" s="37"/>
      <c r="OGS146" s="37"/>
      <c r="OGT146" s="37"/>
      <c r="OGU146" s="37"/>
      <c r="OGV146" s="37"/>
      <c r="OGW146" s="37"/>
      <c r="OGX146" s="37"/>
      <c r="OGY146" s="37"/>
      <c r="OGZ146" s="37"/>
      <c r="OHA146" s="37"/>
      <c r="OHB146" s="37"/>
      <c r="OHC146" s="37"/>
      <c r="OHD146" s="37"/>
      <c r="OHE146" s="37"/>
      <c r="OHF146" s="37"/>
      <c r="OHG146" s="37"/>
      <c r="OHH146" s="37"/>
      <c r="OHI146" s="37"/>
      <c r="OHJ146" s="37"/>
      <c r="OHK146" s="37"/>
      <c r="OHL146" s="37"/>
      <c r="OHM146" s="37"/>
      <c r="OHN146" s="37"/>
      <c r="OHO146" s="37"/>
      <c r="OHP146" s="37"/>
      <c r="OHQ146" s="37"/>
      <c r="OHR146" s="37"/>
      <c r="OHS146" s="37"/>
      <c r="OHT146" s="37"/>
      <c r="OHU146" s="37"/>
      <c r="OHV146" s="37"/>
      <c r="OHW146" s="37"/>
      <c r="OHX146" s="37"/>
      <c r="OHY146" s="37"/>
      <c r="OHZ146" s="37"/>
      <c r="OIA146" s="37"/>
      <c r="OIB146" s="37"/>
      <c r="OIC146" s="37"/>
      <c r="OID146" s="37"/>
      <c r="OIE146" s="37"/>
      <c r="OIF146" s="37"/>
      <c r="OIG146" s="37"/>
      <c r="OIH146" s="37"/>
      <c r="OII146" s="37"/>
      <c r="OIJ146" s="37"/>
      <c r="OIK146" s="37"/>
      <c r="OIL146" s="37"/>
      <c r="OIM146" s="37"/>
      <c r="OIN146" s="37"/>
      <c r="OIO146" s="37"/>
      <c r="OIP146" s="37"/>
      <c r="OIQ146" s="37"/>
      <c r="OIR146" s="37"/>
      <c r="OIS146" s="37"/>
      <c r="OIT146" s="37"/>
      <c r="OIU146" s="37"/>
      <c r="OIV146" s="37"/>
      <c r="OIW146" s="37"/>
      <c r="OIX146" s="37"/>
      <c r="OIY146" s="37"/>
      <c r="OIZ146" s="37"/>
      <c r="OJA146" s="37"/>
      <c r="OJB146" s="37"/>
      <c r="OJC146" s="37"/>
      <c r="OJD146" s="37"/>
      <c r="OJE146" s="37"/>
      <c r="OJF146" s="37"/>
      <c r="OJG146" s="37"/>
      <c r="OJH146" s="37"/>
      <c r="OJI146" s="37"/>
      <c r="OJJ146" s="37"/>
      <c r="OJK146" s="37"/>
      <c r="OJL146" s="37"/>
      <c r="OJM146" s="37"/>
      <c r="OJN146" s="37"/>
      <c r="OJO146" s="37"/>
      <c r="OJP146" s="37"/>
      <c r="OJQ146" s="37"/>
      <c r="OJR146" s="37"/>
      <c r="OJS146" s="37"/>
      <c r="OJT146" s="37"/>
      <c r="OJU146" s="37"/>
      <c r="OJV146" s="37"/>
      <c r="OJW146" s="37"/>
      <c r="OJX146" s="37"/>
      <c r="OJY146" s="37"/>
      <c r="OJZ146" s="37"/>
      <c r="OKA146" s="37"/>
      <c r="OKB146" s="37"/>
      <c r="OKC146" s="37"/>
      <c r="OKD146" s="37"/>
      <c r="OKE146" s="37"/>
      <c r="OKF146" s="37"/>
      <c r="OKG146" s="37"/>
      <c r="OKH146" s="37"/>
      <c r="OKI146" s="37"/>
      <c r="OKJ146" s="37"/>
      <c r="OKK146" s="37"/>
      <c r="OKL146" s="37"/>
      <c r="OKM146" s="37"/>
      <c r="OKN146" s="37"/>
      <c r="OKO146" s="37"/>
      <c r="OKP146" s="37"/>
      <c r="OKQ146" s="37"/>
      <c r="OKR146" s="37"/>
      <c r="OKS146" s="37"/>
      <c r="OKT146" s="37"/>
      <c r="OKU146" s="37"/>
      <c r="OKV146" s="37"/>
      <c r="OKW146" s="37"/>
      <c r="OKX146" s="37"/>
      <c r="OKY146" s="37"/>
      <c r="OKZ146" s="37"/>
      <c r="OLA146" s="37"/>
      <c r="OLB146" s="37"/>
      <c r="OLC146" s="37"/>
      <c r="OLD146" s="37"/>
      <c r="OLE146" s="37"/>
      <c r="OLF146" s="37"/>
      <c r="OLG146" s="37"/>
      <c r="OLH146" s="37"/>
      <c r="OLI146" s="37"/>
      <c r="OLJ146" s="37"/>
      <c r="OLK146" s="37"/>
      <c r="OLL146" s="37"/>
      <c r="OLM146" s="37"/>
      <c r="OLN146" s="37"/>
      <c r="OLO146" s="37"/>
      <c r="OLP146" s="37"/>
      <c r="OLQ146" s="37"/>
      <c r="OLR146" s="37"/>
      <c r="OLS146" s="37"/>
      <c r="OLT146" s="37"/>
      <c r="OLU146" s="37"/>
      <c r="OLV146" s="37"/>
      <c r="OLW146" s="37"/>
      <c r="OLX146" s="37"/>
      <c r="OLY146" s="37"/>
      <c r="OLZ146" s="37"/>
      <c r="OMA146" s="37"/>
      <c r="OMB146" s="37"/>
      <c r="OMC146" s="37"/>
      <c r="OMD146" s="37"/>
      <c r="OME146" s="37"/>
      <c r="OMF146" s="37"/>
      <c r="OMG146" s="37"/>
      <c r="OMH146" s="37"/>
      <c r="OMI146" s="37"/>
      <c r="OMJ146" s="37"/>
      <c r="OMK146" s="37"/>
      <c r="OML146" s="37"/>
      <c r="OMM146" s="37"/>
      <c r="OMN146" s="37"/>
      <c r="OMO146" s="37"/>
      <c r="OMP146" s="37"/>
      <c r="OMQ146" s="37"/>
      <c r="OMR146" s="37"/>
      <c r="OMS146" s="37"/>
      <c r="OMT146" s="37"/>
      <c r="OMU146" s="37"/>
      <c r="OMV146" s="37"/>
      <c r="OMW146" s="37"/>
      <c r="OMX146" s="37"/>
      <c r="OMY146" s="37"/>
      <c r="OMZ146" s="37"/>
      <c r="ONA146" s="37"/>
      <c r="ONB146" s="37"/>
      <c r="ONC146" s="37"/>
      <c r="OND146" s="37"/>
      <c r="ONE146" s="37"/>
      <c r="ONF146" s="37"/>
      <c r="ONG146" s="37"/>
      <c r="ONH146" s="37"/>
      <c r="ONI146" s="37"/>
      <c r="ONJ146" s="37"/>
      <c r="ONK146" s="37"/>
      <c r="ONL146" s="37"/>
      <c r="ONM146" s="37"/>
      <c r="ONN146" s="37"/>
      <c r="ONO146" s="37"/>
      <c r="ONP146" s="37"/>
      <c r="ONQ146" s="37"/>
      <c r="ONR146" s="37"/>
      <c r="ONS146" s="37"/>
      <c r="ONT146" s="37"/>
      <c r="ONU146" s="37"/>
      <c r="ONV146" s="37"/>
      <c r="ONW146" s="37"/>
      <c r="ONX146" s="37"/>
      <c r="ONY146" s="37"/>
      <c r="ONZ146" s="37"/>
      <c r="OOA146" s="37"/>
      <c r="OOB146" s="37"/>
      <c r="OOC146" s="37"/>
      <c r="OOD146" s="37"/>
      <c r="OOE146" s="37"/>
      <c r="OOF146" s="37"/>
      <c r="OOG146" s="37"/>
      <c r="OOH146" s="37"/>
      <c r="OOI146" s="37"/>
      <c r="OOJ146" s="37"/>
      <c r="OOK146" s="37"/>
      <c r="OOL146" s="37"/>
      <c r="OOM146" s="37"/>
      <c r="OON146" s="37"/>
      <c r="OOO146" s="37"/>
      <c r="OOP146" s="37"/>
      <c r="OOQ146" s="37"/>
      <c r="OOR146" s="37"/>
      <c r="OOS146" s="37"/>
      <c r="OOT146" s="37"/>
      <c r="OOU146" s="37"/>
      <c r="OOV146" s="37"/>
      <c r="OOW146" s="37"/>
      <c r="OOX146" s="37"/>
      <c r="OOY146" s="37"/>
      <c r="OOZ146" s="37"/>
      <c r="OPA146" s="37"/>
      <c r="OPB146" s="37"/>
      <c r="OPC146" s="37"/>
      <c r="OPD146" s="37"/>
      <c r="OPE146" s="37"/>
      <c r="OPF146" s="37"/>
      <c r="OPG146" s="37"/>
      <c r="OPH146" s="37"/>
      <c r="OPI146" s="37"/>
      <c r="OPJ146" s="37"/>
      <c r="OPK146" s="37"/>
      <c r="OPL146" s="37"/>
      <c r="OPM146" s="37"/>
      <c r="OPN146" s="37"/>
      <c r="OPO146" s="37"/>
      <c r="OPP146" s="37"/>
      <c r="OPQ146" s="37"/>
      <c r="OPR146" s="37"/>
      <c r="OPS146" s="37"/>
      <c r="OPT146" s="37"/>
      <c r="OPU146" s="37"/>
      <c r="OPV146" s="37"/>
      <c r="OPW146" s="37"/>
      <c r="OPX146" s="37"/>
      <c r="OPY146" s="37"/>
      <c r="OPZ146" s="37"/>
      <c r="OQA146" s="37"/>
      <c r="OQB146" s="37"/>
      <c r="OQC146" s="37"/>
      <c r="OQD146" s="37"/>
      <c r="OQE146" s="37"/>
      <c r="OQF146" s="37"/>
      <c r="OQG146" s="37"/>
      <c r="OQH146" s="37"/>
      <c r="OQI146" s="37"/>
      <c r="OQJ146" s="37"/>
      <c r="OQK146" s="37"/>
      <c r="OQL146" s="37"/>
      <c r="OQM146" s="37"/>
      <c r="OQN146" s="37"/>
      <c r="OQO146" s="37"/>
      <c r="OQP146" s="37"/>
      <c r="OQQ146" s="37"/>
      <c r="OQR146" s="37"/>
      <c r="OQS146" s="37"/>
      <c r="OQT146" s="37"/>
      <c r="OQU146" s="37"/>
      <c r="OQV146" s="37"/>
      <c r="OQW146" s="37"/>
      <c r="OQX146" s="37"/>
      <c r="OQY146" s="37"/>
      <c r="OQZ146" s="37"/>
      <c r="ORA146" s="37"/>
      <c r="ORB146" s="37"/>
      <c r="ORC146" s="37"/>
      <c r="ORD146" s="37"/>
      <c r="ORE146" s="37"/>
      <c r="ORF146" s="37"/>
      <c r="ORG146" s="37"/>
      <c r="ORH146" s="37"/>
      <c r="ORI146" s="37"/>
      <c r="ORJ146" s="37"/>
      <c r="ORK146" s="37"/>
      <c r="ORL146" s="37"/>
      <c r="ORM146" s="37"/>
      <c r="ORN146" s="37"/>
      <c r="ORO146" s="37"/>
      <c r="ORP146" s="37"/>
      <c r="ORQ146" s="37"/>
      <c r="ORR146" s="37"/>
      <c r="ORS146" s="37"/>
      <c r="ORT146" s="37"/>
      <c r="ORU146" s="37"/>
      <c r="ORV146" s="37"/>
      <c r="ORW146" s="37"/>
      <c r="ORX146" s="37"/>
      <c r="ORY146" s="37"/>
      <c r="ORZ146" s="37"/>
      <c r="OSA146" s="37"/>
      <c r="OSB146" s="37"/>
      <c r="OSC146" s="37"/>
      <c r="OSD146" s="37"/>
      <c r="OSE146" s="37"/>
      <c r="OSF146" s="37"/>
      <c r="OSG146" s="37"/>
      <c r="OSH146" s="37"/>
      <c r="OSI146" s="37"/>
      <c r="OSJ146" s="37"/>
      <c r="OSK146" s="37"/>
      <c r="OSL146" s="37"/>
      <c r="OSM146" s="37"/>
      <c r="OSN146" s="37"/>
      <c r="OSO146" s="37"/>
      <c r="OSP146" s="37"/>
      <c r="OSQ146" s="37"/>
      <c r="OSR146" s="37"/>
      <c r="OSS146" s="37"/>
      <c r="OST146" s="37"/>
      <c r="OSU146" s="37"/>
      <c r="OSV146" s="37"/>
      <c r="OSW146" s="37"/>
      <c r="OSX146" s="37"/>
      <c r="OSY146" s="37"/>
      <c r="OSZ146" s="37"/>
      <c r="OTA146" s="37"/>
      <c r="OTB146" s="37"/>
      <c r="OTC146" s="37"/>
      <c r="OTD146" s="37"/>
      <c r="OTE146" s="37"/>
      <c r="OTF146" s="37"/>
      <c r="OTG146" s="37"/>
      <c r="OTH146" s="37"/>
      <c r="OTI146" s="37"/>
      <c r="OTJ146" s="37"/>
      <c r="OTK146" s="37"/>
      <c r="OTL146" s="37"/>
      <c r="OTM146" s="37"/>
      <c r="OTN146" s="37"/>
      <c r="OTO146" s="37"/>
      <c r="OTP146" s="37"/>
      <c r="OTQ146" s="37"/>
      <c r="OTR146" s="37"/>
      <c r="OTS146" s="37"/>
      <c r="OTT146" s="37"/>
      <c r="OTU146" s="37"/>
      <c r="OTV146" s="37"/>
      <c r="OTW146" s="37"/>
      <c r="OTX146" s="37"/>
      <c r="OTY146" s="37"/>
      <c r="OTZ146" s="37"/>
      <c r="OUA146" s="37"/>
      <c r="OUB146" s="37"/>
      <c r="OUC146" s="37"/>
      <c r="OUD146" s="37"/>
      <c r="OUE146" s="37"/>
      <c r="OUF146" s="37"/>
      <c r="OUG146" s="37"/>
      <c r="OUH146" s="37"/>
      <c r="OUI146" s="37"/>
      <c r="OUJ146" s="37"/>
      <c r="OUK146" s="37"/>
      <c r="OUL146" s="37"/>
      <c r="OUM146" s="37"/>
      <c r="OUN146" s="37"/>
      <c r="OUO146" s="37"/>
      <c r="OUP146" s="37"/>
      <c r="OUQ146" s="37"/>
      <c r="OUR146" s="37"/>
      <c r="OUS146" s="37"/>
      <c r="OUT146" s="37"/>
      <c r="OUU146" s="37"/>
      <c r="OUV146" s="37"/>
      <c r="OUW146" s="37"/>
      <c r="OUX146" s="37"/>
      <c r="OUY146" s="37"/>
      <c r="OUZ146" s="37"/>
      <c r="OVA146" s="37"/>
      <c r="OVB146" s="37"/>
      <c r="OVC146" s="37"/>
      <c r="OVD146" s="37"/>
      <c r="OVE146" s="37"/>
      <c r="OVF146" s="37"/>
      <c r="OVG146" s="37"/>
      <c r="OVH146" s="37"/>
      <c r="OVI146" s="37"/>
      <c r="OVJ146" s="37"/>
      <c r="OVK146" s="37"/>
      <c r="OVL146" s="37"/>
      <c r="OVM146" s="37"/>
      <c r="OVN146" s="37"/>
      <c r="OVO146" s="37"/>
      <c r="OVP146" s="37"/>
      <c r="OVQ146" s="37"/>
      <c r="OVR146" s="37"/>
      <c r="OVS146" s="37"/>
      <c r="OVT146" s="37"/>
      <c r="OVU146" s="37"/>
      <c r="OVV146" s="37"/>
      <c r="OVW146" s="37"/>
      <c r="OVX146" s="37"/>
      <c r="OVY146" s="37"/>
      <c r="OVZ146" s="37"/>
      <c r="OWA146" s="37"/>
      <c r="OWB146" s="37"/>
      <c r="OWC146" s="37"/>
      <c r="OWD146" s="37"/>
      <c r="OWE146" s="37"/>
      <c r="OWF146" s="37"/>
      <c r="OWG146" s="37"/>
      <c r="OWH146" s="37"/>
      <c r="OWI146" s="37"/>
      <c r="OWJ146" s="37"/>
      <c r="OWK146" s="37"/>
      <c r="OWL146" s="37"/>
      <c r="OWM146" s="37"/>
      <c r="OWN146" s="37"/>
      <c r="OWO146" s="37"/>
      <c r="OWP146" s="37"/>
      <c r="OWQ146" s="37"/>
      <c r="OWR146" s="37"/>
      <c r="OWS146" s="37"/>
      <c r="OWT146" s="37"/>
      <c r="OWU146" s="37"/>
      <c r="OWV146" s="37"/>
      <c r="OWW146" s="37"/>
      <c r="OWX146" s="37"/>
      <c r="OWY146" s="37"/>
      <c r="OWZ146" s="37"/>
      <c r="OXA146" s="37"/>
      <c r="OXB146" s="37"/>
      <c r="OXC146" s="37"/>
      <c r="OXD146" s="37"/>
      <c r="OXE146" s="37"/>
      <c r="OXF146" s="37"/>
      <c r="OXG146" s="37"/>
      <c r="OXH146" s="37"/>
      <c r="OXI146" s="37"/>
      <c r="OXJ146" s="37"/>
      <c r="OXK146" s="37"/>
      <c r="OXL146" s="37"/>
      <c r="OXM146" s="37"/>
      <c r="OXN146" s="37"/>
      <c r="OXO146" s="37"/>
      <c r="OXP146" s="37"/>
      <c r="OXQ146" s="37"/>
      <c r="OXR146" s="37"/>
      <c r="OXS146" s="37"/>
      <c r="OXT146" s="37"/>
      <c r="OXU146" s="37"/>
      <c r="OXV146" s="37"/>
      <c r="OXW146" s="37"/>
      <c r="OXX146" s="37"/>
      <c r="OXY146" s="37"/>
      <c r="OXZ146" s="37"/>
      <c r="OYA146" s="37"/>
      <c r="OYB146" s="37"/>
      <c r="OYC146" s="37"/>
      <c r="OYD146" s="37"/>
      <c r="OYE146" s="37"/>
      <c r="OYF146" s="37"/>
      <c r="OYG146" s="37"/>
      <c r="OYH146" s="37"/>
      <c r="OYI146" s="37"/>
      <c r="OYJ146" s="37"/>
      <c r="OYK146" s="37"/>
      <c r="OYL146" s="37"/>
      <c r="OYM146" s="37"/>
      <c r="OYN146" s="37"/>
      <c r="OYO146" s="37"/>
      <c r="OYP146" s="37"/>
      <c r="OYQ146" s="37"/>
      <c r="OYR146" s="37"/>
      <c r="OYS146" s="37"/>
      <c r="OYT146" s="37"/>
      <c r="OYU146" s="37"/>
      <c r="OYV146" s="37"/>
      <c r="OYW146" s="37"/>
      <c r="OYX146" s="37"/>
      <c r="OYY146" s="37"/>
      <c r="OYZ146" s="37"/>
      <c r="OZA146" s="37"/>
      <c r="OZB146" s="37"/>
      <c r="OZC146" s="37"/>
      <c r="OZD146" s="37"/>
      <c r="OZE146" s="37"/>
      <c r="OZF146" s="37"/>
      <c r="OZG146" s="37"/>
      <c r="OZH146" s="37"/>
      <c r="OZI146" s="37"/>
      <c r="OZJ146" s="37"/>
      <c r="OZK146" s="37"/>
      <c r="OZL146" s="37"/>
      <c r="OZM146" s="37"/>
      <c r="OZN146" s="37"/>
      <c r="OZO146" s="37"/>
      <c r="OZP146" s="37"/>
      <c r="OZQ146" s="37"/>
      <c r="OZR146" s="37"/>
      <c r="OZS146" s="37"/>
      <c r="OZT146" s="37"/>
      <c r="OZU146" s="37"/>
      <c r="OZV146" s="37"/>
      <c r="OZW146" s="37"/>
      <c r="OZX146" s="37"/>
      <c r="OZY146" s="37"/>
      <c r="OZZ146" s="37"/>
      <c r="PAA146" s="37"/>
      <c r="PAB146" s="37"/>
      <c r="PAC146" s="37"/>
      <c r="PAD146" s="37"/>
      <c r="PAE146" s="37"/>
      <c r="PAF146" s="37"/>
      <c r="PAG146" s="37"/>
      <c r="PAH146" s="37"/>
      <c r="PAI146" s="37"/>
      <c r="PAJ146" s="37"/>
      <c r="PAK146" s="37"/>
      <c r="PAL146" s="37"/>
      <c r="PAM146" s="37"/>
      <c r="PAN146" s="37"/>
      <c r="PAO146" s="37"/>
      <c r="PAP146" s="37"/>
      <c r="PAQ146" s="37"/>
      <c r="PAR146" s="37"/>
      <c r="PAS146" s="37"/>
      <c r="PAT146" s="37"/>
      <c r="PAU146" s="37"/>
      <c r="PAV146" s="37"/>
      <c r="PAW146" s="37"/>
      <c r="PAX146" s="37"/>
      <c r="PAY146" s="37"/>
      <c r="PAZ146" s="37"/>
      <c r="PBA146" s="37"/>
      <c r="PBB146" s="37"/>
      <c r="PBC146" s="37"/>
      <c r="PBD146" s="37"/>
      <c r="PBE146" s="37"/>
      <c r="PBF146" s="37"/>
      <c r="PBG146" s="37"/>
      <c r="PBH146" s="37"/>
      <c r="PBI146" s="37"/>
      <c r="PBJ146" s="37"/>
      <c r="PBK146" s="37"/>
      <c r="PBL146" s="37"/>
      <c r="PBM146" s="37"/>
      <c r="PBN146" s="37"/>
      <c r="PBO146" s="37"/>
      <c r="PBP146" s="37"/>
      <c r="PBQ146" s="37"/>
      <c r="PBR146" s="37"/>
      <c r="PBS146" s="37"/>
      <c r="PBT146" s="37"/>
      <c r="PBU146" s="37"/>
      <c r="PBV146" s="37"/>
      <c r="PBW146" s="37"/>
      <c r="PBX146" s="37"/>
      <c r="PBY146" s="37"/>
      <c r="PBZ146" s="37"/>
      <c r="PCA146" s="37"/>
      <c r="PCB146" s="37"/>
      <c r="PCC146" s="37"/>
      <c r="PCD146" s="37"/>
      <c r="PCE146" s="37"/>
      <c r="PCF146" s="37"/>
      <c r="PCG146" s="37"/>
      <c r="PCH146" s="37"/>
      <c r="PCI146" s="37"/>
      <c r="PCJ146" s="37"/>
      <c r="PCK146" s="37"/>
      <c r="PCL146" s="37"/>
      <c r="PCM146" s="37"/>
      <c r="PCN146" s="37"/>
      <c r="PCO146" s="37"/>
      <c r="PCP146" s="37"/>
      <c r="PCQ146" s="37"/>
      <c r="PCR146" s="37"/>
      <c r="PCS146" s="37"/>
      <c r="PCT146" s="37"/>
      <c r="PCU146" s="37"/>
      <c r="PCV146" s="37"/>
      <c r="PCW146" s="37"/>
      <c r="PCX146" s="37"/>
      <c r="PCY146" s="37"/>
      <c r="PCZ146" s="37"/>
      <c r="PDA146" s="37"/>
      <c r="PDB146" s="37"/>
      <c r="PDC146" s="37"/>
      <c r="PDD146" s="37"/>
      <c r="PDE146" s="37"/>
      <c r="PDF146" s="37"/>
      <c r="PDG146" s="37"/>
      <c r="PDH146" s="37"/>
      <c r="PDI146" s="37"/>
      <c r="PDJ146" s="37"/>
      <c r="PDK146" s="37"/>
      <c r="PDL146" s="37"/>
      <c r="PDM146" s="37"/>
      <c r="PDN146" s="37"/>
      <c r="PDO146" s="37"/>
      <c r="PDP146" s="37"/>
      <c r="PDQ146" s="37"/>
      <c r="PDR146" s="37"/>
      <c r="PDS146" s="37"/>
      <c r="PDT146" s="37"/>
      <c r="PDU146" s="37"/>
      <c r="PDV146" s="37"/>
      <c r="PDW146" s="37"/>
      <c r="PDX146" s="37"/>
      <c r="PDY146" s="37"/>
      <c r="PDZ146" s="37"/>
      <c r="PEA146" s="37"/>
      <c r="PEB146" s="37"/>
      <c r="PEC146" s="37"/>
      <c r="PED146" s="37"/>
      <c r="PEE146" s="37"/>
      <c r="PEF146" s="37"/>
      <c r="PEG146" s="37"/>
      <c r="PEH146" s="37"/>
      <c r="PEI146" s="37"/>
      <c r="PEJ146" s="37"/>
      <c r="PEK146" s="37"/>
      <c r="PEL146" s="37"/>
      <c r="PEM146" s="37"/>
      <c r="PEN146" s="37"/>
      <c r="PEO146" s="37"/>
      <c r="PEP146" s="37"/>
      <c r="PEQ146" s="37"/>
      <c r="PER146" s="37"/>
      <c r="PES146" s="37"/>
      <c r="PET146" s="37"/>
      <c r="PEU146" s="37"/>
      <c r="PEV146" s="37"/>
      <c r="PEW146" s="37"/>
      <c r="PEX146" s="37"/>
      <c r="PEY146" s="37"/>
      <c r="PEZ146" s="37"/>
      <c r="PFA146" s="37"/>
      <c r="PFB146" s="37"/>
      <c r="PFC146" s="37"/>
      <c r="PFD146" s="37"/>
      <c r="PFE146" s="37"/>
      <c r="PFF146" s="37"/>
      <c r="PFG146" s="37"/>
      <c r="PFH146" s="37"/>
      <c r="PFI146" s="37"/>
      <c r="PFJ146" s="37"/>
      <c r="PFK146" s="37"/>
      <c r="PFL146" s="37"/>
      <c r="PFM146" s="37"/>
      <c r="PFN146" s="37"/>
      <c r="PFO146" s="37"/>
      <c r="PFP146" s="37"/>
      <c r="PFQ146" s="37"/>
      <c r="PFR146" s="37"/>
      <c r="PFS146" s="37"/>
      <c r="PFT146" s="37"/>
      <c r="PFU146" s="37"/>
      <c r="PFV146" s="37"/>
      <c r="PFW146" s="37"/>
      <c r="PFX146" s="37"/>
      <c r="PFY146" s="37"/>
      <c r="PFZ146" s="37"/>
      <c r="PGA146" s="37"/>
      <c r="PGB146" s="37"/>
      <c r="PGC146" s="37"/>
      <c r="PGD146" s="37"/>
      <c r="PGE146" s="37"/>
      <c r="PGF146" s="37"/>
      <c r="PGG146" s="37"/>
      <c r="PGH146" s="37"/>
      <c r="PGI146" s="37"/>
      <c r="PGJ146" s="37"/>
      <c r="PGK146" s="37"/>
      <c r="PGL146" s="37"/>
      <c r="PGM146" s="37"/>
      <c r="PGN146" s="37"/>
      <c r="PGO146" s="37"/>
      <c r="PGP146" s="37"/>
      <c r="PGQ146" s="37"/>
      <c r="PGR146" s="37"/>
      <c r="PGS146" s="37"/>
      <c r="PGT146" s="37"/>
      <c r="PGU146" s="37"/>
      <c r="PGV146" s="37"/>
      <c r="PGW146" s="37"/>
      <c r="PGX146" s="37"/>
      <c r="PGY146" s="37"/>
      <c r="PGZ146" s="37"/>
      <c r="PHA146" s="37"/>
      <c r="PHB146" s="37"/>
      <c r="PHC146" s="37"/>
      <c r="PHD146" s="37"/>
      <c r="PHE146" s="37"/>
      <c r="PHF146" s="37"/>
      <c r="PHG146" s="37"/>
      <c r="PHH146" s="37"/>
      <c r="PHI146" s="37"/>
      <c r="PHJ146" s="37"/>
      <c r="PHK146" s="37"/>
      <c r="PHL146" s="37"/>
      <c r="PHM146" s="37"/>
      <c r="PHN146" s="37"/>
      <c r="PHO146" s="37"/>
      <c r="PHP146" s="37"/>
      <c r="PHQ146" s="37"/>
      <c r="PHR146" s="37"/>
      <c r="PHS146" s="37"/>
      <c r="PHT146" s="37"/>
      <c r="PHU146" s="37"/>
      <c r="PHV146" s="37"/>
      <c r="PHW146" s="37"/>
      <c r="PHX146" s="37"/>
      <c r="PHY146" s="37"/>
      <c r="PHZ146" s="37"/>
      <c r="PIA146" s="37"/>
      <c r="PIB146" s="37"/>
      <c r="PIC146" s="37"/>
      <c r="PID146" s="37"/>
      <c r="PIE146" s="37"/>
      <c r="PIF146" s="37"/>
      <c r="PIG146" s="37"/>
      <c r="PIH146" s="37"/>
      <c r="PII146" s="37"/>
      <c r="PIJ146" s="37"/>
      <c r="PIK146" s="37"/>
      <c r="PIL146" s="37"/>
      <c r="PIM146" s="37"/>
      <c r="PIN146" s="37"/>
      <c r="PIO146" s="37"/>
      <c r="PIP146" s="37"/>
      <c r="PIQ146" s="37"/>
      <c r="PIR146" s="37"/>
      <c r="PIS146" s="37"/>
      <c r="PIT146" s="37"/>
      <c r="PIU146" s="37"/>
      <c r="PIV146" s="37"/>
      <c r="PIW146" s="37"/>
      <c r="PIX146" s="37"/>
      <c r="PIY146" s="37"/>
      <c r="PIZ146" s="37"/>
      <c r="PJA146" s="37"/>
      <c r="PJB146" s="37"/>
      <c r="PJC146" s="37"/>
      <c r="PJD146" s="37"/>
      <c r="PJE146" s="37"/>
      <c r="PJF146" s="37"/>
      <c r="PJG146" s="37"/>
      <c r="PJH146" s="37"/>
      <c r="PJI146" s="37"/>
      <c r="PJJ146" s="37"/>
      <c r="PJK146" s="37"/>
      <c r="PJL146" s="37"/>
      <c r="PJM146" s="37"/>
      <c r="PJN146" s="37"/>
      <c r="PJO146" s="37"/>
      <c r="PJP146" s="37"/>
      <c r="PJQ146" s="37"/>
      <c r="PJR146" s="37"/>
      <c r="PJS146" s="37"/>
      <c r="PJT146" s="37"/>
      <c r="PJU146" s="37"/>
      <c r="PJV146" s="37"/>
      <c r="PJW146" s="37"/>
      <c r="PJX146" s="37"/>
      <c r="PJY146" s="37"/>
      <c r="PJZ146" s="37"/>
      <c r="PKA146" s="37"/>
      <c r="PKB146" s="37"/>
      <c r="PKC146" s="37"/>
      <c r="PKD146" s="37"/>
      <c r="PKE146" s="37"/>
      <c r="PKF146" s="37"/>
      <c r="PKG146" s="37"/>
      <c r="PKH146" s="37"/>
      <c r="PKI146" s="37"/>
      <c r="PKJ146" s="37"/>
      <c r="PKK146" s="37"/>
      <c r="PKL146" s="37"/>
      <c r="PKM146" s="37"/>
      <c r="PKN146" s="37"/>
      <c r="PKO146" s="37"/>
      <c r="PKP146" s="37"/>
      <c r="PKQ146" s="37"/>
      <c r="PKR146" s="37"/>
      <c r="PKS146" s="37"/>
      <c r="PKT146" s="37"/>
      <c r="PKU146" s="37"/>
      <c r="PKV146" s="37"/>
      <c r="PKW146" s="37"/>
      <c r="PKX146" s="37"/>
      <c r="PKY146" s="37"/>
      <c r="PKZ146" s="37"/>
      <c r="PLA146" s="37"/>
      <c r="PLB146" s="37"/>
      <c r="PLC146" s="37"/>
      <c r="PLD146" s="37"/>
      <c r="PLE146" s="37"/>
      <c r="PLF146" s="37"/>
      <c r="PLG146" s="37"/>
      <c r="PLH146" s="37"/>
      <c r="PLI146" s="37"/>
      <c r="PLJ146" s="37"/>
      <c r="PLK146" s="37"/>
      <c r="PLL146" s="37"/>
      <c r="PLM146" s="37"/>
      <c r="PLN146" s="37"/>
      <c r="PLO146" s="37"/>
      <c r="PLP146" s="37"/>
      <c r="PLQ146" s="37"/>
      <c r="PLR146" s="37"/>
      <c r="PLS146" s="37"/>
      <c r="PLT146" s="37"/>
      <c r="PLU146" s="37"/>
      <c r="PLV146" s="37"/>
      <c r="PLW146" s="37"/>
      <c r="PLX146" s="37"/>
      <c r="PLY146" s="37"/>
      <c r="PLZ146" s="37"/>
      <c r="PMA146" s="37"/>
      <c r="PMB146" s="37"/>
      <c r="PMC146" s="37"/>
      <c r="PMD146" s="37"/>
      <c r="PME146" s="37"/>
      <c r="PMF146" s="37"/>
      <c r="PMG146" s="37"/>
      <c r="PMH146" s="37"/>
      <c r="PMI146" s="37"/>
      <c r="PMJ146" s="37"/>
      <c r="PMK146" s="37"/>
      <c r="PML146" s="37"/>
      <c r="PMM146" s="37"/>
      <c r="PMN146" s="37"/>
      <c r="PMO146" s="37"/>
      <c r="PMP146" s="37"/>
      <c r="PMQ146" s="37"/>
      <c r="PMR146" s="37"/>
      <c r="PMS146" s="37"/>
      <c r="PMT146" s="37"/>
      <c r="PMU146" s="37"/>
      <c r="PMV146" s="37"/>
      <c r="PMW146" s="37"/>
      <c r="PMX146" s="37"/>
      <c r="PMY146" s="37"/>
      <c r="PMZ146" s="37"/>
      <c r="PNA146" s="37"/>
      <c r="PNB146" s="37"/>
      <c r="PNC146" s="37"/>
      <c r="PND146" s="37"/>
      <c r="PNE146" s="37"/>
      <c r="PNF146" s="37"/>
      <c r="PNG146" s="37"/>
      <c r="PNH146" s="37"/>
      <c r="PNI146" s="37"/>
      <c r="PNJ146" s="37"/>
      <c r="PNK146" s="37"/>
      <c r="PNL146" s="37"/>
      <c r="PNM146" s="37"/>
      <c r="PNN146" s="37"/>
      <c r="PNO146" s="37"/>
      <c r="PNP146" s="37"/>
      <c r="PNQ146" s="37"/>
      <c r="PNR146" s="37"/>
      <c r="PNS146" s="37"/>
      <c r="PNT146" s="37"/>
      <c r="PNU146" s="37"/>
      <c r="PNV146" s="37"/>
      <c r="PNW146" s="37"/>
      <c r="PNX146" s="37"/>
      <c r="PNY146" s="37"/>
      <c r="PNZ146" s="37"/>
      <c r="POA146" s="37"/>
      <c r="POB146" s="37"/>
      <c r="POC146" s="37"/>
      <c r="POD146" s="37"/>
      <c r="POE146" s="37"/>
      <c r="POF146" s="37"/>
      <c r="POG146" s="37"/>
      <c r="POH146" s="37"/>
      <c r="POI146" s="37"/>
      <c r="POJ146" s="37"/>
      <c r="POK146" s="37"/>
      <c r="POL146" s="37"/>
      <c r="POM146" s="37"/>
      <c r="PON146" s="37"/>
      <c r="POO146" s="37"/>
      <c r="POP146" s="37"/>
      <c r="POQ146" s="37"/>
      <c r="POR146" s="37"/>
      <c r="POS146" s="37"/>
      <c r="POT146" s="37"/>
      <c r="POU146" s="37"/>
      <c r="POV146" s="37"/>
      <c r="POW146" s="37"/>
      <c r="POX146" s="37"/>
      <c r="POY146" s="37"/>
      <c r="POZ146" s="37"/>
      <c r="PPA146" s="37"/>
      <c r="PPB146" s="37"/>
      <c r="PPC146" s="37"/>
      <c r="PPD146" s="37"/>
      <c r="PPE146" s="37"/>
      <c r="PPF146" s="37"/>
      <c r="PPG146" s="37"/>
      <c r="PPH146" s="37"/>
      <c r="PPI146" s="37"/>
      <c r="PPJ146" s="37"/>
      <c r="PPK146" s="37"/>
      <c r="PPL146" s="37"/>
      <c r="PPM146" s="37"/>
      <c r="PPN146" s="37"/>
      <c r="PPO146" s="37"/>
      <c r="PPP146" s="37"/>
      <c r="PPQ146" s="37"/>
      <c r="PPR146" s="37"/>
      <c r="PPS146" s="37"/>
      <c r="PPT146" s="37"/>
      <c r="PPU146" s="37"/>
      <c r="PPV146" s="37"/>
      <c r="PPW146" s="37"/>
      <c r="PPX146" s="37"/>
      <c r="PPY146" s="37"/>
      <c r="PPZ146" s="37"/>
      <c r="PQA146" s="37"/>
      <c r="PQB146" s="37"/>
      <c r="PQC146" s="37"/>
      <c r="PQD146" s="37"/>
      <c r="PQE146" s="37"/>
      <c r="PQF146" s="37"/>
      <c r="PQG146" s="37"/>
      <c r="PQH146" s="37"/>
      <c r="PQI146" s="37"/>
      <c r="PQJ146" s="37"/>
      <c r="PQK146" s="37"/>
      <c r="PQL146" s="37"/>
      <c r="PQM146" s="37"/>
      <c r="PQN146" s="37"/>
      <c r="PQO146" s="37"/>
      <c r="PQP146" s="37"/>
      <c r="PQQ146" s="37"/>
      <c r="PQR146" s="37"/>
      <c r="PQS146" s="37"/>
      <c r="PQT146" s="37"/>
      <c r="PQU146" s="37"/>
      <c r="PQV146" s="37"/>
      <c r="PQW146" s="37"/>
      <c r="PQX146" s="37"/>
      <c r="PQY146" s="37"/>
      <c r="PQZ146" s="37"/>
      <c r="PRA146" s="37"/>
      <c r="PRB146" s="37"/>
      <c r="PRC146" s="37"/>
      <c r="PRD146" s="37"/>
      <c r="PRE146" s="37"/>
      <c r="PRF146" s="37"/>
      <c r="PRG146" s="37"/>
      <c r="PRH146" s="37"/>
      <c r="PRI146" s="37"/>
      <c r="PRJ146" s="37"/>
      <c r="PRK146" s="37"/>
      <c r="PRL146" s="37"/>
      <c r="PRM146" s="37"/>
      <c r="PRN146" s="37"/>
      <c r="PRO146" s="37"/>
      <c r="PRP146" s="37"/>
      <c r="PRQ146" s="37"/>
      <c r="PRR146" s="37"/>
      <c r="PRS146" s="37"/>
      <c r="PRT146" s="37"/>
      <c r="PRU146" s="37"/>
      <c r="PRV146" s="37"/>
      <c r="PRW146" s="37"/>
      <c r="PRX146" s="37"/>
      <c r="PRY146" s="37"/>
      <c r="PRZ146" s="37"/>
      <c r="PSA146" s="37"/>
      <c r="PSB146" s="37"/>
      <c r="PSC146" s="37"/>
      <c r="PSD146" s="37"/>
      <c r="PSE146" s="37"/>
      <c r="PSF146" s="37"/>
      <c r="PSG146" s="37"/>
      <c r="PSH146" s="37"/>
      <c r="PSI146" s="37"/>
      <c r="PSJ146" s="37"/>
      <c r="PSK146" s="37"/>
      <c r="PSL146" s="37"/>
      <c r="PSM146" s="37"/>
      <c r="PSN146" s="37"/>
      <c r="PSO146" s="37"/>
      <c r="PSP146" s="37"/>
      <c r="PSQ146" s="37"/>
      <c r="PSR146" s="37"/>
      <c r="PSS146" s="37"/>
      <c r="PST146" s="37"/>
      <c r="PSU146" s="37"/>
      <c r="PSV146" s="37"/>
      <c r="PSW146" s="37"/>
      <c r="PSX146" s="37"/>
      <c r="PSY146" s="37"/>
      <c r="PSZ146" s="37"/>
      <c r="PTA146" s="37"/>
      <c r="PTB146" s="37"/>
      <c r="PTC146" s="37"/>
      <c r="PTD146" s="37"/>
      <c r="PTE146" s="37"/>
      <c r="PTF146" s="37"/>
      <c r="PTG146" s="37"/>
      <c r="PTH146" s="37"/>
      <c r="PTI146" s="37"/>
      <c r="PTJ146" s="37"/>
      <c r="PTK146" s="37"/>
      <c r="PTL146" s="37"/>
      <c r="PTM146" s="37"/>
      <c r="PTN146" s="37"/>
      <c r="PTO146" s="37"/>
      <c r="PTP146" s="37"/>
      <c r="PTQ146" s="37"/>
      <c r="PTR146" s="37"/>
      <c r="PTS146" s="37"/>
      <c r="PTT146" s="37"/>
      <c r="PTU146" s="37"/>
      <c r="PTV146" s="37"/>
      <c r="PTW146" s="37"/>
      <c r="PTX146" s="37"/>
      <c r="PTY146" s="37"/>
      <c r="PTZ146" s="37"/>
      <c r="PUA146" s="37"/>
      <c r="PUB146" s="37"/>
      <c r="PUC146" s="37"/>
      <c r="PUD146" s="37"/>
      <c r="PUE146" s="37"/>
      <c r="PUF146" s="37"/>
      <c r="PUG146" s="37"/>
      <c r="PUH146" s="37"/>
      <c r="PUI146" s="37"/>
      <c r="PUJ146" s="37"/>
      <c r="PUK146" s="37"/>
      <c r="PUL146" s="37"/>
      <c r="PUM146" s="37"/>
      <c r="PUN146" s="37"/>
      <c r="PUO146" s="37"/>
      <c r="PUP146" s="37"/>
      <c r="PUQ146" s="37"/>
      <c r="PUR146" s="37"/>
      <c r="PUS146" s="37"/>
      <c r="PUT146" s="37"/>
      <c r="PUU146" s="37"/>
      <c r="PUV146" s="37"/>
      <c r="PUW146" s="37"/>
      <c r="PUX146" s="37"/>
      <c r="PUY146" s="37"/>
      <c r="PUZ146" s="37"/>
      <c r="PVA146" s="37"/>
      <c r="PVB146" s="37"/>
      <c r="PVC146" s="37"/>
      <c r="PVD146" s="37"/>
      <c r="PVE146" s="37"/>
      <c r="PVF146" s="37"/>
      <c r="PVG146" s="37"/>
      <c r="PVH146" s="37"/>
      <c r="PVI146" s="37"/>
      <c r="PVJ146" s="37"/>
      <c r="PVK146" s="37"/>
      <c r="PVL146" s="37"/>
      <c r="PVM146" s="37"/>
      <c r="PVN146" s="37"/>
      <c r="PVO146" s="37"/>
      <c r="PVP146" s="37"/>
      <c r="PVQ146" s="37"/>
      <c r="PVR146" s="37"/>
      <c r="PVS146" s="37"/>
      <c r="PVT146" s="37"/>
      <c r="PVU146" s="37"/>
      <c r="PVV146" s="37"/>
      <c r="PVW146" s="37"/>
      <c r="PVX146" s="37"/>
      <c r="PVY146" s="37"/>
      <c r="PVZ146" s="37"/>
      <c r="PWA146" s="37"/>
      <c r="PWB146" s="37"/>
      <c r="PWC146" s="37"/>
      <c r="PWD146" s="37"/>
      <c r="PWE146" s="37"/>
      <c r="PWF146" s="37"/>
      <c r="PWG146" s="37"/>
      <c r="PWH146" s="37"/>
      <c r="PWI146" s="37"/>
      <c r="PWJ146" s="37"/>
      <c r="PWK146" s="37"/>
      <c r="PWL146" s="37"/>
      <c r="PWM146" s="37"/>
      <c r="PWN146" s="37"/>
      <c r="PWO146" s="37"/>
      <c r="PWP146" s="37"/>
      <c r="PWQ146" s="37"/>
      <c r="PWR146" s="37"/>
      <c r="PWS146" s="37"/>
      <c r="PWT146" s="37"/>
      <c r="PWU146" s="37"/>
      <c r="PWV146" s="37"/>
      <c r="PWW146" s="37"/>
      <c r="PWX146" s="37"/>
      <c r="PWY146" s="37"/>
      <c r="PWZ146" s="37"/>
      <c r="PXA146" s="37"/>
      <c r="PXB146" s="37"/>
      <c r="PXC146" s="37"/>
      <c r="PXD146" s="37"/>
      <c r="PXE146" s="37"/>
      <c r="PXF146" s="37"/>
      <c r="PXG146" s="37"/>
      <c r="PXH146" s="37"/>
      <c r="PXI146" s="37"/>
      <c r="PXJ146" s="37"/>
      <c r="PXK146" s="37"/>
      <c r="PXL146" s="37"/>
      <c r="PXM146" s="37"/>
      <c r="PXN146" s="37"/>
      <c r="PXO146" s="37"/>
      <c r="PXP146" s="37"/>
      <c r="PXQ146" s="37"/>
      <c r="PXR146" s="37"/>
      <c r="PXS146" s="37"/>
      <c r="PXT146" s="37"/>
      <c r="PXU146" s="37"/>
      <c r="PXV146" s="37"/>
      <c r="PXW146" s="37"/>
      <c r="PXX146" s="37"/>
      <c r="PXY146" s="37"/>
      <c r="PXZ146" s="37"/>
      <c r="PYA146" s="37"/>
      <c r="PYB146" s="37"/>
      <c r="PYC146" s="37"/>
      <c r="PYD146" s="37"/>
      <c r="PYE146" s="37"/>
      <c r="PYF146" s="37"/>
      <c r="PYG146" s="37"/>
      <c r="PYH146" s="37"/>
      <c r="PYI146" s="37"/>
      <c r="PYJ146" s="37"/>
      <c r="PYK146" s="37"/>
      <c r="PYL146" s="37"/>
      <c r="PYM146" s="37"/>
      <c r="PYN146" s="37"/>
      <c r="PYO146" s="37"/>
      <c r="PYP146" s="37"/>
      <c r="PYQ146" s="37"/>
      <c r="PYR146" s="37"/>
      <c r="PYS146" s="37"/>
      <c r="PYT146" s="37"/>
      <c r="PYU146" s="37"/>
      <c r="PYV146" s="37"/>
      <c r="PYW146" s="37"/>
      <c r="PYX146" s="37"/>
      <c r="PYY146" s="37"/>
      <c r="PYZ146" s="37"/>
      <c r="PZA146" s="37"/>
      <c r="PZB146" s="37"/>
      <c r="PZC146" s="37"/>
      <c r="PZD146" s="37"/>
      <c r="PZE146" s="37"/>
      <c r="PZF146" s="37"/>
      <c r="PZG146" s="37"/>
      <c r="PZH146" s="37"/>
      <c r="PZI146" s="37"/>
      <c r="PZJ146" s="37"/>
      <c r="PZK146" s="37"/>
      <c r="PZL146" s="37"/>
      <c r="PZM146" s="37"/>
      <c r="PZN146" s="37"/>
      <c r="PZO146" s="37"/>
      <c r="PZP146" s="37"/>
      <c r="PZQ146" s="37"/>
      <c r="PZR146" s="37"/>
      <c r="PZS146" s="37"/>
      <c r="PZT146" s="37"/>
      <c r="PZU146" s="37"/>
      <c r="PZV146" s="37"/>
      <c r="PZW146" s="37"/>
      <c r="PZX146" s="37"/>
      <c r="PZY146" s="37"/>
      <c r="PZZ146" s="37"/>
      <c r="QAA146" s="37"/>
      <c r="QAB146" s="37"/>
      <c r="QAC146" s="37"/>
      <c r="QAD146" s="37"/>
      <c r="QAE146" s="37"/>
      <c r="QAF146" s="37"/>
      <c r="QAG146" s="37"/>
      <c r="QAH146" s="37"/>
      <c r="QAI146" s="37"/>
      <c r="QAJ146" s="37"/>
      <c r="QAK146" s="37"/>
      <c r="QAL146" s="37"/>
      <c r="QAM146" s="37"/>
      <c r="QAN146" s="37"/>
      <c r="QAO146" s="37"/>
      <c r="QAP146" s="37"/>
      <c r="QAQ146" s="37"/>
      <c r="QAR146" s="37"/>
      <c r="QAS146" s="37"/>
      <c r="QAT146" s="37"/>
      <c r="QAU146" s="37"/>
      <c r="QAV146" s="37"/>
      <c r="QAW146" s="37"/>
      <c r="QAX146" s="37"/>
      <c r="QAY146" s="37"/>
      <c r="QAZ146" s="37"/>
      <c r="QBA146" s="37"/>
      <c r="QBB146" s="37"/>
      <c r="QBC146" s="37"/>
      <c r="QBD146" s="37"/>
      <c r="QBE146" s="37"/>
      <c r="QBF146" s="37"/>
      <c r="QBG146" s="37"/>
      <c r="QBH146" s="37"/>
      <c r="QBI146" s="37"/>
      <c r="QBJ146" s="37"/>
      <c r="QBK146" s="37"/>
      <c r="QBL146" s="37"/>
      <c r="QBM146" s="37"/>
      <c r="QBN146" s="37"/>
      <c r="QBO146" s="37"/>
      <c r="QBP146" s="37"/>
      <c r="QBQ146" s="37"/>
      <c r="QBR146" s="37"/>
      <c r="QBS146" s="37"/>
      <c r="QBT146" s="37"/>
      <c r="QBU146" s="37"/>
      <c r="QBV146" s="37"/>
      <c r="QBW146" s="37"/>
      <c r="QBX146" s="37"/>
      <c r="QBY146" s="37"/>
      <c r="QBZ146" s="37"/>
      <c r="QCA146" s="37"/>
      <c r="QCB146" s="37"/>
      <c r="QCC146" s="37"/>
      <c r="QCD146" s="37"/>
      <c r="QCE146" s="37"/>
      <c r="QCF146" s="37"/>
      <c r="QCG146" s="37"/>
      <c r="QCH146" s="37"/>
      <c r="QCI146" s="37"/>
      <c r="QCJ146" s="37"/>
      <c r="QCK146" s="37"/>
      <c r="QCL146" s="37"/>
      <c r="QCM146" s="37"/>
      <c r="QCN146" s="37"/>
      <c r="QCO146" s="37"/>
      <c r="QCP146" s="37"/>
      <c r="QCQ146" s="37"/>
      <c r="QCR146" s="37"/>
      <c r="QCS146" s="37"/>
      <c r="QCT146" s="37"/>
      <c r="QCU146" s="37"/>
      <c r="QCV146" s="37"/>
      <c r="QCW146" s="37"/>
      <c r="QCX146" s="37"/>
      <c r="QCY146" s="37"/>
      <c r="QCZ146" s="37"/>
      <c r="QDA146" s="37"/>
      <c r="QDB146" s="37"/>
      <c r="QDC146" s="37"/>
      <c r="QDD146" s="37"/>
      <c r="QDE146" s="37"/>
      <c r="QDF146" s="37"/>
      <c r="QDG146" s="37"/>
      <c r="QDH146" s="37"/>
      <c r="QDI146" s="37"/>
      <c r="QDJ146" s="37"/>
      <c r="QDK146" s="37"/>
      <c r="QDL146" s="37"/>
      <c r="QDM146" s="37"/>
      <c r="QDN146" s="37"/>
      <c r="QDO146" s="37"/>
      <c r="QDP146" s="37"/>
      <c r="QDQ146" s="37"/>
      <c r="QDR146" s="37"/>
      <c r="QDS146" s="37"/>
      <c r="QDT146" s="37"/>
      <c r="QDU146" s="37"/>
      <c r="QDV146" s="37"/>
      <c r="QDW146" s="37"/>
      <c r="QDX146" s="37"/>
      <c r="QDY146" s="37"/>
      <c r="QDZ146" s="37"/>
      <c r="QEA146" s="37"/>
      <c r="QEB146" s="37"/>
      <c r="QEC146" s="37"/>
      <c r="QED146" s="37"/>
      <c r="QEE146" s="37"/>
      <c r="QEF146" s="37"/>
      <c r="QEG146" s="37"/>
      <c r="QEH146" s="37"/>
      <c r="QEI146" s="37"/>
      <c r="QEJ146" s="37"/>
      <c r="QEK146" s="37"/>
      <c r="QEL146" s="37"/>
      <c r="QEM146" s="37"/>
      <c r="QEN146" s="37"/>
      <c r="QEO146" s="37"/>
      <c r="QEP146" s="37"/>
      <c r="QEQ146" s="37"/>
      <c r="QER146" s="37"/>
      <c r="QES146" s="37"/>
      <c r="QET146" s="37"/>
      <c r="QEU146" s="37"/>
      <c r="QEV146" s="37"/>
      <c r="QEW146" s="37"/>
      <c r="QEX146" s="37"/>
      <c r="QEY146" s="37"/>
      <c r="QEZ146" s="37"/>
      <c r="QFA146" s="37"/>
      <c r="QFB146" s="37"/>
      <c r="QFC146" s="37"/>
      <c r="QFD146" s="37"/>
      <c r="QFE146" s="37"/>
      <c r="QFF146" s="37"/>
      <c r="QFG146" s="37"/>
      <c r="QFH146" s="37"/>
      <c r="QFI146" s="37"/>
      <c r="QFJ146" s="37"/>
      <c r="QFK146" s="37"/>
      <c r="QFL146" s="37"/>
      <c r="QFM146" s="37"/>
      <c r="QFN146" s="37"/>
      <c r="QFO146" s="37"/>
      <c r="QFP146" s="37"/>
      <c r="QFQ146" s="37"/>
      <c r="QFR146" s="37"/>
      <c r="QFS146" s="37"/>
      <c r="QFT146" s="37"/>
      <c r="QFU146" s="37"/>
      <c r="QFV146" s="37"/>
      <c r="QFW146" s="37"/>
      <c r="QFX146" s="37"/>
      <c r="QFY146" s="37"/>
      <c r="QFZ146" s="37"/>
      <c r="QGA146" s="37"/>
      <c r="QGB146" s="37"/>
      <c r="QGC146" s="37"/>
      <c r="QGD146" s="37"/>
      <c r="QGE146" s="37"/>
      <c r="QGF146" s="37"/>
      <c r="QGG146" s="37"/>
      <c r="QGH146" s="37"/>
      <c r="QGI146" s="37"/>
      <c r="QGJ146" s="37"/>
      <c r="QGK146" s="37"/>
      <c r="QGL146" s="37"/>
      <c r="QGM146" s="37"/>
      <c r="QGN146" s="37"/>
      <c r="QGO146" s="37"/>
      <c r="QGP146" s="37"/>
      <c r="QGQ146" s="37"/>
      <c r="QGR146" s="37"/>
      <c r="QGS146" s="37"/>
      <c r="QGT146" s="37"/>
      <c r="QGU146" s="37"/>
      <c r="QGV146" s="37"/>
      <c r="QGW146" s="37"/>
      <c r="QGX146" s="37"/>
      <c r="QGY146" s="37"/>
      <c r="QGZ146" s="37"/>
      <c r="QHA146" s="37"/>
      <c r="QHB146" s="37"/>
      <c r="QHC146" s="37"/>
      <c r="QHD146" s="37"/>
      <c r="QHE146" s="37"/>
      <c r="QHF146" s="37"/>
      <c r="QHG146" s="37"/>
      <c r="QHH146" s="37"/>
      <c r="QHI146" s="37"/>
      <c r="QHJ146" s="37"/>
      <c r="QHK146" s="37"/>
      <c r="QHL146" s="37"/>
      <c r="QHM146" s="37"/>
      <c r="QHN146" s="37"/>
      <c r="QHO146" s="37"/>
      <c r="QHP146" s="37"/>
      <c r="QHQ146" s="37"/>
      <c r="QHR146" s="37"/>
      <c r="QHS146" s="37"/>
      <c r="QHT146" s="37"/>
      <c r="QHU146" s="37"/>
      <c r="QHV146" s="37"/>
      <c r="QHW146" s="37"/>
      <c r="QHX146" s="37"/>
      <c r="QHY146" s="37"/>
      <c r="QHZ146" s="37"/>
      <c r="QIA146" s="37"/>
      <c r="QIB146" s="37"/>
      <c r="QIC146" s="37"/>
      <c r="QID146" s="37"/>
      <c r="QIE146" s="37"/>
      <c r="QIF146" s="37"/>
      <c r="QIG146" s="37"/>
      <c r="QIH146" s="37"/>
      <c r="QII146" s="37"/>
      <c r="QIJ146" s="37"/>
      <c r="QIK146" s="37"/>
      <c r="QIL146" s="37"/>
      <c r="QIM146" s="37"/>
      <c r="QIN146" s="37"/>
      <c r="QIO146" s="37"/>
      <c r="QIP146" s="37"/>
      <c r="QIQ146" s="37"/>
      <c r="QIR146" s="37"/>
      <c r="QIS146" s="37"/>
      <c r="QIT146" s="37"/>
      <c r="QIU146" s="37"/>
      <c r="QIV146" s="37"/>
      <c r="QIW146" s="37"/>
      <c r="QIX146" s="37"/>
      <c r="QIY146" s="37"/>
      <c r="QIZ146" s="37"/>
      <c r="QJA146" s="37"/>
      <c r="QJB146" s="37"/>
      <c r="QJC146" s="37"/>
      <c r="QJD146" s="37"/>
      <c r="QJE146" s="37"/>
      <c r="QJF146" s="37"/>
      <c r="QJG146" s="37"/>
      <c r="QJH146" s="37"/>
      <c r="QJI146" s="37"/>
      <c r="QJJ146" s="37"/>
      <c r="QJK146" s="37"/>
      <c r="QJL146" s="37"/>
      <c r="QJM146" s="37"/>
      <c r="QJN146" s="37"/>
      <c r="QJO146" s="37"/>
      <c r="QJP146" s="37"/>
      <c r="QJQ146" s="37"/>
      <c r="QJR146" s="37"/>
      <c r="QJS146" s="37"/>
      <c r="QJT146" s="37"/>
      <c r="QJU146" s="37"/>
      <c r="QJV146" s="37"/>
      <c r="QJW146" s="37"/>
      <c r="QJX146" s="37"/>
      <c r="QJY146" s="37"/>
      <c r="QJZ146" s="37"/>
      <c r="QKA146" s="37"/>
      <c r="QKB146" s="37"/>
      <c r="QKC146" s="37"/>
      <c r="QKD146" s="37"/>
      <c r="QKE146" s="37"/>
      <c r="QKF146" s="37"/>
      <c r="QKG146" s="37"/>
      <c r="QKH146" s="37"/>
      <c r="QKI146" s="37"/>
      <c r="QKJ146" s="37"/>
      <c r="QKK146" s="37"/>
      <c r="QKL146" s="37"/>
      <c r="QKM146" s="37"/>
      <c r="QKN146" s="37"/>
      <c r="QKO146" s="37"/>
      <c r="QKP146" s="37"/>
      <c r="QKQ146" s="37"/>
      <c r="QKR146" s="37"/>
      <c r="QKS146" s="37"/>
      <c r="QKT146" s="37"/>
      <c r="QKU146" s="37"/>
      <c r="QKV146" s="37"/>
      <c r="QKW146" s="37"/>
      <c r="QKX146" s="37"/>
      <c r="QKY146" s="37"/>
      <c r="QKZ146" s="37"/>
      <c r="QLA146" s="37"/>
      <c r="QLB146" s="37"/>
      <c r="QLC146" s="37"/>
      <c r="QLD146" s="37"/>
      <c r="QLE146" s="37"/>
      <c r="QLF146" s="37"/>
      <c r="QLG146" s="37"/>
      <c r="QLH146" s="37"/>
      <c r="QLI146" s="37"/>
      <c r="QLJ146" s="37"/>
      <c r="QLK146" s="37"/>
      <c r="QLL146" s="37"/>
      <c r="QLM146" s="37"/>
      <c r="QLN146" s="37"/>
      <c r="QLO146" s="37"/>
      <c r="QLP146" s="37"/>
      <c r="QLQ146" s="37"/>
      <c r="QLR146" s="37"/>
      <c r="QLS146" s="37"/>
      <c r="QLT146" s="37"/>
      <c r="QLU146" s="37"/>
      <c r="QLV146" s="37"/>
      <c r="QLW146" s="37"/>
      <c r="QLX146" s="37"/>
      <c r="QLY146" s="37"/>
      <c r="QLZ146" s="37"/>
      <c r="QMA146" s="37"/>
      <c r="QMB146" s="37"/>
      <c r="QMC146" s="37"/>
      <c r="QMD146" s="37"/>
      <c r="QME146" s="37"/>
      <c r="QMF146" s="37"/>
      <c r="QMG146" s="37"/>
      <c r="QMH146" s="37"/>
      <c r="QMI146" s="37"/>
      <c r="QMJ146" s="37"/>
      <c r="QMK146" s="37"/>
      <c r="QML146" s="37"/>
      <c r="QMM146" s="37"/>
      <c r="QMN146" s="37"/>
      <c r="QMO146" s="37"/>
      <c r="QMP146" s="37"/>
      <c r="QMQ146" s="37"/>
      <c r="QMR146" s="37"/>
      <c r="QMS146" s="37"/>
      <c r="QMT146" s="37"/>
      <c r="QMU146" s="37"/>
      <c r="QMV146" s="37"/>
      <c r="QMW146" s="37"/>
      <c r="QMX146" s="37"/>
      <c r="QMY146" s="37"/>
      <c r="QMZ146" s="37"/>
      <c r="QNA146" s="37"/>
      <c r="QNB146" s="37"/>
      <c r="QNC146" s="37"/>
      <c r="QND146" s="37"/>
      <c r="QNE146" s="37"/>
      <c r="QNF146" s="37"/>
      <c r="QNG146" s="37"/>
      <c r="QNH146" s="37"/>
      <c r="QNI146" s="37"/>
      <c r="QNJ146" s="37"/>
      <c r="QNK146" s="37"/>
      <c r="QNL146" s="37"/>
      <c r="QNM146" s="37"/>
      <c r="QNN146" s="37"/>
      <c r="QNO146" s="37"/>
      <c r="QNP146" s="37"/>
      <c r="QNQ146" s="37"/>
      <c r="QNR146" s="37"/>
      <c r="QNS146" s="37"/>
      <c r="QNT146" s="37"/>
      <c r="QNU146" s="37"/>
      <c r="QNV146" s="37"/>
      <c r="QNW146" s="37"/>
      <c r="QNX146" s="37"/>
      <c r="QNY146" s="37"/>
      <c r="QNZ146" s="37"/>
      <c r="QOA146" s="37"/>
      <c r="QOB146" s="37"/>
      <c r="QOC146" s="37"/>
      <c r="QOD146" s="37"/>
      <c r="QOE146" s="37"/>
      <c r="QOF146" s="37"/>
      <c r="QOG146" s="37"/>
      <c r="QOH146" s="37"/>
      <c r="QOI146" s="37"/>
      <c r="QOJ146" s="37"/>
      <c r="QOK146" s="37"/>
      <c r="QOL146" s="37"/>
      <c r="QOM146" s="37"/>
      <c r="QON146" s="37"/>
      <c r="QOO146" s="37"/>
      <c r="QOP146" s="37"/>
      <c r="QOQ146" s="37"/>
      <c r="QOR146" s="37"/>
      <c r="QOS146" s="37"/>
      <c r="QOT146" s="37"/>
      <c r="QOU146" s="37"/>
      <c r="QOV146" s="37"/>
      <c r="QOW146" s="37"/>
      <c r="QOX146" s="37"/>
      <c r="QOY146" s="37"/>
      <c r="QOZ146" s="37"/>
      <c r="QPA146" s="37"/>
      <c r="QPB146" s="37"/>
      <c r="QPC146" s="37"/>
      <c r="QPD146" s="37"/>
      <c r="QPE146" s="37"/>
      <c r="QPF146" s="37"/>
      <c r="QPG146" s="37"/>
      <c r="QPH146" s="37"/>
      <c r="QPI146" s="37"/>
      <c r="QPJ146" s="37"/>
      <c r="QPK146" s="37"/>
      <c r="QPL146" s="37"/>
      <c r="QPM146" s="37"/>
      <c r="QPN146" s="37"/>
      <c r="QPO146" s="37"/>
      <c r="QPP146" s="37"/>
      <c r="QPQ146" s="37"/>
      <c r="QPR146" s="37"/>
      <c r="QPS146" s="37"/>
      <c r="QPT146" s="37"/>
      <c r="QPU146" s="37"/>
      <c r="QPV146" s="37"/>
      <c r="QPW146" s="37"/>
      <c r="QPX146" s="37"/>
      <c r="QPY146" s="37"/>
      <c r="QPZ146" s="37"/>
      <c r="QQA146" s="37"/>
      <c r="QQB146" s="37"/>
      <c r="QQC146" s="37"/>
      <c r="QQD146" s="37"/>
      <c r="QQE146" s="37"/>
      <c r="QQF146" s="37"/>
      <c r="QQG146" s="37"/>
      <c r="QQH146" s="37"/>
      <c r="QQI146" s="37"/>
      <c r="QQJ146" s="37"/>
      <c r="QQK146" s="37"/>
      <c r="QQL146" s="37"/>
      <c r="QQM146" s="37"/>
      <c r="QQN146" s="37"/>
      <c r="QQO146" s="37"/>
      <c r="QQP146" s="37"/>
      <c r="QQQ146" s="37"/>
      <c r="QQR146" s="37"/>
      <c r="QQS146" s="37"/>
      <c r="QQT146" s="37"/>
      <c r="QQU146" s="37"/>
      <c r="QQV146" s="37"/>
      <c r="QQW146" s="37"/>
      <c r="QQX146" s="37"/>
      <c r="QQY146" s="37"/>
      <c r="QQZ146" s="37"/>
      <c r="QRA146" s="37"/>
      <c r="QRB146" s="37"/>
      <c r="QRC146" s="37"/>
      <c r="QRD146" s="37"/>
      <c r="QRE146" s="37"/>
      <c r="QRF146" s="37"/>
      <c r="QRG146" s="37"/>
      <c r="QRH146" s="37"/>
      <c r="QRI146" s="37"/>
      <c r="QRJ146" s="37"/>
      <c r="QRK146" s="37"/>
      <c r="QRL146" s="37"/>
      <c r="QRM146" s="37"/>
      <c r="QRN146" s="37"/>
      <c r="QRO146" s="37"/>
      <c r="QRP146" s="37"/>
      <c r="QRQ146" s="37"/>
      <c r="QRR146" s="37"/>
      <c r="QRS146" s="37"/>
      <c r="QRT146" s="37"/>
      <c r="QRU146" s="37"/>
      <c r="QRV146" s="37"/>
      <c r="QRW146" s="37"/>
      <c r="QRX146" s="37"/>
      <c r="QRY146" s="37"/>
      <c r="QRZ146" s="37"/>
      <c r="QSA146" s="37"/>
      <c r="QSB146" s="37"/>
      <c r="QSC146" s="37"/>
      <c r="QSD146" s="37"/>
      <c r="QSE146" s="37"/>
      <c r="QSF146" s="37"/>
      <c r="QSG146" s="37"/>
      <c r="QSH146" s="37"/>
      <c r="QSI146" s="37"/>
      <c r="QSJ146" s="37"/>
      <c r="QSK146" s="37"/>
      <c r="QSL146" s="37"/>
      <c r="QSM146" s="37"/>
      <c r="QSN146" s="37"/>
      <c r="QSO146" s="37"/>
      <c r="QSP146" s="37"/>
      <c r="QSQ146" s="37"/>
      <c r="QSR146" s="37"/>
      <c r="QSS146" s="37"/>
      <c r="QST146" s="37"/>
      <c r="QSU146" s="37"/>
      <c r="QSV146" s="37"/>
      <c r="QSW146" s="37"/>
      <c r="QSX146" s="37"/>
      <c r="QSY146" s="37"/>
      <c r="QSZ146" s="37"/>
      <c r="QTA146" s="37"/>
      <c r="QTB146" s="37"/>
      <c r="QTC146" s="37"/>
      <c r="QTD146" s="37"/>
      <c r="QTE146" s="37"/>
      <c r="QTF146" s="37"/>
      <c r="QTG146" s="37"/>
      <c r="QTH146" s="37"/>
      <c r="QTI146" s="37"/>
      <c r="QTJ146" s="37"/>
      <c r="QTK146" s="37"/>
      <c r="QTL146" s="37"/>
      <c r="QTM146" s="37"/>
      <c r="QTN146" s="37"/>
      <c r="QTO146" s="37"/>
      <c r="QTP146" s="37"/>
      <c r="QTQ146" s="37"/>
      <c r="QTR146" s="37"/>
      <c r="QTS146" s="37"/>
      <c r="QTT146" s="37"/>
      <c r="QTU146" s="37"/>
      <c r="QTV146" s="37"/>
      <c r="QTW146" s="37"/>
      <c r="QTX146" s="37"/>
      <c r="QTY146" s="37"/>
      <c r="QTZ146" s="37"/>
      <c r="QUA146" s="37"/>
      <c r="QUB146" s="37"/>
      <c r="QUC146" s="37"/>
      <c r="QUD146" s="37"/>
      <c r="QUE146" s="37"/>
      <c r="QUF146" s="37"/>
      <c r="QUG146" s="37"/>
      <c r="QUH146" s="37"/>
      <c r="QUI146" s="37"/>
      <c r="QUJ146" s="37"/>
      <c r="QUK146" s="37"/>
      <c r="QUL146" s="37"/>
      <c r="QUM146" s="37"/>
      <c r="QUN146" s="37"/>
      <c r="QUO146" s="37"/>
      <c r="QUP146" s="37"/>
      <c r="QUQ146" s="37"/>
      <c r="QUR146" s="37"/>
      <c r="QUS146" s="37"/>
      <c r="QUT146" s="37"/>
      <c r="QUU146" s="37"/>
      <c r="QUV146" s="37"/>
      <c r="QUW146" s="37"/>
      <c r="QUX146" s="37"/>
      <c r="QUY146" s="37"/>
      <c r="QUZ146" s="37"/>
      <c r="QVA146" s="37"/>
      <c r="QVB146" s="37"/>
      <c r="QVC146" s="37"/>
      <c r="QVD146" s="37"/>
      <c r="QVE146" s="37"/>
      <c r="QVF146" s="37"/>
      <c r="QVG146" s="37"/>
      <c r="QVH146" s="37"/>
      <c r="QVI146" s="37"/>
      <c r="QVJ146" s="37"/>
      <c r="QVK146" s="37"/>
      <c r="QVL146" s="37"/>
      <c r="QVM146" s="37"/>
      <c r="QVN146" s="37"/>
      <c r="QVO146" s="37"/>
      <c r="QVP146" s="37"/>
      <c r="QVQ146" s="37"/>
      <c r="QVR146" s="37"/>
      <c r="QVS146" s="37"/>
      <c r="QVT146" s="37"/>
      <c r="QVU146" s="37"/>
      <c r="QVV146" s="37"/>
      <c r="QVW146" s="37"/>
      <c r="QVX146" s="37"/>
      <c r="QVY146" s="37"/>
      <c r="QVZ146" s="37"/>
      <c r="QWA146" s="37"/>
      <c r="QWB146" s="37"/>
      <c r="QWC146" s="37"/>
      <c r="QWD146" s="37"/>
      <c r="QWE146" s="37"/>
      <c r="QWF146" s="37"/>
      <c r="QWG146" s="37"/>
      <c r="QWH146" s="37"/>
      <c r="QWI146" s="37"/>
      <c r="QWJ146" s="37"/>
      <c r="QWK146" s="37"/>
      <c r="QWL146" s="37"/>
      <c r="QWM146" s="37"/>
      <c r="QWN146" s="37"/>
      <c r="QWO146" s="37"/>
      <c r="QWP146" s="37"/>
      <c r="QWQ146" s="37"/>
      <c r="QWR146" s="37"/>
      <c r="QWS146" s="37"/>
      <c r="QWT146" s="37"/>
      <c r="QWU146" s="37"/>
      <c r="QWV146" s="37"/>
      <c r="QWW146" s="37"/>
      <c r="QWX146" s="37"/>
      <c r="QWY146" s="37"/>
      <c r="QWZ146" s="37"/>
      <c r="QXA146" s="37"/>
      <c r="QXB146" s="37"/>
      <c r="QXC146" s="37"/>
      <c r="QXD146" s="37"/>
      <c r="QXE146" s="37"/>
      <c r="QXF146" s="37"/>
      <c r="QXG146" s="37"/>
      <c r="QXH146" s="37"/>
      <c r="QXI146" s="37"/>
      <c r="QXJ146" s="37"/>
      <c r="QXK146" s="37"/>
      <c r="QXL146" s="37"/>
      <c r="QXM146" s="37"/>
      <c r="QXN146" s="37"/>
      <c r="QXO146" s="37"/>
      <c r="QXP146" s="37"/>
      <c r="QXQ146" s="37"/>
      <c r="QXR146" s="37"/>
      <c r="QXS146" s="37"/>
      <c r="QXT146" s="37"/>
      <c r="QXU146" s="37"/>
      <c r="QXV146" s="37"/>
      <c r="QXW146" s="37"/>
      <c r="QXX146" s="37"/>
      <c r="QXY146" s="37"/>
      <c r="QXZ146" s="37"/>
      <c r="QYA146" s="37"/>
      <c r="QYB146" s="37"/>
      <c r="QYC146" s="37"/>
      <c r="QYD146" s="37"/>
      <c r="QYE146" s="37"/>
      <c r="QYF146" s="37"/>
      <c r="QYG146" s="37"/>
      <c r="QYH146" s="37"/>
      <c r="QYI146" s="37"/>
      <c r="QYJ146" s="37"/>
      <c r="QYK146" s="37"/>
      <c r="QYL146" s="37"/>
      <c r="QYM146" s="37"/>
      <c r="QYN146" s="37"/>
      <c r="QYO146" s="37"/>
      <c r="QYP146" s="37"/>
      <c r="QYQ146" s="37"/>
      <c r="QYR146" s="37"/>
      <c r="QYS146" s="37"/>
      <c r="QYT146" s="37"/>
      <c r="QYU146" s="37"/>
      <c r="QYV146" s="37"/>
      <c r="QYW146" s="37"/>
      <c r="QYX146" s="37"/>
      <c r="QYY146" s="37"/>
      <c r="QYZ146" s="37"/>
      <c r="QZA146" s="37"/>
      <c r="QZB146" s="37"/>
      <c r="QZC146" s="37"/>
      <c r="QZD146" s="37"/>
      <c r="QZE146" s="37"/>
      <c r="QZF146" s="37"/>
      <c r="QZG146" s="37"/>
      <c r="QZH146" s="37"/>
      <c r="QZI146" s="37"/>
      <c r="QZJ146" s="37"/>
      <c r="QZK146" s="37"/>
      <c r="QZL146" s="37"/>
      <c r="QZM146" s="37"/>
      <c r="QZN146" s="37"/>
      <c r="QZO146" s="37"/>
      <c r="QZP146" s="37"/>
      <c r="QZQ146" s="37"/>
      <c r="QZR146" s="37"/>
      <c r="QZS146" s="37"/>
      <c r="QZT146" s="37"/>
      <c r="QZU146" s="37"/>
      <c r="QZV146" s="37"/>
      <c r="QZW146" s="37"/>
      <c r="QZX146" s="37"/>
      <c r="QZY146" s="37"/>
      <c r="QZZ146" s="37"/>
      <c r="RAA146" s="37"/>
      <c r="RAB146" s="37"/>
      <c r="RAC146" s="37"/>
      <c r="RAD146" s="37"/>
      <c r="RAE146" s="37"/>
      <c r="RAF146" s="37"/>
      <c r="RAG146" s="37"/>
      <c r="RAH146" s="37"/>
      <c r="RAI146" s="37"/>
      <c r="RAJ146" s="37"/>
      <c r="RAK146" s="37"/>
      <c r="RAL146" s="37"/>
      <c r="RAM146" s="37"/>
      <c r="RAN146" s="37"/>
      <c r="RAO146" s="37"/>
      <c r="RAP146" s="37"/>
      <c r="RAQ146" s="37"/>
      <c r="RAR146" s="37"/>
      <c r="RAS146" s="37"/>
      <c r="RAT146" s="37"/>
      <c r="RAU146" s="37"/>
      <c r="RAV146" s="37"/>
      <c r="RAW146" s="37"/>
      <c r="RAX146" s="37"/>
      <c r="RAY146" s="37"/>
      <c r="RAZ146" s="37"/>
      <c r="RBA146" s="37"/>
      <c r="RBB146" s="37"/>
      <c r="RBC146" s="37"/>
      <c r="RBD146" s="37"/>
      <c r="RBE146" s="37"/>
      <c r="RBF146" s="37"/>
      <c r="RBG146" s="37"/>
      <c r="RBH146" s="37"/>
      <c r="RBI146" s="37"/>
      <c r="RBJ146" s="37"/>
      <c r="RBK146" s="37"/>
      <c r="RBL146" s="37"/>
      <c r="RBM146" s="37"/>
      <c r="RBN146" s="37"/>
      <c r="RBO146" s="37"/>
      <c r="RBP146" s="37"/>
      <c r="RBQ146" s="37"/>
      <c r="RBR146" s="37"/>
      <c r="RBS146" s="37"/>
      <c r="RBT146" s="37"/>
      <c r="RBU146" s="37"/>
      <c r="RBV146" s="37"/>
      <c r="RBW146" s="37"/>
      <c r="RBX146" s="37"/>
      <c r="RBY146" s="37"/>
      <c r="RBZ146" s="37"/>
      <c r="RCA146" s="37"/>
      <c r="RCB146" s="37"/>
      <c r="RCC146" s="37"/>
      <c r="RCD146" s="37"/>
      <c r="RCE146" s="37"/>
      <c r="RCF146" s="37"/>
      <c r="RCG146" s="37"/>
      <c r="RCH146" s="37"/>
      <c r="RCI146" s="37"/>
      <c r="RCJ146" s="37"/>
      <c r="RCK146" s="37"/>
      <c r="RCL146" s="37"/>
      <c r="RCM146" s="37"/>
      <c r="RCN146" s="37"/>
      <c r="RCO146" s="37"/>
      <c r="RCP146" s="37"/>
      <c r="RCQ146" s="37"/>
      <c r="RCR146" s="37"/>
      <c r="RCS146" s="37"/>
      <c r="RCT146" s="37"/>
      <c r="RCU146" s="37"/>
      <c r="RCV146" s="37"/>
      <c r="RCW146" s="37"/>
      <c r="RCX146" s="37"/>
      <c r="RCY146" s="37"/>
      <c r="RCZ146" s="37"/>
      <c r="RDA146" s="37"/>
      <c r="RDB146" s="37"/>
      <c r="RDC146" s="37"/>
      <c r="RDD146" s="37"/>
      <c r="RDE146" s="37"/>
      <c r="RDF146" s="37"/>
      <c r="RDG146" s="37"/>
      <c r="RDH146" s="37"/>
      <c r="RDI146" s="37"/>
      <c r="RDJ146" s="37"/>
      <c r="RDK146" s="37"/>
      <c r="RDL146" s="37"/>
      <c r="RDM146" s="37"/>
      <c r="RDN146" s="37"/>
      <c r="RDO146" s="37"/>
      <c r="RDP146" s="37"/>
      <c r="RDQ146" s="37"/>
      <c r="RDR146" s="37"/>
      <c r="RDS146" s="37"/>
      <c r="RDT146" s="37"/>
      <c r="RDU146" s="37"/>
      <c r="RDV146" s="37"/>
      <c r="RDW146" s="37"/>
      <c r="RDX146" s="37"/>
      <c r="RDY146" s="37"/>
      <c r="RDZ146" s="37"/>
      <c r="REA146" s="37"/>
      <c r="REB146" s="37"/>
      <c r="REC146" s="37"/>
      <c r="RED146" s="37"/>
      <c r="REE146" s="37"/>
      <c r="REF146" s="37"/>
      <c r="REG146" s="37"/>
      <c r="REH146" s="37"/>
      <c r="REI146" s="37"/>
      <c r="REJ146" s="37"/>
      <c r="REK146" s="37"/>
      <c r="REL146" s="37"/>
      <c r="REM146" s="37"/>
      <c r="REN146" s="37"/>
      <c r="REO146" s="37"/>
      <c r="REP146" s="37"/>
      <c r="REQ146" s="37"/>
      <c r="RER146" s="37"/>
      <c r="RES146" s="37"/>
      <c r="RET146" s="37"/>
      <c r="REU146" s="37"/>
      <c r="REV146" s="37"/>
      <c r="REW146" s="37"/>
      <c r="REX146" s="37"/>
      <c r="REY146" s="37"/>
      <c r="REZ146" s="37"/>
      <c r="RFA146" s="37"/>
      <c r="RFB146" s="37"/>
      <c r="RFC146" s="37"/>
      <c r="RFD146" s="37"/>
      <c r="RFE146" s="37"/>
      <c r="RFF146" s="37"/>
      <c r="RFG146" s="37"/>
      <c r="RFH146" s="37"/>
      <c r="RFI146" s="37"/>
      <c r="RFJ146" s="37"/>
      <c r="RFK146" s="37"/>
      <c r="RFL146" s="37"/>
      <c r="RFM146" s="37"/>
      <c r="RFN146" s="37"/>
      <c r="RFO146" s="37"/>
      <c r="RFP146" s="37"/>
      <c r="RFQ146" s="37"/>
      <c r="RFR146" s="37"/>
      <c r="RFS146" s="37"/>
      <c r="RFT146" s="37"/>
      <c r="RFU146" s="37"/>
      <c r="RFV146" s="37"/>
      <c r="RFW146" s="37"/>
      <c r="RFX146" s="37"/>
      <c r="RFY146" s="37"/>
      <c r="RFZ146" s="37"/>
      <c r="RGA146" s="37"/>
      <c r="RGB146" s="37"/>
      <c r="RGC146" s="37"/>
      <c r="RGD146" s="37"/>
      <c r="RGE146" s="37"/>
      <c r="RGF146" s="37"/>
      <c r="RGG146" s="37"/>
      <c r="RGH146" s="37"/>
      <c r="RGI146" s="37"/>
      <c r="RGJ146" s="37"/>
      <c r="RGK146" s="37"/>
      <c r="RGL146" s="37"/>
      <c r="RGM146" s="37"/>
      <c r="RGN146" s="37"/>
      <c r="RGO146" s="37"/>
      <c r="RGP146" s="37"/>
      <c r="RGQ146" s="37"/>
      <c r="RGR146" s="37"/>
      <c r="RGS146" s="37"/>
      <c r="RGT146" s="37"/>
      <c r="RGU146" s="37"/>
      <c r="RGV146" s="37"/>
      <c r="RGW146" s="37"/>
      <c r="RGX146" s="37"/>
      <c r="RGY146" s="37"/>
      <c r="RGZ146" s="37"/>
      <c r="RHA146" s="37"/>
      <c r="RHB146" s="37"/>
      <c r="RHC146" s="37"/>
      <c r="RHD146" s="37"/>
      <c r="RHE146" s="37"/>
      <c r="RHF146" s="37"/>
      <c r="RHG146" s="37"/>
      <c r="RHH146" s="37"/>
      <c r="RHI146" s="37"/>
      <c r="RHJ146" s="37"/>
      <c r="RHK146" s="37"/>
      <c r="RHL146" s="37"/>
      <c r="RHM146" s="37"/>
      <c r="RHN146" s="37"/>
      <c r="RHO146" s="37"/>
      <c r="RHP146" s="37"/>
      <c r="RHQ146" s="37"/>
      <c r="RHR146" s="37"/>
      <c r="RHS146" s="37"/>
      <c r="RHT146" s="37"/>
      <c r="RHU146" s="37"/>
      <c r="RHV146" s="37"/>
      <c r="RHW146" s="37"/>
      <c r="RHX146" s="37"/>
      <c r="RHY146" s="37"/>
      <c r="RHZ146" s="37"/>
      <c r="RIA146" s="37"/>
      <c r="RIB146" s="37"/>
      <c r="RIC146" s="37"/>
      <c r="RID146" s="37"/>
      <c r="RIE146" s="37"/>
      <c r="RIF146" s="37"/>
      <c r="RIG146" s="37"/>
      <c r="RIH146" s="37"/>
      <c r="RII146" s="37"/>
      <c r="RIJ146" s="37"/>
      <c r="RIK146" s="37"/>
      <c r="RIL146" s="37"/>
      <c r="RIM146" s="37"/>
      <c r="RIN146" s="37"/>
      <c r="RIO146" s="37"/>
      <c r="RIP146" s="37"/>
      <c r="RIQ146" s="37"/>
      <c r="RIR146" s="37"/>
      <c r="RIS146" s="37"/>
      <c r="RIT146" s="37"/>
      <c r="RIU146" s="37"/>
      <c r="RIV146" s="37"/>
      <c r="RIW146" s="37"/>
      <c r="RIX146" s="37"/>
      <c r="RIY146" s="37"/>
      <c r="RIZ146" s="37"/>
      <c r="RJA146" s="37"/>
      <c r="RJB146" s="37"/>
      <c r="RJC146" s="37"/>
      <c r="RJD146" s="37"/>
      <c r="RJE146" s="37"/>
      <c r="RJF146" s="37"/>
      <c r="RJG146" s="37"/>
      <c r="RJH146" s="37"/>
      <c r="RJI146" s="37"/>
      <c r="RJJ146" s="37"/>
      <c r="RJK146" s="37"/>
      <c r="RJL146" s="37"/>
      <c r="RJM146" s="37"/>
      <c r="RJN146" s="37"/>
      <c r="RJO146" s="37"/>
      <c r="RJP146" s="37"/>
      <c r="RJQ146" s="37"/>
      <c r="RJR146" s="37"/>
      <c r="RJS146" s="37"/>
      <c r="RJT146" s="37"/>
      <c r="RJU146" s="37"/>
      <c r="RJV146" s="37"/>
      <c r="RJW146" s="37"/>
      <c r="RJX146" s="37"/>
      <c r="RJY146" s="37"/>
      <c r="RJZ146" s="37"/>
      <c r="RKA146" s="37"/>
      <c r="RKB146" s="37"/>
      <c r="RKC146" s="37"/>
      <c r="RKD146" s="37"/>
      <c r="RKE146" s="37"/>
      <c r="RKF146" s="37"/>
      <c r="RKG146" s="37"/>
      <c r="RKH146" s="37"/>
      <c r="RKI146" s="37"/>
      <c r="RKJ146" s="37"/>
      <c r="RKK146" s="37"/>
      <c r="RKL146" s="37"/>
      <c r="RKM146" s="37"/>
      <c r="RKN146" s="37"/>
      <c r="RKO146" s="37"/>
      <c r="RKP146" s="37"/>
      <c r="RKQ146" s="37"/>
      <c r="RKR146" s="37"/>
      <c r="RKS146" s="37"/>
      <c r="RKT146" s="37"/>
      <c r="RKU146" s="37"/>
      <c r="RKV146" s="37"/>
      <c r="RKW146" s="37"/>
      <c r="RKX146" s="37"/>
      <c r="RKY146" s="37"/>
      <c r="RKZ146" s="37"/>
      <c r="RLA146" s="37"/>
      <c r="RLB146" s="37"/>
      <c r="RLC146" s="37"/>
      <c r="RLD146" s="37"/>
      <c r="RLE146" s="37"/>
      <c r="RLF146" s="37"/>
      <c r="RLG146" s="37"/>
      <c r="RLH146" s="37"/>
      <c r="RLI146" s="37"/>
      <c r="RLJ146" s="37"/>
      <c r="RLK146" s="37"/>
      <c r="RLL146" s="37"/>
      <c r="RLM146" s="37"/>
      <c r="RLN146" s="37"/>
      <c r="RLO146" s="37"/>
      <c r="RLP146" s="37"/>
      <c r="RLQ146" s="37"/>
      <c r="RLR146" s="37"/>
      <c r="RLS146" s="37"/>
      <c r="RLT146" s="37"/>
      <c r="RLU146" s="37"/>
      <c r="RLV146" s="37"/>
      <c r="RLW146" s="37"/>
      <c r="RLX146" s="37"/>
      <c r="RLY146" s="37"/>
      <c r="RLZ146" s="37"/>
      <c r="RMA146" s="37"/>
      <c r="RMB146" s="37"/>
      <c r="RMC146" s="37"/>
      <c r="RMD146" s="37"/>
      <c r="RME146" s="37"/>
      <c r="RMF146" s="37"/>
      <c r="RMG146" s="37"/>
      <c r="RMH146" s="37"/>
      <c r="RMI146" s="37"/>
      <c r="RMJ146" s="37"/>
      <c r="RMK146" s="37"/>
      <c r="RML146" s="37"/>
      <c r="RMM146" s="37"/>
      <c r="RMN146" s="37"/>
      <c r="RMO146" s="37"/>
      <c r="RMP146" s="37"/>
      <c r="RMQ146" s="37"/>
      <c r="RMR146" s="37"/>
      <c r="RMS146" s="37"/>
      <c r="RMT146" s="37"/>
      <c r="RMU146" s="37"/>
      <c r="RMV146" s="37"/>
      <c r="RMW146" s="37"/>
      <c r="RMX146" s="37"/>
      <c r="RMY146" s="37"/>
      <c r="RMZ146" s="37"/>
      <c r="RNA146" s="37"/>
      <c r="RNB146" s="37"/>
      <c r="RNC146" s="37"/>
      <c r="RND146" s="37"/>
      <c r="RNE146" s="37"/>
      <c r="RNF146" s="37"/>
      <c r="RNG146" s="37"/>
      <c r="RNH146" s="37"/>
      <c r="RNI146" s="37"/>
      <c r="RNJ146" s="37"/>
      <c r="RNK146" s="37"/>
      <c r="RNL146" s="37"/>
      <c r="RNM146" s="37"/>
      <c r="RNN146" s="37"/>
      <c r="RNO146" s="37"/>
      <c r="RNP146" s="37"/>
      <c r="RNQ146" s="37"/>
      <c r="RNR146" s="37"/>
      <c r="RNS146" s="37"/>
      <c r="RNT146" s="37"/>
      <c r="RNU146" s="37"/>
      <c r="RNV146" s="37"/>
      <c r="RNW146" s="37"/>
      <c r="RNX146" s="37"/>
      <c r="RNY146" s="37"/>
      <c r="RNZ146" s="37"/>
      <c r="ROA146" s="37"/>
      <c r="ROB146" s="37"/>
      <c r="ROC146" s="37"/>
      <c r="ROD146" s="37"/>
      <c r="ROE146" s="37"/>
      <c r="ROF146" s="37"/>
      <c r="ROG146" s="37"/>
      <c r="ROH146" s="37"/>
      <c r="ROI146" s="37"/>
      <c r="ROJ146" s="37"/>
      <c r="ROK146" s="37"/>
      <c r="ROL146" s="37"/>
      <c r="ROM146" s="37"/>
      <c r="RON146" s="37"/>
      <c r="ROO146" s="37"/>
      <c r="ROP146" s="37"/>
      <c r="ROQ146" s="37"/>
      <c r="ROR146" s="37"/>
      <c r="ROS146" s="37"/>
      <c r="ROT146" s="37"/>
      <c r="ROU146" s="37"/>
      <c r="ROV146" s="37"/>
      <c r="ROW146" s="37"/>
      <c r="ROX146" s="37"/>
      <c r="ROY146" s="37"/>
      <c r="ROZ146" s="37"/>
      <c r="RPA146" s="37"/>
      <c r="RPB146" s="37"/>
      <c r="RPC146" s="37"/>
      <c r="RPD146" s="37"/>
      <c r="RPE146" s="37"/>
      <c r="RPF146" s="37"/>
      <c r="RPG146" s="37"/>
      <c r="RPH146" s="37"/>
      <c r="RPI146" s="37"/>
      <c r="RPJ146" s="37"/>
      <c r="RPK146" s="37"/>
      <c r="RPL146" s="37"/>
      <c r="RPM146" s="37"/>
      <c r="RPN146" s="37"/>
      <c r="RPO146" s="37"/>
      <c r="RPP146" s="37"/>
      <c r="RPQ146" s="37"/>
      <c r="RPR146" s="37"/>
      <c r="RPS146" s="37"/>
      <c r="RPT146" s="37"/>
      <c r="RPU146" s="37"/>
      <c r="RPV146" s="37"/>
      <c r="RPW146" s="37"/>
      <c r="RPX146" s="37"/>
      <c r="RPY146" s="37"/>
      <c r="RPZ146" s="37"/>
      <c r="RQA146" s="37"/>
      <c r="RQB146" s="37"/>
      <c r="RQC146" s="37"/>
      <c r="RQD146" s="37"/>
      <c r="RQE146" s="37"/>
      <c r="RQF146" s="37"/>
      <c r="RQG146" s="37"/>
      <c r="RQH146" s="37"/>
      <c r="RQI146" s="37"/>
      <c r="RQJ146" s="37"/>
      <c r="RQK146" s="37"/>
      <c r="RQL146" s="37"/>
      <c r="RQM146" s="37"/>
      <c r="RQN146" s="37"/>
      <c r="RQO146" s="37"/>
      <c r="RQP146" s="37"/>
      <c r="RQQ146" s="37"/>
      <c r="RQR146" s="37"/>
      <c r="RQS146" s="37"/>
      <c r="RQT146" s="37"/>
      <c r="RQU146" s="37"/>
      <c r="RQV146" s="37"/>
      <c r="RQW146" s="37"/>
      <c r="RQX146" s="37"/>
      <c r="RQY146" s="37"/>
      <c r="RQZ146" s="37"/>
      <c r="RRA146" s="37"/>
      <c r="RRB146" s="37"/>
      <c r="RRC146" s="37"/>
      <c r="RRD146" s="37"/>
      <c r="RRE146" s="37"/>
      <c r="RRF146" s="37"/>
      <c r="RRG146" s="37"/>
      <c r="RRH146" s="37"/>
      <c r="RRI146" s="37"/>
      <c r="RRJ146" s="37"/>
      <c r="RRK146" s="37"/>
      <c r="RRL146" s="37"/>
      <c r="RRM146" s="37"/>
      <c r="RRN146" s="37"/>
      <c r="RRO146" s="37"/>
      <c r="RRP146" s="37"/>
      <c r="RRQ146" s="37"/>
      <c r="RRR146" s="37"/>
      <c r="RRS146" s="37"/>
      <c r="RRT146" s="37"/>
      <c r="RRU146" s="37"/>
      <c r="RRV146" s="37"/>
      <c r="RRW146" s="37"/>
      <c r="RRX146" s="37"/>
      <c r="RRY146" s="37"/>
      <c r="RRZ146" s="37"/>
      <c r="RSA146" s="37"/>
      <c r="RSB146" s="37"/>
      <c r="RSC146" s="37"/>
      <c r="RSD146" s="37"/>
      <c r="RSE146" s="37"/>
      <c r="RSF146" s="37"/>
      <c r="RSG146" s="37"/>
      <c r="RSH146" s="37"/>
      <c r="RSI146" s="37"/>
      <c r="RSJ146" s="37"/>
      <c r="RSK146" s="37"/>
      <c r="RSL146" s="37"/>
      <c r="RSM146" s="37"/>
      <c r="RSN146" s="37"/>
      <c r="RSO146" s="37"/>
      <c r="RSP146" s="37"/>
      <c r="RSQ146" s="37"/>
      <c r="RSR146" s="37"/>
      <c r="RSS146" s="37"/>
      <c r="RST146" s="37"/>
      <c r="RSU146" s="37"/>
      <c r="RSV146" s="37"/>
      <c r="RSW146" s="37"/>
      <c r="RSX146" s="37"/>
      <c r="RSY146" s="37"/>
      <c r="RSZ146" s="37"/>
      <c r="RTA146" s="37"/>
      <c r="RTB146" s="37"/>
      <c r="RTC146" s="37"/>
      <c r="RTD146" s="37"/>
      <c r="RTE146" s="37"/>
      <c r="RTF146" s="37"/>
      <c r="RTG146" s="37"/>
      <c r="RTH146" s="37"/>
      <c r="RTI146" s="37"/>
      <c r="RTJ146" s="37"/>
      <c r="RTK146" s="37"/>
      <c r="RTL146" s="37"/>
      <c r="RTM146" s="37"/>
      <c r="RTN146" s="37"/>
      <c r="RTO146" s="37"/>
      <c r="RTP146" s="37"/>
      <c r="RTQ146" s="37"/>
      <c r="RTR146" s="37"/>
      <c r="RTS146" s="37"/>
      <c r="RTT146" s="37"/>
      <c r="RTU146" s="37"/>
      <c r="RTV146" s="37"/>
      <c r="RTW146" s="37"/>
      <c r="RTX146" s="37"/>
      <c r="RTY146" s="37"/>
      <c r="RTZ146" s="37"/>
      <c r="RUA146" s="37"/>
      <c r="RUB146" s="37"/>
      <c r="RUC146" s="37"/>
      <c r="RUD146" s="37"/>
      <c r="RUE146" s="37"/>
      <c r="RUF146" s="37"/>
      <c r="RUG146" s="37"/>
      <c r="RUH146" s="37"/>
      <c r="RUI146" s="37"/>
      <c r="RUJ146" s="37"/>
      <c r="RUK146" s="37"/>
      <c r="RUL146" s="37"/>
      <c r="RUM146" s="37"/>
      <c r="RUN146" s="37"/>
      <c r="RUO146" s="37"/>
      <c r="RUP146" s="37"/>
      <c r="RUQ146" s="37"/>
      <c r="RUR146" s="37"/>
      <c r="RUS146" s="37"/>
      <c r="RUT146" s="37"/>
      <c r="RUU146" s="37"/>
      <c r="RUV146" s="37"/>
      <c r="RUW146" s="37"/>
      <c r="RUX146" s="37"/>
      <c r="RUY146" s="37"/>
      <c r="RUZ146" s="37"/>
      <c r="RVA146" s="37"/>
      <c r="RVB146" s="37"/>
      <c r="RVC146" s="37"/>
      <c r="RVD146" s="37"/>
      <c r="RVE146" s="37"/>
      <c r="RVF146" s="37"/>
      <c r="RVG146" s="37"/>
      <c r="RVH146" s="37"/>
      <c r="RVI146" s="37"/>
      <c r="RVJ146" s="37"/>
      <c r="RVK146" s="37"/>
      <c r="RVL146" s="37"/>
      <c r="RVM146" s="37"/>
      <c r="RVN146" s="37"/>
      <c r="RVO146" s="37"/>
      <c r="RVP146" s="37"/>
      <c r="RVQ146" s="37"/>
      <c r="RVR146" s="37"/>
      <c r="RVS146" s="37"/>
      <c r="RVT146" s="37"/>
      <c r="RVU146" s="37"/>
      <c r="RVV146" s="37"/>
      <c r="RVW146" s="37"/>
      <c r="RVX146" s="37"/>
      <c r="RVY146" s="37"/>
      <c r="RVZ146" s="37"/>
      <c r="RWA146" s="37"/>
      <c r="RWB146" s="37"/>
      <c r="RWC146" s="37"/>
      <c r="RWD146" s="37"/>
      <c r="RWE146" s="37"/>
      <c r="RWF146" s="37"/>
      <c r="RWG146" s="37"/>
      <c r="RWH146" s="37"/>
      <c r="RWI146" s="37"/>
      <c r="RWJ146" s="37"/>
      <c r="RWK146" s="37"/>
      <c r="RWL146" s="37"/>
      <c r="RWM146" s="37"/>
      <c r="RWN146" s="37"/>
      <c r="RWO146" s="37"/>
      <c r="RWP146" s="37"/>
      <c r="RWQ146" s="37"/>
      <c r="RWR146" s="37"/>
      <c r="RWS146" s="37"/>
      <c r="RWT146" s="37"/>
      <c r="RWU146" s="37"/>
      <c r="RWV146" s="37"/>
      <c r="RWW146" s="37"/>
      <c r="RWX146" s="37"/>
      <c r="RWY146" s="37"/>
      <c r="RWZ146" s="37"/>
      <c r="RXA146" s="37"/>
      <c r="RXB146" s="37"/>
      <c r="RXC146" s="37"/>
      <c r="RXD146" s="37"/>
      <c r="RXE146" s="37"/>
      <c r="RXF146" s="37"/>
      <c r="RXG146" s="37"/>
      <c r="RXH146" s="37"/>
      <c r="RXI146" s="37"/>
      <c r="RXJ146" s="37"/>
      <c r="RXK146" s="37"/>
      <c r="RXL146" s="37"/>
      <c r="RXM146" s="37"/>
      <c r="RXN146" s="37"/>
      <c r="RXO146" s="37"/>
      <c r="RXP146" s="37"/>
      <c r="RXQ146" s="37"/>
      <c r="RXR146" s="37"/>
      <c r="RXS146" s="37"/>
      <c r="RXT146" s="37"/>
      <c r="RXU146" s="37"/>
      <c r="RXV146" s="37"/>
      <c r="RXW146" s="37"/>
      <c r="RXX146" s="37"/>
      <c r="RXY146" s="37"/>
      <c r="RXZ146" s="37"/>
      <c r="RYA146" s="37"/>
      <c r="RYB146" s="37"/>
      <c r="RYC146" s="37"/>
      <c r="RYD146" s="37"/>
      <c r="RYE146" s="37"/>
      <c r="RYF146" s="37"/>
      <c r="RYG146" s="37"/>
      <c r="RYH146" s="37"/>
      <c r="RYI146" s="37"/>
      <c r="RYJ146" s="37"/>
      <c r="RYK146" s="37"/>
      <c r="RYL146" s="37"/>
      <c r="RYM146" s="37"/>
      <c r="RYN146" s="37"/>
      <c r="RYO146" s="37"/>
      <c r="RYP146" s="37"/>
      <c r="RYQ146" s="37"/>
      <c r="RYR146" s="37"/>
      <c r="RYS146" s="37"/>
      <c r="RYT146" s="37"/>
      <c r="RYU146" s="37"/>
      <c r="RYV146" s="37"/>
      <c r="RYW146" s="37"/>
      <c r="RYX146" s="37"/>
      <c r="RYY146" s="37"/>
      <c r="RYZ146" s="37"/>
      <c r="RZA146" s="37"/>
      <c r="RZB146" s="37"/>
      <c r="RZC146" s="37"/>
      <c r="RZD146" s="37"/>
      <c r="RZE146" s="37"/>
      <c r="RZF146" s="37"/>
      <c r="RZG146" s="37"/>
      <c r="RZH146" s="37"/>
      <c r="RZI146" s="37"/>
      <c r="RZJ146" s="37"/>
      <c r="RZK146" s="37"/>
      <c r="RZL146" s="37"/>
      <c r="RZM146" s="37"/>
      <c r="RZN146" s="37"/>
      <c r="RZO146" s="37"/>
      <c r="RZP146" s="37"/>
      <c r="RZQ146" s="37"/>
      <c r="RZR146" s="37"/>
      <c r="RZS146" s="37"/>
      <c r="RZT146" s="37"/>
      <c r="RZU146" s="37"/>
      <c r="RZV146" s="37"/>
      <c r="RZW146" s="37"/>
      <c r="RZX146" s="37"/>
      <c r="RZY146" s="37"/>
      <c r="RZZ146" s="37"/>
      <c r="SAA146" s="37"/>
      <c r="SAB146" s="37"/>
      <c r="SAC146" s="37"/>
      <c r="SAD146" s="37"/>
      <c r="SAE146" s="37"/>
      <c r="SAF146" s="37"/>
      <c r="SAG146" s="37"/>
      <c r="SAH146" s="37"/>
      <c r="SAI146" s="37"/>
      <c r="SAJ146" s="37"/>
      <c r="SAK146" s="37"/>
      <c r="SAL146" s="37"/>
      <c r="SAM146" s="37"/>
      <c r="SAN146" s="37"/>
      <c r="SAO146" s="37"/>
      <c r="SAP146" s="37"/>
      <c r="SAQ146" s="37"/>
      <c r="SAR146" s="37"/>
      <c r="SAS146" s="37"/>
      <c r="SAT146" s="37"/>
      <c r="SAU146" s="37"/>
      <c r="SAV146" s="37"/>
      <c r="SAW146" s="37"/>
      <c r="SAX146" s="37"/>
      <c r="SAY146" s="37"/>
      <c r="SAZ146" s="37"/>
      <c r="SBA146" s="37"/>
      <c r="SBB146" s="37"/>
      <c r="SBC146" s="37"/>
      <c r="SBD146" s="37"/>
      <c r="SBE146" s="37"/>
      <c r="SBF146" s="37"/>
      <c r="SBG146" s="37"/>
      <c r="SBH146" s="37"/>
      <c r="SBI146" s="37"/>
      <c r="SBJ146" s="37"/>
      <c r="SBK146" s="37"/>
      <c r="SBL146" s="37"/>
      <c r="SBM146" s="37"/>
      <c r="SBN146" s="37"/>
      <c r="SBO146" s="37"/>
      <c r="SBP146" s="37"/>
      <c r="SBQ146" s="37"/>
      <c r="SBR146" s="37"/>
      <c r="SBS146" s="37"/>
      <c r="SBT146" s="37"/>
      <c r="SBU146" s="37"/>
      <c r="SBV146" s="37"/>
      <c r="SBW146" s="37"/>
      <c r="SBX146" s="37"/>
      <c r="SBY146" s="37"/>
      <c r="SBZ146" s="37"/>
      <c r="SCA146" s="37"/>
      <c r="SCB146" s="37"/>
      <c r="SCC146" s="37"/>
      <c r="SCD146" s="37"/>
      <c r="SCE146" s="37"/>
      <c r="SCF146" s="37"/>
      <c r="SCG146" s="37"/>
      <c r="SCH146" s="37"/>
      <c r="SCI146" s="37"/>
      <c r="SCJ146" s="37"/>
      <c r="SCK146" s="37"/>
      <c r="SCL146" s="37"/>
      <c r="SCM146" s="37"/>
      <c r="SCN146" s="37"/>
      <c r="SCO146" s="37"/>
      <c r="SCP146" s="37"/>
      <c r="SCQ146" s="37"/>
      <c r="SCR146" s="37"/>
      <c r="SCS146" s="37"/>
      <c r="SCT146" s="37"/>
      <c r="SCU146" s="37"/>
      <c r="SCV146" s="37"/>
      <c r="SCW146" s="37"/>
      <c r="SCX146" s="37"/>
      <c r="SCY146" s="37"/>
      <c r="SCZ146" s="37"/>
      <c r="SDA146" s="37"/>
      <c r="SDB146" s="37"/>
      <c r="SDC146" s="37"/>
      <c r="SDD146" s="37"/>
      <c r="SDE146" s="37"/>
      <c r="SDF146" s="37"/>
      <c r="SDG146" s="37"/>
      <c r="SDH146" s="37"/>
      <c r="SDI146" s="37"/>
      <c r="SDJ146" s="37"/>
      <c r="SDK146" s="37"/>
      <c r="SDL146" s="37"/>
      <c r="SDM146" s="37"/>
      <c r="SDN146" s="37"/>
      <c r="SDO146" s="37"/>
      <c r="SDP146" s="37"/>
      <c r="SDQ146" s="37"/>
      <c r="SDR146" s="37"/>
      <c r="SDS146" s="37"/>
      <c r="SDT146" s="37"/>
      <c r="SDU146" s="37"/>
      <c r="SDV146" s="37"/>
      <c r="SDW146" s="37"/>
      <c r="SDX146" s="37"/>
      <c r="SDY146" s="37"/>
      <c r="SDZ146" s="37"/>
      <c r="SEA146" s="37"/>
      <c r="SEB146" s="37"/>
      <c r="SEC146" s="37"/>
      <c r="SED146" s="37"/>
      <c r="SEE146" s="37"/>
      <c r="SEF146" s="37"/>
      <c r="SEG146" s="37"/>
      <c r="SEH146" s="37"/>
      <c r="SEI146" s="37"/>
      <c r="SEJ146" s="37"/>
      <c r="SEK146" s="37"/>
      <c r="SEL146" s="37"/>
      <c r="SEM146" s="37"/>
      <c r="SEN146" s="37"/>
      <c r="SEO146" s="37"/>
      <c r="SEP146" s="37"/>
      <c r="SEQ146" s="37"/>
      <c r="SER146" s="37"/>
      <c r="SES146" s="37"/>
      <c r="SET146" s="37"/>
      <c r="SEU146" s="37"/>
      <c r="SEV146" s="37"/>
      <c r="SEW146" s="37"/>
      <c r="SEX146" s="37"/>
      <c r="SEY146" s="37"/>
      <c r="SEZ146" s="37"/>
      <c r="SFA146" s="37"/>
      <c r="SFB146" s="37"/>
      <c r="SFC146" s="37"/>
      <c r="SFD146" s="37"/>
      <c r="SFE146" s="37"/>
      <c r="SFF146" s="37"/>
      <c r="SFG146" s="37"/>
      <c r="SFH146" s="37"/>
      <c r="SFI146" s="37"/>
      <c r="SFJ146" s="37"/>
      <c r="SFK146" s="37"/>
      <c r="SFL146" s="37"/>
      <c r="SFM146" s="37"/>
      <c r="SFN146" s="37"/>
      <c r="SFO146" s="37"/>
      <c r="SFP146" s="37"/>
      <c r="SFQ146" s="37"/>
      <c r="SFR146" s="37"/>
      <c r="SFS146" s="37"/>
      <c r="SFT146" s="37"/>
      <c r="SFU146" s="37"/>
      <c r="SFV146" s="37"/>
      <c r="SFW146" s="37"/>
      <c r="SFX146" s="37"/>
      <c r="SFY146" s="37"/>
      <c r="SFZ146" s="37"/>
      <c r="SGA146" s="37"/>
      <c r="SGB146" s="37"/>
      <c r="SGC146" s="37"/>
      <c r="SGD146" s="37"/>
      <c r="SGE146" s="37"/>
      <c r="SGF146" s="37"/>
      <c r="SGG146" s="37"/>
      <c r="SGH146" s="37"/>
      <c r="SGI146" s="37"/>
      <c r="SGJ146" s="37"/>
      <c r="SGK146" s="37"/>
      <c r="SGL146" s="37"/>
      <c r="SGM146" s="37"/>
      <c r="SGN146" s="37"/>
      <c r="SGO146" s="37"/>
      <c r="SGP146" s="37"/>
      <c r="SGQ146" s="37"/>
      <c r="SGR146" s="37"/>
      <c r="SGS146" s="37"/>
      <c r="SGT146" s="37"/>
      <c r="SGU146" s="37"/>
      <c r="SGV146" s="37"/>
      <c r="SGW146" s="37"/>
      <c r="SGX146" s="37"/>
      <c r="SGY146" s="37"/>
      <c r="SGZ146" s="37"/>
      <c r="SHA146" s="37"/>
      <c r="SHB146" s="37"/>
      <c r="SHC146" s="37"/>
      <c r="SHD146" s="37"/>
      <c r="SHE146" s="37"/>
      <c r="SHF146" s="37"/>
      <c r="SHG146" s="37"/>
      <c r="SHH146" s="37"/>
      <c r="SHI146" s="37"/>
      <c r="SHJ146" s="37"/>
      <c r="SHK146" s="37"/>
      <c r="SHL146" s="37"/>
      <c r="SHM146" s="37"/>
      <c r="SHN146" s="37"/>
      <c r="SHO146" s="37"/>
      <c r="SHP146" s="37"/>
      <c r="SHQ146" s="37"/>
      <c r="SHR146" s="37"/>
      <c r="SHS146" s="37"/>
      <c r="SHT146" s="37"/>
      <c r="SHU146" s="37"/>
      <c r="SHV146" s="37"/>
      <c r="SHW146" s="37"/>
      <c r="SHX146" s="37"/>
      <c r="SHY146" s="37"/>
      <c r="SHZ146" s="37"/>
      <c r="SIA146" s="37"/>
      <c r="SIB146" s="37"/>
      <c r="SIC146" s="37"/>
      <c r="SID146" s="37"/>
      <c r="SIE146" s="37"/>
      <c r="SIF146" s="37"/>
      <c r="SIG146" s="37"/>
      <c r="SIH146" s="37"/>
      <c r="SII146" s="37"/>
      <c r="SIJ146" s="37"/>
      <c r="SIK146" s="37"/>
      <c r="SIL146" s="37"/>
      <c r="SIM146" s="37"/>
      <c r="SIN146" s="37"/>
      <c r="SIO146" s="37"/>
      <c r="SIP146" s="37"/>
      <c r="SIQ146" s="37"/>
      <c r="SIR146" s="37"/>
      <c r="SIS146" s="37"/>
      <c r="SIT146" s="37"/>
      <c r="SIU146" s="37"/>
      <c r="SIV146" s="37"/>
      <c r="SIW146" s="37"/>
      <c r="SIX146" s="37"/>
      <c r="SIY146" s="37"/>
      <c r="SIZ146" s="37"/>
      <c r="SJA146" s="37"/>
      <c r="SJB146" s="37"/>
      <c r="SJC146" s="37"/>
      <c r="SJD146" s="37"/>
      <c r="SJE146" s="37"/>
      <c r="SJF146" s="37"/>
      <c r="SJG146" s="37"/>
      <c r="SJH146" s="37"/>
      <c r="SJI146" s="37"/>
      <c r="SJJ146" s="37"/>
      <c r="SJK146" s="37"/>
      <c r="SJL146" s="37"/>
      <c r="SJM146" s="37"/>
      <c r="SJN146" s="37"/>
      <c r="SJO146" s="37"/>
      <c r="SJP146" s="37"/>
      <c r="SJQ146" s="37"/>
      <c r="SJR146" s="37"/>
      <c r="SJS146" s="37"/>
      <c r="SJT146" s="37"/>
      <c r="SJU146" s="37"/>
      <c r="SJV146" s="37"/>
      <c r="SJW146" s="37"/>
      <c r="SJX146" s="37"/>
      <c r="SJY146" s="37"/>
      <c r="SJZ146" s="37"/>
      <c r="SKA146" s="37"/>
      <c r="SKB146" s="37"/>
      <c r="SKC146" s="37"/>
      <c r="SKD146" s="37"/>
      <c r="SKE146" s="37"/>
      <c r="SKF146" s="37"/>
      <c r="SKG146" s="37"/>
      <c r="SKH146" s="37"/>
      <c r="SKI146" s="37"/>
      <c r="SKJ146" s="37"/>
      <c r="SKK146" s="37"/>
      <c r="SKL146" s="37"/>
      <c r="SKM146" s="37"/>
      <c r="SKN146" s="37"/>
      <c r="SKO146" s="37"/>
      <c r="SKP146" s="37"/>
      <c r="SKQ146" s="37"/>
      <c r="SKR146" s="37"/>
      <c r="SKS146" s="37"/>
      <c r="SKT146" s="37"/>
      <c r="SKU146" s="37"/>
      <c r="SKV146" s="37"/>
      <c r="SKW146" s="37"/>
      <c r="SKX146" s="37"/>
      <c r="SKY146" s="37"/>
      <c r="SKZ146" s="37"/>
      <c r="SLA146" s="37"/>
      <c r="SLB146" s="37"/>
      <c r="SLC146" s="37"/>
      <c r="SLD146" s="37"/>
      <c r="SLE146" s="37"/>
      <c r="SLF146" s="37"/>
      <c r="SLG146" s="37"/>
      <c r="SLH146" s="37"/>
      <c r="SLI146" s="37"/>
      <c r="SLJ146" s="37"/>
      <c r="SLK146" s="37"/>
      <c r="SLL146" s="37"/>
      <c r="SLM146" s="37"/>
      <c r="SLN146" s="37"/>
      <c r="SLO146" s="37"/>
      <c r="SLP146" s="37"/>
      <c r="SLQ146" s="37"/>
      <c r="SLR146" s="37"/>
      <c r="SLS146" s="37"/>
      <c r="SLT146" s="37"/>
      <c r="SLU146" s="37"/>
      <c r="SLV146" s="37"/>
      <c r="SLW146" s="37"/>
      <c r="SLX146" s="37"/>
      <c r="SLY146" s="37"/>
      <c r="SLZ146" s="37"/>
      <c r="SMA146" s="37"/>
      <c r="SMB146" s="37"/>
      <c r="SMC146" s="37"/>
      <c r="SMD146" s="37"/>
      <c r="SME146" s="37"/>
      <c r="SMF146" s="37"/>
      <c r="SMG146" s="37"/>
      <c r="SMH146" s="37"/>
      <c r="SMI146" s="37"/>
      <c r="SMJ146" s="37"/>
      <c r="SMK146" s="37"/>
      <c r="SML146" s="37"/>
      <c r="SMM146" s="37"/>
      <c r="SMN146" s="37"/>
      <c r="SMO146" s="37"/>
      <c r="SMP146" s="37"/>
      <c r="SMQ146" s="37"/>
      <c r="SMR146" s="37"/>
      <c r="SMS146" s="37"/>
      <c r="SMT146" s="37"/>
      <c r="SMU146" s="37"/>
      <c r="SMV146" s="37"/>
      <c r="SMW146" s="37"/>
      <c r="SMX146" s="37"/>
      <c r="SMY146" s="37"/>
      <c r="SMZ146" s="37"/>
      <c r="SNA146" s="37"/>
      <c r="SNB146" s="37"/>
      <c r="SNC146" s="37"/>
      <c r="SND146" s="37"/>
      <c r="SNE146" s="37"/>
      <c r="SNF146" s="37"/>
      <c r="SNG146" s="37"/>
      <c r="SNH146" s="37"/>
      <c r="SNI146" s="37"/>
      <c r="SNJ146" s="37"/>
      <c r="SNK146" s="37"/>
      <c r="SNL146" s="37"/>
      <c r="SNM146" s="37"/>
      <c r="SNN146" s="37"/>
      <c r="SNO146" s="37"/>
      <c r="SNP146" s="37"/>
      <c r="SNQ146" s="37"/>
      <c r="SNR146" s="37"/>
      <c r="SNS146" s="37"/>
      <c r="SNT146" s="37"/>
      <c r="SNU146" s="37"/>
      <c r="SNV146" s="37"/>
      <c r="SNW146" s="37"/>
      <c r="SNX146" s="37"/>
      <c r="SNY146" s="37"/>
      <c r="SNZ146" s="37"/>
      <c r="SOA146" s="37"/>
      <c r="SOB146" s="37"/>
      <c r="SOC146" s="37"/>
      <c r="SOD146" s="37"/>
      <c r="SOE146" s="37"/>
      <c r="SOF146" s="37"/>
      <c r="SOG146" s="37"/>
      <c r="SOH146" s="37"/>
      <c r="SOI146" s="37"/>
      <c r="SOJ146" s="37"/>
      <c r="SOK146" s="37"/>
      <c r="SOL146" s="37"/>
      <c r="SOM146" s="37"/>
      <c r="SON146" s="37"/>
      <c r="SOO146" s="37"/>
      <c r="SOP146" s="37"/>
      <c r="SOQ146" s="37"/>
      <c r="SOR146" s="37"/>
      <c r="SOS146" s="37"/>
      <c r="SOT146" s="37"/>
      <c r="SOU146" s="37"/>
      <c r="SOV146" s="37"/>
      <c r="SOW146" s="37"/>
      <c r="SOX146" s="37"/>
      <c r="SOY146" s="37"/>
      <c r="SOZ146" s="37"/>
      <c r="SPA146" s="37"/>
      <c r="SPB146" s="37"/>
      <c r="SPC146" s="37"/>
      <c r="SPD146" s="37"/>
      <c r="SPE146" s="37"/>
      <c r="SPF146" s="37"/>
      <c r="SPG146" s="37"/>
      <c r="SPH146" s="37"/>
      <c r="SPI146" s="37"/>
      <c r="SPJ146" s="37"/>
      <c r="SPK146" s="37"/>
      <c r="SPL146" s="37"/>
      <c r="SPM146" s="37"/>
      <c r="SPN146" s="37"/>
      <c r="SPO146" s="37"/>
      <c r="SPP146" s="37"/>
      <c r="SPQ146" s="37"/>
      <c r="SPR146" s="37"/>
      <c r="SPS146" s="37"/>
      <c r="SPT146" s="37"/>
      <c r="SPU146" s="37"/>
      <c r="SPV146" s="37"/>
      <c r="SPW146" s="37"/>
      <c r="SPX146" s="37"/>
      <c r="SPY146" s="37"/>
      <c r="SPZ146" s="37"/>
      <c r="SQA146" s="37"/>
      <c r="SQB146" s="37"/>
      <c r="SQC146" s="37"/>
      <c r="SQD146" s="37"/>
      <c r="SQE146" s="37"/>
      <c r="SQF146" s="37"/>
      <c r="SQG146" s="37"/>
      <c r="SQH146" s="37"/>
      <c r="SQI146" s="37"/>
      <c r="SQJ146" s="37"/>
      <c r="SQK146" s="37"/>
      <c r="SQL146" s="37"/>
      <c r="SQM146" s="37"/>
      <c r="SQN146" s="37"/>
      <c r="SQO146" s="37"/>
      <c r="SQP146" s="37"/>
      <c r="SQQ146" s="37"/>
      <c r="SQR146" s="37"/>
      <c r="SQS146" s="37"/>
      <c r="SQT146" s="37"/>
      <c r="SQU146" s="37"/>
      <c r="SQV146" s="37"/>
      <c r="SQW146" s="37"/>
      <c r="SQX146" s="37"/>
      <c r="SQY146" s="37"/>
      <c r="SQZ146" s="37"/>
      <c r="SRA146" s="37"/>
      <c r="SRB146" s="37"/>
      <c r="SRC146" s="37"/>
      <c r="SRD146" s="37"/>
      <c r="SRE146" s="37"/>
      <c r="SRF146" s="37"/>
      <c r="SRG146" s="37"/>
      <c r="SRH146" s="37"/>
      <c r="SRI146" s="37"/>
      <c r="SRJ146" s="37"/>
      <c r="SRK146" s="37"/>
      <c r="SRL146" s="37"/>
      <c r="SRM146" s="37"/>
      <c r="SRN146" s="37"/>
      <c r="SRO146" s="37"/>
      <c r="SRP146" s="37"/>
      <c r="SRQ146" s="37"/>
      <c r="SRR146" s="37"/>
      <c r="SRS146" s="37"/>
      <c r="SRT146" s="37"/>
      <c r="SRU146" s="37"/>
      <c r="SRV146" s="37"/>
      <c r="SRW146" s="37"/>
      <c r="SRX146" s="37"/>
      <c r="SRY146" s="37"/>
      <c r="SRZ146" s="37"/>
      <c r="SSA146" s="37"/>
      <c r="SSB146" s="37"/>
      <c r="SSC146" s="37"/>
      <c r="SSD146" s="37"/>
      <c r="SSE146" s="37"/>
      <c r="SSF146" s="37"/>
      <c r="SSG146" s="37"/>
      <c r="SSH146" s="37"/>
      <c r="SSI146" s="37"/>
      <c r="SSJ146" s="37"/>
      <c r="SSK146" s="37"/>
      <c r="SSL146" s="37"/>
      <c r="SSM146" s="37"/>
      <c r="SSN146" s="37"/>
      <c r="SSO146" s="37"/>
      <c r="SSP146" s="37"/>
      <c r="SSQ146" s="37"/>
      <c r="SSR146" s="37"/>
      <c r="SSS146" s="37"/>
      <c r="SST146" s="37"/>
      <c r="SSU146" s="37"/>
      <c r="SSV146" s="37"/>
      <c r="SSW146" s="37"/>
      <c r="SSX146" s="37"/>
      <c r="SSY146" s="37"/>
      <c r="SSZ146" s="37"/>
      <c r="STA146" s="37"/>
      <c r="STB146" s="37"/>
      <c r="STC146" s="37"/>
      <c r="STD146" s="37"/>
      <c r="STE146" s="37"/>
      <c r="STF146" s="37"/>
      <c r="STG146" s="37"/>
      <c r="STH146" s="37"/>
      <c r="STI146" s="37"/>
      <c r="STJ146" s="37"/>
      <c r="STK146" s="37"/>
      <c r="STL146" s="37"/>
      <c r="STM146" s="37"/>
      <c r="STN146" s="37"/>
      <c r="STO146" s="37"/>
      <c r="STP146" s="37"/>
      <c r="STQ146" s="37"/>
      <c r="STR146" s="37"/>
      <c r="STS146" s="37"/>
      <c r="STT146" s="37"/>
      <c r="STU146" s="37"/>
      <c r="STV146" s="37"/>
      <c r="STW146" s="37"/>
      <c r="STX146" s="37"/>
      <c r="STY146" s="37"/>
      <c r="STZ146" s="37"/>
      <c r="SUA146" s="37"/>
      <c r="SUB146" s="37"/>
      <c r="SUC146" s="37"/>
      <c r="SUD146" s="37"/>
      <c r="SUE146" s="37"/>
      <c r="SUF146" s="37"/>
      <c r="SUG146" s="37"/>
      <c r="SUH146" s="37"/>
      <c r="SUI146" s="37"/>
      <c r="SUJ146" s="37"/>
      <c r="SUK146" s="37"/>
      <c r="SUL146" s="37"/>
      <c r="SUM146" s="37"/>
      <c r="SUN146" s="37"/>
      <c r="SUO146" s="37"/>
      <c r="SUP146" s="37"/>
      <c r="SUQ146" s="37"/>
      <c r="SUR146" s="37"/>
      <c r="SUS146" s="37"/>
      <c r="SUT146" s="37"/>
      <c r="SUU146" s="37"/>
      <c r="SUV146" s="37"/>
      <c r="SUW146" s="37"/>
      <c r="SUX146" s="37"/>
      <c r="SUY146" s="37"/>
      <c r="SUZ146" s="37"/>
      <c r="SVA146" s="37"/>
      <c r="SVB146" s="37"/>
      <c r="SVC146" s="37"/>
      <c r="SVD146" s="37"/>
      <c r="SVE146" s="37"/>
      <c r="SVF146" s="37"/>
      <c r="SVG146" s="37"/>
      <c r="SVH146" s="37"/>
      <c r="SVI146" s="37"/>
      <c r="SVJ146" s="37"/>
      <c r="SVK146" s="37"/>
      <c r="SVL146" s="37"/>
      <c r="SVM146" s="37"/>
      <c r="SVN146" s="37"/>
      <c r="SVO146" s="37"/>
      <c r="SVP146" s="37"/>
      <c r="SVQ146" s="37"/>
      <c r="SVR146" s="37"/>
      <c r="SVS146" s="37"/>
      <c r="SVT146" s="37"/>
      <c r="SVU146" s="37"/>
      <c r="SVV146" s="37"/>
      <c r="SVW146" s="37"/>
      <c r="SVX146" s="37"/>
      <c r="SVY146" s="37"/>
      <c r="SVZ146" s="37"/>
      <c r="SWA146" s="37"/>
      <c r="SWB146" s="37"/>
      <c r="SWC146" s="37"/>
      <c r="SWD146" s="37"/>
      <c r="SWE146" s="37"/>
      <c r="SWF146" s="37"/>
      <c r="SWG146" s="37"/>
      <c r="SWH146" s="37"/>
      <c r="SWI146" s="37"/>
      <c r="SWJ146" s="37"/>
      <c r="SWK146" s="37"/>
      <c r="SWL146" s="37"/>
      <c r="SWM146" s="37"/>
      <c r="SWN146" s="37"/>
      <c r="SWO146" s="37"/>
      <c r="SWP146" s="37"/>
      <c r="SWQ146" s="37"/>
      <c r="SWR146" s="37"/>
      <c r="SWS146" s="37"/>
      <c r="SWT146" s="37"/>
      <c r="SWU146" s="37"/>
      <c r="SWV146" s="37"/>
      <c r="SWW146" s="37"/>
      <c r="SWX146" s="37"/>
      <c r="SWY146" s="37"/>
      <c r="SWZ146" s="37"/>
      <c r="SXA146" s="37"/>
      <c r="SXB146" s="37"/>
      <c r="SXC146" s="37"/>
      <c r="SXD146" s="37"/>
      <c r="SXE146" s="37"/>
      <c r="SXF146" s="37"/>
      <c r="SXG146" s="37"/>
      <c r="SXH146" s="37"/>
      <c r="SXI146" s="37"/>
      <c r="SXJ146" s="37"/>
      <c r="SXK146" s="37"/>
      <c r="SXL146" s="37"/>
      <c r="SXM146" s="37"/>
      <c r="SXN146" s="37"/>
      <c r="SXO146" s="37"/>
      <c r="SXP146" s="37"/>
      <c r="SXQ146" s="37"/>
      <c r="SXR146" s="37"/>
      <c r="SXS146" s="37"/>
      <c r="SXT146" s="37"/>
      <c r="SXU146" s="37"/>
      <c r="SXV146" s="37"/>
      <c r="SXW146" s="37"/>
      <c r="SXX146" s="37"/>
      <c r="SXY146" s="37"/>
      <c r="SXZ146" s="37"/>
      <c r="SYA146" s="37"/>
      <c r="SYB146" s="37"/>
      <c r="SYC146" s="37"/>
      <c r="SYD146" s="37"/>
      <c r="SYE146" s="37"/>
      <c r="SYF146" s="37"/>
      <c r="SYG146" s="37"/>
      <c r="SYH146" s="37"/>
      <c r="SYI146" s="37"/>
      <c r="SYJ146" s="37"/>
      <c r="SYK146" s="37"/>
      <c r="SYL146" s="37"/>
      <c r="SYM146" s="37"/>
      <c r="SYN146" s="37"/>
      <c r="SYO146" s="37"/>
      <c r="SYP146" s="37"/>
      <c r="SYQ146" s="37"/>
      <c r="SYR146" s="37"/>
      <c r="SYS146" s="37"/>
      <c r="SYT146" s="37"/>
      <c r="SYU146" s="37"/>
      <c r="SYV146" s="37"/>
      <c r="SYW146" s="37"/>
      <c r="SYX146" s="37"/>
      <c r="SYY146" s="37"/>
      <c r="SYZ146" s="37"/>
      <c r="SZA146" s="37"/>
      <c r="SZB146" s="37"/>
      <c r="SZC146" s="37"/>
      <c r="SZD146" s="37"/>
      <c r="SZE146" s="37"/>
      <c r="SZF146" s="37"/>
      <c r="SZG146" s="37"/>
      <c r="SZH146" s="37"/>
      <c r="SZI146" s="37"/>
      <c r="SZJ146" s="37"/>
      <c r="SZK146" s="37"/>
      <c r="SZL146" s="37"/>
      <c r="SZM146" s="37"/>
      <c r="SZN146" s="37"/>
      <c r="SZO146" s="37"/>
      <c r="SZP146" s="37"/>
      <c r="SZQ146" s="37"/>
      <c r="SZR146" s="37"/>
      <c r="SZS146" s="37"/>
      <c r="SZT146" s="37"/>
      <c r="SZU146" s="37"/>
      <c r="SZV146" s="37"/>
      <c r="SZW146" s="37"/>
      <c r="SZX146" s="37"/>
      <c r="SZY146" s="37"/>
      <c r="SZZ146" s="37"/>
      <c r="TAA146" s="37"/>
      <c r="TAB146" s="37"/>
      <c r="TAC146" s="37"/>
      <c r="TAD146" s="37"/>
      <c r="TAE146" s="37"/>
      <c r="TAF146" s="37"/>
      <c r="TAG146" s="37"/>
      <c r="TAH146" s="37"/>
      <c r="TAI146" s="37"/>
      <c r="TAJ146" s="37"/>
      <c r="TAK146" s="37"/>
      <c r="TAL146" s="37"/>
      <c r="TAM146" s="37"/>
      <c r="TAN146" s="37"/>
      <c r="TAO146" s="37"/>
      <c r="TAP146" s="37"/>
      <c r="TAQ146" s="37"/>
      <c r="TAR146" s="37"/>
      <c r="TAS146" s="37"/>
      <c r="TAT146" s="37"/>
      <c r="TAU146" s="37"/>
      <c r="TAV146" s="37"/>
      <c r="TAW146" s="37"/>
      <c r="TAX146" s="37"/>
      <c r="TAY146" s="37"/>
      <c r="TAZ146" s="37"/>
      <c r="TBA146" s="37"/>
      <c r="TBB146" s="37"/>
      <c r="TBC146" s="37"/>
      <c r="TBD146" s="37"/>
      <c r="TBE146" s="37"/>
      <c r="TBF146" s="37"/>
      <c r="TBG146" s="37"/>
      <c r="TBH146" s="37"/>
      <c r="TBI146" s="37"/>
      <c r="TBJ146" s="37"/>
      <c r="TBK146" s="37"/>
      <c r="TBL146" s="37"/>
      <c r="TBM146" s="37"/>
      <c r="TBN146" s="37"/>
      <c r="TBO146" s="37"/>
      <c r="TBP146" s="37"/>
      <c r="TBQ146" s="37"/>
      <c r="TBR146" s="37"/>
      <c r="TBS146" s="37"/>
      <c r="TBT146" s="37"/>
      <c r="TBU146" s="37"/>
      <c r="TBV146" s="37"/>
      <c r="TBW146" s="37"/>
      <c r="TBX146" s="37"/>
      <c r="TBY146" s="37"/>
      <c r="TBZ146" s="37"/>
      <c r="TCA146" s="37"/>
      <c r="TCB146" s="37"/>
      <c r="TCC146" s="37"/>
      <c r="TCD146" s="37"/>
      <c r="TCE146" s="37"/>
      <c r="TCF146" s="37"/>
      <c r="TCG146" s="37"/>
      <c r="TCH146" s="37"/>
      <c r="TCI146" s="37"/>
      <c r="TCJ146" s="37"/>
      <c r="TCK146" s="37"/>
      <c r="TCL146" s="37"/>
      <c r="TCM146" s="37"/>
      <c r="TCN146" s="37"/>
      <c r="TCO146" s="37"/>
      <c r="TCP146" s="37"/>
      <c r="TCQ146" s="37"/>
      <c r="TCR146" s="37"/>
      <c r="TCS146" s="37"/>
      <c r="TCT146" s="37"/>
      <c r="TCU146" s="37"/>
      <c r="TCV146" s="37"/>
      <c r="TCW146" s="37"/>
      <c r="TCX146" s="37"/>
      <c r="TCY146" s="37"/>
      <c r="TCZ146" s="37"/>
      <c r="TDA146" s="37"/>
      <c r="TDB146" s="37"/>
      <c r="TDC146" s="37"/>
      <c r="TDD146" s="37"/>
      <c r="TDE146" s="37"/>
      <c r="TDF146" s="37"/>
      <c r="TDG146" s="37"/>
      <c r="TDH146" s="37"/>
      <c r="TDI146" s="37"/>
      <c r="TDJ146" s="37"/>
      <c r="TDK146" s="37"/>
      <c r="TDL146" s="37"/>
      <c r="TDM146" s="37"/>
      <c r="TDN146" s="37"/>
      <c r="TDO146" s="37"/>
      <c r="TDP146" s="37"/>
      <c r="TDQ146" s="37"/>
      <c r="TDR146" s="37"/>
      <c r="TDS146" s="37"/>
      <c r="TDT146" s="37"/>
      <c r="TDU146" s="37"/>
      <c r="TDV146" s="37"/>
      <c r="TDW146" s="37"/>
      <c r="TDX146" s="37"/>
      <c r="TDY146" s="37"/>
      <c r="TDZ146" s="37"/>
      <c r="TEA146" s="37"/>
      <c r="TEB146" s="37"/>
      <c r="TEC146" s="37"/>
      <c r="TED146" s="37"/>
      <c r="TEE146" s="37"/>
      <c r="TEF146" s="37"/>
      <c r="TEG146" s="37"/>
      <c r="TEH146" s="37"/>
      <c r="TEI146" s="37"/>
      <c r="TEJ146" s="37"/>
      <c r="TEK146" s="37"/>
      <c r="TEL146" s="37"/>
      <c r="TEM146" s="37"/>
      <c r="TEN146" s="37"/>
      <c r="TEO146" s="37"/>
      <c r="TEP146" s="37"/>
      <c r="TEQ146" s="37"/>
      <c r="TER146" s="37"/>
      <c r="TES146" s="37"/>
      <c r="TET146" s="37"/>
      <c r="TEU146" s="37"/>
      <c r="TEV146" s="37"/>
      <c r="TEW146" s="37"/>
      <c r="TEX146" s="37"/>
      <c r="TEY146" s="37"/>
      <c r="TEZ146" s="37"/>
      <c r="TFA146" s="37"/>
      <c r="TFB146" s="37"/>
      <c r="TFC146" s="37"/>
      <c r="TFD146" s="37"/>
      <c r="TFE146" s="37"/>
      <c r="TFF146" s="37"/>
      <c r="TFG146" s="37"/>
      <c r="TFH146" s="37"/>
      <c r="TFI146" s="37"/>
      <c r="TFJ146" s="37"/>
      <c r="TFK146" s="37"/>
      <c r="TFL146" s="37"/>
      <c r="TFM146" s="37"/>
      <c r="TFN146" s="37"/>
      <c r="TFO146" s="37"/>
      <c r="TFP146" s="37"/>
      <c r="TFQ146" s="37"/>
      <c r="TFR146" s="37"/>
      <c r="TFS146" s="37"/>
      <c r="TFT146" s="37"/>
      <c r="TFU146" s="37"/>
      <c r="TFV146" s="37"/>
      <c r="TFW146" s="37"/>
      <c r="TFX146" s="37"/>
      <c r="TFY146" s="37"/>
      <c r="TFZ146" s="37"/>
      <c r="TGA146" s="37"/>
      <c r="TGB146" s="37"/>
      <c r="TGC146" s="37"/>
      <c r="TGD146" s="37"/>
      <c r="TGE146" s="37"/>
      <c r="TGF146" s="37"/>
      <c r="TGG146" s="37"/>
      <c r="TGH146" s="37"/>
      <c r="TGI146" s="37"/>
      <c r="TGJ146" s="37"/>
      <c r="TGK146" s="37"/>
      <c r="TGL146" s="37"/>
      <c r="TGM146" s="37"/>
      <c r="TGN146" s="37"/>
      <c r="TGO146" s="37"/>
      <c r="TGP146" s="37"/>
      <c r="TGQ146" s="37"/>
      <c r="TGR146" s="37"/>
      <c r="TGS146" s="37"/>
      <c r="TGT146" s="37"/>
      <c r="TGU146" s="37"/>
      <c r="TGV146" s="37"/>
      <c r="TGW146" s="37"/>
      <c r="TGX146" s="37"/>
      <c r="TGY146" s="37"/>
      <c r="TGZ146" s="37"/>
      <c r="THA146" s="37"/>
      <c r="THB146" s="37"/>
      <c r="THC146" s="37"/>
      <c r="THD146" s="37"/>
      <c r="THE146" s="37"/>
      <c r="THF146" s="37"/>
      <c r="THG146" s="37"/>
      <c r="THH146" s="37"/>
      <c r="THI146" s="37"/>
      <c r="THJ146" s="37"/>
      <c r="THK146" s="37"/>
      <c r="THL146" s="37"/>
      <c r="THM146" s="37"/>
      <c r="THN146" s="37"/>
      <c r="THO146" s="37"/>
      <c r="THP146" s="37"/>
      <c r="THQ146" s="37"/>
      <c r="THR146" s="37"/>
      <c r="THS146" s="37"/>
      <c r="THT146" s="37"/>
      <c r="THU146" s="37"/>
      <c r="THV146" s="37"/>
      <c r="THW146" s="37"/>
      <c r="THX146" s="37"/>
      <c r="THY146" s="37"/>
      <c r="THZ146" s="37"/>
      <c r="TIA146" s="37"/>
      <c r="TIB146" s="37"/>
      <c r="TIC146" s="37"/>
      <c r="TID146" s="37"/>
      <c r="TIE146" s="37"/>
      <c r="TIF146" s="37"/>
      <c r="TIG146" s="37"/>
      <c r="TIH146" s="37"/>
      <c r="TII146" s="37"/>
      <c r="TIJ146" s="37"/>
      <c r="TIK146" s="37"/>
      <c r="TIL146" s="37"/>
      <c r="TIM146" s="37"/>
      <c r="TIN146" s="37"/>
      <c r="TIO146" s="37"/>
      <c r="TIP146" s="37"/>
      <c r="TIQ146" s="37"/>
      <c r="TIR146" s="37"/>
      <c r="TIS146" s="37"/>
      <c r="TIT146" s="37"/>
      <c r="TIU146" s="37"/>
      <c r="TIV146" s="37"/>
      <c r="TIW146" s="37"/>
      <c r="TIX146" s="37"/>
      <c r="TIY146" s="37"/>
      <c r="TIZ146" s="37"/>
      <c r="TJA146" s="37"/>
      <c r="TJB146" s="37"/>
      <c r="TJC146" s="37"/>
      <c r="TJD146" s="37"/>
      <c r="TJE146" s="37"/>
      <c r="TJF146" s="37"/>
      <c r="TJG146" s="37"/>
      <c r="TJH146" s="37"/>
      <c r="TJI146" s="37"/>
      <c r="TJJ146" s="37"/>
      <c r="TJK146" s="37"/>
      <c r="TJL146" s="37"/>
      <c r="TJM146" s="37"/>
      <c r="TJN146" s="37"/>
      <c r="TJO146" s="37"/>
      <c r="TJP146" s="37"/>
      <c r="TJQ146" s="37"/>
      <c r="TJR146" s="37"/>
      <c r="TJS146" s="37"/>
      <c r="TJT146" s="37"/>
      <c r="TJU146" s="37"/>
      <c r="TJV146" s="37"/>
      <c r="TJW146" s="37"/>
      <c r="TJX146" s="37"/>
      <c r="TJY146" s="37"/>
      <c r="TJZ146" s="37"/>
      <c r="TKA146" s="37"/>
      <c r="TKB146" s="37"/>
      <c r="TKC146" s="37"/>
      <c r="TKD146" s="37"/>
      <c r="TKE146" s="37"/>
      <c r="TKF146" s="37"/>
      <c r="TKG146" s="37"/>
      <c r="TKH146" s="37"/>
      <c r="TKI146" s="37"/>
      <c r="TKJ146" s="37"/>
      <c r="TKK146" s="37"/>
      <c r="TKL146" s="37"/>
      <c r="TKM146" s="37"/>
      <c r="TKN146" s="37"/>
      <c r="TKO146" s="37"/>
      <c r="TKP146" s="37"/>
      <c r="TKQ146" s="37"/>
      <c r="TKR146" s="37"/>
      <c r="TKS146" s="37"/>
      <c r="TKT146" s="37"/>
      <c r="TKU146" s="37"/>
      <c r="TKV146" s="37"/>
      <c r="TKW146" s="37"/>
      <c r="TKX146" s="37"/>
      <c r="TKY146" s="37"/>
      <c r="TKZ146" s="37"/>
      <c r="TLA146" s="37"/>
      <c r="TLB146" s="37"/>
      <c r="TLC146" s="37"/>
      <c r="TLD146" s="37"/>
      <c r="TLE146" s="37"/>
      <c r="TLF146" s="37"/>
      <c r="TLG146" s="37"/>
      <c r="TLH146" s="37"/>
      <c r="TLI146" s="37"/>
      <c r="TLJ146" s="37"/>
      <c r="TLK146" s="37"/>
      <c r="TLL146" s="37"/>
      <c r="TLM146" s="37"/>
      <c r="TLN146" s="37"/>
      <c r="TLO146" s="37"/>
      <c r="TLP146" s="37"/>
      <c r="TLQ146" s="37"/>
      <c r="TLR146" s="37"/>
      <c r="TLS146" s="37"/>
      <c r="TLT146" s="37"/>
      <c r="TLU146" s="37"/>
      <c r="TLV146" s="37"/>
      <c r="TLW146" s="37"/>
      <c r="TLX146" s="37"/>
      <c r="TLY146" s="37"/>
      <c r="TLZ146" s="37"/>
      <c r="TMA146" s="37"/>
      <c r="TMB146" s="37"/>
      <c r="TMC146" s="37"/>
      <c r="TMD146" s="37"/>
      <c r="TME146" s="37"/>
      <c r="TMF146" s="37"/>
      <c r="TMG146" s="37"/>
      <c r="TMH146" s="37"/>
      <c r="TMI146" s="37"/>
      <c r="TMJ146" s="37"/>
      <c r="TMK146" s="37"/>
      <c r="TML146" s="37"/>
      <c r="TMM146" s="37"/>
      <c r="TMN146" s="37"/>
      <c r="TMO146" s="37"/>
      <c r="TMP146" s="37"/>
      <c r="TMQ146" s="37"/>
      <c r="TMR146" s="37"/>
      <c r="TMS146" s="37"/>
      <c r="TMT146" s="37"/>
      <c r="TMU146" s="37"/>
      <c r="TMV146" s="37"/>
      <c r="TMW146" s="37"/>
      <c r="TMX146" s="37"/>
      <c r="TMY146" s="37"/>
      <c r="TMZ146" s="37"/>
      <c r="TNA146" s="37"/>
      <c r="TNB146" s="37"/>
      <c r="TNC146" s="37"/>
      <c r="TND146" s="37"/>
      <c r="TNE146" s="37"/>
      <c r="TNF146" s="37"/>
      <c r="TNG146" s="37"/>
      <c r="TNH146" s="37"/>
      <c r="TNI146" s="37"/>
      <c r="TNJ146" s="37"/>
      <c r="TNK146" s="37"/>
      <c r="TNL146" s="37"/>
      <c r="TNM146" s="37"/>
      <c r="TNN146" s="37"/>
      <c r="TNO146" s="37"/>
      <c r="TNP146" s="37"/>
      <c r="TNQ146" s="37"/>
      <c r="TNR146" s="37"/>
      <c r="TNS146" s="37"/>
      <c r="TNT146" s="37"/>
      <c r="TNU146" s="37"/>
      <c r="TNV146" s="37"/>
      <c r="TNW146" s="37"/>
      <c r="TNX146" s="37"/>
      <c r="TNY146" s="37"/>
      <c r="TNZ146" s="37"/>
      <c r="TOA146" s="37"/>
      <c r="TOB146" s="37"/>
      <c r="TOC146" s="37"/>
      <c r="TOD146" s="37"/>
      <c r="TOE146" s="37"/>
      <c r="TOF146" s="37"/>
      <c r="TOG146" s="37"/>
      <c r="TOH146" s="37"/>
      <c r="TOI146" s="37"/>
      <c r="TOJ146" s="37"/>
      <c r="TOK146" s="37"/>
      <c r="TOL146" s="37"/>
      <c r="TOM146" s="37"/>
      <c r="TON146" s="37"/>
      <c r="TOO146" s="37"/>
      <c r="TOP146" s="37"/>
      <c r="TOQ146" s="37"/>
      <c r="TOR146" s="37"/>
      <c r="TOS146" s="37"/>
      <c r="TOT146" s="37"/>
      <c r="TOU146" s="37"/>
      <c r="TOV146" s="37"/>
      <c r="TOW146" s="37"/>
      <c r="TOX146" s="37"/>
      <c r="TOY146" s="37"/>
      <c r="TOZ146" s="37"/>
      <c r="TPA146" s="37"/>
      <c r="TPB146" s="37"/>
      <c r="TPC146" s="37"/>
      <c r="TPD146" s="37"/>
      <c r="TPE146" s="37"/>
      <c r="TPF146" s="37"/>
      <c r="TPG146" s="37"/>
      <c r="TPH146" s="37"/>
      <c r="TPI146" s="37"/>
      <c r="TPJ146" s="37"/>
      <c r="TPK146" s="37"/>
      <c r="TPL146" s="37"/>
      <c r="TPM146" s="37"/>
      <c r="TPN146" s="37"/>
      <c r="TPO146" s="37"/>
      <c r="TPP146" s="37"/>
      <c r="TPQ146" s="37"/>
      <c r="TPR146" s="37"/>
      <c r="TPS146" s="37"/>
      <c r="TPT146" s="37"/>
      <c r="TPU146" s="37"/>
      <c r="TPV146" s="37"/>
      <c r="TPW146" s="37"/>
      <c r="TPX146" s="37"/>
      <c r="TPY146" s="37"/>
      <c r="TPZ146" s="37"/>
      <c r="TQA146" s="37"/>
      <c r="TQB146" s="37"/>
      <c r="TQC146" s="37"/>
      <c r="TQD146" s="37"/>
      <c r="TQE146" s="37"/>
      <c r="TQF146" s="37"/>
      <c r="TQG146" s="37"/>
      <c r="TQH146" s="37"/>
      <c r="TQI146" s="37"/>
      <c r="TQJ146" s="37"/>
      <c r="TQK146" s="37"/>
      <c r="TQL146" s="37"/>
      <c r="TQM146" s="37"/>
      <c r="TQN146" s="37"/>
      <c r="TQO146" s="37"/>
      <c r="TQP146" s="37"/>
      <c r="TQQ146" s="37"/>
      <c r="TQR146" s="37"/>
      <c r="TQS146" s="37"/>
      <c r="TQT146" s="37"/>
      <c r="TQU146" s="37"/>
      <c r="TQV146" s="37"/>
      <c r="TQW146" s="37"/>
      <c r="TQX146" s="37"/>
      <c r="TQY146" s="37"/>
      <c r="TQZ146" s="37"/>
      <c r="TRA146" s="37"/>
      <c r="TRB146" s="37"/>
      <c r="TRC146" s="37"/>
      <c r="TRD146" s="37"/>
      <c r="TRE146" s="37"/>
      <c r="TRF146" s="37"/>
      <c r="TRG146" s="37"/>
      <c r="TRH146" s="37"/>
      <c r="TRI146" s="37"/>
      <c r="TRJ146" s="37"/>
      <c r="TRK146" s="37"/>
      <c r="TRL146" s="37"/>
      <c r="TRM146" s="37"/>
      <c r="TRN146" s="37"/>
      <c r="TRO146" s="37"/>
      <c r="TRP146" s="37"/>
      <c r="TRQ146" s="37"/>
      <c r="TRR146" s="37"/>
      <c r="TRS146" s="37"/>
      <c r="TRT146" s="37"/>
      <c r="TRU146" s="37"/>
      <c r="TRV146" s="37"/>
      <c r="TRW146" s="37"/>
      <c r="TRX146" s="37"/>
      <c r="TRY146" s="37"/>
      <c r="TRZ146" s="37"/>
      <c r="TSA146" s="37"/>
      <c r="TSB146" s="37"/>
      <c r="TSC146" s="37"/>
      <c r="TSD146" s="37"/>
      <c r="TSE146" s="37"/>
      <c r="TSF146" s="37"/>
      <c r="TSG146" s="37"/>
      <c r="TSH146" s="37"/>
      <c r="TSI146" s="37"/>
      <c r="TSJ146" s="37"/>
      <c r="TSK146" s="37"/>
      <c r="TSL146" s="37"/>
      <c r="TSM146" s="37"/>
      <c r="TSN146" s="37"/>
      <c r="TSO146" s="37"/>
      <c r="TSP146" s="37"/>
      <c r="TSQ146" s="37"/>
      <c r="TSR146" s="37"/>
      <c r="TSS146" s="37"/>
      <c r="TST146" s="37"/>
      <c r="TSU146" s="37"/>
      <c r="TSV146" s="37"/>
      <c r="TSW146" s="37"/>
      <c r="TSX146" s="37"/>
      <c r="TSY146" s="37"/>
      <c r="TSZ146" s="37"/>
      <c r="TTA146" s="37"/>
      <c r="TTB146" s="37"/>
      <c r="TTC146" s="37"/>
      <c r="TTD146" s="37"/>
      <c r="TTE146" s="37"/>
      <c r="TTF146" s="37"/>
      <c r="TTG146" s="37"/>
      <c r="TTH146" s="37"/>
      <c r="TTI146" s="37"/>
      <c r="TTJ146" s="37"/>
      <c r="TTK146" s="37"/>
      <c r="TTL146" s="37"/>
      <c r="TTM146" s="37"/>
      <c r="TTN146" s="37"/>
      <c r="TTO146" s="37"/>
      <c r="TTP146" s="37"/>
      <c r="TTQ146" s="37"/>
      <c r="TTR146" s="37"/>
      <c r="TTS146" s="37"/>
      <c r="TTT146" s="37"/>
      <c r="TTU146" s="37"/>
      <c r="TTV146" s="37"/>
      <c r="TTW146" s="37"/>
      <c r="TTX146" s="37"/>
      <c r="TTY146" s="37"/>
      <c r="TTZ146" s="37"/>
      <c r="TUA146" s="37"/>
      <c r="TUB146" s="37"/>
      <c r="TUC146" s="37"/>
      <c r="TUD146" s="37"/>
      <c r="TUE146" s="37"/>
      <c r="TUF146" s="37"/>
      <c r="TUG146" s="37"/>
      <c r="TUH146" s="37"/>
      <c r="TUI146" s="37"/>
      <c r="TUJ146" s="37"/>
      <c r="TUK146" s="37"/>
      <c r="TUL146" s="37"/>
      <c r="TUM146" s="37"/>
      <c r="TUN146" s="37"/>
      <c r="TUO146" s="37"/>
      <c r="TUP146" s="37"/>
      <c r="TUQ146" s="37"/>
      <c r="TUR146" s="37"/>
      <c r="TUS146" s="37"/>
      <c r="TUT146" s="37"/>
      <c r="TUU146" s="37"/>
      <c r="TUV146" s="37"/>
      <c r="TUW146" s="37"/>
      <c r="TUX146" s="37"/>
      <c r="TUY146" s="37"/>
      <c r="TUZ146" s="37"/>
      <c r="TVA146" s="37"/>
      <c r="TVB146" s="37"/>
      <c r="TVC146" s="37"/>
      <c r="TVD146" s="37"/>
      <c r="TVE146" s="37"/>
      <c r="TVF146" s="37"/>
      <c r="TVG146" s="37"/>
      <c r="TVH146" s="37"/>
      <c r="TVI146" s="37"/>
      <c r="TVJ146" s="37"/>
      <c r="TVK146" s="37"/>
      <c r="TVL146" s="37"/>
      <c r="TVM146" s="37"/>
      <c r="TVN146" s="37"/>
      <c r="TVO146" s="37"/>
      <c r="TVP146" s="37"/>
      <c r="TVQ146" s="37"/>
      <c r="TVR146" s="37"/>
      <c r="TVS146" s="37"/>
      <c r="TVT146" s="37"/>
      <c r="TVU146" s="37"/>
      <c r="TVV146" s="37"/>
      <c r="TVW146" s="37"/>
      <c r="TVX146" s="37"/>
      <c r="TVY146" s="37"/>
      <c r="TVZ146" s="37"/>
      <c r="TWA146" s="37"/>
      <c r="TWB146" s="37"/>
      <c r="TWC146" s="37"/>
      <c r="TWD146" s="37"/>
      <c r="TWE146" s="37"/>
      <c r="TWF146" s="37"/>
      <c r="TWG146" s="37"/>
      <c r="TWH146" s="37"/>
      <c r="TWI146" s="37"/>
      <c r="TWJ146" s="37"/>
      <c r="TWK146" s="37"/>
      <c r="TWL146" s="37"/>
      <c r="TWM146" s="37"/>
      <c r="TWN146" s="37"/>
      <c r="TWO146" s="37"/>
      <c r="TWP146" s="37"/>
      <c r="TWQ146" s="37"/>
      <c r="TWR146" s="37"/>
      <c r="TWS146" s="37"/>
      <c r="TWT146" s="37"/>
      <c r="TWU146" s="37"/>
      <c r="TWV146" s="37"/>
      <c r="TWW146" s="37"/>
      <c r="TWX146" s="37"/>
      <c r="TWY146" s="37"/>
      <c r="TWZ146" s="37"/>
      <c r="TXA146" s="37"/>
      <c r="TXB146" s="37"/>
      <c r="TXC146" s="37"/>
      <c r="TXD146" s="37"/>
      <c r="TXE146" s="37"/>
      <c r="TXF146" s="37"/>
      <c r="TXG146" s="37"/>
      <c r="TXH146" s="37"/>
      <c r="TXI146" s="37"/>
      <c r="TXJ146" s="37"/>
      <c r="TXK146" s="37"/>
      <c r="TXL146" s="37"/>
      <c r="TXM146" s="37"/>
      <c r="TXN146" s="37"/>
      <c r="TXO146" s="37"/>
      <c r="TXP146" s="37"/>
      <c r="TXQ146" s="37"/>
      <c r="TXR146" s="37"/>
      <c r="TXS146" s="37"/>
      <c r="TXT146" s="37"/>
      <c r="TXU146" s="37"/>
      <c r="TXV146" s="37"/>
      <c r="TXW146" s="37"/>
      <c r="TXX146" s="37"/>
      <c r="TXY146" s="37"/>
      <c r="TXZ146" s="37"/>
      <c r="TYA146" s="37"/>
      <c r="TYB146" s="37"/>
      <c r="TYC146" s="37"/>
      <c r="TYD146" s="37"/>
      <c r="TYE146" s="37"/>
      <c r="TYF146" s="37"/>
      <c r="TYG146" s="37"/>
      <c r="TYH146" s="37"/>
      <c r="TYI146" s="37"/>
      <c r="TYJ146" s="37"/>
      <c r="TYK146" s="37"/>
      <c r="TYL146" s="37"/>
      <c r="TYM146" s="37"/>
      <c r="TYN146" s="37"/>
      <c r="TYO146" s="37"/>
      <c r="TYP146" s="37"/>
      <c r="TYQ146" s="37"/>
      <c r="TYR146" s="37"/>
      <c r="TYS146" s="37"/>
      <c r="TYT146" s="37"/>
      <c r="TYU146" s="37"/>
      <c r="TYV146" s="37"/>
      <c r="TYW146" s="37"/>
      <c r="TYX146" s="37"/>
      <c r="TYY146" s="37"/>
      <c r="TYZ146" s="37"/>
      <c r="TZA146" s="37"/>
      <c r="TZB146" s="37"/>
      <c r="TZC146" s="37"/>
      <c r="TZD146" s="37"/>
      <c r="TZE146" s="37"/>
      <c r="TZF146" s="37"/>
      <c r="TZG146" s="37"/>
      <c r="TZH146" s="37"/>
      <c r="TZI146" s="37"/>
      <c r="TZJ146" s="37"/>
      <c r="TZK146" s="37"/>
      <c r="TZL146" s="37"/>
      <c r="TZM146" s="37"/>
      <c r="TZN146" s="37"/>
      <c r="TZO146" s="37"/>
      <c r="TZP146" s="37"/>
      <c r="TZQ146" s="37"/>
      <c r="TZR146" s="37"/>
      <c r="TZS146" s="37"/>
      <c r="TZT146" s="37"/>
      <c r="TZU146" s="37"/>
      <c r="TZV146" s="37"/>
      <c r="TZW146" s="37"/>
      <c r="TZX146" s="37"/>
      <c r="TZY146" s="37"/>
      <c r="TZZ146" s="37"/>
      <c r="UAA146" s="37"/>
      <c r="UAB146" s="37"/>
      <c r="UAC146" s="37"/>
      <c r="UAD146" s="37"/>
      <c r="UAE146" s="37"/>
      <c r="UAF146" s="37"/>
      <c r="UAG146" s="37"/>
      <c r="UAH146" s="37"/>
      <c r="UAI146" s="37"/>
      <c r="UAJ146" s="37"/>
      <c r="UAK146" s="37"/>
      <c r="UAL146" s="37"/>
      <c r="UAM146" s="37"/>
      <c r="UAN146" s="37"/>
      <c r="UAO146" s="37"/>
      <c r="UAP146" s="37"/>
      <c r="UAQ146" s="37"/>
      <c r="UAR146" s="37"/>
      <c r="UAS146" s="37"/>
      <c r="UAT146" s="37"/>
      <c r="UAU146" s="37"/>
      <c r="UAV146" s="37"/>
      <c r="UAW146" s="37"/>
      <c r="UAX146" s="37"/>
      <c r="UAY146" s="37"/>
      <c r="UAZ146" s="37"/>
      <c r="UBA146" s="37"/>
      <c r="UBB146" s="37"/>
      <c r="UBC146" s="37"/>
      <c r="UBD146" s="37"/>
      <c r="UBE146" s="37"/>
      <c r="UBF146" s="37"/>
      <c r="UBG146" s="37"/>
      <c r="UBH146" s="37"/>
      <c r="UBI146" s="37"/>
      <c r="UBJ146" s="37"/>
      <c r="UBK146" s="37"/>
      <c r="UBL146" s="37"/>
      <c r="UBM146" s="37"/>
      <c r="UBN146" s="37"/>
      <c r="UBO146" s="37"/>
      <c r="UBP146" s="37"/>
      <c r="UBQ146" s="37"/>
      <c r="UBR146" s="37"/>
      <c r="UBS146" s="37"/>
      <c r="UBT146" s="37"/>
      <c r="UBU146" s="37"/>
      <c r="UBV146" s="37"/>
      <c r="UBW146" s="37"/>
      <c r="UBX146" s="37"/>
      <c r="UBY146" s="37"/>
      <c r="UBZ146" s="37"/>
      <c r="UCA146" s="37"/>
      <c r="UCB146" s="37"/>
      <c r="UCC146" s="37"/>
      <c r="UCD146" s="37"/>
      <c r="UCE146" s="37"/>
      <c r="UCF146" s="37"/>
      <c r="UCG146" s="37"/>
      <c r="UCH146" s="37"/>
      <c r="UCI146" s="37"/>
      <c r="UCJ146" s="37"/>
      <c r="UCK146" s="37"/>
      <c r="UCL146" s="37"/>
      <c r="UCM146" s="37"/>
      <c r="UCN146" s="37"/>
      <c r="UCO146" s="37"/>
      <c r="UCP146" s="37"/>
      <c r="UCQ146" s="37"/>
      <c r="UCR146" s="37"/>
      <c r="UCS146" s="37"/>
      <c r="UCT146" s="37"/>
      <c r="UCU146" s="37"/>
      <c r="UCV146" s="37"/>
      <c r="UCW146" s="37"/>
      <c r="UCX146" s="37"/>
      <c r="UCY146" s="37"/>
      <c r="UCZ146" s="37"/>
      <c r="UDA146" s="37"/>
      <c r="UDB146" s="37"/>
      <c r="UDC146" s="37"/>
      <c r="UDD146" s="37"/>
      <c r="UDE146" s="37"/>
      <c r="UDF146" s="37"/>
      <c r="UDG146" s="37"/>
      <c r="UDH146" s="37"/>
      <c r="UDI146" s="37"/>
      <c r="UDJ146" s="37"/>
      <c r="UDK146" s="37"/>
      <c r="UDL146" s="37"/>
      <c r="UDM146" s="37"/>
      <c r="UDN146" s="37"/>
      <c r="UDO146" s="37"/>
      <c r="UDP146" s="37"/>
      <c r="UDQ146" s="37"/>
      <c r="UDR146" s="37"/>
      <c r="UDS146" s="37"/>
      <c r="UDT146" s="37"/>
      <c r="UDU146" s="37"/>
      <c r="UDV146" s="37"/>
      <c r="UDW146" s="37"/>
      <c r="UDX146" s="37"/>
      <c r="UDY146" s="37"/>
      <c r="UDZ146" s="37"/>
      <c r="UEA146" s="37"/>
      <c r="UEB146" s="37"/>
      <c r="UEC146" s="37"/>
      <c r="UED146" s="37"/>
      <c r="UEE146" s="37"/>
      <c r="UEF146" s="37"/>
      <c r="UEG146" s="37"/>
      <c r="UEH146" s="37"/>
      <c r="UEI146" s="37"/>
      <c r="UEJ146" s="37"/>
      <c r="UEK146" s="37"/>
      <c r="UEL146" s="37"/>
      <c r="UEM146" s="37"/>
      <c r="UEN146" s="37"/>
      <c r="UEO146" s="37"/>
      <c r="UEP146" s="37"/>
      <c r="UEQ146" s="37"/>
      <c r="UER146" s="37"/>
      <c r="UES146" s="37"/>
      <c r="UET146" s="37"/>
      <c r="UEU146" s="37"/>
      <c r="UEV146" s="37"/>
      <c r="UEW146" s="37"/>
      <c r="UEX146" s="37"/>
      <c r="UEY146" s="37"/>
      <c r="UEZ146" s="37"/>
      <c r="UFA146" s="37"/>
      <c r="UFB146" s="37"/>
      <c r="UFC146" s="37"/>
      <c r="UFD146" s="37"/>
      <c r="UFE146" s="37"/>
      <c r="UFF146" s="37"/>
      <c r="UFG146" s="37"/>
      <c r="UFH146" s="37"/>
      <c r="UFI146" s="37"/>
      <c r="UFJ146" s="37"/>
      <c r="UFK146" s="37"/>
      <c r="UFL146" s="37"/>
      <c r="UFM146" s="37"/>
      <c r="UFN146" s="37"/>
      <c r="UFO146" s="37"/>
      <c r="UFP146" s="37"/>
      <c r="UFQ146" s="37"/>
      <c r="UFR146" s="37"/>
      <c r="UFS146" s="37"/>
      <c r="UFT146" s="37"/>
      <c r="UFU146" s="37"/>
      <c r="UFV146" s="37"/>
      <c r="UFW146" s="37"/>
      <c r="UFX146" s="37"/>
      <c r="UFY146" s="37"/>
      <c r="UFZ146" s="37"/>
      <c r="UGA146" s="37"/>
      <c r="UGB146" s="37"/>
      <c r="UGC146" s="37"/>
      <c r="UGD146" s="37"/>
      <c r="UGE146" s="37"/>
      <c r="UGF146" s="37"/>
      <c r="UGG146" s="37"/>
      <c r="UGH146" s="37"/>
      <c r="UGI146" s="37"/>
      <c r="UGJ146" s="37"/>
      <c r="UGK146" s="37"/>
      <c r="UGL146" s="37"/>
      <c r="UGM146" s="37"/>
      <c r="UGN146" s="37"/>
      <c r="UGO146" s="37"/>
      <c r="UGP146" s="37"/>
      <c r="UGQ146" s="37"/>
      <c r="UGR146" s="37"/>
      <c r="UGS146" s="37"/>
      <c r="UGT146" s="37"/>
      <c r="UGU146" s="37"/>
      <c r="UGV146" s="37"/>
      <c r="UGW146" s="37"/>
      <c r="UGX146" s="37"/>
      <c r="UGY146" s="37"/>
      <c r="UGZ146" s="37"/>
      <c r="UHA146" s="37"/>
      <c r="UHB146" s="37"/>
      <c r="UHC146" s="37"/>
      <c r="UHD146" s="37"/>
      <c r="UHE146" s="37"/>
      <c r="UHF146" s="37"/>
      <c r="UHG146" s="37"/>
      <c r="UHH146" s="37"/>
      <c r="UHI146" s="37"/>
      <c r="UHJ146" s="37"/>
      <c r="UHK146" s="37"/>
      <c r="UHL146" s="37"/>
      <c r="UHM146" s="37"/>
      <c r="UHN146" s="37"/>
      <c r="UHO146" s="37"/>
      <c r="UHP146" s="37"/>
      <c r="UHQ146" s="37"/>
      <c r="UHR146" s="37"/>
      <c r="UHS146" s="37"/>
      <c r="UHT146" s="37"/>
      <c r="UHU146" s="37"/>
      <c r="UHV146" s="37"/>
      <c r="UHW146" s="37"/>
      <c r="UHX146" s="37"/>
      <c r="UHY146" s="37"/>
      <c r="UHZ146" s="37"/>
      <c r="UIA146" s="37"/>
      <c r="UIB146" s="37"/>
      <c r="UIC146" s="37"/>
      <c r="UID146" s="37"/>
      <c r="UIE146" s="37"/>
      <c r="UIF146" s="37"/>
      <c r="UIG146" s="37"/>
      <c r="UIH146" s="37"/>
      <c r="UII146" s="37"/>
      <c r="UIJ146" s="37"/>
      <c r="UIK146" s="37"/>
      <c r="UIL146" s="37"/>
      <c r="UIM146" s="37"/>
      <c r="UIN146" s="37"/>
      <c r="UIO146" s="37"/>
      <c r="UIP146" s="37"/>
      <c r="UIQ146" s="37"/>
      <c r="UIR146" s="37"/>
      <c r="UIS146" s="37"/>
      <c r="UIT146" s="37"/>
      <c r="UIU146" s="37"/>
      <c r="UIV146" s="37"/>
      <c r="UIW146" s="37"/>
      <c r="UIX146" s="37"/>
      <c r="UIY146" s="37"/>
      <c r="UIZ146" s="37"/>
      <c r="UJA146" s="37"/>
      <c r="UJB146" s="37"/>
      <c r="UJC146" s="37"/>
      <c r="UJD146" s="37"/>
      <c r="UJE146" s="37"/>
      <c r="UJF146" s="37"/>
      <c r="UJG146" s="37"/>
      <c r="UJH146" s="37"/>
      <c r="UJI146" s="37"/>
      <c r="UJJ146" s="37"/>
      <c r="UJK146" s="37"/>
      <c r="UJL146" s="37"/>
      <c r="UJM146" s="37"/>
      <c r="UJN146" s="37"/>
      <c r="UJO146" s="37"/>
      <c r="UJP146" s="37"/>
      <c r="UJQ146" s="37"/>
      <c r="UJR146" s="37"/>
      <c r="UJS146" s="37"/>
      <c r="UJT146" s="37"/>
      <c r="UJU146" s="37"/>
      <c r="UJV146" s="37"/>
      <c r="UJW146" s="37"/>
      <c r="UJX146" s="37"/>
      <c r="UJY146" s="37"/>
      <c r="UJZ146" s="37"/>
      <c r="UKA146" s="37"/>
      <c r="UKB146" s="37"/>
      <c r="UKC146" s="37"/>
      <c r="UKD146" s="37"/>
      <c r="UKE146" s="37"/>
      <c r="UKF146" s="37"/>
      <c r="UKG146" s="37"/>
      <c r="UKH146" s="37"/>
      <c r="UKI146" s="37"/>
      <c r="UKJ146" s="37"/>
      <c r="UKK146" s="37"/>
      <c r="UKL146" s="37"/>
      <c r="UKM146" s="37"/>
      <c r="UKN146" s="37"/>
      <c r="UKO146" s="37"/>
      <c r="UKP146" s="37"/>
      <c r="UKQ146" s="37"/>
      <c r="UKR146" s="37"/>
      <c r="UKS146" s="37"/>
      <c r="UKT146" s="37"/>
      <c r="UKU146" s="37"/>
      <c r="UKV146" s="37"/>
      <c r="UKW146" s="37"/>
      <c r="UKX146" s="37"/>
      <c r="UKY146" s="37"/>
      <c r="UKZ146" s="37"/>
      <c r="ULA146" s="37"/>
      <c r="ULB146" s="37"/>
      <c r="ULC146" s="37"/>
      <c r="ULD146" s="37"/>
      <c r="ULE146" s="37"/>
      <c r="ULF146" s="37"/>
      <c r="ULG146" s="37"/>
      <c r="ULH146" s="37"/>
      <c r="ULI146" s="37"/>
      <c r="ULJ146" s="37"/>
      <c r="ULK146" s="37"/>
      <c r="ULL146" s="37"/>
      <c r="ULM146" s="37"/>
      <c r="ULN146" s="37"/>
      <c r="ULO146" s="37"/>
      <c r="ULP146" s="37"/>
      <c r="ULQ146" s="37"/>
      <c r="ULR146" s="37"/>
      <c r="ULS146" s="37"/>
      <c r="ULT146" s="37"/>
      <c r="ULU146" s="37"/>
      <c r="ULV146" s="37"/>
      <c r="ULW146" s="37"/>
      <c r="ULX146" s="37"/>
      <c r="ULY146" s="37"/>
      <c r="ULZ146" s="37"/>
      <c r="UMA146" s="37"/>
      <c r="UMB146" s="37"/>
      <c r="UMC146" s="37"/>
      <c r="UMD146" s="37"/>
      <c r="UME146" s="37"/>
      <c r="UMF146" s="37"/>
      <c r="UMG146" s="37"/>
      <c r="UMH146" s="37"/>
      <c r="UMI146" s="37"/>
      <c r="UMJ146" s="37"/>
      <c r="UMK146" s="37"/>
      <c r="UML146" s="37"/>
      <c r="UMM146" s="37"/>
      <c r="UMN146" s="37"/>
      <c r="UMO146" s="37"/>
      <c r="UMP146" s="37"/>
      <c r="UMQ146" s="37"/>
      <c r="UMR146" s="37"/>
      <c r="UMS146" s="37"/>
      <c r="UMT146" s="37"/>
      <c r="UMU146" s="37"/>
      <c r="UMV146" s="37"/>
      <c r="UMW146" s="37"/>
      <c r="UMX146" s="37"/>
      <c r="UMY146" s="37"/>
      <c r="UMZ146" s="37"/>
      <c r="UNA146" s="37"/>
      <c r="UNB146" s="37"/>
      <c r="UNC146" s="37"/>
      <c r="UND146" s="37"/>
      <c r="UNE146" s="37"/>
      <c r="UNF146" s="37"/>
      <c r="UNG146" s="37"/>
      <c r="UNH146" s="37"/>
      <c r="UNI146" s="37"/>
      <c r="UNJ146" s="37"/>
      <c r="UNK146" s="37"/>
      <c r="UNL146" s="37"/>
      <c r="UNM146" s="37"/>
      <c r="UNN146" s="37"/>
      <c r="UNO146" s="37"/>
      <c r="UNP146" s="37"/>
      <c r="UNQ146" s="37"/>
      <c r="UNR146" s="37"/>
      <c r="UNS146" s="37"/>
      <c r="UNT146" s="37"/>
      <c r="UNU146" s="37"/>
      <c r="UNV146" s="37"/>
      <c r="UNW146" s="37"/>
      <c r="UNX146" s="37"/>
      <c r="UNY146" s="37"/>
      <c r="UNZ146" s="37"/>
      <c r="UOA146" s="37"/>
      <c r="UOB146" s="37"/>
      <c r="UOC146" s="37"/>
      <c r="UOD146" s="37"/>
      <c r="UOE146" s="37"/>
      <c r="UOF146" s="37"/>
      <c r="UOG146" s="37"/>
      <c r="UOH146" s="37"/>
      <c r="UOI146" s="37"/>
      <c r="UOJ146" s="37"/>
      <c r="UOK146" s="37"/>
      <c r="UOL146" s="37"/>
      <c r="UOM146" s="37"/>
      <c r="UON146" s="37"/>
      <c r="UOO146" s="37"/>
      <c r="UOP146" s="37"/>
      <c r="UOQ146" s="37"/>
      <c r="UOR146" s="37"/>
      <c r="UOS146" s="37"/>
      <c r="UOT146" s="37"/>
      <c r="UOU146" s="37"/>
      <c r="UOV146" s="37"/>
      <c r="UOW146" s="37"/>
      <c r="UOX146" s="37"/>
      <c r="UOY146" s="37"/>
      <c r="UOZ146" s="37"/>
      <c r="UPA146" s="37"/>
      <c r="UPB146" s="37"/>
      <c r="UPC146" s="37"/>
      <c r="UPD146" s="37"/>
      <c r="UPE146" s="37"/>
      <c r="UPF146" s="37"/>
      <c r="UPG146" s="37"/>
      <c r="UPH146" s="37"/>
      <c r="UPI146" s="37"/>
      <c r="UPJ146" s="37"/>
      <c r="UPK146" s="37"/>
      <c r="UPL146" s="37"/>
      <c r="UPM146" s="37"/>
      <c r="UPN146" s="37"/>
      <c r="UPO146" s="37"/>
      <c r="UPP146" s="37"/>
      <c r="UPQ146" s="37"/>
      <c r="UPR146" s="37"/>
      <c r="UPS146" s="37"/>
      <c r="UPT146" s="37"/>
      <c r="UPU146" s="37"/>
      <c r="UPV146" s="37"/>
      <c r="UPW146" s="37"/>
      <c r="UPX146" s="37"/>
      <c r="UPY146" s="37"/>
      <c r="UPZ146" s="37"/>
      <c r="UQA146" s="37"/>
      <c r="UQB146" s="37"/>
      <c r="UQC146" s="37"/>
      <c r="UQD146" s="37"/>
      <c r="UQE146" s="37"/>
      <c r="UQF146" s="37"/>
      <c r="UQG146" s="37"/>
      <c r="UQH146" s="37"/>
      <c r="UQI146" s="37"/>
      <c r="UQJ146" s="37"/>
      <c r="UQK146" s="37"/>
      <c r="UQL146" s="37"/>
      <c r="UQM146" s="37"/>
      <c r="UQN146" s="37"/>
      <c r="UQO146" s="37"/>
      <c r="UQP146" s="37"/>
      <c r="UQQ146" s="37"/>
      <c r="UQR146" s="37"/>
      <c r="UQS146" s="37"/>
      <c r="UQT146" s="37"/>
      <c r="UQU146" s="37"/>
      <c r="UQV146" s="37"/>
      <c r="UQW146" s="37"/>
      <c r="UQX146" s="37"/>
      <c r="UQY146" s="37"/>
      <c r="UQZ146" s="37"/>
      <c r="URA146" s="37"/>
      <c r="URB146" s="37"/>
      <c r="URC146" s="37"/>
      <c r="URD146" s="37"/>
      <c r="URE146" s="37"/>
      <c r="URF146" s="37"/>
      <c r="URG146" s="37"/>
      <c r="URH146" s="37"/>
      <c r="URI146" s="37"/>
      <c r="URJ146" s="37"/>
      <c r="URK146" s="37"/>
      <c r="URL146" s="37"/>
      <c r="URM146" s="37"/>
      <c r="URN146" s="37"/>
      <c r="URO146" s="37"/>
      <c r="URP146" s="37"/>
      <c r="URQ146" s="37"/>
      <c r="URR146" s="37"/>
      <c r="URS146" s="37"/>
      <c r="URT146" s="37"/>
      <c r="URU146" s="37"/>
      <c r="URV146" s="37"/>
      <c r="URW146" s="37"/>
      <c r="URX146" s="37"/>
      <c r="URY146" s="37"/>
      <c r="URZ146" s="37"/>
      <c r="USA146" s="37"/>
      <c r="USB146" s="37"/>
      <c r="USC146" s="37"/>
      <c r="USD146" s="37"/>
      <c r="USE146" s="37"/>
      <c r="USF146" s="37"/>
      <c r="USG146" s="37"/>
      <c r="USH146" s="37"/>
      <c r="USI146" s="37"/>
      <c r="USJ146" s="37"/>
      <c r="USK146" s="37"/>
      <c r="USL146" s="37"/>
      <c r="USM146" s="37"/>
      <c r="USN146" s="37"/>
      <c r="USO146" s="37"/>
      <c r="USP146" s="37"/>
      <c r="USQ146" s="37"/>
      <c r="USR146" s="37"/>
      <c r="USS146" s="37"/>
      <c r="UST146" s="37"/>
      <c r="USU146" s="37"/>
      <c r="USV146" s="37"/>
      <c r="USW146" s="37"/>
      <c r="USX146" s="37"/>
      <c r="USY146" s="37"/>
      <c r="USZ146" s="37"/>
      <c r="UTA146" s="37"/>
      <c r="UTB146" s="37"/>
      <c r="UTC146" s="37"/>
      <c r="UTD146" s="37"/>
      <c r="UTE146" s="37"/>
      <c r="UTF146" s="37"/>
      <c r="UTG146" s="37"/>
      <c r="UTH146" s="37"/>
      <c r="UTI146" s="37"/>
      <c r="UTJ146" s="37"/>
      <c r="UTK146" s="37"/>
      <c r="UTL146" s="37"/>
      <c r="UTM146" s="37"/>
      <c r="UTN146" s="37"/>
      <c r="UTO146" s="37"/>
      <c r="UTP146" s="37"/>
      <c r="UTQ146" s="37"/>
      <c r="UTR146" s="37"/>
      <c r="UTS146" s="37"/>
      <c r="UTT146" s="37"/>
      <c r="UTU146" s="37"/>
      <c r="UTV146" s="37"/>
      <c r="UTW146" s="37"/>
      <c r="UTX146" s="37"/>
      <c r="UTY146" s="37"/>
      <c r="UTZ146" s="37"/>
      <c r="UUA146" s="37"/>
      <c r="UUB146" s="37"/>
      <c r="UUC146" s="37"/>
      <c r="UUD146" s="37"/>
      <c r="UUE146" s="37"/>
      <c r="UUF146" s="37"/>
      <c r="UUG146" s="37"/>
      <c r="UUH146" s="37"/>
      <c r="UUI146" s="37"/>
      <c r="UUJ146" s="37"/>
      <c r="UUK146" s="37"/>
      <c r="UUL146" s="37"/>
      <c r="UUM146" s="37"/>
      <c r="UUN146" s="37"/>
      <c r="UUO146" s="37"/>
      <c r="UUP146" s="37"/>
      <c r="UUQ146" s="37"/>
      <c r="UUR146" s="37"/>
      <c r="UUS146" s="37"/>
      <c r="UUT146" s="37"/>
      <c r="UUU146" s="37"/>
      <c r="UUV146" s="37"/>
      <c r="UUW146" s="37"/>
      <c r="UUX146" s="37"/>
      <c r="UUY146" s="37"/>
      <c r="UUZ146" s="37"/>
      <c r="UVA146" s="37"/>
      <c r="UVB146" s="37"/>
      <c r="UVC146" s="37"/>
      <c r="UVD146" s="37"/>
      <c r="UVE146" s="37"/>
      <c r="UVF146" s="37"/>
      <c r="UVG146" s="37"/>
      <c r="UVH146" s="37"/>
      <c r="UVI146" s="37"/>
      <c r="UVJ146" s="37"/>
      <c r="UVK146" s="37"/>
      <c r="UVL146" s="37"/>
      <c r="UVM146" s="37"/>
      <c r="UVN146" s="37"/>
      <c r="UVO146" s="37"/>
      <c r="UVP146" s="37"/>
      <c r="UVQ146" s="37"/>
      <c r="UVR146" s="37"/>
      <c r="UVS146" s="37"/>
      <c r="UVT146" s="37"/>
      <c r="UVU146" s="37"/>
      <c r="UVV146" s="37"/>
      <c r="UVW146" s="37"/>
      <c r="UVX146" s="37"/>
      <c r="UVY146" s="37"/>
      <c r="UVZ146" s="37"/>
      <c r="UWA146" s="37"/>
      <c r="UWB146" s="37"/>
      <c r="UWC146" s="37"/>
      <c r="UWD146" s="37"/>
      <c r="UWE146" s="37"/>
      <c r="UWF146" s="37"/>
      <c r="UWG146" s="37"/>
      <c r="UWH146" s="37"/>
      <c r="UWI146" s="37"/>
      <c r="UWJ146" s="37"/>
      <c r="UWK146" s="37"/>
      <c r="UWL146" s="37"/>
      <c r="UWM146" s="37"/>
      <c r="UWN146" s="37"/>
      <c r="UWO146" s="37"/>
      <c r="UWP146" s="37"/>
      <c r="UWQ146" s="37"/>
      <c r="UWR146" s="37"/>
      <c r="UWS146" s="37"/>
      <c r="UWT146" s="37"/>
      <c r="UWU146" s="37"/>
      <c r="UWV146" s="37"/>
      <c r="UWW146" s="37"/>
      <c r="UWX146" s="37"/>
      <c r="UWY146" s="37"/>
      <c r="UWZ146" s="37"/>
      <c r="UXA146" s="37"/>
      <c r="UXB146" s="37"/>
      <c r="UXC146" s="37"/>
      <c r="UXD146" s="37"/>
      <c r="UXE146" s="37"/>
      <c r="UXF146" s="37"/>
      <c r="UXG146" s="37"/>
      <c r="UXH146" s="37"/>
      <c r="UXI146" s="37"/>
      <c r="UXJ146" s="37"/>
      <c r="UXK146" s="37"/>
      <c r="UXL146" s="37"/>
      <c r="UXM146" s="37"/>
      <c r="UXN146" s="37"/>
      <c r="UXO146" s="37"/>
      <c r="UXP146" s="37"/>
      <c r="UXQ146" s="37"/>
      <c r="UXR146" s="37"/>
      <c r="UXS146" s="37"/>
      <c r="UXT146" s="37"/>
      <c r="UXU146" s="37"/>
      <c r="UXV146" s="37"/>
      <c r="UXW146" s="37"/>
      <c r="UXX146" s="37"/>
      <c r="UXY146" s="37"/>
      <c r="UXZ146" s="37"/>
      <c r="UYA146" s="37"/>
      <c r="UYB146" s="37"/>
      <c r="UYC146" s="37"/>
      <c r="UYD146" s="37"/>
      <c r="UYE146" s="37"/>
      <c r="UYF146" s="37"/>
      <c r="UYG146" s="37"/>
      <c r="UYH146" s="37"/>
      <c r="UYI146" s="37"/>
      <c r="UYJ146" s="37"/>
      <c r="UYK146" s="37"/>
      <c r="UYL146" s="37"/>
      <c r="UYM146" s="37"/>
      <c r="UYN146" s="37"/>
      <c r="UYO146" s="37"/>
      <c r="UYP146" s="37"/>
      <c r="UYQ146" s="37"/>
      <c r="UYR146" s="37"/>
      <c r="UYS146" s="37"/>
      <c r="UYT146" s="37"/>
      <c r="UYU146" s="37"/>
      <c r="UYV146" s="37"/>
      <c r="UYW146" s="37"/>
      <c r="UYX146" s="37"/>
      <c r="UYY146" s="37"/>
      <c r="UYZ146" s="37"/>
      <c r="UZA146" s="37"/>
      <c r="UZB146" s="37"/>
      <c r="UZC146" s="37"/>
      <c r="UZD146" s="37"/>
      <c r="UZE146" s="37"/>
      <c r="UZF146" s="37"/>
      <c r="UZG146" s="37"/>
      <c r="UZH146" s="37"/>
      <c r="UZI146" s="37"/>
      <c r="UZJ146" s="37"/>
      <c r="UZK146" s="37"/>
      <c r="UZL146" s="37"/>
      <c r="UZM146" s="37"/>
      <c r="UZN146" s="37"/>
      <c r="UZO146" s="37"/>
      <c r="UZP146" s="37"/>
      <c r="UZQ146" s="37"/>
      <c r="UZR146" s="37"/>
      <c r="UZS146" s="37"/>
      <c r="UZT146" s="37"/>
      <c r="UZU146" s="37"/>
      <c r="UZV146" s="37"/>
      <c r="UZW146" s="37"/>
      <c r="UZX146" s="37"/>
      <c r="UZY146" s="37"/>
      <c r="UZZ146" s="37"/>
      <c r="VAA146" s="37"/>
      <c r="VAB146" s="37"/>
      <c r="VAC146" s="37"/>
      <c r="VAD146" s="37"/>
      <c r="VAE146" s="37"/>
      <c r="VAF146" s="37"/>
      <c r="VAG146" s="37"/>
      <c r="VAH146" s="37"/>
      <c r="VAI146" s="37"/>
      <c r="VAJ146" s="37"/>
      <c r="VAK146" s="37"/>
      <c r="VAL146" s="37"/>
      <c r="VAM146" s="37"/>
      <c r="VAN146" s="37"/>
      <c r="VAO146" s="37"/>
      <c r="VAP146" s="37"/>
      <c r="VAQ146" s="37"/>
      <c r="VAR146" s="37"/>
      <c r="VAS146" s="37"/>
      <c r="VAT146" s="37"/>
      <c r="VAU146" s="37"/>
      <c r="VAV146" s="37"/>
      <c r="VAW146" s="37"/>
      <c r="VAX146" s="37"/>
      <c r="VAY146" s="37"/>
      <c r="VAZ146" s="37"/>
      <c r="VBA146" s="37"/>
      <c r="VBB146" s="37"/>
      <c r="VBC146" s="37"/>
      <c r="VBD146" s="37"/>
      <c r="VBE146" s="37"/>
      <c r="VBF146" s="37"/>
      <c r="VBG146" s="37"/>
      <c r="VBH146" s="37"/>
      <c r="VBI146" s="37"/>
      <c r="VBJ146" s="37"/>
      <c r="VBK146" s="37"/>
      <c r="VBL146" s="37"/>
      <c r="VBM146" s="37"/>
      <c r="VBN146" s="37"/>
      <c r="VBO146" s="37"/>
      <c r="VBP146" s="37"/>
      <c r="VBQ146" s="37"/>
      <c r="VBR146" s="37"/>
      <c r="VBS146" s="37"/>
      <c r="VBT146" s="37"/>
      <c r="VBU146" s="37"/>
      <c r="VBV146" s="37"/>
      <c r="VBW146" s="37"/>
      <c r="VBX146" s="37"/>
      <c r="VBY146" s="37"/>
      <c r="VBZ146" s="37"/>
      <c r="VCA146" s="37"/>
      <c r="VCB146" s="37"/>
      <c r="VCC146" s="37"/>
      <c r="VCD146" s="37"/>
      <c r="VCE146" s="37"/>
      <c r="VCF146" s="37"/>
      <c r="VCG146" s="37"/>
      <c r="VCH146" s="37"/>
      <c r="VCI146" s="37"/>
      <c r="VCJ146" s="37"/>
      <c r="VCK146" s="37"/>
      <c r="VCL146" s="37"/>
      <c r="VCM146" s="37"/>
      <c r="VCN146" s="37"/>
      <c r="VCO146" s="37"/>
      <c r="VCP146" s="37"/>
      <c r="VCQ146" s="37"/>
      <c r="VCR146" s="37"/>
      <c r="VCS146" s="37"/>
      <c r="VCT146" s="37"/>
      <c r="VCU146" s="37"/>
      <c r="VCV146" s="37"/>
      <c r="VCW146" s="37"/>
      <c r="VCX146" s="37"/>
      <c r="VCY146" s="37"/>
      <c r="VCZ146" s="37"/>
      <c r="VDA146" s="37"/>
      <c r="VDB146" s="37"/>
      <c r="VDC146" s="37"/>
      <c r="VDD146" s="37"/>
      <c r="VDE146" s="37"/>
      <c r="VDF146" s="37"/>
      <c r="VDG146" s="37"/>
      <c r="VDH146" s="37"/>
      <c r="VDI146" s="37"/>
      <c r="VDJ146" s="37"/>
      <c r="VDK146" s="37"/>
      <c r="VDL146" s="37"/>
      <c r="VDM146" s="37"/>
      <c r="VDN146" s="37"/>
      <c r="VDO146" s="37"/>
      <c r="VDP146" s="37"/>
      <c r="VDQ146" s="37"/>
      <c r="VDR146" s="37"/>
      <c r="VDS146" s="37"/>
      <c r="VDT146" s="37"/>
      <c r="VDU146" s="37"/>
      <c r="VDV146" s="37"/>
      <c r="VDW146" s="37"/>
      <c r="VDX146" s="37"/>
      <c r="VDY146" s="37"/>
      <c r="VDZ146" s="37"/>
      <c r="VEA146" s="37"/>
      <c r="VEB146" s="37"/>
      <c r="VEC146" s="37"/>
      <c r="VED146" s="37"/>
      <c r="VEE146" s="37"/>
      <c r="VEF146" s="37"/>
      <c r="VEG146" s="37"/>
      <c r="VEH146" s="37"/>
      <c r="VEI146" s="37"/>
      <c r="VEJ146" s="37"/>
      <c r="VEK146" s="37"/>
      <c r="VEL146" s="37"/>
      <c r="VEM146" s="37"/>
      <c r="VEN146" s="37"/>
      <c r="VEO146" s="37"/>
      <c r="VEP146" s="37"/>
      <c r="VEQ146" s="37"/>
      <c r="VER146" s="37"/>
      <c r="VES146" s="37"/>
      <c r="VET146" s="37"/>
      <c r="VEU146" s="37"/>
      <c r="VEV146" s="37"/>
      <c r="VEW146" s="37"/>
      <c r="VEX146" s="37"/>
      <c r="VEY146" s="37"/>
      <c r="VEZ146" s="37"/>
      <c r="VFA146" s="37"/>
      <c r="VFB146" s="37"/>
      <c r="VFC146" s="37"/>
      <c r="VFD146" s="37"/>
      <c r="VFE146" s="37"/>
      <c r="VFF146" s="37"/>
      <c r="VFG146" s="37"/>
      <c r="VFH146" s="37"/>
      <c r="VFI146" s="37"/>
      <c r="VFJ146" s="37"/>
      <c r="VFK146" s="37"/>
      <c r="VFL146" s="37"/>
      <c r="VFM146" s="37"/>
      <c r="VFN146" s="37"/>
      <c r="VFO146" s="37"/>
      <c r="VFP146" s="37"/>
      <c r="VFQ146" s="37"/>
      <c r="VFR146" s="37"/>
      <c r="VFS146" s="37"/>
      <c r="VFT146" s="37"/>
      <c r="VFU146" s="37"/>
      <c r="VFV146" s="37"/>
      <c r="VFW146" s="37"/>
      <c r="VFX146" s="37"/>
      <c r="VFY146" s="37"/>
      <c r="VFZ146" s="37"/>
      <c r="VGA146" s="37"/>
      <c r="VGB146" s="37"/>
      <c r="VGC146" s="37"/>
      <c r="VGD146" s="37"/>
      <c r="VGE146" s="37"/>
      <c r="VGF146" s="37"/>
      <c r="VGG146" s="37"/>
      <c r="VGH146" s="37"/>
      <c r="VGI146" s="37"/>
      <c r="VGJ146" s="37"/>
      <c r="VGK146" s="37"/>
      <c r="VGL146" s="37"/>
      <c r="VGM146" s="37"/>
      <c r="VGN146" s="37"/>
      <c r="VGO146" s="37"/>
      <c r="VGP146" s="37"/>
      <c r="VGQ146" s="37"/>
      <c r="VGR146" s="37"/>
      <c r="VGS146" s="37"/>
      <c r="VGT146" s="37"/>
      <c r="VGU146" s="37"/>
      <c r="VGV146" s="37"/>
      <c r="VGW146" s="37"/>
      <c r="VGX146" s="37"/>
      <c r="VGY146" s="37"/>
      <c r="VGZ146" s="37"/>
      <c r="VHA146" s="37"/>
      <c r="VHB146" s="37"/>
      <c r="VHC146" s="37"/>
      <c r="VHD146" s="37"/>
      <c r="VHE146" s="37"/>
      <c r="VHF146" s="37"/>
      <c r="VHG146" s="37"/>
      <c r="VHH146" s="37"/>
      <c r="VHI146" s="37"/>
      <c r="VHJ146" s="37"/>
      <c r="VHK146" s="37"/>
      <c r="VHL146" s="37"/>
      <c r="VHM146" s="37"/>
      <c r="VHN146" s="37"/>
      <c r="VHO146" s="37"/>
      <c r="VHP146" s="37"/>
      <c r="VHQ146" s="37"/>
      <c r="VHR146" s="37"/>
      <c r="VHS146" s="37"/>
      <c r="VHT146" s="37"/>
      <c r="VHU146" s="37"/>
      <c r="VHV146" s="37"/>
      <c r="VHW146" s="37"/>
      <c r="VHX146" s="37"/>
      <c r="VHY146" s="37"/>
      <c r="VHZ146" s="37"/>
      <c r="VIA146" s="37"/>
      <c r="VIB146" s="37"/>
      <c r="VIC146" s="37"/>
      <c r="VID146" s="37"/>
      <c r="VIE146" s="37"/>
      <c r="VIF146" s="37"/>
      <c r="VIG146" s="37"/>
      <c r="VIH146" s="37"/>
      <c r="VII146" s="37"/>
      <c r="VIJ146" s="37"/>
      <c r="VIK146" s="37"/>
      <c r="VIL146" s="37"/>
      <c r="VIM146" s="37"/>
      <c r="VIN146" s="37"/>
      <c r="VIO146" s="37"/>
      <c r="VIP146" s="37"/>
      <c r="VIQ146" s="37"/>
      <c r="VIR146" s="37"/>
      <c r="VIS146" s="37"/>
      <c r="VIT146" s="37"/>
      <c r="VIU146" s="37"/>
      <c r="VIV146" s="37"/>
      <c r="VIW146" s="37"/>
      <c r="VIX146" s="37"/>
      <c r="VIY146" s="37"/>
      <c r="VIZ146" s="37"/>
      <c r="VJA146" s="37"/>
      <c r="VJB146" s="37"/>
      <c r="VJC146" s="37"/>
      <c r="VJD146" s="37"/>
      <c r="VJE146" s="37"/>
      <c r="VJF146" s="37"/>
      <c r="VJG146" s="37"/>
      <c r="VJH146" s="37"/>
      <c r="VJI146" s="37"/>
      <c r="VJJ146" s="37"/>
      <c r="VJK146" s="37"/>
      <c r="VJL146" s="37"/>
      <c r="VJM146" s="37"/>
      <c r="VJN146" s="37"/>
      <c r="VJO146" s="37"/>
      <c r="VJP146" s="37"/>
      <c r="VJQ146" s="37"/>
      <c r="VJR146" s="37"/>
      <c r="VJS146" s="37"/>
      <c r="VJT146" s="37"/>
      <c r="VJU146" s="37"/>
      <c r="VJV146" s="37"/>
      <c r="VJW146" s="37"/>
      <c r="VJX146" s="37"/>
      <c r="VJY146" s="37"/>
      <c r="VJZ146" s="37"/>
      <c r="VKA146" s="37"/>
      <c r="VKB146" s="37"/>
      <c r="VKC146" s="37"/>
      <c r="VKD146" s="37"/>
      <c r="VKE146" s="37"/>
      <c r="VKF146" s="37"/>
      <c r="VKG146" s="37"/>
      <c r="VKH146" s="37"/>
      <c r="VKI146" s="37"/>
      <c r="VKJ146" s="37"/>
      <c r="VKK146" s="37"/>
      <c r="VKL146" s="37"/>
      <c r="VKM146" s="37"/>
      <c r="VKN146" s="37"/>
      <c r="VKO146" s="37"/>
      <c r="VKP146" s="37"/>
      <c r="VKQ146" s="37"/>
      <c r="VKR146" s="37"/>
      <c r="VKS146" s="37"/>
      <c r="VKT146" s="37"/>
      <c r="VKU146" s="37"/>
      <c r="VKV146" s="37"/>
      <c r="VKW146" s="37"/>
      <c r="VKX146" s="37"/>
      <c r="VKY146" s="37"/>
      <c r="VKZ146" s="37"/>
      <c r="VLA146" s="37"/>
      <c r="VLB146" s="37"/>
      <c r="VLC146" s="37"/>
      <c r="VLD146" s="37"/>
      <c r="VLE146" s="37"/>
      <c r="VLF146" s="37"/>
      <c r="VLG146" s="37"/>
      <c r="VLH146" s="37"/>
      <c r="VLI146" s="37"/>
      <c r="VLJ146" s="37"/>
      <c r="VLK146" s="37"/>
      <c r="VLL146" s="37"/>
      <c r="VLM146" s="37"/>
      <c r="VLN146" s="37"/>
      <c r="VLO146" s="37"/>
      <c r="VLP146" s="37"/>
      <c r="VLQ146" s="37"/>
      <c r="VLR146" s="37"/>
      <c r="VLS146" s="37"/>
      <c r="VLT146" s="37"/>
      <c r="VLU146" s="37"/>
      <c r="VLV146" s="37"/>
      <c r="VLW146" s="37"/>
      <c r="VLX146" s="37"/>
      <c r="VLY146" s="37"/>
      <c r="VLZ146" s="37"/>
      <c r="VMA146" s="37"/>
      <c r="VMB146" s="37"/>
      <c r="VMC146" s="37"/>
      <c r="VMD146" s="37"/>
      <c r="VME146" s="37"/>
      <c r="VMF146" s="37"/>
      <c r="VMG146" s="37"/>
      <c r="VMH146" s="37"/>
      <c r="VMI146" s="37"/>
      <c r="VMJ146" s="37"/>
      <c r="VMK146" s="37"/>
      <c r="VML146" s="37"/>
      <c r="VMM146" s="37"/>
      <c r="VMN146" s="37"/>
      <c r="VMO146" s="37"/>
      <c r="VMP146" s="37"/>
      <c r="VMQ146" s="37"/>
      <c r="VMR146" s="37"/>
      <c r="VMS146" s="37"/>
      <c r="VMT146" s="37"/>
      <c r="VMU146" s="37"/>
      <c r="VMV146" s="37"/>
      <c r="VMW146" s="37"/>
      <c r="VMX146" s="37"/>
      <c r="VMY146" s="37"/>
      <c r="VMZ146" s="37"/>
      <c r="VNA146" s="37"/>
      <c r="VNB146" s="37"/>
      <c r="VNC146" s="37"/>
      <c r="VND146" s="37"/>
      <c r="VNE146" s="37"/>
      <c r="VNF146" s="37"/>
      <c r="VNG146" s="37"/>
      <c r="VNH146" s="37"/>
      <c r="VNI146" s="37"/>
      <c r="VNJ146" s="37"/>
      <c r="VNK146" s="37"/>
      <c r="VNL146" s="37"/>
      <c r="VNM146" s="37"/>
      <c r="VNN146" s="37"/>
      <c r="VNO146" s="37"/>
      <c r="VNP146" s="37"/>
      <c r="VNQ146" s="37"/>
      <c r="VNR146" s="37"/>
      <c r="VNS146" s="37"/>
      <c r="VNT146" s="37"/>
      <c r="VNU146" s="37"/>
      <c r="VNV146" s="37"/>
      <c r="VNW146" s="37"/>
      <c r="VNX146" s="37"/>
      <c r="VNY146" s="37"/>
      <c r="VNZ146" s="37"/>
      <c r="VOA146" s="37"/>
      <c r="VOB146" s="37"/>
      <c r="VOC146" s="37"/>
      <c r="VOD146" s="37"/>
      <c r="VOE146" s="37"/>
      <c r="VOF146" s="37"/>
      <c r="VOG146" s="37"/>
      <c r="VOH146" s="37"/>
      <c r="VOI146" s="37"/>
      <c r="VOJ146" s="37"/>
      <c r="VOK146" s="37"/>
      <c r="VOL146" s="37"/>
      <c r="VOM146" s="37"/>
      <c r="VON146" s="37"/>
      <c r="VOO146" s="37"/>
      <c r="VOP146" s="37"/>
      <c r="VOQ146" s="37"/>
      <c r="VOR146" s="37"/>
      <c r="VOS146" s="37"/>
      <c r="VOT146" s="37"/>
      <c r="VOU146" s="37"/>
      <c r="VOV146" s="37"/>
      <c r="VOW146" s="37"/>
      <c r="VOX146" s="37"/>
      <c r="VOY146" s="37"/>
      <c r="VOZ146" s="37"/>
      <c r="VPA146" s="37"/>
      <c r="VPB146" s="37"/>
      <c r="VPC146" s="37"/>
      <c r="VPD146" s="37"/>
      <c r="VPE146" s="37"/>
      <c r="VPF146" s="37"/>
      <c r="VPG146" s="37"/>
      <c r="VPH146" s="37"/>
      <c r="VPI146" s="37"/>
      <c r="VPJ146" s="37"/>
      <c r="VPK146" s="37"/>
      <c r="VPL146" s="37"/>
      <c r="VPM146" s="37"/>
      <c r="VPN146" s="37"/>
      <c r="VPO146" s="37"/>
      <c r="VPP146" s="37"/>
      <c r="VPQ146" s="37"/>
      <c r="VPR146" s="37"/>
      <c r="VPS146" s="37"/>
      <c r="VPT146" s="37"/>
      <c r="VPU146" s="37"/>
      <c r="VPV146" s="37"/>
      <c r="VPW146" s="37"/>
      <c r="VPX146" s="37"/>
      <c r="VPY146" s="37"/>
      <c r="VPZ146" s="37"/>
      <c r="VQA146" s="37"/>
      <c r="VQB146" s="37"/>
      <c r="VQC146" s="37"/>
      <c r="VQD146" s="37"/>
      <c r="VQE146" s="37"/>
      <c r="VQF146" s="37"/>
      <c r="VQG146" s="37"/>
      <c r="VQH146" s="37"/>
      <c r="VQI146" s="37"/>
      <c r="VQJ146" s="37"/>
      <c r="VQK146" s="37"/>
      <c r="VQL146" s="37"/>
      <c r="VQM146" s="37"/>
      <c r="VQN146" s="37"/>
      <c r="VQO146" s="37"/>
      <c r="VQP146" s="37"/>
      <c r="VQQ146" s="37"/>
      <c r="VQR146" s="37"/>
      <c r="VQS146" s="37"/>
      <c r="VQT146" s="37"/>
      <c r="VQU146" s="37"/>
      <c r="VQV146" s="37"/>
      <c r="VQW146" s="37"/>
      <c r="VQX146" s="37"/>
      <c r="VQY146" s="37"/>
      <c r="VQZ146" s="37"/>
      <c r="VRA146" s="37"/>
      <c r="VRB146" s="37"/>
      <c r="VRC146" s="37"/>
      <c r="VRD146" s="37"/>
      <c r="VRE146" s="37"/>
      <c r="VRF146" s="37"/>
      <c r="VRG146" s="37"/>
      <c r="VRH146" s="37"/>
      <c r="VRI146" s="37"/>
      <c r="VRJ146" s="37"/>
      <c r="VRK146" s="37"/>
      <c r="VRL146" s="37"/>
      <c r="VRM146" s="37"/>
      <c r="VRN146" s="37"/>
      <c r="VRO146" s="37"/>
      <c r="VRP146" s="37"/>
      <c r="VRQ146" s="37"/>
      <c r="VRR146" s="37"/>
      <c r="VRS146" s="37"/>
      <c r="VRT146" s="37"/>
      <c r="VRU146" s="37"/>
      <c r="VRV146" s="37"/>
      <c r="VRW146" s="37"/>
      <c r="VRX146" s="37"/>
      <c r="VRY146" s="37"/>
      <c r="VRZ146" s="37"/>
      <c r="VSA146" s="37"/>
      <c r="VSB146" s="37"/>
      <c r="VSC146" s="37"/>
      <c r="VSD146" s="37"/>
      <c r="VSE146" s="37"/>
      <c r="VSF146" s="37"/>
      <c r="VSG146" s="37"/>
      <c r="VSH146" s="37"/>
      <c r="VSI146" s="37"/>
      <c r="VSJ146" s="37"/>
      <c r="VSK146" s="37"/>
      <c r="VSL146" s="37"/>
      <c r="VSM146" s="37"/>
      <c r="VSN146" s="37"/>
      <c r="VSO146" s="37"/>
      <c r="VSP146" s="37"/>
      <c r="VSQ146" s="37"/>
      <c r="VSR146" s="37"/>
      <c r="VSS146" s="37"/>
      <c r="VST146" s="37"/>
      <c r="VSU146" s="37"/>
      <c r="VSV146" s="37"/>
      <c r="VSW146" s="37"/>
      <c r="VSX146" s="37"/>
      <c r="VSY146" s="37"/>
      <c r="VSZ146" s="37"/>
      <c r="VTA146" s="37"/>
      <c r="VTB146" s="37"/>
      <c r="VTC146" s="37"/>
      <c r="VTD146" s="37"/>
      <c r="VTE146" s="37"/>
      <c r="VTF146" s="37"/>
      <c r="VTG146" s="37"/>
      <c r="VTH146" s="37"/>
      <c r="VTI146" s="37"/>
      <c r="VTJ146" s="37"/>
      <c r="VTK146" s="37"/>
      <c r="VTL146" s="37"/>
      <c r="VTM146" s="37"/>
      <c r="VTN146" s="37"/>
      <c r="VTO146" s="37"/>
      <c r="VTP146" s="37"/>
      <c r="VTQ146" s="37"/>
      <c r="VTR146" s="37"/>
      <c r="VTS146" s="37"/>
      <c r="VTT146" s="37"/>
      <c r="VTU146" s="37"/>
      <c r="VTV146" s="37"/>
      <c r="VTW146" s="37"/>
      <c r="VTX146" s="37"/>
      <c r="VTY146" s="37"/>
      <c r="VTZ146" s="37"/>
      <c r="VUA146" s="37"/>
      <c r="VUB146" s="37"/>
      <c r="VUC146" s="37"/>
      <c r="VUD146" s="37"/>
      <c r="VUE146" s="37"/>
      <c r="VUF146" s="37"/>
      <c r="VUG146" s="37"/>
      <c r="VUH146" s="37"/>
      <c r="VUI146" s="37"/>
      <c r="VUJ146" s="37"/>
      <c r="VUK146" s="37"/>
      <c r="VUL146" s="37"/>
      <c r="VUM146" s="37"/>
      <c r="VUN146" s="37"/>
      <c r="VUO146" s="37"/>
      <c r="VUP146" s="37"/>
      <c r="VUQ146" s="37"/>
      <c r="VUR146" s="37"/>
      <c r="VUS146" s="37"/>
      <c r="VUT146" s="37"/>
      <c r="VUU146" s="37"/>
      <c r="VUV146" s="37"/>
      <c r="VUW146" s="37"/>
      <c r="VUX146" s="37"/>
      <c r="VUY146" s="37"/>
      <c r="VUZ146" s="37"/>
      <c r="VVA146" s="37"/>
      <c r="VVB146" s="37"/>
      <c r="VVC146" s="37"/>
      <c r="VVD146" s="37"/>
      <c r="VVE146" s="37"/>
      <c r="VVF146" s="37"/>
      <c r="VVG146" s="37"/>
      <c r="VVH146" s="37"/>
      <c r="VVI146" s="37"/>
      <c r="VVJ146" s="37"/>
      <c r="VVK146" s="37"/>
      <c r="VVL146" s="37"/>
      <c r="VVM146" s="37"/>
      <c r="VVN146" s="37"/>
      <c r="VVO146" s="37"/>
      <c r="VVP146" s="37"/>
      <c r="VVQ146" s="37"/>
      <c r="VVR146" s="37"/>
      <c r="VVS146" s="37"/>
      <c r="VVT146" s="37"/>
      <c r="VVU146" s="37"/>
      <c r="VVV146" s="37"/>
      <c r="VVW146" s="37"/>
      <c r="VVX146" s="37"/>
      <c r="VVY146" s="37"/>
      <c r="VVZ146" s="37"/>
      <c r="VWA146" s="37"/>
      <c r="VWB146" s="37"/>
      <c r="VWC146" s="37"/>
      <c r="VWD146" s="37"/>
      <c r="VWE146" s="37"/>
      <c r="VWF146" s="37"/>
      <c r="VWG146" s="37"/>
      <c r="VWH146" s="37"/>
      <c r="VWI146" s="37"/>
      <c r="VWJ146" s="37"/>
      <c r="VWK146" s="37"/>
      <c r="VWL146" s="37"/>
      <c r="VWM146" s="37"/>
      <c r="VWN146" s="37"/>
      <c r="VWO146" s="37"/>
      <c r="VWP146" s="37"/>
      <c r="VWQ146" s="37"/>
      <c r="VWR146" s="37"/>
      <c r="VWS146" s="37"/>
      <c r="VWT146" s="37"/>
      <c r="VWU146" s="37"/>
      <c r="VWV146" s="37"/>
      <c r="VWW146" s="37"/>
      <c r="VWX146" s="37"/>
      <c r="VWY146" s="37"/>
      <c r="VWZ146" s="37"/>
      <c r="VXA146" s="37"/>
      <c r="VXB146" s="37"/>
      <c r="VXC146" s="37"/>
      <c r="VXD146" s="37"/>
      <c r="VXE146" s="37"/>
      <c r="VXF146" s="37"/>
      <c r="VXG146" s="37"/>
      <c r="VXH146" s="37"/>
      <c r="VXI146" s="37"/>
      <c r="VXJ146" s="37"/>
      <c r="VXK146" s="37"/>
      <c r="VXL146" s="37"/>
      <c r="VXM146" s="37"/>
      <c r="VXN146" s="37"/>
      <c r="VXO146" s="37"/>
      <c r="VXP146" s="37"/>
      <c r="VXQ146" s="37"/>
      <c r="VXR146" s="37"/>
      <c r="VXS146" s="37"/>
      <c r="VXT146" s="37"/>
      <c r="VXU146" s="37"/>
      <c r="VXV146" s="37"/>
      <c r="VXW146" s="37"/>
      <c r="VXX146" s="37"/>
      <c r="VXY146" s="37"/>
      <c r="VXZ146" s="37"/>
      <c r="VYA146" s="37"/>
      <c r="VYB146" s="37"/>
      <c r="VYC146" s="37"/>
      <c r="VYD146" s="37"/>
      <c r="VYE146" s="37"/>
      <c r="VYF146" s="37"/>
      <c r="VYG146" s="37"/>
      <c r="VYH146" s="37"/>
      <c r="VYI146" s="37"/>
      <c r="VYJ146" s="37"/>
      <c r="VYK146" s="37"/>
      <c r="VYL146" s="37"/>
      <c r="VYM146" s="37"/>
      <c r="VYN146" s="37"/>
      <c r="VYO146" s="37"/>
      <c r="VYP146" s="37"/>
      <c r="VYQ146" s="37"/>
      <c r="VYR146" s="37"/>
      <c r="VYS146" s="37"/>
      <c r="VYT146" s="37"/>
      <c r="VYU146" s="37"/>
      <c r="VYV146" s="37"/>
      <c r="VYW146" s="37"/>
      <c r="VYX146" s="37"/>
      <c r="VYY146" s="37"/>
      <c r="VYZ146" s="37"/>
      <c r="VZA146" s="37"/>
      <c r="VZB146" s="37"/>
      <c r="VZC146" s="37"/>
      <c r="VZD146" s="37"/>
      <c r="VZE146" s="37"/>
      <c r="VZF146" s="37"/>
      <c r="VZG146" s="37"/>
      <c r="VZH146" s="37"/>
      <c r="VZI146" s="37"/>
      <c r="VZJ146" s="37"/>
      <c r="VZK146" s="37"/>
      <c r="VZL146" s="37"/>
      <c r="VZM146" s="37"/>
      <c r="VZN146" s="37"/>
      <c r="VZO146" s="37"/>
      <c r="VZP146" s="37"/>
      <c r="VZQ146" s="37"/>
      <c r="VZR146" s="37"/>
      <c r="VZS146" s="37"/>
      <c r="VZT146" s="37"/>
      <c r="VZU146" s="37"/>
      <c r="VZV146" s="37"/>
      <c r="VZW146" s="37"/>
      <c r="VZX146" s="37"/>
      <c r="VZY146" s="37"/>
      <c r="VZZ146" s="37"/>
      <c r="WAA146" s="37"/>
      <c r="WAB146" s="37"/>
      <c r="WAC146" s="37"/>
      <c r="WAD146" s="37"/>
      <c r="WAE146" s="37"/>
      <c r="WAF146" s="37"/>
      <c r="WAG146" s="37"/>
      <c r="WAH146" s="37"/>
      <c r="WAI146" s="37"/>
      <c r="WAJ146" s="37"/>
      <c r="WAK146" s="37"/>
      <c r="WAL146" s="37"/>
      <c r="WAM146" s="37"/>
      <c r="WAN146" s="37"/>
      <c r="WAO146" s="37"/>
      <c r="WAP146" s="37"/>
      <c r="WAQ146" s="37"/>
      <c r="WAR146" s="37"/>
      <c r="WAS146" s="37"/>
      <c r="WAT146" s="37"/>
      <c r="WAU146" s="37"/>
      <c r="WAV146" s="37"/>
      <c r="WAW146" s="37"/>
      <c r="WAX146" s="37"/>
      <c r="WAY146" s="37"/>
      <c r="WAZ146" s="37"/>
      <c r="WBA146" s="37"/>
      <c r="WBB146" s="37"/>
      <c r="WBC146" s="37"/>
      <c r="WBD146" s="37"/>
      <c r="WBE146" s="37"/>
      <c r="WBF146" s="37"/>
      <c r="WBG146" s="37"/>
      <c r="WBH146" s="37"/>
      <c r="WBI146" s="37"/>
      <c r="WBJ146" s="37"/>
      <c r="WBK146" s="37"/>
      <c r="WBL146" s="37"/>
      <c r="WBM146" s="37"/>
      <c r="WBN146" s="37"/>
      <c r="WBO146" s="37"/>
      <c r="WBP146" s="37"/>
      <c r="WBQ146" s="37"/>
      <c r="WBR146" s="37"/>
      <c r="WBS146" s="37"/>
      <c r="WBT146" s="37"/>
      <c r="WBU146" s="37"/>
      <c r="WBV146" s="37"/>
      <c r="WBW146" s="37"/>
      <c r="WBX146" s="37"/>
      <c r="WBY146" s="37"/>
      <c r="WBZ146" s="37"/>
      <c r="WCA146" s="37"/>
      <c r="WCB146" s="37"/>
      <c r="WCC146" s="37"/>
      <c r="WCD146" s="37"/>
      <c r="WCE146" s="37"/>
      <c r="WCF146" s="37"/>
      <c r="WCG146" s="37"/>
      <c r="WCH146" s="37"/>
      <c r="WCI146" s="37"/>
      <c r="WCJ146" s="37"/>
      <c r="WCK146" s="37"/>
      <c r="WCL146" s="37"/>
      <c r="WCM146" s="37"/>
      <c r="WCN146" s="37"/>
      <c r="WCO146" s="37"/>
      <c r="WCP146" s="37"/>
      <c r="WCQ146" s="37"/>
      <c r="WCR146" s="37"/>
      <c r="WCS146" s="37"/>
      <c r="WCT146" s="37"/>
      <c r="WCU146" s="37"/>
      <c r="WCV146" s="37"/>
      <c r="WCW146" s="37"/>
      <c r="WCX146" s="37"/>
      <c r="WCY146" s="37"/>
      <c r="WCZ146" s="37"/>
      <c r="WDA146" s="37"/>
      <c r="WDB146" s="37"/>
      <c r="WDC146" s="37"/>
      <c r="WDD146" s="37"/>
      <c r="WDE146" s="37"/>
      <c r="WDF146" s="37"/>
      <c r="WDG146" s="37"/>
      <c r="WDH146" s="37"/>
      <c r="WDI146" s="37"/>
      <c r="WDJ146" s="37"/>
      <c r="WDK146" s="37"/>
      <c r="WDL146" s="37"/>
      <c r="WDM146" s="37"/>
      <c r="WDN146" s="37"/>
      <c r="WDO146" s="37"/>
      <c r="WDP146" s="37"/>
      <c r="WDQ146" s="37"/>
      <c r="WDR146" s="37"/>
      <c r="WDS146" s="37"/>
      <c r="WDT146" s="37"/>
      <c r="WDU146" s="37"/>
      <c r="WDV146" s="37"/>
      <c r="WDW146" s="37"/>
      <c r="WDX146" s="37"/>
      <c r="WDY146" s="37"/>
      <c r="WDZ146" s="37"/>
      <c r="WEA146" s="37"/>
      <c r="WEB146" s="37"/>
      <c r="WEC146" s="37"/>
      <c r="WED146" s="37"/>
      <c r="WEE146" s="37"/>
      <c r="WEF146" s="37"/>
      <c r="WEG146" s="37"/>
      <c r="WEH146" s="37"/>
      <c r="WEI146" s="37"/>
      <c r="WEJ146" s="37"/>
      <c r="WEK146" s="37"/>
      <c r="WEL146" s="37"/>
      <c r="WEM146" s="37"/>
      <c r="WEN146" s="37"/>
      <c r="WEO146" s="37"/>
      <c r="WEP146" s="37"/>
      <c r="WEQ146" s="37"/>
      <c r="WER146" s="37"/>
      <c r="WES146" s="37"/>
      <c r="WET146" s="37"/>
      <c r="WEU146" s="37"/>
      <c r="WEV146" s="37"/>
      <c r="WEW146" s="37"/>
      <c r="WEX146" s="37"/>
      <c r="WEY146" s="37"/>
      <c r="WEZ146" s="37"/>
      <c r="WFA146" s="37"/>
      <c r="WFB146" s="37"/>
      <c r="WFC146" s="37"/>
      <c r="WFD146" s="37"/>
      <c r="WFE146" s="37"/>
      <c r="WFF146" s="37"/>
      <c r="WFG146" s="37"/>
      <c r="WFH146" s="37"/>
      <c r="WFI146" s="37"/>
      <c r="WFJ146" s="37"/>
      <c r="WFK146" s="37"/>
      <c r="WFL146" s="37"/>
      <c r="WFM146" s="37"/>
      <c r="WFN146" s="37"/>
      <c r="WFO146" s="37"/>
      <c r="WFP146" s="37"/>
      <c r="WFQ146" s="37"/>
      <c r="WFR146" s="37"/>
      <c r="WFS146" s="37"/>
      <c r="WFT146" s="37"/>
      <c r="WFU146" s="37"/>
      <c r="WFV146" s="37"/>
      <c r="WFW146" s="37"/>
      <c r="WFX146" s="37"/>
      <c r="WFY146" s="37"/>
      <c r="WFZ146" s="37"/>
      <c r="WGA146" s="37"/>
      <c r="WGB146" s="37"/>
      <c r="WGC146" s="37"/>
      <c r="WGD146" s="37"/>
      <c r="WGE146" s="37"/>
      <c r="WGF146" s="37"/>
      <c r="WGG146" s="37"/>
      <c r="WGH146" s="37"/>
      <c r="WGI146" s="37"/>
      <c r="WGJ146" s="37"/>
      <c r="WGK146" s="37"/>
      <c r="WGL146" s="37"/>
      <c r="WGM146" s="37"/>
      <c r="WGN146" s="37"/>
      <c r="WGO146" s="37"/>
      <c r="WGP146" s="37"/>
      <c r="WGQ146" s="37"/>
      <c r="WGR146" s="37"/>
      <c r="WGS146" s="37"/>
      <c r="WGT146" s="37"/>
      <c r="WGU146" s="37"/>
      <c r="WGV146" s="37"/>
      <c r="WGW146" s="37"/>
      <c r="WGX146" s="37"/>
      <c r="WGY146" s="37"/>
      <c r="WGZ146" s="37"/>
      <c r="WHA146" s="37"/>
      <c r="WHB146" s="37"/>
      <c r="WHC146" s="37"/>
      <c r="WHD146" s="37"/>
      <c r="WHE146" s="37"/>
      <c r="WHF146" s="37"/>
      <c r="WHG146" s="37"/>
      <c r="WHH146" s="37"/>
      <c r="WHI146" s="37"/>
      <c r="WHJ146" s="37"/>
      <c r="WHK146" s="37"/>
      <c r="WHL146" s="37"/>
      <c r="WHM146" s="37"/>
      <c r="WHN146" s="37"/>
      <c r="WHO146" s="37"/>
      <c r="WHP146" s="37"/>
      <c r="WHQ146" s="37"/>
      <c r="WHR146" s="37"/>
      <c r="WHS146" s="37"/>
      <c r="WHT146" s="37"/>
      <c r="WHU146" s="37"/>
      <c r="WHV146" s="37"/>
      <c r="WHW146" s="37"/>
      <c r="WHX146" s="37"/>
      <c r="WHY146" s="37"/>
      <c r="WHZ146" s="37"/>
      <c r="WIA146" s="37"/>
      <c r="WIB146" s="37"/>
      <c r="WIC146" s="37"/>
      <c r="WID146" s="37"/>
      <c r="WIE146" s="37"/>
      <c r="WIF146" s="37"/>
      <c r="WIG146" s="37"/>
      <c r="WIH146" s="37"/>
      <c r="WII146" s="37"/>
      <c r="WIJ146" s="37"/>
      <c r="WIK146" s="37"/>
      <c r="WIL146" s="37"/>
      <c r="WIM146" s="37"/>
      <c r="WIN146" s="37"/>
      <c r="WIO146" s="37"/>
      <c r="WIP146" s="37"/>
      <c r="WIQ146" s="37"/>
      <c r="WIR146" s="37"/>
      <c r="WIS146" s="37"/>
      <c r="WIT146" s="37"/>
      <c r="WIU146" s="37"/>
      <c r="WIV146" s="37"/>
      <c r="WIW146" s="37"/>
      <c r="WIX146" s="37"/>
      <c r="WIY146" s="37"/>
      <c r="WIZ146" s="37"/>
      <c r="WJA146" s="37"/>
      <c r="WJB146" s="37"/>
      <c r="WJC146" s="37"/>
      <c r="WJD146" s="37"/>
      <c r="WJE146" s="37"/>
      <c r="WJF146" s="37"/>
      <c r="WJG146" s="37"/>
      <c r="WJH146" s="37"/>
      <c r="WJI146" s="37"/>
      <c r="WJJ146" s="37"/>
      <c r="WJK146" s="37"/>
      <c r="WJL146" s="37"/>
      <c r="WJM146" s="37"/>
      <c r="WJN146" s="37"/>
      <c r="WJO146" s="37"/>
      <c r="WJP146" s="37"/>
      <c r="WJQ146" s="37"/>
      <c r="WJR146" s="37"/>
      <c r="WJS146" s="37"/>
      <c r="WJT146" s="37"/>
      <c r="WJU146" s="37"/>
      <c r="WJV146" s="37"/>
      <c r="WJW146" s="37"/>
      <c r="WJX146" s="37"/>
      <c r="WJY146" s="37"/>
      <c r="WJZ146" s="37"/>
      <c r="WKA146" s="37"/>
      <c r="WKB146" s="37"/>
      <c r="WKC146" s="37"/>
      <c r="WKD146" s="37"/>
      <c r="WKE146" s="37"/>
      <c r="WKF146" s="37"/>
      <c r="WKG146" s="37"/>
      <c r="WKH146" s="37"/>
      <c r="WKI146" s="37"/>
      <c r="WKJ146" s="37"/>
      <c r="WKK146" s="37"/>
      <c r="WKL146" s="37"/>
      <c r="WKM146" s="37"/>
      <c r="WKN146" s="37"/>
      <c r="WKO146" s="37"/>
      <c r="WKP146" s="37"/>
      <c r="WKQ146" s="37"/>
      <c r="WKR146" s="37"/>
      <c r="WKS146" s="37"/>
      <c r="WKT146" s="37"/>
      <c r="WKU146" s="37"/>
      <c r="WKV146" s="37"/>
      <c r="WKW146" s="37"/>
      <c r="WKX146" s="37"/>
      <c r="WKY146" s="37"/>
      <c r="WKZ146" s="37"/>
      <c r="WLA146" s="37"/>
      <c r="WLB146" s="37"/>
      <c r="WLC146" s="37"/>
      <c r="WLD146" s="37"/>
      <c r="WLE146" s="37"/>
      <c r="WLF146" s="37"/>
      <c r="WLG146" s="37"/>
      <c r="WLH146" s="37"/>
      <c r="WLI146" s="37"/>
      <c r="WLJ146" s="37"/>
      <c r="WLK146" s="37"/>
      <c r="WLL146" s="37"/>
      <c r="WLM146" s="37"/>
      <c r="WLN146" s="37"/>
      <c r="WLO146" s="37"/>
      <c r="WLP146" s="37"/>
      <c r="WLQ146" s="37"/>
      <c r="WLR146" s="37"/>
      <c r="WLS146" s="37"/>
      <c r="WLT146" s="37"/>
      <c r="WLU146" s="37"/>
      <c r="WLV146" s="37"/>
      <c r="WLW146" s="37"/>
      <c r="WLX146" s="37"/>
      <c r="WLY146" s="37"/>
      <c r="WLZ146" s="37"/>
      <c r="WMA146" s="37"/>
      <c r="WMB146" s="37"/>
      <c r="WMC146" s="37"/>
      <c r="WMD146" s="37"/>
      <c r="WME146" s="37"/>
      <c r="WMF146" s="37"/>
      <c r="WMG146" s="37"/>
      <c r="WMH146" s="37"/>
      <c r="WMI146" s="37"/>
      <c r="WMJ146" s="37"/>
      <c r="WMK146" s="37"/>
      <c r="WML146" s="37"/>
      <c r="WMM146" s="37"/>
      <c r="WMN146" s="37"/>
      <c r="WMO146" s="37"/>
      <c r="WMP146" s="37"/>
      <c r="WMQ146" s="37"/>
      <c r="WMR146" s="37"/>
      <c r="WMS146" s="37"/>
      <c r="WMT146" s="37"/>
      <c r="WMU146" s="37"/>
      <c r="WMV146" s="37"/>
      <c r="WMW146" s="37"/>
      <c r="WMX146" s="37"/>
      <c r="WMY146" s="37"/>
      <c r="WMZ146" s="37"/>
      <c r="WNA146" s="37"/>
      <c r="WNB146" s="37"/>
      <c r="WNC146" s="37"/>
      <c r="WND146" s="37"/>
      <c r="WNE146" s="37"/>
      <c r="WNF146" s="37"/>
      <c r="WNG146" s="37"/>
      <c r="WNH146" s="37"/>
      <c r="WNI146" s="37"/>
      <c r="WNJ146" s="37"/>
      <c r="WNK146" s="37"/>
      <c r="WNL146" s="37"/>
      <c r="WNM146" s="37"/>
      <c r="WNN146" s="37"/>
      <c r="WNO146" s="37"/>
      <c r="WNP146" s="37"/>
      <c r="WNQ146" s="37"/>
      <c r="WNR146" s="37"/>
      <c r="WNS146" s="37"/>
      <c r="WNT146" s="37"/>
      <c r="WNU146" s="37"/>
      <c r="WNV146" s="37"/>
      <c r="WNW146" s="37"/>
      <c r="WNX146" s="37"/>
      <c r="WNY146" s="37"/>
      <c r="WNZ146" s="37"/>
      <c r="WOA146" s="37"/>
      <c r="WOB146" s="37"/>
      <c r="WOC146" s="37"/>
      <c r="WOD146" s="37"/>
      <c r="WOE146" s="37"/>
      <c r="WOF146" s="37"/>
      <c r="WOG146" s="37"/>
      <c r="WOH146" s="37"/>
      <c r="WOI146" s="37"/>
      <c r="WOJ146" s="37"/>
      <c r="WOK146" s="37"/>
      <c r="WOL146" s="37"/>
      <c r="WOM146" s="37"/>
      <c r="WON146" s="37"/>
      <c r="WOO146" s="37"/>
      <c r="WOP146" s="37"/>
      <c r="WOQ146" s="37"/>
      <c r="WOR146" s="37"/>
      <c r="WOS146" s="37"/>
      <c r="WOT146" s="37"/>
      <c r="WOU146" s="37"/>
      <c r="WOV146" s="37"/>
      <c r="WOW146" s="37"/>
      <c r="WOX146" s="37"/>
      <c r="WOY146" s="37"/>
      <c r="WOZ146" s="37"/>
      <c r="WPA146" s="37"/>
      <c r="WPB146" s="37"/>
      <c r="WPC146" s="37"/>
      <c r="WPD146" s="37"/>
      <c r="WPE146" s="37"/>
      <c r="WPF146" s="37"/>
      <c r="WPG146" s="37"/>
      <c r="WPH146" s="37"/>
      <c r="WPI146" s="37"/>
      <c r="WPJ146" s="37"/>
      <c r="WPK146" s="37"/>
      <c r="WPL146" s="37"/>
      <c r="WPM146" s="37"/>
      <c r="WPN146" s="37"/>
      <c r="WPO146" s="37"/>
      <c r="WPP146" s="37"/>
      <c r="WPQ146" s="37"/>
      <c r="WPR146" s="37"/>
      <c r="WPS146" s="37"/>
      <c r="WPT146" s="37"/>
      <c r="WPU146" s="37"/>
      <c r="WPV146" s="37"/>
      <c r="WPW146" s="37"/>
      <c r="WPX146" s="37"/>
      <c r="WPY146" s="37"/>
      <c r="WPZ146" s="37"/>
      <c r="WQA146" s="37"/>
      <c r="WQB146" s="37"/>
      <c r="WQC146" s="37"/>
      <c r="WQD146" s="37"/>
      <c r="WQE146" s="37"/>
      <c r="WQF146" s="37"/>
      <c r="WQG146" s="37"/>
      <c r="WQH146" s="37"/>
      <c r="WQI146" s="37"/>
      <c r="WQJ146" s="37"/>
      <c r="WQK146" s="37"/>
      <c r="WQL146" s="37"/>
      <c r="WQM146" s="37"/>
      <c r="WQN146" s="37"/>
      <c r="WQO146" s="37"/>
      <c r="WQP146" s="37"/>
      <c r="WQQ146" s="37"/>
      <c r="WQR146" s="37"/>
      <c r="WQS146" s="37"/>
      <c r="WQT146" s="37"/>
      <c r="WQU146" s="37"/>
      <c r="WQV146" s="37"/>
      <c r="WQW146" s="37"/>
      <c r="WQX146" s="37"/>
      <c r="WQY146" s="37"/>
      <c r="WQZ146" s="37"/>
      <c r="WRA146" s="37"/>
      <c r="WRB146" s="37"/>
      <c r="WRC146" s="37"/>
      <c r="WRD146" s="37"/>
      <c r="WRE146" s="37"/>
      <c r="WRF146" s="37"/>
      <c r="WRG146" s="37"/>
      <c r="WRH146" s="37"/>
      <c r="WRI146" s="37"/>
      <c r="WRJ146" s="37"/>
      <c r="WRK146" s="37"/>
      <c r="WRL146" s="37"/>
      <c r="WRM146" s="37"/>
      <c r="WRN146" s="37"/>
      <c r="WRO146" s="37"/>
      <c r="WRP146" s="37"/>
      <c r="WRQ146" s="37"/>
      <c r="WRR146" s="37"/>
      <c r="WRS146" s="37"/>
      <c r="WRT146" s="37"/>
      <c r="WRU146" s="37"/>
      <c r="WRV146" s="37"/>
      <c r="WRW146" s="37"/>
      <c r="WRX146" s="37"/>
      <c r="WRY146" s="37"/>
      <c r="WRZ146" s="37"/>
      <c r="WSA146" s="37"/>
      <c r="WSB146" s="37"/>
      <c r="WSC146" s="37"/>
      <c r="WSD146" s="37"/>
      <c r="WSE146" s="37"/>
      <c r="WSF146" s="37"/>
      <c r="WSG146" s="37"/>
      <c r="WSH146" s="37"/>
      <c r="WSI146" s="37"/>
      <c r="WSJ146" s="37"/>
      <c r="WSK146" s="37"/>
      <c r="WSL146" s="37"/>
      <c r="WSM146" s="37"/>
      <c r="WSN146" s="37"/>
      <c r="WSO146" s="37"/>
      <c r="WSP146" s="37"/>
      <c r="WSQ146" s="37"/>
      <c r="WSR146" s="37"/>
      <c r="WSS146" s="37"/>
      <c r="WST146" s="37"/>
      <c r="WSU146" s="37"/>
      <c r="WSV146" s="37"/>
      <c r="WSW146" s="37"/>
      <c r="WSX146" s="37"/>
      <c r="WSY146" s="37"/>
      <c r="WSZ146" s="37"/>
      <c r="WTA146" s="37"/>
      <c r="WTB146" s="37"/>
      <c r="WTC146" s="37"/>
      <c r="WTD146" s="37"/>
      <c r="WTE146" s="37"/>
      <c r="WTF146" s="37"/>
      <c r="WTG146" s="37"/>
      <c r="WTH146" s="37"/>
      <c r="WTI146" s="37"/>
      <c r="WTJ146" s="37"/>
      <c r="WTK146" s="37"/>
      <c r="WTL146" s="37"/>
      <c r="WTM146" s="37"/>
      <c r="WTN146" s="37"/>
      <c r="WTO146" s="37"/>
      <c r="WTP146" s="37"/>
      <c r="WTQ146" s="37"/>
      <c r="WTR146" s="37"/>
      <c r="WTS146" s="37"/>
      <c r="WTT146" s="37"/>
      <c r="WTU146" s="37"/>
      <c r="WTV146" s="37"/>
      <c r="WTW146" s="37"/>
      <c r="WTX146" s="37"/>
      <c r="WTY146" s="37"/>
      <c r="WTZ146" s="37"/>
      <c r="WUA146" s="37"/>
      <c r="WUB146" s="37"/>
      <c r="WUC146" s="37"/>
      <c r="WUD146" s="37"/>
      <c r="WUE146" s="37"/>
      <c r="WUF146" s="37"/>
      <c r="WUG146" s="37"/>
      <c r="WUH146" s="37"/>
      <c r="WUI146" s="37"/>
      <c r="WUJ146" s="37"/>
      <c r="WUK146" s="37"/>
      <c r="WUL146" s="37"/>
      <c r="WUM146" s="37"/>
      <c r="WUN146" s="37"/>
      <c r="WUO146" s="37"/>
      <c r="WUP146" s="37"/>
      <c r="WUQ146" s="37"/>
      <c r="WUR146" s="37"/>
      <c r="WUS146" s="37"/>
      <c r="WUT146" s="37"/>
      <c r="WUU146" s="37"/>
      <c r="WUV146" s="37"/>
      <c r="WUW146" s="37"/>
      <c r="WUX146" s="37"/>
      <c r="WUY146" s="37"/>
      <c r="WUZ146" s="37"/>
      <c r="WVA146" s="37"/>
      <c r="WVB146" s="37"/>
      <c r="WVC146" s="37"/>
      <c r="WVD146" s="37"/>
      <c r="WVE146" s="37"/>
      <c r="WVF146" s="37"/>
      <c r="WVG146" s="37"/>
      <c r="WVH146" s="37"/>
      <c r="WVI146" s="37"/>
      <c r="WVJ146" s="37"/>
      <c r="WVK146" s="37"/>
      <c r="WVL146" s="37"/>
      <c r="WVM146" s="37"/>
      <c r="WVN146" s="37"/>
      <c r="WVO146" s="37"/>
      <c r="WVP146" s="37"/>
      <c r="WVQ146" s="37"/>
      <c r="WVR146" s="37"/>
      <c r="WVS146" s="37"/>
      <c r="WVT146" s="37"/>
      <c r="WVU146" s="37"/>
      <c r="WVV146" s="37"/>
      <c r="WVW146" s="37"/>
      <c r="WVX146" s="37"/>
      <c r="WVY146" s="37"/>
      <c r="WVZ146" s="37"/>
      <c r="WWA146" s="37"/>
      <c r="WWB146" s="37"/>
      <c r="WWC146" s="37"/>
      <c r="WWD146" s="37"/>
      <c r="WWE146" s="37"/>
      <c r="WWF146" s="37"/>
      <c r="WWG146" s="37"/>
      <c r="WWH146" s="37"/>
      <c r="WWI146" s="37"/>
      <c r="WWJ146" s="37"/>
      <c r="WWK146" s="37"/>
      <c r="WWL146" s="37"/>
      <c r="WWM146" s="37"/>
      <c r="WWN146" s="37"/>
      <c r="WWO146" s="37"/>
      <c r="WWP146" s="37"/>
      <c r="WWQ146" s="37"/>
      <c r="WWR146" s="37"/>
      <c r="WWS146" s="37"/>
      <c r="WWT146" s="37"/>
      <c r="WWU146" s="37"/>
      <c r="WWV146" s="37"/>
      <c r="WWW146" s="37"/>
      <c r="WWX146" s="37"/>
      <c r="WWY146" s="37"/>
      <c r="WWZ146" s="37"/>
      <c r="WXA146" s="37"/>
      <c r="WXB146" s="37"/>
      <c r="WXC146" s="37"/>
      <c r="WXD146" s="37"/>
      <c r="WXE146" s="37"/>
      <c r="WXF146" s="37"/>
      <c r="WXG146" s="37"/>
      <c r="WXH146" s="37"/>
      <c r="WXI146" s="37"/>
      <c r="WXJ146" s="37"/>
      <c r="WXK146" s="37"/>
      <c r="WXL146" s="37"/>
      <c r="WXM146" s="37"/>
      <c r="WXN146" s="37"/>
      <c r="WXO146" s="37"/>
      <c r="WXP146" s="37"/>
      <c r="WXQ146" s="37"/>
      <c r="WXR146" s="37"/>
      <c r="WXS146" s="37"/>
      <c r="WXT146" s="37"/>
      <c r="WXU146" s="37"/>
      <c r="WXV146" s="37"/>
      <c r="WXW146" s="37"/>
      <c r="WXX146" s="37"/>
      <c r="WXY146" s="37"/>
      <c r="WXZ146" s="37"/>
      <c r="WYA146" s="37"/>
      <c r="WYB146" s="37"/>
      <c r="WYC146" s="37"/>
      <c r="WYD146" s="37"/>
      <c r="WYE146" s="37"/>
      <c r="WYF146" s="37"/>
      <c r="WYG146" s="37"/>
      <c r="WYH146" s="37"/>
      <c r="WYI146" s="37"/>
      <c r="WYJ146" s="37"/>
      <c r="WYK146" s="37"/>
      <c r="WYL146" s="37"/>
      <c r="WYM146" s="37"/>
      <c r="WYN146" s="37"/>
      <c r="WYO146" s="37"/>
      <c r="WYP146" s="37"/>
      <c r="WYQ146" s="37"/>
      <c r="WYR146" s="37"/>
      <c r="WYS146" s="37"/>
      <c r="WYT146" s="37"/>
      <c r="WYU146" s="37"/>
      <c r="WYV146" s="37"/>
      <c r="WYW146" s="37"/>
      <c r="WYX146" s="37"/>
      <c r="WYY146" s="37"/>
      <c r="WYZ146" s="37"/>
      <c r="WZA146" s="37"/>
      <c r="WZB146" s="37"/>
      <c r="WZC146" s="37"/>
      <c r="WZD146" s="37"/>
      <c r="WZE146" s="37"/>
      <c r="WZF146" s="37"/>
      <c r="WZG146" s="37"/>
      <c r="WZH146" s="37"/>
      <c r="WZI146" s="37"/>
      <c r="WZJ146" s="37"/>
      <c r="WZK146" s="37"/>
      <c r="WZL146" s="37"/>
      <c r="WZM146" s="37"/>
      <c r="WZN146" s="37"/>
      <c r="WZO146" s="37"/>
      <c r="WZP146" s="37"/>
      <c r="WZQ146" s="37"/>
      <c r="WZR146" s="37"/>
      <c r="WZS146" s="37"/>
      <c r="WZT146" s="37"/>
      <c r="WZU146" s="37"/>
      <c r="WZV146" s="37"/>
      <c r="WZW146" s="37"/>
      <c r="WZX146" s="37"/>
      <c r="WZY146" s="37"/>
      <c r="WZZ146" s="37"/>
      <c r="XAA146" s="37"/>
      <c r="XAB146" s="37"/>
      <c r="XAC146" s="37"/>
      <c r="XAD146" s="37"/>
      <c r="XAE146" s="37"/>
      <c r="XAF146" s="37"/>
      <c r="XAG146" s="37"/>
      <c r="XAH146" s="37"/>
      <c r="XAI146" s="37"/>
      <c r="XAJ146" s="37"/>
      <c r="XAK146" s="37"/>
      <c r="XAL146" s="37"/>
      <c r="XAM146" s="37"/>
      <c r="XAN146" s="37"/>
      <c r="XAO146" s="37"/>
      <c r="XAP146" s="37"/>
      <c r="XAQ146" s="37"/>
      <c r="XAR146" s="37"/>
      <c r="XAS146" s="37"/>
      <c r="XAT146" s="37"/>
      <c r="XAU146" s="37"/>
      <c r="XAV146" s="37"/>
      <c r="XAW146" s="37"/>
      <c r="XAX146" s="37"/>
      <c r="XAY146" s="37"/>
      <c r="XAZ146" s="37"/>
      <c r="XBA146" s="37"/>
      <c r="XBB146" s="37"/>
      <c r="XBC146" s="37"/>
      <c r="XBD146" s="37"/>
      <c r="XBE146" s="37"/>
      <c r="XBF146" s="37"/>
      <c r="XBG146" s="37"/>
      <c r="XBH146" s="37"/>
      <c r="XBI146" s="37"/>
      <c r="XBJ146" s="37"/>
      <c r="XBK146" s="37"/>
      <c r="XBL146" s="37"/>
      <c r="XBM146" s="37"/>
      <c r="XBN146" s="37"/>
      <c r="XBO146" s="37"/>
      <c r="XBP146" s="37"/>
      <c r="XBQ146" s="37"/>
      <c r="XBR146" s="37"/>
      <c r="XBS146" s="37"/>
      <c r="XBT146" s="37"/>
      <c r="XBU146" s="37"/>
      <c r="XBV146" s="37"/>
      <c r="XBW146" s="37"/>
      <c r="XBX146" s="37"/>
      <c r="XBY146" s="37"/>
      <c r="XBZ146" s="37"/>
      <c r="XCA146" s="37"/>
      <c r="XCB146" s="37"/>
      <c r="XCC146" s="37"/>
      <c r="XCD146" s="37"/>
      <c r="XCE146" s="37"/>
      <c r="XCF146" s="37"/>
      <c r="XCG146" s="37"/>
      <c r="XCH146" s="37"/>
      <c r="XCI146" s="37"/>
      <c r="XCJ146" s="37"/>
      <c r="XCK146" s="37"/>
      <c r="XCL146" s="37"/>
      <c r="XCM146" s="37"/>
      <c r="XCN146" s="37"/>
      <c r="XCO146" s="37"/>
      <c r="XCP146" s="37"/>
      <c r="XCQ146" s="37"/>
      <c r="XCR146" s="37"/>
      <c r="XCS146" s="37"/>
      <c r="XCT146" s="37"/>
      <c r="XCU146" s="37"/>
      <c r="XCV146" s="37"/>
      <c r="XCW146" s="37"/>
      <c r="XCX146" s="37"/>
      <c r="XCY146" s="37"/>
      <c r="XCZ146" s="37"/>
      <c r="XDA146" s="37"/>
      <c r="XDB146" s="37"/>
      <c r="XDC146" s="37"/>
      <c r="XDD146" s="37"/>
      <c r="XDE146" s="37"/>
      <c r="XDF146" s="37"/>
      <c r="XDG146" s="37"/>
      <c r="XDH146" s="37"/>
      <c r="XDI146" s="37"/>
      <c r="XDJ146" s="37"/>
      <c r="XDK146" s="37"/>
      <c r="XDL146" s="37"/>
      <c r="XDM146" s="37"/>
      <c r="XDN146" s="37"/>
      <c r="XDO146" s="37"/>
      <c r="XDP146" s="37"/>
      <c r="XDQ146" s="37"/>
      <c r="XDR146" s="37"/>
      <c r="XDS146" s="37"/>
      <c r="XDT146" s="37"/>
      <c r="XDU146" s="37"/>
      <c r="XDV146" s="37"/>
      <c r="XDW146" s="37"/>
      <c r="XDX146" s="37"/>
      <c r="XDY146" s="37"/>
      <c r="XDZ146" s="37"/>
      <c r="XEA146" s="37"/>
      <c r="XEB146" s="37"/>
      <c r="XEC146" s="37"/>
      <c r="XED146" s="37"/>
      <c r="XEE146" s="37"/>
      <c r="XEF146" s="37"/>
      <c r="XEG146" s="37"/>
      <c r="XEH146" s="37"/>
      <c r="XEI146" s="37"/>
      <c r="XEJ146" s="37"/>
      <c r="XEK146" s="37"/>
      <c r="XEL146" s="37"/>
      <c r="XEM146" s="37"/>
      <c r="XEN146" s="37"/>
      <c r="XEO146" s="37"/>
      <c r="XEP146" s="37"/>
      <c r="XEQ146" s="37"/>
      <c r="XER146" s="37"/>
      <c r="XES146" s="37"/>
      <c r="XET146" s="37"/>
      <c r="XEU146" s="37"/>
      <c r="XEV146" s="37"/>
      <c r="XEW146" s="37"/>
      <c r="XEX146" s="37"/>
      <c r="XEY146" s="37"/>
      <c r="XEZ146" s="37"/>
      <c r="XFA146" s="37"/>
      <c r="XFB146" s="37"/>
      <c r="XFC146" s="37"/>
    </row>
    <row r="147" spans="1:16383" ht="15" customHeight="1">
      <c r="A147" s="24" t="s">
        <v>1094</v>
      </c>
      <c r="B147" s="25"/>
      <c r="C147" s="26">
        <v>42675</v>
      </c>
      <c r="D147" s="38" t="s">
        <v>29</v>
      </c>
      <c r="E147" s="38" t="s">
        <v>29</v>
      </c>
      <c r="F147" s="38" t="s">
        <v>69</v>
      </c>
      <c r="G147" s="38">
        <v>3</v>
      </c>
      <c r="H147" s="39" t="s">
        <v>1095</v>
      </c>
      <c r="I147" s="39" t="s">
        <v>1096</v>
      </c>
      <c r="J147" s="39" t="s">
        <v>1097</v>
      </c>
      <c r="K147" s="39" t="s">
        <v>1098</v>
      </c>
      <c r="L147" s="39" t="s">
        <v>183</v>
      </c>
      <c r="M147" s="45" t="s">
        <v>1099</v>
      </c>
      <c r="N147" s="40" t="s">
        <v>13</v>
      </c>
      <c r="O147" s="94">
        <v>42577.416666666664</v>
      </c>
      <c r="P147" s="41" t="s">
        <v>1100</v>
      </c>
      <c r="Q147" s="41" t="s">
        <v>41</v>
      </c>
      <c r="R147" s="42" t="s">
        <v>39</v>
      </c>
      <c r="S147" s="43">
        <v>42401</v>
      </c>
      <c r="T147" s="44" t="s">
        <v>159</v>
      </c>
      <c r="U147" s="52">
        <v>42612</v>
      </c>
      <c r="W147" s="54" t="s">
        <v>1101</v>
      </c>
      <c r="X147" s="50" t="s">
        <v>80</v>
      </c>
      <c r="Y147" s="38">
        <v>226</v>
      </c>
      <c r="Z147" s="231" t="s">
        <v>44</v>
      </c>
      <c r="AA147" s="25">
        <f t="shared" si="2"/>
        <v>0</v>
      </c>
    </row>
    <row r="148" spans="1:16383" ht="15" customHeight="1">
      <c r="A148" s="24" t="s">
        <v>1102</v>
      </c>
      <c r="B148" s="203"/>
      <c r="C148" s="26">
        <v>42755</v>
      </c>
      <c r="D148" s="38" t="s">
        <v>29</v>
      </c>
      <c r="E148" s="38" t="s">
        <v>29</v>
      </c>
      <c r="F148" s="38" t="s">
        <v>30</v>
      </c>
      <c r="G148" s="38">
        <v>4</v>
      </c>
      <c r="H148" s="39" t="s">
        <v>1103</v>
      </c>
      <c r="I148" s="39" t="s">
        <v>1104</v>
      </c>
      <c r="J148" s="39" t="s">
        <v>1105</v>
      </c>
      <c r="K148" s="39" t="s">
        <v>1106</v>
      </c>
      <c r="L148" s="39" t="s">
        <v>100</v>
      </c>
      <c r="M148" s="45" t="s">
        <v>1107</v>
      </c>
      <c r="N148" s="40" t="s">
        <v>13</v>
      </c>
      <c r="O148" s="94">
        <v>42584.416666666664</v>
      </c>
      <c r="P148" s="41" t="s">
        <v>169</v>
      </c>
      <c r="Q148" s="41" t="s">
        <v>169</v>
      </c>
      <c r="R148" s="42" t="s">
        <v>77</v>
      </c>
      <c r="T148" s="44" t="s">
        <v>219</v>
      </c>
      <c r="U148" s="52">
        <v>42703</v>
      </c>
      <c r="W148" s="54" t="s">
        <v>1108</v>
      </c>
      <c r="X148" s="50" t="s">
        <v>57</v>
      </c>
      <c r="Y148" s="38">
        <v>319</v>
      </c>
      <c r="Z148" s="231" t="s">
        <v>44</v>
      </c>
      <c r="AA148" s="25">
        <f t="shared" si="2"/>
        <v>0</v>
      </c>
    </row>
    <row r="149" spans="1:16383" ht="15" customHeight="1">
      <c r="A149" s="24" t="s">
        <v>1109</v>
      </c>
      <c r="B149" s="25" t="s">
        <v>1110</v>
      </c>
      <c r="C149" s="26">
        <v>42681</v>
      </c>
      <c r="D149" s="38" t="s">
        <v>29</v>
      </c>
      <c r="E149" s="38" t="s">
        <v>29</v>
      </c>
      <c r="F149" s="38" t="s">
        <v>69</v>
      </c>
      <c r="G149" s="38">
        <v>2</v>
      </c>
      <c r="H149" s="39" t="s">
        <v>1111</v>
      </c>
      <c r="I149" s="39" t="s">
        <v>1112</v>
      </c>
      <c r="J149" s="39" t="s">
        <v>1113</v>
      </c>
      <c r="K149" s="39" t="s">
        <v>1114</v>
      </c>
      <c r="L149" s="39" t="s">
        <v>100</v>
      </c>
      <c r="M149" s="45" t="s">
        <v>1115</v>
      </c>
      <c r="N149" s="158" t="s">
        <v>1116</v>
      </c>
      <c r="O149" s="95">
        <v>42586.416666666664</v>
      </c>
      <c r="P149" s="41" t="s">
        <v>41</v>
      </c>
      <c r="Q149" s="41" t="s">
        <v>41</v>
      </c>
      <c r="R149" s="42" t="s">
        <v>77</v>
      </c>
      <c r="T149" s="44" t="s">
        <v>65</v>
      </c>
      <c r="U149" s="52">
        <v>42628</v>
      </c>
      <c r="V149" s="48" t="s">
        <v>1117</v>
      </c>
      <c r="W149" s="54" t="s">
        <v>1118</v>
      </c>
      <c r="X149" s="50" t="s">
        <v>80</v>
      </c>
      <c r="Y149" s="38">
        <v>177</v>
      </c>
      <c r="Z149" s="25" t="s">
        <v>44</v>
      </c>
      <c r="AA149" s="25">
        <f t="shared" si="2"/>
        <v>0</v>
      </c>
    </row>
    <row r="150" spans="1:16383" ht="15" customHeight="1">
      <c r="A150" s="233" t="s">
        <v>1119</v>
      </c>
      <c r="B150" s="25" t="s">
        <v>196</v>
      </c>
      <c r="C150" s="26">
        <v>42711</v>
      </c>
      <c r="D150" s="38" t="s">
        <v>94</v>
      </c>
      <c r="E150" s="38" t="s">
        <v>29</v>
      </c>
      <c r="F150" s="38" t="s">
        <v>69</v>
      </c>
      <c r="G150" s="38">
        <v>1</v>
      </c>
      <c r="H150" s="39" t="s">
        <v>197</v>
      </c>
      <c r="I150" s="39" t="s">
        <v>198</v>
      </c>
      <c r="J150" s="25" t="s">
        <v>199</v>
      </c>
      <c r="K150" s="25" t="s">
        <v>200</v>
      </c>
      <c r="L150" s="39" t="s">
        <v>201</v>
      </c>
      <c r="M150" s="45" t="s">
        <v>1120</v>
      </c>
      <c r="N150" s="40" t="s">
        <v>13</v>
      </c>
      <c r="O150" s="94">
        <v>42669.458333333336</v>
      </c>
      <c r="P150" s="41" t="s">
        <v>202</v>
      </c>
      <c r="Q150" s="41" t="s">
        <v>202</v>
      </c>
      <c r="R150" s="42" t="s">
        <v>77</v>
      </c>
      <c r="T150" s="44" t="s">
        <v>78</v>
      </c>
      <c r="U150" s="52">
        <v>42712</v>
      </c>
      <c r="W150" s="216" t="s">
        <v>203</v>
      </c>
      <c r="X150" s="50" t="s">
        <v>204</v>
      </c>
      <c r="Y150" s="38">
        <v>32</v>
      </c>
      <c r="Z150" s="231" t="s">
        <v>44</v>
      </c>
      <c r="AA150" s="25">
        <f t="shared" si="2"/>
        <v>0</v>
      </c>
    </row>
    <row r="151" spans="1:16383" ht="15" customHeight="1">
      <c r="A151" s="24" t="s">
        <v>1121</v>
      </c>
      <c r="B151" s="25"/>
      <c r="C151" s="26">
        <v>42723</v>
      </c>
      <c r="D151" s="38" t="s">
        <v>29</v>
      </c>
      <c r="E151" s="38" t="s">
        <v>94</v>
      </c>
      <c r="F151" s="38" t="s">
        <v>95</v>
      </c>
      <c r="G151" s="38">
        <v>5</v>
      </c>
      <c r="H151" s="39" t="s">
        <v>390</v>
      </c>
      <c r="I151" s="39" t="s">
        <v>1122</v>
      </c>
      <c r="J151" s="39" t="s">
        <v>1123</v>
      </c>
      <c r="K151" s="25" t="s">
        <v>1124</v>
      </c>
      <c r="L151" s="39" t="s">
        <v>652</v>
      </c>
      <c r="M151" s="45" t="s">
        <v>1125</v>
      </c>
      <c r="N151" s="40" t="s">
        <v>13</v>
      </c>
      <c r="O151" s="94">
        <v>42598.375</v>
      </c>
      <c r="P151" s="41" t="s">
        <v>102</v>
      </c>
      <c r="Q151" s="41" t="s">
        <v>102</v>
      </c>
      <c r="R151" s="42" t="s">
        <v>77</v>
      </c>
      <c r="T151" s="44" t="s">
        <v>193</v>
      </c>
      <c r="U151" s="52">
        <v>42675</v>
      </c>
      <c r="W151" s="54" t="s">
        <v>1126</v>
      </c>
      <c r="X151" s="50" t="s">
        <v>104</v>
      </c>
      <c r="Y151" s="38">
        <v>312</v>
      </c>
      <c r="Z151" s="25" t="s">
        <v>44</v>
      </c>
      <c r="AA151" s="25">
        <f t="shared" si="2"/>
        <v>0</v>
      </c>
      <c r="AB151" s="24" t="s">
        <v>1127</v>
      </c>
    </row>
    <row r="152" spans="1:16383" ht="15" customHeight="1">
      <c r="A152" s="24" t="s">
        <v>1128</v>
      </c>
      <c r="B152" s="25"/>
      <c r="C152" s="26">
        <v>42747</v>
      </c>
      <c r="D152" s="38" t="s">
        <v>29</v>
      </c>
      <c r="E152" s="38" t="s">
        <v>29</v>
      </c>
      <c r="F152" s="38" t="s">
        <v>95</v>
      </c>
      <c r="G152" s="38">
        <v>6</v>
      </c>
      <c r="H152" s="39" t="s">
        <v>274</v>
      </c>
      <c r="I152" s="39" t="s">
        <v>1129</v>
      </c>
      <c r="J152" s="39" t="s">
        <v>1130</v>
      </c>
      <c r="K152" s="39" t="s">
        <v>1131</v>
      </c>
      <c r="L152" s="39" t="s">
        <v>1132</v>
      </c>
      <c r="M152" s="45" t="s">
        <v>1133</v>
      </c>
      <c r="N152" s="40" t="s">
        <v>13</v>
      </c>
      <c r="O152" s="94">
        <v>42684.395833333336</v>
      </c>
      <c r="P152" s="41" t="s">
        <v>54</v>
      </c>
      <c r="Q152" s="41" t="s">
        <v>54</v>
      </c>
      <c r="R152" s="42" t="s">
        <v>39</v>
      </c>
      <c r="S152" s="43">
        <v>42461</v>
      </c>
      <c r="T152" s="44" t="s">
        <v>193</v>
      </c>
      <c r="U152" s="52">
        <v>42714</v>
      </c>
      <c r="W152" s="54" t="s">
        <v>1134</v>
      </c>
      <c r="X152" s="50" t="s">
        <v>57</v>
      </c>
      <c r="Y152" s="38">
        <v>345</v>
      </c>
      <c r="Z152" s="25" t="s">
        <v>44</v>
      </c>
      <c r="AA152" s="25">
        <f t="shared" si="2"/>
        <v>0</v>
      </c>
    </row>
    <row r="153" spans="1:16383" ht="15" customHeight="1">
      <c r="A153" s="24" t="s">
        <v>1135</v>
      </c>
      <c r="B153" s="25"/>
      <c r="C153" s="26">
        <v>42676</v>
      </c>
      <c r="D153" s="38" t="s">
        <v>29</v>
      </c>
      <c r="E153" s="38" t="s">
        <v>29</v>
      </c>
      <c r="F153" s="38" t="s">
        <v>47</v>
      </c>
      <c r="G153" s="38">
        <v>3</v>
      </c>
      <c r="H153" s="24" t="s">
        <v>1136</v>
      </c>
      <c r="I153" s="39" t="s">
        <v>1137</v>
      </c>
      <c r="J153" s="24" t="s">
        <v>1138</v>
      </c>
      <c r="K153" s="25" t="s">
        <v>1139</v>
      </c>
      <c r="L153" s="39" t="s">
        <v>1140</v>
      </c>
      <c r="M153" s="45" t="s">
        <v>1141</v>
      </c>
      <c r="N153" s="40" t="s">
        <v>13</v>
      </c>
      <c r="O153" s="94">
        <v>42587.375</v>
      </c>
      <c r="P153" s="41" t="s">
        <v>41</v>
      </c>
      <c r="Q153" s="41" t="s">
        <v>41</v>
      </c>
      <c r="R153" s="42" t="s">
        <v>77</v>
      </c>
      <c r="T153" s="44" t="s">
        <v>159</v>
      </c>
      <c r="U153" s="52">
        <v>42644</v>
      </c>
      <c r="W153" s="54" t="s">
        <v>1142</v>
      </c>
      <c r="X153" s="50" t="s">
        <v>1143</v>
      </c>
      <c r="Y153" s="38">
        <v>270</v>
      </c>
      <c r="Z153" s="25" t="s">
        <v>44</v>
      </c>
      <c r="AA153" s="25">
        <f t="shared" si="2"/>
        <v>0</v>
      </c>
    </row>
    <row r="154" spans="1:16383" ht="15" customHeight="1">
      <c r="A154" s="24" t="s">
        <v>1144</v>
      </c>
      <c r="B154" s="25" t="s">
        <v>582</v>
      </c>
      <c r="C154" s="26">
        <v>42724</v>
      </c>
      <c r="D154" s="38" t="s">
        <v>29</v>
      </c>
      <c r="E154" s="38" t="s">
        <v>29</v>
      </c>
      <c r="F154" s="38" t="s">
        <v>95</v>
      </c>
      <c r="G154" s="38">
        <v>1</v>
      </c>
      <c r="H154" s="39" t="s">
        <v>31</v>
      </c>
      <c r="I154" s="39" t="s">
        <v>583</v>
      </c>
      <c r="J154" s="39" t="s">
        <v>584</v>
      </c>
      <c r="K154" s="39" t="s">
        <v>585</v>
      </c>
      <c r="L154" s="39" t="s">
        <v>586</v>
      </c>
      <c r="M154" s="45" t="s">
        <v>1145</v>
      </c>
      <c r="N154" s="158" t="s">
        <v>1146</v>
      </c>
      <c r="O154" s="95">
        <v>42660</v>
      </c>
      <c r="R154" s="42" t="s">
        <v>77</v>
      </c>
      <c r="T154" s="44" t="s">
        <v>78</v>
      </c>
      <c r="U154" s="52">
        <v>42705</v>
      </c>
      <c r="W154" s="54" t="s">
        <v>589</v>
      </c>
      <c r="X154" s="50" t="s">
        <v>149</v>
      </c>
      <c r="Y154" s="38">
        <v>55</v>
      </c>
      <c r="Z154" s="25" t="s">
        <v>44</v>
      </c>
      <c r="AA154" s="25">
        <f t="shared" si="2"/>
        <v>0</v>
      </c>
    </row>
    <row r="155" spans="1:16383" ht="15" customHeight="1">
      <c r="A155" s="24" t="s">
        <v>1147</v>
      </c>
      <c r="B155" s="25" t="s">
        <v>1110</v>
      </c>
      <c r="C155" s="26">
        <v>42681</v>
      </c>
      <c r="D155" s="38" t="s">
        <v>29</v>
      </c>
      <c r="E155" s="38" t="s">
        <v>29</v>
      </c>
      <c r="F155" s="38" t="s">
        <v>47</v>
      </c>
      <c r="G155" s="38">
        <v>1</v>
      </c>
      <c r="H155" s="39" t="s">
        <v>1111</v>
      </c>
      <c r="I155" s="39" t="s">
        <v>1112</v>
      </c>
      <c r="J155" s="39" t="s">
        <v>1113</v>
      </c>
      <c r="K155" s="39" t="s">
        <v>1114</v>
      </c>
      <c r="L155" s="39" t="s">
        <v>100</v>
      </c>
      <c r="M155" s="45" t="s">
        <v>1148</v>
      </c>
      <c r="N155" s="158" t="s">
        <v>1149</v>
      </c>
      <c r="O155" s="95">
        <v>42586.416666666664</v>
      </c>
      <c r="P155" s="41" t="s">
        <v>41</v>
      </c>
      <c r="Q155" s="41" t="s">
        <v>41</v>
      </c>
      <c r="R155" s="42" t="s">
        <v>77</v>
      </c>
      <c r="T155" s="44" t="s">
        <v>78</v>
      </c>
      <c r="U155" s="52">
        <v>42656</v>
      </c>
      <c r="W155" s="54" t="s">
        <v>1118</v>
      </c>
      <c r="X155" s="50" t="s">
        <v>80</v>
      </c>
      <c r="Y155" s="38">
        <v>99</v>
      </c>
      <c r="Z155" s="231" t="s">
        <v>44</v>
      </c>
      <c r="AA155" s="25">
        <f t="shared" si="2"/>
        <v>0</v>
      </c>
    </row>
    <row r="156" spans="1:16383" ht="15" customHeight="1">
      <c r="A156" s="24" t="s">
        <v>1150</v>
      </c>
      <c r="B156" s="25" t="s">
        <v>573</v>
      </c>
      <c r="C156" s="26">
        <v>42716</v>
      </c>
      <c r="D156" s="38" t="s">
        <v>29</v>
      </c>
      <c r="E156" s="38" t="s">
        <v>29</v>
      </c>
      <c r="F156" s="38" t="s">
        <v>95</v>
      </c>
      <c r="G156" s="38">
        <v>3</v>
      </c>
      <c r="H156" s="39" t="s">
        <v>574</v>
      </c>
      <c r="I156" s="39" t="s">
        <v>575</v>
      </c>
      <c r="J156" s="39" t="s">
        <v>576</v>
      </c>
      <c r="K156" s="39" t="s">
        <v>577</v>
      </c>
      <c r="L156" s="39" t="s">
        <v>376</v>
      </c>
      <c r="M156" s="45" t="s">
        <v>1151</v>
      </c>
      <c r="N156" s="40" t="s">
        <v>579</v>
      </c>
      <c r="O156" s="94">
        <v>42626.541666666664</v>
      </c>
      <c r="P156" s="41" t="s">
        <v>102</v>
      </c>
      <c r="Q156" s="41" t="s">
        <v>102</v>
      </c>
      <c r="R156" s="42" t="s">
        <v>39</v>
      </c>
      <c r="S156" s="43">
        <v>42461</v>
      </c>
      <c r="T156" s="44" t="s">
        <v>159</v>
      </c>
      <c r="U156" s="52">
        <v>42689</v>
      </c>
      <c r="W156" s="216" t="s">
        <v>580</v>
      </c>
      <c r="X156" s="50" t="s">
        <v>149</v>
      </c>
      <c r="Y156" s="38">
        <v>142</v>
      </c>
      <c r="Z156" s="25" t="s">
        <v>44</v>
      </c>
      <c r="AA156" s="25">
        <f t="shared" si="2"/>
        <v>0</v>
      </c>
    </row>
    <row r="157" spans="1:16383" ht="15" customHeight="1">
      <c r="A157" s="24" t="s">
        <v>1152</v>
      </c>
      <c r="B157" s="25"/>
      <c r="C157" s="26">
        <v>42698</v>
      </c>
      <c r="D157" s="38" t="s">
        <v>29</v>
      </c>
      <c r="E157" s="38" t="s">
        <v>29</v>
      </c>
      <c r="F157" s="38" t="s">
        <v>69</v>
      </c>
      <c r="G157" s="38">
        <v>9</v>
      </c>
      <c r="H157" s="39" t="s">
        <v>530</v>
      </c>
      <c r="I157" s="39" t="s">
        <v>1153</v>
      </c>
      <c r="J157" s="39" t="s">
        <v>1154</v>
      </c>
      <c r="K157" s="39" t="s">
        <v>1155</v>
      </c>
      <c r="L157" s="39" t="s">
        <v>1156</v>
      </c>
      <c r="M157" s="45" t="s">
        <v>1157</v>
      </c>
      <c r="N157" s="158" t="s">
        <v>13</v>
      </c>
      <c r="O157" s="95">
        <v>42649.416666666664</v>
      </c>
      <c r="P157" s="41" t="s">
        <v>41</v>
      </c>
      <c r="Q157" s="41" t="s">
        <v>41</v>
      </c>
      <c r="R157" s="42" t="s">
        <v>39</v>
      </c>
      <c r="S157" s="43">
        <v>42430</v>
      </c>
      <c r="T157" s="44" t="s">
        <v>170</v>
      </c>
      <c r="U157" s="52">
        <v>42665</v>
      </c>
      <c r="W157" s="54" t="s">
        <v>1158</v>
      </c>
      <c r="X157" s="50" t="s">
        <v>80</v>
      </c>
      <c r="Y157" s="38">
        <v>490</v>
      </c>
      <c r="Z157" s="203" t="s">
        <v>44</v>
      </c>
      <c r="AA157" s="25">
        <f t="shared" si="2"/>
        <v>0</v>
      </c>
    </row>
    <row r="158" spans="1:16383" ht="15" customHeight="1">
      <c r="A158" s="24" t="s">
        <v>1159</v>
      </c>
      <c r="B158" s="25"/>
      <c r="C158" s="26">
        <v>42670</v>
      </c>
      <c r="D158" s="38" t="s">
        <v>29</v>
      </c>
      <c r="E158" s="38" t="s">
        <v>29</v>
      </c>
      <c r="F158" s="38" t="s">
        <v>47</v>
      </c>
      <c r="G158" s="38">
        <v>6</v>
      </c>
      <c r="H158" s="39" t="s">
        <v>1160</v>
      </c>
      <c r="I158" s="39" t="s">
        <v>1161</v>
      </c>
      <c r="J158" s="39" t="s">
        <v>1162</v>
      </c>
      <c r="K158" s="39" t="s">
        <v>1163</v>
      </c>
      <c r="L158" s="39" t="s">
        <v>1164</v>
      </c>
      <c r="M158" s="45" t="s">
        <v>1165</v>
      </c>
      <c r="N158" s="40" t="s">
        <v>13</v>
      </c>
      <c r="O158" s="94">
        <v>42586.416666666664</v>
      </c>
      <c r="P158" s="41" t="s">
        <v>54</v>
      </c>
      <c r="Q158" s="41" t="s">
        <v>54</v>
      </c>
      <c r="R158" s="42" t="s">
        <v>77</v>
      </c>
      <c r="T158" s="44" t="s">
        <v>40</v>
      </c>
      <c r="U158" s="52">
        <v>42643</v>
      </c>
      <c r="W158" s="54" t="s">
        <v>1166</v>
      </c>
      <c r="X158" s="50" t="s">
        <v>57</v>
      </c>
      <c r="Y158" s="38">
        <v>473</v>
      </c>
      <c r="Z158" s="25" t="s">
        <v>44</v>
      </c>
      <c r="AA158" s="25">
        <f t="shared" si="2"/>
        <v>0</v>
      </c>
    </row>
    <row r="159" spans="1:16383" ht="15" customHeight="1">
      <c r="A159" s="24" t="s">
        <v>1167</v>
      </c>
      <c r="B159" s="25" t="s">
        <v>324</v>
      </c>
      <c r="C159" s="26">
        <v>42726</v>
      </c>
      <c r="D159" s="38" t="s">
        <v>94</v>
      </c>
      <c r="E159" s="38" t="s">
        <v>29</v>
      </c>
      <c r="F159" s="38" t="s">
        <v>69</v>
      </c>
      <c r="G159" s="38">
        <v>2</v>
      </c>
      <c r="H159" s="39" t="s">
        <v>325</v>
      </c>
      <c r="I159" s="39" t="s">
        <v>326</v>
      </c>
      <c r="J159" s="39" t="s">
        <v>327</v>
      </c>
      <c r="K159" s="39" t="s">
        <v>328</v>
      </c>
      <c r="L159" s="39" t="s">
        <v>100</v>
      </c>
      <c r="M159" s="45" t="s">
        <v>1168</v>
      </c>
      <c r="N159" s="40" t="s">
        <v>13</v>
      </c>
      <c r="O159" s="94">
        <v>42681.604166666664</v>
      </c>
      <c r="P159" s="41" t="s">
        <v>76</v>
      </c>
      <c r="Q159" s="41" t="s">
        <v>76</v>
      </c>
      <c r="R159" s="42" t="s">
        <v>77</v>
      </c>
      <c r="T159" s="44" t="s">
        <v>65</v>
      </c>
      <c r="U159" s="52">
        <v>42724</v>
      </c>
      <c r="W159" s="216" t="s">
        <v>329</v>
      </c>
      <c r="X159" s="50" t="s">
        <v>204</v>
      </c>
      <c r="Y159" s="38">
        <v>112</v>
      </c>
      <c r="Z159" s="25" t="s">
        <v>44</v>
      </c>
      <c r="AA159" s="25">
        <f t="shared" si="2"/>
        <v>0</v>
      </c>
    </row>
    <row r="160" spans="1:16383" ht="15" customHeight="1">
      <c r="A160" s="24" t="s">
        <v>1169</v>
      </c>
      <c r="B160" s="25"/>
      <c r="C160" s="26">
        <v>42745</v>
      </c>
      <c r="D160" s="38" t="s">
        <v>94</v>
      </c>
      <c r="E160" s="38" t="s">
        <v>29</v>
      </c>
      <c r="F160" s="38" t="s">
        <v>30</v>
      </c>
      <c r="G160" s="38">
        <v>4</v>
      </c>
      <c r="H160" s="39" t="s">
        <v>1170</v>
      </c>
      <c r="I160" s="39" t="s">
        <v>1171</v>
      </c>
      <c r="J160" s="39" t="s">
        <v>1172</v>
      </c>
      <c r="K160" s="39" t="s">
        <v>1173</v>
      </c>
      <c r="L160" s="39" t="s">
        <v>1174</v>
      </c>
      <c r="M160" s="45" t="s">
        <v>1175</v>
      </c>
      <c r="N160" s="158" t="s">
        <v>13</v>
      </c>
      <c r="O160" s="94">
        <v>42661.416666666664</v>
      </c>
      <c r="P160" s="41" t="s">
        <v>202</v>
      </c>
      <c r="Q160" s="41" t="s">
        <v>202</v>
      </c>
      <c r="R160" s="42" t="s">
        <v>39</v>
      </c>
      <c r="T160" s="44" t="s">
        <v>78</v>
      </c>
      <c r="U160" s="52">
        <v>42707</v>
      </c>
      <c r="W160" s="54" t="s">
        <v>1176</v>
      </c>
      <c r="X160" s="50" t="s">
        <v>433</v>
      </c>
      <c r="Y160" s="38">
        <v>144</v>
      </c>
      <c r="Z160" s="164" t="s">
        <v>44</v>
      </c>
      <c r="AA160" s="25">
        <f t="shared" si="2"/>
        <v>0</v>
      </c>
    </row>
    <row r="161" spans="1:51" ht="15" customHeight="1">
      <c r="A161" s="24" t="s">
        <v>1177</v>
      </c>
      <c r="B161" s="25" t="s">
        <v>354</v>
      </c>
      <c r="C161" s="26">
        <v>42718</v>
      </c>
      <c r="D161" s="38" t="s">
        <v>29</v>
      </c>
      <c r="E161" s="38" t="s">
        <v>29</v>
      </c>
      <c r="F161" s="38" t="s">
        <v>69</v>
      </c>
      <c r="G161" s="38">
        <v>1</v>
      </c>
      <c r="H161" s="39" t="s">
        <v>152</v>
      </c>
      <c r="I161" s="39" t="s">
        <v>355</v>
      </c>
      <c r="J161" s="39" t="s">
        <v>356</v>
      </c>
      <c r="K161" s="39" t="s">
        <v>357</v>
      </c>
      <c r="L161" s="39" t="s">
        <v>100</v>
      </c>
      <c r="M161" s="45" t="s">
        <v>1178</v>
      </c>
      <c r="N161" s="158" t="s">
        <v>13</v>
      </c>
      <c r="O161" s="97">
        <v>42656.541666666664</v>
      </c>
      <c r="P161" s="41" t="s">
        <v>185</v>
      </c>
      <c r="Q161" s="41" t="s">
        <v>185</v>
      </c>
      <c r="R161" s="42" t="s">
        <v>39</v>
      </c>
      <c r="S161" s="43">
        <v>42677</v>
      </c>
      <c r="T161" s="44" t="s">
        <v>78</v>
      </c>
      <c r="U161" s="52">
        <v>42706</v>
      </c>
      <c r="V161" s="48" t="s">
        <v>220</v>
      </c>
      <c r="W161" s="221" t="s">
        <v>352</v>
      </c>
      <c r="X161" s="50" t="s">
        <v>204</v>
      </c>
      <c r="Y161" s="38">
        <v>55</v>
      </c>
      <c r="Z161" s="25" t="s">
        <v>44</v>
      </c>
      <c r="AA161" s="25">
        <f t="shared" si="2"/>
        <v>0</v>
      </c>
    </row>
    <row r="162" spans="1:51" ht="15" customHeight="1">
      <c r="A162" s="233" t="s">
        <v>1179</v>
      </c>
      <c r="B162" s="25" t="s">
        <v>1180</v>
      </c>
      <c r="C162" s="26">
        <v>42773</v>
      </c>
      <c r="D162" s="38" t="s">
        <v>29</v>
      </c>
      <c r="E162" s="38" t="s">
        <v>94</v>
      </c>
      <c r="F162" s="38" t="s">
        <v>69</v>
      </c>
      <c r="G162" s="38">
        <v>5</v>
      </c>
      <c r="H162" s="39" t="s">
        <v>592</v>
      </c>
      <c r="I162" s="39" t="s">
        <v>593</v>
      </c>
      <c r="J162" s="39" t="s">
        <v>594</v>
      </c>
      <c r="K162" s="39" t="s">
        <v>595</v>
      </c>
      <c r="L162" s="39" t="s">
        <v>596</v>
      </c>
      <c r="M162" s="45" t="s">
        <v>1181</v>
      </c>
      <c r="N162" s="158" t="s">
        <v>13</v>
      </c>
      <c r="O162" s="94">
        <v>42695.5</v>
      </c>
      <c r="P162" s="41" t="s">
        <v>41</v>
      </c>
      <c r="Q162" s="41" t="s">
        <v>41</v>
      </c>
      <c r="R162" s="42" t="s">
        <v>39</v>
      </c>
      <c r="S162" s="43">
        <v>42491</v>
      </c>
      <c r="T162" s="44" t="s">
        <v>40</v>
      </c>
      <c r="U162" s="52">
        <v>42714</v>
      </c>
      <c r="W162" s="54" t="s">
        <v>598</v>
      </c>
      <c r="X162" s="50" t="s">
        <v>104</v>
      </c>
      <c r="Y162" s="38">
        <v>360</v>
      </c>
      <c r="Z162" s="231" t="s">
        <v>44</v>
      </c>
      <c r="AA162" s="25">
        <f t="shared" si="2"/>
        <v>0</v>
      </c>
    </row>
    <row r="163" spans="1:51" ht="15" customHeight="1">
      <c r="A163" s="24" t="s">
        <v>1182</v>
      </c>
      <c r="B163" s="25"/>
      <c r="D163" s="38" t="s">
        <v>29</v>
      </c>
      <c r="E163" s="38" t="s">
        <v>94</v>
      </c>
      <c r="F163" s="38" t="s">
        <v>95</v>
      </c>
      <c r="G163" s="38">
        <v>8</v>
      </c>
      <c r="H163" s="39" t="s">
        <v>213</v>
      </c>
      <c r="I163" s="39" t="s">
        <v>1183</v>
      </c>
      <c r="J163" s="39" t="s">
        <v>1184</v>
      </c>
      <c r="K163" s="25" t="s">
        <v>1185</v>
      </c>
      <c r="L163" s="39" t="s">
        <v>1186</v>
      </c>
      <c r="M163" s="45" t="s">
        <v>1187</v>
      </c>
      <c r="N163" s="158" t="s">
        <v>13</v>
      </c>
      <c r="O163" s="95">
        <v>42584.375</v>
      </c>
      <c r="P163" s="41" t="s">
        <v>102</v>
      </c>
      <c r="Q163" s="41" t="s">
        <v>102</v>
      </c>
      <c r="R163" s="42" t="s">
        <v>39</v>
      </c>
      <c r="T163" s="44" t="s">
        <v>90</v>
      </c>
      <c r="U163" s="52">
        <v>42621</v>
      </c>
      <c r="V163" s="48" t="s">
        <v>1188</v>
      </c>
      <c r="W163" s="54" t="s">
        <v>1189</v>
      </c>
      <c r="X163" s="50" t="s">
        <v>222</v>
      </c>
      <c r="Y163" s="38">
        <v>266</v>
      </c>
      <c r="Z163" s="231" t="s">
        <v>44</v>
      </c>
      <c r="AA163" s="25">
        <f t="shared" si="2"/>
        <v>1</v>
      </c>
    </row>
    <row r="164" spans="1:51" ht="15" customHeight="1">
      <c r="A164" s="233" t="s">
        <v>1190</v>
      </c>
      <c r="B164" s="25"/>
      <c r="C164" s="26">
        <v>42718</v>
      </c>
      <c r="D164" s="38" t="s">
        <v>29</v>
      </c>
      <c r="E164" s="38" t="s">
        <v>29</v>
      </c>
      <c r="F164" s="38" t="s">
        <v>47</v>
      </c>
      <c r="G164" s="38">
        <v>5</v>
      </c>
      <c r="H164" s="39" t="s">
        <v>471</v>
      </c>
      <c r="I164" s="39" t="s">
        <v>704</v>
      </c>
      <c r="J164" s="39" t="s">
        <v>1191</v>
      </c>
      <c r="K164" s="39" t="s">
        <v>1192</v>
      </c>
      <c r="L164" s="39" t="s">
        <v>676</v>
      </c>
      <c r="M164" s="45" t="s">
        <v>1193</v>
      </c>
      <c r="N164" s="158" t="s">
        <v>13</v>
      </c>
      <c r="O164" s="100">
        <v>42663.375</v>
      </c>
      <c r="P164" s="177" t="s">
        <v>1194</v>
      </c>
      <c r="Q164" s="41" t="s">
        <v>185</v>
      </c>
      <c r="R164" s="42" t="s">
        <v>1195</v>
      </c>
      <c r="T164" s="44" t="s">
        <v>219</v>
      </c>
      <c r="U164" s="52">
        <v>42717</v>
      </c>
      <c r="V164" s="48" t="s">
        <v>476</v>
      </c>
      <c r="W164" s="405" t="s">
        <v>1196</v>
      </c>
      <c r="X164" s="50" t="s">
        <v>149</v>
      </c>
      <c r="Y164" s="234">
        <v>153</v>
      </c>
      <c r="Z164" s="164" t="s">
        <v>44</v>
      </c>
      <c r="AA164" s="25">
        <f t="shared" si="2"/>
        <v>0</v>
      </c>
    </row>
    <row r="165" spans="1:51" ht="15" customHeight="1">
      <c r="A165" s="24" t="s">
        <v>1197</v>
      </c>
      <c r="B165" s="25"/>
      <c r="C165" s="26">
        <v>42684</v>
      </c>
      <c r="D165" s="38" t="s">
        <v>29</v>
      </c>
      <c r="E165" s="38" t="s">
        <v>94</v>
      </c>
      <c r="F165" s="38" t="s">
        <v>95</v>
      </c>
      <c r="G165" s="38">
        <v>3</v>
      </c>
      <c r="H165" s="39" t="s">
        <v>1198</v>
      </c>
      <c r="I165" s="39" t="s">
        <v>1199</v>
      </c>
      <c r="J165" s="39" t="s">
        <v>1200</v>
      </c>
      <c r="K165" s="39" t="s">
        <v>1201</v>
      </c>
      <c r="L165" s="39" t="s">
        <v>1202</v>
      </c>
      <c r="M165" s="45" t="s">
        <v>1203</v>
      </c>
      <c r="N165" s="40" t="s">
        <v>13</v>
      </c>
      <c r="O165" s="94">
        <v>42599.375</v>
      </c>
      <c r="P165" s="41" t="s">
        <v>122</v>
      </c>
      <c r="Q165" s="41" t="s">
        <v>122</v>
      </c>
      <c r="R165" s="42" t="s">
        <v>39</v>
      </c>
      <c r="S165" s="43">
        <v>42430</v>
      </c>
      <c r="T165" s="44" t="s">
        <v>159</v>
      </c>
      <c r="U165" s="52">
        <v>42651</v>
      </c>
      <c r="V165" s="48" t="s">
        <v>1204</v>
      </c>
      <c r="W165" s="54" t="s">
        <v>1205</v>
      </c>
      <c r="X165" s="50" t="s">
        <v>104</v>
      </c>
      <c r="Y165" s="38">
        <v>364</v>
      </c>
      <c r="Z165" s="25" t="s">
        <v>44</v>
      </c>
      <c r="AA165" s="25">
        <f t="shared" si="2"/>
        <v>0</v>
      </c>
    </row>
    <row r="166" spans="1:51" ht="15" customHeight="1">
      <c r="A166" s="233" t="s">
        <v>1206</v>
      </c>
      <c r="B166" s="203"/>
      <c r="C166" s="26">
        <v>42776</v>
      </c>
      <c r="D166" s="38" t="s">
        <v>29</v>
      </c>
      <c r="E166" s="38" t="s">
        <v>29</v>
      </c>
      <c r="F166" s="38" t="s">
        <v>47</v>
      </c>
      <c r="G166" s="38">
        <v>50</v>
      </c>
      <c r="H166" s="39" t="s">
        <v>1207</v>
      </c>
      <c r="I166" s="39" t="s">
        <v>1208</v>
      </c>
      <c r="J166" s="39" t="s">
        <v>1209</v>
      </c>
      <c r="K166" s="201" t="s">
        <v>1210</v>
      </c>
      <c r="L166" s="201" t="s">
        <v>1211</v>
      </c>
      <c r="M166" s="45" t="s">
        <v>1212</v>
      </c>
      <c r="N166" s="40" t="s">
        <v>13</v>
      </c>
      <c r="O166" s="94">
        <v>42598.416666666664</v>
      </c>
      <c r="P166" s="41" t="s">
        <v>54</v>
      </c>
      <c r="Q166" s="41" t="s">
        <v>54</v>
      </c>
      <c r="R166" s="42" t="s">
        <v>39</v>
      </c>
      <c r="S166" s="43">
        <v>42401</v>
      </c>
      <c r="T166" s="44" t="s">
        <v>1213</v>
      </c>
      <c r="U166" s="52">
        <v>42665</v>
      </c>
      <c r="V166" s="48" t="s">
        <v>1214</v>
      </c>
      <c r="W166" s="54" t="s">
        <v>1215</v>
      </c>
      <c r="X166" s="50" t="s">
        <v>1216</v>
      </c>
      <c r="Y166" s="234">
        <v>2550</v>
      </c>
      <c r="Z166" s="25" t="s">
        <v>44</v>
      </c>
      <c r="AA166" s="25">
        <f t="shared" si="2"/>
        <v>0</v>
      </c>
    </row>
    <row r="167" spans="1:51" ht="15" customHeight="1">
      <c r="A167" s="59" t="s">
        <v>1217</v>
      </c>
      <c r="B167" s="25"/>
      <c r="C167" s="26">
        <v>42748</v>
      </c>
      <c r="D167" s="38" t="s">
        <v>29</v>
      </c>
      <c r="E167" s="38" t="s">
        <v>29</v>
      </c>
      <c r="F167" s="38" t="s">
        <v>47</v>
      </c>
      <c r="G167" s="38">
        <v>1</v>
      </c>
      <c r="H167" s="204" t="s">
        <v>418</v>
      </c>
      <c r="I167" s="204" t="s">
        <v>1218</v>
      </c>
      <c r="J167" s="204" t="s">
        <v>1219</v>
      </c>
      <c r="K167" s="39"/>
      <c r="L167" s="39" t="s">
        <v>676</v>
      </c>
      <c r="N167" s="166"/>
      <c r="O167" s="94">
        <v>42709</v>
      </c>
      <c r="P167" s="41" t="s">
        <v>131</v>
      </c>
      <c r="Q167" s="41" t="s">
        <v>131</v>
      </c>
      <c r="T167" s="44" t="s">
        <v>78</v>
      </c>
      <c r="U167" s="52">
        <v>42714</v>
      </c>
      <c r="W167" s="54" t="s">
        <v>1220</v>
      </c>
      <c r="X167" s="50" t="s">
        <v>57</v>
      </c>
      <c r="Y167" s="38">
        <v>74</v>
      </c>
      <c r="Z167" s="199" t="s">
        <v>44</v>
      </c>
      <c r="AA167" s="25">
        <f t="shared" si="2"/>
        <v>0</v>
      </c>
    </row>
    <row r="168" spans="1:51" ht="15" customHeight="1">
      <c r="A168" s="24" t="s">
        <v>1221</v>
      </c>
      <c r="B168" s="25" t="s">
        <v>324</v>
      </c>
      <c r="C168" s="26">
        <v>42747</v>
      </c>
      <c r="D168" s="38" t="s">
        <v>29</v>
      </c>
      <c r="E168" s="38" t="s">
        <v>29</v>
      </c>
      <c r="F168" s="38" t="s">
        <v>69</v>
      </c>
      <c r="G168" s="38">
        <v>1</v>
      </c>
      <c r="H168" s="39" t="s">
        <v>325</v>
      </c>
      <c r="I168" s="39" t="s">
        <v>326</v>
      </c>
      <c r="J168" s="39" t="s">
        <v>327</v>
      </c>
      <c r="K168" s="39" t="s">
        <v>328</v>
      </c>
      <c r="L168" s="39" t="s">
        <v>100</v>
      </c>
      <c r="N168" s="40" t="s">
        <v>13</v>
      </c>
      <c r="O168" s="94">
        <v>42681.604166666664</v>
      </c>
      <c r="P168" s="41" t="s">
        <v>76</v>
      </c>
      <c r="Q168" s="41" t="s">
        <v>76</v>
      </c>
      <c r="T168" s="44" t="s">
        <v>78</v>
      </c>
      <c r="U168" s="52">
        <v>42718</v>
      </c>
      <c r="W168" s="216" t="s">
        <v>329</v>
      </c>
      <c r="X168" s="50" t="s">
        <v>204</v>
      </c>
      <c r="Y168" s="38">
        <v>31</v>
      </c>
      <c r="Z168" s="199" t="s">
        <v>44</v>
      </c>
      <c r="AA168" s="25">
        <f t="shared" si="2"/>
        <v>0</v>
      </c>
    </row>
    <row r="169" spans="1:51" ht="15" customHeight="1">
      <c r="A169" s="24" t="s">
        <v>1222</v>
      </c>
      <c r="B169" s="25"/>
      <c r="C169" s="26">
        <v>42780</v>
      </c>
      <c r="D169" s="38" t="s">
        <v>29</v>
      </c>
      <c r="E169" s="38" t="s">
        <v>29</v>
      </c>
      <c r="F169" s="38" t="s">
        <v>30</v>
      </c>
      <c r="G169" s="38">
        <v>2</v>
      </c>
      <c r="H169" s="39" t="s">
        <v>497</v>
      </c>
      <c r="I169" s="39" t="s">
        <v>1223</v>
      </c>
      <c r="J169" s="39" t="s">
        <v>1224</v>
      </c>
      <c r="K169" s="39" t="s">
        <v>1225</v>
      </c>
      <c r="L169" s="39" t="s">
        <v>1226</v>
      </c>
      <c r="N169" s="40" t="s">
        <v>13</v>
      </c>
      <c r="O169" s="94">
        <v>42752.541666666664</v>
      </c>
      <c r="P169" s="41" t="s">
        <v>202</v>
      </c>
      <c r="Q169" s="41" t="s">
        <v>202</v>
      </c>
      <c r="U169" s="52">
        <v>42763</v>
      </c>
      <c r="W169" s="216" t="s">
        <v>1227</v>
      </c>
      <c r="X169" s="50" t="s">
        <v>43</v>
      </c>
      <c r="Y169" s="38">
        <v>261</v>
      </c>
      <c r="Z169" s="199" t="s">
        <v>44</v>
      </c>
      <c r="AA169" s="25">
        <f t="shared" si="2"/>
        <v>0</v>
      </c>
    </row>
    <row r="170" spans="1:51" ht="15" customHeight="1">
      <c r="A170" s="24" t="s">
        <v>1228</v>
      </c>
      <c r="B170" s="25" t="s">
        <v>371</v>
      </c>
      <c r="C170" s="26">
        <v>42740</v>
      </c>
      <c r="D170" s="38" t="s">
        <v>29</v>
      </c>
      <c r="E170" s="38" t="s">
        <v>29</v>
      </c>
      <c r="F170" s="38" t="s">
        <v>30</v>
      </c>
      <c r="G170" s="38">
        <v>4</v>
      </c>
      <c r="H170" s="39" t="s">
        <v>372</v>
      </c>
      <c r="I170" s="39" t="s">
        <v>373</v>
      </c>
      <c r="J170" s="39" t="s">
        <v>374</v>
      </c>
      <c r="K170" s="39" t="s">
        <v>375</v>
      </c>
      <c r="L170" s="39" t="s">
        <v>1229</v>
      </c>
      <c r="M170" s="45" t="s">
        <v>1230</v>
      </c>
      <c r="N170" s="158" t="s">
        <v>1231</v>
      </c>
      <c r="O170" s="95">
        <v>42597.541666666664</v>
      </c>
      <c r="P170" s="41" t="s">
        <v>169</v>
      </c>
      <c r="Q170" s="41" t="s">
        <v>169</v>
      </c>
      <c r="R170" s="42" t="s">
        <v>77</v>
      </c>
      <c r="T170" s="44" t="s">
        <v>219</v>
      </c>
      <c r="U170" s="52">
        <v>42665</v>
      </c>
      <c r="W170" s="54" t="s">
        <v>1232</v>
      </c>
      <c r="X170" s="50" t="s">
        <v>43</v>
      </c>
      <c r="Y170" s="38">
        <v>353</v>
      </c>
      <c r="Z170" s="199" t="s">
        <v>44</v>
      </c>
      <c r="AA170" s="25">
        <f t="shared" si="2"/>
        <v>0</v>
      </c>
    </row>
    <row r="171" spans="1:51" ht="15" customHeight="1">
      <c r="A171" s="24" t="s">
        <v>1233</v>
      </c>
      <c r="B171" s="25" t="s">
        <v>462</v>
      </c>
      <c r="C171" s="26">
        <v>42647</v>
      </c>
      <c r="D171" s="38" t="s">
        <v>94</v>
      </c>
      <c r="E171" s="38" t="s">
        <v>29</v>
      </c>
      <c r="F171" s="38" t="s">
        <v>30</v>
      </c>
      <c r="G171" s="38">
        <v>1</v>
      </c>
      <c r="H171" s="39" t="s">
        <v>463</v>
      </c>
      <c r="I171" s="39" t="s">
        <v>464</v>
      </c>
      <c r="J171" s="39" t="s">
        <v>465</v>
      </c>
      <c r="K171" s="39" t="s">
        <v>466</v>
      </c>
      <c r="L171" s="39" t="s">
        <v>63</v>
      </c>
      <c r="M171" s="45" t="s">
        <v>1234</v>
      </c>
      <c r="N171" s="40" t="s">
        <v>468</v>
      </c>
      <c r="O171" s="95">
        <v>42607.354166666664</v>
      </c>
      <c r="P171" s="41" t="s">
        <v>131</v>
      </c>
      <c r="Q171" s="41" t="s">
        <v>131</v>
      </c>
      <c r="R171" s="42" t="s">
        <v>39</v>
      </c>
      <c r="S171" s="43">
        <v>42401</v>
      </c>
      <c r="T171" s="44" t="s">
        <v>1235</v>
      </c>
      <c r="U171" s="52" t="s">
        <v>1235</v>
      </c>
      <c r="W171" s="54" t="s">
        <v>1236</v>
      </c>
      <c r="Z171" s="25" t="s">
        <v>1237</v>
      </c>
      <c r="AA171" s="25">
        <f t="shared" si="2"/>
        <v>0</v>
      </c>
    </row>
    <row r="172" spans="1:51" ht="15" customHeight="1">
      <c r="A172" s="24" t="s">
        <v>1238</v>
      </c>
      <c r="B172" s="25" t="s">
        <v>462</v>
      </c>
      <c r="C172" s="26">
        <v>42647</v>
      </c>
      <c r="D172" s="38" t="s">
        <v>94</v>
      </c>
      <c r="E172" s="38" t="s">
        <v>29</v>
      </c>
      <c r="F172" s="38" t="s">
        <v>30</v>
      </c>
      <c r="G172" s="38">
        <v>1</v>
      </c>
      <c r="H172" s="39" t="s">
        <v>463</v>
      </c>
      <c r="I172" s="39" t="s">
        <v>464</v>
      </c>
      <c r="J172" s="39" t="s">
        <v>465</v>
      </c>
      <c r="K172" s="39" t="s">
        <v>466</v>
      </c>
      <c r="L172" s="39" t="s">
        <v>63</v>
      </c>
      <c r="M172" s="45" t="s">
        <v>1239</v>
      </c>
      <c r="N172" s="40" t="s">
        <v>468</v>
      </c>
      <c r="O172" s="95">
        <v>42607.354166666664</v>
      </c>
      <c r="P172" s="41" t="s">
        <v>131</v>
      </c>
      <c r="Q172" s="41" t="s">
        <v>131</v>
      </c>
      <c r="R172" s="42" t="s">
        <v>77</v>
      </c>
      <c r="T172" s="44" t="s">
        <v>1235</v>
      </c>
      <c r="U172" s="52" t="s">
        <v>1235</v>
      </c>
      <c r="W172" s="54" t="s">
        <v>1236</v>
      </c>
      <c r="Z172" s="25" t="s">
        <v>1237</v>
      </c>
      <c r="AA172" s="25">
        <f t="shared" si="2"/>
        <v>0</v>
      </c>
    </row>
    <row r="173" spans="1:51" ht="15" customHeight="1">
      <c r="A173" s="24" t="s">
        <v>1240</v>
      </c>
      <c r="B173" s="25" t="s">
        <v>913</v>
      </c>
      <c r="C173" s="26">
        <v>42695</v>
      </c>
      <c r="D173" s="38" t="s">
        <v>94</v>
      </c>
      <c r="E173" s="38" t="s">
        <v>29</v>
      </c>
      <c r="F173" s="38" t="s">
        <v>47</v>
      </c>
      <c r="G173" s="38">
        <v>1</v>
      </c>
      <c r="H173" s="39" t="s">
        <v>914</v>
      </c>
      <c r="I173" s="39" t="s">
        <v>915</v>
      </c>
      <c r="J173" s="39" t="s">
        <v>916</v>
      </c>
      <c r="K173" s="39" t="s">
        <v>917</v>
      </c>
      <c r="L173" s="39" t="s">
        <v>100</v>
      </c>
      <c r="M173" s="45" t="s">
        <v>1241</v>
      </c>
      <c r="N173" s="40" t="s">
        <v>13</v>
      </c>
      <c r="O173" s="94">
        <v>42684.5</v>
      </c>
      <c r="P173" s="41" t="s">
        <v>520</v>
      </c>
      <c r="Q173" s="41" t="s">
        <v>520</v>
      </c>
      <c r="R173" s="42" t="s">
        <v>77</v>
      </c>
      <c r="U173" s="52" t="s">
        <v>1242</v>
      </c>
      <c r="W173" s="54" t="s">
        <v>919</v>
      </c>
      <c r="Z173" s="25" t="s">
        <v>1242</v>
      </c>
      <c r="AA173" s="25">
        <f t="shared" si="2"/>
        <v>0</v>
      </c>
      <c r="AB173" s="24" t="s">
        <v>1243</v>
      </c>
    </row>
    <row r="174" spans="1:51" ht="15" customHeight="1">
      <c r="A174" s="24" t="s">
        <v>1244</v>
      </c>
      <c r="B174" s="25" t="s">
        <v>1245</v>
      </c>
      <c r="C174" s="26">
        <v>42723</v>
      </c>
      <c r="D174" s="38" t="s">
        <v>94</v>
      </c>
      <c r="E174" s="38" t="s">
        <v>29</v>
      </c>
      <c r="F174" s="38" t="s">
        <v>47</v>
      </c>
      <c r="G174" s="38">
        <v>2</v>
      </c>
      <c r="H174" s="39" t="s">
        <v>1246</v>
      </c>
      <c r="I174" s="39" t="s">
        <v>1247</v>
      </c>
      <c r="J174" s="39" t="s">
        <v>1248</v>
      </c>
      <c r="K174" s="101" t="s">
        <v>1249</v>
      </c>
      <c r="L174" s="39" t="s">
        <v>167</v>
      </c>
      <c r="M174" s="45" t="s">
        <v>1250</v>
      </c>
      <c r="O174" s="94" t="s">
        <v>1242</v>
      </c>
      <c r="R174" s="42" t="s">
        <v>77</v>
      </c>
      <c r="U174" s="52" t="s">
        <v>1242</v>
      </c>
      <c r="W174" s="54" t="s">
        <v>1236</v>
      </c>
      <c r="Z174" s="25" t="s">
        <v>1242</v>
      </c>
      <c r="AA174" s="25">
        <f t="shared" si="2"/>
        <v>0</v>
      </c>
      <c r="AB174" s="24" t="s">
        <v>1251</v>
      </c>
    </row>
    <row r="175" spans="1:51" ht="15" customHeight="1">
      <c r="A175" s="24" t="s">
        <v>1252</v>
      </c>
      <c r="B175" s="25" t="s">
        <v>46</v>
      </c>
      <c r="C175" s="26">
        <v>42718</v>
      </c>
      <c r="D175" s="38" t="s">
        <v>94</v>
      </c>
      <c r="E175" s="38" t="s">
        <v>29</v>
      </c>
      <c r="F175" s="38" t="s">
        <v>47</v>
      </c>
      <c r="G175" s="38">
        <v>1</v>
      </c>
      <c r="H175" s="39" t="s">
        <v>48</v>
      </c>
      <c r="I175" s="39" t="s">
        <v>49</v>
      </c>
      <c r="J175" s="39" t="s">
        <v>1253</v>
      </c>
      <c r="K175" s="39" t="s">
        <v>51</v>
      </c>
      <c r="L175" s="39" t="s">
        <v>52</v>
      </c>
      <c r="M175" s="45" t="s">
        <v>1254</v>
      </c>
      <c r="N175" s="40" t="s">
        <v>13</v>
      </c>
      <c r="O175" s="94">
        <v>42592.416666666664</v>
      </c>
      <c r="R175" s="42" t="s">
        <v>77</v>
      </c>
      <c r="T175" s="44" t="s">
        <v>1235</v>
      </c>
      <c r="U175" s="52" t="s">
        <v>1242</v>
      </c>
      <c r="W175" s="54" t="s">
        <v>1236</v>
      </c>
      <c r="Z175" s="25" t="s">
        <v>1242</v>
      </c>
      <c r="AA175" s="25">
        <f t="shared" si="2"/>
        <v>0</v>
      </c>
    </row>
    <row r="176" spans="1:51" ht="15" customHeight="1">
      <c r="A176" s="24" t="s">
        <v>1255</v>
      </c>
      <c r="B176" s="25"/>
      <c r="C176" s="26">
        <v>42683</v>
      </c>
      <c r="D176" s="38" t="s">
        <v>29</v>
      </c>
      <c r="E176" s="38" t="s">
        <v>94</v>
      </c>
      <c r="F176" s="38" t="s">
        <v>95</v>
      </c>
      <c r="G176" s="38">
        <v>10</v>
      </c>
      <c r="H176" s="39" t="s">
        <v>463</v>
      </c>
      <c r="I176" s="39" t="s">
        <v>1256</v>
      </c>
      <c r="J176" s="39" t="s">
        <v>1257</v>
      </c>
      <c r="K176" s="39" t="s">
        <v>1258</v>
      </c>
      <c r="L176" s="39" t="s">
        <v>1259</v>
      </c>
      <c r="M176" s="45" t="s">
        <v>1260</v>
      </c>
      <c r="N176" s="158" t="s">
        <v>13</v>
      </c>
      <c r="O176" s="38" t="s">
        <v>1242</v>
      </c>
      <c r="R176" s="42" t="s">
        <v>77</v>
      </c>
      <c r="U176" s="223" t="s">
        <v>1242</v>
      </c>
      <c r="W176" s="54" t="s">
        <v>1236</v>
      </c>
      <c r="Z176" s="25" t="s">
        <v>1242</v>
      </c>
      <c r="AA176" s="25">
        <f t="shared" si="2"/>
        <v>1</v>
      </c>
      <c r="AB176" s="24" t="s">
        <v>1261</v>
      </c>
      <c r="AC176" s="159"/>
      <c r="AD176" s="159"/>
      <c r="AE176" s="159"/>
      <c r="AF176" s="159"/>
      <c r="AG176" s="159"/>
      <c r="AH176" s="159"/>
      <c r="AI176" s="159"/>
      <c r="AJ176" s="159"/>
      <c r="AK176" s="159"/>
      <c r="AL176" s="159"/>
      <c r="AM176" s="159"/>
      <c r="AN176" s="159"/>
      <c r="AO176" s="159"/>
      <c r="AP176" s="159"/>
      <c r="AQ176" s="159"/>
      <c r="AR176" s="159"/>
      <c r="AS176" s="159"/>
      <c r="AT176" s="159"/>
      <c r="AU176" s="159"/>
      <c r="AV176" s="159"/>
      <c r="AW176" s="159"/>
      <c r="AX176" s="159"/>
      <c r="AY176" s="159" t="s">
        <v>1005</v>
      </c>
    </row>
    <row r="177" spans="1:16383" ht="15" customHeight="1">
      <c r="A177" s="24" t="s">
        <v>1262</v>
      </c>
      <c r="B177" s="25" t="s">
        <v>1263</v>
      </c>
      <c r="C177" s="26">
        <v>42648</v>
      </c>
      <c r="D177" s="38" t="s">
        <v>29</v>
      </c>
      <c r="E177" s="38" t="s">
        <v>29</v>
      </c>
      <c r="F177" s="38" t="s">
        <v>30</v>
      </c>
      <c r="G177" s="38">
        <v>2</v>
      </c>
      <c r="H177" s="39" t="s">
        <v>143</v>
      </c>
      <c r="I177" s="39" t="s">
        <v>1264</v>
      </c>
      <c r="J177" s="39" t="s">
        <v>1265</v>
      </c>
      <c r="K177" s="39" t="s">
        <v>1266</v>
      </c>
      <c r="L177" s="39" t="s">
        <v>74</v>
      </c>
      <c r="M177" s="45" t="s">
        <v>1267</v>
      </c>
      <c r="N177" s="158" t="s">
        <v>1268</v>
      </c>
      <c r="O177" s="95">
        <v>42605.416666666664</v>
      </c>
      <c r="P177" s="41" t="s">
        <v>169</v>
      </c>
      <c r="Q177" s="41" t="s">
        <v>169</v>
      </c>
      <c r="R177" s="42" t="s">
        <v>77</v>
      </c>
      <c r="U177" s="223" t="s">
        <v>1242</v>
      </c>
      <c r="W177" s="54" t="s">
        <v>1269</v>
      </c>
      <c r="Z177" s="25" t="s">
        <v>1242</v>
      </c>
      <c r="AA177" s="25">
        <f t="shared" si="2"/>
        <v>0</v>
      </c>
      <c r="AB177" s="24" t="s">
        <v>1127</v>
      </c>
    </row>
    <row r="178" spans="1:16383" ht="15" customHeight="1">
      <c r="A178" s="24" t="s">
        <v>1270</v>
      </c>
      <c r="B178" s="25"/>
      <c r="C178" s="26">
        <v>42661</v>
      </c>
      <c r="D178" s="38" t="s">
        <v>29</v>
      </c>
      <c r="E178" s="38" t="s">
        <v>29</v>
      </c>
      <c r="F178" s="38" t="s">
        <v>30</v>
      </c>
      <c r="G178" s="38">
        <v>3</v>
      </c>
      <c r="H178" s="39" t="s">
        <v>1271</v>
      </c>
      <c r="I178" s="39" t="s">
        <v>767</v>
      </c>
      <c r="J178" s="39" t="s">
        <v>1272</v>
      </c>
      <c r="K178" s="193" t="s">
        <v>1273</v>
      </c>
      <c r="L178" s="39" t="s">
        <v>1274</v>
      </c>
      <c r="M178" s="45" t="s">
        <v>1275</v>
      </c>
      <c r="N178" s="158" t="s">
        <v>13</v>
      </c>
      <c r="O178" s="95">
        <v>42662.416666666664</v>
      </c>
      <c r="R178" s="42" t="s">
        <v>77</v>
      </c>
      <c r="U178" s="303" t="s">
        <v>1235</v>
      </c>
      <c r="W178" s="243" t="s">
        <v>1236</v>
      </c>
      <c r="Z178" s="25" t="s">
        <v>1235</v>
      </c>
      <c r="AA178" s="25">
        <f t="shared" si="2"/>
        <v>0</v>
      </c>
      <c r="AB178" s="24" t="s">
        <v>1276</v>
      </c>
    </row>
    <row r="179" spans="1:16383" ht="15" customHeight="1">
      <c r="A179" s="24" t="s">
        <v>1277</v>
      </c>
      <c r="B179" s="25"/>
      <c r="C179" s="26">
        <v>42712</v>
      </c>
      <c r="D179" s="38" t="s">
        <v>29</v>
      </c>
      <c r="E179" s="38" t="s">
        <v>29</v>
      </c>
      <c r="F179" s="38" t="s">
        <v>95</v>
      </c>
      <c r="G179" s="38">
        <v>4</v>
      </c>
      <c r="H179" s="39" t="s">
        <v>463</v>
      </c>
      <c r="I179" s="39" t="s">
        <v>1278</v>
      </c>
      <c r="J179" s="39" t="s">
        <v>1279</v>
      </c>
      <c r="K179" s="39" t="s">
        <v>1280</v>
      </c>
      <c r="L179" s="39" t="s">
        <v>1281</v>
      </c>
      <c r="M179" s="45" t="s">
        <v>1282</v>
      </c>
      <c r="N179" s="158" t="s">
        <v>13</v>
      </c>
      <c r="O179" s="95">
        <v>42674.5</v>
      </c>
      <c r="P179" s="41" t="s">
        <v>102</v>
      </c>
      <c r="Q179" s="41" t="s">
        <v>1283</v>
      </c>
      <c r="R179" s="42" t="s">
        <v>77</v>
      </c>
      <c r="U179" s="52" t="s">
        <v>1235</v>
      </c>
      <c r="W179" s="54" t="s">
        <v>1284</v>
      </c>
      <c r="Z179" s="25" t="s">
        <v>1235</v>
      </c>
      <c r="AA179" s="25">
        <f t="shared" si="2"/>
        <v>0</v>
      </c>
      <c r="AB179" s="24" t="s">
        <v>1285</v>
      </c>
    </row>
    <row r="180" spans="1:16383" ht="15" customHeight="1">
      <c r="A180" s="24" t="s">
        <v>1286</v>
      </c>
      <c r="B180" s="25" t="s">
        <v>1287</v>
      </c>
      <c r="C180" s="26">
        <v>42669</v>
      </c>
      <c r="D180" s="38" t="s">
        <v>29</v>
      </c>
      <c r="E180" s="38" t="s">
        <v>29</v>
      </c>
      <c r="F180" s="38" t="s">
        <v>95</v>
      </c>
      <c r="G180" s="38">
        <v>3</v>
      </c>
      <c r="H180" s="39" t="s">
        <v>509</v>
      </c>
      <c r="I180" s="39" t="s">
        <v>1288</v>
      </c>
      <c r="J180" s="39" t="s">
        <v>1289</v>
      </c>
      <c r="K180" s="193" t="s">
        <v>1290</v>
      </c>
      <c r="L180" s="39" t="s">
        <v>63</v>
      </c>
      <c r="M180" s="45" t="s">
        <v>1291</v>
      </c>
      <c r="N180" s="40" t="s">
        <v>13</v>
      </c>
      <c r="O180" s="94">
        <v>42628.395833333336</v>
      </c>
      <c r="P180" s="41" t="s">
        <v>122</v>
      </c>
      <c r="Q180" s="41" t="s">
        <v>122</v>
      </c>
      <c r="R180" s="42" t="s">
        <v>39</v>
      </c>
      <c r="S180" s="43">
        <v>42430</v>
      </c>
      <c r="U180" s="303" t="s">
        <v>1235</v>
      </c>
      <c r="W180" s="54" t="s">
        <v>1292</v>
      </c>
      <c r="X180" s="50" t="s">
        <v>43</v>
      </c>
      <c r="Z180" s="174" t="s">
        <v>1235</v>
      </c>
      <c r="AA180" s="25">
        <f t="shared" si="2"/>
        <v>0</v>
      </c>
    </row>
    <row r="181" spans="1:16383" ht="15" customHeight="1">
      <c r="A181" s="24" t="s">
        <v>1293</v>
      </c>
      <c r="B181" s="25"/>
      <c r="C181" s="26">
        <v>42692</v>
      </c>
      <c r="D181" s="38" t="s">
        <v>94</v>
      </c>
      <c r="E181" s="38" t="s">
        <v>29</v>
      </c>
      <c r="F181" s="38" t="s">
        <v>69</v>
      </c>
      <c r="G181" s="38">
        <v>3</v>
      </c>
      <c r="H181" s="39" t="s">
        <v>1294</v>
      </c>
      <c r="I181" s="39" t="s">
        <v>1295</v>
      </c>
      <c r="J181" s="39" t="s">
        <v>1296</v>
      </c>
      <c r="K181" s="39" t="s">
        <v>1297</v>
      </c>
      <c r="L181" s="39" t="s">
        <v>1298</v>
      </c>
      <c r="M181" s="45" t="s">
        <v>1299</v>
      </c>
      <c r="N181" s="40" t="s">
        <v>13</v>
      </c>
      <c r="O181" s="94">
        <v>42696.416666666664</v>
      </c>
      <c r="R181" s="42" t="s">
        <v>77</v>
      </c>
      <c r="U181" s="52" t="s">
        <v>1242</v>
      </c>
      <c r="W181" s="54" t="s">
        <v>1236</v>
      </c>
      <c r="Z181" s="25" t="s">
        <v>1235</v>
      </c>
      <c r="AA181" s="25">
        <f t="shared" si="2"/>
        <v>0</v>
      </c>
    </row>
    <row r="182" spans="1:16383" ht="15" customHeight="1">
      <c r="A182" s="24" t="s">
        <v>1300</v>
      </c>
      <c r="B182" s="25"/>
      <c r="C182" s="26">
        <v>42653</v>
      </c>
      <c r="D182" s="38" t="s">
        <v>94</v>
      </c>
      <c r="E182" s="38" t="s">
        <v>29</v>
      </c>
      <c r="F182" s="38" t="s">
        <v>69</v>
      </c>
      <c r="G182" s="38">
        <v>1</v>
      </c>
      <c r="H182" s="39" t="s">
        <v>390</v>
      </c>
      <c r="I182" s="39" t="s">
        <v>1016</v>
      </c>
      <c r="J182" s="39" t="s">
        <v>1017</v>
      </c>
      <c r="K182" s="39" t="s">
        <v>1018</v>
      </c>
      <c r="L182" s="39" t="s">
        <v>785</v>
      </c>
      <c r="M182" s="45" t="s">
        <v>1301</v>
      </c>
      <c r="N182" s="302" t="s">
        <v>1302</v>
      </c>
      <c r="O182" s="94" t="s">
        <v>1235</v>
      </c>
      <c r="R182" s="42" t="s">
        <v>39</v>
      </c>
      <c r="S182" s="43">
        <v>42430</v>
      </c>
      <c r="T182" s="44" t="s">
        <v>1235</v>
      </c>
      <c r="U182" s="303" t="s">
        <v>1235</v>
      </c>
      <c r="W182" s="54" t="s">
        <v>1236</v>
      </c>
      <c r="Z182" s="25" t="s">
        <v>1235</v>
      </c>
      <c r="AA182" s="25">
        <f t="shared" si="2"/>
        <v>0</v>
      </c>
    </row>
    <row r="183" spans="1:16383" ht="15" customHeight="1">
      <c r="A183" s="24" t="s">
        <v>1303</v>
      </c>
      <c r="B183" s="25" t="s">
        <v>1263</v>
      </c>
      <c r="D183" s="38" t="s">
        <v>29</v>
      </c>
      <c r="E183" s="38" t="s">
        <v>29</v>
      </c>
      <c r="F183" s="38" t="s">
        <v>30</v>
      </c>
      <c r="G183" s="38">
        <v>2</v>
      </c>
      <c r="H183" s="39" t="s">
        <v>143</v>
      </c>
      <c r="I183" s="39" t="s">
        <v>1264</v>
      </c>
      <c r="J183" s="39" t="s">
        <v>1304</v>
      </c>
      <c r="K183" s="39" t="s">
        <v>1266</v>
      </c>
      <c r="L183" s="39" t="s">
        <v>74</v>
      </c>
      <c r="M183" s="45" t="s">
        <v>1305</v>
      </c>
      <c r="N183" s="158" t="s">
        <v>1306</v>
      </c>
      <c r="O183" s="95">
        <v>42605.416666666664</v>
      </c>
      <c r="P183" s="41" t="s">
        <v>169</v>
      </c>
      <c r="Q183" s="41" t="s">
        <v>169</v>
      </c>
      <c r="R183" s="42" t="s">
        <v>39</v>
      </c>
      <c r="S183" s="43">
        <v>42401</v>
      </c>
      <c r="U183" s="223" t="s">
        <v>1235</v>
      </c>
      <c r="W183" s="54" t="s">
        <v>1307</v>
      </c>
      <c r="Z183" s="25" t="s">
        <v>1235</v>
      </c>
      <c r="AA183" s="25">
        <f t="shared" si="2"/>
        <v>0</v>
      </c>
      <c r="AB183" s="24" t="s">
        <v>1127</v>
      </c>
    </row>
    <row r="184" spans="1:16383" ht="15" customHeight="1">
      <c r="A184" s="24" t="s">
        <v>1308</v>
      </c>
      <c r="B184" s="25" t="s">
        <v>1245</v>
      </c>
      <c r="C184" s="26">
        <v>42669</v>
      </c>
      <c r="D184" s="38" t="s">
        <v>29</v>
      </c>
      <c r="E184" s="38" t="s">
        <v>29</v>
      </c>
      <c r="F184" s="38" t="s">
        <v>47</v>
      </c>
      <c r="G184" s="38">
        <v>2</v>
      </c>
      <c r="H184" s="39" t="s">
        <v>509</v>
      </c>
      <c r="I184" s="39" t="s">
        <v>1309</v>
      </c>
      <c r="J184" s="39" t="s">
        <v>1248</v>
      </c>
      <c r="K184" s="39" t="s">
        <v>1310</v>
      </c>
      <c r="L184" s="39" t="s">
        <v>167</v>
      </c>
      <c r="M184" s="45" t="s">
        <v>1311</v>
      </c>
      <c r="O184" s="94" t="s">
        <v>1235</v>
      </c>
      <c r="R184" s="42" t="s">
        <v>77</v>
      </c>
      <c r="U184" s="52" t="s">
        <v>1235</v>
      </c>
      <c r="W184" s="54" t="s">
        <v>1236</v>
      </c>
      <c r="Z184" s="25" t="s">
        <v>1242</v>
      </c>
      <c r="AA184" s="25">
        <f t="shared" si="2"/>
        <v>0</v>
      </c>
      <c r="AB184" s="24" t="s">
        <v>1251</v>
      </c>
    </row>
    <row r="185" spans="1:16383" ht="15" customHeight="1">
      <c r="A185" s="24" t="s">
        <v>1312</v>
      </c>
      <c r="B185" s="25"/>
      <c r="C185" s="26">
        <v>42688</v>
      </c>
      <c r="D185" s="38" t="s">
        <v>94</v>
      </c>
      <c r="E185" s="38" t="s">
        <v>29</v>
      </c>
      <c r="F185" s="38" t="s">
        <v>47</v>
      </c>
      <c r="G185" s="38">
        <v>2</v>
      </c>
      <c r="H185" s="39" t="s">
        <v>1313</v>
      </c>
      <c r="I185" s="39" t="s">
        <v>1314</v>
      </c>
      <c r="J185" s="39" t="s">
        <v>1315</v>
      </c>
      <c r="K185" s="39" t="s">
        <v>1316</v>
      </c>
      <c r="L185" s="39" t="s">
        <v>1317</v>
      </c>
      <c r="M185" s="45" t="s">
        <v>1318</v>
      </c>
      <c r="N185" s="40" t="s">
        <v>13</v>
      </c>
      <c r="O185" s="94" t="s">
        <v>1235</v>
      </c>
      <c r="R185" s="42" t="s">
        <v>77</v>
      </c>
      <c r="U185" s="52" t="s">
        <v>1235</v>
      </c>
      <c r="W185" s="54" t="s">
        <v>1236</v>
      </c>
      <c r="Z185" s="25" t="s">
        <v>1235</v>
      </c>
      <c r="AA185" s="25">
        <f t="shared" si="2"/>
        <v>0</v>
      </c>
      <c r="AB185" s="24" t="s">
        <v>1319</v>
      </c>
    </row>
    <row r="186" spans="1:16383" ht="15" customHeight="1">
      <c r="A186" s="24" t="s">
        <v>1320</v>
      </c>
      <c r="B186" s="25"/>
      <c r="C186" s="26">
        <v>42647</v>
      </c>
      <c r="D186" s="38" t="s">
        <v>29</v>
      </c>
      <c r="E186" s="38" t="s">
        <v>29</v>
      </c>
      <c r="F186" s="38" t="s">
        <v>95</v>
      </c>
      <c r="G186" s="38">
        <v>8</v>
      </c>
      <c r="H186" s="39" t="s">
        <v>471</v>
      </c>
      <c r="I186" s="39" t="s">
        <v>1321</v>
      </c>
      <c r="J186" s="39" t="s">
        <v>1322</v>
      </c>
      <c r="K186" s="39" t="s">
        <v>1323</v>
      </c>
      <c r="L186" s="39" t="s">
        <v>676</v>
      </c>
      <c r="M186" s="45" t="s">
        <v>1324</v>
      </c>
      <c r="N186" s="40" t="s">
        <v>13</v>
      </c>
      <c r="O186" s="94">
        <v>42586.375</v>
      </c>
      <c r="P186" s="41" t="s">
        <v>122</v>
      </c>
      <c r="Q186" s="41" t="s">
        <v>122</v>
      </c>
      <c r="R186" s="42" t="s">
        <v>39</v>
      </c>
      <c r="T186" s="44" t="s">
        <v>1325</v>
      </c>
      <c r="U186" s="52" t="s">
        <v>1235</v>
      </c>
      <c r="V186" s="48" t="s">
        <v>1326</v>
      </c>
      <c r="W186" s="54" t="s">
        <v>1327</v>
      </c>
      <c r="Z186" s="25" t="s">
        <v>1235</v>
      </c>
      <c r="AA186" s="25">
        <f t="shared" si="2"/>
        <v>0</v>
      </c>
      <c r="AB186" s="24" t="s">
        <v>1328</v>
      </c>
    </row>
    <row r="187" spans="1:16383" ht="15" customHeight="1">
      <c r="A187" s="24" t="s">
        <v>1329</v>
      </c>
      <c r="B187" s="25"/>
      <c r="C187" s="26">
        <v>42669</v>
      </c>
      <c r="D187" s="38" t="s">
        <v>29</v>
      </c>
      <c r="E187" s="38" t="s">
        <v>94</v>
      </c>
      <c r="F187" s="38" t="s">
        <v>95</v>
      </c>
      <c r="G187" s="38">
        <v>11</v>
      </c>
      <c r="H187" s="39" t="s">
        <v>390</v>
      </c>
      <c r="I187" s="39" t="s">
        <v>1330</v>
      </c>
      <c r="J187" s="39" t="s">
        <v>1331</v>
      </c>
      <c r="K187" s="39" t="s">
        <v>1332</v>
      </c>
      <c r="L187" s="39" t="s">
        <v>1333</v>
      </c>
      <c r="M187" s="45" t="s">
        <v>1334</v>
      </c>
      <c r="N187" s="158" t="s">
        <v>1335</v>
      </c>
      <c r="O187" s="95" t="s">
        <v>1235</v>
      </c>
      <c r="R187" s="42" t="s">
        <v>77</v>
      </c>
      <c r="U187" s="52" t="s">
        <v>1235</v>
      </c>
      <c r="W187" s="54" t="s">
        <v>1236</v>
      </c>
      <c r="Z187" s="25" t="s">
        <v>1235</v>
      </c>
      <c r="AA187" s="25">
        <f t="shared" si="2"/>
        <v>1</v>
      </c>
      <c r="AB187" s="24" t="s">
        <v>1336</v>
      </c>
    </row>
    <row r="188" spans="1:16383" ht="15" customHeight="1">
      <c r="A188" s="189" t="s">
        <v>1337</v>
      </c>
      <c r="B188" s="190"/>
      <c r="C188" s="191">
        <v>42695</v>
      </c>
      <c r="D188" s="192" t="s">
        <v>29</v>
      </c>
      <c r="E188" s="192" t="s">
        <v>29</v>
      </c>
      <c r="F188" s="192" t="s">
        <v>69</v>
      </c>
      <c r="G188" s="192">
        <v>4</v>
      </c>
      <c r="H188" s="193" t="s">
        <v>737</v>
      </c>
      <c r="I188" s="193" t="s">
        <v>1338</v>
      </c>
      <c r="J188" s="193" t="s">
        <v>1339</v>
      </c>
      <c r="K188" s="193" t="s">
        <v>1340</v>
      </c>
      <c r="L188" s="193" t="s">
        <v>1341</v>
      </c>
      <c r="M188" s="194" t="s">
        <v>1342</v>
      </c>
      <c r="N188" s="195" t="s">
        <v>13</v>
      </c>
      <c r="O188" s="98">
        <v>42647.416666666664</v>
      </c>
      <c r="P188" s="196" t="s">
        <v>41</v>
      </c>
      <c r="Q188" s="196" t="s">
        <v>41</v>
      </c>
      <c r="R188" s="197" t="s">
        <v>39</v>
      </c>
      <c r="S188" s="198">
        <v>42430</v>
      </c>
      <c r="T188" s="230" t="s">
        <v>1236</v>
      </c>
      <c r="U188" s="230" t="s">
        <v>1242</v>
      </c>
      <c r="V188" s="211"/>
      <c r="W188" s="220" t="s">
        <v>1343</v>
      </c>
      <c r="X188" s="214"/>
      <c r="Y188" s="192"/>
      <c r="Z188" s="190" t="s">
        <v>1235</v>
      </c>
      <c r="AA188" s="25">
        <f t="shared" si="2"/>
        <v>0</v>
      </c>
      <c r="AB188" s="189"/>
    </row>
    <row r="189" spans="1:16383" ht="15" customHeight="1">
      <c r="A189" s="24" t="s">
        <v>1344</v>
      </c>
      <c r="B189" s="25" t="s">
        <v>1007</v>
      </c>
      <c r="C189" s="26">
        <v>42697</v>
      </c>
      <c r="D189" s="38" t="s">
        <v>29</v>
      </c>
      <c r="E189" s="38" t="s">
        <v>94</v>
      </c>
      <c r="F189" s="38" t="s">
        <v>47</v>
      </c>
      <c r="G189" s="38">
        <v>6</v>
      </c>
      <c r="H189" s="39" t="s">
        <v>1008</v>
      </c>
      <c r="I189" s="39" t="s">
        <v>1009</v>
      </c>
      <c r="J189" s="39" t="s">
        <v>1010</v>
      </c>
      <c r="K189" s="39" t="s">
        <v>1011</v>
      </c>
      <c r="L189" s="39" t="s">
        <v>100</v>
      </c>
      <c r="M189" s="45" t="s">
        <v>1345</v>
      </c>
      <c r="N189" s="40" t="s">
        <v>1013</v>
      </c>
      <c r="O189" s="94">
        <v>42604.395833333336</v>
      </c>
      <c r="P189" s="41" t="s">
        <v>185</v>
      </c>
      <c r="Q189" s="41" t="s">
        <v>185</v>
      </c>
      <c r="R189" s="42" t="s">
        <v>1346</v>
      </c>
      <c r="S189" s="43">
        <v>42430</v>
      </c>
      <c r="T189" s="44" t="s">
        <v>1347</v>
      </c>
      <c r="U189" s="52" t="s">
        <v>1235</v>
      </c>
      <c r="W189" s="243" t="s">
        <v>1014</v>
      </c>
      <c r="Z189" s="25" t="s">
        <v>1235</v>
      </c>
      <c r="AA189" s="25">
        <f t="shared" si="2"/>
        <v>1</v>
      </c>
      <c r="AB189" s="24" t="s">
        <v>1348</v>
      </c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  <c r="DW189" s="39"/>
      <c r="DX189" s="39"/>
      <c r="DY189" s="39"/>
      <c r="DZ189" s="39"/>
      <c r="EA189" s="39"/>
      <c r="EB189" s="39"/>
      <c r="EC189" s="39"/>
      <c r="ED189" s="39"/>
      <c r="EE189" s="39"/>
      <c r="EF189" s="39"/>
      <c r="EG189" s="39"/>
      <c r="EH189" s="39"/>
      <c r="EI189" s="39"/>
      <c r="EJ189" s="39"/>
      <c r="EK189" s="39"/>
      <c r="EL189" s="39"/>
      <c r="EM189" s="39"/>
      <c r="EN189" s="39"/>
      <c r="EO189" s="39"/>
      <c r="EP189" s="39"/>
      <c r="EQ189" s="39"/>
      <c r="ER189" s="39"/>
      <c r="ES189" s="39"/>
      <c r="ET189" s="39"/>
      <c r="EU189" s="39"/>
      <c r="EV189" s="39"/>
      <c r="EW189" s="39"/>
      <c r="EX189" s="39"/>
      <c r="EY189" s="39"/>
      <c r="EZ189" s="39"/>
      <c r="FA189" s="39"/>
      <c r="FB189" s="39"/>
      <c r="FC189" s="39"/>
      <c r="FD189" s="39"/>
      <c r="FE189" s="39"/>
      <c r="FF189" s="39"/>
      <c r="FG189" s="39"/>
      <c r="FH189" s="39"/>
      <c r="FI189" s="39"/>
      <c r="FJ189" s="39"/>
      <c r="FK189" s="39"/>
      <c r="FL189" s="39"/>
      <c r="FM189" s="39"/>
      <c r="FN189" s="39"/>
      <c r="FO189" s="39"/>
      <c r="FP189" s="39"/>
      <c r="FQ189" s="39"/>
      <c r="FR189" s="39"/>
      <c r="FS189" s="39"/>
      <c r="FT189" s="39"/>
      <c r="FU189" s="39"/>
      <c r="FV189" s="39"/>
      <c r="FW189" s="39"/>
      <c r="FX189" s="39"/>
      <c r="FY189" s="39"/>
      <c r="FZ189" s="39"/>
      <c r="GA189" s="39"/>
      <c r="GB189" s="39"/>
      <c r="GC189" s="39"/>
      <c r="GD189" s="39"/>
      <c r="GE189" s="39"/>
      <c r="GF189" s="39"/>
      <c r="GG189" s="39"/>
      <c r="GH189" s="39"/>
      <c r="GI189" s="39"/>
      <c r="GJ189" s="39"/>
      <c r="GK189" s="39"/>
      <c r="GL189" s="39"/>
      <c r="GM189" s="39"/>
      <c r="GN189" s="39"/>
      <c r="GO189" s="39"/>
      <c r="GP189" s="39"/>
      <c r="GQ189" s="39"/>
      <c r="GR189" s="39"/>
      <c r="GS189" s="39"/>
      <c r="GT189" s="39"/>
      <c r="GU189" s="39"/>
      <c r="GV189" s="39"/>
      <c r="GW189" s="39"/>
      <c r="GX189" s="39"/>
      <c r="GY189" s="39"/>
      <c r="GZ189" s="39"/>
      <c r="HA189" s="39"/>
      <c r="HB189" s="39"/>
      <c r="HC189" s="39"/>
      <c r="HD189" s="39"/>
      <c r="HE189" s="39"/>
      <c r="HF189" s="39"/>
      <c r="HG189" s="39"/>
      <c r="HH189" s="39"/>
      <c r="HI189" s="39"/>
      <c r="HJ189" s="39"/>
      <c r="HK189" s="39"/>
      <c r="HL189" s="39"/>
      <c r="HM189" s="39"/>
      <c r="HN189" s="39"/>
      <c r="HO189" s="39"/>
      <c r="HP189" s="39"/>
      <c r="HQ189" s="39"/>
      <c r="HR189" s="39"/>
      <c r="HS189" s="39"/>
      <c r="HT189" s="39"/>
      <c r="HU189" s="39"/>
      <c r="HV189" s="39"/>
      <c r="HW189" s="39"/>
      <c r="HX189" s="39"/>
      <c r="HY189" s="39"/>
      <c r="HZ189" s="39"/>
      <c r="IA189" s="39"/>
      <c r="IB189" s="39"/>
      <c r="IC189" s="39"/>
      <c r="ID189" s="39"/>
      <c r="IE189" s="39"/>
      <c r="IF189" s="39"/>
      <c r="IG189" s="39"/>
      <c r="IH189" s="39"/>
      <c r="II189" s="39"/>
      <c r="IJ189" s="39"/>
      <c r="IK189" s="39"/>
      <c r="IL189" s="39"/>
      <c r="IM189" s="39"/>
      <c r="IN189" s="39"/>
      <c r="IO189" s="39"/>
      <c r="IP189" s="39"/>
      <c r="IQ189" s="39"/>
      <c r="IR189" s="39"/>
      <c r="IS189" s="39"/>
      <c r="IT189" s="39"/>
      <c r="IU189" s="39"/>
      <c r="IV189" s="39"/>
      <c r="IW189" s="39"/>
      <c r="IX189" s="39"/>
      <c r="IY189" s="39"/>
      <c r="IZ189" s="39"/>
      <c r="JA189" s="39"/>
      <c r="JB189" s="39"/>
      <c r="JC189" s="39"/>
      <c r="JD189" s="39"/>
      <c r="JE189" s="39"/>
      <c r="JF189" s="39"/>
      <c r="JG189" s="39"/>
      <c r="JH189" s="39"/>
      <c r="JI189" s="39"/>
      <c r="JJ189" s="39"/>
      <c r="JK189" s="39"/>
      <c r="JL189" s="39"/>
      <c r="JM189" s="39"/>
      <c r="JN189" s="39"/>
      <c r="JO189" s="39"/>
      <c r="JP189" s="39"/>
      <c r="JQ189" s="39"/>
      <c r="JR189" s="39"/>
      <c r="JS189" s="39"/>
      <c r="JT189" s="39"/>
      <c r="JU189" s="39"/>
      <c r="JV189" s="39"/>
      <c r="JW189" s="39"/>
      <c r="JX189" s="39"/>
      <c r="JY189" s="39"/>
      <c r="JZ189" s="39"/>
      <c r="KA189" s="39"/>
      <c r="KB189" s="39"/>
      <c r="KC189" s="39"/>
      <c r="KD189" s="39"/>
      <c r="KE189" s="39"/>
      <c r="KF189" s="39"/>
      <c r="KG189" s="39"/>
      <c r="KH189" s="39"/>
      <c r="KI189" s="39"/>
      <c r="KJ189" s="39"/>
      <c r="KK189" s="39"/>
      <c r="KL189" s="39"/>
      <c r="KM189" s="39"/>
      <c r="KN189" s="39"/>
      <c r="KO189" s="39"/>
      <c r="KP189" s="39"/>
      <c r="KQ189" s="39"/>
      <c r="KR189" s="39"/>
      <c r="KS189" s="39"/>
      <c r="KT189" s="39"/>
      <c r="KU189" s="39"/>
      <c r="KV189" s="39"/>
      <c r="KW189" s="39"/>
      <c r="KX189" s="39"/>
      <c r="KY189" s="39"/>
      <c r="KZ189" s="39"/>
      <c r="LA189" s="39"/>
      <c r="LB189" s="39"/>
      <c r="LC189" s="39"/>
      <c r="LD189" s="39"/>
      <c r="LE189" s="39"/>
      <c r="LF189" s="39"/>
      <c r="LG189" s="39"/>
      <c r="LH189" s="39"/>
      <c r="LI189" s="39"/>
      <c r="LJ189" s="39"/>
      <c r="LK189" s="39"/>
      <c r="LL189" s="39"/>
      <c r="LM189" s="39"/>
      <c r="LN189" s="39"/>
      <c r="LO189" s="39"/>
      <c r="LP189" s="39"/>
      <c r="LQ189" s="39"/>
      <c r="LR189" s="39"/>
      <c r="LS189" s="39"/>
      <c r="LT189" s="39"/>
      <c r="LU189" s="39"/>
      <c r="LV189" s="39"/>
      <c r="LW189" s="39"/>
      <c r="LX189" s="39"/>
      <c r="LY189" s="39"/>
      <c r="LZ189" s="39"/>
      <c r="MA189" s="39"/>
      <c r="MB189" s="39"/>
      <c r="MC189" s="39"/>
      <c r="MD189" s="39"/>
      <c r="ME189" s="39"/>
      <c r="MF189" s="39"/>
      <c r="MG189" s="39"/>
      <c r="MH189" s="39"/>
      <c r="MI189" s="39"/>
      <c r="MJ189" s="39"/>
      <c r="MK189" s="39"/>
      <c r="ML189" s="39"/>
      <c r="MM189" s="39"/>
      <c r="MN189" s="39"/>
      <c r="MO189" s="39"/>
      <c r="MP189" s="39"/>
      <c r="MQ189" s="39"/>
      <c r="MR189" s="39"/>
      <c r="MS189" s="39"/>
      <c r="MT189" s="39"/>
      <c r="MU189" s="39"/>
      <c r="MV189" s="39"/>
      <c r="MW189" s="39"/>
      <c r="MX189" s="39"/>
      <c r="MY189" s="39"/>
      <c r="MZ189" s="39"/>
      <c r="NA189" s="39"/>
      <c r="NB189" s="39"/>
      <c r="NC189" s="39"/>
      <c r="ND189" s="39"/>
      <c r="NE189" s="39"/>
      <c r="NF189" s="39"/>
      <c r="NG189" s="39"/>
      <c r="NH189" s="39"/>
      <c r="NI189" s="39"/>
      <c r="NJ189" s="39"/>
      <c r="NK189" s="39"/>
      <c r="NL189" s="39"/>
      <c r="NM189" s="39"/>
      <c r="NN189" s="39"/>
      <c r="NO189" s="39"/>
      <c r="NP189" s="39"/>
      <c r="NQ189" s="39"/>
      <c r="NR189" s="39"/>
      <c r="NS189" s="39"/>
      <c r="NT189" s="39"/>
      <c r="NU189" s="39"/>
      <c r="NV189" s="39"/>
      <c r="NW189" s="39"/>
      <c r="NX189" s="39"/>
      <c r="NY189" s="39"/>
      <c r="NZ189" s="39"/>
      <c r="OA189" s="39"/>
      <c r="OB189" s="39"/>
      <c r="OC189" s="39"/>
      <c r="OD189" s="39"/>
      <c r="OE189" s="39"/>
      <c r="OF189" s="39"/>
      <c r="OG189" s="39"/>
      <c r="OH189" s="39"/>
      <c r="OI189" s="39"/>
      <c r="OJ189" s="39"/>
      <c r="OK189" s="39"/>
      <c r="OL189" s="39"/>
      <c r="OM189" s="39"/>
      <c r="ON189" s="39"/>
      <c r="OO189" s="39"/>
      <c r="OP189" s="39"/>
      <c r="OQ189" s="39"/>
      <c r="OR189" s="39"/>
      <c r="OS189" s="39"/>
      <c r="OT189" s="39"/>
      <c r="OU189" s="39"/>
      <c r="OV189" s="39"/>
      <c r="OW189" s="39"/>
      <c r="OX189" s="39"/>
      <c r="OY189" s="39"/>
      <c r="OZ189" s="39"/>
      <c r="PA189" s="39"/>
      <c r="PB189" s="39"/>
      <c r="PC189" s="39"/>
      <c r="PD189" s="39"/>
      <c r="PE189" s="39"/>
      <c r="PF189" s="39"/>
      <c r="PG189" s="39"/>
      <c r="PH189" s="39"/>
      <c r="PI189" s="39"/>
      <c r="PJ189" s="39"/>
      <c r="PK189" s="39"/>
      <c r="PL189" s="39"/>
      <c r="PM189" s="39"/>
      <c r="PN189" s="39"/>
      <c r="PO189" s="39"/>
      <c r="PP189" s="39"/>
      <c r="PQ189" s="39"/>
      <c r="PR189" s="39"/>
      <c r="PS189" s="39"/>
      <c r="PT189" s="39"/>
      <c r="PU189" s="39"/>
      <c r="PV189" s="39"/>
      <c r="PW189" s="39"/>
      <c r="PX189" s="39"/>
      <c r="PY189" s="39"/>
      <c r="PZ189" s="39"/>
      <c r="QA189" s="39"/>
      <c r="QB189" s="39"/>
      <c r="QC189" s="39"/>
      <c r="QD189" s="39"/>
      <c r="QE189" s="39"/>
      <c r="QF189" s="39"/>
      <c r="QG189" s="39"/>
      <c r="QH189" s="39"/>
      <c r="QI189" s="39"/>
      <c r="QJ189" s="39"/>
      <c r="QK189" s="39"/>
      <c r="QL189" s="39"/>
      <c r="QM189" s="39"/>
      <c r="QN189" s="39"/>
      <c r="QO189" s="39"/>
      <c r="QP189" s="39"/>
      <c r="QQ189" s="39"/>
      <c r="QR189" s="39"/>
      <c r="QS189" s="39"/>
      <c r="QT189" s="39"/>
      <c r="QU189" s="39"/>
      <c r="QV189" s="39"/>
      <c r="QW189" s="39"/>
      <c r="QX189" s="39"/>
      <c r="QY189" s="39"/>
      <c r="QZ189" s="39"/>
      <c r="RA189" s="39"/>
      <c r="RB189" s="39"/>
      <c r="RC189" s="39"/>
      <c r="RD189" s="39"/>
      <c r="RE189" s="39"/>
      <c r="RF189" s="39"/>
      <c r="RG189" s="39"/>
      <c r="RH189" s="39"/>
      <c r="RI189" s="39"/>
      <c r="RJ189" s="39"/>
      <c r="RK189" s="39"/>
      <c r="RL189" s="39"/>
      <c r="RM189" s="39"/>
      <c r="RN189" s="39"/>
      <c r="RO189" s="39"/>
      <c r="RP189" s="39"/>
      <c r="RQ189" s="39"/>
      <c r="RR189" s="39"/>
      <c r="RS189" s="39"/>
      <c r="RT189" s="39"/>
      <c r="RU189" s="39"/>
      <c r="RV189" s="39"/>
      <c r="RW189" s="39"/>
      <c r="RX189" s="39"/>
      <c r="RY189" s="39"/>
      <c r="RZ189" s="39"/>
      <c r="SA189" s="39"/>
      <c r="SB189" s="39"/>
      <c r="SC189" s="39"/>
      <c r="SD189" s="39"/>
      <c r="SE189" s="39"/>
      <c r="SF189" s="39"/>
      <c r="SG189" s="39"/>
      <c r="SH189" s="39"/>
      <c r="SI189" s="39"/>
      <c r="SJ189" s="39"/>
      <c r="SK189" s="39"/>
      <c r="SL189" s="39"/>
      <c r="SM189" s="39"/>
      <c r="SN189" s="39"/>
      <c r="SO189" s="39"/>
      <c r="SP189" s="39"/>
      <c r="SQ189" s="39"/>
      <c r="SR189" s="39"/>
      <c r="SS189" s="39"/>
      <c r="ST189" s="39"/>
      <c r="SU189" s="39"/>
      <c r="SV189" s="39"/>
      <c r="SW189" s="39"/>
      <c r="SX189" s="39"/>
      <c r="SY189" s="39"/>
      <c r="SZ189" s="39"/>
      <c r="TA189" s="39"/>
      <c r="TB189" s="39"/>
      <c r="TC189" s="39"/>
      <c r="TD189" s="39"/>
      <c r="TE189" s="39"/>
      <c r="TF189" s="39"/>
      <c r="TG189" s="39"/>
      <c r="TH189" s="39"/>
      <c r="TI189" s="39"/>
      <c r="TJ189" s="39"/>
      <c r="TK189" s="39"/>
      <c r="TL189" s="39"/>
      <c r="TM189" s="39"/>
      <c r="TN189" s="39"/>
      <c r="TO189" s="39"/>
      <c r="TP189" s="39"/>
      <c r="TQ189" s="39"/>
      <c r="TR189" s="39"/>
      <c r="TS189" s="39"/>
      <c r="TT189" s="39"/>
      <c r="TU189" s="39"/>
      <c r="TV189" s="39"/>
      <c r="TW189" s="39"/>
      <c r="TX189" s="39"/>
      <c r="TY189" s="39"/>
      <c r="TZ189" s="39"/>
      <c r="UA189" s="39"/>
      <c r="UB189" s="39"/>
      <c r="UC189" s="39"/>
      <c r="UD189" s="39"/>
      <c r="UE189" s="39"/>
      <c r="UF189" s="39"/>
      <c r="UG189" s="39"/>
      <c r="UH189" s="39"/>
      <c r="UI189" s="39"/>
      <c r="UJ189" s="39"/>
      <c r="UK189" s="39"/>
      <c r="UL189" s="39"/>
      <c r="UM189" s="39"/>
      <c r="UN189" s="39"/>
      <c r="UO189" s="39"/>
      <c r="UP189" s="39"/>
      <c r="UQ189" s="39"/>
      <c r="UR189" s="39"/>
      <c r="US189" s="39"/>
      <c r="UT189" s="39"/>
      <c r="UU189" s="39"/>
      <c r="UV189" s="39"/>
      <c r="UW189" s="39"/>
      <c r="UX189" s="39"/>
      <c r="UY189" s="39"/>
      <c r="UZ189" s="39"/>
      <c r="VA189" s="39"/>
      <c r="VB189" s="39"/>
      <c r="VC189" s="39"/>
      <c r="VD189" s="39"/>
      <c r="VE189" s="39"/>
      <c r="VF189" s="39"/>
      <c r="VG189" s="39"/>
      <c r="VH189" s="39"/>
      <c r="VI189" s="39"/>
      <c r="VJ189" s="39"/>
      <c r="VK189" s="39"/>
      <c r="VL189" s="39"/>
      <c r="VM189" s="39"/>
      <c r="VN189" s="39"/>
      <c r="VO189" s="39"/>
      <c r="VP189" s="39"/>
      <c r="VQ189" s="39"/>
      <c r="VR189" s="39"/>
      <c r="VS189" s="39"/>
      <c r="VT189" s="39"/>
      <c r="VU189" s="39"/>
      <c r="VV189" s="39"/>
      <c r="VW189" s="39"/>
      <c r="VX189" s="39"/>
      <c r="VY189" s="39"/>
      <c r="VZ189" s="39"/>
      <c r="WA189" s="39"/>
      <c r="WB189" s="39"/>
      <c r="WC189" s="39"/>
      <c r="WD189" s="39"/>
      <c r="WE189" s="39"/>
      <c r="WF189" s="39"/>
      <c r="WG189" s="39"/>
      <c r="WH189" s="39"/>
      <c r="WI189" s="39"/>
      <c r="WJ189" s="39"/>
      <c r="WK189" s="39"/>
      <c r="WL189" s="39"/>
      <c r="WM189" s="39"/>
      <c r="WN189" s="39"/>
      <c r="WO189" s="39"/>
      <c r="WP189" s="39"/>
      <c r="WQ189" s="39"/>
      <c r="WR189" s="39"/>
      <c r="WS189" s="39"/>
      <c r="WT189" s="39"/>
      <c r="WU189" s="39"/>
      <c r="WV189" s="39"/>
      <c r="WW189" s="39"/>
      <c r="WX189" s="39"/>
      <c r="WY189" s="39"/>
      <c r="WZ189" s="39"/>
      <c r="XA189" s="39"/>
      <c r="XB189" s="39"/>
      <c r="XC189" s="39"/>
      <c r="XD189" s="39"/>
      <c r="XE189" s="39"/>
      <c r="XF189" s="39"/>
      <c r="XG189" s="39"/>
      <c r="XH189" s="39"/>
      <c r="XI189" s="39"/>
      <c r="XJ189" s="39"/>
      <c r="XK189" s="39"/>
      <c r="XL189" s="39"/>
      <c r="XM189" s="39"/>
      <c r="XN189" s="39"/>
      <c r="XO189" s="39"/>
      <c r="XP189" s="39"/>
      <c r="XQ189" s="39"/>
      <c r="XR189" s="39"/>
      <c r="XS189" s="39"/>
      <c r="XT189" s="39"/>
      <c r="XU189" s="39"/>
      <c r="XV189" s="39"/>
      <c r="XW189" s="39"/>
      <c r="XX189" s="39"/>
      <c r="XY189" s="39"/>
      <c r="XZ189" s="39"/>
      <c r="YA189" s="39"/>
      <c r="YB189" s="39"/>
      <c r="YC189" s="39"/>
      <c r="YD189" s="39"/>
      <c r="YE189" s="39"/>
      <c r="YF189" s="39"/>
      <c r="YG189" s="39"/>
      <c r="YH189" s="39"/>
      <c r="YI189" s="39"/>
      <c r="YJ189" s="39"/>
      <c r="YK189" s="39"/>
      <c r="YL189" s="39"/>
      <c r="YM189" s="39"/>
      <c r="YN189" s="39"/>
      <c r="YO189" s="39"/>
      <c r="YP189" s="39"/>
      <c r="YQ189" s="39"/>
      <c r="YR189" s="39"/>
      <c r="YS189" s="39"/>
      <c r="YT189" s="39"/>
      <c r="YU189" s="39"/>
      <c r="YV189" s="39"/>
      <c r="YW189" s="39"/>
      <c r="YX189" s="39"/>
      <c r="YY189" s="39"/>
      <c r="YZ189" s="39"/>
      <c r="ZA189" s="39"/>
      <c r="ZB189" s="39"/>
      <c r="ZC189" s="39"/>
      <c r="ZD189" s="39"/>
      <c r="ZE189" s="39"/>
      <c r="ZF189" s="39"/>
      <c r="ZG189" s="39"/>
      <c r="ZH189" s="39"/>
      <c r="ZI189" s="39"/>
      <c r="ZJ189" s="39"/>
      <c r="ZK189" s="39"/>
      <c r="ZL189" s="39"/>
      <c r="ZM189" s="39"/>
      <c r="ZN189" s="39"/>
      <c r="ZO189" s="39"/>
      <c r="ZP189" s="39"/>
      <c r="ZQ189" s="39"/>
      <c r="ZR189" s="39"/>
      <c r="ZS189" s="39"/>
      <c r="ZT189" s="39"/>
      <c r="ZU189" s="39"/>
      <c r="ZV189" s="39"/>
      <c r="ZW189" s="39"/>
      <c r="ZX189" s="39"/>
      <c r="ZY189" s="39"/>
      <c r="ZZ189" s="39"/>
      <c r="AAA189" s="39"/>
      <c r="AAB189" s="39"/>
      <c r="AAC189" s="39"/>
      <c r="AAD189" s="39"/>
      <c r="AAE189" s="39"/>
      <c r="AAF189" s="39"/>
      <c r="AAG189" s="39"/>
      <c r="AAH189" s="39"/>
      <c r="AAI189" s="39"/>
      <c r="AAJ189" s="39"/>
      <c r="AAK189" s="39"/>
      <c r="AAL189" s="39"/>
      <c r="AAM189" s="39"/>
      <c r="AAN189" s="39"/>
      <c r="AAO189" s="39"/>
      <c r="AAP189" s="39"/>
      <c r="AAQ189" s="39"/>
      <c r="AAR189" s="39"/>
      <c r="AAS189" s="39"/>
      <c r="AAT189" s="39"/>
      <c r="AAU189" s="39"/>
      <c r="AAV189" s="39"/>
      <c r="AAW189" s="39"/>
      <c r="AAX189" s="39"/>
      <c r="AAY189" s="39"/>
      <c r="AAZ189" s="39"/>
      <c r="ABA189" s="39"/>
      <c r="ABB189" s="39"/>
      <c r="ABC189" s="39"/>
      <c r="ABD189" s="39"/>
      <c r="ABE189" s="39"/>
      <c r="ABF189" s="39"/>
      <c r="ABG189" s="39"/>
      <c r="ABH189" s="39"/>
      <c r="ABI189" s="39"/>
      <c r="ABJ189" s="39"/>
      <c r="ABK189" s="39"/>
      <c r="ABL189" s="39"/>
      <c r="ABM189" s="39"/>
      <c r="ABN189" s="39"/>
      <c r="ABO189" s="39"/>
      <c r="ABP189" s="39"/>
      <c r="ABQ189" s="39"/>
      <c r="ABR189" s="39"/>
      <c r="ABS189" s="39"/>
      <c r="ABT189" s="39"/>
      <c r="ABU189" s="39"/>
      <c r="ABV189" s="39"/>
      <c r="ABW189" s="39"/>
      <c r="ABX189" s="39"/>
      <c r="ABY189" s="39"/>
      <c r="ABZ189" s="39"/>
      <c r="ACA189" s="39"/>
      <c r="ACB189" s="39"/>
      <c r="ACC189" s="39"/>
      <c r="ACD189" s="39"/>
      <c r="ACE189" s="39"/>
      <c r="ACF189" s="39"/>
      <c r="ACG189" s="39"/>
      <c r="ACH189" s="39"/>
      <c r="ACI189" s="39"/>
      <c r="ACJ189" s="39"/>
      <c r="ACK189" s="39"/>
      <c r="ACL189" s="39"/>
      <c r="ACM189" s="39"/>
      <c r="ACN189" s="39"/>
      <c r="ACO189" s="39"/>
      <c r="ACP189" s="39"/>
      <c r="ACQ189" s="39"/>
      <c r="ACR189" s="39"/>
      <c r="ACS189" s="39"/>
      <c r="ACT189" s="39"/>
      <c r="ACU189" s="39"/>
      <c r="ACV189" s="39"/>
      <c r="ACW189" s="39"/>
      <c r="ACX189" s="39"/>
      <c r="ACY189" s="39"/>
      <c r="ACZ189" s="39"/>
      <c r="ADA189" s="39"/>
      <c r="ADB189" s="39"/>
      <c r="ADC189" s="39"/>
      <c r="ADD189" s="39"/>
      <c r="ADE189" s="39"/>
      <c r="ADF189" s="39"/>
      <c r="ADG189" s="39"/>
      <c r="ADH189" s="39"/>
      <c r="ADI189" s="39"/>
      <c r="ADJ189" s="39"/>
      <c r="ADK189" s="39"/>
      <c r="ADL189" s="39"/>
      <c r="ADM189" s="39"/>
      <c r="ADN189" s="39"/>
      <c r="ADO189" s="39"/>
      <c r="ADP189" s="39"/>
      <c r="ADQ189" s="39"/>
      <c r="ADR189" s="39"/>
      <c r="ADS189" s="39"/>
      <c r="ADT189" s="39"/>
      <c r="ADU189" s="39"/>
      <c r="ADV189" s="39"/>
      <c r="ADW189" s="39"/>
      <c r="ADX189" s="39"/>
      <c r="ADY189" s="39"/>
      <c r="ADZ189" s="39"/>
      <c r="AEA189" s="39"/>
      <c r="AEB189" s="39"/>
      <c r="AEC189" s="39"/>
      <c r="AED189" s="39"/>
      <c r="AEE189" s="39"/>
      <c r="AEF189" s="39"/>
      <c r="AEG189" s="39"/>
      <c r="AEH189" s="39"/>
      <c r="AEI189" s="39"/>
      <c r="AEJ189" s="39"/>
      <c r="AEK189" s="39"/>
      <c r="AEL189" s="39"/>
      <c r="AEM189" s="39"/>
      <c r="AEN189" s="39"/>
      <c r="AEO189" s="39"/>
      <c r="AEP189" s="39"/>
      <c r="AEQ189" s="39"/>
      <c r="AER189" s="39"/>
      <c r="AES189" s="39"/>
      <c r="AET189" s="39"/>
      <c r="AEU189" s="39"/>
      <c r="AEV189" s="39"/>
      <c r="AEW189" s="39"/>
      <c r="AEX189" s="39"/>
      <c r="AEY189" s="39"/>
      <c r="AEZ189" s="39"/>
      <c r="AFA189" s="39"/>
      <c r="AFB189" s="39"/>
      <c r="AFC189" s="39"/>
      <c r="AFD189" s="39"/>
      <c r="AFE189" s="39"/>
      <c r="AFF189" s="39"/>
      <c r="AFG189" s="39"/>
      <c r="AFH189" s="39"/>
      <c r="AFI189" s="39"/>
      <c r="AFJ189" s="39"/>
      <c r="AFK189" s="39"/>
      <c r="AFL189" s="39"/>
      <c r="AFM189" s="39"/>
      <c r="AFN189" s="39"/>
      <c r="AFO189" s="39"/>
      <c r="AFP189" s="39"/>
      <c r="AFQ189" s="39"/>
      <c r="AFR189" s="39"/>
      <c r="AFS189" s="39"/>
      <c r="AFT189" s="39"/>
      <c r="AFU189" s="39"/>
      <c r="AFV189" s="39"/>
      <c r="AFW189" s="39"/>
      <c r="AFX189" s="39"/>
      <c r="AFY189" s="39"/>
      <c r="AFZ189" s="39"/>
      <c r="AGA189" s="39"/>
      <c r="AGB189" s="39"/>
      <c r="AGC189" s="39"/>
      <c r="AGD189" s="39"/>
      <c r="AGE189" s="39"/>
      <c r="AGF189" s="39"/>
      <c r="AGG189" s="39"/>
      <c r="AGH189" s="39"/>
      <c r="AGI189" s="39"/>
      <c r="AGJ189" s="39"/>
      <c r="AGK189" s="39"/>
      <c r="AGL189" s="39"/>
      <c r="AGM189" s="39"/>
      <c r="AGN189" s="39"/>
      <c r="AGO189" s="39"/>
      <c r="AGP189" s="39"/>
      <c r="AGQ189" s="39"/>
      <c r="AGR189" s="39"/>
      <c r="AGS189" s="39"/>
      <c r="AGT189" s="39"/>
      <c r="AGU189" s="39"/>
      <c r="AGV189" s="39"/>
      <c r="AGW189" s="39"/>
      <c r="AGX189" s="39"/>
      <c r="AGY189" s="39"/>
      <c r="AGZ189" s="39"/>
      <c r="AHA189" s="39"/>
      <c r="AHB189" s="39"/>
      <c r="AHC189" s="39"/>
      <c r="AHD189" s="39"/>
      <c r="AHE189" s="39"/>
      <c r="AHF189" s="39"/>
      <c r="AHG189" s="39"/>
      <c r="AHH189" s="39"/>
      <c r="AHI189" s="39"/>
      <c r="AHJ189" s="39"/>
      <c r="AHK189" s="39"/>
      <c r="AHL189" s="39"/>
      <c r="AHM189" s="39"/>
      <c r="AHN189" s="39"/>
      <c r="AHO189" s="39"/>
      <c r="AHP189" s="39"/>
      <c r="AHQ189" s="39"/>
      <c r="AHR189" s="39"/>
      <c r="AHS189" s="39"/>
      <c r="AHT189" s="39"/>
      <c r="AHU189" s="39"/>
      <c r="AHV189" s="39"/>
      <c r="AHW189" s="39"/>
      <c r="AHX189" s="39"/>
      <c r="AHY189" s="39"/>
      <c r="AHZ189" s="39"/>
      <c r="AIA189" s="39"/>
      <c r="AIB189" s="39"/>
      <c r="AIC189" s="39"/>
      <c r="AID189" s="39"/>
      <c r="AIE189" s="39"/>
      <c r="AIF189" s="39"/>
      <c r="AIG189" s="39"/>
      <c r="AIH189" s="39"/>
      <c r="AII189" s="39"/>
      <c r="AIJ189" s="39"/>
      <c r="AIK189" s="39"/>
      <c r="AIL189" s="39"/>
      <c r="AIM189" s="39"/>
      <c r="AIN189" s="39"/>
      <c r="AIO189" s="39"/>
      <c r="AIP189" s="39"/>
      <c r="AIQ189" s="39"/>
      <c r="AIR189" s="39"/>
      <c r="AIS189" s="39"/>
      <c r="AIT189" s="39"/>
      <c r="AIU189" s="39"/>
      <c r="AIV189" s="39"/>
      <c r="AIW189" s="39"/>
      <c r="AIX189" s="39"/>
      <c r="AIY189" s="39"/>
      <c r="AIZ189" s="39"/>
      <c r="AJA189" s="39"/>
      <c r="AJB189" s="39"/>
      <c r="AJC189" s="39"/>
      <c r="AJD189" s="39"/>
      <c r="AJE189" s="39"/>
      <c r="AJF189" s="39"/>
      <c r="AJG189" s="39"/>
      <c r="AJH189" s="39"/>
      <c r="AJI189" s="39"/>
      <c r="AJJ189" s="39"/>
      <c r="AJK189" s="39"/>
      <c r="AJL189" s="39"/>
      <c r="AJM189" s="39"/>
      <c r="AJN189" s="39"/>
      <c r="AJO189" s="39"/>
      <c r="AJP189" s="39"/>
      <c r="AJQ189" s="39"/>
      <c r="AJR189" s="39"/>
      <c r="AJS189" s="39"/>
      <c r="AJT189" s="39"/>
      <c r="AJU189" s="39"/>
      <c r="AJV189" s="39"/>
      <c r="AJW189" s="39"/>
      <c r="AJX189" s="39"/>
      <c r="AJY189" s="39"/>
      <c r="AJZ189" s="39"/>
      <c r="AKA189" s="39"/>
      <c r="AKB189" s="39"/>
      <c r="AKC189" s="39"/>
      <c r="AKD189" s="39"/>
      <c r="AKE189" s="39"/>
      <c r="AKF189" s="39"/>
      <c r="AKG189" s="39"/>
      <c r="AKH189" s="39"/>
      <c r="AKI189" s="39"/>
      <c r="AKJ189" s="39"/>
      <c r="AKK189" s="39"/>
      <c r="AKL189" s="39"/>
      <c r="AKM189" s="39"/>
      <c r="AKN189" s="39"/>
      <c r="AKO189" s="39"/>
      <c r="AKP189" s="39"/>
      <c r="AKQ189" s="39"/>
      <c r="AKR189" s="39"/>
      <c r="AKS189" s="39"/>
      <c r="AKT189" s="39"/>
      <c r="AKU189" s="39"/>
      <c r="AKV189" s="39"/>
      <c r="AKW189" s="39"/>
      <c r="AKX189" s="39"/>
      <c r="AKY189" s="39"/>
      <c r="AKZ189" s="39"/>
      <c r="ALA189" s="39"/>
      <c r="ALB189" s="39"/>
      <c r="ALC189" s="39"/>
      <c r="ALD189" s="39"/>
      <c r="ALE189" s="39"/>
      <c r="ALF189" s="39"/>
      <c r="ALG189" s="39"/>
      <c r="ALH189" s="39"/>
      <c r="ALI189" s="39"/>
      <c r="ALJ189" s="39"/>
      <c r="ALK189" s="39"/>
      <c r="ALL189" s="39"/>
      <c r="ALM189" s="39"/>
      <c r="ALN189" s="39"/>
      <c r="ALO189" s="39"/>
      <c r="ALP189" s="39"/>
      <c r="ALQ189" s="39"/>
      <c r="ALR189" s="39"/>
      <c r="ALS189" s="39"/>
      <c r="ALT189" s="39"/>
      <c r="ALU189" s="39"/>
      <c r="ALV189" s="39"/>
      <c r="ALW189" s="39"/>
      <c r="ALX189" s="39"/>
      <c r="ALY189" s="39"/>
      <c r="ALZ189" s="39"/>
      <c r="AMA189" s="39"/>
      <c r="AMB189" s="39"/>
      <c r="AMC189" s="39"/>
      <c r="AMD189" s="39"/>
      <c r="AME189" s="39"/>
      <c r="AMF189" s="39"/>
      <c r="AMG189" s="39"/>
      <c r="AMH189" s="39"/>
      <c r="AMI189" s="39"/>
      <c r="AMJ189" s="39"/>
      <c r="AMK189" s="39"/>
      <c r="AML189" s="39"/>
      <c r="AMM189" s="39"/>
      <c r="AMN189" s="39"/>
      <c r="AMO189" s="39"/>
      <c r="AMP189" s="39"/>
      <c r="AMQ189" s="39"/>
      <c r="AMR189" s="39"/>
      <c r="AMS189" s="39"/>
      <c r="AMT189" s="39"/>
      <c r="AMU189" s="39"/>
      <c r="AMV189" s="39"/>
      <c r="AMW189" s="39"/>
      <c r="AMX189" s="39"/>
      <c r="AMY189" s="39"/>
      <c r="AMZ189" s="39"/>
      <c r="ANA189" s="39"/>
      <c r="ANB189" s="39"/>
      <c r="ANC189" s="39"/>
      <c r="AND189" s="39"/>
      <c r="ANE189" s="39"/>
      <c r="ANF189" s="39"/>
      <c r="ANG189" s="39"/>
      <c r="ANH189" s="39"/>
      <c r="ANI189" s="39"/>
      <c r="ANJ189" s="39"/>
      <c r="ANK189" s="39"/>
      <c r="ANL189" s="39"/>
      <c r="ANM189" s="39"/>
      <c r="ANN189" s="39"/>
      <c r="ANO189" s="39"/>
      <c r="ANP189" s="39"/>
      <c r="ANQ189" s="39"/>
      <c r="ANR189" s="39"/>
      <c r="ANS189" s="39"/>
      <c r="ANT189" s="39"/>
      <c r="ANU189" s="39"/>
      <c r="ANV189" s="39"/>
      <c r="ANW189" s="39"/>
      <c r="ANX189" s="39"/>
      <c r="ANY189" s="39"/>
      <c r="ANZ189" s="39"/>
      <c r="AOA189" s="39"/>
      <c r="AOB189" s="39"/>
      <c r="AOC189" s="39"/>
      <c r="AOD189" s="39"/>
      <c r="AOE189" s="39"/>
      <c r="AOF189" s="39"/>
      <c r="AOG189" s="39"/>
      <c r="AOH189" s="39"/>
      <c r="AOI189" s="39"/>
      <c r="AOJ189" s="39"/>
      <c r="AOK189" s="39"/>
      <c r="AOL189" s="39"/>
      <c r="AOM189" s="39"/>
      <c r="AON189" s="39"/>
      <c r="AOO189" s="39"/>
      <c r="AOP189" s="39"/>
      <c r="AOQ189" s="39"/>
      <c r="AOR189" s="39"/>
      <c r="AOS189" s="39"/>
      <c r="AOT189" s="39"/>
      <c r="AOU189" s="39"/>
      <c r="AOV189" s="39"/>
      <c r="AOW189" s="39"/>
      <c r="AOX189" s="39"/>
      <c r="AOY189" s="39"/>
      <c r="AOZ189" s="39"/>
      <c r="APA189" s="39"/>
      <c r="APB189" s="39"/>
      <c r="APC189" s="39"/>
      <c r="APD189" s="39"/>
      <c r="APE189" s="39"/>
      <c r="APF189" s="39"/>
      <c r="APG189" s="39"/>
      <c r="APH189" s="39"/>
      <c r="API189" s="39"/>
      <c r="APJ189" s="39"/>
      <c r="APK189" s="39"/>
      <c r="APL189" s="39"/>
      <c r="APM189" s="39"/>
      <c r="APN189" s="39"/>
      <c r="APO189" s="39"/>
      <c r="APP189" s="39"/>
      <c r="APQ189" s="39"/>
      <c r="APR189" s="39"/>
      <c r="APS189" s="39"/>
      <c r="APT189" s="39"/>
      <c r="APU189" s="39"/>
      <c r="APV189" s="39"/>
      <c r="APW189" s="39"/>
      <c r="APX189" s="39"/>
      <c r="APY189" s="39"/>
      <c r="APZ189" s="39"/>
      <c r="AQA189" s="39"/>
      <c r="AQB189" s="39"/>
      <c r="AQC189" s="39"/>
      <c r="AQD189" s="39"/>
      <c r="AQE189" s="39"/>
      <c r="AQF189" s="39"/>
      <c r="AQG189" s="39"/>
      <c r="AQH189" s="39"/>
      <c r="AQI189" s="39"/>
      <c r="AQJ189" s="39"/>
      <c r="AQK189" s="39"/>
      <c r="AQL189" s="39"/>
      <c r="AQM189" s="39"/>
      <c r="AQN189" s="39"/>
      <c r="AQO189" s="39"/>
      <c r="AQP189" s="39"/>
      <c r="AQQ189" s="39"/>
      <c r="AQR189" s="39"/>
      <c r="AQS189" s="39"/>
      <c r="AQT189" s="39"/>
      <c r="AQU189" s="39"/>
      <c r="AQV189" s="39"/>
      <c r="AQW189" s="39"/>
      <c r="AQX189" s="39"/>
      <c r="AQY189" s="39"/>
      <c r="AQZ189" s="39"/>
      <c r="ARA189" s="39"/>
      <c r="ARB189" s="39"/>
      <c r="ARC189" s="39"/>
      <c r="ARD189" s="39"/>
      <c r="ARE189" s="39"/>
      <c r="ARF189" s="39"/>
      <c r="ARG189" s="39"/>
      <c r="ARH189" s="39"/>
      <c r="ARI189" s="39"/>
      <c r="ARJ189" s="39"/>
      <c r="ARK189" s="39"/>
      <c r="ARL189" s="39"/>
      <c r="ARM189" s="39"/>
      <c r="ARN189" s="39"/>
      <c r="ARO189" s="39"/>
      <c r="ARP189" s="39"/>
      <c r="ARQ189" s="39"/>
      <c r="ARR189" s="39"/>
      <c r="ARS189" s="39"/>
      <c r="ART189" s="39"/>
      <c r="ARU189" s="39"/>
      <c r="ARV189" s="39"/>
      <c r="ARW189" s="39"/>
      <c r="ARX189" s="39"/>
      <c r="ARY189" s="39"/>
      <c r="ARZ189" s="39"/>
      <c r="ASA189" s="39"/>
      <c r="ASB189" s="39"/>
      <c r="ASC189" s="39"/>
      <c r="ASD189" s="39"/>
      <c r="ASE189" s="39"/>
      <c r="ASF189" s="39"/>
      <c r="ASG189" s="39"/>
      <c r="ASH189" s="39"/>
      <c r="ASI189" s="39"/>
      <c r="ASJ189" s="39"/>
      <c r="ASK189" s="39"/>
      <c r="ASL189" s="39"/>
      <c r="ASM189" s="39"/>
      <c r="ASN189" s="39"/>
      <c r="ASO189" s="39"/>
      <c r="ASP189" s="39"/>
      <c r="ASQ189" s="39"/>
      <c r="ASR189" s="39"/>
      <c r="ASS189" s="39"/>
      <c r="AST189" s="39"/>
      <c r="ASU189" s="39"/>
      <c r="ASV189" s="39"/>
      <c r="ASW189" s="39"/>
      <c r="ASX189" s="39"/>
      <c r="ASY189" s="39"/>
      <c r="ASZ189" s="39"/>
      <c r="ATA189" s="39"/>
      <c r="ATB189" s="39"/>
      <c r="ATC189" s="39"/>
      <c r="ATD189" s="39"/>
      <c r="ATE189" s="39"/>
      <c r="ATF189" s="39"/>
      <c r="ATG189" s="39"/>
      <c r="ATH189" s="39"/>
      <c r="ATI189" s="39"/>
      <c r="ATJ189" s="39"/>
      <c r="ATK189" s="39"/>
      <c r="ATL189" s="39"/>
      <c r="ATM189" s="39"/>
      <c r="ATN189" s="39"/>
      <c r="ATO189" s="39"/>
      <c r="ATP189" s="39"/>
      <c r="ATQ189" s="39"/>
      <c r="ATR189" s="39"/>
      <c r="ATS189" s="39"/>
      <c r="ATT189" s="39"/>
      <c r="ATU189" s="39"/>
      <c r="ATV189" s="39"/>
      <c r="ATW189" s="39"/>
      <c r="ATX189" s="39"/>
      <c r="ATY189" s="39"/>
      <c r="ATZ189" s="39"/>
      <c r="AUA189" s="39"/>
      <c r="AUB189" s="39"/>
      <c r="AUC189" s="39"/>
      <c r="AUD189" s="39"/>
      <c r="AUE189" s="39"/>
      <c r="AUF189" s="39"/>
      <c r="AUG189" s="39"/>
      <c r="AUH189" s="39"/>
      <c r="AUI189" s="39"/>
      <c r="AUJ189" s="39"/>
      <c r="AUK189" s="39"/>
      <c r="AUL189" s="39"/>
      <c r="AUM189" s="39"/>
      <c r="AUN189" s="39"/>
      <c r="AUO189" s="39"/>
      <c r="AUP189" s="39"/>
      <c r="AUQ189" s="39"/>
      <c r="AUR189" s="39"/>
      <c r="AUS189" s="39"/>
      <c r="AUT189" s="39"/>
      <c r="AUU189" s="39"/>
      <c r="AUV189" s="39"/>
      <c r="AUW189" s="39"/>
      <c r="AUX189" s="39"/>
      <c r="AUY189" s="39"/>
      <c r="AUZ189" s="39"/>
      <c r="AVA189" s="39"/>
      <c r="AVB189" s="39"/>
      <c r="AVC189" s="39"/>
      <c r="AVD189" s="39"/>
      <c r="AVE189" s="39"/>
      <c r="AVF189" s="39"/>
      <c r="AVG189" s="39"/>
      <c r="AVH189" s="39"/>
      <c r="AVI189" s="39"/>
      <c r="AVJ189" s="39"/>
      <c r="AVK189" s="39"/>
      <c r="AVL189" s="39"/>
      <c r="AVM189" s="39"/>
      <c r="AVN189" s="39"/>
      <c r="AVO189" s="39"/>
      <c r="AVP189" s="39"/>
      <c r="AVQ189" s="39"/>
      <c r="AVR189" s="39"/>
      <c r="AVS189" s="39"/>
      <c r="AVT189" s="39"/>
      <c r="AVU189" s="39"/>
      <c r="AVV189" s="39"/>
      <c r="AVW189" s="39"/>
      <c r="AVX189" s="39"/>
      <c r="AVY189" s="39"/>
      <c r="AVZ189" s="39"/>
      <c r="AWA189" s="39"/>
      <c r="AWB189" s="39"/>
      <c r="AWC189" s="39"/>
      <c r="AWD189" s="39"/>
      <c r="AWE189" s="39"/>
      <c r="AWF189" s="39"/>
      <c r="AWG189" s="39"/>
      <c r="AWH189" s="39"/>
      <c r="AWI189" s="39"/>
      <c r="AWJ189" s="39"/>
      <c r="AWK189" s="39"/>
      <c r="AWL189" s="39"/>
      <c r="AWM189" s="39"/>
      <c r="AWN189" s="39"/>
      <c r="AWO189" s="39"/>
      <c r="AWP189" s="39"/>
      <c r="AWQ189" s="39"/>
      <c r="AWR189" s="39"/>
      <c r="AWS189" s="39"/>
      <c r="AWT189" s="39"/>
      <c r="AWU189" s="39"/>
      <c r="AWV189" s="39"/>
      <c r="AWW189" s="39"/>
      <c r="AWX189" s="39"/>
      <c r="AWY189" s="39"/>
      <c r="AWZ189" s="39"/>
      <c r="AXA189" s="39"/>
      <c r="AXB189" s="39"/>
      <c r="AXC189" s="39"/>
      <c r="AXD189" s="39"/>
      <c r="AXE189" s="39"/>
      <c r="AXF189" s="39"/>
      <c r="AXG189" s="39"/>
      <c r="AXH189" s="39"/>
      <c r="AXI189" s="39"/>
      <c r="AXJ189" s="39"/>
      <c r="AXK189" s="39"/>
      <c r="AXL189" s="39"/>
      <c r="AXM189" s="39"/>
      <c r="AXN189" s="39"/>
      <c r="AXO189" s="39"/>
      <c r="AXP189" s="39"/>
      <c r="AXQ189" s="39"/>
      <c r="AXR189" s="39"/>
      <c r="AXS189" s="39"/>
      <c r="AXT189" s="39"/>
      <c r="AXU189" s="39"/>
      <c r="AXV189" s="39"/>
      <c r="AXW189" s="39"/>
      <c r="AXX189" s="39"/>
      <c r="AXY189" s="39"/>
      <c r="AXZ189" s="39"/>
      <c r="AYA189" s="39"/>
      <c r="AYB189" s="39"/>
      <c r="AYC189" s="39"/>
      <c r="AYD189" s="39"/>
      <c r="AYE189" s="39"/>
      <c r="AYF189" s="39"/>
      <c r="AYG189" s="39"/>
      <c r="AYH189" s="39"/>
      <c r="AYI189" s="39"/>
      <c r="AYJ189" s="39"/>
      <c r="AYK189" s="39"/>
      <c r="AYL189" s="39"/>
      <c r="AYM189" s="39"/>
      <c r="AYN189" s="39"/>
      <c r="AYO189" s="39"/>
      <c r="AYP189" s="39"/>
      <c r="AYQ189" s="39"/>
      <c r="AYR189" s="39"/>
      <c r="AYS189" s="39"/>
      <c r="AYT189" s="39"/>
      <c r="AYU189" s="39"/>
      <c r="AYV189" s="39"/>
      <c r="AYW189" s="39"/>
      <c r="AYX189" s="39"/>
      <c r="AYY189" s="39"/>
      <c r="AYZ189" s="39"/>
      <c r="AZA189" s="39"/>
      <c r="AZB189" s="39"/>
      <c r="AZC189" s="39"/>
      <c r="AZD189" s="39"/>
      <c r="AZE189" s="39"/>
      <c r="AZF189" s="39"/>
      <c r="AZG189" s="39"/>
      <c r="AZH189" s="39"/>
      <c r="AZI189" s="39"/>
      <c r="AZJ189" s="39"/>
      <c r="AZK189" s="39"/>
      <c r="AZL189" s="39"/>
      <c r="AZM189" s="39"/>
      <c r="AZN189" s="39"/>
      <c r="AZO189" s="39"/>
      <c r="AZP189" s="39"/>
      <c r="AZQ189" s="39"/>
      <c r="AZR189" s="39"/>
      <c r="AZS189" s="39"/>
      <c r="AZT189" s="39"/>
      <c r="AZU189" s="39"/>
      <c r="AZV189" s="39"/>
      <c r="AZW189" s="39"/>
      <c r="AZX189" s="39"/>
      <c r="AZY189" s="39"/>
      <c r="AZZ189" s="39"/>
      <c r="BAA189" s="39"/>
      <c r="BAB189" s="39"/>
      <c r="BAC189" s="39"/>
      <c r="BAD189" s="39"/>
      <c r="BAE189" s="39"/>
      <c r="BAF189" s="39"/>
      <c r="BAG189" s="39"/>
      <c r="BAH189" s="39"/>
      <c r="BAI189" s="39"/>
      <c r="BAJ189" s="39"/>
      <c r="BAK189" s="39"/>
      <c r="BAL189" s="39"/>
      <c r="BAM189" s="39"/>
      <c r="BAN189" s="39"/>
      <c r="BAO189" s="39"/>
      <c r="BAP189" s="39"/>
      <c r="BAQ189" s="39"/>
      <c r="BAR189" s="39"/>
      <c r="BAS189" s="39"/>
      <c r="BAT189" s="39"/>
      <c r="BAU189" s="39"/>
      <c r="BAV189" s="39"/>
      <c r="BAW189" s="39"/>
      <c r="BAX189" s="39"/>
      <c r="BAY189" s="39"/>
      <c r="BAZ189" s="39"/>
      <c r="BBA189" s="39"/>
      <c r="BBB189" s="39"/>
      <c r="BBC189" s="39"/>
      <c r="BBD189" s="39"/>
      <c r="BBE189" s="39"/>
      <c r="BBF189" s="39"/>
      <c r="BBG189" s="39"/>
      <c r="BBH189" s="39"/>
      <c r="BBI189" s="39"/>
      <c r="BBJ189" s="39"/>
      <c r="BBK189" s="39"/>
      <c r="BBL189" s="39"/>
      <c r="BBM189" s="39"/>
      <c r="BBN189" s="39"/>
      <c r="BBO189" s="39"/>
      <c r="BBP189" s="39"/>
      <c r="BBQ189" s="39"/>
      <c r="BBR189" s="39"/>
      <c r="BBS189" s="39"/>
      <c r="BBT189" s="39"/>
      <c r="BBU189" s="39"/>
      <c r="BBV189" s="39"/>
      <c r="BBW189" s="39"/>
      <c r="BBX189" s="39"/>
      <c r="BBY189" s="39"/>
      <c r="BBZ189" s="39"/>
      <c r="BCA189" s="39"/>
      <c r="BCB189" s="39"/>
      <c r="BCC189" s="39"/>
      <c r="BCD189" s="39"/>
      <c r="BCE189" s="39"/>
      <c r="BCF189" s="39"/>
      <c r="BCG189" s="39"/>
      <c r="BCH189" s="39"/>
      <c r="BCI189" s="39"/>
      <c r="BCJ189" s="39"/>
      <c r="BCK189" s="39"/>
      <c r="BCL189" s="39"/>
      <c r="BCM189" s="39"/>
      <c r="BCN189" s="39"/>
      <c r="BCO189" s="39"/>
      <c r="BCP189" s="39"/>
      <c r="BCQ189" s="39"/>
      <c r="BCR189" s="39"/>
      <c r="BCS189" s="39"/>
      <c r="BCT189" s="39"/>
      <c r="BCU189" s="39"/>
      <c r="BCV189" s="39"/>
      <c r="BCW189" s="39"/>
      <c r="BCX189" s="39"/>
      <c r="BCY189" s="39"/>
      <c r="BCZ189" s="39"/>
      <c r="BDA189" s="39"/>
      <c r="BDB189" s="39"/>
      <c r="BDC189" s="39"/>
      <c r="BDD189" s="39"/>
      <c r="BDE189" s="39"/>
      <c r="BDF189" s="39"/>
      <c r="BDG189" s="39"/>
      <c r="BDH189" s="39"/>
      <c r="BDI189" s="39"/>
      <c r="BDJ189" s="39"/>
      <c r="BDK189" s="39"/>
      <c r="BDL189" s="39"/>
      <c r="BDM189" s="39"/>
      <c r="BDN189" s="39"/>
      <c r="BDO189" s="39"/>
      <c r="BDP189" s="39"/>
      <c r="BDQ189" s="39"/>
      <c r="BDR189" s="39"/>
      <c r="BDS189" s="39"/>
      <c r="BDT189" s="39"/>
      <c r="BDU189" s="39"/>
      <c r="BDV189" s="39"/>
      <c r="BDW189" s="39"/>
      <c r="BDX189" s="39"/>
      <c r="BDY189" s="39"/>
      <c r="BDZ189" s="39"/>
      <c r="BEA189" s="39"/>
      <c r="BEB189" s="39"/>
      <c r="BEC189" s="39"/>
      <c r="BED189" s="39"/>
      <c r="BEE189" s="39"/>
      <c r="BEF189" s="39"/>
      <c r="BEG189" s="39"/>
      <c r="BEH189" s="39"/>
      <c r="BEI189" s="39"/>
      <c r="BEJ189" s="39"/>
      <c r="BEK189" s="39"/>
      <c r="BEL189" s="39"/>
      <c r="BEM189" s="39"/>
      <c r="BEN189" s="39"/>
      <c r="BEO189" s="39"/>
      <c r="BEP189" s="39"/>
      <c r="BEQ189" s="39"/>
      <c r="BER189" s="39"/>
      <c r="BES189" s="39"/>
      <c r="BET189" s="39"/>
      <c r="BEU189" s="39"/>
      <c r="BEV189" s="39"/>
      <c r="BEW189" s="39"/>
      <c r="BEX189" s="39"/>
      <c r="BEY189" s="39"/>
      <c r="BEZ189" s="39"/>
      <c r="BFA189" s="39"/>
      <c r="BFB189" s="39"/>
      <c r="BFC189" s="39"/>
      <c r="BFD189" s="39"/>
      <c r="BFE189" s="39"/>
      <c r="BFF189" s="39"/>
      <c r="BFG189" s="39"/>
      <c r="BFH189" s="39"/>
      <c r="BFI189" s="39"/>
      <c r="BFJ189" s="39"/>
      <c r="BFK189" s="39"/>
      <c r="BFL189" s="39"/>
      <c r="BFM189" s="39"/>
      <c r="BFN189" s="39"/>
      <c r="BFO189" s="39"/>
      <c r="BFP189" s="39"/>
      <c r="BFQ189" s="39"/>
      <c r="BFR189" s="39"/>
      <c r="BFS189" s="39"/>
      <c r="BFT189" s="39"/>
      <c r="BFU189" s="39"/>
      <c r="BFV189" s="39"/>
      <c r="BFW189" s="39"/>
      <c r="BFX189" s="39"/>
      <c r="BFY189" s="39"/>
      <c r="BFZ189" s="39"/>
      <c r="BGA189" s="39"/>
      <c r="BGB189" s="39"/>
      <c r="BGC189" s="39"/>
      <c r="BGD189" s="39"/>
      <c r="BGE189" s="39"/>
      <c r="BGF189" s="39"/>
      <c r="BGG189" s="39"/>
      <c r="BGH189" s="39"/>
      <c r="BGI189" s="39"/>
      <c r="BGJ189" s="39"/>
      <c r="BGK189" s="39"/>
      <c r="BGL189" s="39"/>
      <c r="BGM189" s="39"/>
      <c r="BGN189" s="39"/>
      <c r="BGO189" s="39"/>
      <c r="BGP189" s="39"/>
      <c r="BGQ189" s="39"/>
      <c r="BGR189" s="39"/>
      <c r="BGS189" s="39"/>
      <c r="BGT189" s="39"/>
      <c r="BGU189" s="39"/>
      <c r="BGV189" s="39"/>
      <c r="BGW189" s="39"/>
      <c r="BGX189" s="39"/>
      <c r="BGY189" s="39"/>
      <c r="BGZ189" s="39"/>
      <c r="BHA189" s="39"/>
      <c r="BHB189" s="39"/>
      <c r="BHC189" s="39"/>
      <c r="BHD189" s="39"/>
      <c r="BHE189" s="39"/>
      <c r="BHF189" s="39"/>
      <c r="BHG189" s="39"/>
      <c r="BHH189" s="39"/>
      <c r="BHI189" s="39"/>
      <c r="BHJ189" s="39"/>
      <c r="BHK189" s="39"/>
      <c r="BHL189" s="39"/>
      <c r="BHM189" s="39"/>
      <c r="BHN189" s="39"/>
      <c r="BHO189" s="39"/>
      <c r="BHP189" s="39"/>
      <c r="BHQ189" s="39"/>
      <c r="BHR189" s="39"/>
      <c r="BHS189" s="39"/>
      <c r="BHT189" s="39"/>
      <c r="BHU189" s="39"/>
      <c r="BHV189" s="39"/>
      <c r="BHW189" s="39"/>
      <c r="BHX189" s="39"/>
      <c r="BHY189" s="39"/>
      <c r="BHZ189" s="39"/>
      <c r="BIA189" s="39"/>
      <c r="BIB189" s="39"/>
      <c r="BIC189" s="39"/>
      <c r="BID189" s="39"/>
      <c r="BIE189" s="39"/>
      <c r="BIF189" s="39"/>
      <c r="BIG189" s="39"/>
      <c r="BIH189" s="39"/>
      <c r="BII189" s="39"/>
      <c r="BIJ189" s="39"/>
      <c r="BIK189" s="39"/>
      <c r="BIL189" s="39"/>
      <c r="BIM189" s="39"/>
      <c r="BIN189" s="39"/>
      <c r="BIO189" s="39"/>
      <c r="BIP189" s="39"/>
      <c r="BIQ189" s="39"/>
      <c r="BIR189" s="39"/>
      <c r="BIS189" s="39"/>
      <c r="BIT189" s="39"/>
      <c r="BIU189" s="39"/>
      <c r="BIV189" s="39"/>
      <c r="BIW189" s="39"/>
      <c r="BIX189" s="39"/>
      <c r="BIY189" s="39"/>
      <c r="BIZ189" s="39"/>
      <c r="BJA189" s="39"/>
      <c r="BJB189" s="39"/>
      <c r="BJC189" s="39"/>
      <c r="BJD189" s="39"/>
      <c r="BJE189" s="39"/>
      <c r="BJF189" s="39"/>
      <c r="BJG189" s="39"/>
      <c r="BJH189" s="39"/>
      <c r="BJI189" s="39"/>
      <c r="BJJ189" s="39"/>
      <c r="BJK189" s="39"/>
      <c r="BJL189" s="39"/>
      <c r="BJM189" s="39"/>
      <c r="BJN189" s="39"/>
      <c r="BJO189" s="39"/>
      <c r="BJP189" s="39"/>
      <c r="BJQ189" s="39"/>
      <c r="BJR189" s="39"/>
      <c r="BJS189" s="39"/>
      <c r="BJT189" s="39"/>
      <c r="BJU189" s="39"/>
      <c r="BJV189" s="39"/>
      <c r="BJW189" s="39"/>
      <c r="BJX189" s="39"/>
      <c r="BJY189" s="39"/>
      <c r="BJZ189" s="39"/>
      <c r="BKA189" s="39"/>
      <c r="BKB189" s="39"/>
      <c r="BKC189" s="39"/>
      <c r="BKD189" s="39"/>
      <c r="BKE189" s="39"/>
      <c r="BKF189" s="39"/>
      <c r="BKG189" s="39"/>
      <c r="BKH189" s="39"/>
      <c r="BKI189" s="39"/>
      <c r="BKJ189" s="39"/>
      <c r="BKK189" s="39"/>
      <c r="BKL189" s="39"/>
      <c r="BKM189" s="39"/>
      <c r="BKN189" s="39"/>
      <c r="BKO189" s="39"/>
      <c r="BKP189" s="39"/>
      <c r="BKQ189" s="39"/>
      <c r="BKR189" s="39"/>
      <c r="BKS189" s="39"/>
      <c r="BKT189" s="39"/>
      <c r="BKU189" s="39"/>
      <c r="BKV189" s="39"/>
      <c r="BKW189" s="39"/>
      <c r="BKX189" s="39"/>
      <c r="BKY189" s="39"/>
      <c r="BKZ189" s="39"/>
      <c r="BLA189" s="39"/>
      <c r="BLB189" s="39"/>
      <c r="BLC189" s="39"/>
      <c r="BLD189" s="39"/>
      <c r="BLE189" s="39"/>
      <c r="BLF189" s="39"/>
      <c r="BLG189" s="39"/>
      <c r="BLH189" s="39"/>
      <c r="BLI189" s="39"/>
      <c r="BLJ189" s="39"/>
      <c r="BLK189" s="39"/>
      <c r="BLL189" s="39"/>
      <c r="BLM189" s="39"/>
      <c r="BLN189" s="39"/>
      <c r="BLO189" s="39"/>
      <c r="BLP189" s="39"/>
      <c r="BLQ189" s="39"/>
      <c r="BLR189" s="39"/>
      <c r="BLS189" s="39"/>
      <c r="BLT189" s="39"/>
      <c r="BLU189" s="39"/>
      <c r="BLV189" s="39"/>
      <c r="BLW189" s="39"/>
      <c r="BLX189" s="39"/>
      <c r="BLY189" s="39"/>
      <c r="BLZ189" s="39"/>
      <c r="BMA189" s="39"/>
      <c r="BMB189" s="39"/>
      <c r="BMC189" s="39"/>
      <c r="BMD189" s="39"/>
      <c r="BME189" s="39"/>
      <c r="BMF189" s="39"/>
      <c r="BMG189" s="39"/>
      <c r="BMH189" s="39"/>
      <c r="BMI189" s="39"/>
      <c r="BMJ189" s="39"/>
      <c r="BMK189" s="39"/>
      <c r="BML189" s="39"/>
      <c r="BMM189" s="39"/>
      <c r="BMN189" s="39"/>
      <c r="BMO189" s="39"/>
      <c r="BMP189" s="39"/>
      <c r="BMQ189" s="39"/>
      <c r="BMR189" s="39"/>
      <c r="BMS189" s="39"/>
      <c r="BMT189" s="39"/>
      <c r="BMU189" s="39"/>
      <c r="BMV189" s="39"/>
      <c r="BMW189" s="39"/>
      <c r="BMX189" s="39"/>
      <c r="BMY189" s="39"/>
      <c r="BMZ189" s="39"/>
      <c r="BNA189" s="39"/>
      <c r="BNB189" s="39"/>
      <c r="BNC189" s="39"/>
      <c r="BND189" s="39"/>
      <c r="BNE189" s="39"/>
      <c r="BNF189" s="39"/>
      <c r="BNG189" s="39"/>
      <c r="BNH189" s="39"/>
      <c r="BNI189" s="39"/>
      <c r="BNJ189" s="39"/>
      <c r="BNK189" s="39"/>
      <c r="BNL189" s="39"/>
      <c r="BNM189" s="39"/>
      <c r="BNN189" s="39"/>
      <c r="BNO189" s="39"/>
      <c r="BNP189" s="39"/>
      <c r="BNQ189" s="39"/>
      <c r="BNR189" s="39"/>
      <c r="BNS189" s="39"/>
      <c r="BNT189" s="39"/>
      <c r="BNU189" s="39"/>
      <c r="BNV189" s="39"/>
      <c r="BNW189" s="39"/>
      <c r="BNX189" s="39"/>
      <c r="BNY189" s="39"/>
      <c r="BNZ189" s="39"/>
      <c r="BOA189" s="39"/>
      <c r="BOB189" s="39"/>
      <c r="BOC189" s="39"/>
      <c r="BOD189" s="39"/>
      <c r="BOE189" s="39"/>
      <c r="BOF189" s="39"/>
      <c r="BOG189" s="39"/>
      <c r="BOH189" s="39"/>
      <c r="BOI189" s="39"/>
      <c r="BOJ189" s="39"/>
      <c r="BOK189" s="39"/>
      <c r="BOL189" s="39"/>
      <c r="BOM189" s="39"/>
      <c r="BON189" s="39"/>
      <c r="BOO189" s="39"/>
      <c r="BOP189" s="39"/>
      <c r="BOQ189" s="39"/>
      <c r="BOR189" s="39"/>
      <c r="BOS189" s="39"/>
      <c r="BOT189" s="39"/>
      <c r="BOU189" s="39"/>
      <c r="BOV189" s="39"/>
      <c r="BOW189" s="39"/>
      <c r="BOX189" s="39"/>
      <c r="BOY189" s="39"/>
      <c r="BOZ189" s="39"/>
      <c r="BPA189" s="39"/>
      <c r="BPB189" s="39"/>
      <c r="BPC189" s="39"/>
      <c r="BPD189" s="39"/>
      <c r="BPE189" s="39"/>
      <c r="BPF189" s="39"/>
      <c r="BPG189" s="39"/>
      <c r="BPH189" s="39"/>
      <c r="BPI189" s="39"/>
      <c r="BPJ189" s="39"/>
      <c r="BPK189" s="39"/>
      <c r="BPL189" s="39"/>
      <c r="BPM189" s="39"/>
      <c r="BPN189" s="39"/>
      <c r="BPO189" s="39"/>
      <c r="BPP189" s="39"/>
      <c r="BPQ189" s="39"/>
      <c r="BPR189" s="39"/>
      <c r="BPS189" s="39"/>
      <c r="BPT189" s="39"/>
      <c r="BPU189" s="39"/>
      <c r="BPV189" s="39"/>
      <c r="BPW189" s="39"/>
      <c r="BPX189" s="39"/>
      <c r="BPY189" s="39"/>
      <c r="BPZ189" s="39"/>
      <c r="BQA189" s="39"/>
      <c r="BQB189" s="39"/>
      <c r="BQC189" s="39"/>
      <c r="BQD189" s="39"/>
      <c r="BQE189" s="39"/>
      <c r="BQF189" s="39"/>
      <c r="BQG189" s="39"/>
      <c r="BQH189" s="39"/>
      <c r="BQI189" s="39"/>
      <c r="BQJ189" s="39"/>
      <c r="BQK189" s="39"/>
      <c r="BQL189" s="39"/>
      <c r="BQM189" s="39"/>
      <c r="BQN189" s="39"/>
      <c r="BQO189" s="39"/>
      <c r="BQP189" s="39"/>
      <c r="BQQ189" s="39"/>
      <c r="BQR189" s="39"/>
      <c r="BQS189" s="39"/>
      <c r="BQT189" s="39"/>
      <c r="BQU189" s="39"/>
      <c r="BQV189" s="39"/>
      <c r="BQW189" s="39"/>
      <c r="BQX189" s="39"/>
      <c r="BQY189" s="39"/>
      <c r="BQZ189" s="39"/>
      <c r="BRA189" s="39"/>
      <c r="BRB189" s="39"/>
      <c r="BRC189" s="39"/>
      <c r="BRD189" s="39"/>
      <c r="BRE189" s="39"/>
      <c r="BRF189" s="39"/>
      <c r="BRG189" s="39"/>
      <c r="BRH189" s="39"/>
      <c r="BRI189" s="39"/>
      <c r="BRJ189" s="39"/>
      <c r="BRK189" s="39"/>
      <c r="BRL189" s="39"/>
      <c r="BRM189" s="39"/>
      <c r="BRN189" s="39"/>
      <c r="BRO189" s="39"/>
      <c r="BRP189" s="39"/>
      <c r="BRQ189" s="39"/>
      <c r="BRR189" s="39"/>
      <c r="BRS189" s="39"/>
      <c r="BRT189" s="39"/>
      <c r="BRU189" s="39"/>
      <c r="BRV189" s="39"/>
      <c r="BRW189" s="39"/>
      <c r="BRX189" s="39"/>
      <c r="BRY189" s="39"/>
      <c r="BRZ189" s="39"/>
      <c r="BSA189" s="39"/>
      <c r="BSB189" s="39"/>
      <c r="BSC189" s="39"/>
      <c r="BSD189" s="39"/>
      <c r="BSE189" s="39"/>
      <c r="BSF189" s="39"/>
      <c r="BSG189" s="39"/>
      <c r="BSH189" s="39"/>
      <c r="BSI189" s="39"/>
      <c r="BSJ189" s="39"/>
      <c r="BSK189" s="39"/>
      <c r="BSL189" s="39"/>
      <c r="BSM189" s="39"/>
      <c r="BSN189" s="39"/>
      <c r="BSO189" s="39"/>
      <c r="BSP189" s="39"/>
      <c r="BSQ189" s="39"/>
      <c r="BSR189" s="39"/>
      <c r="BSS189" s="39"/>
      <c r="BST189" s="39"/>
      <c r="BSU189" s="39"/>
      <c r="BSV189" s="39"/>
      <c r="BSW189" s="39"/>
      <c r="BSX189" s="39"/>
      <c r="BSY189" s="39"/>
      <c r="BSZ189" s="39"/>
      <c r="BTA189" s="39"/>
      <c r="BTB189" s="39"/>
      <c r="BTC189" s="39"/>
      <c r="BTD189" s="39"/>
      <c r="BTE189" s="39"/>
      <c r="BTF189" s="39"/>
      <c r="BTG189" s="39"/>
      <c r="BTH189" s="39"/>
      <c r="BTI189" s="39"/>
      <c r="BTJ189" s="39"/>
      <c r="BTK189" s="39"/>
      <c r="BTL189" s="39"/>
      <c r="BTM189" s="39"/>
      <c r="BTN189" s="39"/>
      <c r="BTO189" s="39"/>
      <c r="BTP189" s="39"/>
      <c r="BTQ189" s="39"/>
      <c r="BTR189" s="39"/>
      <c r="BTS189" s="39"/>
      <c r="BTT189" s="39"/>
      <c r="BTU189" s="39"/>
      <c r="BTV189" s="39"/>
      <c r="BTW189" s="39"/>
      <c r="BTX189" s="39"/>
      <c r="BTY189" s="39"/>
      <c r="BTZ189" s="39"/>
      <c r="BUA189" s="39"/>
      <c r="BUB189" s="39"/>
      <c r="BUC189" s="39"/>
      <c r="BUD189" s="39"/>
      <c r="BUE189" s="39"/>
      <c r="BUF189" s="39"/>
      <c r="BUG189" s="39"/>
      <c r="BUH189" s="39"/>
      <c r="BUI189" s="39"/>
      <c r="BUJ189" s="39"/>
      <c r="BUK189" s="39"/>
      <c r="BUL189" s="39"/>
      <c r="BUM189" s="39"/>
      <c r="BUN189" s="39"/>
      <c r="BUO189" s="39"/>
      <c r="BUP189" s="39"/>
      <c r="BUQ189" s="39"/>
      <c r="BUR189" s="39"/>
      <c r="BUS189" s="39"/>
      <c r="BUT189" s="39"/>
      <c r="BUU189" s="39"/>
      <c r="BUV189" s="39"/>
      <c r="BUW189" s="39"/>
      <c r="BUX189" s="39"/>
      <c r="BUY189" s="39"/>
      <c r="BUZ189" s="39"/>
      <c r="BVA189" s="39"/>
      <c r="BVB189" s="39"/>
      <c r="BVC189" s="39"/>
      <c r="BVD189" s="39"/>
      <c r="BVE189" s="39"/>
      <c r="BVF189" s="39"/>
      <c r="BVG189" s="39"/>
      <c r="BVH189" s="39"/>
      <c r="BVI189" s="39"/>
      <c r="BVJ189" s="39"/>
      <c r="BVK189" s="39"/>
      <c r="BVL189" s="39"/>
      <c r="BVM189" s="39"/>
      <c r="BVN189" s="39"/>
      <c r="BVO189" s="39"/>
      <c r="BVP189" s="39"/>
      <c r="BVQ189" s="39"/>
      <c r="BVR189" s="39"/>
      <c r="BVS189" s="39"/>
      <c r="BVT189" s="39"/>
      <c r="BVU189" s="39"/>
      <c r="BVV189" s="39"/>
      <c r="BVW189" s="39"/>
      <c r="BVX189" s="39"/>
      <c r="BVY189" s="39"/>
      <c r="BVZ189" s="39"/>
      <c r="BWA189" s="39"/>
      <c r="BWB189" s="39"/>
      <c r="BWC189" s="39"/>
      <c r="BWD189" s="39"/>
      <c r="BWE189" s="39"/>
      <c r="BWF189" s="39"/>
      <c r="BWG189" s="39"/>
      <c r="BWH189" s="39"/>
      <c r="BWI189" s="39"/>
      <c r="BWJ189" s="39"/>
      <c r="BWK189" s="39"/>
      <c r="BWL189" s="39"/>
      <c r="BWM189" s="39"/>
      <c r="BWN189" s="39"/>
      <c r="BWO189" s="39"/>
      <c r="BWP189" s="39"/>
      <c r="BWQ189" s="39"/>
      <c r="BWR189" s="39"/>
      <c r="BWS189" s="39"/>
      <c r="BWT189" s="39"/>
      <c r="BWU189" s="39"/>
      <c r="BWV189" s="39"/>
      <c r="BWW189" s="39"/>
      <c r="BWX189" s="39"/>
      <c r="BWY189" s="39"/>
      <c r="BWZ189" s="39"/>
      <c r="BXA189" s="39"/>
      <c r="BXB189" s="39"/>
      <c r="BXC189" s="39"/>
      <c r="BXD189" s="39"/>
      <c r="BXE189" s="39"/>
      <c r="BXF189" s="39"/>
      <c r="BXG189" s="39"/>
      <c r="BXH189" s="39"/>
      <c r="BXI189" s="39"/>
      <c r="BXJ189" s="39"/>
      <c r="BXK189" s="39"/>
      <c r="BXL189" s="39"/>
      <c r="BXM189" s="39"/>
      <c r="BXN189" s="39"/>
      <c r="BXO189" s="39"/>
      <c r="BXP189" s="39"/>
      <c r="BXQ189" s="39"/>
      <c r="BXR189" s="39"/>
      <c r="BXS189" s="39"/>
      <c r="BXT189" s="39"/>
      <c r="BXU189" s="39"/>
      <c r="BXV189" s="39"/>
      <c r="BXW189" s="39"/>
      <c r="BXX189" s="39"/>
      <c r="BXY189" s="39"/>
      <c r="BXZ189" s="39"/>
      <c r="BYA189" s="39"/>
      <c r="BYB189" s="39"/>
      <c r="BYC189" s="39"/>
      <c r="BYD189" s="39"/>
      <c r="BYE189" s="39"/>
      <c r="BYF189" s="39"/>
      <c r="BYG189" s="39"/>
      <c r="BYH189" s="39"/>
      <c r="BYI189" s="39"/>
      <c r="BYJ189" s="39"/>
      <c r="BYK189" s="39"/>
      <c r="BYL189" s="39"/>
      <c r="BYM189" s="39"/>
      <c r="BYN189" s="39"/>
      <c r="BYO189" s="39"/>
      <c r="BYP189" s="39"/>
      <c r="BYQ189" s="39"/>
      <c r="BYR189" s="39"/>
      <c r="BYS189" s="39"/>
      <c r="BYT189" s="39"/>
      <c r="BYU189" s="39"/>
      <c r="BYV189" s="39"/>
      <c r="BYW189" s="39"/>
      <c r="BYX189" s="39"/>
      <c r="BYY189" s="39"/>
      <c r="BYZ189" s="39"/>
      <c r="BZA189" s="39"/>
      <c r="BZB189" s="39"/>
      <c r="BZC189" s="39"/>
      <c r="BZD189" s="39"/>
      <c r="BZE189" s="39"/>
      <c r="BZF189" s="39"/>
      <c r="BZG189" s="39"/>
      <c r="BZH189" s="39"/>
      <c r="BZI189" s="39"/>
      <c r="BZJ189" s="39"/>
      <c r="BZK189" s="39"/>
      <c r="BZL189" s="39"/>
      <c r="BZM189" s="39"/>
      <c r="BZN189" s="39"/>
      <c r="BZO189" s="39"/>
      <c r="BZP189" s="39"/>
      <c r="BZQ189" s="39"/>
      <c r="BZR189" s="39"/>
      <c r="BZS189" s="39"/>
      <c r="BZT189" s="39"/>
      <c r="BZU189" s="39"/>
      <c r="BZV189" s="39"/>
      <c r="BZW189" s="39"/>
      <c r="BZX189" s="39"/>
      <c r="BZY189" s="39"/>
      <c r="BZZ189" s="39"/>
      <c r="CAA189" s="39"/>
      <c r="CAB189" s="39"/>
      <c r="CAC189" s="39"/>
      <c r="CAD189" s="39"/>
      <c r="CAE189" s="39"/>
      <c r="CAF189" s="39"/>
      <c r="CAG189" s="39"/>
      <c r="CAH189" s="39"/>
      <c r="CAI189" s="39"/>
      <c r="CAJ189" s="39"/>
      <c r="CAK189" s="39"/>
      <c r="CAL189" s="39"/>
      <c r="CAM189" s="39"/>
      <c r="CAN189" s="39"/>
      <c r="CAO189" s="39"/>
      <c r="CAP189" s="39"/>
      <c r="CAQ189" s="39"/>
      <c r="CAR189" s="39"/>
      <c r="CAS189" s="39"/>
      <c r="CAT189" s="39"/>
      <c r="CAU189" s="39"/>
      <c r="CAV189" s="39"/>
      <c r="CAW189" s="39"/>
      <c r="CAX189" s="39"/>
      <c r="CAY189" s="39"/>
      <c r="CAZ189" s="39"/>
      <c r="CBA189" s="39"/>
      <c r="CBB189" s="39"/>
      <c r="CBC189" s="39"/>
      <c r="CBD189" s="39"/>
      <c r="CBE189" s="39"/>
      <c r="CBF189" s="39"/>
      <c r="CBG189" s="39"/>
      <c r="CBH189" s="39"/>
      <c r="CBI189" s="39"/>
      <c r="CBJ189" s="39"/>
      <c r="CBK189" s="39"/>
      <c r="CBL189" s="39"/>
      <c r="CBM189" s="39"/>
      <c r="CBN189" s="39"/>
      <c r="CBO189" s="39"/>
      <c r="CBP189" s="39"/>
      <c r="CBQ189" s="39"/>
      <c r="CBR189" s="39"/>
      <c r="CBS189" s="39"/>
      <c r="CBT189" s="39"/>
      <c r="CBU189" s="39"/>
      <c r="CBV189" s="39"/>
      <c r="CBW189" s="39"/>
      <c r="CBX189" s="39"/>
      <c r="CBY189" s="39"/>
      <c r="CBZ189" s="39"/>
      <c r="CCA189" s="39"/>
      <c r="CCB189" s="39"/>
      <c r="CCC189" s="39"/>
      <c r="CCD189" s="39"/>
      <c r="CCE189" s="39"/>
      <c r="CCF189" s="39"/>
      <c r="CCG189" s="39"/>
      <c r="CCH189" s="39"/>
      <c r="CCI189" s="39"/>
      <c r="CCJ189" s="39"/>
      <c r="CCK189" s="39"/>
      <c r="CCL189" s="39"/>
      <c r="CCM189" s="39"/>
      <c r="CCN189" s="39"/>
      <c r="CCO189" s="39"/>
      <c r="CCP189" s="39"/>
      <c r="CCQ189" s="39"/>
      <c r="CCR189" s="39"/>
      <c r="CCS189" s="39"/>
      <c r="CCT189" s="39"/>
      <c r="CCU189" s="39"/>
      <c r="CCV189" s="39"/>
      <c r="CCW189" s="39"/>
      <c r="CCX189" s="39"/>
      <c r="CCY189" s="39"/>
      <c r="CCZ189" s="39"/>
      <c r="CDA189" s="39"/>
      <c r="CDB189" s="39"/>
      <c r="CDC189" s="39"/>
      <c r="CDD189" s="39"/>
      <c r="CDE189" s="39"/>
      <c r="CDF189" s="39"/>
      <c r="CDG189" s="39"/>
      <c r="CDH189" s="39"/>
      <c r="CDI189" s="39"/>
      <c r="CDJ189" s="39"/>
      <c r="CDK189" s="39"/>
      <c r="CDL189" s="39"/>
      <c r="CDM189" s="39"/>
      <c r="CDN189" s="39"/>
      <c r="CDO189" s="39"/>
      <c r="CDP189" s="39"/>
      <c r="CDQ189" s="39"/>
      <c r="CDR189" s="39"/>
      <c r="CDS189" s="39"/>
      <c r="CDT189" s="39"/>
      <c r="CDU189" s="39"/>
      <c r="CDV189" s="39"/>
      <c r="CDW189" s="39"/>
      <c r="CDX189" s="39"/>
      <c r="CDY189" s="39"/>
      <c r="CDZ189" s="39"/>
      <c r="CEA189" s="39"/>
      <c r="CEB189" s="39"/>
      <c r="CEC189" s="39"/>
      <c r="CED189" s="39"/>
      <c r="CEE189" s="39"/>
      <c r="CEF189" s="39"/>
      <c r="CEG189" s="39"/>
      <c r="CEH189" s="39"/>
      <c r="CEI189" s="39"/>
      <c r="CEJ189" s="39"/>
      <c r="CEK189" s="39"/>
      <c r="CEL189" s="39"/>
      <c r="CEM189" s="39"/>
      <c r="CEN189" s="39"/>
      <c r="CEO189" s="39"/>
      <c r="CEP189" s="39"/>
      <c r="CEQ189" s="39"/>
      <c r="CER189" s="39"/>
      <c r="CES189" s="39"/>
      <c r="CET189" s="39"/>
      <c r="CEU189" s="39"/>
      <c r="CEV189" s="39"/>
      <c r="CEW189" s="39"/>
      <c r="CEX189" s="39"/>
      <c r="CEY189" s="39"/>
      <c r="CEZ189" s="39"/>
      <c r="CFA189" s="39"/>
      <c r="CFB189" s="39"/>
      <c r="CFC189" s="39"/>
      <c r="CFD189" s="39"/>
      <c r="CFE189" s="39"/>
      <c r="CFF189" s="39"/>
      <c r="CFG189" s="39"/>
      <c r="CFH189" s="39"/>
      <c r="CFI189" s="39"/>
      <c r="CFJ189" s="39"/>
      <c r="CFK189" s="39"/>
      <c r="CFL189" s="39"/>
      <c r="CFM189" s="39"/>
      <c r="CFN189" s="39"/>
      <c r="CFO189" s="39"/>
      <c r="CFP189" s="39"/>
      <c r="CFQ189" s="39"/>
      <c r="CFR189" s="39"/>
      <c r="CFS189" s="39"/>
      <c r="CFT189" s="39"/>
      <c r="CFU189" s="39"/>
      <c r="CFV189" s="39"/>
      <c r="CFW189" s="39"/>
      <c r="CFX189" s="39"/>
      <c r="CFY189" s="39"/>
      <c r="CFZ189" s="39"/>
      <c r="CGA189" s="39"/>
      <c r="CGB189" s="39"/>
      <c r="CGC189" s="39"/>
      <c r="CGD189" s="39"/>
      <c r="CGE189" s="39"/>
      <c r="CGF189" s="39"/>
      <c r="CGG189" s="39"/>
      <c r="CGH189" s="39"/>
      <c r="CGI189" s="39"/>
      <c r="CGJ189" s="39"/>
      <c r="CGK189" s="39"/>
      <c r="CGL189" s="39"/>
      <c r="CGM189" s="39"/>
      <c r="CGN189" s="39"/>
      <c r="CGO189" s="39"/>
      <c r="CGP189" s="39"/>
      <c r="CGQ189" s="39"/>
      <c r="CGR189" s="39"/>
      <c r="CGS189" s="39"/>
      <c r="CGT189" s="39"/>
      <c r="CGU189" s="39"/>
      <c r="CGV189" s="39"/>
      <c r="CGW189" s="39"/>
      <c r="CGX189" s="39"/>
      <c r="CGY189" s="39"/>
      <c r="CGZ189" s="39"/>
      <c r="CHA189" s="39"/>
      <c r="CHB189" s="39"/>
      <c r="CHC189" s="39"/>
      <c r="CHD189" s="39"/>
      <c r="CHE189" s="39"/>
      <c r="CHF189" s="39"/>
      <c r="CHG189" s="39"/>
      <c r="CHH189" s="39"/>
      <c r="CHI189" s="39"/>
      <c r="CHJ189" s="39"/>
      <c r="CHK189" s="39"/>
      <c r="CHL189" s="39"/>
      <c r="CHM189" s="39"/>
      <c r="CHN189" s="39"/>
      <c r="CHO189" s="39"/>
      <c r="CHP189" s="39"/>
      <c r="CHQ189" s="39"/>
      <c r="CHR189" s="39"/>
      <c r="CHS189" s="39"/>
      <c r="CHT189" s="39"/>
      <c r="CHU189" s="39"/>
      <c r="CHV189" s="39"/>
      <c r="CHW189" s="39"/>
      <c r="CHX189" s="39"/>
      <c r="CHY189" s="39"/>
      <c r="CHZ189" s="39"/>
      <c r="CIA189" s="39"/>
      <c r="CIB189" s="39"/>
      <c r="CIC189" s="39"/>
      <c r="CID189" s="39"/>
      <c r="CIE189" s="39"/>
      <c r="CIF189" s="39"/>
      <c r="CIG189" s="39"/>
      <c r="CIH189" s="39"/>
      <c r="CII189" s="39"/>
      <c r="CIJ189" s="39"/>
      <c r="CIK189" s="39"/>
      <c r="CIL189" s="39"/>
      <c r="CIM189" s="39"/>
      <c r="CIN189" s="39"/>
      <c r="CIO189" s="39"/>
      <c r="CIP189" s="39"/>
      <c r="CIQ189" s="39"/>
      <c r="CIR189" s="39"/>
      <c r="CIS189" s="39"/>
      <c r="CIT189" s="39"/>
      <c r="CIU189" s="39"/>
      <c r="CIV189" s="39"/>
      <c r="CIW189" s="39"/>
      <c r="CIX189" s="39"/>
      <c r="CIY189" s="39"/>
      <c r="CIZ189" s="39"/>
      <c r="CJA189" s="39"/>
      <c r="CJB189" s="39"/>
      <c r="CJC189" s="39"/>
      <c r="CJD189" s="39"/>
      <c r="CJE189" s="39"/>
      <c r="CJF189" s="39"/>
      <c r="CJG189" s="39"/>
      <c r="CJH189" s="39"/>
      <c r="CJI189" s="39"/>
      <c r="CJJ189" s="39"/>
      <c r="CJK189" s="39"/>
      <c r="CJL189" s="39"/>
      <c r="CJM189" s="39"/>
      <c r="CJN189" s="39"/>
      <c r="CJO189" s="39"/>
      <c r="CJP189" s="39"/>
      <c r="CJQ189" s="39"/>
      <c r="CJR189" s="39"/>
      <c r="CJS189" s="39"/>
      <c r="CJT189" s="39"/>
      <c r="CJU189" s="39"/>
      <c r="CJV189" s="39"/>
      <c r="CJW189" s="39"/>
      <c r="CJX189" s="39"/>
      <c r="CJY189" s="39"/>
      <c r="CJZ189" s="39"/>
      <c r="CKA189" s="39"/>
      <c r="CKB189" s="39"/>
      <c r="CKC189" s="39"/>
      <c r="CKD189" s="39"/>
      <c r="CKE189" s="39"/>
      <c r="CKF189" s="39"/>
      <c r="CKG189" s="39"/>
      <c r="CKH189" s="39"/>
      <c r="CKI189" s="39"/>
      <c r="CKJ189" s="39"/>
      <c r="CKK189" s="39"/>
      <c r="CKL189" s="39"/>
      <c r="CKM189" s="39"/>
      <c r="CKN189" s="39"/>
      <c r="CKO189" s="39"/>
      <c r="CKP189" s="39"/>
      <c r="CKQ189" s="39"/>
      <c r="CKR189" s="39"/>
      <c r="CKS189" s="39"/>
      <c r="CKT189" s="39"/>
      <c r="CKU189" s="39"/>
      <c r="CKV189" s="39"/>
      <c r="CKW189" s="39"/>
      <c r="CKX189" s="39"/>
      <c r="CKY189" s="39"/>
      <c r="CKZ189" s="39"/>
      <c r="CLA189" s="39"/>
      <c r="CLB189" s="39"/>
      <c r="CLC189" s="39"/>
      <c r="CLD189" s="39"/>
      <c r="CLE189" s="39"/>
      <c r="CLF189" s="39"/>
      <c r="CLG189" s="39"/>
      <c r="CLH189" s="39"/>
      <c r="CLI189" s="39"/>
      <c r="CLJ189" s="39"/>
      <c r="CLK189" s="39"/>
      <c r="CLL189" s="39"/>
      <c r="CLM189" s="39"/>
      <c r="CLN189" s="39"/>
      <c r="CLO189" s="39"/>
      <c r="CLP189" s="39"/>
      <c r="CLQ189" s="39"/>
      <c r="CLR189" s="39"/>
      <c r="CLS189" s="39"/>
      <c r="CLT189" s="39"/>
      <c r="CLU189" s="39"/>
      <c r="CLV189" s="39"/>
      <c r="CLW189" s="39"/>
      <c r="CLX189" s="39"/>
      <c r="CLY189" s="39"/>
      <c r="CLZ189" s="39"/>
      <c r="CMA189" s="39"/>
      <c r="CMB189" s="39"/>
      <c r="CMC189" s="39"/>
      <c r="CMD189" s="39"/>
      <c r="CME189" s="39"/>
      <c r="CMF189" s="39"/>
      <c r="CMG189" s="39"/>
      <c r="CMH189" s="39"/>
      <c r="CMI189" s="39"/>
      <c r="CMJ189" s="39"/>
      <c r="CMK189" s="39"/>
      <c r="CML189" s="39"/>
      <c r="CMM189" s="39"/>
      <c r="CMN189" s="39"/>
      <c r="CMO189" s="39"/>
      <c r="CMP189" s="39"/>
      <c r="CMQ189" s="39"/>
      <c r="CMR189" s="39"/>
      <c r="CMS189" s="39"/>
      <c r="CMT189" s="39"/>
      <c r="CMU189" s="39"/>
      <c r="CMV189" s="39"/>
      <c r="CMW189" s="39"/>
      <c r="CMX189" s="39"/>
      <c r="CMY189" s="39"/>
      <c r="CMZ189" s="39"/>
      <c r="CNA189" s="39"/>
      <c r="CNB189" s="39"/>
      <c r="CNC189" s="39"/>
      <c r="CND189" s="39"/>
      <c r="CNE189" s="39"/>
      <c r="CNF189" s="39"/>
      <c r="CNG189" s="39"/>
      <c r="CNH189" s="39"/>
      <c r="CNI189" s="39"/>
      <c r="CNJ189" s="39"/>
      <c r="CNK189" s="39"/>
      <c r="CNL189" s="39"/>
      <c r="CNM189" s="39"/>
      <c r="CNN189" s="39"/>
      <c r="CNO189" s="39"/>
      <c r="CNP189" s="39"/>
      <c r="CNQ189" s="39"/>
      <c r="CNR189" s="39"/>
      <c r="CNS189" s="39"/>
      <c r="CNT189" s="39"/>
      <c r="CNU189" s="39"/>
      <c r="CNV189" s="39"/>
      <c r="CNW189" s="39"/>
      <c r="CNX189" s="39"/>
      <c r="CNY189" s="39"/>
      <c r="CNZ189" s="39"/>
      <c r="COA189" s="39"/>
      <c r="COB189" s="39"/>
      <c r="COC189" s="39"/>
      <c r="COD189" s="39"/>
      <c r="COE189" s="39"/>
      <c r="COF189" s="39"/>
      <c r="COG189" s="39"/>
      <c r="COH189" s="39"/>
      <c r="COI189" s="39"/>
      <c r="COJ189" s="39"/>
      <c r="COK189" s="39"/>
      <c r="COL189" s="39"/>
      <c r="COM189" s="39"/>
      <c r="CON189" s="39"/>
      <c r="COO189" s="39"/>
      <c r="COP189" s="39"/>
      <c r="COQ189" s="39"/>
      <c r="COR189" s="39"/>
      <c r="COS189" s="39"/>
      <c r="COT189" s="39"/>
      <c r="COU189" s="39"/>
      <c r="COV189" s="39"/>
      <c r="COW189" s="39"/>
      <c r="COX189" s="39"/>
      <c r="COY189" s="39"/>
      <c r="COZ189" s="39"/>
      <c r="CPA189" s="39"/>
      <c r="CPB189" s="39"/>
      <c r="CPC189" s="39"/>
      <c r="CPD189" s="39"/>
      <c r="CPE189" s="39"/>
      <c r="CPF189" s="39"/>
      <c r="CPG189" s="39"/>
      <c r="CPH189" s="39"/>
      <c r="CPI189" s="39"/>
      <c r="CPJ189" s="39"/>
      <c r="CPK189" s="39"/>
      <c r="CPL189" s="39"/>
      <c r="CPM189" s="39"/>
      <c r="CPN189" s="39"/>
      <c r="CPO189" s="39"/>
      <c r="CPP189" s="39"/>
      <c r="CPQ189" s="39"/>
      <c r="CPR189" s="39"/>
      <c r="CPS189" s="39"/>
      <c r="CPT189" s="39"/>
      <c r="CPU189" s="39"/>
      <c r="CPV189" s="39"/>
      <c r="CPW189" s="39"/>
      <c r="CPX189" s="39"/>
      <c r="CPY189" s="39"/>
      <c r="CPZ189" s="39"/>
      <c r="CQA189" s="39"/>
      <c r="CQB189" s="39"/>
      <c r="CQC189" s="39"/>
      <c r="CQD189" s="39"/>
      <c r="CQE189" s="39"/>
      <c r="CQF189" s="39"/>
      <c r="CQG189" s="39"/>
      <c r="CQH189" s="39"/>
      <c r="CQI189" s="39"/>
      <c r="CQJ189" s="39"/>
      <c r="CQK189" s="39"/>
      <c r="CQL189" s="39"/>
      <c r="CQM189" s="39"/>
      <c r="CQN189" s="39"/>
      <c r="CQO189" s="39"/>
      <c r="CQP189" s="39"/>
      <c r="CQQ189" s="39"/>
      <c r="CQR189" s="39"/>
      <c r="CQS189" s="39"/>
      <c r="CQT189" s="39"/>
      <c r="CQU189" s="39"/>
      <c r="CQV189" s="39"/>
      <c r="CQW189" s="39"/>
      <c r="CQX189" s="39"/>
      <c r="CQY189" s="39"/>
      <c r="CQZ189" s="39"/>
      <c r="CRA189" s="39"/>
      <c r="CRB189" s="39"/>
      <c r="CRC189" s="39"/>
      <c r="CRD189" s="39"/>
      <c r="CRE189" s="39"/>
      <c r="CRF189" s="39"/>
      <c r="CRG189" s="39"/>
      <c r="CRH189" s="39"/>
      <c r="CRI189" s="39"/>
      <c r="CRJ189" s="39"/>
      <c r="CRK189" s="39"/>
      <c r="CRL189" s="39"/>
      <c r="CRM189" s="39"/>
      <c r="CRN189" s="39"/>
      <c r="CRO189" s="39"/>
      <c r="CRP189" s="39"/>
      <c r="CRQ189" s="39"/>
      <c r="CRR189" s="39"/>
      <c r="CRS189" s="39"/>
      <c r="CRT189" s="39"/>
      <c r="CRU189" s="39"/>
      <c r="CRV189" s="39"/>
      <c r="CRW189" s="39"/>
      <c r="CRX189" s="39"/>
      <c r="CRY189" s="39"/>
      <c r="CRZ189" s="39"/>
      <c r="CSA189" s="39"/>
      <c r="CSB189" s="39"/>
      <c r="CSC189" s="39"/>
      <c r="CSD189" s="39"/>
      <c r="CSE189" s="39"/>
      <c r="CSF189" s="39"/>
      <c r="CSG189" s="39"/>
      <c r="CSH189" s="39"/>
      <c r="CSI189" s="39"/>
      <c r="CSJ189" s="39"/>
      <c r="CSK189" s="39"/>
      <c r="CSL189" s="39"/>
      <c r="CSM189" s="39"/>
      <c r="CSN189" s="39"/>
      <c r="CSO189" s="39"/>
      <c r="CSP189" s="39"/>
      <c r="CSQ189" s="39"/>
      <c r="CSR189" s="39"/>
      <c r="CSS189" s="39"/>
      <c r="CST189" s="39"/>
      <c r="CSU189" s="39"/>
      <c r="CSV189" s="39"/>
      <c r="CSW189" s="39"/>
      <c r="CSX189" s="39"/>
      <c r="CSY189" s="39"/>
      <c r="CSZ189" s="39"/>
      <c r="CTA189" s="39"/>
      <c r="CTB189" s="39"/>
      <c r="CTC189" s="39"/>
      <c r="CTD189" s="39"/>
      <c r="CTE189" s="39"/>
      <c r="CTF189" s="39"/>
      <c r="CTG189" s="39"/>
      <c r="CTH189" s="39"/>
      <c r="CTI189" s="39"/>
      <c r="CTJ189" s="39"/>
      <c r="CTK189" s="39"/>
      <c r="CTL189" s="39"/>
      <c r="CTM189" s="39"/>
      <c r="CTN189" s="39"/>
      <c r="CTO189" s="39"/>
      <c r="CTP189" s="39"/>
      <c r="CTQ189" s="39"/>
      <c r="CTR189" s="39"/>
      <c r="CTS189" s="39"/>
      <c r="CTT189" s="39"/>
      <c r="CTU189" s="39"/>
      <c r="CTV189" s="39"/>
      <c r="CTW189" s="39"/>
      <c r="CTX189" s="39"/>
      <c r="CTY189" s="39"/>
      <c r="CTZ189" s="39"/>
      <c r="CUA189" s="39"/>
      <c r="CUB189" s="39"/>
      <c r="CUC189" s="39"/>
      <c r="CUD189" s="39"/>
      <c r="CUE189" s="39"/>
      <c r="CUF189" s="39"/>
      <c r="CUG189" s="39"/>
      <c r="CUH189" s="39"/>
      <c r="CUI189" s="39"/>
      <c r="CUJ189" s="39"/>
      <c r="CUK189" s="39"/>
      <c r="CUL189" s="39"/>
      <c r="CUM189" s="39"/>
      <c r="CUN189" s="39"/>
      <c r="CUO189" s="39"/>
      <c r="CUP189" s="39"/>
      <c r="CUQ189" s="39"/>
      <c r="CUR189" s="39"/>
      <c r="CUS189" s="39"/>
      <c r="CUT189" s="39"/>
      <c r="CUU189" s="39"/>
      <c r="CUV189" s="39"/>
      <c r="CUW189" s="39"/>
      <c r="CUX189" s="39"/>
      <c r="CUY189" s="39"/>
      <c r="CUZ189" s="39"/>
      <c r="CVA189" s="39"/>
      <c r="CVB189" s="39"/>
      <c r="CVC189" s="39"/>
      <c r="CVD189" s="39"/>
      <c r="CVE189" s="39"/>
      <c r="CVF189" s="39"/>
      <c r="CVG189" s="39"/>
      <c r="CVH189" s="39"/>
      <c r="CVI189" s="39"/>
      <c r="CVJ189" s="39"/>
      <c r="CVK189" s="39"/>
      <c r="CVL189" s="39"/>
      <c r="CVM189" s="39"/>
      <c r="CVN189" s="39"/>
      <c r="CVO189" s="39"/>
      <c r="CVP189" s="39"/>
      <c r="CVQ189" s="39"/>
      <c r="CVR189" s="39"/>
      <c r="CVS189" s="39"/>
      <c r="CVT189" s="39"/>
      <c r="CVU189" s="39"/>
      <c r="CVV189" s="39"/>
      <c r="CVW189" s="39"/>
      <c r="CVX189" s="39"/>
      <c r="CVY189" s="39"/>
      <c r="CVZ189" s="39"/>
      <c r="CWA189" s="39"/>
      <c r="CWB189" s="39"/>
      <c r="CWC189" s="39"/>
      <c r="CWD189" s="39"/>
      <c r="CWE189" s="39"/>
      <c r="CWF189" s="39"/>
      <c r="CWG189" s="39"/>
      <c r="CWH189" s="39"/>
      <c r="CWI189" s="39"/>
      <c r="CWJ189" s="39"/>
      <c r="CWK189" s="39"/>
      <c r="CWL189" s="39"/>
      <c r="CWM189" s="39"/>
      <c r="CWN189" s="39"/>
      <c r="CWO189" s="39"/>
      <c r="CWP189" s="39"/>
      <c r="CWQ189" s="39"/>
      <c r="CWR189" s="39"/>
      <c r="CWS189" s="39"/>
      <c r="CWT189" s="39"/>
      <c r="CWU189" s="39"/>
      <c r="CWV189" s="39"/>
      <c r="CWW189" s="39"/>
      <c r="CWX189" s="39"/>
      <c r="CWY189" s="39"/>
      <c r="CWZ189" s="39"/>
      <c r="CXA189" s="39"/>
      <c r="CXB189" s="39"/>
      <c r="CXC189" s="39"/>
      <c r="CXD189" s="39"/>
      <c r="CXE189" s="39"/>
      <c r="CXF189" s="39"/>
      <c r="CXG189" s="39"/>
      <c r="CXH189" s="39"/>
      <c r="CXI189" s="39"/>
      <c r="CXJ189" s="39"/>
      <c r="CXK189" s="39"/>
      <c r="CXL189" s="39"/>
      <c r="CXM189" s="39"/>
      <c r="CXN189" s="39"/>
      <c r="CXO189" s="39"/>
      <c r="CXP189" s="39"/>
      <c r="CXQ189" s="39"/>
      <c r="CXR189" s="39"/>
      <c r="CXS189" s="39"/>
      <c r="CXT189" s="39"/>
      <c r="CXU189" s="39"/>
      <c r="CXV189" s="39"/>
      <c r="CXW189" s="39"/>
      <c r="CXX189" s="39"/>
      <c r="CXY189" s="39"/>
      <c r="CXZ189" s="39"/>
      <c r="CYA189" s="39"/>
      <c r="CYB189" s="39"/>
      <c r="CYC189" s="39"/>
      <c r="CYD189" s="39"/>
      <c r="CYE189" s="39"/>
      <c r="CYF189" s="39"/>
      <c r="CYG189" s="39"/>
      <c r="CYH189" s="39"/>
      <c r="CYI189" s="39"/>
      <c r="CYJ189" s="39"/>
      <c r="CYK189" s="39"/>
      <c r="CYL189" s="39"/>
      <c r="CYM189" s="39"/>
      <c r="CYN189" s="39"/>
      <c r="CYO189" s="39"/>
      <c r="CYP189" s="39"/>
      <c r="CYQ189" s="39"/>
      <c r="CYR189" s="39"/>
      <c r="CYS189" s="39"/>
      <c r="CYT189" s="39"/>
      <c r="CYU189" s="39"/>
      <c r="CYV189" s="39"/>
      <c r="CYW189" s="39"/>
      <c r="CYX189" s="39"/>
      <c r="CYY189" s="39"/>
      <c r="CYZ189" s="39"/>
      <c r="CZA189" s="39"/>
      <c r="CZB189" s="39"/>
      <c r="CZC189" s="39"/>
      <c r="CZD189" s="39"/>
      <c r="CZE189" s="39"/>
      <c r="CZF189" s="39"/>
      <c r="CZG189" s="39"/>
      <c r="CZH189" s="39"/>
      <c r="CZI189" s="39"/>
      <c r="CZJ189" s="39"/>
      <c r="CZK189" s="39"/>
      <c r="CZL189" s="39"/>
      <c r="CZM189" s="39"/>
      <c r="CZN189" s="39"/>
      <c r="CZO189" s="39"/>
      <c r="CZP189" s="39"/>
      <c r="CZQ189" s="39"/>
      <c r="CZR189" s="39"/>
      <c r="CZS189" s="39"/>
      <c r="CZT189" s="39"/>
      <c r="CZU189" s="39"/>
      <c r="CZV189" s="39"/>
      <c r="CZW189" s="39"/>
      <c r="CZX189" s="39"/>
      <c r="CZY189" s="39"/>
      <c r="CZZ189" s="39"/>
      <c r="DAA189" s="39"/>
      <c r="DAB189" s="39"/>
      <c r="DAC189" s="39"/>
      <c r="DAD189" s="39"/>
      <c r="DAE189" s="39"/>
      <c r="DAF189" s="39"/>
      <c r="DAG189" s="39"/>
      <c r="DAH189" s="39"/>
      <c r="DAI189" s="39"/>
      <c r="DAJ189" s="39"/>
      <c r="DAK189" s="39"/>
      <c r="DAL189" s="39"/>
      <c r="DAM189" s="39"/>
      <c r="DAN189" s="39"/>
      <c r="DAO189" s="39"/>
      <c r="DAP189" s="39"/>
      <c r="DAQ189" s="39"/>
      <c r="DAR189" s="39"/>
      <c r="DAS189" s="39"/>
      <c r="DAT189" s="39"/>
      <c r="DAU189" s="39"/>
      <c r="DAV189" s="39"/>
      <c r="DAW189" s="39"/>
      <c r="DAX189" s="39"/>
      <c r="DAY189" s="39"/>
      <c r="DAZ189" s="39"/>
      <c r="DBA189" s="39"/>
      <c r="DBB189" s="39"/>
      <c r="DBC189" s="39"/>
      <c r="DBD189" s="39"/>
      <c r="DBE189" s="39"/>
      <c r="DBF189" s="39"/>
      <c r="DBG189" s="39"/>
      <c r="DBH189" s="39"/>
      <c r="DBI189" s="39"/>
      <c r="DBJ189" s="39"/>
      <c r="DBK189" s="39"/>
      <c r="DBL189" s="39"/>
      <c r="DBM189" s="39"/>
      <c r="DBN189" s="39"/>
      <c r="DBO189" s="39"/>
      <c r="DBP189" s="39"/>
      <c r="DBQ189" s="39"/>
      <c r="DBR189" s="39"/>
      <c r="DBS189" s="39"/>
      <c r="DBT189" s="39"/>
      <c r="DBU189" s="39"/>
      <c r="DBV189" s="39"/>
      <c r="DBW189" s="39"/>
      <c r="DBX189" s="39"/>
      <c r="DBY189" s="39"/>
      <c r="DBZ189" s="39"/>
      <c r="DCA189" s="39"/>
      <c r="DCB189" s="39"/>
      <c r="DCC189" s="39"/>
      <c r="DCD189" s="39"/>
      <c r="DCE189" s="39"/>
      <c r="DCF189" s="39"/>
      <c r="DCG189" s="39"/>
      <c r="DCH189" s="39"/>
      <c r="DCI189" s="39"/>
      <c r="DCJ189" s="39"/>
      <c r="DCK189" s="39"/>
      <c r="DCL189" s="39"/>
      <c r="DCM189" s="39"/>
      <c r="DCN189" s="39"/>
      <c r="DCO189" s="39"/>
      <c r="DCP189" s="39"/>
      <c r="DCQ189" s="39"/>
      <c r="DCR189" s="39"/>
      <c r="DCS189" s="39"/>
      <c r="DCT189" s="39"/>
      <c r="DCU189" s="39"/>
      <c r="DCV189" s="39"/>
      <c r="DCW189" s="39"/>
      <c r="DCX189" s="39"/>
      <c r="DCY189" s="39"/>
      <c r="DCZ189" s="39"/>
      <c r="DDA189" s="39"/>
      <c r="DDB189" s="39"/>
      <c r="DDC189" s="39"/>
      <c r="DDD189" s="39"/>
      <c r="DDE189" s="39"/>
      <c r="DDF189" s="39"/>
      <c r="DDG189" s="39"/>
      <c r="DDH189" s="39"/>
      <c r="DDI189" s="39"/>
      <c r="DDJ189" s="39"/>
      <c r="DDK189" s="39"/>
      <c r="DDL189" s="39"/>
      <c r="DDM189" s="39"/>
      <c r="DDN189" s="39"/>
      <c r="DDO189" s="39"/>
      <c r="DDP189" s="39"/>
      <c r="DDQ189" s="39"/>
      <c r="DDR189" s="39"/>
      <c r="DDS189" s="39"/>
      <c r="DDT189" s="39"/>
      <c r="DDU189" s="39"/>
      <c r="DDV189" s="39"/>
      <c r="DDW189" s="39"/>
      <c r="DDX189" s="39"/>
      <c r="DDY189" s="39"/>
      <c r="DDZ189" s="39"/>
      <c r="DEA189" s="39"/>
      <c r="DEB189" s="39"/>
      <c r="DEC189" s="39"/>
      <c r="DED189" s="39"/>
      <c r="DEE189" s="39"/>
      <c r="DEF189" s="39"/>
      <c r="DEG189" s="39"/>
      <c r="DEH189" s="39"/>
      <c r="DEI189" s="39"/>
      <c r="DEJ189" s="39"/>
      <c r="DEK189" s="39"/>
      <c r="DEL189" s="39"/>
      <c r="DEM189" s="39"/>
      <c r="DEN189" s="39"/>
      <c r="DEO189" s="39"/>
      <c r="DEP189" s="39"/>
      <c r="DEQ189" s="39"/>
      <c r="DER189" s="39"/>
      <c r="DES189" s="39"/>
      <c r="DET189" s="39"/>
      <c r="DEU189" s="39"/>
      <c r="DEV189" s="39"/>
      <c r="DEW189" s="39"/>
      <c r="DEX189" s="39"/>
      <c r="DEY189" s="39"/>
      <c r="DEZ189" s="39"/>
      <c r="DFA189" s="39"/>
      <c r="DFB189" s="39"/>
      <c r="DFC189" s="39"/>
      <c r="DFD189" s="39"/>
      <c r="DFE189" s="39"/>
      <c r="DFF189" s="39"/>
      <c r="DFG189" s="39"/>
      <c r="DFH189" s="39"/>
      <c r="DFI189" s="39"/>
      <c r="DFJ189" s="39"/>
      <c r="DFK189" s="39"/>
      <c r="DFL189" s="39"/>
      <c r="DFM189" s="39"/>
      <c r="DFN189" s="39"/>
      <c r="DFO189" s="39"/>
      <c r="DFP189" s="39"/>
      <c r="DFQ189" s="39"/>
      <c r="DFR189" s="39"/>
      <c r="DFS189" s="39"/>
      <c r="DFT189" s="39"/>
      <c r="DFU189" s="39"/>
      <c r="DFV189" s="39"/>
      <c r="DFW189" s="39"/>
      <c r="DFX189" s="39"/>
      <c r="DFY189" s="39"/>
      <c r="DFZ189" s="39"/>
      <c r="DGA189" s="39"/>
      <c r="DGB189" s="39"/>
      <c r="DGC189" s="39"/>
      <c r="DGD189" s="39"/>
      <c r="DGE189" s="39"/>
      <c r="DGF189" s="39"/>
      <c r="DGG189" s="39"/>
      <c r="DGH189" s="39"/>
      <c r="DGI189" s="39"/>
      <c r="DGJ189" s="39"/>
      <c r="DGK189" s="39"/>
      <c r="DGL189" s="39"/>
      <c r="DGM189" s="39"/>
      <c r="DGN189" s="39"/>
      <c r="DGO189" s="39"/>
      <c r="DGP189" s="39"/>
      <c r="DGQ189" s="39"/>
      <c r="DGR189" s="39"/>
      <c r="DGS189" s="39"/>
      <c r="DGT189" s="39"/>
      <c r="DGU189" s="39"/>
      <c r="DGV189" s="39"/>
      <c r="DGW189" s="39"/>
      <c r="DGX189" s="39"/>
      <c r="DGY189" s="39"/>
      <c r="DGZ189" s="39"/>
      <c r="DHA189" s="39"/>
      <c r="DHB189" s="39"/>
      <c r="DHC189" s="39"/>
      <c r="DHD189" s="39"/>
      <c r="DHE189" s="39"/>
      <c r="DHF189" s="39"/>
      <c r="DHG189" s="39"/>
      <c r="DHH189" s="39"/>
      <c r="DHI189" s="39"/>
      <c r="DHJ189" s="39"/>
      <c r="DHK189" s="39"/>
      <c r="DHL189" s="39"/>
      <c r="DHM189" s="39"/>
      <c r="DHN189" s="39"/>
      <c r="DHO189" s="39"/>
      <c r="DHP189" s="39"/>
      <c r="DHQ189" s="39"/>
      <c r="DHR189" s="39"/>
      <c r="DHS189" s="39"/>
      <c r="DHT189" s="39"/>
      <c r="DHU189" s="39"/>
      <c r="DHV189" s="39"/>
      <c r="DHW189" s="39"/>
      <c r="DHX189" s="39"/>
      <c r="DHY189" s="39"/>
      <c r="DHZ189" s="39"/>
      <c r="DIA189" s="39"/>
      <c r="DIB189" s="39"/>
      <c r="DIC189" s="39"/>
      <c r="DID189" s="39"/>
      <c r="DIE189" s="39"/>
      <c r="DIF189" s="39"/>
      <c r="DIG189" s="39"/>
      <c r="DIH189" s="39"/>
      <c r="DII189" s="39"/>
      <c r="DIJ189" s="39"/>
      <c r="DIK189" s="39"/>
      <c r="DIL189" s="39"/>
      <c r="DIM189" s="39"/>
      <c r="DIN189" s="39"/>
      <c r="DIO189" s="39"/>
      <c r="DIP189" s="39"/>
      <c r="DIQ189" s="39"/>
      <c r="DIR189" s="39"/>
      <c r="DIS189" s="39"/>
      <c r="DIT189" s="39"/>
      <c r="DIU189" s="39"/>
      <c r="DIV189" s="39"/>
      <c r="DIW189" s="39"/>
      <c r="DIX189" s="39"/>
      <c r="DIY189" s="39"/>
      <c r="DIZ189" s="39"/>
      <c r="DJA189" s="39"/>
      <c r="DJB189" s="39"/>
      <c r="DJC189" s="39"/>
      <c r="DJD189" s="39"/>
      <c r="DJE189" s="39"/>
      <c r="DJF189" s="39"/>
      <c r="DJG189" s="39"/>
      <c r="DJH189" s="39"/>
      <c r="DJI189" s="39"/>
      <c r="DJJ189" s="39"/>
      <c r="DJK189" s="39"/>
      <c r="DJL189" s="39"/>
      <c r="DJM189" s="39"/>
      <c r="DJN189" s="39"/>
      <c r="DJO189" s="39"/>
      <c r="DJP189" s="39"/>
      <c r="DJQ189" s="39"/>
      <c r="DJR189" s="39"/>
      <c r="DJS189" s="39"/>
      <c r="DJT189" s="39"/>
      <c r="DJU189" s="39"/>
      <c r="DJV189" s="39"/>
      <c r="DJW189" s="39"/>
      <c r="DJX189" s="39"/>
      <c r="DJY189" s="39"/>
      <c r="DJZ189" s="39"/>
      <c r="DKA189" s="39"/>
      <c r="DKB189" s="39"/>
      <c r="DKC189" s="39"/>
      <c r="DKD189" s="39"/>
      <c r="DKE189" s="39"/>
      <c r="DKF189" s="39"/>
      <c r="DKG189" s="39"/>
      <c r="DKH189" s="39"/>
      <c r="DKI189" s="39"/>
      <c r="DKJ189" s="39"/>
      <c r="DKK189" s="39"/>
      <c r="DKL189" s="39"/>
      <c r="DKM189" s="39"/>
      <c r="DKN189" s="39"/>
      <c r="DKO189" s="39"/>
      <c r="DKP189" s="39"/>
      <c r="DKQ189" s="39"/>
      <c r="DKR189" s="39"/>
      <c r="DKS189" s="39"/>
      <c r="DKT189" s="39"/>
      <c r="DKU189" s="39"/>
      <c r="DKV189" s="39"/>
      <c r="DKW189" s="39"/>
      <c r="DKX189" s="39"/>
      <c r="DKY189" s="39"/>
      <c r="DKZ189" s="39"/>
      <c r="DLA189" s="39"/>
      <c r="DLB189" s="39"/>
      <c r="DLC189" s="39"/>
      <c r="DLD189" s="39"/>
      <c r="DLE189" s="39"/>
      <c r="DLF189" s="39"/>
      <c r="DLG189" s="39"/>
      <c r="DLH189" s="39"/>
      <c r="DLI189" s="39"/>
      <c r="DLJ189" s="39"/>
      <c r="DLK189" s="39"/>
      <c r="DLL189" s="39"/>
      <c r="DLM189" s="39"/>
      <c r="DLN189" s="39"/>
      <c r="DLO189" s="39"/>
      <c r="DLP189" s="39"/>
      <c r="DLQ189" s="39"/>
      <c r="DLR189" s="39"/>
      <c r="DLS189" s="39"/>
      <c r="DLT189" s="39"/>
      <c r="DLU189" s="39"/>
      <c r="DLV189" s="39"/>
      <c r="DLW189" s="39"/>
      <c r="DLX189" s="39"/>
      <c r="DLY189" s="39"/>
      <c r="DLZ189" s="39"/>
      <c r="DMA189" s="39"/>
      <c r="DMB189" s="39"/>
      <c r="DMC189" s="39"/>
      <c r="DMD189" s="39"/>
      <c r="DME189" s="39"/>
      <c r="DMF189" s="39"/>
      <c r="DMG189" s="39"/>
      <c r="DMH189" s="39"/>
      <c r="DMI189" s="39"/>
      <c r="DMJ189" s="39"/>
      <c r="DMK189" s="39"/>
      <c r="DML189" s="39"/>
      <c r="DMM189" s="39"/>
      <c r="DMN189" s="39"/>
      <c r="DMO189" s="39"/>
      <c r="DMP189" s="39"/>
      <c r="DMQ189" s="39"/>
      <c r="DMR189" s="39"/>
      <c r="DMS189" s="39"/>
      <c r="DMT189" s="39"/>
      <c r="DMU189" s="39"/>
      <c r="DMV189" s="39"/>
      <c r="DMW189" s="39"/>
      <c r="DMX189" s="39"/>
      <c r="DMY189" s="39"/>
      <c r="DMZ189" s="39"/>
      <c r="DNA189" s="39"/>
      <c r="DNB189" s="39"/>
      <c r="DNC189" s="39"/>
      <c r="DND189" s="39"/>
      <c r="DNE189" s="39"/>
      <c r="DNF189" s="39"/>
      <c r="DNG189" s="39"/>
      <c r="DNH189" s="39"/>
      <c r="DNI189" s="39"/>
      <c r="DNJ189" s="39"/>
      <c r="DNK189" s="39"/>
      <c r="DNL189" s="39"/>
      <c r="DNM189" s="39"/>
      <c r="DNN189" s="39"/>
      <c r="DNO189" s="39"/>
      <c r="DNP189" s="39"/>
      <c r="DNQ189" s="39"/>
      <c r="DNR189" s="39"/>
      <c r="DNS189" s="39"/>
      <c r="DNT189" s="39"/>
      <c r="DNU189" s="39"/>
      <c r="DNV189" s="39"/>
      <c r="DNW189" s="39"/>
      <c r="DNX189" s="39"/>
      <c r="DNY189" s="39"/>
      <c r="DNZ189" s="39"/>
      <c r="DOA189" s="39"/>
      <c r="DOB189" s="39"/>
      <c r="DOC189" s="39"/>
      <c r="DOD189" s="39"/>
      <c r="DOE189" s="39"/>
      <c r="DOF189" s="39"/>
      <c r="DOG189" s="39"/>
      <c r="DOH189" s="39"/>
      <c r="DOI189" s="39"/>
      <c r="DOJ189" s="39"/>
      <c r="DOK189" s="39"/>
      <c r="DOL189" s="39"/>
      <c r="DOM189" s="39"/>
      <c r="DON189" s="39"/>
      <c r="DOO189" s="39"/>
      <c r="DOP189" s="39"/>
      <c r="DOQ189" s="39"/>
      <c r="DOR189" s="39"/>
      <c r="DOS189" s="39"/>
      <c r="DOT189" s="39"/>
      <c r="DOU189" s="39"/>
      <c r="DOV189" s="39"/>
      <c r="DOW189" s="39"/>
      <c r="DOX189" s="39"/>
      <c r="DOY189" s="39"/>
      <c r="DOZ189" s="39"/>
      <c r="DPA189" s="39"/>
      <c r="DPB189" s="39"/>
      <c r="DPC189" s="39"/>
      <c r="DPD189" s="39"/>
      <c r="DPE189" s="39"/>
      <c r="DPF189" s="39"/>
      <c r="DPG189" s="39"/>
      <c r="DPH189" s="39"/>
      <c r="DPI189" s="39"/>
      <c r="DPJ189" s="39"/>
      <c r="DPK189" s="39"/>
      <c r="DPL189" s="39"/>
      <c r="DPM189" s="39"/>
      <c r="DPN189" s="39"/>
      <c r="DPO189" s="39"/>
      <c r="DPP189" s="39"/>
      <c r="DPQ189" s="39"/>
      <c r="DPR189" s="39"/>
      <c r="DPS189" s="39"/>
      <c r="DPT189" s="39"/>
      <c r="DPU189" s="39"/>
      <c r="DPV189" s="39"/>
      <c r="DPW189" s="39"/>
      <c r="DPX189" s="39"/>
      <c r="DPY189" s="39"/>
      <c r="DPZ189" s="39"/>
      <c r="DQA189" s="39"/>
      <c r="DQB189" s="39"/>
      <c r="DQC189" s="39"/>
      <c r="DQD189" s="39"/>
      <c r="DQE189" s="39"/>
      <c r="DQF189" s="39"/>
      <c r="DQG189" s="39"/>
      <c r="DQH189" s="39"/>
      <c r="DQI189" s="39"/>
      <c r="DQJ189" s="39"/>
      <c r="DQK189" s="39"/>
      <c r="DQL189" s="39"/>
      <c r="DQM189" s="39"/>
      <c r="DQN189" s="39"/>
      <c r="DQO189" s="39"/>
      <c r="DQP189" s="39"/>
      <c r="DQQ189" s="39"/>
      <c r="DQR189" s="39"/>
      <c r="DQS189" s="39"/>
      <c r="DQT189" s="39"/>
      <c r="DQU189" s="39"/>
      <c r="DQV189" s="39"/>
      <c r="DQW189" s="39"/>
      <c r="DQX189" s="39"/>
      <c r="DQY189" s="39"/>
      <c r="DQZ189" s="39"/>
      <c r="DRA189" s="39"/>
      <c r="DRB189" s="39"/>
      <c r="DRC189" s="39"/>
      <c r="DRD189" s="39"/>
      <c r="DRE189" s="39"/>
      <c r="DRF189" s="39"/>
      <c r="DRG189" s="39"/>
      <c r="DRH189" s="39"/>
      <c r="DRI189" s="39"/>
      <c r="DRJ189" s="39"/>
      <c r="DRK189" s="39"/>
      <c r="DRL189" s="39"/>
      <c r="DRM189" s="39"/>
      <c r="DRN189" s="39"/>
      <c r="DRO189" s="39"/>
      <c r="DRP189" s="39"/>
      <c r="DRQ189" s="39"/>
      <c r="DRR189" s="39"/>
      <c r="DRS189" s="39"/>
      <c r="DRT189" s="39"/>
      <c r="DRU189" s="39"/>
      <c r="DRV189" s="39"/>
      <c r="DRW189" s="39"/>
      <c r="DRX189" s="39"/>
      <c r="DRY189" s="39"/>
      <c r="DRZ189" s="39"/>
      <c r="DSA189" s="39"/>
      <c r="DSB189" s="39"/>
      <c r="DSC189" s="39"/>
      <c r="DSD189" s="39"/>
      <c r="DSE189" s="39"/>
      <c r="DSF189" s="39"/>
      <c r="DSG189" s="39"/>
      <c r="DSH189" s="39"/>
      <c r="DSI189" s="39"/>
      <c r="DSJ189" s="39"/>
      <c r="DSK189" s="39"/>
      <c r="DSL189" s="39"/>
      <c r="DSM189" s="39"/>
      <c r="DSN189" s="39"/>
      <c r="DSO189" s="39"/>
      <c r="DSP189" s="39"/>
      <c r="DSQ189" s="39"/>
      <c r="DSR189" s="39"/>
      <c r="DSS189" s="39"/>
      <c r="DST189" s="39"/>
      <c r="DSU189" s="39"/>
      <c r="DSV189" s="39"/>
      <c r="DSW189" s="39"/>
      <c r="DSX189" s="39"/>
      <c r="DSY189" s="39"/>
      <c r="DSZ189" s="39"/>
      <c r="DTA189" s="39"/>
      <c r="DTB189" s="39"/>
      <c r="DTC189" s="39"/>
      <c r="DTD189" s="39"/>
      <c r="DTE189" s="39"/>
      <c r="DTF189" s="39"/>
      <c r="DTG189" s="39"/>
      <c r="DTH189" s="39"/>
      <c r="DTI189" s="39"/>
      <c r="DTJ189" s="39"/>
      <c r="DTK189" s="39"/>
      <c r="DTL189" s="39"/>
      <c r="DTM189" s="39"/>
      <c r="DTN189" s="39"/>
      <c r="DTO189" s="39"/>
      <c r="DTP189" s="39"/>
      <c r="DTQ189" s="39"/>
      <c r="DTR189" s="39"/>
      <c r="DTS189" s="39"/>
      <c r="DTT189" s="39"/>
      <c r="DTU189" s="39"/>
      <c r="DTV189" s="39"/>
      <c r="DTW189" s="39"/>
      <c r="DTX189" s="39"/>
      <c r="DTY189" s="39"/>
      <c r="DTZ189" s="39"/>
      <c r="DUA189" s="39"/>
      <c r="DUB189" s="39"/>
      <c r="DUC189" s="39"/>
      <c r="DUD189" s="39"/>
      <c r="DUE189" s="39"/>
      <c r="DUF189" s="39"/>
      <c r="DUG189" s="39"/>
      <c r="DUH189" s="39"/>
      <c r="DUI189" s="39"/>
      <c r="DUJ189" s="39"/>
      <c r="DUK189" s="39"/>
      <c r="DUL189" s="39"/>
      <c r="DUM189" s="39"/>
      <c r="DUN189" s="39"/>
      <c r="DUO189" s="39"/>
      <c r="DUP189" s="39"/>
      <c r="DUQ189" s="39"/>
      <c r="DUR189" s="39"/>
      <c r="DUS189" s="39"/>
      <c r="DUT189" s="39"/>
      <c r="DUU189" s="39"/>
      <c r="DUV189" s="39"/>
      <c r="DUW189" s="39"/>
      <c r="DUX189" s="39"/>
      <c r="DUY189" s="39"/>
      <c r="DUZ189" s="39"/>
      <c r="DVA189" s="39"/>
      <c r="DVB189" s="39"/>
      <c r="DVC189" s="39"/>
      <c r="DVD189" s="39"/>
      <c r="DVE189" s="39"/>
      <c r="DVF189" s="39"/>
      <c r="DVG189" s="39"/>
      <c r="DVH189" s="39"/>
      <c r="DVI189" s="39"/>
      <c r="DVJ189" s="39"/>
      <c r="DVK189" s="39"/>
      <c r="DVL189" s="39"/>
      <c r="DVM189" s="39"/>
      <c r="DVN189" s="39"/>
      <c r="DVO189" s="39"/>
      <c r="DVP189" s="39"/>
      <c r="DVQ189" s="39"/>
      <c r="DVR189" s="39"/>
      <c r="DVS189" s="39"/>
      <c r="DVT189" s="39"/>
      <c r="DVU189" s="39"/>
      <c r="DVV189" s="39"/>
      <c r="DVW189" s="39"/>
      <c r="DVX189" s="39"/>
      <c r="DVY189" s="39"/>
      <c r="DVZ189" s="39"/>
      <c r="DWA189" s="39"/>
      <c r="DWB189" s="39"/>
      <c r="DWC189" s="39"/>
      <c r="DWD189" s="39"/>
      <c r="DWE189" s="39"/>
      <c r="DWF189" s="39"/>
      <c r="DWG189" s="39"/>
      <c r="DWH189" s="39"/>
      <c r="DWI189" s="39"/>
      <c r="DWJ189" s="39"/>
      <c r="DWK189" s="39"/>
      <c r="DWL189" s="39"/>
      <c r="DWM189" s="39"/>
      <c r="DWN189" s="39"/>
      <c r="DWO189" s="39"/>
      <c r="DWP189" s="39"/>
      <c r="DWQ189" s="39"/>
      <c r="DWR189" s="39"/>
      <c r="DWS189" s="39"/>
      <c r="DWT189" s="39"/>
      <c r="DWU189" s="39"/>
      <c r="DWV189" s="39"/>
      <c r="DWW189" s="39"/>
      <c r="DWX189" s="39"/>
      <c r="DWY189" s="39"/>
      <c r="DWZ189" s="39"/>
      <c r="DXA189" s="39"/>
      <c r="DXB189" s="39"/>
      <c r="DXC189" s="39"/>
      <c r="DXD189" s="39"/>
      <c r="DXE189" s="39"/>
      <c r="DXF189" s="39"/>
      <c r="DXG189" s="39"/>
      <c r="DXH189" s="39"/>
      <c r="DXI189" s="39"/>
      <c r="DXJ189" s="39"/>
      <c r="DXK189" s="39"/>
      <c r="DXL189" s="39"/>
      <c r="DXM189" s="39"/>
      <c r="DXN189" s="39"/>
      <c r="DXO189" s="39"/>
      <c r="DXP189" s="39"/>
      <c r="DXQ189" s="39"/>
      <c r="DXR189" s="39"/>
      <c r="DXS189" s="39"/>
      <c r="DXT189" s="39"/>
      <c r="DXU189" s="39"/>
      <c r="DXV189" s="39"/>
      <c r="DXW189" s="39"/>
      <c r="DXX189" s="39"/>
      <c r="DXY189" s="39"/>
      <c r="DXZ189" s="39"/>
      <c r="DYA189" s="39"/>
      <c r="DYB189" s="39"/>
      <c r="DYC189" s="39"/>
      <c r="DYD189" s="39"/>
      <c r="DYE189" s="39"/>
      <c r="DYF189" s="39"/>
      <c r="DYG189" s="39"/>
      <c r="DYH189" s="39"/>
      <c r="DYI189" s="39"/>
      <c r="DYJ189" s="39"/>
      <c r="DYK189" s="39"/>
      <c r="DYL189" s="39"/>
      <c r="DYM189" s="39"/>
      <c r="DYN189" s="39"/>
      <c r="DYO189" s="39"/>
      <c r="DYP189" s="39"/>
      <c r="DYQ189" s="39"/>
      <c r="DYR189" s="39"/>
      <c r="DYS189" s="39"/>
      <c r="DYT189" s="39"/>
      <c r="DYU189" s="39"/>
      <c r="DYV189" s="39"/>
      <c r="DYW189" s="39"/>
      <c r="DYX189" s="39"/>
      <c r="DYY189" s="39"/>
      <c r="DYZ189" s="39"/>
      <c r="DZA189" s="39"/>
      <c r="DZB189" s="39"/>
      <c r="DZC189" s="39"/>
      <c r="DZD189" s="39"/>
      <c r="DZE189" s="39"/>
      <c r="DZF189" s="39"/>
      <c r="DZG189" s="39"/>
      <c r="DZH189" s="39"/>
      <c r="DZI189" s="39"/>
      <c r="DZJ189" s="39"/>
      <c r="DZK189" s="39"/>
      <c r="DZL189" s="39"/>
      <c r="DZM189" s="39"/>
      <c r="DZN189" s="39"/>
      <c r="DZO189" s="39"/>
      <c r="DZP189" s="39"/>
      <c r="DZQ189" s="39"/>
      <c r="DZR189" s="39"/>
      <c r="DZS189" s="39"/>
      <c r="DZT189" s="39"/>
      <c r="DZU189" s="39"/>
      <c r="DZV189" s="39"/>
      <c r="DZW189" s="39"/>
      <c r="DZX189" s="39"/>
      <c r="DZY189" s="39"/>
      <c r="DZZ189" s="39"/>
      <c r="EAA189" s="39"/>
      <c r="EAB189" s="39"/>
      <c r="EAC189" s="39"/>
      <c r="EAD189" s="39"/>
      <c r="EAE189" s="39"/>
      <c r="EAF189" s="39"/>
      <c r="EAG189" s="39"/>
      <c r="EAH189" s="39"/>
      <c r="EAI189" s="39"/>
      <c r="EAJ189" s="39"/>
      <c r="EAK189" s="39"/>
      <c r="EAL189" s="39"/>
      <c r="EAM189" s="39"/>
      <c r="EAN189" s="39"/>
      <c r="EAO189" s="39"/>
      <c r="EAP189" s="39"/>
      <c r="EAQ189" s="39"/>
      <c r="EAR189" s="39"/>
      <c r="EAS189" s="39"/>
      <c r="EAT189" s="39"/>
      <c r="EAU189" s="39"/>
      <c r="EAV189" s="39"/>
      <c r="EAW189" s="39"/>
      <c r="EAX189" s="39"/>
      <c r="EAY189" s="39"/>
      <c r="EAZ189" s="39"/>
      <c r="EBA189" s="39"/>
      <c r="EBB189" s="39"/>
      <c r="EBC189" s="39"/>
      <c r="EBD189" s="39"/>
      <c r="EBE189" s="39"/>
      <c r="EBF189" s="39"/>
      <c r="EBG189" s="39"/>
      <c r="EBH189" s="39"/>
      <c r="EBI189" s="39"/>
      <c r="EBJ189" s="39"/>
      <c r="EBK189" s="39"/>
      <c r="EBL189" s="39"/>
      <c r="EBM189" s="39"/>
      <c r="EBN189" s="39"/>
      <c r="EBO189" s="39"/>
      <c r="EBP189" s="39"/>
      <c r="EBQ189" s="39"/>
      <c r="EBR189" s="39"/>
      <c r="EBS189" s="39"/>
      <c r="EBT189" s="39"/>
      <c r="EBU189" s="39"/>
      <c r="EBV189" s="39"/>
      <c r="EBW189" s="39"/>
      <c r="EBX189" s="39"/>
      <c r="EBY189" s="39"/>
      <c r="EBZ189" s="39"/>
      <c r="ECA189" s="39"/>
      <c r="ECB189" s="39"/>
      <c r="ECC189" s="39"/>
      <c r="ECD189" s="39"/>
      <c r="ECE189" s="39"/>
      <c r="ECF189" s="39"/>
      <c r="ECG189" s="39"/>
      <c r="ECH189" s="39"/>
      <c r="ECI189" s="39"/>
      <c r="ECJ189" s="39"/>
      <c r="ECK189" s="39"/>
      <c r="ECL189" s="39"/>
      <c r="ECM189" s="39"/>
      <c r="ECN189" s="39"/>
      <c r="ECO189" s="39"/>
      <c r="ECP189" s="39"/>
      <c r="ECQ189" s="39"/>
      <c r="ECR189" s="39"/>
      <c r="ECS189" s="39"/>
      <c r="ECT189" s="39"/>
      <c r="ECU189" s="39"/>
      <c r="ECV189" s="39"/>
      <c r="ECW189" s="39"/>
      <c r="ECX189" s="39"/>
      <c r="ECY189" s="39"/>
      <c r="ECZ189" s="39"/>
      <c r="EDA189" s="39"/>
      <c r="EDB189" s="39"/>
      <c r="EDC189" s="39"/>
      <c r="EDD189" s="39"/>
      <c r="EDE189" s="39"/>
      <c r="EDF189" s="39"/>
      <c r="EDG189" s="39"/>
      <c r="EDH189" s="39"/>
      <c r="EDI189" s="39"/>
      <c r="EDJ189" s="39"/>
      <c r="EDK189" s="39"/>
      <c r="EDL189" s="39"/>
      <c r="EDM189" s="39"/>
      <c r="EDN189" s="39"/>
      <c r="EDO189" s="39"/>
      <c r="EDP189" s="39"/>
      <c r="EDQ189" s="39"/>
      <c r="EDR189" s="39"/>
      <c r="EDS189" s="39"/>
      <c r="EDT189" s="39"/>
      <c r="EDU189" s="39"/>
      <c r="EDV189" s="39"/>
      <c r="EDW189" s="39"/>
      <c r="EDX189" s="39"/>
      <c r="EDY189" s="39"/>
      <c r="EDZ189" s="39"/>
      <c r="EEA189" s="39"/>
      <c r="EEB189" s="39"/>
      <c r="EEC189" s="39"/>
      <c r="EED189" s="39"/>
      <c r="EEE189" s="39"/>
      <c r="EEF189" s="39"/>
      <c r="EEG189" s="39"/>
      <c r="EEH189" s="39"/>
      <c r="EEI189" s="39"/>
      <c r="EEJ189" s="39"/>
      <c r="EEK189" s="39"/>
      <c r="EEL189" s="39"/>
      <c r="EEM189" s="39"/>
      <c r="EEN189" s="39"/>
      <c r="EEO189" s="39"/>
      <c r="EEP189" s="39"/>
      <c r="EEQ189" s="39"/>
      <c r="EER189" s="39"/>
      <c r="EES189" s="39"/>
      <c r="EET189" s="39"/>
      <c r="EEU189" s="39"/>
      <c r="EEV189" s="39"/>
      <c r="EEW189" s="39"/>
      <c r="EEX189" s="39"/>
      <c r="EEY189" s="39"/>
      <c r="EEZ189" s="39"/>
      <c r="EFA189" s="39"/>
      <c r="EFB189" s="39"/>
      <c r="EFC189" s="39"/>
      <c r="EFD189" s="39"/>
      <c r="EFE189" s="39"/>
      <c r="EFF189" s="39"/>
      <c r="EFG189" s="39"/>
      <c r="EFH189" s="39"/>
      <c r="EFI189" s="39"/>
      <c r="EFJ189" s="39"/>
      <c r="EFK189" s="39"/>
      <c r="EFL189" s="39"/>
      <c r="EFM189" s="39"/>
      <c r="EFN189" s="39"/>
      <c r="EFO189" s="39"/>
      <c r="EFP189" s="39"/>
      <c r="EFQ189" s="39"/>
      <c r="EFR189" s="39"/>
      <c r="EFS189" s="39"/>
      <c r="EFT189" s="39"/>
      <c r="EFU189" s="39"/>
      <c r="EFV189" s="39"/>
      <c r="EFW189" s="39"/>
      <c r="EFX189" s="39"/>
      <c r="EFY189" s="39"/>
      <c r="EFZ189" s="39"/>
      <c r="EGA189" s="39"/>
      <c r="EGB189" s="39"/>
      <c r="EGC189" s="39"/>
      <c r="EGD189" s="39"/>
      <c r="EGE189" s="39"/>
      <c r="EGF189" s="39"/>
      <c r="EGG189" s="39"/>
      <c r="EGH189" s="39"/>
      <c r="EGI189" s="39"/>
      <c r="EGJ189" s="39"/>
      <c r="EGK189" s="39"/>
      <c r="EGL189" s="39"/>
      <c r="EGM189" s="39"/>
      <c r="EGN189" s="39"/>
      <c r="EGO189" s="39"/>
      <c r="EGP189" s="39"/>
      <c r="EGQ189" s="39"/>
      <c r="EGR189" s="39"/>
      <c r="EGS189" s="39"/>
      <c r="EGT189" s="39"/>
      <c r="EGU189" s="39"/>
      <c r="EGV189" s="39"/>
      <c r="EGW189" s="39"/>
      <c r="EGX189" s="39"/>
      <c r="EGY189" s="39"/>
      <c r="EGZ189" s="39"/>
      <c r="EHA189" s="39"/>
      <c r="EHB189" s="39"/>
      <c r="EHC189" s="39"/>
      <c r="EHD189" s="39"/>
      <c r="EHE189" s="39"/>
      <c r="EHF189" s="39"/>
      <c r="EHG189" s="39"/>
      <c r="EHH189" s="39"/>
      <c r="EHI189" s="39"/>
      <c r="EHJ189" s="39"/>
      <c r="EHK189" s="39"/>
      <c r="EHL189" s="39"/>
      <c r="EHM189" s="39"/>
      <c r="EHN189" s="39"/>
      <c r="EHO189" s="39"/>
      <c r="EHP189" s="39"/>
      <c r="EHQ189" s="39"/>
      <c r="EHR189" s="39"/>
      <c r="EHS189" s="39"/>
      <c r="EHT189" s="39"/>
      <c r="EHU189" s="39"/>
      <c r="EHV189" s="39"/>
      <c r="EHW189" s="39"/>
      <c r="EHX189" s="39"/>
      <c r="EHY189" s="39"/>
      <c r="EHZ189" s="39"/>
      <c r="EIA189" s="39"/>
      <c r="EIB189" s="39"/>
      <c r="EIC189" s="39"/>
      <c r="EID189" s="39"/>
      <c r="EIE189" s="39"/>
      <c r="EIF189" s="39"/>
      <c r="EIG189" s="39"/>
      <c r="EIH189" s="39"/>
      <c r="EII189" s="39"/>
      <c r="EIJ189" s="39"/>
      <c r="EIK189" s="39"/>
      <c r="EIL189" s="39"/>
      <c r="EIM189" s="39"/>
      <c r="EIN189" s="39"/>
      <c r="EIO189" s="39"/>
      <c r="EIP189" s="39"/>
      <c r="EIQ189" s="39"/>
      <c r="EIR189" s="39"/>
      <c r="EIS189" s="39"/>
      <c r="EIT189" s="39"/>
      <c r="EIU189" s="39"/>
      <c r="EIV189" s="39"/>
      <c r="EIW189" s="39"/>
      <c r="EIX189" s="39"/>
      <c r="EIY189" s="39"/>
      <c r="EIZ189" s="39"/>
      <c r="EJA189" s="39"/>
      <c r="EJB189" s="39"/>
      <c r="EJC189" s="39"/>
      <c r="EJD189" s="39"/>
      <c r="EJE189" s="39"/>
      <c r="EJF189" s="39"/>
      <c r="EJG189" s="39"/>
      <c r="EJH189" s="39"/>
      <c r="EJI189" s="39"/>
      <c r="EJJ189" s="39"/>
      <c r="EJK189" s="39"/>
      <c r="EJL189" s="39"/>
      <c r="EJM189" s="39"/>
      <c r="EJN189" s="39"/>
      <c r="EJO189" s="39"/>
      <c r="EJP189" s="39"/>
      <c r="EJQ189" s="39"/>
      <c r="EJR189" s="39"/>
      <c r="EJS189" s="39"/>
      <c r="EJT189" s="39"/>
      <c r="EJU189" s="39"/>
      <c r="EJV189" s="39"/>
      <c r="EJW189" s="39"/>
      <c r="EJX189" s="39"/>
      <c r="EJY189" s="39"/>
      <c r="EJZ189" s="39"/>
      <c r="EKA189" s="39"/>
      <c r="EKB189" s="39"/>
      <c r="EKC189" s="39"/>
      <c r="EKD189" s="39"/>
      <c r="EKE189" s="39"/>
      <c r="EKF189" s="39"/>
      <c r="EKG189" s="39"/>
      <c r="EKH189" s="39"/>
      <c r="EKI189" s="39"/>
      <c r="EKJ189" s="39"/>
      <c r="EKK189" s="39"/>
      <c r="EKL189" s="39"/>
      <c r="EKM189" s="39"/>
      <c r="EKN189" s="39"/>
      <c r="EKO189" s="39"/>
      <c r="EKP189" s="39"/>
      <c r="EKQ189" s="39"/>
      <c r="EKR189" s="39"/>
      <c r="EKS189" s="39"/>
      <c r="EKT189" s="39"/>
      <c r="EKU189" s="39"/>
      <c r="EKV189" s="39"/>
      <c r="EKW189" s="39"/>
      <c r="EKX189" s="39"/>
      <c r="EKY189" s="39"/>
      <c r="EKZ189" s="39"/>
      <c r="ELA189" s="39"/>
      <c r="ELB189" s="39"/>
      <c r="ELC189" s="39"/>
      <c r="ELD189" s="39"/>
      <c r="ELE189" s="39"/>
      <c r="ELF189" s="39"/>
      <c r="ELG189" s="39"/>
      <c r="ELH189" s="39"/>
      <c r="ELI189" s="39"/>
      <c r="ELJ189" s="39"/>
      <c r="ELK189" s="39"/>
      <c r="ELL189" s="39"/>
      <c r="ELM189" s="39"/>
      <c r="ELN189" s="39"/>
      <c r="ELO189" s="39"/>
      <c r="ELP189" s="39"/>
      <c r="ELQ189" s="39"/>
      <c r="ELR189" s="39"/>
      <c r="ELS189" s="39"/>
      <c r="ELT189" s="39"/>
      <c r="ELU189" s="39"/>
      <c r="ELV189" s="39"/>
      <c r="ELW189" s="39"/>
      <c r="ELX189" s="39"/>
      <c r="ELY189" s="39"/>
      <c r="ELZ189" s="39"/>
      <c r="EMA189" s="39"/>
      <c r="EMB189" s="39"/>
      <c r="EMC189" s="39"/>
      <c r="EMD189" s="39"/>
      <c r="EME189" s="39"/>
      <c r="EMF189" s="39"/>
      <c r="EMG189" s="39"/>
      <c r="EMH189" s="39"/>
      <c r="EMI189" s="39"/>
      <c r="EMJ189" s="39"/>
      <c r="EMK189" s="39"/>
      <c r="EML189" s="39"/>
      <c r="EMM189" s="39"/>
      <c r="EMN189" s="39"/>
      <c r="EMO189" s="39"/>
      <c r="EMP189" s="39"/>
      <c r="EMQ189" s="39"/>
      <c r="EMR189" s="39"/>
      <c r="EMS189" s="39"/>
      <c r="EMT189" s="39"/>
      <c r="EMU189" s="39"/>
      <c r="EMV189" s="39"/>
      <c r="EMW189" s="39"/>
      <c r="EMX189" s="39"/>
      <c r="EMY189" s="39"/>
      <c r="EMZ189" s="39"/>
      <c r="ENA189" s="39"/>
      <c r="ENB189" s="39"/>
      <c r="ENC189" s="39"/>
      <c r="END189" s="39"/>
      <c r="ENE189" s="39"/>
      <c r="ENF189" s="39"/>
      <c r="ENG189" s="39"/>
      <c r="ENH189" s="39"/>
      <c r="ENI189" s="39"/>
      <c r="ENJ189" s="39"/>
      <c r="ENK189" s="39"/>
      <c r="ENL189" s="39"/>
      <c r="ENM189" s="39"/>
      <c r="ENN189" s="39"/>
      <c r="ENO189" s="39"/>
      <c r="ENP189" s="39"/>
      <c r="ENQ189" s="39"/>
      <c r="ENR189" s="39"/>
      <c r="ENS189" s="39"/>
      <c r="ENT189" s="39"/>
      <c r="ENU189" s="39"/>
      <c r="ENV189" s="39"/>
      <c r="ENW189" s="39"/>
      <c r="ENX189" s="39"/>
      <c r="ENY189" s="39"/>
      <c r="ENZ189" s="39"/>
      <c r="EOA189" s="39"/>
      <c r="EOB189" s="39"/>
      <c r="EOC189" s="39"/>
      <c r="EOD189" s="39"/>
      <c r="EOE189" s="39"/>
      <c r="EOF189" s="39"/>
      <c r="EOG189" s="39"/>
      <c r="EOH189" s="39"/>
      <c r="EOI189" s="39"/>
      <c r="EOJ189" s="39"/>
      <c r="EOK189" s="39"/>
      <c r="EOL189" s="39"/>
      <c r="EOM189" s="39"/>
      <c r="EON189" s="39"/>
      <c r="EOO189" s="39"/>
      <c r="EOP189" s="39"/>
      <c r="EOQ189" s="39"/>
      <c r="EOR189" s="39"/>
      <c r="EOS189" s="39"/>
      <c r="EOT189" s="39"/>
      <c r="EOU189" s="39"/>
      <c r="EOV189" s="39"/>
      <c r="EOW189" s="39"/>
      <c r="EOX189" s="39"/>
      <c r="EOY189" s="39"/>
      <c r="EOZ189" s="39"/>
      <c r="EPA189" s="39"/>
      <c r="EPB189" s="39"/>
      <c r="EPC189" s="39"/>
      <c r="EPD189" s="39"/>
      <c r="EPE189" s="39"/>
      <c r="EPF189" s="39"/>
      <c r="EPG189" s="39"/>
      <c r="EPH189" s="39"/>
      <c r="EPI189" s="39"/>
      <c r="EPJ189" s="39"/>
      <c r="EPK189" s="39"/>
      <c r="EPL189" s="39"/>
      <c r="EPM189" s="39"/>
      <c r="EPN189" s="39"/>
      <c r="EPO189" s="39"/>
      <c r="EPP189" s="39"/>
      <c r="EPQ189" s="39"/>
      <c r="EPR189" s="39"/>
      <c r="EPS189" s="39"/>
      <c r="EPT189" s="39"/>
      <c r="EPU189" s="39"/>
      <c r="EPV189" s="39"/>
      <c r="EPW189" s="39"/>
      <c r="EPX189" s="39"/>
      <c r="EPY189" s="39"/>
      <c r="EPZ189" s="39"/>
      <c r="EQA189" s="39"/>
      <c r="EQB189" s="39"/>
      <c r="EQC189" s="39"/>
      <c r="EQD189" s="39"/>
      <c r="EQE189" s="39"/>
      <c r="EQF189" s="39"/>
      <c r="EQG189" s="39"/>
      <c r="EQH189" s="39"/>
      <c r="EQI189" s="39"/>
      <c r="EQJ189" s="39"/>
      <c r="EQK189" s="39"/>
      <c r="EQL189" s="39"/>
      <c r="EQM189" s="39"/>
      <c r="EQN189" s="39"/>
      <c r="EQO189" s="39"/>
      <c r="EQP189" s="39"/>
      <c r="EQQ189" s="39"/>
      <c r="EQR189" s="39"/>
      <c r="EQS189" s="39"/>
      <c r="EQT189" s="39"/>
      <c r="EQU189" s="39"/>
      <c r="EQV189" s="39"/>
      <c r="EQW189" s="39"/>
      <c r="EQX189" s="39"/>
      <c r="EQY189" s="39"/>
      <c r="EQZ189" s="39"/>
      <c r="ERA189" s="39"/>
      <c r="ERB189" s="39"/>
      <c r="ERC189" s="39"/>
      <c r="ERD189" s="39"/>
      <c r="ERE189" s="39"/>
      <c r="ERF189" s="39"/>
      <c r="ERG189" s="39"/>
      <c r="ERH189" s="39"/>
      <c r="ERI189" s="39"/>
      <c r="ERJ189" s="39"/>
      <c r="ERK189" s="39"/>
      <c r="ERL189" s="39"/>
      <c r="ERM189" s="39"/>
      <c r="ERN189" s="39"/>
      <c r="ERO189" s="39"/>
      <c r="ERP189" s="39"/>
      <c r="ERQ189" s="39"/>
      <c r="ERR189" s="39"/>
      <c r="ERS189" s="39"/>
      <c r="ERT189" s="39"/>
      <c r="ERU189" s="39"/>
      <c r="ERV189" s="39"/>
      <c r="ERW189" s="39"/>
      <c r="ERX189" s="39"/>
      <c r="ERY189" s="39"/>
      <c r="ERZ189" s="39"/>
      <c r="ESA189" s="39"/>
      <c r="ESB189" s="39"/>
      <c r="ESC189" s="39"/>
      <c r="ESD189" s="39"/>
      <c r="ESE189" s="39"/>
      <c r="ESF189" s="39"/>
      <c r="ESG189" s="39"/>
      <c r="ESH189" s="39"/>
      <c r="ESI189" s="39"/>
      <c r="ESJ189" s="39"/>
      <c r="ESK189" s="39"/>
      <c r="ESL189" s="39"/>
      <c r="ESM189" s="39"/>
      <c r="ESN189" s="39"/>
      <c r="ESO189" s="39"/>
      <c r="ESP189" s="39"/>
      <c r="ESQ189" s="39"/>
      <c r="ESR189" s="39"/>
      <c r="ESS189" s="39"/>
      <c r="EST189" s="39"/>
      <c r="ESU189" s="39"/>
      <c r="ESV189" s="39"/>
      <c r="ESW189" s="39"/>
      <c r="ESX189" s="39"/>
      <c r="ESY189" s="39"/>
      <c r="ESZ189" s="39"/>
      <c r="ETA189" s="39"/>
      <c r="ETB189" s="39"/>
      <c r="ETC189" s="39"/>
      <c r="ETD189" s="39"/>
      <c r="ETE189" s="39"/>
      <c r="ETF189" s="39"/>
      <c r="ETG189" s="39"/>
      <c r="ETH189" s="39"/>
      <c r="ETI189" s="39"/>
      <c r="ETJ189" s="39"/>
      <c r="ETK189" s="39"/>
      <c r="ETL189" s="39"/>
      <c r="ETM189" s="39"/>
      <c r="ETN189" s="39"/>
      <c r="ETO189" s="39"/>
      <c r="ETP189" s="39"/>
      <c r="ETQ189" s="39"/>
      <c r="ETR189" s="39"/>
      <c r="ETS189" s="39"/>
      <c r="ETT189" s="39"/>
      <c r="ETU189" s="39"/>
      <c r="ETV189" s="39"/>
      <c r="ETW189" s="39"/>
      <c r="ETX189" s="39"/>
      <c r="ETY189" s="39"/>
      <c r="ETZ189" s="39"/>
      <c r="EUA189" s="39"/>
      <c r="EUB189" s="39"/>
      <c r="EUC189" s="39"/>
      <c r="EUD189" s="39"/>
      <c r="EUE189" s="39"/>
      <c r="EUF189" s="39"/>
      <c r="EUG189" s="39"/>
      <c r="EUH189" s="39"/>
      <c r="EUI189" s="39"/>
      <c r="EUJ189" s="39"/>
      <c r="EUK189" s="39"/>
      <c r="EUL189" s="39"/>
      <c r="EUM189" s="39"/>
      <c r="EUN189" s="39"/>
      <c r="EUO189" s="39"/>
      <c r="EUP189" s="39"/>
      <c r="EUQ189" s="39"/>
      <c r="EUR189" s="39"/>
      <c r="EUS189" s="39"/>
      <c r="EUT189" s="39"/>
      <c r="EUU189" s="39"/>
      <c r="EUV189" s="39"/>
      <c r="EUW189" s="39"/>
      <c r="EUX189" s="39"/>
      <c r="EUY189" s="39"/>
      <c r="EUZ189" s="39"/>
      <c r="EVA189" s="39"/>
      <c r="EVB189" s="39"/>
      <c r="EVC189" s="39"/>
      <c r="EVD189" s="39"/>
      <c r="EVE189" s="39"/>
      <c r="EVF189" s="39"/>
      <c r="EVG189" s="39"/>
      <c r="EVH189" s="39"/>
      <c r="EVI189" s="39"/>
      <c r="EVJ189" s="39"/>
      <c r="EVK189" s="39"/>
      <c r="EVL189" s="39"/>
      <c r="EVM189" s="39"/>
      <c r="EVN189" s="39"/>
      <c r="EVO189" s="39"/>
      <c r="EVP189" s="39"/>
      <c r="EVQ189" s="39"/>
      <c r="EVR189" s="39"/>
      <c r="EVS189" s="39"/>
      <c r="EVT189" s="39"/>
      <c r="EVU189" s="39"/>
      <c r="EVV189" s="39"/>
      <c r="EVW189" s="39"/>
      <c r="EVX189" s="39"/>
      <c r="EVY189" s="39"/>
      <c r="EVZ189" s="39"/>
      <c r="EWA189" s="39"/>
      <c r="EWB189" s="39"/>
      <c r="EWC189" s="39"/>
      <c r="EWD189" s="39"/>
      <c r="EWE189" s="39"/>
      <c r="EWF189" s="39"/>
      <c r="EWG189" s="39"/>
      <c r="EWH189" s="39"/>
      <c r="EWI189" s="39"/>
      <c r="EWJ189" s="39"/>
      <c r="EWK189" s="39"/>
      <c r="EWL189" s="39"/>
      <c r="EWM189" s="39"/>
      <c r="EWN189" s="39"/>
      <c r="EWO189" s="39"/>
      <c r="EWP189" s="39"/>
      <c r="EWQ189" s="39"/>
      <c r="EWR189" s="39"/>
      <c r="EWS189" s="39"/>
      <c r="EWT189" s="39"/>
      <c r="EWU189" s="39"/>
      <c r="EWV189" s="39"/>
      <c r="EWW189" s="39"/>
      <c r="EWX189" s="39"/>
      <c r="EWY189" s="39"/>
      <c r="EWZ189" s="39"/>
      <c r="EXA189" s="39"/>
      <c r="EXB189" s="39"/>
      <c r="EXC189" s="39"/>
      <c r="EXD189" s="39"/>
      <c r="EXE189" s="39"/>
      <c r="EXF189" s="39"/>
      <c r="EXG189" s="39"/>
      <c r="EXH189" s="39"/>
      <c r="EXI189" s="39"/>
      <c r="EXJ189" s="39"/>
      <c r="EXK189" s="39"/>
      <c r="EXL189" s="39"/>
      <c r="EXM189" s="39"/>
      <c r="EXN189" s="39"/>
      <c r="EXO189" s="39"/>
      <c r="EXP189" s="39"/>
      <c r="EXQ189" s="39"/>
      <c r="EXR189" s="39"/>
      <c r="EXS189" s="39"/>
      <c r="EXT189" s="39"/>
      <c r="EXU189" s="39"/>
      <c r="EXV189" s="39"/>
      <c r="EXW189" s="39"/>
      <c r="EXX189" s="39"/>
      <c r="EXY189" s="39"/>
      <c r="EXZ189" s="39"/>
      <c r="EYA189" s="39"/>
      <c r="EYB189" s="39"/>
      <c r="EYC189" s="39"/>
      <c r="EYD189" s="39"/>
      <c r="EYE189" s="39"/>
      <c r="EYF189" s="39"/>
      <c r="EYG189" s="39"/>
      <c r="EYH189" s="39"/>
      <c r="EYI189" s="39"/>
      <c r="EYJ189" s="39"/>
      <c r="EYK189" s="39"/>
      <c r="EYL189" s="39"/>
      <c r="EYM189" s="39"/>
      <c r="EYN189" s="39"/>
      <c r="EYO189" s="39"/>
      <c r="EYP189" s="39"/>
      <c r="EYQ189" s="39"/>
      <c r="EYR189" s="39"/>
      <c r="EYS189" s="39"/>
      <c r="EYT189" s="39"/>
      <c r="EYU189" s="39"/>
      <c r="EYV189" s="39"/>
      <c r="EYW189" s="39"/>
      <c r="EYX189" s="39"/>
      <c r="EYY189" s="39"/>
      <c r="EYZ189" s="39"/>
      <c r="EZA189" s="39"/>
      <c r="EZB189" s="39"/>
      <c r="EZC189" s="39"/>
      <c r="EZD189" s="39"/>
      <c r="EZE189" s="39"/>
      <c r="EZF189" s="39"/>
      <c r="EZG189" s="39"/>
      <c r="EZH189" s="39"/>
      <c r="EZI189" s="39"/>
      <c r="EZJ189" s="39"/>
      <c r="EZK189" s="39"/>
      <c r="EZL189" s="39"/>
      <c r="EZM189" s="39"/>
      <c r="EZN189" s="39"/>
      <c r="EZO189" s="39"/>
      <c r="EZP189" s="39"/>
      <c r="EZQ189" s="39"/>
      <c r="EZR189" s="39"/>
      <c r="EZS189" s="39"/>
      <c r="EZT189" s="39"/>
      <c r="EZU189" s="39"/>
      <c r="EZV189" s="39"/>
      <c r="EZW189" s="39"/>
      <c r="EZX189" s="39"/>
      <c r="EZY189" s="39"/>
      <c r="EZZ189" s="39"/>
      <c r="FAA189" s="39"/>
      <c r="FAB189" s="39"/>
      <c r="FAC189" s="39"/>
      <c r="FAD189" s="39"/>
      <c r="FAE189" s="39"/>
      <c r="FAF189" s="39"/>
      <c r="FAG189" s="39"/>
      <c r="FAH189" s="39"/>
      <c r="FAI189" s="39"/>
      <c r="FAJ189" s="39"/>
      <c r="FAK189" s="39"/>
      <c r="FAL189" s="39"/>
      <c r="FAM189" s="39"/>
      <c r="FAN189" s="39"/>
      <c r="FAO189" s="39"/>
      <c r="FAP189" s="39"/>
      <c r="FAQ189" s="39"/>
      <c r="FAR189" s="39"/>
      <c r="FAS189" s="39"/>
      <c r="FAT189" s="39"/>
      <c r="FAU189" s="39"/>
      <c r="FAV189" s="39"/>
      <c r="FAW189" s="39"/>
      <c r="FAX189" s="39"/>
      <c r="FAY189" s="39"/>
      <c r="FAZ189" s="39"/>
      <c r="FBA189" s="39"/>
      <c r="FBB189" s="39"/>
      <c r="FBC189" s="39"/>
      <c r="FBD189" s="39"/>
      <c r="FBE189" s="39"/>
      <c r="FBF189" s="39"/>
      <c r="FBG189" s="39"/>
      <c r="FBH189" s="39"/>
      <c r="FBI189" s="39"/>
      <c r="FBJ189" s="39"/>
      <c r="FBK189" s="39"/>
      <c r="FBL189" s="39"/>
      <c r="FBM189" s="39"/>
      <c r="FBN189" s="39"/>
      <c r="FBO189" s="39"/>
      <c r="FBP189" s="39"/>
      <c r="FBQ189" s="39"/>
      <c r="FBR189" s="39"/>
      <c r="FBS189" s="39"/>
      <c r="FBT189" s="39"/>
      <c r="FBU189" s="39"/>
      <c r="FBV189" s="39"/>
      <c r="FBW189" s="39"/>
      <c r="FBX189" s="39"/>
      <c r="FBY189" s="39"/>
      <c r="FBZ189" s="39"/>
      <c r="FCA189" s="39"/>
      <c r="FCB189" s="39"/>
      <c r="FCC189" s="39"/>
      <c r="FCD189" s="39"/>
      <c r="FCE189" s="39"/>
      <c r="FCF189" s="39"/>
      <c r="FCG189" s="39"/>
      <c r="FCH189" s="39"/>
      <c r="FCI189" s="39"/>
      <c r="FCJ189" s="39"/>
      <c r="FCK189" s="39"/>
      <c r="FCL189" s="39"/>
      <c r="FCM189" s="39"/>
      <c r="FCN189" s="39"/>
      <c r="FCO189" s="39"/>
      <c r="FCP189" s="39"/>
      <c r="FCQ189" s="39"/>
      <c r="FCR189" s="39"/>
      <c r="FCS189" s="39"/>
      <c r="FCT189" s="39"/>
      <c r="FCU189" s="39"/>
      <c r="FCV189" s="39"/>
      <c r="FCW189" s="39"/>
      <c r="FCX189" s="39"/>
      <c r="FCY189" s="39"/>
      <c r="FCZ189" s="39"/>
      <c r="FDA189" s="39"/>
      <c r="FDB189" s="39"/>
      <c r="FDC189" s="39"/>
      <c r="FDD189" s="39"/>
      <c r="FDE189" s="39"/>
      <c r="FDF189" s="39"/>
      <c r="FDG189" s="39"/>
      <c r="FDH189" s="39"/>
      <c r="FDI189" s="39"/>
      <c r="FDJ189" s="39"/>
      <c r="FDK189" s="39"/>
      <c r="FDL189" s="39"/>
      <c r="FDM189" s="39"/>
      <c r="FDN189" s="39"/>
      <c r="FDO189" s="39"/>
      <c r="FDP189" s="39"/>
      <c r="FDQ189" s="39"/>
      <c r="FDR189" s="39"/>
      <c r="FDS189" s="39"/>
      <c r="FDT189" s="39"/>
      <c r="FDU189" s="39"/>
      <c r="FDV189" s="39"/>
      <c r="FDW189" s="39"/>
      <c r="FDX189" s="39"/>
      <c r="FDY189" s="39"/>
      <c r="FDZ189" s="39"/>
      <c r="FEA189" s="39"/>
      <c r="FEB189" s="39"/>
      <c r="FEC189" s="39"/>
      <c r="FED189" s="39"/>
      <c r="FEE189" s="39"/>
      <c r="FEF189" s="39"/>
      <c r="FEG189" s="39"/>
      <c r="FEH189" s="39"/>
      <c r="FEI189" s="39"/>
      <c r="FEJ189" s="39"/>
      <c r="FEK189" s="39"/>
      <c r="FEL189" s="39"/>
      <c r="FEM189" s="39"/>
      <c r="FEN189" s="39"/>
      <c r="FEO189" s="39"/>
      <c r="FEP189" s="39"/>
      <c r="FEQ189" s="39"/>
      <c r="FER189" s="39"/>
      <c r="FES189" s="39"/>
      <c r="FET189" s="39"/>
      <c r="FEU189" s="39"/>
      <c r="FEV189" s="39"/>
      <c r="FEW189" s="39"/>
      <c r="FEX189" s="39"/>
      <c r="FEY189" s="39"/>
      <c r="FEZ189" s="39"/>
      <c r="FFA189" s="39"/>
      <c r="FFB189" s="39"/>
      <c r="FFC189" s="39"/>
      <c r="FFD189" s="39"/>
      <c r="FFE189" s="39"/>
      <c r="FFF189" s="39"/>
      <c r="FFG189" s="39"/>
      <c r="FFH189" s="39"/>
      <c r="FFI189" s="39"/>
      <c r="FFJ189" s="39"/>
      <c r="FFK189" s="39"/>
      <c r="FFL189" s="39"/>
      <c r="FFM189" s="39"/>
      <c r="FFN189" s="39"/>
      <c r="FFO189" s="39"/>
      <c r="FFP189" s="39"/>
      <c r="FFQ189" s="39"/>
      <c r="FFR189" s="39"/>
      <c r="FFS189" s="39"/>
      <c r="FFT189" s="39"/>
      <c r="FFU189" s="39"/>
      <c r="FFV189" s="39"/>
      <c r="FFW189" s="39"/>
      <c r="FFX189" s="39"/>
      <c r="FFY189" s="39"/>
      <c r="FFZ189" s="39"/>
      <c r="FGA189" s="39"/>
      <c r="FGB189" s="39"/>
      <c r="FGC189" s="39"/>
      <c r="FGD189" s="39"/>
      <c r="FGE189" s="39"/>
      <c r="FGF189" s="39"/>
      <c r="FGG189" s="39"/>
      <c r="FGH189" s="39"/>
      <c r="FGI189" s="39"/>
      <c r="FGJ189" s="39"/>
      <c r="FGK189" s="39"/>
      <c r="FGL189" s="39"/>
      <c r="FGM189" s="39"/>
      <c r="FGN189" s="39"/>
      <c r="FGO189" s="39"/>
      <c r="FGP189" s="39"/>
      <c r="FGQ189" s="39"/>
      <c r="FGR189" s="39"/>
      <c r="FGS189" s="39"/>
      <c r="FGT189" s="39"/>
      <c r="FGU189" s="39"/>
      <c r="FGV189" s="39"/>
      <c r="FGW189" s="39"/>
      <c r="FGX189" s="39"/>
      <c r="FGY189" s="39"/>
      <c r="FGZ189" s="39"/>
      <c r="FHA189" s="39"/>
      <c r="FHB189" s="39"/>
      <c r="FHC189" s="39"/>
      <c r="FHD189" s="39"/>
      <c r="FHE189" s="39"/>
      <c r="FHF189" s="39"/>
      <c r="FHG189" s="39"/>
      <c r="FHH189" s="39"/>
      <c r="FHI189" s="39"/>
      <c r="FHJ189" s="39"/>
      <c r="FHK189" s="39"/>
      <c r="FHL189" s="39"/>
      <c r="FHM189" s="39"/>
      <c r="FHN189" s="39"/>
      <c r="FHO189" s="39"/>
      <c r="FHP189" s="39"/>
      <c r="FHQ189" s="39"/>
      <c r="FHR189" s="39"/>
      <c r="FHS189" s="39"/>
      <c r="FHT189" s="39"/>
      <c r="FHU189" s="39"/>
      <c r="FHV189" s="39"/>
      <c r="FHW189" s="39"/>
      <c r="FHX189" s="39"/>
      <c r="FHY189" s="39"/>
      <c r="FHZ189" s="39"/>
      <c r="FIA189" s="39"/>
      <c r="FIB189" s="39"/>
      <c r="FIC189" s="39"/>
      <c r="FID189" s="39"/>
      <c r="FIE189" s="39"/>
      <c r="FIF189" s="39"/>
      <c r="FIG189" s="39"/>
      <c r="FIH189" s="39"/>
      <c r="FII189" s="39"/>
      <c r="FIJ189" s="39"/>
      <c r="FIK189" s="39"/>
      <c r="FIL189" s="39"/>
      <c r="FIM189" s="39"/>
      <c r="FIN189" s="39"/>
      <c r="FIO189" s="39"/>
      <c r="FIP189" s="39"/>
      <c r="FIQ189" s="39"/>
      <c r="FIR189" s="39"/>
      <c r="FIS189" s="39"/>
      <c r="FIT189" s="39"/>
      <c r="FIU189" s="39"/>
      <c r="FIV189" s="39"/>
      <c r="FIW189" s="39"/>
      <c r="FIX189" s="39"/>
      <c r="FIY189" s="39"/>
      <c r="FIZ189" s="39"/>
      <c r="FJA189" s="39"/>
      <c r="FJB189" s="39"/>
      <c r="FJC189" s="39"/>
      <c r="FJD189" s="39"/>
      <c r="FJE189" s="39"/>
      <c r="FJF189" s="39"/>
      <c r="FJG189" s="39"/>
      <c r="FJH189" s="39"/>
      <c r="FJI189" s="39"/>
      <c r="FJJ189" s="39"/>
      <c r="FJK189" s="39"/>
      <c r="FJL189" s="39"/>
      <c r="FJM189" s="39"/>
      <c r="FJN189" s="39"/>
      <c r="FJO189" s="39"/>
      <c r="FJP189" s="39"/>
      <c r="FJQ189" s="39"/>
      <c r="FJR189" s="39"/>
      <c r="FJS189" s="39"/>
      <c r="FJT189" s="39"/>
      <c r="FJU189" s="39"/>
      <c r="FJV189" s="39"/>
      <c r="FJW189" s="39"/>
      <c r="FJX189" s="39"/>
      <c r="FJY189" s="39"/>
      <c r="FJZ189" s="39"/>
      <c r="FKA189" s="39"/>
      <c r="FKB189" s="39"/>
      <c r="FKC189" s="39"/>
      <c r="FKD189" s="39"/>
      <c r="FKE189" s="39"/>
      <c r="FKF189" s="39"/>
      <c r="FKG189" s="39"/>
      <c r="FKH189" s="39"/>
      <c r="FKI189" s="39"/>
      <c r="FKJ189" s="39"/>
      <c r="FKK189" s="39"/>
      <c r="FKL189" s="39"/>
      <c r="FKM189" s="39"/>
      <c r="FKN189" s="39"/>
      <c r="FKO189" s="39"/>
      <c r="FKP189" s="39"/>
      <c r="FKQ189" s="39"/>
      <c r="FKR189" s="39"/>
      <c r="FKS189" s="39"/>
      <c r="FKT189" s="39"/>
      <c r="FKU189" s="39"/>
      <c r="FKV189" s="39"/>
      <c r="FKW189" s="39"/>
      <c r="FKX189" s="39"/>
      <c r="FKY189" s="39"/>
      <c r="FKZ189" s="39"/>
      <c r="FLA189" s="39"/>
      <c r="FLB189" s="39"/>
      <c r="FLC189" s="39"/>
      <c r="FLD189" s="39"/>
      <c r="FLE189" s="39"/>
      <c r="FLF189" s="39"/>
      <c r="FLG189" s="39"/>
      <c r="FLH189" s="39"/>
      <c r="FLI189" s="39"/>
      <c r="FLJ189" s="39"/>
      <c r="FLK189" s="39"/>
      <c r="FLL189" s="39"/>
      <c r="FLM189" s="39"/>
      <c r="FLN189" s="39"/>
      <c r="FLO189" s="39"/>
      <c r="FLP189" s="39"/>
      <c r="FLQ189" s="39"/>
      <c r="FLR189" s="39"/>
      <c r="FLS189" s="39"/>
      <c r="FLT189" s="39"/>
      <c r="FLU189" s="39"/>
      <c r="FLV189" s="39"/>
      <c r="FLW189" s="39"/>
      <c r="FLX189" s="39"/>
      <c r="FLY189" s="39"/>
      <c r="FLZ189" s="39"/>
      <c r="FMA189" s="39"/>
      <c r="FMB189" s="39"/>
      <c r="FMC189" s="39"/>
      <c r="FMD189" s="39"/>
      <c r="FME189" s="39"/>
      <c r="FMF189" s="39"/>
      <c r="FMG189" s="39"/>
      <c r="FMH189" s="39"/>
      <c r="FMI189" s="39"/>
      <c r="FMJ189" s="39"/>
      <c r="FMK189" s="39"/>
      <c r="FML189" s="39"/>
      <c r="FMM189" s="39"/>
      <c r="FMN189" s="39"/>
      <c r="FMO189" s="39"/>
      <c r="FMP189" s="39"/>
      <c r="FMQ189" s="39"/>
      <c r="FMR189" s="39"/>
      <c r="FMS189" s="39"/>
      <c r="FMT189" s="39"/>
      <c r="FMU189" s="39"/>
      <c r="FMV189" s="39"/>
      <c r="FMW189" s="39"/>
      <c r="FMX189" s="39"/>
      <c r="FMY189" s="39"/>
      <c r="FMZ189" s="39"/>
      <c r="FNA189" s="39"/>
      <c r="FNB189" s="39"/>
      <c r="FNC189" s="39"/>
      <c r="FND189" s="39"/>
      <c r="FNE189" s="39"/>
      <c r="FNF189" s="39"/>
      <c r="FNG189" s="39"/>
      <c r="FNH189" s="39"/>
      <c r="FNI189" s="39"/>
      <c r="FNJ189" s="39"/>
      <c r="FNK189" s="39"/>
      <c r="FNL189" s="39"/>
      <c r="FNM189" s="39"/>
      <c r="FNN189" s="39"/>
      <c r="FNO189" s="39"/>
      <c r="FNP189" s="39"/>
      <c r="FNQ189" s="39"/>
      <c r="FNR189" s="39"/>
      <c r="FNS189" s="39"/>
      <c r="FNT189" s="39"/>
      <c r="FNU189" s="39"/>
      <c r="FNV189" s="39"/>
      <c r="FNW189" s="39"/>
      <c r="FNX189" s="39"/>
      <c r="FNY189" s="39"/>
      <c r="FNZ189" s="39"/>
      <c r="FOA189" s="39"/>
      <c r="FOB189" s="39"/>
      <c r="FOC189" s="39"/>
      <c r="FOD189" s="39"/>
      <c r="FOE189" s="39"/>
      <c r="FOF189" s="39"/>
      <c r="FOG189" s="39"/>
      <c r="FOH189" s="39"/>
      <c r="FOI189" s="39"/>
      <c r="FOJ189" s="39"/>
      <c r="FOK189" s="39"/>
      <c r="FOL189" s="39"/>
      <c r="FOM189" s="39"/>
      <c r="FON189" s="39"/>
      <c r="FOO189" s="39"/>
      <c r="FOP189" s="39"/>
      <c r="FOQ189" s="39"/>
      <c r="FOR189" s="39"/>
      <c r="FOS189" s="39"/>
      <c r="FOT189" s="39"/>
      <c r="FOU189" s="39"/>
      <c r="FOV189" s="39"/>
      <c r="FOW189" s="39"/>
      <c r="FOX189" s="39"/>
      <c r="FOY189" s="39"/>
      <c r="FOZ189" s="39"/>
      <c r="FPA189" s="39"/>
      <c r="FPB189" s="39"/>
      <c r="FPC189" s="39"/>
      <c r="FPD189" s="39"/>
      <c r="FPE189" s="39"/>
      <c r="FPF189" s="39"/>
      <c r="FPG189" s="39"/>
      <c r="FPH189" s="39"/>
      <c r="FPI189" s="39"/>
      <c r="FPJ189" s="39"/>
      <c r="FPK189" s="39"/>
      <c r="FPL189" s="39"/>
      <c r="FPM189" s="39"/>
      <c r="FPN189" s="39"/>
      <c r="FPO189" s="39"/>
      <c r="FPP189" s="39"/>
      <c r="FPQ189" s="39"/>
      <c r="FPR189" s="39"/>
      <c r="FPS189" s="39"/>
      <c r="FPT189" s="39"/>
      <c r="FPU189" s="39"/>
      <c r="FPV189" s="39"/>
      <c r="FPW189" s="39"/>
      <c r="FPX189" s="39"/>
      <c r="FPY189" s="39"/>
      <c r="FPZ189" s="39"/>
      <c r="FQA189" s="39"/>
      <c r="FQB189" s="39"/>
      <c r="FQC189" s="39"/>
      <c r="FQD189" s="39"/>
      <c r="FQE189" s="39"/>
      <c r="FQF189" s="39"/>
      <c r="FQG189" s="39"/>
      <c r="FQH189" s="39"/>
      <c r="FQI189" s="39"/>
      <c r="FQJ189" s="39"/>
      <c r="FQK189" s="39"/>
      <c r="FQL189" s="39"/>
      <c r="FQM189" s="39"/>
      <c r="FQN189" s="39"/>
      <c r="FQO189" s="39"/>
      <c r="FQP189" s="39"/>
      <c r="FQQ189" s="39"/>
      <c r="FQR189" s="39"/>
      <c r="FQS189" s="39"/>
      <c r="FQT189" s="39"/>
      <c r="FQU189" s="39"/>
      <c r="FQV189" s="39"/>
      <c r="FQW189" s="39"/>
      <c r="FQX189" s="39"/>
      <c r="FQY189" s="39"/>
      <c r="FQZ189" s="39"/>
      <c r="FRA189" s="39"/>
      <c r="FRB189" s="39"/>
      <c r="FRC189" s="39"/>
      <c r="FRD189" s="39"/>
      <c r="FRE189" s="39"/>
      <c r="FRF189" s="39"/>
      <c r="FRG189" s="39"/>
      <c r="FRH189" s="39"/>
      <c r="FRI189" s="39"/>
      <c r="FRJ189" s="39"/>
      <c r="FRK189" s="39"/>
      <c r="FRL189" s="39"/>
      <c r="FRM189" s="39"/>
      <c r="FRN189" s="39"/>
      <c r="FRO189" s="39"/>
      <c r="FRP189" s="39"/>
      <c r="FRQ189" s="39"/>
      <c r="FRR189" s="39"/>
      <c r="FRS189" s="39"/>
      <c r="FRT189" s="39"/>
      <c r="FRU189" s="39"/>
      <c r="FRV189" s="39"/>
      <c r="FRW189" s="39"/>
      <c r="FRX189" s="39"/>
      <c r="FRY189" s="39"/>
      <c r="FRZ189" s="39"/>
      <c r="FSA189" s="39"/>
      <c r="FSB189" s="39"/>
      <c r="FSC189" s="39"/>
      <c r="FSD189" s="39"/>
      <c r="FSE189" s="39"/>
      <c r="FSF189" s="39"/>
      <c r="FSG189" s="39"/>
      <c r="FSH189" s="39"/>
      <c r="FSI189" s="39"/>
      <c r="FSJ189" s="39"/>
      <c r="FSK189" s="39"/>
      <c r="FSL189" s="39"/>
      <c r="FSM189" s="39"/>
      <c r="FSN189" s="39"/>
      <c r="FSO189" s="39"/>
      <c r="FSP189" s="39"/>
      <c r="FSQ189" s="39"/>
      <c r="FSR189" s="39"/>
      <c r="FSS189" s="39"/>
      <c r="FST189" s="39"/>
      <c r="FSU189" s="39"/>
      <c r="FSV189" s="39"/>
      <c r="FSW189" s="39"/>
      <c r="FSX189" s="39"/>
      <c r="FSY189" s="39"/>
      <c r="FSZ189" s="39"/>
      <c r="FTA189" s="39"/>
      <c r="FTB189" s="39"/>
      <c r="FTC189" s="39"/>
      <c r="FTD189" s="39"/>
      <c r="FTE189" s="39"/>
      <c r="FTF189" s="39"/>
      <c r="FTG189" s="39"/>
      <c r="FTH189" s="39"/>
      <c r="FTI189" s="39"/>
      <c r="FTJ189" s="39"/>
      <c r="FTK189" s="39"/>
      <c r="FTL189" s="39"/>
      <c r="FTM189" s="39"/>
      <c r="FTN189" s="39"/>
      <c r="FTO189" s="39"/>
      <c r="FTP189" s="39"/>
      <c r="FTQ189" s="39"/>
      <c r="FTR189" s="39"/>
      <c r="FTS189" s="39"/>
      <c r="FTT189" s="39"/>
      <c r="FTU189" s="39"/>
      <c r="FTV189" s="39"/>
      <c r="FTW189" s="39"/>
      <c r="FTX189" s="39"/>
      <c r="FTY189" s="39"/>
      <c r="FTZ189" s="39"/>
      <c r="FUA189" s="39"/>
      <c r="FUB189" s="39"/>
      <c r="FUC189" s="39"/>
      <c r="FUD189" s="39"/>
      <c r="FUE189" s="39"/>
      <c r="FUF189" s="39"/>
      <c r="FUG189" s="39"/>
      <c r="FUH189" s="39"/>
      <c r="FUI189" s="39"/>
      <c r="FUJ189" s="39"/>
      <c r="FUK189" s="39"/>
      <c r="FUL189" s="39"/>
      <c r="FUM189" s="39"/>
      <c r="FUN189" s="39"/>
      <c r="FUO189" s="39"/>
      <c r="FUP189" s="39"/>
      <c r="FUQ189" s="39"/>
      <c r="FUR189" s="39"/>
      <c r="FUS189" s="39"/>
      <c r="FUT189" s="39"/>
      <c r="FUU189" s="39"/>
      <c r="FUV189" s="39"/>
      <c r="FUW189" s="39"/>
      <c r="FUX189" s="39"/>
      <c r="FUY189" s="39"/>
      <c r="FUZ189" s="39"/>
      <c r="FVA189" s="39"/>
      <c r="FVB189" s="39"/>
      <c r="FVC189" s="39"/>
      <c r="FVD189" s="39"/>
      <c r="FVE189" s="39"/>
      <c r="FVF189" s="39"/>
      <c r="FVG189" s="39"/>
      <c r="FVH189" s="39"/>
      <c r="FVI189" s="39"/>
      <c r="FVJ189" s="39"/>
      <c r="FVK189" s="39"/>
      <c r="FVL189" s="39"/>
      <c r="FVM189" s="39"/>
      <c r="FVN189" s="39"/>
      <c r="FVO189" s="39"/>
      <c r="FVP189" s="39"/>
      <c r="FVQ189" s="39"/>
      <c r="FVR189" s="39"/>
      <c r="FVS189" s="39"/>
      <c r="FVT189" s="39"/>
      <c r="FVU189" s="39"/>
      <c r="FVV189" s="39"/>
      <c r="FVW189" s="39"/>
      <c r="FVX189" s="39"/>
      <c r="FVY189" s="39"/>
      <c r="FVZ189" s="39"/>
      <c r="FWA189" s="39"/>
      <c r="FWB189" s="39"/>
      <c r="FWC189" s="39"/>
      <c r="FWD189" s="39"/>
      <c r="FWE189" s="39"/>
      <c r="FWF189" s="39"/>
      <c r="FWG189" s="39"/>
      <c r="FWH189" s="39"/>
      <c r="FWI189" s="39"/>
      <c r="FWJ189" s="39"/>
      <c r="FWK189" s="39"/>
      <c r="FWL189" s="39"/>
      <c r="FWM189" s="39"/>
      <c r="FWN189" s="39"/>
      <c r="FWO189" s="39"/>
      <c r="FWP189" s="39"/>
      <c r="FWQ189" s="39"/>
      <c r="FWR189" s="39"/>
      <c r="FWS189" s="39"/>
      <c r="FWT189" s="39"/>
      <c r="FWU189" s="39"/>
      <c r="FWV189" s="39"/>
      <c r="FWW189" s="39"/>
      <c r="FWX189" s="39"/>
      <c r="FWY189" s="39"/>
      <c r="FWZ189" s="39"/>
      <c r="FXA189" s="39"/>
      <c r="FXB189" s="39"/>
      <c r="FXC189" s="39"/>
      <c r="FXD189" s="39"/>
      <c r="FXE189" s="39"/>
      <c r="FXF189" s="39"/>
      <c r="FXG189" s="39"/>
      <c r="FXH189" s="39"/>
      <c r="FXI189" s="39"/>
      <c r="FXJ189" s="39"/>
      <c r="FXK189" s="39"/>
      <c r="FXL189" s="39"/>
      <c r="FXM189" s="39"/>
      <c r="FXN189" s="39"/>
      <c r="FXO189" s="39"/>
      <c r="FXP189" s="39"/>
      <c r="FXQ189" s="39"/>
      <c r="FXR189" s="39"/>
      <c r="FXS189" s="39"/>
      <c r="FXT189" s="39"/>
      <c r="FXU189" s="39"/>
      <c r="FXV189" s="39"/>
      <c r="FXW189" s="39"/>
      <c r="FXX189" s="39"/>
      <c r="FXY189" s="39"/>
      <c r="FXZ189" s="39"/>
      <c r="FYA189" s="39"/>
      <c r="FYB189" s="39"/>
      <c r="FYC189" s="39"/>
      <c r="FYD189" s="39"/>
      <c r="FYE189" s="39"/>
      <c r="FYF189" s="39"/>
      <c r="FYG189" s="39"/>
      <c r="FYH189" s="39"/>
      <c r="FYI189" s="39"/>
      <c r="FYJ189" s="39"/>
      <c r="FYK189" s="39"/>
      <c r="FYL189" s="39"/>
      <c r="FYM189" s="39"/>
      <c r="FYN189" s="39"/>
      <c r="FYO189" s="39"/>
      <c r="FYP189" s="39"/>
      <c r="FYQ189" s="39"/>
      <c r="FYR189" s="39"/>
      <c r="FYS189" s="39"/>
      <c r="FYT189" s="39"/>
      <c r="FYU189" s="39"/>
      <c r="FYV189" s="39"/>
      <c r="FYW189" s="39"/>
      <c r="FYX189" s="39"/>
      <c r="FYY189" s="39"/>
      <c r="FYZ189" s="39"/>
      <c r="FZA189" s="39"/>
      <c r="FZB189" s="39"/>
      <c r="FZC189" s="39"/>
      <c r="FZD189" s="39"/>
      <c r="FZE189" s="39"/>
      <c r="FZF189" s="39"/>
      <c r="FZG189" s="39"/>
      <c r="FZH189" s="39"/>
      <c r="FZI189" s="39"/>
      <c r="FZJ189" s="39"/>
      <c r="FZK189" s="39"/>
      <c r="FZL189" s="39"/>
      <c r="FZM189" s="39"/>
      <c r="FZN189" s="39"/>
      <c r="FZO189" s="39"/>
      <c r="FZP189" s="39"/>
      <c r="FZQ189" s="39"/>
      <c r="FZR189" s="39"/>
      <c r="FZS189" s="39"/>
      <c r="FZT189" s="39"/>
      <c r="FZU189" s="39"/>
      <c r="FZV189" s="39"/>
      <c r="FZW189" s="39"/>
      <c r="FZX189" s="39"/>
      <c r="FZY189" s="39"/>
      <c r="FZZ189" s="39"/>
      <c r="GAA189" s="39"/>
      <c r="GAB189" s="39"/>
      <c r="GAC189" s="39"/>
      <c r="GAD189" s="39"/>
      <c r="GAE189" s="39"/>
      <c r="GAF189" s="39"/>
      <c r="GAG189" s="39"/>
      <c r="GAH189" s="39"/>
      <c r="GAI189" s="39"/>
      <c r="GAJ189" s="39"/>
      <c r="GAK189" s="39"/>
      <c r="GAL189" s="39"/>
      <c r="GAM189" s="39"/>
      <c r="GAN189" s="39"/>
      <c r="GAO189" s="39"/>
      <c r="GAP189" s="39"/>
      <c r="GAQ189" s="39"/>
      <c r="GAR189" s="39"/>
      <c r="GAS189" s="39"/>
      <c r="GAT189" s="39"/>
      <c r="GAU189" s="39"/>
      <c r="GAV189" s="39"/>
      <c r="GAW189" s="39"/>
      <c r="GAX189" s="39"/>
      <c r="GAY189" s="39"/>
      <c r="GAZ189" s="39"/>
      <c r="GBA189" s="39"/>
      <c r="GBB189" s="39"/>
      <c r="GBC189" s="39"/>
      <c r="GBD189" s="39"/>
      <c r="GBE189" s="39"/>
      <c r="GBF189" s="39"/>
      <c r="GBG189" s="39"/>
      <c r="GBH189" s="39"/>
      <c r="GBI189" s="39"/>
      <c r="GBJ189" s="39"/>
      <c r="GBK189" s="39"/>
      <c r="GBL189" s="39"/>
      <c r="GBM189" s="39"/>
      <c r="GBN189" s="39"/>
      <c r="GBO189" s="39"/>
      <c r="GBP189" s="39"/>
      <c r="GBQ189" s="39"/>
      <c r="GBR189" s="39"/>
      <c r="GBS189" s="39"/>
      <c r="GBT189" s="39"/>
      <c r="GBU189" s="39"/>
      <c r="GBV189" s="39"/>
      <c r="GBW189" s="39"/>
      <c r="GBX189" s="39"/>
      <c r="GBY189" s="39"/>
      <c r="GBZ189" s="39"/>
      <c r="GCA189" s="39"/>
      <c r="GCB189" s="39"/>
      <c r="GCC189" s="39"/>
      <c r="GCD189" s="39"/>
      <c r="GCE189" s="39"/>
      <c r="GCF189" s="39"/>
      <c r="GCG189" s="39"/>
      <c r="GCH189" s="39"/>
      <c r="GCI189" s="39"/>
      <c r="GCJ189" s="39"/>
      <c r="GCK189" s="39"/>
      <c r="GCL189" s="39"/>
      <c r="GCM189" s="39"/>
      <c r="GCN189" s="39"/>
      <c r="GCO189" s="39"/>
      <c r="GCP189" s="39"/>
      <c r="GCQ189" s="39"/>
      <c r="GCR189" s="39"/>
      <c r="GCS189" s="39"/>
      <c r="GCT189" s="39"/>
      <c r="GCU189" s="39"/>
      <c r="GCV189" s="39"/>
      <c r="GCW189" s="39"/>
      <c r="GCX189" s="39"/>
      <c r="GCY189" s="39"/>
      <c r="GCZ189" s="39"/>
      <c r="GDA189" s="39"/>
      <c r="GDB189" s="39"/>
      <c r="GDC189" s="39"/>
      <c r="GDD189" s="39"/>
      <c r="GDE189" s="39"/>
      <c r="GDF189" s="39"/>
      <c r="GDG189" s="39"/>
      <c r="GDH189" s="39"/>
      <c r="GDI189" s="39"/>
      <c r="GDJ189" s="39"/>
      <c r="GDK189" s="39"/>
      <c r="GDL189" s="39"/>
      <c r="GDM189" s="39"/>
      <c r="GDN189" s="39"/>
      <c r="GDO189" s="39"/>
      <c r="GDP189" s="39"/>
      <c r="GDQ189" s="39"/>
      <c r="GDR189" s="39"/>
      <c r="GDS189" s="39"/>
      <c r="GDT189" s="39"/>
      <c r="GDU189" s="39"/>
      <c r="GDV189" s="39"/>
      <c r="GDW189" s="39"/>
      <c r="GDX189" s="39"/>
      <c r="GDY189" s="39"/>
      <c r="GDZ189" s="39"/>
      <c r="GEA189" s="39"/>
      <c r="GEB189" s="39"/>
      <c r="GEC189" s="39"/>
      <c r="GED189" s="39"/>
      <c r="GEE189" s="39"/>
      <c r="GEF189" s="39"/>
      <c r="GEG189" s="39"/>
      <c r="GEH189" s="39"/>
      <c r="GEI189" s="39"/>
      <c r="GEJ189" s="39"/>
      <c r="GEK189" s="39"/>
      <c r="GEL189" s="39"/>
      <c r="GEM189" s="39"/>
      <c r="GEN189" s="39"/>
      <c r="GEO189" s="39"/>
      <c r="GEP189" s="39"/>
      <c r="GEQ189" s="39"/>
      <c r="GER189" s="39"/>
      <c r="GES189" s="39"/>
      <c r="GET189" s="39"/>
      <c r="GEU189" s="39"/>
      <c r="GEV189" s="39"/>
      <c r="GEW189" s="39"/>
      <c r="GEX189" s="39"/>
      <c r="GEY189" s="39"/>
      <c r="GEZ189" s="39"/>
      <c r="GFA189" s="39"/>
      <c r="GFB189" s="39"/>
      <c r="GFC189" s="39"/>
      <c r="GFD189" s="39"/>
      <c r="GFE189" s="39"/>
      <c r="GFF189" s="39"/>
      <c r="GFG189" s="39"/>
      <c r="GFH189" s="39"/>
      <c r="GFI189" s="39"/>
      <c r="GFJ189" s="39"/>
      <c r="GFK189" s="39"/>
      <c r="GFL189" s="39"/>
      <c r="GFM189" s="39"/>
      <c r="GFN189" s="39"/>
      <c r="GFO189" s="39"/>
      <c r="GFP189" s="39"/>
      <c r="GFQ189" s="39"/>
      <c r="GFR189" s="39"/>
      <c r="GFS189" s="39"/>
      <c r="GFT189" s="39"/>
      <c r="GFU189" s="39"/>
      <c r="GFV189" s="39"/>
      <c r="GFW189" s="39"/>
      <c r="GFX189" s="39"/>
      <c r="GFY189" s="39"/>
      <c r="GFZ189" s="39"/>
      <c r="GGA189" s="39"/>
      <c r="GGB189" s="39"/>
      <c r="GGC189" s="39"/>
      <c r="GGD189" s="39"/>
      <c r="GGE189" s="39"/>
      <c r="GGF189" s="39"/>
      <c r="GGG189" s="39"/>
      <c r="GGH189" s="39"/>
      <c r="GGI189" s="39"/>
      <c r="GGJ189" s="39"/>
      <c r="GGK189" s="39"/>
      <c r="GGL189" s="39"/>
      <c r="GGM189" s="39"/>
      <c r="GGN189" s="39"/>
      <c r="GGO189" s="39"/>
      <c r="GGP189" s="39"/>
      <c r="GGQ189" s="39"/>
      <c r="GGR189" s="39"/>
      <c r="GGS189" s="39"/>
      <c r="GGT189" s="39"/>
      <c r="GGU189" s="39"/>
      <c r="GGV189" s="39"/>
      <c r="GGW189" s="39"/>
      <c r="GGX189" s="39"/>
      <c r="GGY189" s="39"/>
      <c r="GGZ189" s="39"/>
      <c r="GHA189" s="39"/>
      <c r="GHB189" s="39"/>
      <c r="GHC189" s="39"/>
      <c r="GHD189" s="39"/>
      <c r="GHE189" s="39"/>
      <c r="GHF189" s="39"/>
      <c r="GHG189" s="39"/>
      <c r="GHH189" s="39"/>
      <c r="GHI189" s="39"/>
      <c r="GHJ189" s="39"/>
      <c r="GHK189" s="39"/>
      <c r="GHL189" s="39"/>
      <c r="GHM189" s="39"/>
      <c r="GHN189" s="39"/>
      <c r="GHO189" s="39"/>
      <c r="GHP189" s="39"/>
      <c r="GHQ189" s="39"/>
      <c r="GHR189" s="39"/>
      <c r="GHS189" s="39"/>
      <c r="GHT189" s="39"/>
      <c r="GHU189" s="39"/>
      <c r="GHV189" s="39"/>
      <c r="GHW189" s="39"/>
      <c r="GHX189" s="39"/>
      <c r="GHY189" s="39"/>
      <c r="GHZ189" s="39"/>
      <c r="GIA189" s="39"/>
      <c r="GIB189" s="39"/>
      <c r="GIC189" s="39"/>
      <c r="GID189" s="39"/>
      <c r="GIE189" s="39"/>
      <c r="GIF189" s="39"/>
      <c r="GIG189" s="39"/>
      <c r="GIH189" s="39"/>
      <c r="GII189" s="39"/>
      <c r="GIJ189" s="39"/>
      <c r="GIK189" s="39"/>
      <c r="GIL189" s="39"/>
      <c r="GIM189" s="39"/>
      <c r="GIN189" s="39"/>
      <c r="GIO189" s="39"/>
      <c r="GIP189" s="39"/>
      <c r="GIQ189" s="39"/>
      <c r="GIR189" s="39"/>
      <c r="GIS189" s="39"/>
      <c r="GIT189" s="39"/>
      <c r="GIU189" s="39"/>
      <c r="GIV189" s="39"/>
      <c r="GIW189" s="39"/>
      <c r="GIX189" s="39"/>
      <c r="GIY189" s="39"/>
      <c r="GIZ189" s="39"/>
      <c r="GJA189" s="39"/>
      <c r="GJB189" s="39"/>
      <c r="GJC189" s="39"/>
      <c r="GJD189" s="39"/>
      <c r="GJE189" s="39"/>
      <c r="GJF189" s="39"/>
      <c r="GJG189" s="39"/>
      <c r="GJH189" s="39"/>
      <c r="GJI189" s="39"/>
      <c r="GJJ189" s="39"/>
      <c r="GJK189" s="39"/>
      <c r="GJL189" s="39"/>
      <c r="GJM189" s="39"/>
      <c r="GJN189" s="39"/>
      <c r="GJO189" s="39"/>
      <c r="GJP189" s="39"/>
      <c r="GJQ189" s="39"/>
      <c r="GJR189" s="39"/>
      <c r="GJS189" s="39"/>
      <c r="GJT189" s="39"/>
      <c r="GJU189" s="39"/>
      <c r="GJV189" s="39"/>
      <c r="GJW189" s="39"/>
      <c r="GJX189" s="39"/>
      <c r="GJY189" s="39"/>
      <c r="GJZ189" s="39"/>
      <c r="GKA189" s="39"/>
      <c r="GKB189" s="39"/>
      <c r="GKC189" s="39"/>
      <c r="GKD189" s="39"/>
      <c r="GKE189" s="39"/>
      <c r="GKF189" s="39"/>
      <c r="GKG189" s="39"/>
      <c r="GKH189" s="39"/>
      <c r="GKI189" s="39"/>
      <c r="GKJ189" s="39"/>
      <c r="GKK189" s="39"/>
      <c r="GKL189" s="39"/>
      <c r="GKM189" s="39"/>
      <c r="GKN189" s="39"/>
      <c r="GKO189" s="39"/>
      <c r="GKP189" s="39"/>
      <c r="GKQ189" s="39"/>
      <c r="GKR189" s="39"/>
      <c r="GKS189" s="39"/>
      <c r="GKT189" s="39"/>
      <c r="GKU189" s="39"/>
      <c r="GKV189" s="39"/>
      <c r="GKW189" s="39"/>
      <c r="GKX189" s="39"/>
      <c r="GKY189" s="39"/>
      <c r="GKZ189" s="39"/>
      <c r="GLA189" s="39"/>
      <c r="GLB189" s="39"/>
      <c r="GLC189" s="39"/>
      <c r="GLD189" s="39"/>
      <c r="GLE189" s="39"/>
      <c r="GLF189" s="39"/>
      <c r="GLG189" s="39"/>
      <c r="GLH189" s="39"/>
      <c r="GLI189" s="39"/>
      <c r="GLJ189" s="39"/>
      <c r="GLK189" s="39"/>
      <c r="GLL189" s="39"/>
      <c r="GLM189" s="39"/>
      <c r="GLN189" s="39"/>
      <c r="GLO189" s="39"/>
      <c r="GLP189" s="39"/>
      <c r="GLQ189" s="39"/>
      <c r="GLR189" s="39"/>
      <c r="GLS189" s="39"/>
      <c r="GLT189" s="39"/>
      <c r="GLU189" s="39"/>
      <c r="GLV189" s="39"/>
      <c r="GLW189" s="39"/>
      <c r="GLX189" s="39"/>
      <c r="GLY189" s="39"/>
      <c r="GLZ189" s="39"/>
      <c r="GMA189" s="39"/>
      <c r="GMB189" s="39"/>
      <c r="GMC189" s="39"/>
      <c r="GMD189" s="39"/>
      <c r="GME189" s="39"/>
      <c r="GMF189" s="39"/>
      <c r="GMG189" s="39"/>
      <c r="GMH189" s="39"/>
      <c r="GMI189" s="39"/>
      <c r="GMJ189" s="39"/>
      <c r="GMK189" s="39"/>
      <c r="GML189" s="39"/>
      <c r="GMM189" s="39"/>
      <c r="GMN189" s="39"/>
      <c r="GMO189" s="39"/>
      <c r="GMP189" s="39"/>
      <c r="GMQ189" s="39"/>
      <c r="GMR189" s="39"/>
      <c r="GMS189" s="39"/>
      <c r="GMT189" s="39"/>
      <c r="GMU189" s="39"/>
      <c r="GMV189" s="39"/>
      <c r="GMW189" s="39"/>
      <c r="GMX189" s="39"/>
      <c r="GMY189" s="39"/>
      <c r="GMZ189" s="39"/>
      <c r="GNA189" s="39"/>
      <c r="GNB189" s="39"/>
      <c r="GNC189" s="39"/>
      <c r="GND189" s="39"/>
      <c r="GNE189" s="39"/>
      <c r="GNF189" s="39"/>
      <c r="GNG189" s="39"/>
      <c r="GNH189" s="39"/>
      <c r="GNI189" s="39"/>
      <c r="GNJ189" s="39"/>
      <c r="GNK189" s="39"/>
      <c r="GNL189" s="39"/>
      <c r="GNM189" s="39"/>
      <c r="GNN189" s="39"/>
      <c r="GNO189" s="39"/>
      <c r="GNP189" s="39"/>
      <c r="GNQ189" s="39"/>
      <c r="GNR189" s="39"/>
      <c r="GNS189" s="39"/>
      <c r="GNT189" s="39"/>
      <c r="GNU189" s="39"/>
      <c r="GNV189" s="39"/>
      <c r="GNW189" s="39"/>
      <c r="GNX189" s="39"/>
      <c r="GNY189" s="39"/>
      <c r="GNZ189" s="39"/>
      <c r="GOA189" s="39"/>
      <c r="GOB189" s="39"/>
      <c r="GOC189" s="39"/>
      <c r="GOD189" s="39"/>
      <c r="GOE189" s="39"/>
      <c r="GOF189" s="39"/>
      <c r="GOG189" s="39"/>
      <c r="GOH189" s="39"/>
      <c r="GOI189" s="39"/>
      <c r="GOJ189" s="39"/>
      <c r="GOK189" s="39"/>
      <c r="GOL189" s="39"/>
      <c r="GOM189" s="39"/>
      <c r="GON189" s="39"/>
      <c r="GOO189" s="39"/>
      <c r="GOP189" s="39"/>
      <c r="GOQ189" s="39"/>
      <c r="GOR189" s="39"/>
      <c r="GOS189" s="39"/>
      <c r="GOT189" s="39"/>
      <c r="GOU189" s="39"/>
      <c r="GOV189" s="39"/>
      <c r="GOW189" s="39"/>
      <c r="GOX189" s="39"/>
      <c r="GOY189" s="39"/>
      <c r="GOZ189" s="39"/>
      <c r="GPA189" s="39"/>
      <c r="GPB189" s="39"/>
      <c r="GPC189" s="39"/>
      <c r="GPD189" s="39"/>
      <c r="GPE189" s="39"/>
      <c r="GPF189" s="39"/>
      <c r="GPG189" s="39"/>
      <c r="GPH189" s="39"/>
      <c r="GPI189" s="39"/>
      <c r="GPJ189" s="39"/>
      <c r="GPK189" s="39"/>
      <c r="GPL189" s="39"/>
      <c r="GPM189" s="39"/>
      <c r="GPN189" s="39"/>
      <c r="GPO189" s="39"/>
      <c r="GPP189" s="39"/>
      <c r="GPQ189" s="39"/>
      <c r="GPR189" s="39"/>
      <c r="GPS189" s="39"/>
      <c r="GPT189" s="39"/>
      <c r="GPU189" s="39"/>
      <c r="GPV189" s="39"/>
      <c r="GPW189" s="39"/>
      <c r="GPX189" s="39"/>
      <c r="GPY189" s="39"/>
      <c r="GPZ189" s="39"/>
      <c r="GQA189" s="39"/>
      <c r="GQB189" s="39"/>
      <c r="GQC189" s="39"/>
      <c r="GQD189" s="39"/>
      <c r="GQE189" s="39"/>
      <c r="GQF189" s="39"/>
      <c r="GQG189" s="39"/>
      <c r="GQH189" s="39"/>
      <c r="GQI189" s="39"/>
      <c r="GQJ189" s="39"/>
      <c r="GQK189" s="39"/>
      <c r="GQL189" s="39"/>
      <c r="GQM189" s="39"/>
      <c r="GQN189" s="39"/>
      <c r="GQO189" s="39"/>
      <c r="GQP189" s="39"/>
      <c r="GQQ189" s="39"/>
      <c r="GQR189" s="39"/>
      <c r="GQS189" s="39"/>
      <c r="GQT189" s="39"/>
      <c r="GQU189" s="39"/>
      <c r="GQV189" s="39"/>
      <c r="GQW189" s="39"/>
      <c r="GQX189" s="39"/>
      <c r="GQY189" s="39"/>
      <c r="GQZ189" s="39"/>
      <c r="GRA189" s="39"/>
      <c r="GRB189" s="39"/>
      <c r="GRC189" s="39"/>
      <c r="GRD189" s="39"/>
      <c r="GRE189" s="39"/>
      <c r="GRF189" s="39"/>
      <c r="GRG189" s="39"/>
      <c r="GRH189" s="39"/>
      <c r="GRI189" s="39"/>
      <c r="GRJ189" s="39"/>
      <c r="GRK189" s="39"/>
      <c r="GRL189" s="39"/>
      <c r="GRM189" s="39"/>
      <c r="GRN189" s="39"/>
      <c r="GRO189" s="39"/>
      <c r="GRP189" s="39"/>
      <c r="GRQ189" s="39"/>
      <c r="GRR189" s="39"/>
      <c r="GRS189" s="39"/>
      <c r="GRT189" s="39"/>
      <c r="GRU189" s="39"/>
      <c r="GRV189" s="39"/>
      <c r="GRW189" s="39"/>
      <c r="GRX189" s="39"/>
      <c r="GRY189" s="39"/>
      <c r="GRZ189" s="39"/>
      <c r="GSA189" s="39"/>
      <c r="GSB189" s="39"/>
      <c r="GSC189" s="39"/>
      <c r="GSD189" s="39"/>
      <c r="GSE189" s="39"/>
      <c r="GSF189" s="39"/>
      <c r="GSG189" s="39"/>
      <c r="GSH189" s="39"/>
      <c r="GSI189" s="39"/>
      <c r="GSJ189" s="39"/>
      <c r="GSK189" s="39"/>
      <c r="GSL189" s="39"/>
      <c r="GSM189" s="39"/>
      <c r="GSN189" s="39"/>
      <c r="GSO189" s="39"/>
      <c r="GSP189" s="39"/>
      <c r="GSQ189" s="39"/>
      <c r="GSR189" s="39"/>
      <c r="GSS189" s="39"/>
      <c r="GST189" s="39"/>
      <c r="GSU189" s="39"/>
      <c r="GSV189" s="39"/>
      <c r="GSW189" s="39"/>
      <c r="GSX189" s="39"/>
      <c r="GSY189" s="39"/>
      <c r="GSZ189" s="39"/>
      <c r="GTA189" s="39"/>
      <c r="GTB189" s="39"/>
      <c r="GTC189" s="39"/>
      <c r="GTD189" s="39"/>
      <c r="GTE189" s="39"/>
      <c r="GTF189" s="39"/>
      <c r="GTG189" s="39"/>
      <c r="GTH189" s="39"/>
      <c r="GTI189" s="39"/>
      <c r="GTJ189" s="39"/>
      <c r="GTK189" s="39"/>
      <c r="GTL189" s="39"/>
      <c r="GTM189" s="39"/>
      <c r="GTN189" s="39"/>
      <c r="GTO189" s="39"/>
      <c r="GTP189" s="39"/>
      <c r="GTQ189" s="39"/>
      <c r="GTR189" s="39"/>
      <c r="GTS189" s="39"/>
      <c r="GTT189" s="39"/>
      <c r="GTU189" s="39"/>
      <c r="GTV189" s="39"/>
      <c r="GTW189" s="39"/>
      <c r="GTX189" s="39"/>
      <c r="GTY189" s="39"/>
      <c r="GTZ189" s="39"/>
      <c r="GUA189" s="39"/>
      <c r="GUB189" s="39"/>
      <c r="GUC189" s="39"/>
      <c r="GUD189" s="39"/>
      <c r="GUE189" s="39"/>
      <c r="GUF189" s="39"/>
      <c r="GUG189" s="39"/>
      <c r="GUH189" s="39"/>
      <c r="GUI189" s="39"/>
      <c r="GUJ189" s="39"/>
      <c r="GUK189" s="39"/>
      <c r="GUL189" s="39"/>
      <c r="GUM189" s="39"/>
      <c r="GUN189" s="39"/>
      <c r="GUO189" s="39"/>
      <c r="GUP189" s="39"/>
      <c r="GUQ189" s="39"/>
      <c r="GUR189" s="39"/>
      <c r="GUS189" s="39"/>
      <c r="GUT189" s="39"/>
      <c r="GUU189" s="39"/>
      <c r="GUV189" s="39"/>
      <c r="GUW189" s="39"/>
      <c r="GUX189" s="39"/>
      <c r="GUY189" s="39"/>
      <c r="GUZ189" s="39"/>
      <c r="GVA189" s="39"/>
      <c r="GVB189" s="39"/>
      <c r="GVC189" s="39"/>
      <c r="GVD189" s="39"/>
      <c r="GVE189" s="39"/>
      <c r="GVF189" s="39"/>
      <c r="GVG189" s="39"/>
      <c r="GVH189" s="39"/>
      <c r="GVI189" s="39"/>
      <c r="GVJ189" s="39"/>
      <c r="GVK189" s="39"/>
      <c r="GVL189" s="39"/>
      <c r="GVM189" s="39"/>
      <c r="GVN189" s="39"/>
      <c r="GVO189" s="39"/>
      <c r="GVP189" s="39"/>
      <c r="GVQ189" s="39"/>
      <c r="GVR189" s="39"/>
      <c r="GVS189" s="39"/>
      <c r="GVT189" s="39"/>
      <c r="GVU189" s="39"/>
      <c r="GVV189" s="39"/>
      <c r="GVW189" s="39"/>
      <c r="GVX189" s="39"/>
      <c r="GVY189" s="39"/>
      <c r="GVZ189" s="39"/>
      <c r="GWA189" s="39"/>
      <c r="GWB189" s="39"/>
      <c r="GWC189" s="39"/>
      <c r="GWD189" s="39"/>
      <c r="GWE189" s="39"/>
      <c r="GWF189" s="39"/>
      <c r="GWG189" s="39"/>
      <c r="GWH189" s="39"/>
      <c r="GWI189" s="39"/>
      <c r="GWJ189" s="39"/>
      <c r="GWK189" s="39"/>
      <c r="GWL189" s="39"/>
      <c r="GWM189" s="39"/>
      <c r="GWN189" s="39"/>
      <c r="GWO189" s="39"/>
      <c r="GWP189" s="39"/>
      <c r="GWQ189" s="39"/>
      <c r="GWR189" s="39"/>
      <c r="GWS189" s="39"/>
      <c r="GWT189" s="39"/>
      <c r="GWU189" s="39"/>
      <c r="GWV189" s="39"/>
      <c r="GWW189" s="39"/>
      <c r="GWX189" s="39"/>
      <c r="GWY189" s="39"/>
      <c r="GWZ189" s="39"/>
      <c r="GXA189" s="39"/>
      <c r="GXB189" s="39"/>
      <c r="GXC189" s="39"/>
      <c r="GXD189" s="39"/>
      <c r="GXE189" s="39"/>
      <c r="GXF189" s="39"/>
      <c r="GXG189" s="39"/>
      <c r="GXH189" s="39"/>
      <c r="GXI189" s="39"/>
      <c r="GXJ189" s="39"/>
      <c r="GXK189" s="39"/>
      <c r="GXL189" s="39"/>
      <c r="GXM189" s="39"/>
      <c r="GXN189" s="39"/>
      <c r="GXO189" s="39"/>
      <c r="GXP189" s="39"/>
      <c r="GXQ189" s="39"/>
      <c r="GXR189" s="39"/>
      <c r="GXS189" s="39"/>
      <c r="GXT189" s="39"/>
      <c r="GXU189" s="39"/>
      <c r="GXV189" s="39"/>
      <c r="GXW189" s="39"/>
      <c r="GXX189" s="39"/>
      <c r="GXY189" s="39"/>
      <c r="GXZ189" s="39"/>
      <c r="GYA189" s="39"/>
      <c r="GYB189" s="39"/>
      <c r="GYC189" s="39"/>
      <c r="GYD189" s="39"/>
      <c r="GYE189" s="39"/>
      <c r="GYF189" s="39"/>
      <c r="GYG189" s="39"/>
      <c r="GYH189" s="39"/>
      <c r="GYI189" s="39"/>
      <c r="GYJ189" s="39"/>
      <c r="GYK189" s="39"/>
      <c r="GYL189" s="39"/>
      <c r="GYM189" s="39"/>
      <c r="GYN189" s="39"/>
      <c r="GYO189" s="39"/>
      <c r="GYP189" s="39"/>
      <c r="GYQ189" s="39"/>
      <c r="GYR189" s="39"/>
      <c r="GYS189" s="39"/>
      <c r="GYT189" s="39"/>
      <c r="GYU189" s="39"/>
      <c r="GYV189" s="39"/>
      <c r="GYW189" s="39"/>
      <c r="GYX189" s="39"/>
      <c r="GYY189" s="39"/>
      <c r="GYZ189" s="39"/>
      <c r="GZA189" s="39"/>
      <c r="GZB189" s="39"/>
      <c r="GZC189" s="39"/>
      <c r="GZD189" s="39"/>
      <c r="GZE189" s="39"/>
      <c r="GZF189" s="39"/>
      <c r="GZG189" s="39"/>
      <c r="GZH189" s="39"/>
      <c r="GZI189" s="39"/>
      <c r="GZJ189" s="39"/>
      <c r="GZK189" s="39"/>
      <c r="GZL189" s="39"/>
      <c r="GZM189" s="39"/>
      <c r="GZN189" s="39"/>
      <c r="GZO189" s="39"/>
      <c r="GZP189" s="39"/>
      <c r="GZQ189" s="39"/>
      <c r="GZR189" s="39"/>
      <c r="GZS189" s="39"/>
      <c r="GZT189" s="39"/>
      <c r="GZU189" s="39"/>
      <c r="GZV189" s="39"/>
      <c r="GZW189" s="39"/>
      <c r="GZX189" s="39"/>
      <c r="GZY189" s="39"/>
      <c r="GZZ189" s="39"/>
      <c r="HAA189" s="39"/>
      <c r="HAB189" s="39"/>
      <c r="HAC189" s="39"/>
      <c r="HAD189" s="39"/>
      <c r="HAE189" s="39"/>
      <c r="HAF189" s="39"/>
      <c r="HAG189" s="39"/>
      <c r="HAH189" s="39"/>
      <c r="HAI189" s="39"/>
      <c r="HAJ189" s="39"/>
      <c r="HAK189" s="39"/>
      <c r="HAL189" s="39"/>
      <c r="HAM189" s="39"/>
      <c r="HAN189" s="39"/>
      <c r="HAO189" s="39"/>
      <c r="HAP189" s="39"/>
      <c r="HAQ189" s="39"/>
      <c r="HAR189" s="39"/>
      <c r="HAS189" s="39"/>
      <c r="HAT189" s="39"/>
      <c r="HAU189" s="39"/>
      <c r="HAV189" s="39"/>
      <c r="HAW189" s="39"/>
      <c r="HAX189" s="39"/>
      <c r="HAY189" s="39"/>
      <c r="HAZ189" s="39"/>
      <c r="HBA189" s="39"/>
      <c r="HBB189" s="39"/>
      <c r="HBC189" s="39"/>
      <c r="HBD189" s="39"/>
      <c r="HBE189" s="39"/>
      <c r="HBF189" s="39"/>
      <c r="HBG189" s="39"/>
      <c r="HBH189" s="39"/>
      <c r="HBI189" s="39"/>
      <c r="HBJ189" s="39"/>
      <c r="HBK189" s="39"/>
      <c r="HBL189" s="39"/>
      <c r="HBM189" s="39"/>
      <c r="HBN189" s="39"/>
      <c r="HBO189" s="39"/>
      <c r="HBP189" s="39"/>
      <c r="HBQ189" s="39"/>
      <c r="HBR189" s="39"/>
      <c r="HBS189" s="39"/>
      <c r="HBT189" s="39"/>
      <c r="HBU189" s="39"/>
      <c r="HBV189" s="39"/>
      <c r="HBW189" s="39"/>
      <c r="HBX189" s="39"/>
      <c r="HBY189" s="39"/>
      <c r="HBZ189" s="39"/>
      <c r="HCA189" s="39"/>
      <c r="HCB189" s="39"/>
      <c r="HCC189" s="39"/>
      <c r="HCD189" s="39"/>
      <c r="HCE189" s="39"/>
      <c r="HCF189" s="39"/>
      <c r="HCG189" s="39"/>
      <c r="HCH189" s="39"/>
      <c r="HCI189" s="39"/>
      <c r="HCJ189" s="39"/>
      <c r="HCK189" s="39"/>
      <c r="HCL189" s="39"/>
      <c r="HCM189" s="39"/>
      <c r="HCN189" s="39"/>
      <c r="HCO189" s="39"/>
      <c r="HCP189" s="39"/>
      <c r="HCQ189" s="39"/>
      <c r="HCR189" s="39"/>
      <c r="HCS189" s="39"/>
      <c r="HCT189" s="39"/>
      <c r="HCU189" s="39"/>
      <c r="HCV189" s="39"/>
      <c r="HCW189" s="39"/>
      <c r="HCX189" s="39"/>
      <c r="HCY189" s="39"/>
      <c r="HCZ189" s="39"/>
      <c r="HDA189" s="39"/>
      <c r="HDB189" s="39"/>
      <c r="HDC189" s="39"/>
      <c r="HDD189" s="39"/>
      <c r="HDE189" s="39"/>
      <c r="HDF189" s="39"/>
      <c r="HDG189" s="39"/>
      <c r="HDH189" s="39"/>
      <c r="HDI189" s="39"/>
      <c r="HDJ189" s="39"/>
      <c r="HDK189" s="39"/>
      <c r="HDL189" s="39"/>
      <c r="HDM189" s="39"/>
      <c r="HDN189" s="39"/>
      <c r="HDO189" s="39"/>
      <c r="HDP189" s="39"/>
      <c r="HDQ189" s="39"/>
      <c r="HDR189" s="39"/>
      <c r="HDS189" s="39"/>
      <c r="HDT189" s="39"/>
      <c r="HDU189" s="39"/>
      <c r="HDV189" s="39"/>
      <c r="HDW189" s="39"/>
      <c r="HDX189" s="39"/>
      <c r="HDY189" s="39"/>
      <c r="HDZ189" s="39"/>
      <c r="HEA189" s="39"/>
      <c r="HEB189" s="39"/>
      <c r="HEC189" s="39"/>
      <c r="HED189" s="39"/>
      <c r="HEE189" s="39"/>
      <c r="HEF189" s="39"/>
      <c r="HEG189" s="39"/>
      <c r="HEH189" s="39"/>
      <c r="HEI189" s="39"/>
      <c r="HEJ189" s="39"/>
      <c r="HEK189" s="39"/>
      <c r="HEL189" s="39"/>
      <c r="HEM189" s="39"/>
      <c r="HEN189" s="39"/>
      <c r="HEO189" s="39"/>
      <c r="HEP189" s="39"/>
      <c r="HEQ189" s="39"/>
      <c r="HER189" s="39"/>
      <c r="HES189" s="39"/>
      <c r="HET189" s="39"/>
      <c r="HEU189" s="39"/>
      <c r="HEV189" s="39"/>
      <c r="HEW189" s="39"/>
      <c r="HEX189" s="39"/>
      <c r="HEY189" s="39"/>
      <c r="HEZ189" s="39"/>
      <c r="HFA189" s="39"/>
      <c r="HFB189" s="39"/>
      <c r="HFC189" s="39"/>
      <c r="HFD189" s="39"/>
      <c r="HFE189" s="39"/>
      <c r="HFF189" s="39"/>
      <c r="HFG189" s="39"/>
      <c r="HFH189" s="39"/>
      <c r="HFI189" s="39"/>
      <c r="HFJ189" s="39"/>
      <c r="HFK189" s="39"/>
      <c r="HFL189" s="39"/>
      <c r="HFM189" s="39"/>
      <c r="HFN189" s="39"/>
      <c r="HFO189" s="39"/>
      <c r="HFP189" s="39"/>
      <c r="HFQ189" s="39"/>
      <c r="HFR189" s="39"/>
      <c r="HFS189" s="39"/>
      <c r="HFT189" s="39"/>
      <c r="HFU189" s="39"/>
      <c r="HFV189" s="39"/>
      <c r="HFW189" s="39"/>
      <c r="HFX189" s="39"/>
      <c r="HFY189" s="39"/>
      <c r="HFZ189" s="39"/>
      <c r="HGA189" s="39"/>
      <c r="HGB189" s="39"/>
      <c r="HGC189" s="39"/>
      <c r="HGD189" s="39"/>
      <c r="HGE189" s="39"/>
      <c r="HGF189" s="39"/>
      <c r="HGG189" s="39"/>
      <c r="HGH189" s="39"/>
      <c r="HGI189" s="39"/>
      <c r="HGJ189" s="39"/>
      <c r="HGK189" s="39"/>
      <c r="HGL189" s="39"/>
      <c r="HGM189" s="39"/>
      <c r="HGN189" s="39"/>
      <c r="HGO189" s="39"/>
      <c r="HGP189" s="39"/>
      <c r="HGQ189" s="39"/>
      <c r="HGR189" s="39"/>
      <c r="HGS189" s="39"/>
      <c r="HGT189" s="39"/>
      <c r="HGU189" s="39"/>
      <c r="HGV189" s="39"/>
      <c r="HGW189" s="39"/>
      <c r="HGX189" s="39"/>
      <c r="HGY189" s="39"/>
      <c r="HGZ189" s="39"/>
      <c r="HHA189" s="39"/>
      <c r="HHB189" s="39"/>
      <c r="HHC189" s="39"/>
      <c r="HHD189" s="39"/>
      <c r="HHE189" s="39"/>
      <c r="HHF189" s="39"/>
      <c r="HHG189" s="39"/>
      <c r="HHH189" s="39"/>
      <c r="HHI189" s="39"/>
      <c r="HHJ189" s="39"/>
      <c r="HHK189" s="39"/>
      <c r="HHL189" s="39"/>
      <c r="HHM189" s="39"/>
      <c r="HHN189" s="39"/>
      <c r="HHO189" s="39"/>
      <c r="HHP189" s="39"/>
      <c r="HHQ189" s="39"/>
      <c r="HHR189" s="39"/>
      <c r="HHS189" s="39"/>
      <c r="HHT189" s="39"/>
      <c r="HHU189" s="39"/>
      <c r="HHV189" s="39"/>
      <c r="HHW189" s="39"/>
      <c r="HHX189" s="39"/>
      <c r="HHY189" s="39"/>
      <c r="HHZ189" s="39"/>
      <c r="HIA189" s="39"/>
      <c r="HIB189" s="39"/>
      <c r="HIC189" s="39"/>
      <c r="HID189" s="39"/>
      <c r="HIE189" s="39"/>
      <c r="HIF189" s="39"/>
      <c r="HIG189" s="39"/>
      <c r="HIH189" s="39"/>
      <c r="HII189" s="39"/>
      <c r="HIJ189" s="39"/>
      <c r="HIK189" s="39"/>
      <c r="HIL189" s="39"/>
      <c r="HIM189" s="39"/>
      <c r="HIN189" s="39"/>
      <c r="HIO189" s="39"/>
      <c r="HIP189" s="39"/>
      <c r="HIQ189" s="39"/>
      <c r="HIR189" s="39"/>
      <c r="HIS189" s="39"/>
      <c r="HIT189" s="39"/>
      <c r="HIU189" s="39"/>
      <c r="HIV189" s="39"/>
      <c r="HIW189" s="39"/>
      <c r="HIX189" s="39"/>
      <c r="HIY189" s="39"/>
      <c r="HIZ189" s="39"/>
      <c r="HJA189" s="39"/>
      <c r="HJB189" s="39"/>
      <c r="HJC189" s="39"/>
      <c r="HJD189" s="39"/>
      <c r="HJE189" s="39"/>
      <c r="HJF189" s="39"/>
      <c r="HJG189" s="39"/>
      <c r="HJH189" s="39"/>
      <c r="HJI189" s="39"/>
      <c r="HJJ189" s="39"/>
      <c r="HJK189" s="39"/>
      <c r="HJL189" s="39"/>
      <c r="HJM189" s="39"/>
      <c r="HJN189" s="39"/>
      <c r="HJO189" s="39"/>
      <c r="HJP189" s="39"/>
      <c r="HJQ189" s="39"/>
      <c r="HJR189" s="39"/>
      <c r="HJS189" s="39"/>
      <c r="HJT189" s="39"/>
      <c r="HJU189" s="39"/>
      <c r="HJV189" s="39"/>
      <c r="HJW189" s="39"/>
      <c r="HJX189" s="39"/>
      <c r="HJY189" s="39"/>
      <c r="HJZ189" s="39"/>
      <c r="HKA189" s="39"/>
      <c r="HKB189" s="39"/>
      <c r="HKC189" s="39"/>
      <c r="HKD189" s="39"/>
      <c r="HKE189" s="39"/>
      <c r="HKF189" s="39"/>
      <c r="HKG189" s="39"/>
      <c r="HKH189" s="39"/>
      <c r="HKI189" s="39"/>
      <c r="HKJ189" s="39"/>
      <c r="HKK189" s="39"/>
      <c r="HKL189" s="39"/>
      <c r="HKM189" s="39"/>
      <c r="HKN189" s="39"/>
      <c r="HKO189" s="39"/>
      <c r="HKP189" s="39"/>
      <c r="HKQ189" s="39"/>
      <c r="HKR189" s="39"/>
      <c r="HKS189" s="39"/>
      <c r="HKT189" s="39"/>
      <c r="HKU189" s="39"/>
      <c r="HKV189" s="39"/>
      <c r="HKW189" s="39"/>
      <c r="HKX189" s="39"/>
      <c r="HKY189" s="39"/>
      <c r="HKZ189" s="39"/>
      <c r="HLA189" s="39"/>
      <c r="HLB189" s="39"/>
      <c r="HLC189" s="39"/>
      <c r="HLD189" s="39"/>
      <c r="HLE189" s="39"/>
      <c r="HLF189" s="39"/>
      <c r="HLG189" s="39"/>
      <c r="HLH189" s="39"/>
      <c r="HLI189" s="39"/>
      <c r="HLJ189" s="39"/>
      <c r="HLK189" s="39"/>
      <c r="HLL189" s="39"/>
      <c r="HLM189" s="39"/>
      <c r="HLN189" s="39"/>
      <c r="HLO189" s="39"/>
      <c r="HLP189" s="39"/>
      <c r="HLQ189" s="39"/>
      <c r="HLR189" s="39"/>
      <c r="HLS189" s="39"/>
      <c r="HLT189" s="39"/>
      <c r="HLU189" s="39"/>
      <c r="HLV189" s="39"/>
      <c r="HLW189" s="39"/>
      <c r="HLX189" s="39"/>
      <c r="HLY189" s="39"/>
      <c r="HLZ189" s="39"/>
      <c r="HMA189" s="39"/>
      <c r="HMB189" s="39"/>
      <c r="HMC189" s="39"/>
      <c r="HMD189" s="39"/>
      <c r="HME189" s="39"/>
      <c r="HMF189" s="39"/>
      <c r="HMG189" s="39"/>
      <c r="HMH189" s="39"/>
      <c r="HMI189" s="39"/>
      <c r="HMJ189" s="39"/>
      <c r="HMK189" s="39"/>
      <c r="HML189" s="39"/>
      <c r="HMM189" s="39"/>
      <c r="HMN189" s="39"/>
      <c r="HMO189" s="39"/>
      <c r="HMP189" s="39"/>
      <c r="HMQ189" s="39"/>
      <c r="HMR189" s="39"/>
      <c r="HMS189" s="39"/>
      <c r="HMT189" s="39"/>
      <c r="HMU189" s="39"/>
      <c r="HMV189" s="39"/>
      <c r="HMW189" s="39"/>
      <c r="HMX189" s="39"/>
      <c r="HMY189" s="39"/>
      <c r="HMZ189" s="39"/>
      <c r="HNA189" s="39"/>
      <c r="HNB189" s="39"/>
      <c r="HNC189" s="39"/>
      <c r="HND189" s="39"/>
      <c r="HNE189" s="39"/>
      <c r="HNF189" s="39"/>
      <c r="HNG189" s="39"/>
      <c r="HNH189" s="39"/>
      <c r="HNI189" s="39"/>
      <c r="HNJ189" s="39"/>
      <c r="HNK189" s="39"/>
      <c r="HNL189" s="39"/>
      <c r="HNM189" s="39"/>
      <c r="HNN189" s="39"/>
      <c r="HNO189" s="39"/>
      <c r="HNP189" s="39"/>
      <c r="HNQ189" s="39"/>
      <c r="HNR189" s="39"/>
      <c r="HNS189" s="39"/>
      <c r="HNT189" s="39"/>
      <c r="HNU189" s="39"/>
      <c r="HNV189" s="39"/>
      <c r="HNW189" s="39"/>
      <c r="HNX189" s="39"/>
      <c r="HNY189" s="39"/>
      <c r="HNZ189" s="39"/>
      <c r="HOA189" s="39"/>
      <c r="HOB189" s="39"/>
      <c r="HOC189" s="39"/>
      <c r="HOD189" s="39"/>
      <c r="HOE189" s="39"/>
      <c r="HOF189" s="39"/>
      <c r="HOG189" s="39"/>
      <c r="HOH189" s="39"/>
      <c r="HOI189" s="39"/>
      <c r="HOJ189" s="39"/>
      <c r="HOK189" s="39"/>
      <c r="HOL189" s="39"/>
      <c r="HOM189" s="39"/>
      <c r="HON189" s="39"/>
      <c r="HOO189" s="39"/>
      <c r="HOP189" s="39"/>
      <c r="HOQ189" s="39"/>
      <c r="HOR189" s="39"/>
      <c r="HOS189" s="39"/>
      <c r="HOT189" s="39"/>
      <c r="HOU189" s="39"/>
      <c r="HOV189" s="39"/>
      <c r="HOW189" s="39"/>
      <c r="HOX189" s="39"/>
      <c r="HOY189" s="39"/>
      <c r="HOZ189" s="39"/>
      <c r="HPA189" s="39"/>
      <c r="HPB189" s="39"/>
      <c r="HPC189" s="39"/>
      <c r="HPD189" s="39"/>
      <c r="HPE189" s="39"/>
      <c r="HPF189" s="39"/>
      <c r="HPG189" s="39"/>
      <c r="HPH189" s="39"/>
      <c r="HPI189" s="39"/>
      <c r="HPJ189" s="39"/>
      <c r="HPK189" s="39"/>
      <c r="HPL189" s="39"/>
      <c r="HPM189" s="39"/>
      <c r="HPN189" s="39"/>
      <c r="HPO189" s="39"/>
      <c r="HPP189" s="39"/>
      <c r="HPQ189" s="39"/>
      <c r="HPR189" s="39"/>
      <c r="HPS189" s="39"/>
      <c r="HPT189" s="39"/>
      <c r="HPU189" s="39"/>
      <c r="HPV189" s="39"/>
      <c r="HPW189" s="39"/>
      <c r="HPX189" s="39"/>
      <c r="HPY189" s="39"/>
      <c r="HPZ189" s="39"/>
      <c r="HQA189" s="39"/>
      <c r="HQB189" s="39"/>
      <c r="HQC189" s="39"/>
      <c r="HQD189" s="39"/>
      <c r="HQE189" s="39"/>
      <c r="HQF189" s="39"/>
      <c r="HQG189" s="39"/>
      <c r="HQH189" s="39"/>
      <c r="HQI189" s="39"/>
      <c r="HQJ189" s="39"/>
      <c r="HQK189" s="39"/>
      <c r="HQL189" s="39"/>
      <c r="HQM189" s="39"/>
      <c r="HQN189" s="39"/>
      <c r="HQO189" s="39"/>
      <c r="HQP189" s="39"/>
      <c r="HQQ189" s="39"/>
      <c r="HQR189" s="39"/>
      <c r="HQS189" s="39"/>
      <c r="HQT189" s="39"/>
      <c r="HQU189" s="39"/>
      <c r="HQV189" s="39"/>
      <c r="HQW189" s="39"/>
      <c r="HQX189" s="39"/>
      <c r="HQY189" s="39"/>
      <c r="HQZ189" s="39"/>
      <c r="HRA189" s="39"/>
      <c r="HRB189" s="39"/>
      <c r="HRC189" s="39"/>
      <c r="HRD189" s="39"/>
      <c r="HRE189" s="39"/>
      <c r="HRF189" s="39"/>
      <c r="HRG189" s="39"/>
      <c r="HRH189" s="39"/>
      <c r="HRI189" s="39"/>
      <c r="HRJ189" s="39"/>
      <c r="HRK189" s="39"/>
      <c r="HRL189" s="39"/>
      <c r="HRM189" s="39"/>
      <c r="HRN189" s="39"/>
      <c r="HRO189" s="39"/>
      <c r="HRP189" s="39"/>
      <c r="HRQ189" s="39"/>
      <c r="HRR189" s="39"/>
      <c r="HRS189" s="39"/>
      <c r="HRT189" s="39"/>
      <c r="HRU189" s="39"/>
      <c r="HRV189" s="39"/>
      <c r="HRW189" s="39"/>
      <c r="HRX189" s="39"/>
      <c r="HRY189" s="39"/>
      <c r="HRZ189" s="39"/>
      <c r="HSA189" s="39"/>
      <c r="HSB189" s="39"/>
      <c r="HSC189" s="39"/>
      <c r="HSD189" s="39"/>
      <c r="HSE189" s="39"/>
      <c r="HSF189" s="39"/>
      <c r="HSG189" s="39"/>
      <c r="HSH189" s="39"/>
      <c r="HSI189" s="39"/>
      <c r="HSJ189" s="39"/>
      <c r="HSK189" s="39"/>
      <c r="HSL189" s="39"/>
      <c r="HSM189" s="39"/>
      <c r="HSN189" s="39"/>
      <c r="HSO189" s="39"/>
      <c r="HSP189" s="39"/>
      <c r="HSQ189" s="39"/>
      <c r="HSR189" s="39"/>
      <c r="HSS189" s="39"/>
      <c r="HST189" s="39"/>
      <c r="HSU189" s="39"/>
      <c r="HSV189" s="39"/>
      <c r="HSW189" s="39"/>
      <c r="HSX189" s="39"/>
      <c r="HSY189" s="39"/>
      <c r="HSZ189" s="39"/>
      <c r="HTA189" s="39"/>
      <c r="HTB189" s="39"/>
      <c r="HTC189" s="39"/>
      <c r="HTD189" s="39"/>
      <c r="HTE189" s="39"/>
      <c r="HTF189" s="39"/>
      <c r="HTG189" s="39"/>
      <c r="HTH189" s="39"/>
      <c r="HTI189" s="39"/>
      <c r="HTJ189" s="39"/>
      <c r="HTK189" s="39"/>
      <c r="HTL189" s="39"/>
      <c r="HTM189" s="39"/>
      <c r="HTN189" s="39"/>
      <c r="HTO189" s="39"/>
      <c r="HTP189" s="39"/>
      <c r="HTQ189" s="39"/>
      <c r="HTR189" s="39"/>
      <c r="HTS189" s="39"/>
      <c r="HTT189" s="39"/>
      <c r="HTU189" s="39"/>
      <c r="HTV189" s="39"/>
      <c r="HTW189" s="39"/>
      <c r="HTX189" s="39"/>
      <c r="HTY189" s="39"/>
      <c r="HTZ189" s="39"/>
      <c r="HUA189" s="39"/>
      <c r="HUB189" s="39"/>
      <c r="HUC189" s="39"/>
      <c r="HUD189" s="39"/>
      <c r="HUE189" s="39"/>
      <c r="HUF189" s="39"/>
      <c r="HUG189" s="39"/>
      <c r="HUH189" s="39"/>
      <c r="HUI189" s="39"/>
      <c r="HUJ189" s="39"/>
      <c r="HUK189" s="39"/>
      <c r="HUL189" s="39"/>
      <c r="HUM189" s="39"/>
      <c r="HUN189" s="39"/>
      <c r="HUO189" s="39"/>
      <c r="HUP189" s="39"/>
      <c r="HUQ189" s="39"/>
      <c r="HUR189" s="39"/>
      <c r="HUS189" s="39"/>
      <c r="HUT189" s="39"/>
      <c r="HUU189" s="39"/>
      <c r="HUV189" s="39"/>
      <c r="HUW189" s="39"/>
      <c r="HUX189" s="39"/>
      <c r="HUY189" s="39"/>
      <c r="HUZ189" s="39"/>
      <c r="HVA189" s="39"/>
      <c r="HVB189" s="39"/>
      <c r="HVC189" s="39"/>
      <c r="HVD189" s="39"/>
      <c r="HVE189" s="39"/>
      <c r="HVF189" s="39"/>
      <c r="HVG189" s="39"/>
      <c r="HVH189" s="39"/>
      <c r="HVI189" s="39"/>
      <c r="HVJ189" s="39"/>
      <c r="HVK189" s="39"/>
      <c r="HVL189" s="39"/>
      <c r="HVM189" s="39"/>
      <c r="HVN189" s="39"/>
      <c r="HVO189" s="39"/>
      <c r="HVP189" s="39"/>
      <c r="HVQ189" s="39"/>
      <c r="HVR189" s="39"/>
      <c r="HVS189" s="39"/>
      <c r="HVT189" s="39"/>
      <c r="HVU189" s="39"/>
      <c r="HVV189" s="39"/>
      <c r="HVW189" s="39"/>
      <c r="HVX189" s="39"/>
      <c r="HVY189" s="39"/>
      <c r="HVZ189" s="39"/>
      <c r="HWA189" s="39"/>
      <c r="HWB189" s="39"/>
      <c r="HWC189" s="39"/>
      <c r="HWD189" s="39"/>
      <c r="HWE189" s="39"/>
      <c r="HWF189" s="39"/>
      <c r="HWG189" s="39"/>
      <c r="HWH189" s="39"/>
      <c r="HWI189" s="39"/>
      <c r="HWJ189" s="39"/>
      <c r="HWK189" s="39"/>
      <c r="HWL189" s="39"/>
      <c r="HWM189" s="39"/>
      <c r="HWN189" s="39"/>
      <c r="HWO189" s="39"/>
      <c r="HWP189" s="39"/>
      <c r="HWQ189" s="39"/>
      <c r="HWR189" s="39"/>
      <c r="HWS189" s="39"/>
      <c r="HWT189" s="39"/>
      <c r="HWU189" s="39"/>
      <c r="HWV189" s="39"/>
      <c r="HWW189" s="39"/>
      <c r="HWX189" s="39"/>
      <c r="HWY189" s="39"/>
      <c r="HWZ189" s="39"/>
      <c r="HXA189" s="39"/>
      <c r="HXB189" s="39"/>
      <c r="HXC189" s="39"/>
      <c r="HXD189" s="39"/>
      <c r="HXE189" s="39"/>
      <c r="HXF189" s="39"/>
      <c r="HXG189" s="39"/>
      <c r="HXH189" s="39"/>
      <c r="HXI189" s="39"/>
      <c r="HXJ189" s="39"/>
      <c r="HXK189" s="39"/>
      <c r="HXL189" s="39"/>
      <c r="HXM189" s="39"/>
      <c r="HXN189" s="39"/>
      <c r="HXO189" s="39"/>
      <c r="HXP189" s="39"/>
      <c r="HXQ189" s="39"/>
      <c r="HXR189" s="39"/>
      <c r="HXS189" s="39"/>
      <c r="HXT189" s="39"/>
      <c r="HXU189" s="39"/>
      <c r="HXV189" s="39"/>
      <c r="HXW189" s="39"/>
      <c r="HXX189" s="39"/>
      <c r="HXY189" s="39"/>
      <c r="HXZ189" s="39"/>
      <c r="HYA189" s="39"/>
      <c r="HYB189" s="39"/>
      <c r="HYC189" s="39"/>
      <c r="HYD189" s="39"/>
      <c r="HYE189" s="39"/>
      <c r="HYF189" s="39"/>
      <c r="HYG189" s="39"/>
      <c r="HYH189" s="39"/>
      <c r="HYI189" s="39"/>
      <c r="HYJ189" s="39"/>
      <c r="HYK189" s="39"/>
      <c r="HYL189" s="39"/>
      <c r="HYM189" s="39"/>
      <c r="HYN189" s="39"/>
      <c r="HYO189" s="39"/>
      <c r="HYP189" s="39"/>
      <c r="HYQ189" s="39"/>
      <c r="HYR189" s="39"/>
      <c r="HYS189" s="39"/>
      <c r="HYT189" s="39"/>
      <c r="HYU189" s="39"/>
      <c r="HYV189" s="39"/>
      <c r="HYW189" s="39"/>
      <c r="HYX189" s="39"/>
      <c r="HYY189" s="39"/>
      <c r="HYZ189" s="39"/>
      <c r="HZA189" s="39"/>
      <c r="HZB189" s="39"/>
      <c r="HZC189" s="39"/>
      <c r="HZD189" s="39"/>
      <c r="HZE189" s="39"/>
      <c r="HZF189" s="39"/>
      <c r="HZG189" s="39"/>
      <c r="HZH189" s="39"/>
      <c r="HZI189" s="39"/>
      <c r="HZJ189" s="39"/>
      <c r="HZK189" s="39"/>
      <c r="HZL189" s="39"/>
      <c r="HZM189" s="39"/>
      <c r="HZN189" s="39"/>
      <c r="HZO189" s="39"/>
      <c r="HZP189" s="39"/>
      <c r="HZQ189" s="39"/>
      <c r="HZR189" s="39"/>
      <c r="HZS189" s="39"/>
      <c r="HZT189" s="39"/>
      <c r="HZU189" s="39"/>
      <c r="HZV189" s="39"/>
      <c r="HZW189" s="39"/>
      <c r="HZX189" s="39"/>
      <c r="HZY189" s="39"/>
      <c r="HZZ189" s="39"/>
      <c r="IAA189" s="39"/>
      <c r="IAB189" s="39"/>
      <c r="IAC189" s="39"/>
      <c r="IAD189" s="39"/>
      <c r="IAE189" s="39"/>
      <c r="IAF189" s="39"/>
      <c r="IAG189" s="39"/>
      <c r="IAH189" s="39"/>
      <c r="IAI189" s="39"/>
      <c r="IAJ189" s="39"/>
      <c r="IAK189" s="39"/>
      <c r="IAL189" s="39"/>
      <c r="IAM189" s="39"/>
      <c r="IAN189" s="39"/>
      <c r="IAO189" s="39"/>
      <c r="IAP189" s="39"/>
      <c r="IAQ189" s="39"/>
      <c r="IAR189" s="39"/>
      <c r="IAS189" s="39"/>
      <c r="IAT189" s="39"/>
      <c r="IAU189" s="39"/>
      <c r="IAV189" s="39"/>
      <c r="IAW189" s="39"/>
      <c r="IAX189" s="39"/>
      <c r="IAY189" s="39"/>
      <c r="IAZ189" s="39"/>
      <c r="IBA189" s="39"/>
      <c r="IBB189" s="39"/>
      <c r="IBC189" s="39"/>
      <c r="IBD189" s="39"/>
      <c r="IBE189" s="39"/>
      <c r="IBF189" s="39"/>
      <c r="IBG189" s="39"/>
      <c r="IBH189" s="39"/>
      <c r="IBI189" s="39"/>
      <c r="IBJ189" s="39"/>
      <c r="IBK189" s="39"/>
      <c r="IBL189" s="39"/>
      <c r="IBM189" s="39"/>
      <c r="IBN189" s="39"/>
      <c r="IBO189" s="39"/>
      <c r="IBP189" s="39"/>
      <c r="IBQ189" s="39"/>
      <c r="IBR189" s="39"/>
      <c r="IBS189" s="39"/>
      <c r="IBT189" s="39"/>
      <c r="IBU189" s="39"/>
      <c r="IBV189" s="39"/>
      <c r="IBW189" s="39"/>
      <c r="IBX189" s="39"/>
      <c r="IBY189" s="39"/>
      <c r="IBZ189" s="39"/>
      <c r="ICA189" s="39"/>
      <c r="ICB189" s="39"/>
      <c r="ICC189" s="39"/>
      <c r="ICD189" s="39"/>
      <c r="ICE189" s="39"/>
      <c r="ICF189" s="39"/>
      <c r="ICG189" s="39"/>
      <c r="ICH189" s="39"/>
      <c r="ICI189" s="39"/>
      <c r="ICJ189" s="39"/>
      <c r="ICK189" s="39"/>
      <c r="ICL189" s="39"/>
      <c r="ICM189" s="39"/>
      <c r="ICN189" s="39"/>
      <c r="ICO189" s="39"/>
      <c r="ICP189" s="39"/>
      <c r="ICQ189" s="39"/>
      <c r="ICR189" s="39"/>
      <c r="ICS189" s="39"/>
      <c r="ICT189" s="39"/>
      <c r="ICU189" s="39"/>
      <c r="ICV189" s="39"/>
      <c r="ICW189" s="39"/>
      <c r="ICX189" s="39"/>
      <c r="ICY189" s="39"/>
      <c r="ICZ189" s="39"/>
      <c r="IDA189" s="39"/>
      <c r="IDB189" s="39"/>
      <c r="IDC189" s="39"/>
      <c r="IDD189" s="39"/>
      <c r="IDE189" s="39"/>
      <c r="IDF189" s="39"/>
      <c r="IDG189" s="39"/>
      <c r="IDH189" s="39"/>
      <c r="IDI189" s="39"/>
      <c r="IDJ189" s="39"/>
      <c r="IDK189" s="39"/>
      <c r="IDL189" s="39"/>
      <c r="IDM189" s="39"/>
      <c r="IDN189" s="39"/>
      <c r="IDO189" s="39"/>
      <c r="IDP189" s="39"/>
      <c r="IDQ189" s="39"/>
      <c r="IDR189" s="39"/>
      <c r="IDS189" s="39"/>
      <c r="IDT189" s="39"/>
      <c r="IDU189" s="39"/>
      <c r="IDV189" s="39"/>
      <c r="IDW189" s="39"/>
      <c r="IDX189" s="39"/>
      <c r="IDY189" s="39"/>
      <c r="IDZ189" s="39"/>
      <c r="IEA189" s="39"/>
      <c r="IEB189" s="39"/>
      <c r="IEC189" s="39"/>
      <c r="IED189" s="39"/>
      <c r="IEE189" s="39"/>
      <c r="IEF189" s="39"/>
      <c r="IEG189" s="39"/>
      <c r="IEH189" s="39"/>
      <c r="IEI189" s="39"/>
      <c r="IEJ189" s="39"/>
      <c r="IEK189" s="39"/>
      <c r="IEL189" s="39"/>
      <c r="IEM189" s="39"/>
      <c r="IEN189" s="39"/>
      <c r="IEO189" s="39"/>
      <c r="IEP189" s="39"/>
      <c r="IEQ189" s="39"/>
      <c r="IER189" s="39"/>
      <c r="IES189" s="39"/>
      <c r="IET189" s="39"/>
      <c r="IEU189" s="39"/>
      <c r="IEV189" s="39"/>
      <c r="IEW189" s="39"/>
      <c r="IEX189" s="39"/>
      <c r="IEY189" s="39"/>
      <c r="IEZ189" s="39"/>
      <c r="IFA189" s="39"/>
      <c r="IFB189" s="39"/>
      <c r="IFC189" s="39"/>
      <c r="IFD189" s="39"/>
      <c r="IFE189" s="39"/>
      <c r="IFF189" s="39"/>
      <c r="IFG189" s="39"/>
      <c r="IFH189" s="39"/>
      <c r="IFI189" s="39"/>
      <c r="IFJ189" s="39"/>
      <c r="IFK189" s="39"/>
      <c r="IFL189" s="39"/>
      <c r="IFM189" s="39"/>
      <c r="IFN189" s="39"/>
      <c r="IFO189" s="39"/>
      <c r="IFP189" s="39"/>
      <c r="IFQ189" s="39"/>
      <c r="IFR189" s="39"/>
      <c r="IFS189" s="39"/>
      <c r="IFT189" s="39"/>
      <c r="IFU189" s="39"/>
      <c r="IFV189" s="39"/>
      <c r="IFW189" s="39"/>
      <c r="IFX189" s="39"/>
      <c r="IFY189" s="39"/>
      <c r="IFZ189" s="39"/>
      <c r="IGA189" s="39"/>
      <c r="IGB189" s="39"/>
      <c r="IGC189" s="39"/>
      <c r="IGD189" s="39"/>
      <c r="IGE189" s="39"/>
      <c r="IGF189" s="39"/>
      <c r="IGG189" s="39"/>
      <c r="IGH189" s="39"/>
      <c r="IGI189" s="39"/>
      <c r="IGJ189" s="39"/>
      <c r="IGK189" s="39"/>
      <c r="IGL189" s="39"/>
      <c r="IGM189" s="39"/>
      <c r="IGN189" s="39"/>
      <c r="IGO189" s="39"/>
      <c r="IGP189" s="39"/>
      <c r="IGQ189" s="39"/>
      <c r="IGR189" s="39"/>
      <c r="IGS189" s="39"/>
      <c r="IGT189" s="39"/>
      <c r="IGU189" s="39"/>
      <c r="IGV189" s="39"/>
      <c r="IGW189" s="39"/>
      <c r="IGX189" s="39"/>
      <c r="IGY189" s="39"/>
      <c r="IGZ189" s="39"/>
      <c r="IHA189" s="39"/>
      <c r="IHB189" s="39"/>
      <c r="IHC189" s="39"/>
      <c r="IHD189" s="39"/>
      <c r="IHE189" s="39"/>
      <c r="IHF189" s="39"/>
      <c r="IHG189" s="39"/>
      <c r="IHH189" s="39"/>
      <c r="IHI189" s="39"/>
      <c r="IHJ189" s="39"/>
      <c r="IHK189" s="39"/>
      <c r="IHL189" s="39"/>
      <c r="IHM189" s="39"/>
      <c r="IHN189" s="39"/>
      <c r="IHO189" s="39"/>
      <c r="IHP189" s="39"/>
      <c r="IHQ189" s="39"/>
      <c r="IHR189" s="39"/>
      <c r="IHS189" s="39"/>
      <c r="IHT189" s="39"/>
      <c r="IHU189" s="39"/>
      <c r="IHV189" s="39"/>
      <c r="IHW189" s="39"/>
      <c r="IHX189" s="39"/>
      <c r="IHY189" s="39"/>
      <c r="IHZ189" s="39"/>
      <c r="IIA189" s="39"/>
      <c r="IIB189" s="39"/>
      <c r="IIC189" s="39"/>
      <c r="IID189" s="39"/>
      <c r="IIE189" s="39"/>
      <c r="IIF189" s="39"/>
      <c r="IIG189" s="39"/>
      <c r="IIH189" s="39"/>
      <c r="III189" s="39"/>
      <c r="IIJ189" s="39"/>
      <c r="IIK189" s="39"/>
      <c r="IIL189" s="39"/>
      <c r="IIM189" s="39"/>
      <c r="IIN189" s="39"/>
      <c r="IIO189" s="39"/>
      <c r="IIP189" s="39"/>
      <c r="IIQ189" s="39"/>
      <c r="IIR189" s="39"/>
      <c r="IIS189" s="39"/>
      <c r="IIT189" s="39"/>
      <c r="IIU189" s="39"/>
      <c r="IIV189" s="39"/>
      <c r="IIW189" s="39"/>
      <c r="IIX189" s="39"/>
      <c r="IIY189" s="39"/>
      <c r="IIZ189" s="39"/>
      <c r="IJA189" s="39"/>
      <c r="IJB189" s="39"/>
      <c r="IJC189" s="39"/>
      <c r="IJD189" s="39"/>
      <c r="IJE189" s="39"/>
      <c r="IJF189" s="39"/>
      <c r="IJG189" s="39"/>
      <c r="IJH189" s="39"/>
      <c r="IJI189" s="39"/>
      <c r="IJJ189" s="39"/>
      <c r="IJK189" s="39"/>
      <c r="IJL189" s="39"/>
      <c r="IJM189" s="39"/>
      <c r="IJN189" s="39"/>
      <c r="IJO189" s="39"/>
      <c r="IJP189" s="39"/>
      <c r="IJQ189" s="39"/>
      <c r="IJR189" s="39"/>
      <c r="IJS189" s="39"/>
      <c r="IJT189" s="39"/>
      <c r="IJU189" s="39"/>
      <c r="IJV189" s="39"/>
      <c r="IJW189" s="39"/>
      <c r="IJX189" s="39"/>
      <c r="IJY189" s="39"/>
      <c r="IJZ189" s="39"/>
      <c r="IKA189" s="39"/>
      <c r="IKB189" s="39"/>
      <c r="IKC189" s="39"/>
      <c r="IKD189" s="39"/>
      <c r="IKE189" s="39"/>
      <c r="IKF189" s="39"/>
      <c r="IKG189" s="39"/>
      <c r="IKH189" s="39"/>
      <c r="IKI189" s="39"/>
      <c r="IKJ189" s="39"/>
      <c r="IKK189" s="39"/>
      <c r="IKL189" s="39"/>
      <c r="IKM189" s="39"/>
      <c r="IKN189" s="39"/>
      <c r="IKO189" s="39"/>
      <c r="IKP189" s="39"/>
      <c r="IKQ189" s="39"/>
      <c r="IKR189" s="39"/>
      <c r="IKS189" s="39"/>
      <c r="IKT189" s="39"/>
      <c r="IKU189" s="39"/>
      <c r="IKV189" s="39"/>
      <c r="IKW189" s="39"/>
      <c r="IKX189" s="39"/>
      <c r="IKY189" s="39"/>
      <c r="IKZ189" s="39"/>
      <c r="ILA189" s="39"/>
      <c r="ILB189" s="39"/>
      <c r="ILC189" s="39"/>
      <c r="ILD189" s="39"/>
      <c r="ILE189" s="39"/>
      <c r="ILF189" s="39"/>
      <c r="ILG189" s="39"/>
      <c r="ILH189" s="39"/>
      <c r="ILI189" s="39"/>
      <c r="ILJ189" s="39"/>
      <c r="ILK189" s="39"/>
      <c r="ILL189" s="39"/>
      <c r="ILM189" s="39"/>
      <c r="ILN189" s="39"/>
      <c r="ILO189" s="39"/>
      <c r="ILP189" s="39"/>
      <c r="ILQ189" s="39"/>
      <c r="ILR189" s="39"/>
      <c r="ILS189" s="39"/>
      <c r="ILT189" s="39"/>
      <c r="ILU189" s="39"/>
      <c r="ILV189" s="39"/>
      <c r="ILW189" s="39"/>
      <c r="ILX189" s="39"/>
      <c r="ILY189" s="39"/>
      <c r="ILZ189" s="39"/>
      <c r="IMA189" s="39"/>
      <c r="IMB189" s="39"/>
      <c r="IMC189" s="39"/>
      <c r="IMD189" s="39"/>
      <c r="IME189" s="39"/>
      <c r="IMF189" s="39"/>
      <c r="IMG189" s="39"/>
      <c r="IMH189" s="39"/>
      <c r="IMI189" s="39"/>
      <c r="IMJ189" s="39"/>
      <c r="IMK189" s="39"/>
      <c r="IML189" s="39"/>
      <c r="IMM189" s="39"/>
      <c r="IMN189" s="39"/>
      <c r="IMO189" s="39"/>
      <c r="IMP189" s="39"/>
      <c r="IMQ189" s="39"/>
      <c r="IMR189" s="39"/>
      <c r="IMS189" s="39"/>
      <c r="IMT189" s="39"/>
      <c r="IMU189" s="39"/>
      <c r="IMV189" s="39"/>
      <c r="IMW189" s="39"/>
      <c r="IMX189" s="39"/>
      <c r="IMY189" s="39"/>
      <c r="IMZ189" s="39"/>
      <c r="INA189" s="39"/>
      <c r="INB189" s="39"/>
      <c r="INC189" s="39"/>
      <c r="IND189" s="39"/>
      <c r="INE189" s="39"/>
      <c r="INF189" s="39"/>
      <c r="ING189" s="39"/>
      <c r="INH189" s="39"/>
      <c r="INI189" s="39"/>
      <c r="INJ189" s="39"/>
      <c r="INK189" s="39"/>
      <c r="INL189" s="39"/>
      <c r="INM189" s="39"/>
      <c r="INN189" s="39"/>
      <c r="INO189" s="39"/>
      <c r="INP189" s="39"/>
      <c r="INQ189" s="39"/>
      <c r="INR189" s="39"/>
      <c r="INS189" s="39"/>
      <c r="INT189" s="39"/>
      <c r="INU189" s="39"/>
      <c r="INV189" s="39"/>
      <c r="INW189" s="39"/>
      <c r="INX189" s="39"/>
      <c r="INY189" s="39"/>
      <c r="INZ189" s="39"/>
      <c r="IOA189" s="39"/>
      <c r="IOB189" s="39"/>
      <c r="IOC189" s="39"/>
      <c r="IOD189" s="39"/>
      <c r="IOE189" s="39"/>
      <c r="IOF189" s="39"/>
      <c r="IOG189" s="39"/>
      <c r="IOH189" s="39"/>
      <c r="IOI189" s="39"/>
      <c r="IOJ189" s="39"/>
      <c r="IOK189" s="39"/>
      <c r="IOL189" s="39"/>
      <c r="IOM189" s="39"/>
      <c r="ION189" s="39"/>
      <c r="IOO189" s="39"/>
      <c r="IOP189" s="39"/>
      <c r="IOQ189" s="39"/>
      <c r="IOR189" s="39"/>
      <c r="IOS189" s="39"/>
      <c r="IOT189" s="39"/>
      <c r="IOU189" s="39"/>
      <c r="IOV189" s="39"/>
      <c r="IOW189" s="39"/>
      <c r="IOX189" s="39"/>
      <c r="IOY189" s="39"/>
      <c r="IOZ189" s="39"/>
      <c r="IPA189" s="39"/>
      <c r="IPB189" s="39"/>
      <c r="IPC189" s="39"/>
      <c r="IPD189" s="39"/>
      <c r="IPE189" s="39"/>
      <c r="IPF189" s="39"/>
      <c r="IPG189" s="39"/>
      <c r="IPH189" s="39"/>
      <c r="IPI189" s="39"/>
      <c r="IPJ189" s="39"/>
      <c r="IPK189" s="39"/>
      <c r="IPL189" s="39"/>
      <c r="IPM189" s="39"/>
      <c r="IPN189" s="39"/>
      <c r="IPO189" s="39"/>
      <c r="IPP189" s="39"/>
      <c r="IPQ189" s="39"/>
      <c r="IPR189" s="39"/>
      <c r="IPS189" s="39"/>
      <c r="IPT189" s="39"/>
      <c r="IPU189" s="39"/>
      <c r="IPV189" s="39"/>
      <c r="IPW189" s="39"/>
      <c r="IPX189" s="39"/>
      <c r="IPY189" s="39"/>
      <c r="IPZ189" s="39"/>
      <c r="IQA189" s="39"/>
      <c r="IQB189" s="39"/>
      <c r="IQC189" s="39"/>
      <c r="IQD189" s="39"/>
      <c r="IQE189" s="39"/>
      <c r="IQF189" s="39"/>
      <c r="IQG189" s="39"/>
      <c r="IQH189" s="39"/>
      <c r="IQI189" s="39"/>
      <c r="IQJ189" s="39"/>
      <c r="IQK189" s="39"/>
      <c r="IQL189" s="39"/>
      <c r="IQM189" s="39"/>
      <c r="IQN189" s="39"/>
      <c r="IQO189" s="39"/>
      <c r="IQP189" s="39"/>
      <c r="IQQ189" s="39"/>
      <c r="IQR189" s="39"/>
      <c r="IQS189" s="39"/>
      <c r="IQT189" s="39"/>
      <c r="IQU189" s="39"/>
      <c r="IQV189" s="39"/>
      <c r="IQW189" s="39"/>
      <c r="IQX189" s="39"/>
      <c r="IQY189" s="39"/>
      <c r="IQZ189" s="39"/>
      <c r="IRA189" s="39"/>
      <c r="IRB189" s="39"/>
      <c r="IRC189" s="39"/>
      <c r="IRD189" s="39"/>
      <c r="IRE189" s="39"/>
      <c r="IRF189" s="39"/>
      <c r="IRG189" s="39"/>
      <c r="IRH189" s="39"/>
      <c r="IRI189" s="39"/>
      <c r="IRJ189" s="39"/>
      <c r="IRK189" s="39"/>
      <c r="IRL189" s="39"/>
      <c r="IRM189" s="39"/>
      <c r="IRN189" s="39"/>
      <c r="IRO189" s="39"/>
      <c r="IRP189" s="39"/>
      <c r="IRQ189" s="39"/>
      <c r="IRR189" s="39"/>
      <c r="IRS189" s="39"/>
      <c r="IRT189" s="39"/>
      <c r="IRU189" s="39"/>
      <c r="IRV189" s="39"/>
      <c r="IRW189" s="39"/>
      <c r="IRX189" s="39"/>
      <c r="IRY189" s="39"/>
      <c r="IRZ189" s="39"/>
      <c r="ISA189" s="39"/>
      <c r="ISB189" s="39"/>
      <c r="ISC189" s="39"/>
      <c r="ISD189" s="39"/>
      <c r="ISE189" s="39"/>
      <c r="ISF189" s="39"/>
      <c r="ISG189" s="39"/>
      <c r="ISH189" s="39"/>
      <c r="ISI189" s="39"/>
      <c r="ISJ189" s="39"/>
      <c r="ISK189" s="39"/>
      <c r="ISL189" s="39"/>
      <c r="ISM189" s="39"/>
      <c r="ISN189" s="39"/>
      <c r="ISO189" s="39"/>
      <c r="ISP189" s="39"/>
      <c r="ISQ189" s="39"/>
      <c r="ISR189" s="39"/>
      <c r="ISS189" s="39"/>
      <c r="IST189" s="39"/>
      <c r="ISU189" s="39"/>
      <c r="ISV189" s="39"/>
      <c r="ISW189" s="39"/>
      <c r="ISX189" s="39"/>
      <c r="ISY189" s="39"/>
      <c r="ISZ189" s="39"/>
      <c r="ITA189" s="39"/>
      <c r="ITB189" s="39"/>
      <c r="ITC189" s="39"/>
      <c r="ITD189" s="39"/>
      <c r="ITE189" s="39"/>
      <c r="ITF189" s="39"/>
      <c r="ITG189" s="39"/>
      <c r="ITH189" s="39"/>
      <c r="ITI189" s="39"/>
      <c r="ITJ189" s="39"/>
      <c r="ITK189" s="39"/>
      <c r="ITL189" s="39"/>
      <c r="ITM189" s="39"/>
      <c r="ITN189" s="39"/>
      <c r="ITO189" s="39"/>
      <c r="ITP189" s="39"/>
      <c r="ITQ189" s="39"/>
      <c r="ITR189" s="39"/>
      <c r="ITS189" s="39"/>
      <c r="ITT189" s="39"/>
      <c r="ITU189" s="39"/>
      <c r="ITV189" s="39"/>
      <c r="ITW189" s="39"/>
      <c r="ITX189" s="39"/>
      <c r="ITY189" s="39"/>
      <c r="ITZ189" s="39"/>
      <c r="IUA189" s="39"/>
      <c r="IUB189" s="39"/>
      <c r="IUC189" s="39"/>
      <c r="IUD189" s="39"/>
      <c r="IUE189" s="39"/>
      <c r="IUF189" s="39"/>
      <c r="IUG189" s="39"/>
      <c r="IUH189" s="39"/>
      <c r="IUI189" s="39"/>
      <c r="IUJ189" s="39"/>
      <c r="IUK189" s="39"/>
      <c r="IUL189" s="39"/>
      <c r="IUM189" s="39"/>
      <c r="IUN189" s="39"/>
      <c r="IUO189" s="39"/>
      <c r="IUP189" s="39"/>
      <c r="IUQ189" s="39"/>
      <c r="IUR189" s="39"/>
      <c r="IUS189" s="39"/>
      <c r="IUT189" s="39"/>
      <c r="IUU189" s="39"/>
      <c r="IUV189" s="39"/>
      <c r="IUW189" s="39"/>
      <c r="IUX189" s="39"/>
      <c r="IUY189" s="39"/>
      <c r="IUZ189" s="39"/>
      <c r="IVA189" s="39"/>
      <c r="IVB189" s="39"/>
      <c r="IVC189" s="39"/>
      <c r="IVD189" s="39"/>
      <c r="IVE189" s="39"/>
      <c r="IVF189" s="39"/>
      <c r="IVG189" s="39"/>
      <c r="IVH189" s="39"/>
      <c r="IVI189" s="39"/>
      <c r="IVJ189" s="39"/>
      <c r="IVK189" s="39"/>
      <c r="IVL189" s="39"/>
      <c r="IVM189" s="39"/>
      <c r="IVN189" s="39"/>
      <c r="IVO189" s="39"/>
      <c r="IVP189" s="39"/>
      <c r="IVQ189" s="39"/>
      <c r="IVR189" s="39"/>
      <c r="IVS189" s="39"/>
      <c r="IVT189" s="39"/>
      <c r="IVU189" s="39"/>
      <c r="IVV189" s="39"/>
      <c r="IVW189" s="39"/>
      <c r="IVX189" s="39"/>
      <c r="IVY189" s="39"/>
      <c r="IVZ189" s="39"/>
      <c r="IWA189" s="39"/>
      <c r="IWB189" s="39"/>
      <c r="IWC189" s="39"/>
      <c r="IWD189" s="39"/>
      <c r="IWE189" s="39"/>
      <c r="IWF189" s="39"/>
      <c r="IWG189" s="39"/>
      <c r="IWH189" s="39"/>
      <c r="IWI189" s="39"/>
      <c r="IWJ189" s="39"/>
      <c r="IWK189" s="39"/>
      <c r="IWL189" s="39"/>
      <c r="IWM189" s="39"/>
      <c r="IWN189" s="39"/>
      <c r="IWO189" s="39"/>
      <c r="IWP189" s="39"/>
      <c r="IWQ189" s="39"/>
      <c r="IWR189" s="39"/>
      <c r="IWS189" s="39"/>
      <c r="IWT189" s="39"/>
      <c r="IWU189" s="39"/>
      <c r="IWV189" s="39"/>
      <c r="IWW189" s="39"/>
      <c r="IWX189" s="39"/>
      <c r="IWY189" s="39"/>
      <c r="IWZ189" s="39"/>
      <c r="IXA189" s="39"/>
      <c r="IXB189" s="39"/>
      <c r="IXC189" s="39"/>
      <c r="IXD189" s="39"/>
      <c r="IXE189" s="39"/>
      <c r="IXF189" s="39"/>
      <c r="IXG189" s="39"/>
      <c r="IXH189" s="39"/>
      <c r="IXI189" s="39"/>
      <c r="IXJ189" s="39"/>
      <c r="IXK189" s="39"/>
      <c r="IXL189" s="39"/>
      <c r="IXM189" s="39"/>
      <c r="IXN189" s="39"/>
      <c r="IXO189" s="39"/>
      <c r="IXP189" s="39"/>
      <c r="IXQ189" s="39"/>
      <c r="IXR189" s="39"/>
      <c r="IXS189" s="39"/>
      <c r="IXT189" s="39"/>
      <c r="IXU189" s="39"/>
      <c r="IXV189" s="39"/>
      <c r="IXW189" s="39"/>
      <c r="IXX189" s="39"/>
      <c r="IXY189" s="39"/>
      <c r="IXZ189" s="39"/>
      <c r="IYA189" s="39"/>
      <c r="IYB189" s="39"/>
      <c r="IYC189" s="39"/>
      <c r="IYD189" s="39"/>
      <c r="IYE189" s="39"/>
      <c r="IYF189" s="39"/>
      <c r="IYG189" s="39"/>
      <c r="IYH189" s="39"/>
      <c r="IYI189" s="39"/>
      <c r="IYJ189" s="39"/>
      <c r="IYK189" s="39"/>
      <c r="IYL189" s="39"/>
      <c r="IYM189" s="39"/>
      <c r="IYN189" s="39"/>
      <c r="IYO189" s="39"/>
      <c r="IYP189" s="39"/>
      <c r="IYQ189" s="39"/>
      <c r="IYR189" s="39"/>
      <c r="IYS189" s="39"/>
      <c r="IYT189" s="39"/>
      <c r="IYU189" s="39"/>
      <c r="IYV189" s="39"/>
      <c r="IYW189" s="39"/>
      <c r="IYX189" s="39"/>
      <c r="IYY189" s="39"/>
      <c r="IYZ189" s="39"/>
      <c r="IZA189" s="39"/>
      <c r="IZB189" s="39"/>
      <c r="IZC189" s="39"/>
      <c r="IZD189" s="39"/>
      <c r="IZE189" s="39"/>
      <c r="IZF189" s="39"/>
      <c r="IZG189" s="39"/>
      <c r="IZH189" s="39"/>
      <c r="IZI189" s="39"/>
      <c r="IZJ189" s="39"/>
      <c r="IZK189" s="39"/>
      <c r="IZL189" s="39"/>
      <c r="IZM189" s="39"/>
      <c r="IZN189" s="39"/>
      <c r="IZO189" s="39"/>
      <c r="IZP189" s="39"/>
      <c r="IZQ189" s="39"/>
      <c r="IZR189" s="39"/>
      <c r="IZS189" s="39"/>
      <c r="IZT189" s="39"/>
      <c r="IZU189" s="39"/>
      <c r="IZV189" s="39"/>
      <c r="IZW189" s="39"/>
      <c r="IZX189" s="39"/>
      <c r="IZY189" s="39"/>
      <c r="IZZ189" s="39"/>
      <c r="JAA189" s="39"/>
      <c r="JAB189" s="39"/>
      <c r="JAC189" s="39"/>
      <c r="JAD189" s="39"/>
      <c r="JAE189" s="39"/>
      <c r="JAF189" s="39"/>
      <c r="JAG189" s="39"/>
      <c r="JAH189" s="39"/>
      <c r="JAI189" s="39"/>
      <c r="JAJ189" s="39"/>
      <c r="JAK189" s="39"/>
      <c r="JAL189" s="39"/>
      <c r="JAM189" s="39"/>
      <c r="JAN189" s="39"/>
      <c r="JAO189" s="39"/>
      <c r="JAP189" s="39"/>
      <c r="JAQ189" s="39"/>
      <c r="JAR189" s="39"/>
      <c r="JAS189" s="39"/>
      <c r="JAT189" s="39"/>
      <c r="JAU189" s="39"/>
      <c r="JAV189" s="39"/>
      <c r="JAW189" s="39"/>
      <c r="JAX189" s="39"/>
      <c r="JAY189" s="39"/>
      <c r="JAZ189" s="39"/>
      <c r="JBA189" s="39"/>
      <c r="JBB189" s="39"/>
      <c r="JBC189" s="39"/>
      <c r="JBD189" s="39"/>
      <c r="JBE189" s="39"/>
      <c r="JBF189" s="39"/>
      <c r="JBG189" s="39"/>
      <c r="JBH189" s="39"/>
      <c r="JBI189" s="39"/>
      <c r="JBJ189" s="39"/>
      <c r="JBK189" s="39"/>
      <c r="JBL189" s="39"/>
      <c r="JBM189" s="39"/>
      <c r="JBN189" s="39"/>
      <c r="JBO189" s="39"/>
      <c r="JBP189" s="39"/>
      <c r="JBQ189" s="39"/>
      <c r="JBR189" s="39"/>
      <c r="JBS189" s="39"/>
      <c r="JBT189" s="39"/>
      <c r="JBU189" s="39"/>
      <c r="JBV189" s="39"/>
      <c r="JBW189" s="39"/>
      <c r="JBX189" s="39"/>
      <c r="JBY189" s="39"/>
      <c r="JBZ189" s="39"/>
      <c r="JCA189" s="39"/>
      <c r="JCB189" s="39"/>
      <c r="JCC189" s="39"/>
      <c r="JCD189" s="39"/>
      <c r="JCE189" s="39"/>
      <c r="JCF189" s="39"/>
      <c r="JCG189" s="39"/>
      <c r="JCH189" s="39"/>
      <c r="JCI189" s="39"/>
      <c r="JCJ189" s="39"/>
      <c r="JCK189" s="39"/>
      <c r="JCL189" s="39"/>
      <c r="JCM189" s="39"/>
      <c r="JCN189" s="39"/>
      <c r="JCO189" s="39"/>
      <c r="JCP189" s="39"/>
      <c r="JCQ189" s="39"/>
      <c r="JCR189" s="39"/>
      <c r="JCS189" s="39"/>
      <c r="JCT189" s="39"/>
      <c r="JCU189" s="39"/>
      <c r="JCV189" s="39"/>
      <c r="JCW189" s="39"/>
      <c r="JCX189" s="39"/>
      <c r="JCY189" s="39"/>
      <c r="JCZ189" s="39"/>
      <c r="JDA189" s="39"/>
      <c r="JDB189" s="39"/>
      <c r="JDC189" s="39"/>
      <c r="JDD189" s="39"/>
      <c r="JDE189" s="39"/>
      <c r="JDF189" s="39"/>
      <c r="JDG189" s="39"/>
      <c r="JDH189" s="39"/>
      <c r="JDI189" s="39"/>
      <c r="JDJ189" s="39"/>
      <c r="JDK189" s="39"/>
      <c r="JDL189" s="39"/>
      <c r="JDM189" s="39"/>
      <c r="JDN189" s="39"/>
      <c r="JDO189" s="39"/>
      <c r="JDP189" s="39"/>
      <c r="JDQ189" s="39"/>
      <c r="JDR189" s="39"/>
      <c r="JDS189" s="39"/>
      <c r="JDT189" s="39"/>
      <c r="JDU189" s="39"/>
      <c r="JDV189" s="39"/>
      <c r="JDW189" s="39"/>
      <c r="JDX189" s="39"/>
      <c r="JDY189" s="39"/>
      <c r="JDZ189" s="39"/>
      <c r="JEA189" s="39"/>
      <c r="JEB189" s="39"/>
      <c r="JEC189" s="39"/>
      <c r="JED189" s="39"/>
      <c r="JEE189" s="39"/>
      <c r="JEF189" s="39"/>
      <c r="JEG189" s="39"/>
      <c r="JEH189" s="39"/>
      <c r="JEI189" s="39"/>
      <c r="JEJ189" s="39"/>
      <c r="JEK189" s="39"/>
      <c r="JEL189" s="39"/>
      <c r="JEM189" s="39"/>
      <c r="JEN189" s="39"/>
      <c r="JEO189" s="39"/>
      <c r="JEP189" s="39"/>
      <c r="JEQ189" s="39"/>
      <c r="JER189" s="39"/>
      <c r="JES189" s="39"/>
      <c r="JET189" s="39"/>
      <c r="JEU189" s="39"/>
      <c r="JEV189" s="39"/>
      <c r="JEW189" s="39"/>
      <c r="JEX189" s="39"/>
      <c r="JEY189" s="39"/>
      <c r="JEZ189" s="39"/>
      <c r="JFA189" s="39"/>
      <c r="JFB189" s="39"/>
      <c r="JFC189" s="39"/>
      <c r="JFD189" s="39"/>
      <c r="JFE189" s="39"/>
      <c r="JFF189" s="39"/>
      <c r="JFG189" s="39"/>
      <c r="JFH189" s="39"/>
      <c r="JFI189" s="39"/>
      <c r="JFJ189" s="39"/>
      <c r="JFK189" s="39"/>
      <c r="JFL189" s="39"/>
      <c r="JFM189" s="39"/>
      <c r="JFN189" s="39"/>
      <c r="JFO189" s="39"/>
      <c r="JFP189" s="39"/>
      <c r="JFQ189" s="39"/>
      <c r="JFR189" s="39"/>
      <c r="JFS189" s="39"/>
      <c r="JFT189" s="39"/>
      <c r="JFU189" s="39"/>
      <c r="JFV189" s="39"/>
      <c r="JFW189" s="39"/>
      <c r="JFX189" s="39"/>
      <c r="JFY189" s="39"/>
      <c r="JFZ189" s="39"/>
      <c r="JGA189" s="39"/>
      <c r="JGB189" s="39"/>
      <c r="JGC189" s="39"/>
      <c r="JGD189" s="39"/>
      <c r="JGE189" s="39"/>
      <c r="JGF189" s="39"/>
      <c r="JGG189" s="39"/>
      <c r="JGH189" s="39"/>
      <c r="JGI189" s="39"/>
      <c r="JGJ189" s="39"/>
      <c r="JGK189" s="39"/>
      <c r="JGL189" s="39"/>
      <c r="JGM189" s="39"/>
      <c r="JGN189" s="39"/>
      <c r="JGO189" s="39"/>
      <c r="JGP189" s="39"/>
      <c r="JGQ189" s="39"/>
      <c r="JGR189" s="39"/>
      <c r="JGS189" s="39"/>
      <c r="JGT189" s="39"/>
      <c r="JGU189" s="39"/>
      <c r="JGV189" s="39"/>
      <c r="JGW189" s="39"/>
      <c r="JGX189" s="39"/>
      <c r="JGY189" s="39"/>
      <c r="JGZ189" s="39"/>
      <c r="JHA189" s="39"/>
      <c r="JHB189" s="39"/>
      <c r="JHC189" s="39"/>
      <c r="JHD189" s="39"/>
      <c r="JHE189" s="39"/>
      <c r="JHF189" s="39"/>
      <c r="JHG189" s="39"/>
      <c r="JHH189" s="39"/>
      <c r="JHI189" s="39"/>
      <c r="JHJ189" s="39"/>
      <c r="JHK189" s="39"/>
      <c r="JHL189" s="39"/>
      <c r="JHM189" s="39"/>
      <c r="JHN189" s="39"/>
      <c r="JHO189" s="39"/>
      <c r="JHP189" s="39"/>
      <c r="JHQ189" s="39"/>
      <c r="JHR189" s="39"/>
      <c r="JHS189" s="39"/>
      <c r="JHT189" s="39"/>
      <c r="JHU189" s="39"/>
      <c r="JHV189" s="39"/>
      <c r="JHW189" s="39"/>
      <c r="JHX189" s="39"/>
      <c r="JHY189" s="39"/>
      <c r="JHZ189" s="39"/>
      <c r="JIA189" s="39"/>
      <c r="JIB189" s="39"/>
      <c r="JIC189" s="39"/>
      <c r="JID189" s="39"/>
      <c r="JIE189" s="39"/>
      <c r="JIF189" s="39"/>
      <c r="JIG189" s="39"/>
      <c r="JIH189" s="39"/>
      <c r="JII189" s="39"/>
      <c r="JIJ189" s="39"/>
      <c r="JIK189" s="39"/>
      <c r="JIL189" s="39"/>
      <c r="JIM189" s="39"/>
      <c r="JIN189" s="39"/>
      <c r="JIO189" s="39"/>
      <c r="JIP189" s="39"/>
      <c r="JIQ189" s="39"/>
      <c r="JIR189" s="39"/>
      <c r="JIS189" s="39"/>
      <c r="JIT189" s="39"/>
      <c r="JIU189" s="39"/>
      <c r="JIV189" s="39"/>
      <c r="JIW189" s="39"/>
      <c r="JIX189" s="39"/>
      <c r="JIY189" s="39"/>
      <c r="JIZ189" s="39"/>
      <c r="JJA189" s="39"/>
      <c r="JJB189" s="39"/>
      <c r="JJC189" s="39"/>
      <c r="JJD189" s="39"/>
      <c r="JJE189" s="39"/>
      <c r="JJF189" s="39"/>
      <c r="JJG189" s="39"/>
      <c r="JJH189" s="39"/>
      <c r="JJI189" s="39"/>
      <c r="JJJ189" s="39"/>
      <c r="JJK189" s="39"/>
      <c r="JJL189" s="39"/>
      <c r="JJM189" s="39"/>
      <c r="JJN189" s="39"/>
      <c r="JJO189" s="39"/>
      <c r="JJP189" s="39"/>
      <c r="JJQ189" s="39"/>
      <c r="JJR189" s="39"/>
      <c r="JJS189" s="39"/>
      <c r="JJT189" s="39"/>
      <c r="JJU189" s="39"/>
      <c r="JJV189" s="39"/>
      <c r="JJW189" s="39"/>
      <c r="JJX189" s="39"/>
      <c r="JJY189" s="39"/>
      <c r="JJZ189" s="39"/>
      <c r="JKA189" s="39"/>
      <c r="JKB189" s="39"/>
      <c r="JKC189" s="39"/>
      <c r="JKD189" s="39"/>
      <c r="JKE189" s="39"/>
      <c r="JKF189" s="39"/>
      <c r="JKG189" s="39"/>
      <c r="JKH189" s="39"/>
      <c r="JKI189" s="39"/>
      <c r="JKJ189" s="39"/>
      <c r="JKK189" s="39"/>
      <c r="JKL189" s="39"/>
      <c r="JKM189" s="39"/>
      <c r="JKN189" s="39"/>
      <c r="JKO189" s="39"/>
      <c r="JKP189" s="39"/>
      <c r="JKQ189" s="39"/>
      <c r="JKR189" s="39"/>
      <c r="JKS189" s="39"/>
      <c r="JKT189" s="39"/>
      <c r="JKU189" s="39"/>
      <c r="JKV189" s="39"/>
      <c r="JKW189" s="39"/>
      <c r="JKX189" s="39"/>
      <c r="JKY189" s="39"/>
      <c r="JKZ189" s="39"/>
      <c r="JLA189" s="39"/>
      <c r="JLB189" s="39"/>
      <c r="JLC189" s="39"/>
      <c r="JLD189" s="39"/>
      <c r="JLE189" s="39"/>
      <c r="JLF189" s="39"/>
      <c r="JLG189" s="39"/>
      <c r="JLH189" s="39"/>
      <c r="JLI189" s="39"/>
      <c r="JLJ189" s="39"/>
      <c r="JLK189" s="39"/>
      <c r="JLL189" s="39"/>
      <c r="JLM189" s="39"/>
      <c r="JLN189" s="39"/>
      <c r="JLO189" s="39"/>
      <c r="JLP189" s="39"/>
      <c r="JLQ189" s="39"/>
      <c r="JLR189" s="39"/>
      <c r="JLS189" s="39"/>
      <c r="JLT189" s="39"/>
      <c r="JLU189" s="39"/>
      <c r="JLV189" s="39"/>
      <c r="JLW189" s="39"/>
      <c r="JLX189" s="39"/>
      <c r="JLY189" s="39"/>
      <c r="JLZ189" s="39"/>
      <c r="JMA189" s="39"/>
      <c r="JMB189" s="39"/>
      <c r="JMC189" s="39"/>
      <c r="JMD189" s="39"/>
      <c r="JME189" s="39"/>
      <c r="JMF189" s="39"/>
      <c r="JMG189" s="39"/>
      <c r="JMH189" s="39"/>
      <c r="JMI189" s="39"/>
      <c r="JMJ189" s="39"/>
      <c r="JMK189" s="39"/>
      <c r="JML189" s="39"/>
      <c r="JMM189" s="39"/>
      <c r="JMN189" s="39"/>
      <c r="JMO189" s="39"/>
      <c r="JMP189" s="39"/>
      <c r="JMQ189" s="39"/>
      <c r="JMR189" s="39"/>
      <c r="JMS189" s="39"/>
      <c r="JMT189" s="39"/>
      <c r="JMU189" s="39"/>
      <c r="JMV189" s="39"/>
      <c r="JMW189" s="39"/>
      <c r="JMX189" s="39"/>
      <c r="JMY189" s="39"/>
      <c r="JMZ189" s="39"/>
      <c r="JNA189" s="39"/>
      <c r="JNB189" s="39"/>
      <c r="JNC189" s="39"/>
      <c r="JND189" s="39"/>
      <c r="JNE189" s="39"/>
      <c r="JNF189" s="39"/>
      <c r="JNG189" s="39"/>
      <c r="JNH189" s="39"/>
      <c r="JNI189" s="39"/>
      <c r="JNJ189" s="39"/>
      <c r="JNK189" s="39"/>
      <c r="JNL189" s="39"/>
      <c r="JNM189" s="39"/>
      <c r="JNN189" s="39"/>
      <c r="JNO189" s="39"/>
      <c r="JNP189" s="39"/>
      <c r="JNQ189" s="39"/>
      <c r="JNR189" s="39"/>
      <c r="JNS189" s="39"/>
      <c r="JNT189" s="39"/>
      <c r="JNU189" s="39"/>
      <c r="JNV189" s="39"/>
      <c r="JNW189" s="39"/>
      <c r="JNX189" s="39"/>
      <c r="JNY189" s="39"/>
      <c r="JNZ189" s="39"/>
      <c r="JOA189" s="39"/>
      <c r="JOB189" s="39"/>
      <c r="JOC189" s="39"/>
      <c r="JOD189" s="39"/>
      <c r="JOE189" s="39"/>
      <c r="JOF189" s="39"/>
      <c r="JOG189" s="39"/>
      <c r="JOH189" s="39"/>
      <c r="JOI189" s="39"/>
      <c r="JOJ189" s="39"/>
      <c r="JOK189" s="39"/>
      <c r="JOL189" s="39"/>
      <c r="JOM189" s="39"/>
      <c r="JON189" s="39"/>
      <c r="JOO189" s="39"/>
      <c r="JOP189" s="39"/>
      <c r="JOQ189" s="39"/>
      <c r="JOR189" s="39"/>
      <c r="JOS189" s="39"/>
      <c r="JOT189" s="39"/>
      <c r="JOU189" s="39"/>
      <c r="JOV189" s="39"/>
      <c r="JOW189" s="39"/>
      <c r="JOX189" s="39"/>
      <c r="JOY189" s="39"/>
      <c r="JOZ189" s="39"/>
      <c r="JPA189" s="39"/>
      <c r="JPB189" s="39"/>
      <c r="JPC189" s="39"/>
      <c r="JPD189" s="39"/>
      <c r="JPE189" s="39"/>
      <c r="JPF189" s="39"/>
      <c r="JPG189" s="39"/>
      <c r="JPH189" s="39"/>
      <c r="JPI189" s="39"/>
      <c r="JPJ189" s="39"/>
      <c r="JPK189" s="39"/>
      <c r="JPL189" s="39"/>
      <c r="JPM189" s="39"/>
      <c r="JPN189" s="39"/>
      <c r="JPO189" s="39"/>
      <c r="JPP189" s="39"/>
      <c r="JPQ189" s="39"/>
      <c r="JPR189" s="39"/>
      <c r="JPS189" s="39"/>
      <c r="JPT189" s="39"/>
      <c r="JPU189" s="39"/>
      <c r="JPV189" s="39"/>
      <c r="JPW189" s="39"/>
      <c r="JPX189" s="39"/>
      <c r="JPY189" s="39"/>
      <c r="JPZ189" s="39"/>
      <c r="JQA189" s="39"/>
      <c r="JQB189" s="39"/>
      <c r="JQC189" s="39"/>
      <c r="JQD189" s="39"/>
      <c r="JQE189" s="39"/>
      <c r="JQF189" s="39"/>
      <c r="JQG189" s="39"/>
      <c r="JQH189" s="39"/>
      <c r="JQI189" s="39"/>
      <c r="JQJ189" s="39"/>
      <c r="JQK189" s="39"/>
      <c r="JQL189" s="39"/>
      <c r="JQM189" s="39"/>
      <c r="JQN189" s="39"/>
      <c r="JQO189" s="39"/>
      <c r="JQP189" s="39"/>
      <c r="JQQ189" s="39"/>
      <c r="JQR189" s="39"/>
      <c r="JQS189" s="39"/>
      <c r="JQT189" s="39"/>
      <c r="JQU189" s="39"/>
      <c r="JQV189" s="39"/>
      <c r="JQW189" s="39"/>
      <c r="JQX189" s="39"/>
      <c r="JQY189" s="39"/>
      <c r="JQZ189" s="39"/>
      <c r="JRA189" s="39"/>
      <c r="JRB189" s="39"/>
      <c r="JRC189" s="39"/>
      <c r="JRD189" s="39"/>
      <c r="JRE189" s="39"/>
      <c r="JRF189" s="39"/>
      <c r="JRG189" s="39"/>
      <c r="JRH189" s="39"/>
      <c r="JRI189" s="39"/>
      <c r="JRJ189" s="39"/>
      <c r="JRK189" s="39"/>
      <c r="JRL189" s="39"/>
      <c r="JRM189" s="39"/>
      <c r="JRN189" s="39"/>
      <c r="JRO189" s="39"/>
      <c r="JRP189" s="39"/>
      <c r="JRQ189" s="39"/>
      <c r="JRR189" s="39"/>
      <c r="JRS189" s="39"/>
      <c r="JRT189" s="39"/>
      <c r="JRU189" s="39"/>
      <c r="JRV189" s="39"/>
      <c r="JRW189" s="39"/>
      <c r="JRX189" s="39"/>
      <c r="JRY189" s="39"/>
      <c r="JRZ189" s="39"/>
      <c r="JSA189" s="39"/>
      <c r="JSB189" s="39"/>
      <c r="JSC189" s="39"/>
      <c r="JSD189" s="39"/>
      <c r="JSE189" s="39"/>
      <c r="JSF189" s="39"/>
      <c r="JSG189" s="39"/>
      <c r="JSH189" s="39"/>
      <c r="JSI189" s="39"/>
      <c r="JSJ189" s="39"/>
      <c r="JSK189" s="39"/>
      <c r="JSL189" s="39"/>
      <c r="JSM189" s="39"/>
      <c r="JSN189" s="39"/>
      <c r="JSO189" s="39"/>
      <c r="JSP189" s="39"/>
      <c r="JSQ189" s="39"/>
      <c r="JSR189" s="39"/>
      <c r="JSS189" s="39"/>
      <c r="JST189" s="39"/>
      <c r="JSU189" s="39"/>
      <c r="JSV189" s="39"/>
      <c r="JSW189" s="39"/>
      <c r="JSX189" s="39"/>
      <c r="JSY189" s="39"/>
      <c r="JSZ189" s="39"/>
      <c r="JTA189" s="39"/>
      <c r="JTB189" s="39"/>
      <c r="JTC189" s="39"/>
      <c r="JTD189" s="39"/>
      <c r="JTE189" s="39"/>
      <c r="JTF189" s="39"/>
      <c r="JTG189" s="39"/>
      <c r="JTH189" s="39"/>
      <c r="JTI189" s="39"/>
      <c r="JTJ189" s="39"/>
      <c r="JTK189" s="39"/>
      <c r="JTL189" s="39"/>
      <c r="JTM189" s="39"/>
      <c r="JTN189" s="39"/>
      <c r="JTO189" s="39"/>
      <c r="JTP189" s="39"/>
      <c r="JTQ189" s="39"/>
      <c r="JTR189" s="39"/>
      <c r="JTS189" s="39"/>
      <c r="JTT189" s="39"/>
      <c r="JTU189" s="39"/>
      <c r="JTV189" s="39"/>
      <c r="JTW189" s="39"/>
      <c r="JTX189" s="39"/>
      <c r="JTY189" s="39"/>
      <c r="JTZ189" s="39"/>
      <c r="JUA189" s="39"/>
      <c r="JUB189" s="39"/>
      <c r="JUC189" s="39"/>
      <c r="JUD189" s="39"/>
      <c r="JUE189" s="39"/>
      <c r="JUF189" s="39"/>
      <c r="JUG189" s="39"/>
      <c r="JUH189" s="39"/>
      <c r="JUI189" s="39"/>
      <c r="JUJ189" s="39"/>
      <c r="JUK189" s="39"/>
      <c r="JUL189" s="39"/>
      <c r="JUM189" s="39"/>
      <c r="JUN189" s="39"/>
      <c r="JUO189" s="39"/>
      <c r="JUP189" s="39"/>
      <c r="JUQ189" s="39"/>
      <c r="JUR189" s="39"/>
      <c r="JUS189" s="39"/>
      <c r="JUT189" s="39"/>
      <c r="JUU189" s="39"/>
      <c r="JUV189" s="39"/>
      <c r="JUW189" s="39"/>
      <c r="JUX189" s="39"/>
      <c r="JUY189" s="39"/>
      <c r="JUZ189" s="39"/>
      <c r="JVA189" s="39"/>
      <c r="JVB189" s="39"/>
      <c r="JVC189" s="39"/>
      <c r="JVD189" s="39"/>
      <c r="JVE189" s="39"/>
      <c r="JVF189" s="39"/>
      <c r="JVG189" s="39"/>
      <c r="JVH189" s="39"/>
      <c r="JVI189" s="39"/>
      <c r="JVJ189" s="39"/>
      <c r="JVK189" s="39"/>
      <c r="JVL189" s="39"/>
      <c r="JVM189" s="39"/>
      <c r="JVN189" s="39"/>
      <c r="JVO189" s="39"/>
      <c r="JVP189" s="39"/>
      <c r="JVQ189" s="39"/>
      <c r="JVR189" s="39"/>
      <c r="JVS189" s="39"/>
      <c r="JVT189" s="39"/>
      <c r="JVU189" s="39"/>
      <c r="JVV189" s="39"/>
      <c r="JVW189" s="39"/>
      <c r="JVX189" s="39"/>
      <c r="JVY189" s="39"/>
      <c r="JVZ189" s="39"/>
      <c r="JWA189" s="39"/>
      <c r="JWB189" s="39"/>
      <c r="JWC189" s="39"/>
      <c r="JWD189" s="39"/>
      <c r="JWE189" s="39"/>
      <c r="JWF189" s="39"/>
      <c r="JWG189" s="39"/>
      <c r="JWH189" s="39"/>
      <c r="JWI189" s="39"/>
      <c r="JWJ189" s="39"/>
      <c r="JWK189" s="39"/>
      <c r="JWL189" s="39"/>
      <c r="JWM189" s="39"/>
      <c r="JWN189" s="39"/>
      <c r="JWO189" s="39"/>
      <c r="JWP189" s="39"/>
      <c r="JWQ189" s="39"/>
      <c r="JWR189" s="39"/>
      <c r="JWS189" s="39"/>
      <c r="JWT189" s="39"/>
      <c r="JWU189" s="39"/>
      <c r="JWV189" s="39"/>
      <c r="JWW189" s="39"/>
      <c r="JWX189" s="39"/>
      <c r="JWY189" s="39"/>
      <c r="JWZ189" s="39"/>
      <c r="JXA189" s="39"/>
      <c r="JXB189" s="39"/>
      <c r="JXC189" s="39"/>
      <c r="JXD189" s="39"/>
      <c r="JXE189" s="39"/>
      <c r="JXF189" s="39"/>
      <c r="JXG189" s="39"/>
      <c r="JXH189" s="39"/>
      <c r="JXI189" s="39"/>
      <c r="JXJ189" s="39"/>
      <c r="JXK189" s="39"/>
      <c r="JXL189" s="39"/>
      <c r="JXM189" s="39"/>
      <c r="JXN189" s="39"/>
      <c r="JXO189" s="39"/>
      <c r="JXP189" s="39"/>
      <c r="JXQ189" s="39"/>
      <c r="JXR189" s="39"/>
      <c r="JXS189" s="39"/>
      <c r="JXT189" s="39"/>
      <c r="JXU189" s="39"/>
      <c r="JXV189" s="39"/>
      <c r="JXW189" s="39"/>
      <c r="JXX189" s="39"/>
      <c r="JXY189" s="39"/>
      <c r="JXZ189" s="39"/>
      <c r="JYA189" s="39"/>
      <c r="JYB189" s="39"/>
      <c r="JYC189" s="39"/>
      <c r="JYD189" s="39"/>
      <c r="JYE189" s="39"/>
      <c r="JYF189" s="39"/>
      <c r="JYG189" s="39"/>
      <c r="JYH189" s="39"/>
      <c r="JYI189" s="39"/>
      <c r="JYJ189" s="39"/>
      <c r="JYK189" s="39"/>
      <c r="JYL189" s="39"/>
      <c r="JYM189" s="39"/>
      <c r="JYN189" s="39"/>
      <c r="JYO189" s="39"/>
      <c r="JYP189" s="39"/>
      <c r="JYQ189" s="39"/>
      <c r="JYR189" s="39"/>
      <c r="JYS189" s="39"/>
      <c r="JYT189" s="39"/>
      <c r="JYU189" s="39"/>
      <c r="JYV189" s="39"/>
      <c r="JYW189" s="39"/>
      <c r="JYX189" s="39"/>
      <c r="JYY189" s="39"/>
      <c r="JYZ189" s="39"/>
      <c r="JZA189" s="39"/>
      <c r="JZB189" s="39"/>
      <c r="JZC189" s="39"/>
      <c r="JZD189" s="39"/>
      <c r="JZE189" s="39"/>
      <c r="JZF189" s="39"/>
      <c r="JZG189" s="39"/>
      <c r="JZH189" s="39"/>
      <c r="JZI189" s="39"/>
      <c r="JZJ189" s="39"/>
      <c r="JZK189" s="39"/>
      <c r="JZL189" s="39"/>
      <c r="JZM189" s="39"/>
      <c r="JZN189" s="39"/>
      <c r="JZO189" s="39"/>
      <c r="JZP189" s="39"/>
      <c r="JZQ189" s="39"/>
      <c r="JZR189" s="39"/>
      <c r="JZS189" s="39"/>
      <c r="JZT189" s="39"/>
      <c r="JZU189" s="39"/>
      <c r="JZV189" s="39"/>
      <c r="JZW189" s="39"/>
      <c r="JZX189" s="39"/>
      <c r="JZY189" s="39"/>
      <c r="JZZ189" s="39"/>
      <c r="KAA189" s="39"/>
      <c r="KAB189" s="39"/>
      <c r="KAC189" s="39"/>
      <c r="KAD189" s="39"/>
      <c r="KAE189" s="39"/>
      <c r="KAF189" s="39"/>
      <c r="KAG189" s="39"/>
      <c r="KAH189" s="39"/>
      <c r="KAI189" s="39"/>
      <c r="KAJ189" s="39"/>
      <c r="KAK189" s="39"/>
      <c r="KAL189" s="39"/>
      <c r="KAM189" s="39"/>
      <c r="KAN189" s="39"/>
      <c r="KAO189" s="39"/>
      <c r="KAP189" s="39"/>
      <c r="KAQ189" s="39"/>
      <c r="KAR189" s="39"/>
      <c r="KAS189" s="39"/>
      <c r="KAT189" s="39"/>
      <c r="KAU189" s="39"/>
      <c r="KAV189" s="39"/>
      <c r="KAW189" s="39"/>
      <c r="KAX189" s="39"/>
      <c r="KAY189" s="39"/>
      <c r="KAZ189" s="39"/>
      <c r="KBA189" s="39"/>
      <c r="KBB189" s="39"/>
      <c r="KBC189" s="39"/>
      <c r="KBD189" s="39"/>
      <c r="KBE189" s="39"/>
      <c r="KBF189" s="39"/>
      <c r="KBG189" s="39"/>
      <c r="KBH189" s="39"/>
      <c r="KBI189" s="39"/>
      <c r="KBJ189" s="39"/>
      <c r="KBK189" s="39"/>
      <c r="KBL189" s="39"/>
      <c r="KBM189" s="39"/>
      <c r="KBN189" s="39"/>
      <c r="KBO189" s="39"/>
      <c r="KBP189" s="39"/>
      <c r="KBQ189" s="39"/>
      <c r="KBR189" s="39"/>
      <c r="KBS189" s="39"/>
      <c r="KBT189" s="39"/>
      <c r="KBU189" s="39"/>
      <c r="KBV189" s="39"/>
      <c r="KBW189" s="39"/>
      <c r="KBX189" s="39"/>
      <c r="KBY189" s="39"/>
      <c r="KBZ189" s="39"/>
      <c r="KCA189" s="39"/>
      <c r="KCB189" s="39"/>
      <c r="KCC189" s="39"/>
      <c r="KCD189" s="39"/>
      <c r="KCE189" s="39"/>
      <c r="KCF189" s="39"/>
      <c r="KCG189" s="39"/>
      <c r="KCH189" s="39"/>
      <c r="KCI189" s="39"/>
      <c r="KCJ189" s="39"/>
      <c r="KCK189" s="39"/>
      <c r="KCL189" s="39"/>
      <c r="KCM189" s="39"/>
      <c r="KCN189" s="39"/>
      <c r="KCO189" s="39"/>
      <c r="KCP189" s="39"/>
      <c r="KCQ189" s="39"/>
      <c r="KCR189" s="39"/>
      <c r="KCS189" s="39"/>
      <c r="KCT189" s="39"/>
      <c r="KCU189" s="39"/>
      <c r="KCV189" s="39"/>
      <c r="KCW189" s="39"/>
      <c r="KCX189" s="39"/>
      <c r="KCY189" s="39"/>
      <c r="KCZ189" s="39"/>
      <c r="KDA189" s="39"/>
      <c r="KDB189" s="39"/>
      <c r="KDC189" s="39"/>
      <c r="KDD189" s="39"/>
      <c r="KDE189" s="39"/>
      <c r="KDF189" s="39"/>
      <c r="KDG189" s="39"/>
      <c r="KDH189" s="39"/>
      <c r="KDI189" s="39"/>
      <c r="KDJ189" s="39"/>
      <c r="KDK189" s="39"/>
      <c r="KDL189" s="39"/>
      <c r="KDM189" s="39"/>
      <c r="KDN189" s="39"/>
      <c r="KDO189" s="39"/>
      <c r="KDP189" s="39"/>
      <c r="KDQ189" s="39"/>
      <c r="KDR189" s="39"/>
      <c r="KDS189" s="39"/>
      <c r="KDT189" s="39"/>
      <c r="KDU189" s="39"/>
      <c r="KDV189" s="39"/>
      <c r="KDW189" s="39"/>
      <c r="KDX189" s="39"/>
      <c r="KDY189" s="39"/>
      <c r="KDZ189" s="39"/>
      <c r="KEA189" s="39"/>
      <c r="KEB189" s="39"/>
      <c r="KEC189" s="39"/>
      <c r="KED189" s="39"/>
      <c r="KEE189" s="39"/>
      <c r="KEF189" s="39"/>
      <c r="KEG189" s="39"/>
      <c r="KEH189" s="39"/>
      <c r="KEI189" s="39"/>
      <c r="KEJ189" s="39"/>
      <c r="KEK189" s="39"/>
      <c r="KEL189" s="39"/>
      <c r="KEM189" s="39"/>
      <c r="KEN189" s="39"/>
      <c r="KEO189" s="39"/>
      <c r="KEP189" s="39"/>
      <c r="KEQ189" s="39"/>
      <c r="KER189" s="39"/>
      <c r="KES189" s="39"/>
      <c r="KET189" s="39"/>
      <c r="KEU189" s="39"/>
      <c r="KEV189" s="39"/>
      <c r="KEW189" s="39"/>
      <c r="KEX189" s="39"/>
      <c r="KEY189" s="39"/>
      <c r="KEZ189" s="39"/>
      <c r="KFA189" s="39"/>
      <c r="KFB189" s="39"/>
      <c r="KFC189" s="39"/>
      <c r="KFD189" s="39"/>
      <c r="KFE189" s="39"/>
      <c r="KFF189" s="39"/>
      <c r="KFG189" s="39"/>
      <c r="KFH189" s="39"/>
      <c r="KFI189" s="39"/>
      <c r="KFJ189" s="39"/>
      <c r="KFK189" s="39"/>
      <c r="KFL189" s="39"/>
      <c r="KFM189" s="39"/>
      <c r="KFN189" s="39"/>
      <c r="KFO189" s="39"/>
      <c r="KFP189" s="39"/>
      <c r="KFQ189" s="39"/>
      <c r="KFR189" s="39"/>
      <c r="KFS189" s="39"/>
      <c r="KFT189" s="39"/>
      <c r="KFU189" s="39"/>
      <c r="KFV189" s="39"/>
      <c r="KFW189" s="39"/>
      <c r="KFX189" s="39"/>
      <c r="KFY189" s="39"/>
      <c r="KFZ189" s="39"/>
      <c r="KGA189" s="39"/>
      <c r="KGB189" s="39"/>
      <c r="KGC189" s="39"/>
      <c r="KGD189" s="39"/>
      <c r="KGE189" s="39"/>
      <c r="KGF189" s="39"/>
      <c r="KGG189" s="39"/>
      <c r="KGH189" s="39"/>
      <c r="KGI189" s="39"/>
      <c r="KGJ189" s="39"/>
      <c r="KGK189" s="39"/>
      <c r="KGL189" s="39"/>
      <c r="KGM189" s="39"/>
      <c r="KGN189" s="39"/>
      <c r="KGO189" s="39"/>
      <c r="KGP189" s="39"/>
      <c r="KGQ189" s="39"/>
      <c r="KGR189" s="39"/>
      <c r="KGS189" s="39"/>
      <c r="KGT189" s="39"/>
      <c r="KGU189" s="39"/>
      <c r="KGV189" s="39"/>
      <c r="KGW189" s="39"/>
      <c r="KGX189" s="39"/>
      <c r="KGY189" s="39"/>
      <c r="KGZ189" s="39"/>
      <c r="KHA189" s="39"/>
      <c r="KHB189" s="39"/>
      <c r="KHC189" s="39"/>
      <c r="KHD189" s="39"/>
      <c r="KHE189" s="39"/>
      <c r="KHF189" s="39"/>
      <c r="KHG189" s="39"/>
      <c r="KHH189" s="39"/>
      <c r="KHI189" s="39"/>
      <c r="KHJ189" s="39"/>
      <c r="KHK189" s="39"/>
      <c r="KHL189" s="39"/>
      <c r="KHM189" s="39"/>
      <c r="KHN189" s="39"/>
      <c r="KHO189" s="39"/>
      <c r="KHP189" s="39"/>
      <c r="KHQ189" s="39"/>
      <c r="KHR189" s="39"/>
      <c r="KHS189" s="39"/>
      <c r="KHT189" s="39"/>
      <c r="KHU189" s="39"/>
      <c r="KHV189" s="39"/>
      <c r="KHW189" s="39"/>
      <c r="KHX189" s="39"/>
      <c r="KHY189" s="39"/>
      <c r="KHZ189" s="39"/>
      <c r="KIA189" s="39"/>
      <c r="KIB189" s="39"/>
      <c r="KIC189" s="39"/>
      <c r="KID189" s="39"/>
      <c r="KIE189" s="39"/>
      <c r="KIF189" s="39"/>
      <c r="KIG189" s="39"/>
      <c r="KIH189" s="39"/>
      <c r="KII189" s="39"/>
      <c r="KIJ189" s="39"/>
      <c r="KIK189" s="39"/>
      <c r="KIL189" s="39"/>
      <c r="KIM189" s="39"/>
      <c r="KIN189" s="39"/>
      <c r="KIO189" s="39"/>
      <c r="KIP189" s="39"/>
      <c r="KIQ189" s="39"/>
      <c r="KIR189" s="39"/>
      <c r="KIS189" s="39"/>
      <c r="KIT189" s="39"/>
      <c r="KIU189" s="39"/>
      <c r="KIV189" s="39"/>
      <c r="KIW189" s="39"/>
      <c r="KIX189" s="39"/>
      <c r="KIY189" s="39"/>
      <c r="KIZ189" s="39"/>
      <c r="KJA189" s="39"/>
      <c r="KJB189" s="39"/>
      <c r="KJC189" s="39"/>
      <c r="KJD189" s="39"/>
      <c r="KJE189" s="39"/>
      <c r="KJF189" s="39"/>
      <c r="KJG189" s="39"/>
      <c r="KJH189" s="39"/>
      <c r="KJI189" s="39"/>
      <c r="KJJ189" s="39"/>
      <c r="KJK189" s="39"/>
      <c r="KJL189" s="39"/>
      <c r="KJM189" s="39"/>
      <c r="KJN189" s="39"/>
      <c r="KJO189" s="39"/>
      <c r="KJP189" s="39"/>
      <c r="KJQ189" s="39"/>
      <c r="KJR189" s="39"/>
      <c r="KJS189" s="39"/>
      <c r="KJT189" s="39"/>
      <c r="KJU189" s="39"/>
      <c r="KJV189" s="39"/>
      <c r="KJW189" s="39"/>
      <c r="KJX189" s="39"/>
      <c r="KJY189" s="39"/>
      <c r="KJZ189" s="39"/>
      <c r="KKA189" s="39"/>
      <c r="KKB189" s="39"/>
      <c r="KKC189" s="39"/>
      <c r="KKD189" s="39"/>
      <c r="KKE189" s="39"/>
      <c r="KKF189" s="39"/>
      <c r="KKG189" s="39"/>
      <c r="KKH189" s="39"/>
      <c r="KKI189" s="39"/>
      <c r="KKJ189" s="39"/>
      <c r="KKK189" s="39"/>
      <c r="KKL189" s="39"/>
      <c r="KKM189" s="39"/>
      <c r="KKN189" s="39"/>
      <c r="KKO189" s="39"/>
      <c r="KKP189" s="39"/>
      <c r="KKQ189" s="39"/>
      <c r="KKR189" s="39"/>
      <c r="KKS189" s="39"/>
      <c r="KKT189" s="39"/>
      <c r="KKU189" s="39"/>
      <c r="KKV189" s="39"/>
      <c r="KKW189" s="39"/>
      <c r="KKX189" s="39"/>
      <c r="KKY189" s="39"/>
      <c r="KKZ189" s="39"/>
      <c r="KLA189" s="39"/>
      <c r="KLB189" s="39"/>
      <c r="KLC189" s="39"/>
      <c r="KLD189" s="39"/>
      <c r="KLE189" s="39"/>
      <c r="KLF189" s="39"/>
      <c r="KLG189" s="39"/>
      <c r="KLH189" s="39"/>
      <c r="KLI189" s="39"/>
      <c r="KLJ189" s="39"/>
      <c r="KLK189" s="39"/>
      <c r="KLL189" s="39"/>
      <c r="KLM189" s="39"/>
      <c r="KLN189" s="39"/>
      <c r="KLO189" s="39"/>
      <c r="KLP189" s="39"/>
      <c r="KLQ189" s="39"/>
      <c r="KLR189" s="39"/>
      <c r="KLS189" s="39"/>
      <c r="KLT189" s="39"/>
      <c r="KLU189" s="39"/>
      <c r="KLV189" s="39"/>
      <c r="KLW189" s="39"/>
      <c r="KLX189" s="39"/>
      <c r="KLY189" s="39"/>
      <c r="KLZ189" s="39"/>
      <c r="KMA189" s="39"/>
      <c r="KMB189" s="39"/>
      <c r="KMC189" s="39"/>
      <c r="KMD189" s="39"/>
      <c r="KME189" s="39"/>
      <c r="KMF189" s="39"/>
      <c r="KMG189" s="39"/>
      <c r="KMH189" s="39"/>
      <c r="KMI189" s="39"/>
      <c r="KMJ189" s="39"/>
      <c r="KMK189" s="39"/>
      <c r="KML189" s="39"/>
      <c r="KMM189" s="39"/>
      <c r="KMN189" s="39"/>
      <c r="KMO189" s="39"/>
      <c r="KMP189" s="39"/>
      <c r="KMQ189" s="39"/>
      <c r="KMR189" s="39"/>
      <c r="KMS189" s="39"/>
      <c r="KMT189" s="39"/>
      <c r="KMU189" s="39"/>
      <c r="KMV189" s="39"/>
      <c r="KMW189" s="39"/>
      <c r="KMX189" s="39"/>
      <c r="KMY189" s="39"/>
      <c r="KMZ189" s="39"/>
      <c r="KNA189" s="39"/>
      <c r="KNB189" s="39"/>
      <c r="KNC189" s="39"/>
      <c r="KND189" s="39"/>
      <c r="KNE189" s="39"/>
      <c r="KNF189" s="39"/>
      <c r="KNG189" s="39"/>
      <c r="KNH189" s="39"/>
      <c r="KNI189" s="39"/>
      <c r="KNJ189" s="39"/>
      <c r="KNK189" s="39"/>
      <c r="KNL189" s="39"/>
      <c r="KNM189" s="39"/>
      <c r="KNN189" s="39"/>
      <c r="KNO189" s="39"/>
      <c r="KNP189" s="39"/>
      <c r="KNQ189" s="39"/>
      <c r="KNR189" s="39"/>
      <c r="KNS189" s="39"/>
      <c r="KNT189" s="39"/>
      <c r="KNU189" s="39"/>
      <c r="KNV189" s="39"/>
      <c r="KNW189" s="39"/>
      <c r="KNX189" s="39"/>
      <c r="KNY189" s="39"/>
      <c r="KNZ189" s="39"/>
      <c r="KOA189" s="39"/>
      <c r="KOB189" s="39"/>
      <c r="KOC189" s="39"/>
      <c r="KOD189" s="39"/>
      <c r="KOE189" s="39"/>
      <c r="KOF189" s="39"/>
      <c r="KOG189" s="39"/>
      <c r="KOH189" s="39"/>
      <c r="KOI189" s="39"/>
      <c r="KOJ189" s="39"/>
      <c r="KOK189" s="39"/>
      <c r="KOL189" s="39"/>
      <c r="KOM189" s="39"/>
      <c r="KON189" s="39"/>
      <c r="KOO189" s="39"/>
      <c r="KOP189" s="39"/>
      <c r="KOQ189" s="39"/>
      <c r="KOR189" s="39"/>
      <c r="KOS189" s="39"/>
      <c r="KOT189" s="39"/>
      <c r="KOU189" s="39"/>
      <c r="KOV189" s="39"/>
      <c r="KOW189" s="39"/>
      <c r="KOX189" s="39"/>
      <c r="KOY189" s="39"/>
      <c r="KOZ189" s="39"/>
      <c r="KPA189" s="39"/>
      <c r="KPB189" s="39"/>
      <c r="KPC189" s="39"/>
      <c r="KPD189" s="39"/>
      <c r="KPE189" s="39"/>
      <c r="KPF189" s="39"/>
      <c r="KPG189" s="39"/>
      <c r="KPH189" s="39"/>
      <c r="KPI189" s="39"/>
      <c r="KPJ189" s="39"/>
      <c r="KPK189" s="39"/>
      <c r="KPL189" s="39"/>
      <c r="KPM189" s="39"/>
      <c r="KPN189" s="39"/>
      <c r="KPO189" s="39"/>
      <c r="KPP189" s="39"/>
      <c r="KPQ189" s="39"/>
      <c r="KPR189" s="39"/>
      <c r="KPS189" s="39"/>
      <c r="KPT189" s="39"/>
      <c r="KPU189" s="39"/>
      <c r="KPV189" s="39"/>
      <c r="KPW189" s="39"/>
      <c r="KPX189" s="39"/>
      <c r="KPY189" s="39"/>
      <c r="KPZ189" s="39"/>
      <c r="KQA189" s="39"/>
      <c r="KQB189" s="39"/>
      <c r="KQC189" s="39"/>
      <c r="KQD189" s="39"/>
      <c r="KQE189" s="39"/>
      <c r="KQF189" s="39"/>
      <c r="KQG189" s="39"/>
      <c r="KQH189" s="39"/>
      <c r="KQI189" s="39"/>
      <c r="KQJ189" s="39"/>
      <c r="KQK189" s="39"/>
      <c r="KQL189" s="39"/>
      <c r="KQM189" s="39"/>
      <c r="KQN189" s="39"/>
      <c r="KQO189" s="39"/>
      <c r="KQP189" s="39"/>
      <c r="KQQ189" s="39"/>
      <c r="KQR189" s="39"/>
      <c r="KQS189" s="39"/>
      <c r="KQT189" s="39"/>
      <c r="KQU189" s="39"/>
      <c r="KQV189" s="39"/>
      <c r="KQW189" s="39"/>
      <c r="KQX189" s="39"/>
      <c r="KQY189" s="39"/>
      <c r="KQZ189" s="39"/>
      <c r="KRA189" s="39"/>
      <c r="KRB189" s="39"/>
      <c r="KRC189" s="39"/>
      <c r="KRD189" s="39"/>
      <c r="KRE189" s="39"/>
      <c r="KRF189" s="39"/>
      <c r="KRG189" s="39"/>
      <c r="KRH189" s="39"/>
      <c r="KRI189" s="39"/>
      <c r="KRJ189" s="39"/>
      <c r="KRK189" s="39"/>
      <c r="KRL189" s="39"/>
      <c r="KRM189" s="39"/>
      <c r="KRN189" s="39"/>
      <c r="KRO189" s="39"/>
      <c r="KRP189" s="39"/>
      <c r="KRQ189" s="39"/>
      <c r="KRR189" s="39"/>
      <c r="KRS189" s="39"/>
      <c r="KRT189" s="39"/>
      <c r="KRU189" s="39"/>
      <c r="KRV189" s="39"/>
      <c r="KRW189" s="39"/>
      <c r="KRX189" s="39"/>
      <c r="KRY189" s="39"/>
      <c r="KRZ189" s="39"/>
      <c r="KSA189" s="39"/>
      <c r="KSB189" s="39"/>
      <c r="KSC189" s="39"/>
      <c r="KSD189" s="39"/>
      <c r="KSE189" s="39"/>
      <c r="KSF189" s="39"/>
      <c r="KSG189" s="39"/>
      <c r="KSH189" s="39"/>
      <c r="KSI189" s="39"/>
      <c r="KSJ189" s="39"/>
      <c r="KSK189" s="39"/>
      <c r="KSL189" s="39"/>
      <c r="KSM189" s="39"/>
      <c r="KSN189" s="39"/>
      <c r="KSO189" s="39"/>
      <c r="KSP189" s="39"/>
      <c r="KSQ189" s="39"/>
      <c r="KSR189" s="39"/>
      <c r="KSS189" s="39"/>
      <c r="KST189" s="39"/>
      <c r="KSU189" s="39"/>
      <c r="KSV189" s="39"/>
      <c r="KSW189" s="39"/>
      <c r="KSX189" s="39"/>
      <c r="KSY189" s="39"/>
      <c r="KSZ189" s="39"/>
      <c r="KTA189" s="39"/>
      <c r="KTB189" s="39"/>
      <c r="KTC189" s="39"/>
      <c r="KTD189" s="39"/>
      <c r="KTE189" s="39"/>
      <c r="KTF189" s="39"/>
      <c r="KTG189" s="39"/>
      <c r="KTH189" s="39"/>
      <c r="KTI189" s="39"/>
      <c r="KTJ189" s="39"/>
      <c r="KTK189" s="39"/>
      <c r="KTL189" s="39"/>
      <c r="KTM189" s="39"/>
      <c r="KTN189" s="39"/>
      <c r="KTO189" s="39"/>
      <c r="KTP189" s="39"/>
      <c r="KTQ189" s="39"/>
      <c r="KTR189" s="39"/>
      <c r="KTS189" s="39"/>
      <c r="KTT189" s="39"/>
      <c r="KTU189" s="39"/>
      <c r="KTV189" s="39"/>
      <c r="KTW189" s="39"/>
      <c r="KTX189" s="39"/>
      <c r="KTY189" s="39"/>
      <c r="KTZ189" s="39"/>
      <c r="KUA189" s="39"/>
      <c r="KUB189" s="39"/>
      <c r="KUC189" s="39"/>
      <c r="KUD189" s="39"/>
      <c r="KUE189" s="39"/>
      <c r="KUF189" s="39"/>
      <c r="KUG189" s="39"/>
      <c r="KUH189" s="39"/>
      <c r="KUI189" s="39"/>
      <c r="KUJ189" s="39"/>
      <c r="KUK189" s="39"/>
      <c r="KUL189" s="39"/>
      <c r="KUM189" s="39"/>
      <c r="KUN189" s="39"/>
      <c r="KUO189" s="39"/>
      <c r="KUP189" s="39"/>
      <c r="KUQ189" s="39"/>
      <c r="KUR189" s="39"/>
      <c r="KUS189" s="39"/>
      <c r="KUT189" s="39"/>
      <c r="KUU189" s="39"/>
      <c r="KUV189" s="39"/>
      <c r="KUW189" s="39"/>
      <c r="KUX189" s="39"/>
      <c r="KUY189" s="39"/>
      <c r="KUZ189" s="39"/>
      <c r="KVA189" s="39"/>
      <c r="KVB189" s="39"/>
      <c r="KVC189" s="39"/>
      <c r="KVD189" s="39"/>
      <c r="KVE189" s="39"/>
      <c r="KVF189" s="39"/>
      <c r="KVG189" s="39"/>
      <c r="KVH189" s="39"/>
      <c r="KVI189" s="39"/>
      <c r="KVJ189" s="39"/>
      <c r="KVK189" s="39"/>
      <c r="KVL189" s="39"/>
      <c r="KVM189" s="39"/>
      <c r="KVN189" s="39"/>
      <c r="KVO189" s="39"/>
      <c r="KVP189" s="39"/>
      <c r="KVQ189" s="39"/>
      <c r="KVR189" s="39"/>
      <c r="KVS189" s="39"/>
      <c r="KVT189" s="39"/>
      <c r="KVU189" s="39"/>
      <c r="KVV189" s="39"/>
      <c r="KVW189" s="39"/>
      <c r="KVX189" s="39"/>
      <c r="KVY189" s="39"/>
      <c r="KVZ189" s="39"/>
      <c r="KWA189" s="39"/>
      <c r="KWB189" s="39"/>
      <c r="KWC189" s="39"/>
      <c r="KWD189" s="39"/>
      <c r="KWE189" s="39"/>
      <c r="KWF189" s="39"/>
      <c r="KWG189" s="39"/>
      <c r="KWH189" s="39"/>
      <c r="KWI189" s="39"/>
      <c r="KWJ189" s="39"/>
      <c r="KWK189" s="39"/>
      <c r="KWL189" s="39"/>
      <c r="KWM189" s="39"/>
      <c r="KWN189" s="39"/>
      <c r="KWO189" s="39"/>
      <c r="KWP189" s="39"/>
      <c r="KWQ189" s="39"/>
      <c r="KWR189" s="39"/>
      <c r="KWS189" s="39"/>
      <c r="KWT189" s="39"/>
      <c r="KWU189" s="39"/>
      <c r="KWV189" s="39"/>
      <c r="KWW189" s="39"/>
      <c r="KWX189" s="39"/>
      <c r="KWY189" s="39"/>
      <c r="KWZ189" s="39"/>
      <c r="KXA189" s="39"/>
      <c r="KXB189" s="39"/>
      <c r="KXC189" s="39"/>
      <c r="KXD189" s="39"/>
      <c r="KXE189" s="39"/>
      <c r="KXF189" s="39"/>
      <c r="KXG189" s="39"/>
      <c r="KXH189" s="39"/>
      <c r="KXI189" s="39"/>
      <c r="KXJ189" s="39"/>
      <c r="KXK189" s="39"/>
      <c r="KXL189" s="39"/>
      <c r="KXM189" s="39"/>
      <c r="KXN189" s="39"/>
      <c r="KXO189" s="39"/>
      <c r="KXP189" s="39"/>
      <c r="KXQ189" s="39"/>
      <c r="KXR189" s="39"/>
      <c r="KXS189" s="39"/>
      <c r="KXT189" s="39"/>
      <c r="KXU189" s="39"/>
      <c r="KXV189" s="39"/>
      <c r="KXW189" s="39"/>
      <c r="KXX189" s="39"/>
      <c r="KXY189" s="39"/>
      <c r="KXZ189" s="39"/>
      <c r="KYA189" s="39"/>
      <c r="KYB189" s="39"/>
      <c r="KYC189" s="39"/>
      <c r="KYD189" s="39"/>
      <c r="KYE189" s="39"/>
      <c r="KYF189" s="39"/>
      <c r="KYG189" s="39"/>
      <c r="KYH189" s="39"/>
      <c r="KYI189" s="39"/>
      <c r="KYJ189" s="39"/>
      <c r="KYK189" s="39"/>
      <c r="KYL189" s="39"/>
      <c r="KYM189" s="39"/>
      <c r="KYN189" s="39"/>
      <c r="KYO189" s="39"/>
      <c r="KYP189" s="39"/>
      <c r="KYQ189" s="39"/>
      <c r="KYR189" s="39"/>
      <c r="KYS189" s="39"/>
      <c r="KYT189" s="39"/>
      <c r="KYU189" s="39"/>
      <c r="KYV189" s="39"/>
      <c r="KYW189" s="39"/>
      <c r="KYX189" s="39"/>
      <c r="KYY189" s="39"/>
      <c r="KYZ189" s="39"/>
      <c r="KZA189" s="39"/>
      <c r="KZB189" s="39"/>
      <c r="KZC189" s="39"/>
      <c r="KZD189" s="39"/>
      <c r="KZE189" s="39"/>
      <c r="KZF189" s="39"/>
      <c r="KZG189" s="39"/>
      <c r="KZH189" s="39"/>
      <c r="KZI189" s="39"/>
      <c r="KZJ189" s="39"/>
      <c r="KZK189" s="39"/>
      <c r="KZL189" s="39"/>
      <c r="KZM189" s="39"/>
      <c r="KZN189" s="39"/>
      <c r="KZO189" s="39"/>
      <c r="KZP189" s="39"/>
      <c r="KZQ189" s="39"/>
      <c r="KZR189" s="39"/>
      <c r="KZS189" s="39"/>
      <c r="KZT189" s="39"/>
      <c r="KZU189" s="39"/>
      <c r="KZV189" s="39"/>
      <c r="KZW189" s="39"/>
      <c r="KZX189" s="39"/>
      <c r="KZY189" s="39"/>
      <c r="KZZ189" s="39"/>
      <c r="LAA189" s="39"/>
      <c r="LAB189" s="39"/>
      <c r="LAC189" s="39"/>
      <c r="LAD189" s="39"/>
      <c r="LAE189" s="39"/>
      <c r="LAF189" s="39"/>
      <c r="LAG189" s="39"/>
      <c r="LAH189" s="39"/>
      <c r="LAI189" s="39"/>
      <c r="LAJ189" s="39"/>
      <c r="LAK189" s="39"/>
      <c r="LAL189" s="39"/>
      <c r="LAM189" s="39"/>
      <c r="LAN189" s="39"/>
      <c r="LAO189" s="39"/>
      <c r="LAP189" s="39"/>
      <c r="LAQ189" s="39"/>
      <c r="LAR189" s="39"/>
      <c r="LAS189" s="39"/>
      <c r="LAT189" s="39"/>
      <c r="LAU189" s="39"/>
      <c r="LAV189" s="39"/>
      <c r="LAW189" s="39"/>
      <c r="LAX189" s="39"/>
      <c r="LAY189" s="39"/>
      <c r="LAZ189" s="39"/>
      <c r="LBA189" s="39"/>
      <c r="LBB189" s="39"/>
      <c r="LBC189" s="39"/>
      <c r="LBD189" s="39"/>
      <c r="LBE189" s="39"/>
      <c r="LBF189" s="39"/>
      <c r="LBG189" s="39"/>
      <c r="LBH189" s="39"/>
      <c r="LBI189" s="39"/>
      <c r="LBJ189" s="39"/>
      <c r="LBK189" s="39"/>
      <c r="LBL189" s="39"/>
      <c r="LBM189" s="39"/>
      <c r="LBN189" s="39"/>
      <c r="LBO189" s="39"/>
      <c r="LBP189" s="39"/>
      <c r="LBQ189" s="39"/>
      <c r="LBR189" s="39"/>
      <c r="LBS189" s="39"/>
      <c r="LBT189" s="39"/>
      <c r="LBU189" s="39"/>
      <c r="LBV189" s="39"/>
      <c r="LBW189" s="39"/>
      <c r="LBX189" s="39"/>
      <c r="LBY189" s="39"/>
      <c r="LBZ189" s="39"/>
      <c r="LCA189" s="39"/>
      <c r="LCB189" s="39"/>
      <c r="LCC189" s="39"/>
      <c r="LCD189" s="39"/>
      <c r="LCE189" s="39"/>
      <c r="LCF189" s="39"/>
      <c r="LCG189" s="39"/>
      <c r="LCH189" s="39"/>
      <c r="LCI189" s="39"/>
      <c r="LCJ189" s="39"/>
      <c r="LCK189" s="39"/>
      <c r="LCL189" s="39"/>
      <c r="LCM189" s="39"/>
      <c r="LCN189" s="39"/>
      <c r="LCO189" s="39"/>
      <c r="LCP189" s="39"/>
      <c r="LCQ189" s="39"/>
      <c r="LCR189" s="39"/>
      <c r="LCS189" s="39"/>
      <c r="LCT189" s="39"/>
      <c r="LCU189" s="39"/>
      <c r="LCV189" s="39"/>
      <c r="LCW189" s="39"/>
      <c r="LCX189" s="39"/>
      <c r="LCY189" s="39"/>
      <c r="LCZ189" s="39"/>
      <c r="LDA189" s="39"/>
      <c r="LDB189" s="39"/>
      <c r="LDC189" s="39"/>
      <c r="LDD189" s="39"/>
      <c r="LDE189" s="39"/>
      <c r="LDF189" s="39"/>
      <c r="LDG189" s="39"/>
      <c r="LDH189" s="39"/>
      <c r="LDI189" s="39"/>
      <c r="LDJ189" s="39"/>
      <c r="LDK189" s="39"/>
      <c r="LDL189" s="39"/>
      <c r="LDM189" s="39"/>
      <c r="LDN189" s="39"/>
      <c r="LDO189" s="39"/>
      <c r="LDP189" s="39"/>
      <c r="LDQ189" s="39"/>
      <c r="LDR189" s="39"/>
      <c r="LDS189" s="39"/>
      <c r="LDT189" s="39"/>
      <c r="LDU189" s="39"/>
      <c r="LDV189" s="39"/>
      <c r="LDW189" s="39"/>
      <c r="LDX189" s="39"/>
      <c r="LDY189" s="39"/>
      <c r="LDZ189" s="39"/>
      <c r="LEA189" s="39"/>
      <c r="LEB189" s="39"/>
      <c r="LEC189" s="39"/>
      <c r="LED189" s="39"/>
      <c r="LEE189" s="39"/>
      <c r="LEF189" s="39"/>
      <c r="LEG189" s="39"/>
      <c r="LEH189" s="39"/>
      <c r="LEI189" s="39"/>
      <c r="LEJ189" s="39"/>
      <c r="LEK189" s="39"/>
      <c r="LEL189" s="39"/>
      <c r="LEM189" s="39"/>
      <c r="LEN189" s="39"/>
      <c r="LEO189" s="39"/>
      <c r="LEP189" s="39"/>
      <c r="LEQ189" s="39"/>
      <c r="LER189" s="39"/>
      <c r="LES189" s="39"/>
      <c r="LET189" s="39"/>
      <c r="LEU189" s="39"/>
      <c r="LEV189" s="39"/>
      <c r="LEW189" s="39"/>
      <c r="LEX189" s="39"/>
      <c r="LEY189" s="39"/>
      <c r="LEZ189" s="39"/>
      <c r="LFA189" s="39"/>
      <c r="LFB189" s="39"/>
      <c r="LFC189" s="39"/>
      <c r="LFD189" s="39"/>
      <c r="LFE189" s="39"/>
      <c r="LFF189" s="39"/>
      <c r="LFG189" s="39"/>
      <c r="LFH189" s="39"/>
      <c r="LFI189" s="39"/>
      <c r="LFJ189" s="39"/>
      <c r="LFK189" s="39"/>
      <c r="LFL189" s="39"/>
      <c r="LFM189" s="39"/>
      <c r="LFN189" s="39"/>
      <c r="LFO189" s="39"/>
      <c r="LFP189" s="39"/>
      <c r="LFQ189" s="39"/>
      <c r="LFR189" s="39"/>
      <c r="LFS189" s="39"/>
      <c r="LFT189" s="39"/>
      <c r="LFU189" s="39"/>
      <c r="LFV189" s="39"/>
      <c r="LFW189" s="39"/>
      <c r="LFX189" s="39"/>
      <c r="LFY189" s="39"/>
      <c r="LFZ189" s="39"/>
      <c r="LGA189" s="39"/>
      <c r="LGB189" s="39"/>
      <c r="LGC189" s="39"/>
      <c r="LGD189" s="39"/>
      <c r="LGE189" s="39"/>
      <c r="LGF189" s="39"/>
      <c r="LGG189" s="39"/>
      <c r="LGH189" s="39"/>
      <c r="LGI189" s="39"/>
      <c r="LGJ189" s="39"/>
      <c r="LGK189" s="39"/>
      <c r="LGL189" s="39"/>
      <c r="LGM189" s="39"/>
      <c r="LGN189" s="39"/>
      <c r="LGO189" s="39"/>
      <c r="LGP189" s="39"/>
      <c r="LGQ189" s="39"/>
      <c r="LGR189" s="39"/>
      <c r="LGS189" s="39"/>
      <c r="LGT189" s="39"/>
      <c r="LGU189" s="39"/>
      <c r="LGV189" s="39"/>
      <c r="LGW189" s="39"/>
      <c r="LGX189" s="39"/>
      <c r="LGY189" s="39"/>
      <c r="LGZ189" s="39"/>
      <c r="LHA189" s="39"/>
      <c r="LHB189" s="39"/>
      <c r="LHC189" s="39"/>
      <c r="LHD189" s="39"/>
      <c r="LHE189" s="39"/>
      <c r="LHF189" s="39"/>
      <c r="LHG189" s="39"/>
      <c r="LHH189" s="39"/>
      <c r="LHI189" s="39"/>
      <c r="LHJ189" s="39"/>
      <c r="LHK189" s="39"/>
      <c r="LHL189" s="39"/>
      <c r="LHM189" s="39"/>
      <c r="LHN189" s="39"/>
      <c r="LHO189" s="39"/>
      <c r="LHP189" s="39"/>
      <c r="LHQ189" s="39"/>
      <c r="LHR189" s="39"/>
      <c r="LHS189" s="39"/>
      <c r="LHT189" s="39"/>
      <c r="LHU189" s="39"/>
      <c r="LHV189" s="39"/>
      <c r="LHW189" s="39"/>
      <c r="LHX189" s="39"/>
      <c r="LHY189" s="39"/>
      <c r="LHZ189" s="39"/>
      <c r="LIA189" s="39"/>
      <c r="LIB189" s="39"/>
      <c r="LIC189" s="39"/>
      <c r="LID189" s="39"/>
      <c r="LIE189" s="39"/>
      <c r="LIF189" s="39"/>
      <c r="LIG189" s="39"/>
      <c r="LIH189" s="39"/>
      <c r="LII189" s="39"/>
      <c r="LIJ189" s="39"/>
      <c r="LIK189" s="39"/>
      <c r="LIL189" s="39"/>
      <c r="LIM189" s="39"/>
      <c r="LIN189" s="39"/>
      <c r="LIO189" s="39"/>
      <c r="LIP189" s="39"/>
      <c r="LIQ189" s="39"/>
      <c r="LIR189" s="39"/>
      <c r="LIS189" s="39"/>
      <c r="LIT189" s="39"/>
      <c r="LIU189" s="39"/>
      <c r="LIV189" s="39"/>
      <c r="LIW189" s="39"/>
      <c r="LIX189" s="39"/>
      <c r="LIY189" s="39"/>
      <c r="LIZ189" s="39"/>
      <c r="LJA189" s="39"/>
      <c r="LJB189" s="39"/>
      <c r="LJC189" s="39"/>
      <c r="LJD189" s="39"/>
      <c r="LJE189" s="39"/>
      <c r="LJF189" s="39"/>
      <c r="LJG189" s="39"/>
      <c r="LJH189" s="39"/>
      <c r="LJI189" s="39"/>
      <c r="LJJ189" s="39"/>
      <c r="LJK189" s="39"/>
      <c r="LJL189" s="39"/>
      <c r="LJM189" s="39"/>
      <c r="LJN189" s="39"/>
      <c r="LJO189" s="39"/>
      <c r="LJP189" s="39"/>
      <c r="LJQ189" s="39"/>
      <c r="LJR189" s="39"/>
      <c r="LJS189" s="39"/>
      <c r="LJT189" s="39"/>
      <c r="LJU189" s="39"/>
      <c r="LJV189" s="39"/>
      <c r="LJW189" s="39"/>
      <c r="LJX189" s="39"/>
      <c r="LJY189" s="39"/>
      <c r="LJZ189" s="39"/>
      <c r="LKA189" s="39"/>
      <c r="LKB189" s="39"/>
      <c r="LKC189" s="39"/>
      <c r="LKD189" s="39"/>
      <c r="LKE189" s="39"/>
      <c r="LKF189" s="39"/>
      <c r="LKG189" s="39"/>
      <c r="LKH189" s="39"/>
      <c r="LKI189" s="39"/>
      <c r="LKJ189" s="39"/>
      <c r="LKK189" s="39"/>
      <c r="LKL189" s="39"/>
      <c r="LKM189" s="39"/>
      <c r="LKN189" s="39"/>
      <c r="LKO189" s="39"/>
      <c r="LKP189" s="39"/>
      <c r="LKQ189" s="39"/>
      <c r="LKR189" s="39"/>
      <c r="LKS189" s="39"/>
      <c r="LKT189" s="39"/>
      <c r="LKU189" s="39"/>
      <c r="LKV189" s="39"/>
      <c r="LKW189" s="39"/>
      <c r="LKX189" s="39"/>
      <c r="LKY189" s="39"/>
      <c r="LKZ189" s="39"/>
      <c r="LLA189" s="39"/>
      <c r="LLB189" s="39"/>
      <c r="LLC189" s="39"/>
      <c r="LLD189" s="39"/>
      <c r="LLE189" s="39"/>
      <c r="LLF189" s="39"/>
      <c r="LLG189" s="39"/>
      <c r="LLH189" s="39"/>
      <c r="LLI189" s="39"/>
      <c r="LLJ189" s="39"/>
      <c r="LLK189" s="39"/>
      <c r="LLL189" s="39"/>
      <c r="LLM189" s="39"/>
      <c r="LLN189" s="39"/>
      <c r="LLO189" s="39"/>
      <c r="LLP189" s="39"/>
      <c r="LLQ189" s="39"/>
      <c r="LLR189" s="39"/>
      <c r="LLS189" s="39"/>
      <c r="LLT189" s="39"/>
      <c r="LLU189" s="39"/>
      <c r="LLV189" s="39"/>
      <c r="LLW189" s="39"/>
      <c r="LLX189" s="39"/>
      <c r="LLY189" s="39"/>
      <c r="LLZ189" s="39"/>
      <c r="LMA189" s="39"/>
      <c r="LMB189" s="39"/>
      <c r="LMC189" s="39"/>
      <c r="LMD189" s="39"/>
      <c r="LME189" s="39"/>
      <c r="LMF189" s="39"/>
      <c r="LMG189" s="39"/>
      <c r="LMH189" s="39"/>
      <c r="LMI189" s="39"/>
      <c r="LMJ189" s="39"/>
      <c r="LMK189" s="39"/>
      <c r="LML189" s="39"/>
      <c r="LMM189" s="39"/>
      <c r="LMN189" s="39"/>
      <c r="LMO189" s="39"/>
      <c r="LMP189" s="39"/>
      <c r="LMQ189" s="39"/>
      <c r="LMR189" s="39"/>
      <c r="LMS189" s="39"/>
      <c r="LMT189" s="39"/>
      <c r="LMU189" s="39"/>
      <c r="LMV189" s="39"/>
      <c r="LMW189" s="39"/>
      <c r="LMX189" s="39"/>
      <c r="LMY189" s="39"/>
      <c r="LMZ189" s="39"/>
      <c r="LNA189" s="39"/>
      <c r="LNB189" s="39"/>
      <c r="LNC189" s="39"/>
      <c r="LND189" s="39"/>
      <c r="LNE189" s="39"/>
      <c r="LNF189" s="39"/>
      <c r="LNG189" s="39"/>
      <c r="LNH189" s="39"/>
      <c r="LNI189" s="39"/>
      <c r="LNJ189" s="39"/>
      <c r="LNK189" s="39"/>
      <c r="LNL189" s="39"/>
      <c r="LNM189" s="39"/>
      <c r="LNN189" s="39"/>
      <c r="LNO189" s="39"/>
      <c r="LNP189" s="39"/>
      <c r="LNQ189" s="39"/>
      <c r="LNR189" s="39"/>
      <c r="LNS189" s="39"/>
      <c r="LNT189" s="39"/>
      <c r="LNU189" s="39"/>
      <c r="LNV189" s="39"/>
      <c r="LNW189" s="39"/>
      <c r="LNX189" s="39"/>
      <c r="LNY189" s="39"/>
      <c r="LNZ189" s="39"/>
      <c r="LOA189" s="39"/>
      <c r="LOB189" s="39"/>
      <c r="LOC189" s="39"/>
      <c r="LOD189" s="39"/>
      <c r="LOE189" s="39"/>
      <c r="LOF189" s="39"/>
      <c r="LOG189" s="39"/>
      <c r="LOH189" s="39"/>
      <c r="LOI189" s="39"/>
      <c r="LOJ189" s="39"/>
      <c r="LOK189" s="39"/>
      <c r="LOL189" s="39"/>
      <c r="LOM189" s="39"/>
      <c r="LON189" s="39"/>
      <c r="LOO189" s="39"/>
      <c r="LOP189" s="39"/>
      <c r="LOQ189" s="39"/>
      <c r="LOR189" s="39"/>
      <c r="LOS189" s="39"/>
      <c r="LOT189" s="39"/>
      <c r="LOU189" s="39"/>
      <c r="LOV189" s="39"/>
      <c r="LOW189" s="39"/>
      <c r="LOX189" s="39"/>
      <c r="LOY189" s="39"/>
      <c r="LOZ189" s="39"/>
      <c r="LPA189" s="39"/>
      <c r="LPB189" s="39"/>
      <c r="LPC189" s="39"/>
      <c r="LPD189" s="39"/>
      <c r="LPE189" s="39"/>
      <c r="LPF189" s="39"/>
      <c r="LPG189" s="39"/>
      <c r="LPH189" s="39"/>
      <c r="LPI189" s="39"/>
      <c r="LPJ189" s="39"/>
      <c r="LPK189" s="39"/>
      <c r="LPL189" s="39"/>
      <c r="LPM189" s="39"/>
      <c r="LPN189" s="39"/>
      <c r="LPO189" s="39"/>
      <c r="LPP189" s="39"/>
      <c r="LPQ189" s="39"/>
      <c r="LPR189" s="39"/>
      <c r="LPS189" s="39"/>
      <c r="LPT189" s="39"/>
      <c r="LPU189" s="39"/>
      <c r="LPV189" s="39"/>
      <c r="LPW189" s="39"/>
      <c r="LPX189" s="39"/>
      <c r="LPY189" s="39"/>
      <c r="LPZ189" s="39"/>
      <c r="LQA189" s="39"/>
      <c r="LQB189" s="39"/>
      <c r="LQC189" s="39"/>
      <c r="LQD189" s="39"/>
      <c r="LQE189" s="39"/>
      <c r="LQF189" s="39"/>
      <c r="LQG189" s="39"/>
      <c r="LQH189" s="39"/>
      <c r="LQI189" s="39"/>
      <c r="LQJ189" s="39"/>
      <c r="LQK189" s="39"/>
      <c r="LQL189" s="39"/>
      <c r="LQM189" s="39"/>
      <c r="LQN189" s="39"/>
      <c r="LQO189" s="39"/>
      <c r="LQP189" s="39"/>
      <c r="LQQ189" s="39"/>
      <c r="LQR189" s="39"/>
      <c r="LQS189" s="39"/>
      <c r="LQT189" s="39"/>
      <c r="LQU189" s="39"/>
      <c r="LQV189" s="39"/>
      <c r="LQW189" s="39"/>
      <c r="LQX189" s="39"/>
      <c r="LQY189" s="39"/>
      <c r="LQZ189" s="39"/>
      <c r="LRA189" s="39"/>
      <c r="LRB189" s="39"/>
      <c r="LRC189" s="39"/>
      <c r="LRD189" s="39"/>
      <c r="LRE189" s="39"/>
      <c r="LRF189" s="39"/>
      <c r="LRG189" s="39"/>
      <c r="LRH189" s="39"/>
      <c r="LRI189" s="39"/>
      <c r="LRJ189" s="39"/>
      <c r="LRK189" s="39"/>
      <c r="LRL189" s="39"/>
      <c r="LRM189" s="39"/>
      <c r="LRN189" s="39"/>
      <c r="LRO189" s="39"/>
      <c r="LRP189" s="39"/>
      <c r="LRQ189" s="39"/>
      <c r="LRR189" s="39"/>
      <c r="LRS189" s="39"/>
      <c r="LRT189" s="39"/>
      <c r="LRU189" s="39"/>
      <c r="LRV189" s="39"/>
      <c r="LRW189" s="39"/>
      <c r="LRX189" s="39"/>
      <c r="LRY189" s="39"/>
      <c r="LRZ189" s="39"/>
      <c r="LSA189" s="39"/>
      <c r="LSB189" s="39"/>
      <c r="LSC189" s="39"/>
      <c r="LSD189" s="39"/>
      <c r="LSE189" s="39"/>
      <c r="LSF189" s="39"/>
      <c r="LSG189" s="39"/>
      <c r="LSH189" s="39"/>
      <c r="LSI189" s="39"/>
      <c r="LSJ189" s="39"/>
      <c r="LSK189" s="39"/>
      <c r="LSL189" s="39"/>
      <c r="LSM189" s="39"/>
      <c r="LSN189" s="39"/>
      <c r="LSO189" s="39"/>
      <c r="LSP189" s="39"/>
      <c r="LSQ189" s="39"/>
      <c r="LSR189" s="39"/>
      <c r="LSS189" s="39"/>
      <c r="LST189" s="39"/>
      <c r="LSU189" s="39"/>
      <c r="LSV189" s="39"/>
      <c r="LSW189" s="39"/>
      <c r="LSX189" s="39"/>
      <c r="LSY189" s="39"/>
      <c r="LSZ189" s="39"/>
      <c r="LTA189" s="39"/>
      <c r="LTB189" s="39"/>
      <c r="LTC189" s="39"/>
      <c r="LTD189" s="39"/>
      <c r="LTE189" s="39"/>
      <c r="LTF189" s="39"/>
      <c r="LTG189" s="39"/>
      <c r="LTH189" s="39"/>
      <c r="LTI189" s="39"/>
      <c r="LTJ189" s="39"/>
      <c r="LTK189" s="39"/>
      <c r="LTL189" s="39"/>
      <c r="LTM189" s="39"/>
      <c r="LTN189" s="39"/>
      <c r="LTO189" s="39"/>
      <c r="LTP189" s="39"/>
      <c r="LTQ189" s="39"/>
      <c r="LTR189" s="39"/>
      <c r="LTS189" s="39"/>
      <c r="LTT189" s="39"/>
      <c r="LTU189" s="39"/>
      <c r="LTV189" s="39"/>
      <c r="LTW189" s="39"/>
      <c r="LTX189" s="39"/>
      <c r="LTY189" s="39"/>
      <c r="LTZ189" s="39"/>
      <c r="LUA189" s="39"/>
      <c r="LUB189" s="39"/>
      <c r="LUC189" s="39"/>
      <c r="LUD189" s="39"/>
      <c r="LUE189" s="39"/>
      <c r="LUF189" s="39"/>
      <c r="LUG189" s="39"/>
      <c r="LUH189" s="39"/>
      <c r="LUI189" s="39"/>
      <c r="LUJ189" s="39"/>
      <c r="LUK189" s="39"/>
      <c r="LUL189" s="39"/>
      <c r="LUM189" s="39"/>
      <c r="LUN189" s="39"/>
      <c r="LUO189" s="39"/>
      <c r="LUP189" s="39"/>
      <c r="LUQ189" s="39"/>
      <c r="LUR189" s="39"/>
      <c r="LUS189" s="39"/>
      <c r="LUT189" s="39"/>
      <c r="LUU189" s="39"/>
      <c r="LUV189" s="39"/>
      <c r="LUW189" s="39"/>
      <c r="LUX189" s="39"/>
      <c r="LUY189" s="39"/>
      <c r="LUZ189" s="39"/>
      <c r="LVA189" s="39"/>
      <c r="LVB189" s="39"/>
      <c r="LVC189" s="39"/>
      <c r="LVD189" s="39"/>
      <c r="LVE189" s="39"/>
      <c r="LVF189" s="39"/>
      <c r="LVG189" s="39"/>
      <c r="LVH189" s="39"/>
      <c r="LVI189" s="39"/>
      <c r="LVJ189" s="39"/>
      <c r="LVK189" s="39"/>
      <c r="LVL189" s="39"/>
      <c r="LVM189" s="39"/>
      <c r="LVN189" s="39"/>
      <c r="LVO189" s="39"/>
      <c r="LVP189" s="39"/>
      <c r="LVQ189" s="39"/>
      <c r="LVR189" s="39"/>
      <c r="LVS189" s="39"/>
      <c r="LVT189" s="39"/>
      <c r="LVU189" s="39"/>
      <c r="LVV189" s="39"/>
      <c r="LVW189" s="39"/>
      <c r="LVX189" s="39"/>
      <c r="LVY189" s="39"/>
      <c r="LVZ189" s="39"/>
      <c r="LWA189" s="39"/>
      <c r="LWB189" s="39"/>
      <c r="LWC189" s="39"/>
      <c r="LWD189" s="39"/>
      <c r="LWE189" s="39"/>
      <c r="LWF189" s="39"/>
      <c r="LWG189" s="39"/>
      <c r="LWH189" s="39"/>
      <c r="LWI189" s="39"/>
      <c r="LWJ189" s="39"/>
      <c r="LWK189" s="39"/>
      <c r="LWL189" s="39"/>
      <c r="LWM189" s="39"/>
      <c r="LWN189" s="39"/>
      <c r="LWO189" s="39"/>
      <c r="LWP189" s="39"/>
      <c r="LWQ189" s="39"/>
      <c r="LWR189" s="39"/>
      <c r="LWS189" s="39"/>
      <c r="LWT189" s="39"/>
      <c r="LWU189" s="39"/>
      <c r="LWV189" s="39"/>
      <c r="LWW189" s="39"/>
      <c r="LWX189" s="39"/>
      <c r="LWY189" s="39"/>
      <c r="LWZ189" s="39"/>
      <c r="LXA189" s="39"/>
      <c r="LXB189" s="39"/>
      <c r="LXC189" s="39"/>
      <c r="LXD189" s="39"/>
      <c r="LXE189" s="39"/>
      <c r="LXF189" s="39"/>
      <c r="LXG189" s="39"/>
      <c r="LXH189" s="39"/>
      <c r="LXI189" s="39"/>
      <c r="LXJ189" s="39"/>
      <c r="LXK189" s="39"/>
      <c r="LXL189" s="39"/>
      <c r="LXM189" s="39"/>
      <c r="LXN189" s="39"/>
      <c r="LXO189" s="39"/>
      <c r="LXP189" s="39"/>
      <c r="LXQ189" s="39"/>
      <c r="LXR189" s="39"/>
      <c r="LXS189" s="39"/>
      <c r="LXT189" s="39"/>
      <c r="LXU189" s="39"/>
      <c r="LXV189" s="39"/>
      <c r="LXW189" s="39"/>
      <c r="LXX189" s="39"/>
      <c r="LXY189" s="39"/>
      <c r="LXZ189" s="39"/>
      <c r="LYA189" s="39"/>
      <c r="LYB189" s="39"/>
      <c r="LYC189" s="39"/>
      <c r="LYD189" s="39"/>
      <c r="LYE189" s="39"/>
      <c r="LYF189" s="39"/>
      <c r="LYG189" s="39"/>
      <c r="LYH189" s="39"/>
      <c r="LYI189" s="39"/>
      <c r="LYJ189" s="39"/>
      <c r="LYK189" s="39"/>
      <c r="LYL189" s="39"/>
      <c r="LYM189" s="39"/>
      <c r="LYN189" s="39"/>
      <c r="LYO189" s="39"/>
      <c r="LYP189" s="39"/>
      <c r="LYQ189" s="39"/>
      <c r="LYR189" s="39"/>
      <c r="LYS189" s="39"/>
      <c r="LYT189" s="39"/>
      <c r="LYU189" s="39"/>
      <c r="LYV189" s="39"/>
      <c r="LYW189" s="39"/>
      <c r="LYX189" s="39"/>
      <c r="LYY189" s="39"/>
      <c r="LYZ189" s="39"/>
      <c r="LZA189" s="39"/>
      <c r="LZB189" s="39"/>
      <c r="LZC189" s="39"/>
      <c r="LZD189" s="39"/>
      <c r="LZE189" s="39"/>
      <c r="LZF189" s="39"/>
      <c r="LZG189" s="39"/>
      <c r="LZH189" s="39"/>
      <c r="LZI189" s="39"/>
      <c r="LZJ189" s="39"/>
      <c r="LZK189" s="39"/>
      <c r="LZL189" s="39"/>
      <c r="LZM189" s="39"/>
      <c r="LZN189" s="39"/>
      <c r="LZO189" s="39"/>
      <c r="LZP189" s="39"/>
      <c r="LZQ189" s="39"/>
      <c r="LZR189" s="39"/>
      <c r="LZS189" s="39"/>
      <c r="LZT189" s="39"/>
      <c r="LZU189" s="39"/>
      <c r="LZV189" s="39"/>
      <c r="LZW189" s="39"/>
      <c r="LZX189" s="39"/>
      <c r="LZY189" s="39"/>
      <c r="LZZ189" s="39"/>
      <c r="MAA189" s="39"/>
      <c r="MAB189" s="39"/>
      <c r="MAC189" s="39"/>
      <c r="MAD189" s="39"/>
      <c r="MAE189" s="39"/>
      <c r="MAF189" s="39"/>
      <c r="MAG189" s="39"/>
      <c r="MAH189" s="39"/>
      <c r="MAI189" s="39"/>
      <c r="MAJ189" s="39"/>
      <c r="MAK189" s="39"/>
      <c r="MAL189" s="39"/>
      <c r="MAM189" s="39"/>
      <c r="MAN189" s="39"/>
      <c r="MAO189" s="39"/>
      <c r="MAP189" s="39"/>
      <c r="MAQ189" s="39"/>
      <c r="MAR189" s="39"/>
      <c r="MAS189" s="39"/>
      <c r="MAT189" s="39"/>
      <c r="MAU189" s="39"/>
      <c r="MAV189" s="39"/>
      <c r="MAW189" s="39"/>
      <c r="MAX189" s="39"/>
      <c r="MAY189" s="39"/>
      <c r="MAZ189" s="39"/>
      <c r="MBA189" s="39"/>
      <c r="MBB189" s="39"/>
      <c r="MBC189" s="39"/>
      <c r="MBD189" s="39"/>
      <c r="MBE189" s="39"/>
      <c r="MBF189" s="39"/>
      <c r="MBG189" s="39"/>
      <c r="MBH189" s="39"/>
      <c r="MBI189" s="39"/>
      <c r="MBJ189" s="39"/>
      <c r="MBK189" s="39"/>
      <c r="MBL189" s="39"/>
      <c r="MBM189" s="39"/>
      <c r="MBN189" s="39"/>
      <c r="MBO189" s="39"/>
      <c r="MBP189" s="39"/>
      <c r="MBQ189" s="39"/>
      <c r="MBR189" s="39"/>
      <c r="MBS189" s="39"/>
      <c r="MBT189" s="39"/>
      <c r="MBU189" s="39"/>
      <c r="MBV189" s="39"/>
      <c r="MBW189" s="39"/>
      <c r="MBX189" s="39"/>
      <c r="MBY189" s="39"/>
      <c r="MBZ189" s="39"/>
      <c r="MCA189" s="39"/>
      <c r="MCB189" s="39"/>
      <c r="MCC189" s="39"/>
      <c r="MCD189" s="39"/>
      <c r="MCE189" s="39"/>
      <c r="MCF189" s="39"/>
      <c r="MCG189" s="39"/>
      <c r="MCH189" s="39"/>
      <c r="MCI189" s="39"/>
      <c r="MCJ189" s="39"/>
      <c r="MCK189" s="39"/>
      <c r="MCL189" s="39"/>
      <c r="MCM189" s="39"/>
      <c r="MCN189" s="39"/>
      <c r="MCO189" s="39"/>
      <c r="MCP189" s="39"/>
      <c r="MCQ189" s="39"/>
      <c r="MCR189" s="39"/>
      <c r="MCS189" s="39"/>
      <c r="MCT189" s="39"/>
      <c r="MCU189" s="39"/>
      <c r="MCV189" s="39"/>
      <c r="MCW189" s="39"/>
      <c r="MCX189" s="39"/>
      <c r="MCY189" s="39"/>
      <c r="MCZ189" s="39"/>
      <c r="MDA189" s="39"/>
      <c r="MDB189" s="39"/>
      <c r="MDC189" s="39"/>
      <c r="MDD189" s="39"/>
      <c r="MDE189" s="39"/>
      <c r="MDF189" s="39"/>
      <c r="MDG189" s="39"/>
      <c r="MDH189" s="39"/>
      <c r="MDI189" s="39"/>
      <c r="MDJ189" s="39"/>
      <c r="MDK189" s="39"/>
      <c r="MDL189" s="39"/>
      <c r="MDM189" s="39"/>
      <c r="MDN189" s="39"/>
      <c r="MDO189" s="39"/>
      <c r="MDP189" s="39"/>
      <c r="MDQ189" s="39"/>
      <c r="MDR189" s="39"/>
      <c r="MDS189" s="39"/>
      <c r="MDT189" s="39"/>
      <c r="MDU189" s="39"/>
      <c r="MDV189" s="39"/>
      <c r="MDW189" s="39"/>
      <c r="MDX189" s="39"/>
      <c r="MDY189" s="39"/>
      <c r="MDZ189" s="39"/>
      <c r="MEA189" s="39"/>
      <c r="MEB189" s="39"/>
      <c r="MEC189" s="39"/>
      <c r="MED189" s="39"/>
      <c r="MEE189" s="39"/>
      <c r="MEF189" s="39"/>
      <c r="MEG189" s="39"/>
      <c r="MEH189" s="39"/>
      <c r="MEI189" s="39"/>
      <c r="MEJ189" s="39"/>
      <c r="MEK189" s="39"/>
      <c r="MEL189" s="39"/>
      <c r="MEM189" s="39"/>
      <c r="MEN189" s="39"/>
      <c r="MEO189" s="39"/>
      <c r="MEP189" s="39"/>
      <c r="MEQ189" s="39"/>
      <c r="MER189" s="39"/>
      <c r="MES189" s="39"/>
      <c r="MET189" s="39"/>
      <c r="MEU189" s="39"/>
      <c r="MEV189" s="39"/>
      <c r="MEW189" s="39"/>
      <c r="MEX189" s="39"/>
      <c r="MEY189" s="39"/>
      <c r="MEZ189" s="39"/>
      <c r="MFA189" s="39"/>
      <c r="MFB189" s="39"/>
      <c r="MFC189" s="39"/>
      <c r="MFD189" s="39"/>
      <c r="MFE189" s="39"/>
      <c r="MFF189" s="39"/>
      <c r="MFG189" s="39"/>
      <c r="MFH189" s="39"/>
      <c r="MFI189" s="39"/>
      <c r="MFJ189" s="39"/>
      <c r="MFK189" s="39"/>
      <c r="MFL189" s="39"/>
      <c r="MFM189" s="39"/>
      <c r="MFN189" s="39"/>
      <c r="MFO189" s="39"/>
      <c r="MFP189" s="39"/>
      <c r="MFQ189" s="39"/>
      <c r="MFR189" s="39"/>
      <c r="MFS189" s="39"/>
      <c r="MFT189" s="39"/>
      <c r="MFU189" s="39"/>
      <c r="MFV189" s="39"/>
      <c r="MFW189" s="39"/>
      <c r="MFX189" s="39"/>
      <c r="MFY189" s="39"/>
      <c r="MFZ189" s="39"/>
      <c r="MGA189" s="39"/>
      <c r="MGB189" s="39"/>
      <c r="MGC189" s="39"/>
      <c r="MGD189" s="39"/>
      <c r="MGE189" s="39"/>
      <c r="MGF189" s="39"/>
      <c r="MGG189" s="39"/>
      <c r="MGH189" s="39"/>
      <c r="MGI189" s="39"/>
      <c r="MGJ189" s="39"/>
      <c r="MGK189" s="39"/>
      <c r="MGL189" s="39"/>
      <c r="MGM189" s="39"/>
      <c r="MGN189" s="39"/>
      <c r="MGO189" s="39"/>
      <c r="MGP189" s="39"/>
      <c r="MGQ189" s="39"/>
      <c r="MGR189" s="39"/>
      <c r="MGS189" s="39"/>
      <c r="MGT189" s="39"/>
      <c r="MGU189" s="39"/>
      <c r="MGV189" s="39"/>
      <c r="MGW189" s="39"/>
      <c r="MGX189" s="39"/>
      <c r="MGY189" s="39"/>
      <c r="MGZ189" s="39"/>
      <c r="MHA189" s="39"/>
      <c r="MHB189" s="39"/>
      <c r="MHC189" s="39"/>
      <c r="MHD189" s="39"/>
      <c r="MHE189" s="39"/>
      <c r="MHF189" s="39"/>
      <c r="MHG189" s="39"/>
      <c r="MHH189" s="39"/>
      <c r="MHI189" s="39"/>
      <c r="MHJ189" s="39"/>
      <c r="MHK189" s="39"/>
      <c r="MHL189" s="39"/>
      <c r="MHM189" s="39"/>
      <c r="MHN189" s="39"/>
      <c r="MHO189" s="39"/>
      <c r="MHP189" s="39"/>
      <c r="MHQ189" s="39"/>
      <c r="MHR189" s="39"/>
      <c r="MHS189" s="39"/>
      <c r="MHT189" s="39"/>
      <c r="MHU189" s="39"/>
      <c r="MHV189" s="39"/>
      <c r="MHW189" s="39"/>
      <c r="MHX189" s="39"/>
      <c r="MHY189" s="39"/>
      <c r="MHZ189" s="39"/>
      <c r="MIA189" s="39"/>
      <c r="MIB189" s="39"/>
      <c r="MIC189" s="39"/>
      <c r="MID189" s="39"/>
      <c r="MIE189" s="39"/>
      <c r="MIF189" s="39"/>
      <c r="MIG189" s="39"/>
      <c r="MIH189" s="39"/>
      <c r="MII189" s="39"/>
      <c r="MIJ189" s="39"/>
      <c r="MIK189" s="39"/>
      <c r="MIL189" s="39"/>
      <c r="MIM189" s="39"/>
      <c r="MIN189" s="39"/>
      <c r="MIO189" s="39"/>
      <c r="MIP189" s="39"/>
      <c r="MIQ189" s="39"/>
      <c r="MIR189" s="39"/>
      <c r="MIS189" s="39"/>
      <c r="MIT189" s="39"/>
      <c r="MIU189" s="39"/>
      <c r="MIV189" s="39"/>
      <c r="MIW189" s="39"/>
      <c r="MIX189" s="39"/>
      <c r="MIY189" s="39"/>
      <c r="MIZ189" s="39"/>
      <c r="MJA189" s="39"/>
      <c r="MJB189" s="39"/>
      <c r="MJC189" s="39"/>
      <c r="MJD189" s="39"/>
      <c r="MJE189" s="39"/>
      <c r="MJF189" s="39"/>
      <c r="MJG189" s="39"/>
      <c r="MJH189" s="39"/>
      <c r="MJI189" s="39"/>
      <c r="MJJ189" s="39"/>
      <c r="MJK189" s="39"/>
      <c r="MJL189" s="39"/>
      <c r="MJM189" s="39"/>
      <c r="MJN189" s="39"/>
      <c r="MJO189" s="39"/>
      <c r="MJP189" s="39"/>
      <c r="MJQ189" s="39"/>
      <c r="MJR189" s="39"/>
      <c r="MJS189" s="39"/>
      <c r="MJT189" s="39"/>
      <c r="MJU189" s="39"/>
      <c r="MJV189" s="39"/>
      <c r="MJW189" s="39"/>
      <c r="MJX189" s="39"/>
      <c r="MJY189" s="39"/>
      <c r="MJZ189" s="39"/>
      <c r="MKA189" s="39"/>
      <c r="MKB189" s="39"/>
      <c r="MKC189" s="39"/>
      <c r="MKD189" s="39"/>
      <c r="MKE189" s="39"/>
      <c r="MKF189" s="39"/>
      <c r="MKG189" s="39"/>
      <c r="MKH189" s="39"/>
      <c r="MKI189" s="39"/>
      <c r="MKJ189" s="39"/>
      <c r="MKK189" s="39"/>
      <c r="MKL189" s="39"/>
      <c r="MKM189" s="39"/>
      <c r="MKN189" s="39"/>
      <c r="MKO189" s="39"/>
      <c r="MKP189" s="39"/>
      <c r="MKQ189" s="39"/>
      <c r="MKR189" s="39"/>
      <c r="MKS189" s="39"/>
      <c r="MKT189" s="39"/>
      <c r="MKU189" s="39"/>
      <c r="MKV189" s="39"/>
      <c r="MKW189" s="39"/>
      <c r="MKX189" s="39"/>
      <c r="MKY189" s="39"/>
      <c r="MKZ189" s="39"/>
      <c r="MLA189" s="39"/>
      <c r="MLB189" s="39"/>
      <c r="MLC189" s="39"/>
      <c r="MLD189" s="39"/>
      <c r="MLE189" s="39"/>
      <c r="MLF189" s="39"/>
      <c r="MLG189" s="39"/>
      <c r="MLH189" s="39"/>
      <c r="MLI189" s="39"/>
      <c r="MLJ189" s="39"/>
      <c r="MLK189" s="39"/>
      <c r="MLL189" s="39"/>
      <c r="MLM189" s="39"/>
      <c r="MLN189" s="39"/>
      <c r="MLO189" s="39"/>
      <c r="MLP189" s="39"/>
      <c r="MLQ189" s="39"/>
      <c r="MLR189" s="39"/>
      <c r="MLS189" s="39"/>
      <c r="MLT189" s="39"/>
      <c r="MLU189" s="39"/>
      <c r="MLV189" s="39"/>
      <c r="MLW189" s="39"/>
      <c r="MLX189" s="39"/>
      <c r="MLY189" s="39"/>
      <c r="MLZ189" s="39"/>
      <c r="MMA189" s="39"/>
      <c r="MMB189" s="39"/>
      <c r="MMC189" s="39"/>
      <c r="MMD189" s="39"/>
      <c r="MME189" s="39"/>
      <c r="MMF189" s="39"/>
      <c r="MMG189" s="39"/>
      <c r="MMH189" s="39"/>
      <c r="MMI189" s="39"/>
      <c r="MMJ189" s="39"/>
      <c r="MMK189" s="39"/>
      <c r="MML189" s="39"/>
      <c r="MMM189" s="39"/>
      <c r="MMN189" s="39"/>
      <c r="MMO189" s="39"/>
      <c r="MMP189" s="39"/>
      <c r="MMQ189" s="39"/>
      <c r="MMR189" s="39"/>
      <c r="MMS189" s="39"/>
      <c r="MMT189" s="39"/>
      <c r="MMU189" s="39"/>
      <c r="MMV189" s="39"/>
      <c r="MMW189" s="39"/>
      <c r="MMX189" s="39"/>
      <c r="MMY189" s="39"/>
      <c r="MMZ189" s="39"/>
      <c r="MNA189" s="39"/>
      <c r="MNB189" s="39"/>
      <c r="MNC189" s="39"/>
      <c r="MND189" s="39"/>
      <c r="MNE189" s="39"/>
      <c r="MNF189" s="39"/>
      <c r="MNG189" s="39"/>
      <c r="MNH189" s="39"/>
      <c r="MNI189" s="39"/>
      <c r="MNJ189" s="39"/>
      <c r="MNK189" s="39"/>
      <c r="MNL189" s="39"/>
      <c r="MNM189" s="39"/>
      <c r="MNN189" s="39"/>
      <c r="MNO189" s="39"/>
      <c r="MNP189" s="39"/>
      <c r="MNQ189" s="39"/>
      <c r="MNR189" s="39"/>
      <c r="MNS189" s="39"/>
      <c r="MNT189" s="39"/>
      <c r="MNU189" s="39"/>
      <c r="MNV189" s="39"/>
      <c r="MNW189" s="39"/>
      <c r="MNX189" s="39"/>
      <c r="MNY189" s="39"/>
      <c r="MNZ189" s="39"/>
      <c r="MOA189" s="39"/>
      <c r="MOB189" s="39"/>
      <c r="MOC189" s="39"/>
      <c r="MOD189" s="39"/>
      <c r="MOE189" s="39"/>
      <c r="MOF189" s="39"/>
      <c r="MOG189" s="39"/>
      <c r="MOH189" s="39"/>
      <c r="MOI189" s="39"/>
      <c r="MOJ189" s="39"/>
      <c r="MOK189" s="39"/>
      <c r="MOL189" s="39"/>
      <c r="MOM189" s="39"/>
      <c r="MON189" s="39"/>
      <c r="MOO189" s="39"/>
      <c r="MOP189" s="39"/>
      <c r="MOQ189" s="39"/>
      <c r="MOR189" s="39"/>
      <c r="MOS189" s="39"/>
      <c r="MOT189" s="39"/>
      <c r="MOU189" s="39"/>
      <c r="MOV189" s="39"/>
      <c r="MOW189" s="39"/>
      <c r="MOX189" s="39"/>
      <c r="MOY189" s="39"/>
      <c r="MOZ189" s="39"/>
      <c r="MPA189" s="39"/>
      <c r="MPB189" s="39"/>
      <c r="MPC189" s="39"/>
      <c r="MPD189" s="39"/>
      <c r="MPE189" s="39"/>
      <c r="MPF189" s="39"/>
      <c r="MPG189" s="39"/>
      <c r="MPH189" s="39"/>
      <c r="MPI189" s="39"/>
      <c r="MPJ189" s="39"/>
      <c r="MPK189" s="39"/>
      <c r="MPL189" s="39"/>
      <c r="MPM189" s="39"/>
      <c r="MPN189" s="39"/>
      <c r="MPO189" s="39"/>
      <c r="MPP189" s="39"/>
      <c r="MPQ189" s="39"/>
      <c r="MPR189" s="39"/>
      <c r="MPS189" s="39"/>
      <c r="MPT189" s="39"/>
      <c r="MPU189" s="39"/>
      <c r="MPV189" s="39"/>
      <c r="MPW189" s="39"/>
      <c r="MPX189" s="39"/>
      <c r="MPY189" s="39"/>
      <c r="MPZ189" s="39"/>
      <c r="MQA189" s="39"/>
      <c r="MQB189" s="39"/>
      <c r="MQC189" s="39"/>
      <c r="MQD189" s="39"/>
      <c r="MQE189" s="39"/>
      <c r="MQF189" s="39"/>
      <c r="MQG189" s="39"/>
      <c r="MQH189" s="39"/>
      <c r="MQI189" s="39"/>
      <c r="MQJ189" s="39"/>
      <c r="MQK189" s="39"/>
      <c r="MQL189" s="39"/>
      <c r="MQM189" s="39"/>
      <c r="MQN189" s="39"/>
      <c r="MQO189" s="39"/>
      <c r="MQP189" s="39"/>
      <c r="MQQ189" s="39"/>
      <c r="MQR189" s="39"/>
      <c r="MQS189" s="39"/>
      <c r="MQT189" s="39"/>
      <c r="MQU189" s="39"/>
      <c r="MQV189" s="39"/>
      <c r="MQW189" s="39"/>
      <c r="MQX189" s="39"/>
      <c r="MQY189" s="39"/>
      <c r="MQZ189" s="39"/>
      <c r="MRA189" s="39"/>
      <c r="MRB189" s="39"/>
      <c r="MRC189" s="39"/>
      <c r="MRD189" s="39"/>
      <c r="MRE189" s="39"/>
      <c r="MRF189" s="39"/>
      <c r="MRG189" s="39"/>
      <c r="MRH189" s="39"/>
      <c r="MRI189" s="39"/>
      <c r="MRJ189" s="39"/>
      <c r="MRK189" s="39"/>
      <c r="MRL189" s="39"/>
      <c r="MRM189" s="39"/>
      <c r="MRN189" s="39"/>
      <c r="MRO189" s="39"/>
      <c r="MRP189" s="39"/>
      <c r="MRQ189" s="39"/>
      <c r="MRR189" s="39"/>
      <c r="MRS189" s="39"/>
      <c r="MRT189" s="39"/>
      <c r="MRU189" s="39"/>
      <c r="MRV189" s="39"/>
      <c r="MRW189" s="39"/>
      <c r="MRX189" s="39"/>
      <c r="MRY189" s="39"/>
      <c r="MRZ189" s="39"/>
      <c r="MSA189" s="39"/>
      <c r="MSB189" s="39"/>
      <c r="MSC189" s="39"/>
      <c r="MSD189" s="39"/>
      <c r="MSE189" s="39"/>
      <c r="MSF189" s="39"/>
      <c r="MSG189" s="39"/>
      <c r="MSH189" s="39"/>
      <c r="MSI189" s="39"/>
      <c r="MSJ189" s="39"/>
      <c r="MSK189" s="39"/>
      <c r="MSL189" s="39"/>
      <c r="MSM189" s="39"/>
      <c r="MSN189" s="39"/>
      <c r="MSO189" s="39"/>
      <c r="MSP189" s="39"/>
      <c r="MSQ189" s="39"/>
      <c r="MSR189" s="39"/>
      <c r="MSS189" s="39"/>
      <c r="MST189" s="39"/>
      <c r="MSU189" s="39"/>
      <c r="MSV189" s="39"/>
      <c r="MSW189" s="39"/>
      <c r="MSX189" s="39"/>
      <c r="MSY189" s="39"/>
      <c r="MSZ189" s="39"/>
      <c r="MTA189" s="39"/>
      <c r="MTB189" s="39"/>
      <c r="MTC189" s="39"/>
      <c r="MTD189" s="39"/>
      <c r="MTE189" s="39"/>
      <c r="MTF189" s="39"/>
      <c r="MTG189" s="39"/>
      <c r="MTH189" s="39"/>
      <c r="MTI189" s="39"/>
      <c r="MTJ189" s="39"/>
      <c r="MTK189" s="39"/>
      <c r="MTL189" s="39"/>
      <c r="MTM189" s="39"/>
      <c r="MTN189" s="39"/>
      <c r="MTO189" s="39"/>
      <c r="MTP189" s="39"/>
      <c r="MTQ189" s="39"/>
      <c r="MTR189" s="39"/>
      <c r="MTS189" s="39"/>
      <c r="MTT189" s="39"/>
      <c r="MTU189" s="39"/>
      <c r="MTV189" s="39"/>
      <c r="MTW189" s="39"/>
      <c r="MTX189" s="39"/>
      <c r="MTY189" s="39"/>
      <c r="MTZ189" s="39"/>
      <c r="MUA189" s="39"/>
      <c r="MUB189" s="39"/>
      <c r="MUC189" s="39"/>
      <c r="MUD189" s="39"/>
      <c r="MUE189" s="39"/>
      <c r="MUF189" s="39"/>
      <c r="MUG189" s="39"/>
      <c r="MUH189" s="39"/>
      <c r="MUI189" s="39"/>
      <c r="MUJ189" s="39"/>
      <c r="MUK189" s="39"/>
      <c r="MUL189" s="39"/>
      <c r="MUM189" s="39"/>
      <c r="MUN189" s="39"/>
      <c r="MUO189" s="39"/>
      <c r="MUP189" s="39"/>
      <c r="MUQ189" s="39"/>
      <c r="MUR189" s="39"/>
      <c r="MUS189" s="39"/>
      <c r="MUT189" s="39"/>
      <c r="MUU189" s="39"/>
      <c r="MUV189" s="39"/>
      <c r="MUW189" s="39"/>
      <c r="MUX189" s="39"/>
      <c r="MUY189" s="39"/>
      <c r="MUZ189" s="39"/>
      <c r="MVA189" s="39"/>
      <c r="MVB189" s="39"/>
      <c r="MVC189" s="39"/>
      <c r="MVD189" s="39"/>
      <c r="MVE189" s="39"/>
      <c r="MVF189" s="39"/>
      <c r="MVG189" s="39"/>
      <c r="MVH189" s="39"/>
      <c r="MVI189" s="39"/>
      <c r="MVJ189" s="39"/>
      <c r="MVK189" s="39"/>
      <c r="MVL189" s="39"/>
      <c r="MVM189" s="39"/>
      <c r="MVN189" s="39"/>
      <c r="MVO189" s="39"/>
      <c r="MVP189" s="39"/>
      <c r="MVQ189" s="39"/>
      <c r="MVR189" s="39"/>
      <c r="MVS189" s="39"/>
      <c r="MVT189" s="39"/>
      <c r="MVU189" s="39"/>
      <c r="MVV189" s="39"/>
      <c r="MVW189" s="39"/>
      <c r="MVX189" s="39"/>
      <c r="MVY189" s="39"/>
      <c r="MVZ189" s="39"/>
      <c r="MWA189" s="39"/>
      <c r="MWB189" s="39"/>
      <c r="MWC189" s="39"/>
      <c r="MWD189" s="39"/>
      <c r="MWE189" s="39"/>
      <c r="MWF189" s="39"/>
      <c r="MWG189" s="39"/>
      <c r="MWH189" s="39"/>
      <c r="MWI189" s="39"/>
      <c r="MWJ189" s="39"/>
      <c r="MWK189" s="39"/>
      <c r="MWL189" s="39"/>
      <c r="MWM189" s="39"/>
      <c r="MWN189" s="39"/>
      <c r="MWO189" s="39"/>
      <c r="MWP189" s="39"/>
      <c r="MWQ189" s="39"/>
      <c r="MWR189" s="39"/>
      <c r="MWS189" s="39"/>
      <c r="MWT189" s="39"/>
      <c r="MWU189" s="39"/>
      <c r="MWV189" s="39"/>
      <c r="MWW189" s="39"/>
      <c r="MWX189" s="39"/>
      <c r="MWY189" s="39"/>
      <c r="MWZ189" s="39"/>
      <c r="MXA189" s="39"/>
      <c r="MXB189" s="39"/>
      <c r="MXC189" s="39"/>
      <c r="MXD189" s="39"/>
      <c r="MXE189" s="39"/>
      <c r="MXF189" s="39"/>
      <c r="MXG189" s="39"/>
      <c r="MXH189" s="39"/>
      <c r="MXI189" s="39"/>
      <c r="MXJ189" s="39"/>
      <c r="MXK189" s="39"/>
      <c r="MXL189" s="39"/>
      <c r="MXM189" s="39"/>
      <c r="MXN189" s="39"/>
      <c r="MXO189" s="39"/>
      <c r="MXP189" s="39"/>
      <c r="MXQ189" s="39"/>
      <c r="MXR189" s="39"/>
      <c r="MXS189" s="39"/>
      <c r="MXT189" s="39"/>
      <c r="MXU189" s="39"/>
      <c r="MXV189" s="39"/>
      <c r="MXW189" s="39"/>
      <c r="MXX189" s="39"/>
      <c r="MXY189" s="39"/>
      <c r="MXZ189" s="39"/>
      <c r="MYA189" s="39"/>
      <c r="MYB189" s="39"/>
      <c r="MYC189" s="39"/>
      <c r="MYD189" s="39"/>
      <c r="MYE189" s="39"/>
      <c r="MYF189" s="39"/>
      <c r="MYG189" s="39"/>
      <c r="MYH189" s="39"/>
      <c r="MYI189" s="39"/>
      <c r="MYJ189" s="39"/>
      <c r="MYK189" s="39"/>
      <c r="MYL189" s="39"/>
      <c r="MYM189" s="39"/>
      <c r="MYN189" s="39"/>
      <c r="MYO189" s="39"/>
      <c r="MYP189" s="39"/>
      <c r="MYQ189" s="39"/>
      <c r="MYR189" s="39"/>
      <c r="MYS189" s="39"/>
      <c r="MYT189" s="39"/>
      <c r="MYU189" s="39"/>
      <c r="MYV189" s="39"/>
      <c r="MYW189" s="39"/>
      <c r="MYX189" s="39"/>
      <c r="MYY189" s="39"/>
      <c r="MYZ189" s="39"/>
      <c r="MZA189" s="39"/>
      <c r="MZB189" s="39"/>
      <c r="MZC189" s="39"/>
      <c r="MZD189" s="39"/>
      <c r="MZE189" s="39"/>
      <c r="MZF189" s="39"/>
      <c r="MZG189" s="39"/>
      <c r="MZH189" s="39"/>
      <c r="MZI189" s="39"/>
      <c r="MZJ189" s="39"/>
      <c r="MZK189" s="39"/>
      <c r="MZL189" s="39"/>
      <c r="MZM189" s="39"/>
      <c r="MZN189" s="39"/>
      <c r="MZO189" s="39"/>
      <c r="MZP189" s="39"/>
      <c r="MZQ189" s="39"/>
      <c r="MZR189" s="39"/>
      <c r="MZS189" s="39"/>
      <c r="MZT189" s="39"/>
      <c r="MZU189" s="39"/>
      <c r="MZV189" s="39"/>
      <c r="MZW189" s="39"/>
      <c r="MZX189" s="39"/>
      <c r="MZY189" s="39"/>
      <c r="MZZ189" s="39"/>
      <c r="NAA189" s="39"/>
      <c r="NAB189" s="39"/>
      <c r="NAC189" s="39"/>
      <c r="NAD189" s="39"/>
      <c r="NAE189" s="39"/>
      <c r="NAF189" s="39"/>
      <c r="NAG189" s="39"/>
      <c r="NAH189" s="39"/>
      <c r="NAI189" s="39"/>
      <c r="NAJ189" s="39"/>
      <c r="NAK189" s="39"/>
      <c r="NAL189" s="39"/>
      <c r="NAM189" s="39"/>
      <c r="NAN189" s="39"/>
      <c r="NAO189" s="39"/>
      <c r="NAP189" s="39"/>
      <c r="NAQ189" s="39"/>
      <c r="NAR189" s="39"/>
      <c r="NAS189" s="39"/>
      <c r="NAT189" s="39"/>
      <c r="NAU189" s="39"/>
      <c r="NAV189" s="39"/>
      <c r="NAW189" s="39"/>
      <c r="NAX189" s="39"/>
      <c r="NAY189" s="39"/>
      <c r="NAZ189" s="39"/>
      <c r="NBA189" s="39"/>
      <c r="NBB189" s="39"/>
      <c r="NBC189" s="39"/>
      <c r="NBD189" s="39"/>
      <c r="NBE189" s="39"/>
      <c r="NBF189" s="39"/>
      <c r="NBG189" s="39"/>
      <c r="NBH189" s="39"/>
      <c r="NBI189" s="39"/>
      <c r="NBJ189" s="39"/>
      <c r="NBK189" s="39"/>
      <c r="NBL189" s="39"/>
      <c r="NBM189" s="39"/>
      <c r="NBN189" s="39"/>
      <c r="NBO189" s="39"/>
      <c r="NBP189" s="39"/>
      <c r="NBQ189" s="39"/>
      <c r="NBR189" s="39"/>
      <c r="NBS189" s="39"/>
      <c r="NBT189" s="39"/>
      <c r="NBU189" s="39"/>
      <c r="NBV189" s="39"/>
      <c r="NBW189" s="39"/>
      <c r="NBX189" s="39"/>
      <c r="NBY189" s="39"/>
      <c r="NBZ189" s="39"/>
      <c r="NCA189" s="39"/>
      <c r="NCB189" s="39"/>
      <c r="NCC189" s="39"/>
      <c r="NCD189" s="39"/>
      <c r="NCE189" s="39"/>
      <c r="NCF189" s="39"/>
      <c r="NCG189" s="39"/>
      <c r="NCH189" s="39"/>
      <c r="NCI189" s="39"/>
      <c r="NCJ189" s="39"/>
      <c r="NCK189" s="39"/>
      <c r="NCL189" s="39"/>
      <c r="NCM189" s="39"/>
      <c r="NCN189" s="39"/>
      <c r="NCO189" s="39"/>
      <c r="NCP189" s="39"/>
      <c r="NCQ189" s="39"/>
      <c r="NCR189" s="39"/>
      <c r="NCS189" s="39"/>
      <c r="NCT189" s="39"/>
      <c r="NCU189" s="39"/>
      <c r="NCV189" s="39"/>
      <c r="NCW189" s="39"/>
      <c r="NCX189" s="39"/>
      <c r="NCY189" s="39"/>
      <c r="NCZ189" s="39"/>
      <c r="NDA189" s="39"/>
      <c r="NDB189" s="39"/>
      <c r="NDC189" s="39"/>
      <c r="NDD189" s="39"/>
      <c r="NDE189" s="39"/>
      <c r="NDF189" s="39"/>
      <c r="NDG189" s="39"/>
      <c r="NDH189" s="39"/>
      <c r="NDI189" s="39"/>
      <c r="NDJ189" s="39"/>
      <c r="NDK189" s="39"/>
      <c r="NDL189" s="39"/>
      <c r="NDM189" s="39"/>
      <c r="NDN189" s="39"/>
      <c r="NDO189" s="39"/>
      <c r="NDP189" s="39"/>
      <c r="NDQ189" s="39"/>
      <c r="NDR189" s="39"/>
      <c r="NDS189" s="39"/>
      <c r="NDT189" s="39"/>
      <c r="NDU189" s="39"/>
      <c r="NDV189" s="39"/>
      <c r="NDW189" s="39"/>
      <c r="NDX189" s="39"/>
      <c r="NDY189" s="39"/>
      <c r="NDZ189" s="39"/>
      <c r="NEA189" s="39"/>
      <c r="NEB189" s="39"/>
      <c r="NEC189" s="39"/>
      <c r="NED189" s="39"/>
      <c r="NEE189" s="39"/>
      <c r="NEF189" s="39"/>
      <c r="NEG189" s="39"/>
      <c r="NEH189" s="39"/>
      <c r="NEI189" s="39"/>
      <c r="NEJ189" s="39"/>
      <c r="NEK189" s="39"/>
      <c r="NEL189" s="39"/>
      <c r="NEM189" s="39"/>
      <c r="NEN189" s="39"/>
      <c r="NEO189" s="39"/>
      <c r="NEP189" s="39"/>
      <c r="NEQ189" s="39"/>
      <c r="NER189" s="39"/>
      <c r="NES189" s="39"/>
      <c r="NET189" s="39"/>
      <c r="NEU189" s="39"/>
      <c r="NEV189" s="39"/>
      <c r="NEW189" s="39"/>
      <c r="NEX189" s="39"/>
      <c r="NEY189" s="39"/>
      <c r="NEZ189" s="39"/>
      <c r="NFA189" s="39"/>
      <c r="NFB189" s="39"/>
      <c r="NFC189" s="39"/>
      <c r="NFD189" s="39"/>
      <c r="NFE189" s="39"/>
      <c r="NFF189" s="39"/>
      <c r="NFG189" s="39"/>
      <c r="NFH189" s="39"/>
      <c r="NFI189" s="39"/>
      <c r="NFJ189" s="39"/>
      <c r="NFK189" s="39"/>
      <c r="NFL189" s="39"/>
      <c r="NFM189" s="39"/>
      <c r="NFN189" s="39"/>
      <c r="NFO189" s="39"/>
      <c r="NFP189" s="39"/>
      <c r="NFQ189" s="39"/>
      <c r="NFR189" s="39"/>
      <c r="NFS189" s="39"/>
      <c r="NFT189" s="39"/>
      <c r="NFU189" s="39"/>
      <c r="NFV189" s="39"/>
      <c r="NFW189" s="39"/>
      <c r="NFX189" s="39"/>
      <c r="NFY189" s="39"/>
      <c r="NFZ189" s="39"/>
      <c r="NGA189" s="39"/>
      <c r="NGB189" s="39"/>
      <c r="NGC189" s="39"/>
      <c r="NGD189" s="39"/>
      <c r="NGE189" s="39"/>
      <c r="NGF189" s="39"/>
      <c r="NGG189" s="39"/>
      <c r="NGH189" s="39"/>
      <c r="NGI189" s="39"/>
      <c r="NGJ189" s="39"/>
      <c r="NGK189" s="39"/>
      <c r="NGL189" s="39"/>
      <c r="NGM189" s="39"/>
      <c r="NGN189" s="39"/>
      <c r="NGO189" s="39"/>
      <c r="NGP189" s="39"/>
      <c r="NGQ189" s="39"/>
      <c r="NGR189" s="39"/>
      <c r="NGS189" s="39"/>
      <c r="NGT189" s="39"/>
      <c r="NGU189" s="39"/>
      <c r="NGV189" s="39"/>
      <c r="NGW189" s="39"/>
      <c r="NGX189" s="39"/>
      <c r="NGY189" s="39"/>
      <c r="NGZ189" s="39"/>
      <c r="NHA189" s="39"/>
      <c r="NHB189" s="39"/>
      <c r="NHC189" s="39"/>
      <c r="NHD189" s="39"/>
      <c r="NHE189" s="39"/>
      <c r="NHF189" s="39"/>
      <c r="NHG189" s="39"/>
      <c r="NHH189" s="39"/>
      <c r="NHI189" s="39"/>
      <c r="NHJ189" s="39"/>
      <c r="NHK189" s="39"/>
      <c r="NHL189" s="39"/>
      <c r="NHM189" s="39"/>
      <c r="NHN189" s="39"/>
      <c r="NHO189" s="39"/>
      <c r="NHP189" s="39"/>
      <c r="NHQ189" s="39"/>
      <c r="NHR189" s="39"/>
      <c r="NHS189" s="39"/>
      <c r="NHT189" s="39"/>
      <c r="NHU189" s="39"/>
      <c r="NHV189" s="39"/>
      <c r="NHW189" s="39"/>
      <c r="NHX189" s="39"/>
      <c r="NHY189" s="39"/>
      <c r="NHZ189" s="39"/>
      <c r="NIA189" s="39"/>
      <c r="NIB189" s="39"/>
      <c r="NIC189" s="39"/>
      <c r="NID189" s="39"/>
      <c r="NIE189" s="39"/>
      <c r="NIF189" s="39"/>
      <c r="NIG189" s="39"/>
      <c r="NIH189" s="39"/>
      <c r="NII189" s="39"/>
      <c r="NIJ189" s="39"/>
      <c r="NIK189" s="39"/>
      <c r="NIL189" s="39"/>
      <c r="NIM189" s="39"/>
      <c r="NIN189" s="39"/>
      <c r="NIO189" s="39"/>
      <c r="NIP189" s="39"/>
      <c r="NIQ189" s="39"/>
      <c r="NIR189" s="39"/>
      <c r="NIS189" s="39"/>
      <c r="NIT189" s="39"/>
      <c r="NIU189" s="39"/>
      <c r="NIV189" s="39"/>
      <c r="NIW189" s="39"/>
      <c r="NIX189" s="39"/>
      <c r="NIY189" s="39"/>
      <c r="NIZ189" s="39"/>
      <c r="NJA189" s="39"/>
      <c r="NJB189" s="39"/>
      <c r="NJC189" s="39"/>
      <c r="NJD189" s="39"/>
      <c r="NJE189" s="39"/>
      <c r="NJF189" s="39"/>
      <c r="NJG189" s="39"/>
      <c r="NJH189" s="39"/>
      <c r="NJI189" s="39"/>
      <c r="NJJ189" s="39"/>
      <c r="NJK189" s="39"/>
      <c r="NJL189" s="39"/>
      <c r="NJM189" s="39"/>
      <c r="NJN189" s="39"/>
      <c r="NJO189" s="39"/>
      <c r="NJP189" s="39"/>
      <c r="NJQ189" s="39"/>
      <c r="NJR189" s="39"/>
      <c r="NJS189" s="39"/>
      <c r="NJT189" s="39"/>
      <c r="NJU189" s="39"/>
      <c r="NJV189" s="39"/>
      <c r="NJW189" s="39"/>
      <c r="NJX189" s="39"/>
      <c r="NJY189" s="39"/>
      <c r="NJZ189" s="39"/>
      <c r="NKA189" s="39"/>
      <c r="NKB189" s="39"/>
      <c r="NKC189" s="39"/>
      <c r="NKD189" s="39"/>
      <c r="NKE189" s="39"/>
      <c r="NKF189" s="39"/>
      <c r="NKG189" s="39"/>
      <c r="NKH189" s="39"/>
      <c r="NKI189" s="39"/>
      <c r="NKJ189" s="39"/>
      <c r="NKK189" s="39"/>
      <c r="NKL189" s="39"/>
      <c r="NKM189" s="39"/>
      <c r="NKN189" s="39"/>
      <c r="NKO189" s="39"/>
      <c r="NKP189" s="39"/>
      <c r="NKQ189" s="39"/>
      <c r="NKR189" s="39"/>
      <c r="NKS189" s="39"/>
      <c r="NKT189" s="39"/>
      <c r="NKU189" s="39"/>
      <c r="NKV189" s="39"/>
      <c r="NKW189" s="39"/>
      <c r="NKX189" s="39"/>
      <c r="NKY189" s="39"/>
      <c r="NKZ189" s="39"/>
      <c r="NLA189" s="39"/>
      <c r="NLB189" s="39"/>
      <c r="NLC189" s="39"/>
      <c r="NLD189" s="39"/>
      <c r="NLE189" s="39"/>
      <c r="NLF189" s="39"/>
      <c r="NLG189" s="39"/>
      <c r="NLH189" s="39"/>
      <c r="NLI189" s="39"/>
      <c r="NLJ189" s="39"/>
      <c r="NLK189" s="39"/>
      <c r="NLL189" s="39"/>
      <c r="NLM189" s="39"/>
      <c r="NLN189" s="39"/>
      <c r="NLO189" s="39"/>
      <c r="NLP189" s="39"/>
      <c r="NLQ189" s="39"/>
      <c r="NLR189" s="39"/>
      <c r="NLS189" s="39"/>
      <c r="NLT189" s="39"/>
      <c r="NLU189" s="39"/>
      <c r="NLV189" s="39"/>
      <c r="NLW189" s="39"/>
      <c r="NLX189" s="39"/>
      <c r="NLY189" s="39"/>
      <c r="NLZ189" s="39"/>
      <c r="NMA189" s="39"/>
      <c r="NMB189" s="39"/>
      <c r="NMC189" s="39"/>
      <c r="NMD189" s="39"/>
      <c r="NME189" s="39"/>
      <c r="NMF189" s="39"/>
      <c r="NMG189" s="39"/>
      <c r="NMH189" s="39"/>
      <c r="NMI189" s="39"/>
      <c r="NMJ189" s="39"/>
      <c r="NMK189" s="39"/>
      <c r="NML189" s="39"/>
      <c r="NMM189" s="39"/>
      <c r="NMN189" s="39"/>
      <c r="NMO189" s="39"/>
      <c r="NMP189" s="39"/>
      <c r="NMQ189" s="39"/>
      <c r="NMR189" s="39"/>
      <c r="NMS189" s="39"/>
      <c r="NMT189" s="39"/>
      <c r="NMU189" s="39"/>
      <c r="NMV189" s="39"/>
      <c r="NMW189" s="39"/>
      <c r="NMX189" s="39"/>
      <c r="NMY189" s="39"/>
      <c r="NMZ189" s="39"/>
      <c r="NNA189" s="39"/>
      <c r="NNB189" s="39"/>
      <c r="NNC189" s="39"/>
      <c r="NND189" s="39"/>
      <c r="NNE189" s="39"/>
      <c r="NNF189" s="39"/>
      <c r="NNG189" s="39"/>
      <c r="NNH189" s="39"/>
      <c r="NNI189" s="39"/>
      <c r="NNJ189" s="39"/>
      <c r="NNK189" s="39"/>
      <c r="NNL189" s="39"/>
      <c r="NNM189" s="39"/>
      <c r="NNN189" s="39"/>
      <c r="NNO189" s="39"/>
      <c r="NNP189" s="39"/>
      <c r="NNQ189" s="39"/>
      <c r="NNR189" s="39"/>
      <c r="NNS189" s="39"/>
      <c r="NNT189" s="39"/>
      <c r="NNU189" s="39"/>
      <c r="NNV189" s="39"/>
      <c r="NNW189" s="39"/>
      <c r="NNX189" s="39"/>
      <c r="NNY189" s="39"/>
      <c r="NNZ189" s="39"/>
      <c r="NOA189" s="39"/>
      <c r="NOB189" s="39"/>
      <c r="NOC189" s="39"/>
      <c r="NOD189" s="39"/>
      <c r="NOE189" s="39"/>
      <c r="NOF189" s="39"/>
      <c r="NOG189" s="39"/>
      <c r="NOH189" s="39"/>
      <c r="NOI189" s="39"/>
      <c r="NOJ189" s="39"/>
      <c r="NOK189" s="39"/>
      <c r="NOL189" s="39"/>
      <c r="NOM189" s="39"/>
      <c r="NON189" s="39"/>
      <c r="NOO189" s="39"/>
      <c r="NOP189" s="39"/>
      <c r="NOQ189" s="39"/>
      <c r="NOR189" s="39"/>
      <c r="NOS189" s="39"/>
      <c r="NOT189" s="39"/>
      <c r="NOU189" s="39"/>
      <c r="NOV189" s="39"/>
      <c r="NOW189" s="39"/>
      <c r="NOX189" s="39"/>
      <c r="NOY189" s="39"/>
      <c r="NOZ189" s="39"/>
      <c r="NPA189" s="39"/>
      <c r="NPB189" s="39"/>
      <c r="NPC189" s="39"/>
      <c r="NPD189" s="39"/>
      <c r="NPE189" s="39"/>
      <c r="NPF189" s="39"/>
      <c r="NPG189" s="39"/>
      <c r="NPH189" s="39"/>
      <c r="NPI189" s="39"/>
      <c r="NPJ189" s="39"/>
      <c r="NPK189" s="39"/>
      <c r="NPL189" s="39"/>
      <c r="NPM189" s="39"/>
      <c r="NPN189" s="39"/>
      <c r="NPO189" s="39"/>
      <c r="NPP189" s="39"/>
      <c r="NPQ189" s="39"/>
      <c r="NPR189" s="39"/>
      <c r="NPS189" s="39"/>
      <c r="NPT189" s="39"/>
      <c r="NPU189" s="39"/>
      <c r="NPV189" s="39"/>
      <c r="NPW189" s="39"/>
      <c r="NPX189" s="39"/>
      <c r="NPY189" s="39"/>
      <c r="NPZ189" s="39"/>
      <c r="NQA189" s="39"/>
      <c r="NQB189" s="39"/>
      <c r="NQC189" s="39"/>
      <c r="NQD189" s="39"/>
      <c r="NQE189" s="39"/>
      <c r="NQF189" s="39"/>
      <c r="NQG189" s="39"/>
      <c r="NQH189" s="39"/>
      <c r="NQI189" s="39"/>
      <c r="NQJ189" s="39"/>
      <c r="NQK189" s="39"/>
      <c r="NQL189" s="39"/>
      <c r="NQM189" s="39"/>
      <c r="NQN189" s="39"/>
      <c r="NQO189" s="39"/>
      <c r="NQP189" s="39"/>
      <c r="NQQ189" s="39"/>
      <c r="NQR189" s="39"/>
      <c r="NQS189" s="39"/>
      <c r="NQT189" s="39"/>
      <c r="NQU189" s="39"/>
      <c r="NQV189" s="39"/>
      <c r="NQW189" s="39"/>
      <c r="NQX189" s="39"/>
      <c r="NQY189" s="39"/>
      <c r="NQZ189" s="39"/>
      <c r="NRA189" s="39"/>
      <c r="NRB189" s="39"/>
      <c r="NRC189" s="39"/>
      <c r="NRD189" s="39"/>
      <c r="NRE189" s="39"/>
      <c r="NRF189" s="39"/>
      <c r="NRG189" s="39"/>
      <c r="NRH189" s="39"/>
      <c r="NRI189" s="39"/>
      <c r="NRJ189" s="39"/>
      <c r="NRK189" s="39"/>
      <c r="NRL189" s="39"/>
      <c r="NRM189" s="39"/>
      <c r="NRN189" s="39"/>
      <c r="NRO189" s="39"/>
      <c r="NRP189" s="39"/>
      <c r="NRQ189" s="39"/>
      <c r="NRR189" s="39"/>
      <c r="NRS189" s="39"/>
      <c r="NRT189" s="39"/>
      <c r="NRU189" s="39"/>
      <c r="NRV189" s="39"/>
      <c r="NRW189" s="39"/>
      <c r="NRX189" s="39"/>
      <c r="NRY189" s="39"/>
      <c r="NRZ189" s="39"/>
      <c r="NSA189" s="39"/>
      <c r="NSB189" s="39"/>
      <c r="NSC189" s="39"/>
      <c r="NSD189" s="39"/>
      <c r="NSE189" s="39"/>
      <c r="NSF189" s="39"/>
      <c r="NSG189" s="39"/>
      <c r="NSH189" s="39"/>
      <c r="NSI189" s="39"/>
      <c r="NSJ189" s="39"/>
      <c r="NSK189" s="39"/>
      <c r="NSL189" s="39"/>
      <c r="NSM189" s="39"/>
      <c r="NSN189" s="39"/>
      <c r="NSO189" s="39"/>
      <c r="NSP189" s="39"/>
      <c r="NSQ189" s="39"/>
      <c r="NSR189" s="39"/>
      <c r="NSS189" s="39"/>
      <c r="NST189" s="39"/>
      <c r="NSU189" s="39"/>
      <c r="NSV189" s="39"/>
      <c r="NSW189" s="39"/>
      <c r="NSX189" s="39"/>
      <c r="NSY189" s="39"/>
      <c r="NSZ189" s="39"/>
      <c r="NTA189" s="39"/>
      <c r="NTB189" s="39"/>
      <c r="NTC189" s="39"/>
      <c r="NTD189" s="39"/>
      <c r="NTE189" s="39"/>
      <c r="NTF189" s="39"/>
      <c r="NTG189" s="39"/>
      <c r="NTH189" s="39"/>
      <c r="NTI189" s="39"/>
      <c r="NTJ189" s="39"/>
      <c r="NTK189" s="39"/>
      <c r="NTL189" s="39"/>
      <c r="NTM189" s="39"/>
      <c r="NTN189" s="39"/>
      <c r="NTO189" s="39"/>
      <c r="NTP189" s="39"/>
      <c r="NTQ189" s="39"/>
      <c r="NTR189" s="39"/>
      <c r="NTS189" s="39"/>
      <c r="NTT189" s="39"/>
      <c r="NTU189" s="39"/>
      <c r="NTV189" s="39"/>
      <c r="NTW189" s="39"/>
      <c r="NTX189" s="39"/>
      <c r="NTY189" s="39"/>
      <c r="NTZ189" s="39"/>
      <c r="NUA189" s="39"/>
      <c r="NUB189" s="39"/>
      <c r="NUC189" s="39"/>
      <c r="NUD189" s="39"/>
      <c r="NUE189" s="39"/>
      <c r="NUF189" s="39"/>
      <c r="NUG189" s="39"/>
      <c r="NUH189" s="39"/>
      <c r="NUI189" s="39"/>
      <c r="NUJ189" s="39"/>
      <c r="NUK189" s="39"/>
      <c r="NUL189" s="39"/>
      <c r="NUM189" s="39"/>
      <c r="NUN189" s="39"/>
      <c r="NUO189" s="39"/>
      <c r="NUP189" s="39"/>
      <c r="NUQ189" s="39"/>
      <c r="NUR189" s="39"/>
      <c r="NUS189" s="39"/>
      <c r="NUT189" s="39"/>
      <c r="NUU189" s="39"/>
      <c r="NUV189" s="39"/>
      <c r="NUW189" s="39"/>
      <c r="NUX189" s="39"/>
      <c r="NUY189" s="39"/>
      <c r="NUZ189" s="39"/>
      <c r="NVA189" s="39"/>
      <c r="NVB189" s="39"/>
      <c r="NVC189" s="39"/>
      <c r="NVD189" s="39"/>
      <c r="NVE189" s="39"/>
      <c r="NVF189" s="39"/>
      <c r="NVG189" s="39"/>
      <c r="NVH189" s="39"/>
      <c r="NVI189" s="39"/>
      <c r="NVJ189" s="39"/>
      <c r="NVK189" s="39"/>
      <c r="NVL189" s="39"/>
      <c r="NVM189" s="39"/>
      <c r="NVN189" s="39"/>
      <c r="NVO189" s="39"/>
      <c r="NVP189" s="39"/>
      <c r="NVQ189" s="39"/>
      <c r="NVR189" s="39"/>
      <c r="NVS189" s="39"/>
      <c r="NVT189" s="39"/>
      <c r="NVU189" s="39"/>
      <c r="NVV189" s="39"/>
      <c r="NVW189" s="39"/>
      <c r="NVX189" s="39"/>
      <c r="NVY189" s="39"/>
      <c r="NVZ189" s="39"/>
      <c r="NWA189" s="39"/>
      <c r="NWB189" s="39"/>
      <c r="NWC189" s="39"/>
      <c r="NWD189" s="39"/>
      <c r="NWE189" s="39"/>
      <c r="NWF189" s="39"/>
      <c r="NWG189" s="39"/>
      <c r="NWH189" s="39"/>
      <c r="NWI189" s="39"/>
      <c r="NWJ189" s="39"/>
      <c r="NWK189" s="39"/>
      <c r="NWL189" s="39"/>
      <c r="NWM189" s="39"/>
      <c r="NWN189" s="39"/>
      <c r="NWO189" s="39"/>
      <c r="NWP189" s="39"/>
      <c r="NWQ189" s="39"/>
      <c r="NWR189" s="39"/>
      <c r="NWS189" s="39"/>
      <c r="NWT189" s="39"/>
      <c r="NWU189" s="39"/>
      <c r="NWV189" s="39"/>
      <c r="NWW189" s="39"/>
      <c r="NWX189" s="39"/>
      <c r="NWY189" s="39"/>
      <c r="NWZ189" s="39"/>
      <c r="NXA189" s="39"/>
      <c r="NXB189" s="39"/>
      <c r="NXC189" s="39"/>
      <c r="NXD189" s="39"/>
      <c r="NXE189" s="39"/>
      <c r="NXF189" s="39"/>
      <c r="NXG189" s="39"/>
      <c r="NXH189" s="39"/>
      <c r="NXI189" s="39"/>
      <c r="NXJ189" s="39"/>
      <c r="NXK189" s="39"/>
      <c r="NXL189" s="39"/>
      <c r="NXM189" s="39"/>
      <c r="NXN189" s="39"/>
      <c r="NXO189" s="39"/>
      <c r="NXP189" s="39"/>
      <c r="NXQ189" s="39"/>
      <c r="NXR189" s="39"/>
      <c r="NXS189" s="39"/>
      <c r="NXT189" s="39"/>
      <c r="NXU189" s="39"/>
      <c r="NXV189" s="39"/>
      <c r="NXW189" s="39"/>
      <c r="NXX189" s="39"/>
      <c r="NXY189" s="39"/>
      <c r="NXZ189" s="39"/>
      <c r="NYA189" s="39"/>
      <c r="NYB189" s="39"/>
      <c r="NYC189" s="39"/>
      <c r="NYD189" s="39"/>
      <c r="NYE189" s="39"/>
      <c r="NYF189" s="39"/>
      <c r="NYG189" s="39"/>
      <c r="NYH189" s="39"/>
      <c r="NYI189" s="39"/>
      <c r="NYJ189" s="39"/>
      <c r="NYK189" s="39"/>
      <c r="NYL189" s="39"/>
      <c r="NYM189" s="39"/>
      <c r="NYN189" s="39"/>
      <c r="NYO189" s="39"/>
      <c r="NYP189" s="39"/>
      <c r="NYQ189" s="39"/>
      <c r="NYR189" s="39"/>
      <c r="NYS189" s="39"/>
      <c r="NYT189" s="39"/>
      <c r="NYU189" s="39"/>
      <c r="NYV189" s="39"/>
      <c r="NYW189" s="39"/>
      <c r="NYX189" s="39"/>
      <c r="NYY189" s="39"/>
      <c r="NYZ189" s="39"/>
      <c r="NZA189" s="39"/>
      <c r="NZB189" s="39"/>
      <c r="NZC189" s="39"/>
      <c r="NZD189" s="39"/>
      <c r="NZE189" s="39"/>
      <c r="NZF189" s="39"/>
      <c r="NZG189" s="39"/>
      <c r="NZH189" s="39"/>
      <c r="NZI189" s="39"/>
      <c r="NZJ189" s="39"/>
      <c r="NZK189" s="39"/>
      <c r="NZL189" s="39"/>
      <c r="NZM189" s="39"/>
      <c r="NZN189" s="39"/>
      <c r="NZO189" s="39"/>
      <c r="NZP189" s="39"/>
      <c r="NZQ189" s="39"/>
      <c r="NZR189" s="39"/>
      <c r="NZS189" s="39"/>
      <c r="NZT189" s="39"/>
      <c r="NZU189" s="39"/>
      <c r="NZV189" s="39"/>
      <c r="NZW189" s="39"/>
      <c r="NZX189" s="39"/>
      <c r="NZY189" s="39"/>
      <c r="NZZ189" s="39"/>
      <c r="OAA189" s="39"/>
      <c r="OAB189" s="39"/>
      <c r="OAC189" s="39"/>
      <c r="OAD189" s="39"/>
      <c r="OAE189" s="39"/>
      <c r="OAF189" s="39"/>
      <c r="OAG189" s="39"/>
      <c r="OAH189" s="39"/>
      <c r="OAI189" s="39"/>
      <c r="OAJ189" s="39"/>
      <c r="OAK189" s="39"/>
      <c r="OAL189" s="39"/>
      <c r="OAM189" s="39"/>
      <c r="OAN189" s="39"/>
      <c r="OAO189" s="39"/>
      <c r="OAP189" s="39"/>
      <c r="OAQ189" s="39"/>
      <c r="OAR189" s="39"/>
      <c r="OAS189" s="39"/>
      <c r="OAT189" s="39"/>
      <c r="OAU189" s="39"/>
      <c r="OAV189" s="39"/>
      <c r="OAW189" s="39"/>
      <c r="OAX189" s="39"/>
      <c r="OAY189" s="39"/>
      <c r="OAZ189" s="39"/>
      <c r="OBA189" s="39"/>
      <c r="OBB189" s="39"/>
      <c r="OBC189" s="39"/>
      <c r="OBD189" s="39"/>
      <c r="OBE189" s="39"/>
      <c r="OBF189" s="39"/>
      <c r="OBG189" s="39"/>
      <c r="OBH189" s="39"/>
      <c r="OBI189" s="39"/>
      <c r="OBJ189" s="39"/>
      <c r="OBK189" s="39"/>
      <c r="OBL189" s="39"/>
      <c r="OBM189" s="39"/>
      <c r="OBN189" s="39"/>
      <c r="OBO189" s="39"/>
      <c r="OBP189" s="39"/>
      <c r="OBQ189" s="39"/>
      <c r="OBR189" s="39"/>
      <c r="OBS189" s="39"/>
      <c r="OBT189" s="39"/>
      <c r="OBU189" s="39"/>
      <c r="OBV189" s="39"/>
      <c r="OBW189" s="39"/>
      <c r="OBX189" s="39"/>
      <c r="OBY189" s="39"/>
      <c r="OBZ189" s="39"/>
      <c r="OCA189" s="39"/>
      <c r="OCB189" s="39"/>
      <c r="OCC189" s="39"/>
      <c r="OCD189" s="39"/>
      <c r="OCE189" s="39"/>
      <c r="OCF189" s="39"/>
      <c r="OCG189" s="39"/>
      <c r="OCH189" s="39"/>
      <c r="OCI189" s="39"/>
      <c r="OCJ189" s="39"/>
      <c r="OCK189" s="39"/>
      <c r="OCL189" s="39"/>
      <c r="OCM189" s="39"/>
      <c r="OCN189" s="39"/>
      <c r="OCO189" s="39"/>
      <c r="OCP189" s="39"/>
      <c r="OCQ189" s="39"/>
      <c r="OCR189" s="39"/>
      <c r="OCS189" s="39"/>
      <c r="OCT189" s="39"/>
      <c r="OCU189" s="39"/>
      <c r="OCV189" s="39"/>
      <c r="OCW189" s="39"/>
      <c r="OCX189" s="39"/>
      <c r="OCY189" s="39"/>
      <c r="OCZ189" s="39"/>
      <c r="ODA189" s="39"/>
      <c r="ODB189" s="39"/>
      <c r="ODC189" s="39"/>
      <c r="ODD189" s="39"/>
      <c r="ODE189" s="39"/>
      <c r="ODF189" s="39"/>
      <c r="ODG189" s="39"/>
      <c r="ODH189" s="39"/>
      <c r="ODI189" s="39"/>
      <c r="ODJ189" s="39"/>
      <c r="ODK189" s="39"/>
      <c r="ODL189" s="39"/>
      <c r="ODM189" s="39"/>
      <c r="ODN189" s="39"/>
      <c r="ODO189" s="39"/>
      <c r="ODP189" s="39"/>
      <c r="ODQ189" s="39"/>
      <c r="ODR189" s="39"/>
      <c r="ODS189" s="39"/>
      <c r="ODT189" s="39"/>
      <c r="ODU189" s="39"/>
      <c r="ODV189" s="39"/>
      <c r="ODW189" s="39"/>
      <c r="ODX189" s="39"/>
      <c r="ODY189" s="39"/>
      <c r="ODZ189" s="39"/>
      <c r="OEA189" s="39"/>
      <c r="OEB189" s="39"/>
      <c r="OEC189" s="39"/>
      <c r="OED189" s="39"/>
      <c r="OEE189" s="39"/>
      <c r="OEF189" s="39"/>
      <c r="OEG189" s="39"/>
      <c r="OEH189" s="39"/>
      <c r="OEI189" s="39"/>
      <c r="OEJ189" s="39"/>
      <c r="OEK189" s="39"/>
      <c r="OEL189" s="39"/>
      <c r="OEM189" s="39"/>
      <c r="OEN189" s="39"/>
      <c r="OEO189" s="39"/>
      <c r="OEP189" s="39"/>
      <c r="OEQ189" s="39"/>
      <c r="OER189" s="39"/>
      <c r="OES189" s="39"/>
      <c r="OET189" s="39"/>
      <c r="OEU189" s="39"/>
      <c r="OEV189" s="39"/>
      <c r="OEW189" s="39"/>
      <c r="OEX189" s="39"/>
      <c r="OEY189" s="39"/>
      <c r="OEZ189" s="39"/>
      <c r="OFA189" s="39"/>
      <c r="OFB189" s="39"/>
      <c r="OFC189" s="39"/>
      <c r="OFD189" s="39"/>
      <c r="OFE189" s="39"/>
      <c r="OFF189" s="39"/>
      <c r="OFG189" s="39"/>
      <c r="OFH189" s="39"/>
      <c r="OFI189" s="39"/>
      <c r="OFJ189" s="39"/>
      <c r="OFK189" s="39"/>
      <c r="OFL189" s="39"/>
      <c r="OFM189" s="39"/>
      <c r="OFN189" s="39"/>
      <c r="OFO189" s="39"/>
      <c r="OFP189" s="39"/>
      <c r="OFQ189" s="39"/>
      <c r="OFR189" s="39"/>
      <c r="OFS189" s="39"/>
      <c r="OFT189" s="39"/>
      <c r="OFU189" s="39"/>
      <c r="OFV189" s="39"/>
      <c r="OFW189" s="39"/>
      <c r="OFX189" s="39"/>
      <c r="OFY189" s="39"/>
      <c r="OFZ189" s="39"/>
      <c r="OGA189" s="39"/>
      <c r="OGB189" s="39"/>
      <c r="OGC189" s="39"/>
      <c r="OGD189" s="39"/>
      <c r="OGE189" s="39"/>
      <c r="OGF189" s="39"/>
      <c r="OGG189" s="39"/>
      <c r="OGH189" s="39"/>
      <c r="OGI189" s="39"/>
      <c r="OGJ189" s="39"/>
      <c r="OGK189" s="39"/>
      <c r="OGL189" s="39"/>
      <c r="OGM189" s="39"/>
      <c r="OGN189" s="39"/>
      <c r="OGO189" s="39"/>
      <c r="OGP189" s="39"/>
      <c r="OGQ189" s="39"/>
      <c r="OGR189" s="39"/>
      <c r="OGS189" s="39"/>
      <c r="OGT189" s="39"/>
      <c r="OGU189" s="39"/>
      <c r="OGV189" s="39"/>
      <c r="OGW189" s="39"/>
      <c r="OGX189" s="39"/>
      <c r="OGY189" s="39"/>
      <c r="OGZ189" s="39"/>
      <c r="OHA189" s="39"/>
      <c r="OHB189" s="39"/>
      <c r="OHC189" s="39"/>
      <c r="OHD189" s="39"/>
      <c r="OHE189" s="39"/>
      <c r="OHF189" s="39"/>
      <c r="OHG189" s="39"/>
      <c r="OHH189" s="39"/>
      <c r="OHI189" s="39"/>
      <c r="OHJ189" s="39"/>
      <c r="OHK189" s="39"/>
      <c r="OHL189" s="39"/>
      <c r="OHM189" s="39"/>
      <c r="OHN189" s="39"/>
      <c r="OHO189" s="39"/>
      <c r="OHP189" s="39"/>
      <c r="OHQ189" s="39"/>
      <c r="OHR189" s="39"/>
      <c r="OHS189" s="39"/>
      <c r="OHT189" s="39"/>
      <c r="OHU189" s="39"/>
      <c r="OHV189" s="39"/>
      <c r="OHW189" s="39"/>
      <c r="OHX189" s="39"/>
      <c r="OHY189" s="39"/>
      <c r="OHZ189" s="39"/>
      <c r="OIA189" s="39"/>
      <c r="OIB189" s="39"/>
      <c r="OIC189" s="39"/>
      <c r="OID189" s="39"/>
      <c r="OIE189" s="39"/>
      <c r="OIF189" s="39"/>
      <c r="OIG189" s="39"/>
      <c r="OIH189" s="39"/>
      <c r="OII189" s="39"/>
      <c r="OIJ189" s="39"/>
      <c r="OIK189" s="39"/>
      <c r="OIL189" s="39"/>
      <c r="OIM189" s="39"/>
      <c r="OIN189" s="39"/>
      <c r="OIO189" s="39"/>
      <c r="OIP189" s="39"/>
      <c r="OIQ189" s="39"/>
      <c r="OIR189" s="39"/>
      <c r="OIS189" s="39"/>
      <c r="OIT189" s="39"/>
      <c r="OIU189" s="39"/>
      <c r="OIV189" s="39"/>
      <c r="OIW189" s="39"/>
      <c r="OIX189" s="39"/>
      <c r="OIY189" s="39"/>
      <c r="OIZ189" s="39"/>
      <c r="OJA189" s="39"/>
      <c r="OJB189" s="39"/>
      <c r="OJC189" s="39"/>
      <c r="OJD189" s="39"/>
      <c r="OJE189" s="39"/>
      <c r="OJF189" s="39"/>
      <c r="OJG189" s="39"/>
      <c r="OJH189" s="39"/>
      <c r="OJI189" s="39"/>
      <c r="OJJ189" s="39"/>
      <c r="OJK189" s="39"/>
      <c r="OJL189" s="39"/>
      <c r="OJM189" s="39"/>
      <c r="OJN189" s="39"/>
      <c r="OJO189" s="39"/>
      <c r="OJP189" s="39"/>
      <c r="OJQ189" s="39"/>
      <c r="OJR189" s="39"/>
      <c r="OJS189" s="39"/>
      <c r="OJT189" s="39"/>
      <c r="OJU189" s="39"/>
      <c r="OJV189" s="39"/>
      <c r="OJW189" s="39"/>
      <c r="OJX189" s="39"/>
      <c r="OJY189" s="39"/>
      <c r="OJZ189" s="39"/>
      <c r="OKA189" s="39"/>
      <c r="OKB189" s="39"/>
      <c r="OKC189" s="39"/>
      <c r="OKD189" s="39"/>
      <c r="OKE189" s="39"/>
      <c r="OKF189" s="39"/>
      <c r="OKG189" s="39"/>
      <c r="OKH189" s="39"/>
      <c r="OKI189" s="39"/>
      <c r="OKJ189" s="39"/>
      <c r="OKK189" s="39"/>
      <c r="OKL189" s="39"/>
      <c r="OKM189" s="39"/>
      <c r="OKN189" s="39"/>
      <c r="OKO189" s="39"/>
      <c r="OKP189" s="39"/>
      <c r="OKQ189" s="39"/>
      <c r="OKR189" s="39"/>
      <c r="OKS189" s="39"/>
      <c r="OKT189" s="39"/>
      <c r="OKU189" s="39"/>
      <c r="OKV189" s="39"/>
      <c r="OKW189" s="39"/>
      <c r="OKX189" s="39"/>
      <c r="OKY189" s="39"/>
      <c r="OKZ189" s="39"/>
      <c r="OLA189" s="39"/>
      <c r="OLB189" s="39"/>
      <c r="OLC189" s="39"/>
      <c r="OLD189" s="39"/>
      <c r="OLE189" s="39"/>
      <c r="OLF189" s="39"/>
      <c r="OLG189" s="39"/>
      <c r="OLH189" s="39"/>
      <c r="OLI189" s="39"/>
      <c r="OLJ189" s="39"/>
      <c r="OLK189" s="39"/>
      <c r="OLL189" s="39"/>
      <c r="OLM189" s="39"/>
      <c r="OLN189" s="39"/>
      <c r="OLO189" s="39"/>
      <c r="OLP189" s="39"/>
      <c r="OLQ189" s="39"/>
      <c r="OLR189" s="39"/>
      <c r="OLS189" s="39"/>
      <c r="OLT189" s="39"/>
      <c r="OLU189" s="39"/>
      <c r="OLV189" s="39"/>
      <c r="OLW189" s="39"/>
      <c r="OLX189" s="39"/>
      <c r="OLY189" s="39"/>
      <c r="OLZ189" s="39"/>
      <c r="OMA189" s="39"/>
      <c r="OMB189" s="39"/>
      <c r="OMC189" s="39"/>
      <c r="OMD189" s="39"/>
      <c r="OME189" s="39"/>
      <c r="OMF189" s="39"/>
      <c r="OMG189" s="39"/>
      <c r="OMH189" s="39"/>
      <c r="OMI189" s="39"/>
      <c r="OMJ189" s="39"/>
      <c r="OMK189" s="39"/>
      <c r="OML189" s="39"/>
      <c r="OMM189" s="39"/>
      <c r="OMN189" s="39"/>
      <c r="OMO189" s="39"/>
      <c r="OMP189" s="39"/>
      <c r="OMQ189" s="39"/>
      <c r="OMR189" s="39"/>
      <c r="OMS189" s="39"/>
      <c r="OMT189" s="39"/>
      <c r="OMU189" s="39"/>
      <c r="OMV189" s="39"/>
      <c r="OMW189" s="39"/>
      <c r="OMX189" s="39"/>
      <c r="OMY189" s="39"/>
      <c r="OMZ189" s="39"/>
      <c r="ONA189" s="39"/>
      <c r="ONB189" s="39"/>
      <c r="ONC189" s="39"/>
      <c r="OND189" s="39"/>
      <c r="ONE189" s="39"/>
      <c r="ONF189" s="39"/>
      <c r="ONG189" s="39"/>
      <c r="ONH189" s="39"/>
      <c r="ONI189" s="39"/>
      <c r="ONJ189" s="39"/>
      <c r="ONK189" s="39"/>
      <c r="ONL189" s="39"/>
      <c r="ONM189" s="39"/>
      <c r="ONN189" s="39"/>
      <c r="ONO189" s="39"/>
      <c r="ONP189" s="39"/>
      <c r="ONQ189" s="39"/>
      <c r="ONR189" s="39"/>
      <c r="ONS189" s="39"/>
      <c r="ONT189" s="39"/>
      <c r="ONU189" s="39"/>
      <c r="ONV189" s="39"/>
      <c r="ONW189" s="39"/>
      <c r="ONX189" s="39"/>
      <c r="ONY189" s="39"/>
      <c r="ONZ189" s="39"/>
      <c r="OOA189" s="39"/>
      <c r="OOB189" s="39"/>
      <c r="OOC189" s="39"/>
      <c r="OOD189" s="39"/>
      <c r="OOE189" s="39"/>
      <c r="OOF189" s="39"/>
      <c r="OOG189" s="39"/>
      <c r="OOH189" s="39"/>
      <c r="OOI189" s="39"/>
      <c r="OOJ189" s="39"/>
      <c r="OOK189" s="39"/>
      <c r="OOL189" s="39"/>
      <c r="OOM189" s="39"/>
      <c r="OON189" s="39"/>
      <c r="OOO189" s="39"/>
      <c r="OOP189" s="39"/>
      <c r="OOQ189" s="39"/>
      <c r="OOR189" s="39"/>
      <c r="OOS189" s="39"/>
      <c r="OOT189" s="39"/>
      <c r="OOU189" s="39"/>
      <c r="OOV189" s="39"/>
      <c r="OOW189" s="39"/>
      <c r="OOX189" s="39"/>
      <c r="OOY189" s="39"/>
      <c r="OOZ189" s="39"/>
      <c r="OPA189" s="39"/>
      <c r="OPB189" s="39"/>
      <c r="OPC189" s="39"/>
      <c r="OPD189" s="39"/>
      <c r="OPE189" s="39"/>
      <c r="OPF189" s="39"/>
      <c r="OPG189" s="39"/>
      <c r="OPH189" s="39"/>
      <c r="OPI189" s="39"/>
      <c r="OPJ189" s="39"/>
      <c r="OPK189" s="39"/>
      <c r="OPL189" s="39"/>
      <c r="OPM189" s="39"/>
      <c r="OPN189" s="39"/>
      <c r="OPO189" s="39"/>
      <c r="OPP189" s="39"/>
      <c r="OPQ189" s="39"/>
      <c r="OPR189" s="39"/>
      <c r="OPS189" s="39"/>
      <c r="OPT189" s="39"/>
      <c r="OPU189" s="39"/>
      <c r="OPV189" s="39"/>
      <c r="OPW189" s="39"/>
      <c r="OPX189" s="39"/>
      <c r="OPY189" s="39"/>
      <c r="OPZ189" s="39"/>
      <c r="OQA189" s="39"/>
      <c r="OQB189" s="39"/>
      <c r="OQC189" s="39"/>
      <c r="OQD189" s="39"/>
      <c r="OQE189" s="39"/>
      <c r="OQF189" s="39"/>
      <c r="OQG189" s="39"/>
      <c r="OQH189" s="39"/>
      <c r="OQI189" s="39"/>
      <c r="OQJ189" s="39"/>
      <c r="OQK189" s="39"/>
      <c r="OQL189" s="39"/>
      <c r="OQM189" s="39"/>
      <c r="OQN189" s="39"/>
      <c r="OQO189" s="39"/>
      <c r="OQP189" s="39"/>
      <c r="OQQ189" s="39"/>
      <c r="OQR189" s="39"/>
      <c r="OQS189" s="39"/>
      <c r="OQT189" s="39"/>
      <c r="OQU189" s="39"/>
      <c r="OQV189" s="39"/>
      <c r="OQW189" s="39"/>
      <c r="OQX189" s="39"/>
      <c r="OQY189" s="39"/>
      <c r="OQZ189" s="39"/>
      <c r="ORA189" s="39"/>
      <c r="ORB189" s="39"/>
      <c r="ORC189" s="39"/>
      <c r="ORD189" s="39"/>
      <c r="ORE189" s="39"/>
      <c r="ORF189" s="39"/>
      <c r="ORG189" s="39"/>
      <c r="ORH189" s="39"/>
      <c r="ORI189" s="39"/>
      <c r="ORJ189" s="39"/>
      <c r="ORK189" s="39"/>
      <c r="ORL189" s="39"/>
      <c r="ORM189" s="39"/>
      <c r="ORN189" s="39"/>
      <c r="ORO189" s="39"/>
      <c r="ORP189" s="39"/>
      <c r="ORQ189" s="39"/>
      <c r="ORR189" s="39"/>
      <c r="ORS189" s="39"/>
      <c r="ORT189" s="39"/>
      <c r="ORU189" s="39"/>
      <c r="ORV189" s="39"/>
      <c r="ORW189" s="39"/>
      <c r="ORX189" s="39"/>
      <c r="ORY189" s="39"/>
      <c r="ORZ189" s="39"/>
      <c r="OSA189" s="39"/>
      <c r="OSB189" s="39"/>
      <c r="OSC189" s="39"/>
      <c r="OSD189" s="39"/>
      <c r="OSE189" s="39"/>
      <c r="OSF189" s="39"/>
      <c r="OSG189" s="39"/>
      <c r="OSH189" s="39"/>
      <c r="OSI189" s="39"/>
      <c r="OSJ189" s="39"/>
      <c r="OSK189" s="39"/>
      <c r="OSL189" s="39"/>
      <c r="OSM189" s="39"/>
      <c r="OSN189" s="39"/>
      <c r="OSO189" s="39"/>
      <c r="OSP189" s="39"/>
      <c r="OSQ189" s="39"/>
      <c r="OSR189" s="39"/>
      <c r="OSS189" s="39"/>
      <c r="OST189" s="39"/>
      <c r="OSU189" s="39"/>
      <c r="OSV189" s="39"/>
      <c r="OSW189" s="39"/>
      <c r="OSX189" s="39"/>
      <c r="OSY189" s="39"/>
      <c r="OSZ189" s="39"/>
      <c r="OTA189" s="39"/>
      <c r="OTB189" s="39"/>
      <c r="OTC189" s="39"/>
      <c r="OTD189" s="39"/>
      <c r="OTE189" s="39"/>
      <c r="OTF189" s="39"/>
      <c r="OTG189" s="39"/>
      <c r="OTH189" s="39"/>
      <c r="OTI189" s="39"/>
      <c r="OTJ189" s="39"/>
      <c r="OTK189" s="39"/>
      <c r="OTL189" s="39"/>
      <c r="OTM189" s="39"/>
      <c r="OTN189" s="39"/>
      <c r="OTO189" s="39"/>
      <c r="OTP189" s="39"/>
      <c r="OTQ189" s="39"/>
      <c r="OTR189" s="39"/>
      <c r="OTS189" s="39"/>
      <c r="OTT189" s="39"/>
      <c r="OTU189" s="39"/>
      <c r="OTV189" s="39"/>
      <c r="OTW189" s="39"/>
      <c r="OTX189" s="39"/>
      <c r="OTY189" s="39"/>
      <c r="OTZ189" s="39"/>
      <c r="OUA189" s="39"/>
      <c r="OUB189" s="39"/>
      <c r="OUC189" s="39"/>
      <c r="OUD189" s="39"/>
      <c r="OUE189" s="39"/>
      <c r="OUF189" s="39"/>
      <c r="OUG189" s="39"/>
      <c r="OUH189" s="39"/>
      <c r="OUI189" s="39"/>
      <c r="OUJ189" s="39"/>
      <c r="OUK189" s="39"/>
      <c r="OUL189" s="39"/>
      <c r="OUM189" s="39"/>
      <c r="OUN189" s="39"/>
      <c r="OUO189" s="39"/>
      <c r="OUP189" s="39"/>
      <c r="OUQ189" s="39"/>
      <c r="OUR189" s="39"/>
      <c r="OUS189" s="39"/>
      <c r="OUT189" s="39"/>
      <c r="OUU189" s="39"/>
      <c r="OUV189" s="39"/>
      <c r="OUW189" s="39"/>
      <c r="OUX189" s="39"/>
      <c r="OUY189" s="39"/>
      <c r="OUZ189" s="39"/>
      <c r="OVA189" s="39"/>
      <c r="OVB189" s="39"/>
      <c r="OVC189" s="39"/>
      <c r="OVD189" s="39"/>
      <c r="OVE189" s="39"/>
      <c r="OVF189" s="39"/>
      <c r="OVG189" s="39"/>
      <c r="OVH189" s="39"/>
      <c r="OVI189" s="39"/>
      <c r="OVJ189" s="39"/>
      <c r="OVK189" s="39"/>
      <c r="OVL189" s="39"/>
      <c r="OVM189" s="39"/>
      <c r="OVN189" s="39"/>
      <c r="OVO189" s="39"/>
      <c r="OVP189" s="39"/>
      <c r="OVQ189" s="39"/>
      <c r="OVR189" s="39"/>
      <c r="OVS189" s="39"/>
      <c r="OVT189" s="39"/>
      <c r="OVU189" s="39"/>
      <c r="OVV189" s="39"/>
      <c r="OVW189" s="39"/>
      <c r="OVX189" s="39"/>
      <c r="OVY189" s="39"/>
      <c r="OVZ189" s="39"/>
      <c r="OWA189" s="39"/>
      <c r="OWB189" s="39"/>
      <c r="OWC189" s="39"/>
      <c r="OWD189" s="39"/>
      <c r="OWE189" s="39"/>
      <c r="OWF189" s="39"/>
      <c r="OWG189" s="39"/>
      <c r="OWH189" s="39"/>
      <c r="OWI189" s="39"/>
      <c r="OWJ189" s="39"/>
      <c r="OWK189" s="39"/>
      <c r="OWL189" s="39"/>
      <c r="OWM189" s="39"/>
      <c r="OWN189" s="39"/>
      <c r="OWO189" s="39"/>
      <c r="OWP189" s="39"/>
      <c r="OWQ189" s="39"/>
      <c r="OWR189" s="39"/>
      <c r="OWS189" s="39"/>
      <c r="OWT189" s="39"/>
      <c r="OWU189" s="39"/>
      <c r="OWV189" s="39"/>
      <c r="OWW189" s="39"/>
      <c r="OWX189" s="39"/>
      <c r="OWY189" s="39"/>
      <c r="OWZ189" s="39"/>
      <c r="OXA189" s="39"/>
      <c r="OXB189" s="39"/>
      <c r="OXC189" s="39"/>
      <c r="OXD189" s="39"/>
      <c r="OXE189" s="39"/>
      <c r="OXF189" s="39"/>
      <c r="OXG189" s="39"/>
      <c r="OXH189" s="39"/>
      <c r="OXI189" s="39"/>
      <c r="OXJ189" s="39"/>
      <c r="OXK189" s="39"/>
      <c r="OXL189" s="39"/>
      <c r="OXM189" s="39"/>
      <c r="OXN189" s="39"/>
      <c r="OXO189" s="39"/>
      <c r="OXP189" s="39"/>
      <c r="OXQ189" s="39"/>
      <c r="OXR189" s="39"/>
      <c r="OXS189" s="39"/>
      <c r="OXT189" s="39"/>
      <c r="OXU189" s="39"/>
      <c r="OXV189" s="39"/>
      <c r="OXW189" s="39"/>
      <c r="OXX189" s="39"/>
      <c r="OXY189" s="39"/>
      <c r="OXZ189" s="39"/>
      <c r="OYA189" s="39"/>
      <c r="OYB189" s="39"/>
      <c r="OYC189" s="39"/>
      <c r="OYD189" s="39"/>
      <c r="OYE189" s="39"/>
      <c r="OYF189" s="39"/>
      <c r="OYG189" s="39"/>
      <c r="OYH189" s="39"/>
      <c r="OYI189" s="39"/>
      <c r="OYJ189" s="39"/>
      <c r="OYK189" s="39"/>
      <c r="OYL189" s="39"/>
      <c r="OYM189" s="39"/>
      <c r="OYN189" s="39"/>
      <c r="OYO189" s="39"/>
      <c r="OYP189" s="39"/>
      <c r="OYQ189" s="39"/>
      <c r="OYR189" s="39"/>
      <c r="OYS189" s="39"/>
      <c r="OYT189" s="39"/>
      <c r="OYU189" s="39"/>
      <c r="OYV189" s="39"/>
      <c r="OYW189" s="39"/>
      <c r="OYX189" s="39"/>
      <c r="OYY189" s="39"/>
      <c r="OYZ189" s="39"/>
      <c r="OZA189" s="39"/>
      <c r="OZB189" s="39"/>
      <c r="OZC189" s="39"/>
      <c r="OZD189" s="39"/>
      <c r="OZE189" s="39"/>
      <c r="OZF189" s="39"/>
      <c r="OZG189" s="39"/>
      <c r="OZH189" s="39"/>
      <c r="OZI189" s="39"/>
      <c r="OZJ189" s="39"/>
      <c r="OZK189" s="39"/>
      <c r="OZL189" s="39"/>
      <c r="OZM189" s="39"/>
      <c r="OZN189" s="39"/>
      <c r="OZO189" s="39"/>
      <c r="OZP189" s="39"/>
      <c r="OZQ189" s="39"/>
      <c r="OZR189" s="39"/>
      <c r="OZS189" s="39"/>
      <c r="OZT189" s="39"/>
      <c r="OZU189" s="39"/>
      <c r="OZV189" s="39"/>
      <c r="OZW189" s="39"/>
      <c r="OZX189" s="39"/>
      <c r="OZY189" s="39"/>
      <c r="OZZ189" s="39"/>
      <c r="PAA189" s="39"/>
      <c r="PAB189" s="39"/>
      <c r="PAC189" s="39"/>
      <c r="PAD189" s="39"/>
      <c r="PAE189" s="39"/>
      <c r="PAF189" s="39"/>
      <c r="PAG189" s="39"/>
      <c r="PAH189" s="39"/>
      <c r="PAI189" s="39"/>
      <c r="PAJ189" s="39"/>
      <c r="PAK189" s="39"/>
      <c r="PAL189" s="39"/>
      <c r="PAM189" s="39"/>
      <c r="PAN189" s="39"/>
      <c r="PAO189" s="39"/>
      <c r="PAP189" s="39"/>
      <c r="PAQ189" s="39"/>
      <c r="PAR189" s="39"/>
      <c r="PAS189" s="39"/>
      <c r="PAT189" s="39"/>
      <c r="PAU189" s="39"/>
      <c r="PAV189" s="39"/>
      <c r="PAW189" s="39"/>
      <c r="PAX189" s="39"/>
      <c r="PAY189" s="39"/>
      <c r="PAZ189" s="39"/>
      <c r="PBA189" s="39"/>
      <c r="PBB189" s="39"/>
      <c r="PBC189" s="39"/>
      <c r="PBD189" s="39"/>
      <c r="PBE189" s="39"/>
      <c r="PBF189" s="39"/>
      <c r="PBG189" s="39"/>
      <c r="PBH189" s="39"/>
      <c r="PBI189" s="39"/>
      <c r="PBJ189" s="39"/>
      <c r="PBK189" s="39"/>
      <c r="PBL189" s="39"/>
      <c r="PBM189" s="39"/>
      <c r="PBN189" s="39"/>
      <c r="PBO189" s="39"/>
      <c r="PBP189" s="39"/>
      <c r="PBQ189" s="39"/>
      <c r="PBR189" s="39"/>
      <c r="PBS189" s="39"/>
      <c r="PBT189" s="39"/>
      <c r="PBU189" s="39"/>
      <c r="PBV189" s="39"/>
      <c r="PBW189" s="39"/>
      <c r="PBX189" s="39"/>
      <c r="PBY189" s="39"/>
      <c r="PBZ189" s="39"/>
      <c r="PCA189" s="39"/>
      <c r="PCB189" s="39"/>
      <c r="PCC189" s="39"/>
      <c r="PCD189" s="39"/>
      <c r="PCE189" s="39"/>
      <c r="PCF189" s="39"/>
      <c r="PCG189" s="39"/>
      <c r="PCH189" s="39"/>
      <c r="PCI189" s="39"/>
      <c r="PCJ189" s="39"/>
      <c r="PCK189" s="39"/>
      <c r="PCL189" s="39"/>
      <c r="PCM189" s="39"/>
      <c r="PCN189" s="39"/>
      <c r="PCO189" s="39"/>
      <c r="PCP189" s="39"/>
      <c r="PCQ189" s="39"/>
      <c r="PCR189" s="39"/>
      <c r="PCS189" s="39"/>
      <c r="PCT189" s="39"/>
      <c r="PCU189" s="39"/>
      <c r="PCV189" s="39"/>
      <c r="PCW189" s="39"/>
      <c r="PCX189" s="39"/>
      <c r="PCY189" s="39"/>
      <c r="PCZ189" s="39"/>
      <c r="PDA189" s="39"/>
      <c r="PDB189" s="39"/>
      <c r="PDC189" s="39"/>
      <c r="PDD189" s="39"/>
      <c r="PDE189" s="39"/>
      <c r="PDF189" s="39"/>
      <c r="PDG189" s="39"/>
      <c r="PDH189" s="39"/>
      <c r="PDI189" s="39"/>
      <c r="PDJ189" s="39"/>
      <c r="PDK189" s="39"/>
      <c r="PDL189" s="39"/>
      <c r="PDM189" s="39"/>
      <c r="PDN189" s="39"/>
      <c r="PDO189" s="39"/>
      <c r="PDP189" s="39"/>
      <c r="PDQ189" s="39"/>
      <c r="PDR189" s="39"/>
      <c r="PDS189" s="39"/>
      <c r="PDT189" s="39"/>
      <c r="PDU189" s="39"/>
      <c r="PDV189" s="39"/>
      <c r="PDW189" s="39"/>
      <c r="PDX189" s="39"/>
      <c r="PDY189" s="39"/>
      <c r="PDZ189" s="39"/>
      <c r="PEA189" s="39"/>
      <c r="PEB189" s="39"/>
      <c r="PEC189" s="39"/>
      <c r="PED189" s="39"/>
      <c r="PEE189" s="39"/>
      <c r="PEF189" s="39"/>
      <c r="PEG189" s="39"/>
      <c r="PEH189" s="39"/>
      <c r="PEI189" s="39"/>
      <c r="PEJ189" s="39"/>
      <c r="PEK189" s="39"/>
      <c r="PEL189" s="39"/>
      <c r="PEM189" s="39"/>
      <c r="PEN189" s="39"/>
      <c r="PEO189" s="39"/>
      <c r="PEP189" s="39"/>
      <c r="PEQ189" s="39"/>
      <c r="PER189" s="39"/>
      <c r="PES189" s="39"/>
      <c r="PET189" s="39"/>
      <c r="PEU189" s="39"/>
      <c r="PEV189" s="39"/>
      <c r="PEW189" s="39"/>
      <c r="PEX189" s="39"/>
      <c r="PEY189" s="39"/>
      <c r="PEZ189" s="39"/>
      <c r="PFA189" s="39"/>
      <c r="PFB189" s="39"/>
      <c r="PFC189" s="39"/>
      <c r="PFD189" s="39"/>
      <c r="PFE189" s="39"/>
      <c r="PFF189" s="39"/>
      <c r="PFG189" s="39"/>
      <c r="PFH189" s="39"/>
      <c r="PFI189" s="39"/>
      <c r="PFJ189" s="39"/>
      <c r="PFK189" s="39"/>
      <c r="PFL189" s="39"/>
      <c r="PFM189" s="39"/>
      <c r="PFN189" s="39"/>
      <c r="PFO189" s="39"/>
      <c r="PFP189" s="39"/>
      <c r="PFQ189" s="39"/>
      <c r="PFR189" s="39"/>
      <c r="PFS189" s="39"/>
      <c r="PFT189" s="39"/>
      <c r="PFU189" s="39"/>
      <c r="PFV189" s="39"/>
      <c r="PFW189" s="39"/>
      <c r="PFX189" s="39"/>
      <c r="PFY189" s="39"/>
      <c r="PFZ189" s="39"/>
      <c r="PGA189" s="39"/>
      <c r="PGB189" s="39"/>
      <c r="PGC189" s="39"/>
      <c r="PGD189" s="39"/>
      <c r="PGE189" s="39"/>
      <c r="PGF189" s="39"/>
      <c r="PGG189" s="39"/>
      <c r="PGH189" s="39"/>
      <c r="PGI189" s="39"/>
      <c r="PGJ189" s="39"/>
      <c r="PGK189" s="39"/>
      <c r="PGL189" s="39"/>
      <c r="PGM189" s="39"/>
      <c r="PGN189" s="39"/>
      <c r="PGO189" s="39"/>
      <c r="PGP189" s="39"/>
      <c r="PGQ189" s="39"/>
      <c r="PGR189" s="39"/>
      <c r="PGS189" s="39"/>
      <c r="PGT189" s="39"/>
      <c r="PGU189" s="39"/>
      <c r="PGV189" s="39"/>
      <c r="PGW189" s="39"/>
      <c r="PGX189" s="39"/>
      <c r="PGY189" s="39"/>
      <c r="PGZ189" s="39"/>
      <c r="PHA189" s="39"/>
      <c r="PHB189" s="39"/>
      <c r="PHC189" s="39"/>
      <c r="PHD189" s="39"/>
      <c r="PHE189" s="39"/>
      <c r="PHF189" s="39"/>
      <c r="PHG189" s="39"/>
      <c r="PHH189" s="39"/>
      <c r="PHI189" s="39"/>
      <c r="PHJ189" s="39"/>
      <c r="PHK189" s="39"/>
      <c r="PHL189" s="39"/>
      <c r="PHM189" s="39"/>
      <c r="PHN189" s="39"/>
      <c r="PHO189" s="39"/>
      <c r="PHP189" s="39"/>
      <c r="PHQ189" s="39"/>
      <c r="PHR189" s="39"/>
      <c r="PHS189" s="39"/>
      <c r="PHT189" s="39"/>
      <c r="PHU189" s="39"/>
      <c r="PHV189" s="39"/>
      <c r="PHW189" s="39"/>
      <c r="PHX189" s="39"/>
      <c r="PHY189" s="39"/>
      <c r="PHZ189" s="39"/>
      <c r="PIA189" s="39"/>
      <c r="PIB189" s="39"/>
      <c r="PIC189" s="39"/>
      <c r="PID189" s="39"/>
      <c r="PIE189" s="39"/>
      <c r="PIF189" s="39"/>
      <c r="PIG189" s="39"/>
      <c r="PIH189" s="39"/>
      <c r="PII189" s="39"/>
      <c r="PIJ189" s="39"/>
      <c r="PIK189" s="39"/>
      <c r="PIL189" s="39"/>
      <c r="PIM189" s="39"/>
      <c r="PIN189" s="39"/>
      <c r="PIO189" s="39"/>
      <c r="PIP189" s="39"/>
      <c r="PIQ189" s="39"/>
      <c r="PIR189" s="39"/>
      <c r="PIS189" s="39"/>
      <c r="PIT189" s="39"/>
      <c r="PIU189" s="39"/>
      <c r="PIV189" s="39"/>
      <c r="PIW189" s="39"/>
      <c r="PIX189" s="39"/>
      <c r="PIY189" s="39"/>
      <c r="PIZ189" s="39"/>
      <c r="PJA189" s="39"/>
      <c r="PJB189" s="39"/>
      <c r="PJC189" s="39"/>
      <c r="PJD189" s="39"/>
      <c r="PJE189" s="39"/>
      <c r="PJF189" s="39"/>
      <c r="PJG189" s="39"/>
      <c r="PJH189" s="39"/>
      <c r="PJI189" s="39"/>
      <c r="PJJ189" s="39"/>
      <c r="PJK189" s="39"/>
      <c r="PJL189" s="39"/>
      <c r="PJM189" s="39"/>
      <c r="PJN189" s="39"/>
      <c r="PJO189" s="39"/>
      <c r="PJP189" s="39"/>
      <c r="PJQ189" s="39"/>
      <c r="PJR189" s="39"/>
      <c r="PJS189" s="39"/>
      <c r="PJT189" s="39"/>
      <c r="PJU189" s="39"/>
      <c r="PJV189" s="39"/>
      <c r="PJW189" s="39"/>
      <c r="PJX189" s="39"/>
      <c r="PJY189" s="39"/>
      <c r="PJZ189" s="39"/>
      <c r="PKA189" s="39"/>
      <c r="PKB189" s="39"/>
      <c r="PKC189" s="39"/>
      <c r="PKD189" s="39"/>
      <c r="PKE189" s="39"/>
      <c r="PKF189" s="39"/>
      <c r="PKG189" s="39"/>
      <c r="PKH189" s="39"/>
      <c r="PKI189" s="39"/>
      <c r="PKJ189" s="39"/>
      <c r="PKK189" s="39"/>
      <c r="PKL189" s="39"/>
      <c r="PKM189" s="39"/>
      <c r="PKN189" s="39"/>
      <c r="PKO189" s="39"/>
      <c r="PKP189" s="39"/>
      <c r="PKQ189" s="39"/>
      <c r="PKR189" s="39"/>
      <c r="PKS189" s="39"/>
      <c r="PKT189" s="39"/>
      <c r="PKU189" s="39"/>
      <c r="PKV189" s="39"/>
      <c r="PKW189" s="39"/>
      <c r="PKX189" s="39"/>
      <c r="PKY189" s="39"/>
      <c r="PKZ189" s="39"/>
      <c r="PLA189" s="39"/>
      <c r="PLB189" s="39"/>
      <c r="PLC189" s="39"/>
      <c r="PLD189" s="39"/>
      <c r="PLE189" s="39"/>
      <c r="PLF189" s="39"/>
      <c r="PLG189" s="39"/>
      <c r="PLH189" s="39"/>
      <c r="PLI189" s="39"/>
      <c r="PLJ189" s="39"/>
      <c r="PLK189" s="39"/>
      <c r="PLL189" s="39"/>
      <c r="PLM189" s="39"/>
      <c r="PLN189" s="39"/>
      <c r="PLO189" s="39"/>
      <c r="PLP189" s="39"/>
      <c r="PLQ189" s="39"/>
      <c r="PLR189" s="39"/>
      <c r="PLS189" s="39"/>
      <c r="PLT189" s="39"/>
      <c r="PLU189" s="39"/>
      <c r="PLV189" s="39"/>
      <c r="PLW189" s="39"/>
      <c r="PLX189" s="39"/>
      <c r="PLY189" s="39"/>
      <c r="PLZ189" s="39"/>
      <c r="PMA189" s="39"/>
      <c r="PMB189" s="39"/>
      <c r="PMC189" s="39"/>
      <c r="PMD189" s="39"/>
      <c r="PME189" s="39"/>
      <c r="PMF189" s="39"/>
      <c r="PMG189" s="39"/>
      <c r="PMH189" s="39"/>
      <c r="PMI189" s="39"/>
      <c r="PMJ189" s="39"/>
      <c r="PMK189" s="39"/>
      <c r="PML189" s="39"/>
      <c r="PMM189" s="39"/>
      <c r="PMN189" s="39"/>
      <c r="PMO189" s="39"/>
      <c r="PMP189" s="39"/>
      <c r="PMQ189" s="39"/>
      <c r="PMR189" s="39"/>
      <c r="PMS189" s="39"/>
      <c r="PMT189" s="39"/>
      <c r="PMU189" s="39"/>
      <c r="PMV189" s="39"/>
      <c r="PMW189" s="39"/>
      <c r="PMX189" s="39"/>
      <c r="PMY189" s="39"/>
      <c r="PMZ189" s="39"/>
      <c r="PNA189" s="39"/>
      <c r="PNB189" s="39"/>
      <c r="PNC189" s="39"/>
      <c r="PND189" s="39"/>
      <c r="PNE189" s="39"/>
      <c r="PNF189" s="39"/>
      <c r="PNG189" s="39"/>
      <c r="PNH189" s="39"/>
      <c r="PNI189" s="39"/>
      <c r="PNJ189" s="39"/>
      <c r="PNK189" s="39"/>
      <c r="PNL189" s="39"/>
      <c r="PNM189" s="39"/>
      <c r="PNN189" s="39"/>
      <c r="PNO189" s="39"/>
      <c r="PNP189" s="39"/>
      <c r="PNQ189" s="39"/>
      <c r="PNR189" s="39"/>
      <c r="PNS189" s="39"/>
      <c r="PNT189" s="39"/>
      <c r="PNU189" s="39"/>
      <c r="PNV189" s="39"/>
      <c r="PNW189" s="39"/>
      <c r="PNX189" s="39"/>
      <c r="PNY189" s="39"/>
      <c r="PNZ189" s="39"/>
      <c r="POA189" s="39"/>
      <c r="POB189" s="39"/>
      <c r="POC189" s="39"/>
      <c r="POD189" s="39"/>
      <c r="POE189" s="39"/>
      <c r="POF189" s="39"/>
      <c r="POG189" s="39"/>
      <c r="POH189" s="39"/>
      <c r="POI189" s="39"/>
      <c r="POJ189" s="39"/>
      <c r="POK189" s="39"/>
      <c r="POL189" s="39"/>
      <c r="POM189" s="39"/>
      <c r="PON189" s="39"/>
      <c r="POO189" s="39"/>
      <c r="POP189" s="39"/>
      <c r="POQ189" s="39"/>
      <c r="POR189" s="39"/>
      <c r="POS189" s="39"/>
      <c r="POT189" s="39"/>
      <c r="POU189" s="39"/>
      <c r="POV189" s="39"/>
      <c r="POW189" s="39"/>
      <c r="POX189" s="39"/>
      <c r="POY189" s="39"/>
      <c r="POZ189" s="39"/>
      <c r="PPA189" s="39"/>
      <c r="PPB189" s="39"/>
      <c r="PPC189" s="39"/>
      <c r="PPD189" s="39"/>
      <c r="PPE189" s="39"/>
      <c r="PPF189" s="39"/>
      <c r="PPG189" s="39"/>
      <c r="PPH189" s="39"/>
      <c r="PPI189" s="39"/>
      <c r="PPJ189" s="39"/>
      <c r="PPK189" s="39"/>
      <c r="PPL189" s="39"/>
      <c r="PPM189" s="39"/>
      <c r="PPN189" s="39"/>
      <c r="PPO189" s="39"/>
      <c r="PPP189" s="39"/>
      <c r="PPQ189" s="39"/>
      <c r="PPR189" s="39"/>
      <c r="PPS189" s="39"/>
      <c r="PPT189" s="39"/>
      <c r="PPU189" s="39"/>
      <c r="PPV189" s="39"/>
      <c r="PPW189" s="39"/>
      <c r="PPX189" s="39"/>
      <c r="PPY189" s="39"/>
      <c r="PPZ189" s="39"/>
      <c r="PQA189" s="39"/>
      <c r="PQB189" s="39"/>
      <c r="PQC189" s="39"/>
      <c r="PQD189" s="39"/>
      <c r="PQE189" s="39"/>
      <c r="PQF189" s="39"/>
      <c r="PQG189" s="39"/>
      <c r="PQH189" s="39"/>
      <c r="PQI189" s="39"/>
      <c r="PQJ189" s="39"/>
      <c r="PQK189" s="39"/>
      <c r="PQL189" s="39"/>
      <c r="PQM189" s="39"/>
      <c r="PQN189" s="39"/>
      <c r="PQO189" s="39"/>
      <c r="PQP189" s="39"/>
      <c r="PQQ189" s="39"/>
      <c r="PQR189" s="39"/>
      <c r="PQS189" s="39"/>
      <c r="PQT189" s="39"/>
      <c r="PQU189" s="39"/>
      <c r="PQV189" s="39"/>
      <c r="PQW189" s="39"/>
      <c r="PQX189" s="39"/>
      <c r="PQY189" s="39"/>
      <c r="PQZ189" s="39"/>
      <c r="PRA189" s="39"/>
      <c r="PRB189" s="39"/>
      <c r="PRC189" s="39"/>
      <c r="PRD189" s="39"/>
      <c r="PRE189" s="39"/>
      <c r="PRF189" s="39"/>
      <c r="PRG189" s="39"/>
      <c r="PRH189" s="39"/>
      <c r="PRI189" s="39"/>
      <c r="PRJ189" s="39"/>
      <c r="PRK189" s="39"/>
      <c r="PRL189" s="39"/>
      <c r="PRM189" s="39"/>
      <c r="PRN189" s="39"/>
      <c r="PRO189" s="39"/>
      <c r="PRP189" s="39"/>
      <c r="PRQ189" s="39"/>
      <c r="PRR189" s="39"/>
      <c r="PRS189" s="39"/>
      <c r="PRT189" s="39"/>
      <c r="PRU189" s="39"/>
      <c r="PRV189" s="39"/>
      <c r="PRW189" s="39"/>
      <c r="PRX189" s="39"/>
      <c r="PRY189" s="39"/>
      <c r="PRZ189" s="39"/>
      <c r="PSA189" s="39"/>
      <c r="PSB189" s="39"/>
      <c r="PSC189" s="39"/>
      <c r="PSD189" s="39"/>
      <c r="PSE189" s="39"/>
      <c r="PSF189" s="39"/>
      <c r="PSG189" s="39"/>
      <c r="PSH189" s="39"/>
      <c r="PSI189" s="39"/>
      <c r="PSJ189" s="39"/>
      <c r="PSK189" s="39"/>
      <c r="PSL189" s="39"/>
      <c r="PSM189" s="39"/>
      <c r="PSN189" s="39"/>
      <c r="PSO189" s="39"/>
      <c r="PSP189" s="39"/>
      <c r="PSQ189" s="39"/>
      <c r="PSR189" s="39"/>
      <c r="PSS189" s="39"/>
      <c r="PST189" s="39"/>
      <c r="PSU189" s="39"/>
      <c r="PSV189" s="39"/>
      <c r="PSW189" s="39"/>
      <c r="PSX189" s="39"/>
      <c r="PSY189" s="39"/>
      <c r="PSZ189" s="39"/>
      <c r="PTA189" s="39"/>
      <c r="PTB189" s="39"/>
      <c r="PTC189" s="39"/>
      <c r="PTD189" s="39"/>
      <c r="PTE189" s="39"/>
      <c r="PTF189" s="39"/>
      <c r="PTG189" s="39"/>
      <c r="PTH189" s="39"/>
      <c r="PTI189" s="39"/>
      <c r="PTJ189" s="39"/>
      <c r="PTK189" s="39"/>
      <c r="PTL189" s="39"/>
      <c r="PTM189" s="39"/>
      <c r="PTN189" s="39"/>
      <c r="PTO189" s="39"/>
      <c r="PTP189" s="39"/>
      <c r="PTQ189" s="39"/>
      <c r="PTR189" s="39"/>
      <c r="PTS189" s="39"/>
      <c r="PTT189" s="39"/>
      <c r="PTU189" s="39"/>
      <c r="PTV189" s="39"/>
      <c r="PTW189" s="39"/>
      <c r="PTX189" s="39"/>
      <c r="PTY189" s="39"/>
      <c r="PTZ189" s="39"/>
      <c r="PUA189" s="39"/>
      <c r="PUB189" s="39"/>
      <c r="PUC189" s="39"/>
      <c r="PUD189" s="39"/>
      <c r="PUE189" s="39"/>
      <c r="PUF189" s="39"/>
      <c r="PUG189" s="39"/>
      <c r="PUH189" s="39"/>
      <c r="PUI189" s="39"/>
      <c r="PUJ189" s="39"/>
      <c r="PUK189" s="39"/>
      <c r="PUL189" s="39"/>
      <c r="PUM189" s="39"/>
      <c r="PUN189" s="39"/>
      <c r="PUO189" s="39"/>
      <c r="PUP189" s="39"/>
      <c r="PUQ189" s="39"/>
      <c r="PUR189" s="39"/>
      <c r="PUS189" s="39"/>
      <c r="PUT189" s="39"/>
      <c r="PUU189" s="39"/>
      <c r="PUV189" s="39"/>
      <c r="PUW189" s="39"/>
      <c r="PUX189" s="39"/>
      <c r="PUY189" s="39"/>
      <c r="PUZ189" s="39"/>
      <c r="PVA189" s="39"/>
      <c r="PVB189" s="39"/>
      <c r="PVC189" s="39"/>
      <c r="PVD189" s="39"/>
      <c r="PVE189" s="39"/>
      <c r="PVF189" s="39"/>
      <c r="PVG189" s="39"/>
      <c r="PVH189" s="39"/>
      <c r="PVI189" s="39"/>
      <c r="PVJ189" s="39"/>
      <c r="PVK189" s="39"/>
      <c r="PVL189" s="39"/>
      <c r="PVM189" s="39"/>
      <c r="PVN189" s="39"/>
      <c r="PVO189" s="39"/>
      <c r="PVP189" s="39"/>
      <c r="PVQ189" s="39"/>
      <c r="PVR189" s="39"/>
      <c r="PVS189" s="39"/>
      <c r="PVT189" s="39"/>
      <c r="PVU189" s="39"/>
      <c r="PVV189" s="39"/>
      <c r="PVW189" s="39"/>
      <c r="PVX189" s="39"/>
      <c r="PVY189" s="39"/>
      <c r="PVZ189" s="39"/>
      <c r="PWA189" s="39"/>
      <c r="PWB189" s="39"/>
      <c r="PWC189" s="39"/>
      <c r="PWD189" s="39"/>
      <c r="PWE189" s="39"/>
      <c r="PWF189" s="39"/>
      <c r="PWG189" s="39"/>
      <c r="PWH189" s="39"/>
      <c r="PWI189" s="39"/>
      <c r="PWJ189" s="39"/>
      <c r="PWK189" s="39"/>
      <c r="PWL189" s="39"/>
      <c r="PWM189" s="39"/>
      <c r="PWN189" s="39"/>
      <c r="PWO189" s="39"/>
      <c r="PWP189" s="39"/>
      <c r="PWQ189" s="39"/>
      <c r="PWR189" s="39"/>
      <c r="PWS189" s="39"/>
      <c r="PWT189" s="39"/>
      <c r="PWU189" s="39"/>
      <c r="PWV189" s="39"/>
      <c r="PWW189" s="39"/>
      <c r="PWX189" s="39"/>
      <c r="PWY189" s="39"/>
      <c r="PWZ189" s="39"/>
      <c r="PXA189" s="39"/>
      <c r="PXB189" s="39"/>
      <c r="PXC189" s="39"/>
      <c r="PXD189" s="39"/>
      <c r="PXE189" s="39"/>
      <c r="PXF189" s="39"/>
      <c r="PXG189" s="39"/>
      <c r="PXH189" s="39"/>
      <c r="PXI189" s="39"/>
      <c r="PXJ189" s="39"/>
      <c r="PXK189" s="39"/>
      <c r="PXL189" s="39"/>
      <c r="PXM189" s="39"/>
      <c r="PXN189" s="39"/>
      <c r="PXO189" s="39"/>
      <c r="PXP189" s="39"/>
      <c r="PXQ189" s="39"/>
      <c r="PXR189" s="39"/>
      <c r="PXS189" s="39"/>
      <c r="PXT189" s="39"/>
      <c r="PXU189" s="39"/>
      <c r="PXV189" s="39"/>
      <c r="PXW189" s="39"/>
      <c r="PXX189" s="39"/>
      <c r="PXY189" s="39"/>
      <c r="PXZ189" s="39"/>
      <c r="PYA189" s="39"/>
      <c r="PYB189" s="39"/>
      <c r="PYC189" s="39"/>
      <c r="PYD189" s="39"/>
      <c r="PYE189" s="39"/>
      <c r="PYF189" s="39"/>
      <c r="PYG189" s="39"/>
      <c r="PYH189" s="39"/>
      <c r="PYI189" s="39"/>
      <c r="PYJ189" s="39"/>
      <c r="PYK189" s="39"/>
      <c r="PYL189" s="39"/>
      <c r="PYM189" s="39"/>
      <c r="PYN189" s="39"/>
      <c r="PYO189" s="39"/>
      <c r="PYP189" s="39"/>
      <c r="PYQ189" s="39"/>
      <c r="PYR189" s="39"/>
      <c r="PYS189" s="39"/>
      <c r="PYT189" s="39"/>
      <c r="PYU189" s="39"/>
      <c r="PYV189" s="39"/>
      <c r="PYW189" s="39"/>
      <c r="PYX189" s="39"/>
      <c r="PYY189" s="39"/>
      <c r="PYZ189" s="39"/>
      <c r="PZA189" s="39"/>
      <c r="PZB189" s="39"/>
      <c r="PZC189" s="39"/>
      <c r="PZD189" s="39"/>
      <c r="PZE189" s="39"/>
      <c r="PZF189" s="39"/>
      <c r="PZG189" s="39"/>
      <c r="PZH189" s="39"/>
      <c r="PZI189" s="39"/>
      <c r="PZJ189" s="39"/>
      <c r="PZK189" s="39"/>
      <c r="PZL189" s="39"/>
      <c r="PZM189" s="39"/>
      <c r="PZN189" s="39"/>
      <c r="PZO189" s="39"/>
      <c r="PZP189" s="39"/>
      <c r="PZQ189" s="39"/>
      <c r="PZR189" s="39"/>
      <c r="PZS189" s="39"/>
      <c r="PZT189" s="39"/>
      <c r="PZU189" s="39"/>
      <c r="PZV189" s="39"/>
      <c r="PZW189" s="39"/>
      <c r="PZX189" s="39"/>
      <c r="PZY189" s="39"/>
      <c r="PZZ189" s="39"/>
      <c r="QAA189" s="39"/>
      <c r="QAB189" s="39"/>
      <c r="QAC189" s="39"/>
      <c r="QAD189" s="39"/>
      <c r="QAE189" s="39"/>
      <c r="QAF189" s="39"/>
      <c r="QAG189" s="39"/>
      <c r="QAH189" s="39"/>
      <c r="QAI189" s="39"/>
      <c r="QAJ189" s="39"/>
      <c r="QAK189" s="39"/>
      <c r="QAL189" s="39"/>
      <c r="QAM189" s="39"/>
      <c r="QAN189" s="39"/>
      <c r="QAO189" s="39"/>
      <c r="QAP189" s="39"/>
      <c r="QAQ189" s="39"/>
      <c r="QAR189" s="39"/>
      <c r="QAS189" s="39"/>
      <c r="QAT189" s="39"/>
      <c r="QAU189" s="39"/>
      <c r="QAV189" s="39"/>
      <c r="QAW189" s="39"/>
      <c r="QAX189" s="39"/>
      <c r="QAY189" s="39"/>
      <c r="QAZ189" s="39"/>
      <c r="QBA189" s="39"/>
      <c r="QBB189" s="39"/>
      <c r="QBC189" s="39"/>
      <c r="QBD189" s="39"/>
      <c r="QBE189" s="39"/>
      <c r="QBF189" s="39"/>
      <c r="QBG189" s="39"/>
      <c r="QBH189" s="39"/>
      <c r="QBI189" s="39"/>
      <c r="QBJ189" s="39"/>
      <c r="QBK189" s="39"/>
      <c r="QBL189" s="39"/>
      <c r="QBM189" s="39"/>
      <c r="QBN189" s="39"/>
      <c r="QBO189" s="39"/>
      <c r="QBP189" s="39"/>
      <c r="QBQ189" s="39"/>
      <c r="QBR189" s="39"/>
      <c r="QBS189" s="39"/>
      <c r="QBT189" s="39"/>
      <c r="QBU189" s="39"/>
      <c r="QBV189" s="39"/>
      <c r="QBW189" s="39"/>
      <c r="QBX189" s="39"/>
      <c r="QBY189" s="39"/>
      <c r="QBZ189" s="39"/>
      <c r="QCA189" s="39"/>
      <c r="QCB189" s="39"/>
      <c r="QCC189" s="39"/>
      <c r="QCD189" s="39"/>
      <c r="QCE189" s="39"/>
      <c r="QCF189" s="39"/>
      <c r="QCG189" s="39"/>
      <c r="QCH189" s="39"/>
      <c r="QCI189" s="39"/>
      <c r="QCJ189" s="39"/>
      <c r="QCK189" s="39"/>
      <c r="QCL189" s="39"/>
      <c r="QCM189" s="39"/>
      <c r="QCN189" s="39"/>
      <c r="QCO189" s="39"/>
      <c r="QCP189" s="39"/>
      <c r="QCQ189" s="39"/>
      <c r="QCR189" s="39"/>
      <c r="QCS189" s="39"/>
      <c r="QCT189" s="39"/>
      <c r="QCU189" s="39"/>
      <c r="QCV189" s="39"/>
      <c r="QCW189" s="39"/>
      <c r="QCX189" s="39"/>
      <c r="QCY189" s="39"/>
      <c r="QCZ189" s="39"/>
      <c r="QDA189" s="39"/>
      <c r="QDB189" s="39"/>
      <c r="QDC189" s="39"/>
      <c r="QDD189" s="39"/>
      <c r="QDE189" s="39"/>
      <c r="QDF189" s="39"/>
      <c r="QDG189" s="39"/>
      <c r="QDH189" s="39"/>
      <c r="QDI189" s="39"/>
      <c r="QDJ189" s="39"/>
      <c r="QDK189" s="39"/>
      <c r="QDL189" s="39"/>
      <c r="QDM189" s="39"/>
      <c r="QDN189" s="39"/>
      <c r="QDO189" s="39"/>
      <c r="QDP189" s="39"/>
      <c r="QDQ189" s="39"/>
      <c r="QDR189" s="39"/>
      <c r="QDS189" s="39"/>
      <c r="QDT189" s="39"/>
      <c r="QDU189" s="39"/>
      <c r="QDV189" s="39"/>
      <c r="QDW189" s="39"/>
      <c r="QDX189" s="39"/>
      <c r="QDY189" s="39"/>
      <c r="QDZ189" s="39"/>
      <c r="QEA189" s="39"/>
      <c r="QEB189" s="39"/>
      <c r="QEC189" s="39"/>
      <c r="QED189" s="39"/>
      <c r="QEE189" s="39"/>
      <c r="QEF189" s="39"/>
      <c r="QEG189" s="39"/>
      <c r="QEH189" s="39"/>
      <c r="QEI189" s="39"/>
      <c r="QEJ189" s="39"/>
      <c r="QEK189" s="39"/>
      <c r="QEL189" s="39"/>
      <c r="QEM189" s="39"/>
      <c r="QEN189" s="39"/>
      <c r="QEO189" s="39"/>
      <c r="QEP189" s="39"/>
      <c r="QEQ189" s="39"/>
      <c r="QER189" s="39"/>
      <c r="QES189" s="39"/>
      <c r="QET189" s="39"/>
      <c r="QEU189" s="39"/>
      <c r="QEV189" s="39"/>
      <c r="QEW189" s="39"/>
      <c r="QEX189" s="39"/>
      <c r="QEY189" s="39"/>
      <c r="QEZ189" s="39"/>
      <c r="QFA189" s="39"/>
      <c r="QFB189" s="39"/>
      <c r="QFC189" s="39"/>
      <c r="QFD189" s="39"/>
      <c r="QFE189" s="39"/>
      <c r="QFF189" s="39"/>
      <c r="QFG189" s="39"/>
      <c r="QFH189" s="39"/>
      <c r="QFI189" s="39"/>
      <c r="QFJ189" s="39"/>
      <c r="QFK189" s="39"/>
      <c r="QFL189" s="39"/>
      <c r="QFM189" s="39"/>
      <c r="QFN189" s="39"/>
      <c r="QFO189" s="39"/>
      <c r="QFP189" s="39"/>
      <c r="QFQ189" s="39"/>
      <c r="QFR189" s="39"/>
      <c r="QFS189" s="39"/>
      <c r="QFT189" s="39"/>
      <c r="QFU189" s="39"/>
      <c r="QFV189" s="39"/>
      <c r="QFW189" s="39"/>
      <c r="QFX189" s="39"/>
      <c r="QFY189" s="39"/>
      <c r="QFZ189" s="39"/>
      <c r="QGA189" s="39"/>
      <c r="QGB189" s="39"/>
      <c r="QGC189" s="39"/>
      <c r="QGD189" s="39"/>
      <c r="QGE189" s="39"/>
      <c r="QGF189" s="39"/>
      <c r="QGG189" s="39"/>
      <c r="QGH189" s="39"/>
      <c r="QGI189" s="39"/>
      <c r="QGJ189" s="39"/>
      <c r="QGK189" s="39"/>
      <c r="QGL189" s="39"/>
      <c r="QGM189" s="39"/>
      <c r="QGN189" s="39"/>
      <c r="QGO189" s="39"/>
      <c r="QGP189" s="39"/>
      <c r="QGQ189" s="39"/>
      <c r="QGR189" s="39"/>
      <c r="QGS189" s="39"/>
      <c r="QGT189" s="39"/>
      <c r="QGU189" s="39"/>
      <c r="QGV189" s="39"/>
      <c r="QGW189" s="39"/>
      <c r="QGX189" s="39"/>
      <c r="QGY189" s="39"/>
      <c r="QGZ189" s="39"/>
      <c r="QHA189" s="39"/>
      <c r="QHB189" s="39"/>
      <c r="QHC189" s="39"/>
      <c r="QHD189" s="39"/>
      <c r="QHE189" s="39"/>
      <c r="QHF189" s="39"/>
      <c r="QHG189" s="39"/>
      <c r="QHH189" s="39"/>
      <c r="QHI189" s="39"/>
      <c r="QHJ189" s="39"/>
      <c r="QHK189" s="39"/>
      <c r="QHL189" s="39"/>
      <c r="QHM189" s="39"/>
      <c r="QHN189" s="39"/>
      <c r="QHO189" s="39"/>
      <c r="QHP189" s="39"/>
      <c r="QHQ189" s="39"/>
      <c r="QHR189" s="39"/>
      <c r="QHS189" s="39"/>
      <c r="QHT189" s="39"/>
      <c r="QHU189" s="39"/>
      <c r="QHV189" s="39"/>
      <c r="QHW189" s="39"/>
      <c r="QHX189" s="39"/>
      <c r="QHY189" s="39"/>
      <c r="QHZ189" s="39"/>
      <c r="QIA189" s="39"/>
      <c r="QIB189" s="39"/>
      <c r="QIC189" s="39"/>
      <c r="QID189" s="39"/>
      <c r="QIE189" s="39"/>
      <c r="QIF189" s="39"/>
      <c r="QIG189" s="39"/>
      <c r="QIH189" s="39"/>
      <c r="QII189" s="39"/>
      <c r="QIJ189" s="39"/>
      <c r="QIK189" s="39"/>
      <c r="QIL189" s="39"/>
      <c r="QIM189" s="39"/>
      <c r="QIN189" s="39"/>
      <c r="QIO189" s="39"/>
      <c r="QIP189" s="39"/>
      <c r="QIQ189" s="39"/>
      <c r="QIR189" s="39"/>
      <c r="QIS189" s="39"/>
      <c r="QIT189" s="39"/>
      <c r="QIU189" s="39"/>
      <c r="QIV189" s="39"/>
      <c r="QIW189" s="39"/>
      <c r="QIX189" s="39"/>
      <c r="QIY189" s="39"/>
      <c r="QIZ189" s="39"/>
      <c r="QJA189" s="39"/>
      <c r="QJB189" s="39"/>
      <c r="QJC189" s="39"/>
      <c r="QJD189" s="39"/>
      <c r="QJE189" s="39"/>
      <c r="QJF189" s="39"/>
      <c r="QJG189" s="39"/>
      <c r="QJH189" s="39"/>
      <c r="QJI189" s="39"/>
      <c r="QJJ189" s="39"/>
      <c r="QJK189" s="39"/>
      <c r="QJL189" s="39"/>
      <c r="QJM189" s="39"/>
      <c r="QJN189" s="39"/>
      <c r="QJO189" s="39"/>
      <c r="QJP189" s="39"/>
      <c r="QJQ189" s="39"/>
      <c r="QJR189" s="39"/>
      <c r="QJS189" s="39"/>
      <c r="QJT189" s="39"/>
      <c r="QJU189" s="39"/>
      <c r="QJV189" s="39"/>
      <c r="QJW189" s="39"/>
      <c r="QJX189" s="39"/>
      <c r="QJY189" s="39"/>
      <c r="QJZ189" s="39"/>
      <c r="QKA189" s="39"/>
      <c r="QKB189" s="39"/>
      <c r="QKC189" s="39"/>
      <c r="QKD189" s="39"/>
      <c r="QKE189" s="39"/>
      <c r="QKF189" s="39"/>
      <c r="QKG189" s="39"/>
      <c r="QKH189" s="39"/>
      <c r="QKI189" s="39"/>
      <c r="QKJ189" s="39"/>
      <c r="QKK189" s="39"/>
      <c r="QKL189" s="39"/>
      <c r="QKM189" s="39"/>
      <c r="QKN189" s="39"/>
      <c r="QKO189" s="39"/>
      <c r="QKP189" s="39"/>
      <c r="QKQ189" s="39"/>
      <c r="QKR189" s="39"/>
      <c r="QKS189" s="39"/>
      <c r="QKT189" s="39"/>
      <c r="QKU189" s="39"/>
      <c r="QKV189" s="39"/>
      <c r="QKW189" s="39"/>
      <c r="QKX189" s="39"/>
      <c r="QKY189" s="39"/>
      <c r="QKZ189" s="39"/>
      <c r="QLA189" s="39"/>
      <c r="QLB189" s="39"/>
      <c r="QLC189" s="39"/>
      <c r="QLD189" s="39"/>
      <c r="QLE189" s="39"/>
      <c r="QLF189" s="39"/>
      <c r="QLG189" s="39"/>
      <c r="QLH189" s="39"/>
      <c r="QLI189" s="39"/>
      <c r="QLJ189" s="39"/>
      <c r="QLK189" s="39"/>
      <c r="QLL189" s="39"/>
      <c r="QLM189" s="39"/>
      <c r="QLN189" s="39"/>
      <c r="QLO189" s="39"/>
      <c r="QLP189" s="39"/>
      <c r="QLQ189" s="39"/>
      <c r="QLR189" s="39"/>
      <c r="QLS189" s="39"/>
      <c r="QLT189" s="39"/>
      <c r="QLU189" s="39"/>
      <c r="QLV189" s="39"/>
      <c r="QLW189" s="39"/>
      <c r="QLX189" s="39"/>
      <c r="QLY189" s="39"/>
      <c r="QLZ189" s="39"/>
      <c r="QMA189" s="39"/>
      <c r="QMB189" s="39"/>
      <c r="QMC189" s="39"/>
      <c r="QMD189" s="39"/>
      <c r="QME189" s="39"/>
      <c r="QMF189" s="39"/>
      <c r="QMG189" s="39"/>
      <c r="QMH189" s="39"/>
      <c r="QMI189" s="39"/>
      <c r="QMJ189" s="39"/>
      <c r="QMK189" s="39"/>
      <c r="QML189" s="39"/>
      <c r="QMM189" s="39"/>
      <c r="QMN189" s="39"/>
      <c r="QMO189" s="39"/>
      <c r="QMP189" s="39"/>
      <c r="QMQ189" s="39"/>
      <c r="QMR189" s="39"/>
      <c r="QMS189" s="39"/>
      <c r="QMT189" s="39"/>
      <c r="QMU189" s="39"/>
      <c r="QMV189" s="39"/>
      <c r="QMW189" s="39"/>
      <c r="QMX189" s="39"/>
      <c r="QMY189" s="39"/>
      <c r="QMZ189" s="39"/>
      <c r="QNA189" s="39"/>
      <c r="QNB189" s="39"/>
      <c r="QNC189" s="39"/>
      <c r="QND189" s="39"/>
      <c r="QNE189" s="39"/>
      <c r="QNF189" s="39"/>
      <c r="QNG189" s="39"/>
      <c r="QNH189" s="39"/>
      <c r="QNI189" s="39"/>
      <c r="QNJ189" s="39"/>
      <c r="QNK189" s="39"/>
      <c r="QNL189" s="39"/>
      <c r="QNM189" s="39"/>
      <c r="QNN189" s="39"/>
      <c r="QNO189" s="39"/>
      <c r="QNP189" s="39"/>
      <c r="QNQ189" s="39"/>
      <c r="QNR189" s="39"/>
      <c r="QNS189" s="39"/>
      <c r="QNT189" s="39"/>
      <c r="QNU189" s="39"/>
      <c r="QNV189" s="39"/>
      <c r="QNW189" s="39"/>
      <c r="QNX189" s="39"/>
      <c r="QNY189" s="39"/>
      <c r="QNZ189" s="39"/>
      <c r="QOA189" s="39"/>
      <c r="QOB189" s="39"/>
      <c r="QOC189" s="39"/>
      <c r="QOD189" s="39"/>
      <c r="QOE189" s="39"/>
      <c r="QOF189" s="39"/>
      <c r="QOG189" s="39"/>
      <c r="QOH189" s="39"/>
      <c r="QOI189" s="39"/>
      <c r="QOJ189" s="39"/>
      <c r="QOK189" s="39"/>
      <c r="QOL189" s="39"/>
      <c r="QOM189" s="39"/>
      <c r="QON189" s="39"/>
      <c r="QOO189" s="39"/>
      <c r="QOP189" s="39"/>
      <c r="QOQ189" s="39"/>
      <c r="QOR189" s="39"/>
      <c r="QOS189" s="39"/>
      <c r="QOT189" s="39"/>
      <c r="QOU189" s="39"/>
      <c r="QOV189" s="39"/>
      <c r="QOW189" s="39"/>
      <c r="QOX189" s="39"/>
      <c r="QOY189" s="39"/>
      <c r="QOZ189" s="39"/>
      <c r="QPA189" s="39"/>
      <c r="QPB189" s="39"/>
      <c r="QPC189" s="39"/>
      <c r="QPD189" s="39"/>
      <c r="QPE189" s="39"/>
      <c r="QPF189" s="39"/>
      <c r="QPG189" s="39"/>
      <c r="QPH189" s="39"/>
      <c r="QPI189" s="39"/>
      <c r="QPJ189" s="39"/>
      <c r="QPK189" s="39"/>
      <c r="QPL189" s="39"/>
      <c r="QPM189" s="39"/>
      <c r="QPN189" s="39"/>
      <c r="QPO189" s="39"/>
      <c r="QPP189" s="39"/>
      <c r="QPQ189" s="39"/>
      <c r="QPR189" s="39"/>
      <c r="QPS189" s="39"/>
      <c r="QPT189" s="39"/>
      <c r="QPU189" s="39"/>
      <c r="QPV189" s="39"/>
      <c r="QPW189" s="39"/>
      <c r="QPX189" s="39"/>
      <c r="QPY189" s="39"/>
      <c r="QPZ189" s="39"/>
      <c r="QQA189" s="39"/>
      <c r="QQB189" s="39"/>
      <c r="QQC189" s="39"/>
      <c r="QQD189" s="39"/>
      <c r="QQE189" s="39"/>
      <c r="QQF189" s="39"/>
      <c r="QQG189" s="39"/>
      <c r="QQH189" s="39"/>
      <c r="QQI189" s="39"/>
      <c r="QQJ189" s="39"/>
      <c r="QQK189" s="39"/>
      <c r="QQL189" s="39"/>
      <c r="QQM189" s="39"/>
      <c r="QQN189" s="39"/>
      <c r="QQO189" s="39"/>
      <c r="QQP189" s="39"/>
      <c r="QQQ189" s="39"/>
      <c r="QQR189" s="39"/>
      <c r="QQS189" s="39"/>
      <c r="QQT189" s="39"/>
      <c r="QQU189" s="39"/>
      <c r="QQV189" s="39"/>
      <c r="QQW189" s="39"/>
      <c r="QQX189" s="39"/>
      <c r="QQY189" s="39"/>
      <c r="QQZ189" s="39"/>
      <c r="QRA189" s="39"/>
      <c r="QRB189" s="39"/>
      <c r="QRC189" s="39"/>
      <c r="QRD189" s="39"/>
      <c r="QRE189" s="39"/>
      <c r="QRF189" s="39"/>
      <c r="QRG189" s="39"/>
      <c r="QRH189" s="39"/>
      <c r="QRI189" s="39"/>
      <c r="QRJ189" s="39"/>
      <c r="QRK189" s="39"/>
      <c r="QRL189" s="39"/>
      <c r="QRM189" s="39"/>
      <c r="QRN189" s="39"/>
      <c r="QRO189" s="39"/>
      <c r="QRP189" s="39"/>
      <c r="QRQ189" s="39"/>
      <c r="QRR189" s="39"/>
      <c r="QRS189" s="39"/>
      <c r="QRT189" s="39"/>
      <c r="QRU189" s="39"/>
      <c r="QRV189" s="39"/>
      <c r="QRW189" s="39"/>
      <c r="QRX189" s="39"/>
      <c r="QRY189" s="39"/>
      <c r="QRZ189" s="39"/>
      <c r="QSA189" s="39"/>
      <c r="QSB189" s="39"/>
      <c r="QSC189" s="39"/>
      <c r="QSD189" s="39"/>
      <c r="QSE189" s="39"/>
      <c r="QSF189" s="39"/>
      <c r="QSG189" s="39"/>
      <c r="QSH189" s="39"/>
      <c r="QSI189" s="39"/>
      <c r="QSJ189" s="39"/>
      <c r="QSK189" s="39"/>
      <c r="QSL189" s="39"/>
      <c r="QSM189" s="39"/>
      <c r="QSN189" s="39"/>
      <c r="QSO189" s="39"/>
      <c r="QSP189" s="39"/>
      <c r="QSQ189" s="39"/>
      <c r="QSR189" s="39"/>
      <c r="QSS189" s="39"/>
      <c r="QST189" s="39"/>
      <c r="QSU189" s="39"/>
      <c r="QSV189" s="39"/>
      <c r="QSW189" s="39"/>
      <c r="QSX189" s="39"/>
      <c r="QSY189" s="39"/>
      <c r="QSZ189" s="39"/>
      <c r="QTA189" s="39"/>
      <c r="QTB189" s="39"/>
      <c r="QTC189" s="39"/>
      <c r="QTD189" s="39"/>
      <c r="QTE189" s="39"/>
      <c r="QTF189" s="39"/>
      <c r="QTG189" s="39"/>
      <c r="QTH189" s="39"/>
      <c r="QTI189" s="39"/>
      <c r="QTJ189" s="39"/>
      <c r="QTK189" s="39"/>
      <c r="QTL189" s="39"/>
      <c r="QTM189" s="39"/>
      <c r="QTN189" s="39"/>
      <c r="QTO189" s="39"/>
      <c r="QTP189" s="39"/>
      <c r="QTQ189" s="39"/>
      <c r="QTR189" s="39"/>
      <c r="QTS189" s="39"/>
      <c r="QTT189" s="39"/>
      <c r="QTU189" s="39"/>
      <c r="QTV189" s="39"/>
      <c r="QTW189" s="39"/>
      <c r="QTX189" s="39"/>
      <c r="QTY189" s="39"/>
      <c r="QTZ189" s="39"/>
      <c r="QUA189" s="39"/>
      <c r="QUB189" s="39"/>
      <c r="QUC189" s="39"/>
      <c r="QUD189" s="39"/>
      <c r="QUE189" s="39"/>
      <c r="QUF189" s="39"/>
      <c r="QUG189" s="39"/>
      <c r="QUH189" s="39"/>
      <c r="QUI189" s="39"/>
      <c r="QUJ189" s="39"/>
      <c r="QUK189" s="39"/>
      <c r="QUL189" s="39"/>
      <c r="QUM189" s="39"/>
      <c r="QUN189" s="39"/>
      <c r="QUO189" s="39"/>
      <c r="QUP189" s="39"/>
      <c r="QUQ189" s="39"/>
      <c r="QUR189" s="39"/>
      <c r="QUS189" s="39"/>
      <c r="QUT189" s="39"/>
      <c r="QUU189" s="39"/>
      <c r="QUV189" s="39"/>
      <c r="QUW189" s="39"/>
      <c r="QUX189" s="39"/>
      <c r="QUY189" s="39"/>
      <c r="QUZ189" s="39"/>
      <c r="QVA189" s="39"/>
      <c r="QVB189" s="39"/>
      <c r="QVC189" s="39"/>
      <c r="QVD189" s="39"/>
      <c r="QVE189" s="39"/>
      <c r="QVF189" s="39"/>
      <c r="QVG189" s="39"/>
      <c r="QVH189" s="39"/>
      <c r="QVI189" s="39"/>
      <c r="QVJ189" s="39"/>
      <c r="QVK189" s="39"/>
      <c r="QVL189" s="39"/>
      <c r="QVM189" s="39"/>
      <c r="QVN189" s="39"/>
      <c r="QVO189" s="39"/>
      <c r="QVP189" s="39"/>
      <c r="QVQ189" s="39"/>
      <c r="QVR189" s="39"/>
      <c r="QVS189" s="39"/>
      <c r="QVT189" s="39"/>
      <c r="QVU189" s="39"/>
      <c r="QVV189" s="39"/>
      <c r="QVW189" s="39"/>
      <c r="QVX189" s="39"/>
      <c r="QVY189" s="39"/>
      <c r="QVZ189" s="39"/>
      <c r="QWA189" s="39"/>
      <c r="QWB189" s="39"/>
      <c r="QWC189" s="39"/>
      <c r="QWD189" s="39"/>
      <c r="QWE189" s="39"/>
      <c r="QWF189" s="39"/>
      <c r="QWG189" s="39"/>
      <c r="QWH189" s="39"/>
      <c r="QWI189" s="39"/>
      <c r="QWJ189" s="39"/>
      <c r="QWK189" s="39"/>
      <c r="QWL189" s="39"/>
      <c r="QWM189" s="39"/>
      <c r="QWN189" s="39"/>
      <c r="QWO189" s="39"/>
      <c r="QWP189" s="39"/>
      <c r="QWQ189" s="39"/>
      <c r="QWR189" s="39"/>
      <c r="QWS189" s="39"/>
      <c r="QWT189" s="39"/>
      <c r="QWU189" s="39"/>
      <c r="QWV189" s="39"/>
      <c r="QWW189" s="39"/>
      <c r="QWX189" s="39"/>
      <c r="QWY189" s="39"/>
      <c r="QWZ189" s="39"/>
      <c r="QXA189" s="39"/>
      <c r="QXB189" s="39"/>
      <c r="QXC189" s="39"/>
      <c r="QXD189" s="39"/>
      <c r="QXE189" s="39"/>
      <c r="QXF189" s="39"/>
      <c r="QXG189" s="39"/>
      <c r="QXH189" s="39"/>
      <c r="QXI189" s="39"/>
      <c r="QXJ189" s="39"/>
      <c r="QXK189" s="39"/>
      <c r="QXL189" s="39"/>
      <c r="QXM189" s="39"/>
      <c r="QXN189" s="39"/>
      <c r="QXO189" s="39"/>
      <c r="QXP189" s="39"/>
      <c r="QXQ189" s="39"/>
      <c r="QXR189" s="39"/>
      <c r="QXS189" s="39"/>
      <c r="QXT189" s="39"/>
      <c r="QXU189" s="39"/>
      <c r="QXV189" s="39"/>
      <c r="QXW189" s="39"/>
      <c r="QXX189" s="39"/>
      <c r="QXY189" s="39"/>
      <c r="QXZ189" s="39"/>
      <c r="QYA189" s="39"/>
      <c r="QYB189" s="39"/>
      <c r="QYC189" s="39"/>
      <c r="QYD189" s="39"/>
      <c r="QYE189" s="39"/>
      <c r="QYF189" s="39"/>
      <c r="QYG189" s="39"/>
      <c r="QYH189" s="39"/>
      <c r="QYI189" s="39"/>
      <c r="QYJ189" s="39"/>
      <c r="QYK189" s="39"/>
      <c r="QYL189" s="39"/>
      <c r="QYM189" s="39"/>
      <c r="QYN189" s="39"/>
      <c r="QYO189" s="39"/>
      <c r="QYP189" s="39"/>
      <c r="QYQ189" s="39"/>
      <c r="QYR189" s="39"/>
      <c r="QYS189" s="39"/>
      <c r="QYT189" s="39"/>
      <c r="QYU189" s="39"/>
      <c r="QYV189" s="39"/>
      <c r="QYW189" s="39"/>
      <c r="QYX189" s="39"/>
      <c r="QYY189" s="39"/>
      <c r="QYZ189" s="39"/>
      <c r="QZA189" s="39"/>
      <c r="QZB189" s="39"/>
      <c r="QZC189" s="39"/>
      <c r="QZD189" s="39"/>
      <c r="QZE189" s="39"/>
      <c r="QZF189" s="39"/>
      <c r="QZG189" s="39"/>
      <c r="QZH189" s="39"/>
      <c r="QZI189" s="39"/>
      <c r="QZJ189" s="39"/>
      <c r="QZK189" s="39"/>
      <c r="QZL189" s="39"/>
      <c r="QZM189" s="39"/>
      <c r="QZN189" s="39"/>
      <c r="QZO189" s="39"/>
      <c r="QZP189" s="39"/>
      <c r="QZQ189" s="39"/>
      <c r="QZR189" s="39"/>
      <c r="QZS189" s="39"/>
      <c r="QZT189" s="39"/>
      <c r="QZU189" s="39"/>
      <c r="QZV189" s="39"/>
      <c r="QZW189" s="39"/>
      <c r="QZX189" s="39"/>
      <c r="QZY189" s="39"/>
      <c r="QZZ189" s="39"/>
      <c r="RAA189" s="39"/>
      <c r="RAB189" s="39"/>
      <c r="RAC189" s="39"/>
      <c r="RAD189" s="39"/>
      <c r="RAE189" s="39"/>
      <c r="RAF189" s="39"/>
      <c r="RAG189" s="39"/>
      <c r="RAH189" s="39"/>
      <c r="RAI189" s="39"/>
      <c r="RAJ189" s="39"/>
      <c r="RAK189" s="39"/>
      <c r="RAL189" s="39"/>
      <c r="RAM189" s="39"/>
      <c r="RAN189" s="39"/>
      <c r="RAO189" s="39"/>
      <c r="RAP189" s="39"/>
      <c r="RAQ189" s="39"/>
      <c r="RAR189" s="39"/>
      <c r="RAS189" s="39"/>
      <c r="RAT189" s="39"/>
      <c r="RAU189" s="39"/>
      <c r="RAV189" s="39"/>
      <c r="RAW189" s="39"/>
      <c r="RAX189" s="39"/>
      <c r="RAY189" s="39"/>
      <c r="RAZ189" s="39"/>
      <c r="RBA189" s="39"/>
      <c r="RBB189" s="39"/>
      <c r="RBC189" s="39"/>
      <c r="RBD189" s="39"/>
      <c r="RBE189" s="39"/>
      <c r="RBF189" s="39"/>
      <c r="RBG189" s="39"/>
      <c r="RBH189" s="39"/>
      <c r="RBI189" s="39"/>
      <c r="RBJ189" s="39"/>
      <c r="RBK189" s="39"/>
      <c r="RBL189" s="39"/>
      <c r="RBM189" s="39"/>
      <c r="RBN189" s="39"/>
      <c r="RBO189" s="39"/>
      <c r="RBP189" s="39"/>
      <c r="RBQ189" s="39"/>
      <c r="RBR189" s="39"/>
      <c r="RBS189" s="39"/>
      <c r="RBT189" s="39"/>
      <c r="RBU189" s="39"/>
      <c r="RBV189" s="39"/>
      <c r="RBW189" s="39"/>
      <c r="RBX189" s="39"/>
      <c r="RBY189" s="39"/>
      <c r="RBZ189" s="39"/>
      <c r="RCA189" s="39"/>
      <c r="RCB189" s="39"/>
      <c r="RCC189" s="39"/>
      <c r="RCD189" s="39"/>
      <c r="RCE189" s="39"/>
      <c r="RCF189" s="39"/>
      <c r="RCG189" s="39"/>
      <c r="RCH189" s="39"/>
      <c r="RCI189" s="39"/>
      <c r="RCJ189" s="39"/>
      <c r="RCK189" s="39"/>
      <c r="RCL189" s="39"/>
      <c r="RCM189" s="39"/>
      <c r="RCN189" s="39"/>
      <c r="RCO189" s="39"/>
      <c r="RCP189" s="39"/>
      <c r="RCQ189" s="39"/>
      <c r="RCR189" s="39"/>
      <c r="RCS189" s="39"/>
      <c r="RCT189" s="39"/>
      <c r="RCU189" s="39"/>
      <c r="RCV189" s="39"/>
      <c r="RCW189" s="39"/>
      <c r="RCX189" s="39"/>
      <c r="RCY189" s="39"/>
      <c r="RCZ189" s="39"/>
      <c r="RDA189" s="39"/>
      <c r="RDB189" s="39"/>
      <c r="RDC189" s="39"/>
      <c r="RDD189" s="39"/>
      <c r="RDE189" s="39"/>
      <c r="RDF189" s="39"/>
      <c r="RDG189" s="39"/>
      <c r="RDH189" s="39"/>
      <c r="RDI189" s="39"/>
      <c r="RDJ189" s="39"/>
      <c r="RDK189" s="39"/>
      <c r="RDL189" s="39"/>
      <c r="RDM189" s="39"/>
      <c r="RDN189" s="39"/>
      <c r="RDO189" s="39"/>
      <c r="RDP189" s="39"/>
      <c r="RDQ189" s="39"/>
      <c r="RDR189" s="39"/>
      <c r="RDS189" s="39"/>
      <c r="RDT189" s="39"/>
      <c r="RDU189" s="39"/>
      <c r="RDV189" s="39"/>
      <c r="RDW189" s="39"/>
      <c r="RDX189" s="39"/>
      <c r="RDY189" s="39"/>
      <c r="RDZ189" s="39"/>
      <c r="REA189" s="39"/>
      <c r="REB189" s="39"/>
      <c r="REC189" s="39"/>
      <c r="RED189" s="39"/>
      <c r="REE189" s="39"/>
      <c r="REF189" s="39"/>
      <c r="REG189" s="39"/>
      <c r="REH189" s="39"/>
      <c r="REI189" s="39"/>
      <c r="REJ189" s="39"/>
      <c r="REK189" s="39"/>
      <c r="REL189" s="39"/>
      <c r="REM189" s="39"/>
      <c r="REN189" s="39"/>
      <c r="REO189" s="39"/>
      <c r="REP189" s="39"/>
      <c r="REQ189" s="39"/>
      <c r="RER189" s="39"/>
      <c r="RES189" s="39"/>
      <c r="RET189" s="39"/>
      <c r="REU189" s="39"/>
      <c r="REV189" s="39"/>
      <c r="REW189" s="39"/>
      <c r="REX189" s="39"/>
      <c r="REY189" s="39"/>
      <c r="REZ189" s="39"/>
      <c r="RFA189" s="39"/>
      <c r="RFB189" s="39"/>
      <c r="RFC189" s="39"/>
      <c r="RFD189" s="39"/>
      <c r="RFE189" s="39"/>
      <c r="RFF189" s="39"/>
      <c r="RFG189" s="39"/>
      <c r="RFH189" s="39"/>
      <c r="RFI189" s="39"/>
      <c r="RFJ189" s="39"/>
      <c r="RFK189" s="39"/>
      <c r="RFL189" s="39"/>
      <c r="RFM189" s="39"/>
      <c r="RFN189" s="39"/>
      <c r="RFO189" s="39"/>
      <c r="RFP189" s="39"/>
      <c r="RFQ189" s="39"/>
      <c r="RFR189" s="39"/>
      <c r="RFS189" s="39"/>
      <c r="RFT189" s="39"/>
      <c r="RFU189" s="39"/>
      <c r="RFV189" s="39"/>
      <c r="RFW189" s="39"/>
      <c r="RFX189" s="39"/>
      <c r="RFY189" s="39"/>
      <c r="RFZ189" s="39"/>
      <c r="RGA189" s="39"/>
      <c r="RGB189" s="39"/>
      <c r="RGC189" s="39"/>
      <c r="RGD189" s="39"/>
      <c r="RGE189" s="39"/>
      <c r="RGF189" s="39"/>
      <c r="RGG189" s="39"/>
      <c r="RGH189" s="39"/>
      <c r="RGI189" s="39"/>
      <c r="RGJ189" s="39"/>
      <c r="RGK189" s="39"/>
      <c r="RGL189" s="39"/>
      <c r="RGM189" s="39"/>
      <c r="RGN189" s="39"/>
      <c r="RGO189" s="39"/>
      <c r="RGP189" s="39"/>
      <c r="RGQ189" s="39"/>
      <c r="RGR189" s="39"/>
      <c r="RGS189" s="39"/>
      <c r="RGT189" s="39"/>
      <c r="RGU189" s="39"/>
      <c r="RGV189" s="39"/>
      <c r="RGW189" s="39"/>
      <c r="RGX189" s="39"/>
      <c r="RGY189" s="39"/>
      <c r="RGZ189" s="39"/>
      <c r="RHA189" s="39"/>
      <c r="RHB189" s="39"/>
      <c r="RHC189" s="39"/>
      <c r="RHD189" s="39"/>
      <c r="RHE189" s="39"/>
      <c r="RHF189" s="39"/>
      <c r="RHG189" s="39"/>
      <c r="RHH189" s="39"/>
      <c r="RHI189" s="39"/>
      <c r="RHJ189" s="39"/>
      <c r="RHK189" s="39"/>
      <c r="RHL189" s="39"/>
      <c r="RHM189" s="39"/>
      <c r="RHN189" s="39"/>
      <c r="RHO189" s="39"/>
      <c r="RHP189" s="39"/>
      <c r="RHQ189" s="39"/>
      <c r="RHR189" s="39"/>
      <c r="RHS189" s="39"/>
      <c r="RHT189" s="39"/>
      <c r="RHU189" s="39"/>
      <c r="RHV189" s="39"/>
      <c r="RHW189" s="39"/>
      <c r="RHX189" s="39"/>
      <c r="RHY189" s="39"/>
      <c r="RHZ189" s="39"/>
      <c r="RIA189" s="39"/>
      <c r="RIB189" s="39"/>
      <c r="RIC189" s="39"/>
      <c r="RID189" s="39"/>
      <c r="RIE189" s="39"/>
      <c r="RIF189" s="39"/>
      <c r="RIG189" s="39"/>
      <c r="RIH189" s="39"/>
      <c r="RII189" s="39"/>
      <c r="RIJ189" s="39"/>
      <c r="RIK189" s="39"/>
      <c r="RIL189" s="39"/>
      <c r="RIM189" s="39"/>
      <c r="RIN189" s="39"/>
      <c r="RIO189" s="39"/>
      <c r="RIP189" s="39"/>
      <c r="RIQ189" s="39"/>
      <c r="RIR189" s="39"/>
      <c r="RIS189" s="39"/>
      <c r="RIT189" s="39"/>
      <c r="RIU189" s="39"/>
      <c r="RIV189" s="39"/>
      <c r="RIW189" s="39"/>
      <c r="RIX189" s="39"/>
      <c r="RIY189" s="39"/>
      <c r="RIZ189" s="39"/>
      <c r="RJA189" s="39"/>
      <c r="RJB189" s="39"/>
      <c r="RJC189" s="39"/>
      <c r="RJD189" s="39"/>
      <c r="RJE189" s="39"/>
      <c r="RJF189" s="39"/>
      <c r="RJG189" s="39"/>
      <c r="RJH189" s="39"/>
      <c r="RJI189" s="39"/>
      <c r="RJJ189" s="39"/>
      <c r="RJK189" s="39"/>
      <c r="RJL189" s="39"/>
      <c r="RJM189" s="39"/>
      <c r="RJN189" s="39"/>
      <c r="RJO189" s="39"/>
      <c r="RJP189" s="39"/>
      <c r="RJQ189" s="39"/>
      <c r="RJR189" s="39"/>
      <c r="RJS189" s="39"/>
      <c r="RJT189" s="39"/>
      <c r="RJU189" s="39"/>
      <c r="RJV189" s="39"/>
      <c r="RJW189" s="39"/>
      <c r="RJX189" s="39"/>
      <c r="RJY189" s="39"/>
      <c r="RJZ189" s="39"/>
      <c r="RKA189" s="39"/>
      <c r="RKB189" s="39"/>
      <c r="RKC189" s="39"/>
      <c r="RKD189" s="39"/>
      <c r="RKE189" s="39"/>
      <c r="RKF189" s="39"/>
      <c r="RKG189" s="39"/>
      <c r="RKH189" s="39"/>
      <c r="RKI189" s="39"/>
      <c r="RKJ189" s="39"/>
      <c r="RKK189" s="39"/>
      <c r="RKL189" s="39"/>
      <c r="RKM189" s="39"/>
      <c r="RKN189" s="39"/>
      <c r="RKO189" s="39"/>
      <c r="RKP189" s="39"/>
      <c r="RKQ189" s="39"/>
      <c r="RKR189" s="39"/>
      <c r="RKS189" s="39"/>
      <c r="RKT189" s="39"/>
      <c r="RKU189" s="39"/>
      <c r="RKV189" s="39"/>
      <c r="RKW189" s="39"/>
      <c r="RKX189" s="39"/>
      <c r="RKY189" s="39"/>
      <c r="RKZ189" s="39"/>
      <c r="RLA189" s="39"/>
      <c r="RLB189" s="39"/>
      <c r="RLC189" s="39"/>
      <c r="RLD189" s="39"/>
      <c r="RLE189" s="39"/>
      <c r="RLF189" s="39"/>
      <c r="RLG189" s="39"/>
      <c r="RLH189" s="39"/>
      <c r="RLI189" s="39"/>
      <c r="RLJ189" s="39"/>
      <c r="RLK189" s="39"/>
      <c r="RLL189" s="39"/>
      <c r="RLM189" s="39"/>
      <c r="RLN189" s="39"/>
      <c r="RLO189" s="39"/>
      <c r="RLP189" s="39"/>
      <c r="RLQ189" s="39"/>
      <c r="RLR189" s="39"/>
      <c r="RLS189" s="39"/>
      <c r="RLT189" s="39"/>
      <c r="RLU189" s="39"/>
      <c r="RLV189" s="39"/>
      <c r="RLW189" s="39"/>
      <c r="RLX189" s="39"/>
      <c r="RLY189" s="39"/>
      <c r="RLZ189" s="39"/>
      <c r="RMA189" s="39"/>
      <c r="RMB189" s="39"/>
      <c r="RMC189" s="39"/>
      <c r="RMD189" s="39"/>
      <c r="RME189" s="39"/>
      <c r="RMF189" s="39"/>
      <c r="RMG189" s="39"/>
      <c r="RMH189" s="39"/>
      <c r="RMI189" s="39"/>
      <c r="RMJ189" s="39"/>
      <c r="RMK189" s="39"/>
      <c r="RML189" s="39"/>
      <c r="RMM189" s="39"/>
      <c r="RMN189" s="39"/>
      <c r="RMO189" s="39"/>
      <c r="RMP189" s="39"/>
      <c r="RMQ189" s="39"/>
      <c r="RMR189" s="39"/>
      <c r="RMS189" s="39"/>
      <c r="RMT189" s="39"/>
      <c r="RMU189" s="39"/>
      <c r="RMV189" s="39"/>
      <c r="RMW189" s="39"/>
      <c r="RMX189" s="39"/>
      <c r="RMY189" s="39"/>
      <c r="RMZ189" s="39"/>
      <c r="RNA189" s="39"/>
      <c r="RNB189" s="39"/>
      <c r="RNC189" s="39"/>
      <c r="RND189" s="39"/>
      <c r="RNE189" s="39"/>
      <c r="RNF189" s="39"/>
      <c r="RNG189" s="39"/>
      <c r="RNH189" s="39"/>
      <c r="RNI189" s="39"/>
      <c r="RNJ189" s="39"/>
      <c r="RNK189" s="39"/>
      <c r="RNL189" s="39"/>
      <c r="RNM189" s="39"/>
      <c r="RNN189" s="39"/>
      <c r="RNO189" s="39"/>
      <c r="RNP189" s="39"/>
      <c r="RNQ189" s="39"/>
      <c r="RNR189" s="39"/>
      <c r="RNS189" s="39"/>
      <c r="RNT189" s="39"/>
      <c r="RNU189" s="39"/>
      <c r="RNV189" s="39"/>
      <c r="RNW189" s="39"/>
      <c r="RNX189" s="39"/>
      <c r="RNY189" s="39"/>
      <c r="RNZ189" s="39"/>
      <c r="ROA189" s="39"/>
      <c r="ROB189" s="39"/>
      <c r="ROC189" s="39"/>
      <c r="ROD189" s="39"/>
      <c r="ROE189" s="39"/>
      <c r="ROF189" s="39"/>
      <c r="ROG189" s="39"/>
      <c r="ROH189" s="39"/>
      <c r="ROI189" s="39"/>
      <c r="ROJ189" s="39"/>
      <c r="ROK189" s="39"/>
      <c r="ROL189" s="39"/>
      <c r="ROM189" s="39"/>
      <c r="RON189" s="39"/>
      <c r="ROO189" s="39"/>
      <c r="ROP189" s="39"/>
      <c r="ROQ189" s="39"/>
      <c r="ROR189" s="39"/>
      <c r="ROS189" s="39"/>
      <c r="ROT189" s="39"/>
      <c r="ROU189" s="39"/>
      <c r="ROV189" s="39"/>
      <c r="ROW189" s="39"/>
      <c r="ROX189" s="39"/>
      <c r="ROY189" s="39"/>
      <c r="ROZ189" s="39"/>
      <c r="RPA189" s="39"/>
      <c r="RPB189" s="39"/>
      <c r="RPC189" s="39"/>
      <c r="RPD189" s="39"/>
      <c r="RPE189" s="39"/>
      <c r="RPF189" s="39"/>
      <c r="RPG189" s="39"/>
      <c r="RPH189" s="39"/>
      <c r="RPI189" s="39"/>
      <c r="RPJ189" s="39"/>
      <c r="RPK189" s="39"/>
      <c r="RPL189" s="39"/>
      <c r="RPM189" s="39"/>
      <c r="RPN189" s="39"/>
      <c r="RPO189" s="39"/>
      <c r="RPP189" s="39"/>
      <c r="RPQ189" s="39"/>
      <c r="RPR189" s="39"/>
      <c r="RPS189" s="39"/>
      <c r="RPT189" s="39"/>
      <c r="RPU189" s="39"/>
      <c r="RPV189" s="39"/>
      <c r="RPW189" s="39"/>
      <c r="RPX189" s="39"/>
      <c r="RPY189" s="39"/>
      <c r="RPZ189" s="39"/>
      <c r="RQA189" s="39"/>
      <c r="RQB189" s="39"/>
      <c r="RQC189" s="39"/>
      <c r="RQD189" s="39"/>
      <c r="RQE189" s="39"/>
      <c r="RQF189" s="39"/>
      <c r="RQG189" s="39"/>
      <c r="RQH189" s="39"/>
      <c r="RQI189" s="39"/>
      <c r="RQJ189" s="39"/>
      <c r="RQK189" s="39"/>
      <c r="RQL189" s="39"/>
      <c r="RQM189" s="39"/>
      <c r="RQN189" s="39"/>
      <c r="RQO189" s="39"/>
      <c r="RQP189" s="39"/>
      <c r="RQQ189" s="39"/>
      <c r="RQR189" s="39"/>
      <c r="RQS189" s="39"/>
      <c r="RQT189" s="39"/>
      <c r="RQU189" s="39"/>
      <c r="RQV189" s="39"/>
      <c r="RQW189" s="39"/>
      <c r="RQX189" s="39"/>
      <c r="RQY189" s="39"/>
      <c r="RQZ189" s="39"/>
      <c r="RRA189" s="39"/>
      <c r="RRB189" s="39"/>
      <c r="RRC189" s="39"/>
      <c r="RRD189" s="39"/>
      <c r="RRE189" s="39"/>
      <c r="RRF189" s="39"/>
      <c r="RRG189" s="39"/>
      <c r="RRH189" s="39"/>
      <c r="RRI189" s="39"/>
      <c r="RRJ189" s="39"/>
      <c r="RRK189" s="39"/>
      <c r="RRL189" s="39"/>
      <c r="RRM189" s="39"/>
      <c r="RRN189" s="39"/>
      <c r="RRO189" s="39"/>
      <c r="RRP189" s="39"/>
      <c r="RRQ189" s="39"/>
      <c r="RRR189" s="39"/>
      <c r="RRS189" s="39"/>
      <c r="RRT189" s="39"/>
      <c r="RRU189" s="39"/>
      <c r="RRV189" s="39"/>
      <c r="RRW189" s="39"/>
      <c r="RRX189" s="39"/>
      <c r="RRY189" s="39"/>
      <c r="RRZ189" s="39"/>
      <c r="RSA189" s="39"/>
      <c r="RSB189" s="39"/>
      <c r="RSC189" s="39"/>
      <c r="RSD189" s="39"/>
      <c r="RSE189" s="39"/>
      <c r="RSF189" s="39"/>
      <c r="RSG189" s="39"/>
      <c r="RSH189" s="39"/>
      <c r="RSI189" s="39"/>
      <c r="RSJ189" s="39"/>
      <c r="RSK189" s="39"/>
      <c r="RSL189" s="39"/>
      <c r="RSM189" s="39"/>
      <c r="RSN189" s="39"/>
      <c r="RSO189" s="39"/>
      <c r="RSP189" s="39"/>
      <c r="RSQ189" s="39"/>
      <c r="RSR189" s="39"/>
      <c r="RSS189" s="39"/>
      <c r="RST189" s="39"/>
      <c r="RSU189" s="39"/>
      <c r="RSV189" s="39"/>
      <c r="RSW189" s="39"/>
      <c r="RSX189" s="39"/>
      <c r="RSY189" s="39"/>
      <c r="RSZ189" s="39"/>
      <c r="RTA189" s="39"/>
      <c r="RTB189" s="39"/>
      <c r="RTC189" s="39"/>
      <c r="RTD189" s="39"/>
      <c r="RTE189" s="39"/>
      <c r="RTF189" s="39"/>
      <c r="RTG189" s="39"/>
      <c r="RTH189" s="39"/>
      <c r="RTI189" s="39"/>
      <c r="RTJ189" s="39"/>
      <c r="RTK189" s="39"/>
      <c r="RTL189" s="39"/>
      <c r="RTM189" s="39"/>
      <c r="RTN189" s="39"/>
      <c r="RTO189" s="39"/>
      <c r="RTP189" s="39"/>
      <c r="RTQ189" s="39"/>
      <c r="RTR189" s="39"/>
      <c r="RTS189" s="39"/>
      <c r="RTT189" s="39"/>
      <c r="RTU189" s="39"/>
      <c r="RTV189" s="39"/>
      <c r="RTW189" s="39"/>
      <c r="RTX189" s="39"/>
      <c r="RTY189" s="39"/>
      <c r="RTZ189" s="39"/>
      <c r="RUA189" s="39"/>
      <c r="RUB189" s="39"/>
      <c r="RUC189" s="39"/>
      <c r="RUD189" s="39"/>
      <c r="RUE189" s="39"/>
      <c r="RUF189" s="39"/>
      <c r="RUG189" s="39"/>
      <c r="RUH189" s="39"/>
      <c r="RUI189" s="39"/>
      <c r="RUJ189" s="39"/>
      <c r="RUK189" s="39"/>
      <c r="RUL189" s="39"/>
      <c r="RUM189" s="39"/>
      <c r="RUN189" s="39"/>
      <c r="RUO189" s="39"/>
      <c r="RUP189" s="39"/>
      <c r="RUQ189" s="39"/>
      <c r="RUR189" s="39"/>
      <c r="RUS189" s="39"/>
      <c r="RUT189" s="39"/>
      <c r="RUU189" s="39"/>
      <c r="RUV189" s="39"/>
      <c r="RUW189" s="39"/>
      <c r="RUX189" s="39"/>
      <c r="RUY189" s="39"/>
      <c r="RUZ189" s="39"/>
      <c r="RVA189" s="39"/>
      <c r="RVB189" s="39"/>
      <c r="RVC189" s="39"/>
      <c r="RVD189" s="39"/>
      <c r="RVE189" s="39"/>
      <c r="RVF189" s="39"/>
      <c r="RVG189" s="39"/>
      <c r="RVH189" s="39"/>
      <c r="RVI189" s="39"/>
      <c r="RVJ189" s="39"/>
      <c r="RVK189" s="39"/>
      <c r="RVL189" s="39"/>
      <c r="RVM189" s="39"/>
      <c r="RVN189" s="39"/>
      <c r="RVO189" s="39"/>
      <c r="RVP189" s="39"/>
      <c r="RVQ189" s="39"/>
      <c r="RVR189" s="39"/>
      <c r="RVS189" s="39"/>
      <c r="RVT189" s="39"/>
      <c r="RVU189" s="39"/>
      <c r="RVV189" s="39"/>
      <c r="RVW189" s="39"/>
      <c r="RVX189" s="39"/>
      <c r="RVY189" s="39"/>
      <c r="RVZ189" s="39"/>
      <c r="RWA189" s="39"/>
      <c r="RWB189" s="39"/>
      <c r="RWC189" s="39"/>
      <c r="RWD189" s="39"/>
      <c r="RWE189" s="39"/>
      <c r="RWF189" s="39"/>
      <c r="RWG189" s="39"/>
      <c r="RWH189" s="39"/>
      <c r="RWI189" s="39"/>
      <c r="RWJ189" s="39"/>
      <c r="RWK189" s="39"/>
      <c r="RWL189" s="39"/>
      <c r="RWM189" s="39"/>
      <c r="RWN189" s="39"/>
      <c r="RWO189" s="39"/>
      <c r="RWP189" s="39"/>
      <c r="RWQ189" s="39"/>
      <c r="RWR189" s="39"/>
      <c r="RWS189" s="39"/>
      <c r="RWT189" s="39"/>
      <c r="RWU189" s="39"/>
      <c r="RWV189" s="39"/>
      <c r="RWW189" s="39"/>
      <c r="RWX189" s="39"/>
      <c r="RWY189" s="39"/>
      <c r="RWZ189" s="39"/>
      <c r="RXA189" s="39"/>
      <c r="RXB189" s="39"/>
      <c r="RXC189" s="39"/>
      <c r="RXD189" s="39"/>
      <c r="RXE189" s="39"/>
      <c r="RXF189" s="39"/>
      <c r="RXG189" s="39"/>
      <c r="RXH189" s="39"/>
      <c r="RXI189" s="39"/>
      <c r="RXJ189" s="39"/>
      <c r="RXK189" s="39"/>
      <c r="RXL189" s="39"/>
      <c r="RXM189" s="39"/>
      <c r="RXN189" s="39"/>
      <c r="RXO189" s="39"/>
      <c r="RXP189" s="39"/>
      <c r="RXQ189" s="39"/>
      <c r="RXR189" s="39"/>
      <c r="RXS189" s="39"/>
      <c r="RXT189" s="39"/>
      <c r="RXU189" s="39"/>
      <c r="RXV189" s="39"/>
      <c r="RXW189" s="39"/>
      <c r="RXX189" s="39"/>
      <c r="RXY189" s="39"/>
      <c r="RXZ189" s="39"/>
      <c r="RYA189" s="39"/>
      <c r="RYB189" s="39"/>
      <c r="RYC189" s="39"/>
      <c r="RYD189" s="39"/>
      <c r="RYE189" s="39"/>
      <c r="RYF189" s="39"/>
      <c r="RYG189" s="39"/>
      <c r="RYH189" s="39"/>
      <c r="RYI189" s="39"/>
      <c r="RYJ189" s="39"/>
      <c r="RYK189" s="39"/>
      <c r="RYL189" s="39"/>
      <c r="RYM189" s="39"/>
      <c r="RYN189" s="39"/>
      <c r="RYO189" s="39"/>
      <c r="RYP189" s="39"/>
      <c r="RYQ189" s="39"/>
      <c r="RYR189" s="39"/>
      <c r="RYS189" s="39"/>
      <c r="RYT189" s="39"/>
      <c r="RYU189" s="39"/>
      <c r="RYV189" s="39"/>
      <c r="RYW189" s="39"/>
      <c r="RYX189" s="39"/>
      <c r="RYY189" s="39"/>
      <c r="RYZ189" s="39"/>
      <c r="RZA189" s="39"/>
      <c r="RZB189" s="39"/>
      <c r="RZC189" s="39"/>
      <c r="RZD189" s="39"/>
      <c r="RZE189" s="39"/>
      <c r="RZF189" s="39"/>
      <c r="RZG189" s="39"/>
      <c r="RZH189" s="39"/>
      <c r="RZI189" s="39"/>
      <c r="RZJ189" s="39"/>
      <c r="RZK189" s="39"/>
      <c r="RZL189" s="39"/>
      <c r="RZM189" s="39"/>
      <c r="RZN189" s="39"/>
      <c r="RZO189" s="39"/>
      <c r="RZP189" s="39"/>
      <c r="RZQ189" s="39"/>
      <c r="RZR189" s="39"/>
      <c r="RZS189" s="39"/>
      <c r="RZT189" s="39"/>
      <c r="RZU189" s="39"/>
      <c r="RZV189" s="39"/>
      <c r="RZW189" s="39"/>
      <c r="RZX189" s="39"/>
      <c r="RZY189" s="39"/>
      <c r="RZZ189" s="39"/>
      <c r="SAA189" s="39"/>
      <c r="SAB189" s="39"/>
      <c r="SAC189" s="39"/>
      <c r="SAD189" s="39"/>
      <c r="SAE189" s="39"/>
      <c r="SAF189" s="39"/>
      <c r="SAG189" s="39"/>
      <c r="SAH189" s="39"/>
      <c r="SAI189" s="39"/>
      <c r="SAJ189" s="39"/>
      <c r="SAK189" s="39"/>
      <c r="SAL189" s="39"/>
      <c r="SAM189" s="39"/>
      <c r="SAN189" s="39"/>
      <c r="SAO189" s="39"/>
      <c r="SAP189" s="39"/>
      <c r="SAQ189" s="39"/>
      <c r="SAR189" s="39"/>
      <c r="SAS189" s="39"/>
      <c r="SAT189" s="39"/>
      <c r="SAU189" s="39"/>
      <c r="SAV189" s="39"/>
      <c r="SAW189" s="39"/>
      <c r="SAX189" s="39"/>
      <c r="SAY189" s="39"/>
      <c r="SAZ189" s="39"/>
      <c r="SBA189" s="39"/>
      <c r="SBB189" s="39"/>
      <c r="SBC189" s="39"/>
      <c r="SBD189" s="39"/>
      <c r="SBE189" s="39"/>
      <c r="SBF189" s="39"/>
      <c r="SBG189" s="39"/>
      <c r="SBH189" s="39"/>
      <c r="SBI189" s="39"/>
      <c r="SBJ189" s="39"/>
      <c r="SBK189" s="39"/>
      <c r="SBL189" s="39"/>
      <c r="SBM189" s="39"/>
      <c r="SBN189" s="39"/>
      <c r="SBO189" s="39"/>
      <c r="SBP189" s="39"/>
      <c r="SBQ189" s="39"/>
      <c r="SBR189" s="39"/>
      <c r="SBS189" s="39"/>
      <c r="SBT189" s="39"/>
      <c r="SBU189" s="39"/>
      <c r="SBV189" s="39"/>
      <c r="SBW189" s="39"/>
      <c r="SBX189" s="39"/>
      <c r="SBY189" s="39"/>
      <c r="SBZ189" s="39"/>
      <c r="SCA189" s="39"/>
      <c r="SCB189" s="39"/>
      <c r="SCC189" s="39"/>
      <c r="SCD189" s="39"/>
      <c r="SCE189" s="39"/>
      <c r="SCF189" s="39"/>
      <c r="SCG189" s="39"/>
      <c r="SCH189" s="39"/>
      <c r="SCI189" s="39"/>
      <c r="SCJ189" s="39"/>
      <c r="SCK189" s="39"/>
      <c r="SCL189" s="39"/>
      <c r="SCM189" s="39"/>
      <c r="SCN189" s="39"/>
      <c r="SCO189" s="39"/>
      <c r="SCP189" s="39"/>
      <c r="SCQ189" s="39"/>
      <c r="SCR189" s="39"/>
      <c r="SCS189" s="39"/>
      <c r="SCT189" s="39"/>
      <c r="SCU189" s="39"/>
      <c r="SCV189" s="39"/>
      <c r="SCW189" s="39"/>
      <c r="SCX189" s="39"/>
      <c r="SCY189" s="39"/>
      <c r="SCZ189" s="39"/>
      <c r="SDA189" s="39"/>
      <c r="SDB189" s="39"/>
      <c r="SDC189" s="39"/>
      <c r="SDD189" s="39"/>
      <c r="SDE189" s="39"/>
      <c r="SDF189" s="39"/>
      <c r="SDG189" s="39"/>
      <c r="SDH189" s="39"/>
      <c r="SDI189" s="39"/>
      <c r="SDJ189" s="39"/>
      <c r="SDK189" s="39"/>
      <c r="SDL189" s="39"/>
      <c r="SDM189" s="39"/>
      <c r="SDN189" s="39"/>
      <c r="SDO189" s="39"/>
      <c r="SDP189" s="39"/>
      <c r="SDQ189" s="39"/>
      <c r="SDR189" s="39"/>
      <c r="SDS189" s="39"/>
      <c r="SDT189" s="39"/>
      <c r="SDU189" s="39"/>
      <c r="SDV189" s="39"/>
      <c r="SDW189" s="39"/>
      <c r="SDX189" s="39"/>
      <c r="SDY189" s="39"/>
      <c r="SDZ189" s="39"/>
      <c r="SEA189" s="39"/>
      <c r="SEB189" s="39"/>
      <c r="SEC189" s="39"/>
      <c r="SED189" s="39"/>
      <c r="SEE189" s="39"/>
      <c r="SEF189" s="39"/>
      <c r="SEG189" s="39"/>
      <c r="SEH189" s="39"/>
      <c r="SEI189" s="39"/>
      <c r="SEJ189" s="39"/>
      <c r="SEK189" s="39"/>
      <c r="SEL189" s="39"/>
      <c r="SEM189" s="39"/>
      <c r="SEN189" s="39"/>
      <c r="SEO189" s="39"/>
      <c r="SEP189" s="39"/>
      <c r="SEQ189" s="39"/>
      <c r="SER189" s="39"/>
      <c r="SES189" s="39"/>
      <c r="SET189" s="39"/>
      <c r="SEU189" s="39"/>
      <c r="SEV189" s="39"/>
      <c r="SEW189" s="39"/>
      <c r="SEX189" s="39"/>
      <c r="SEY189" s="39"/>
      <c r="SEZ189" s="39"/>
      <c r="SFA189" s="39"/>
      <c r="SFB189" s="39"/>
      <c r="SFC189" s="39"/>
      <c r="SFD189" s="39"/>
      <c r="SFE189" s="39"/>
      <c r="SFF189" s="39"/>
      <c r="SFG189" s="39"/>
      <c r="SFH189" s="39"/>
      <c r="SFI189" s="39"/>
      <c r="SFJ189" s="39"/>
      <c r="SFK189" s="39"/>
      <c r="SFL189" s="39"/>
      <c r="SFM189" s="39"/>
      <c r="SFN189" s="39"/>
      <c r="SFO189" s="39"/>
      <c r="SFP189" s="39"/>
      <c r="SFQ189" s="39"/>
      <c r="SFR189" s="39"/>
      <c r="SFS189" s="39"/>
      <c r="SFT189" s="39"/>
      <c r="SFU189" s="39"/>
      <c r="SFV189" s="39"/>
      <c r="SFW189" s="39"/>
      <c r="SFX189" s="39"/>
      <c r="SFY189" s="39"/>
      <c r="SFZ189" s="39"/>
      <c r="SGA189" s="39"/>
      <c r="SGB189" s="39"/>
      <c r="SGC189" s="39"/>
      <c r="SGD189" s="39"/>
      <c r="SGE189" s="39"/>
      <c r="SGF189" s="39"/>
      <c r="SGG189" s="39"/>
      <c r="SGH189" s="39"/>
      <c r="SGI189" s="39"/>
      <c r="SGJ189" s="39"/>
      <c r="SGK189" s="39"/>
      <c r="SGL189" s="39"/>
      <c r="SGM189" s="39"/>
      <c r="SGN189" s="39"/>
      <c r="SGO189" s="39"/>
      <c r="SGP189" s="39"/>
      <c r="SGQ189" s="39"/>
      <c r="SGR189" s="39"/>
      <c r="SGS189" s="39"/>
      <c r="SGT189" s="39"/>
      <c r="SGU189" s="39"/>
      <c r="SGV189" s="39"/>
      <c r="SGW189" s="39"/>
      <c r="SGX189" s="39"/>
      <c r="SGY189" s="39"/>
      <c r="SGZ189" s="39"/>
      <c r="SHA189" s="39"/>
      <c r="SHB189" s="39"/>
      <c r="SHC189" s="39"/>
      <c r="SHD189" s="39"/>
      <c r="SHE189" s="39"/>
      <c r="SHF189" s="39"/>
      <c r="SHG189" s="39"/>
      <c r="SHH189" s="39"/>
      <c r="SHI189" s="39"/>
      <c r="SHJ189" s="39"/>
      <c r="SHK189" s="39"/>
      <c r="SHL189" s="39"/>
      <c r="SHM189" s="39"/>
      <c r="SHN189" s="39"/>
      <c r="SHO189" s="39"/>
      <c r="SHP189" s="39"/>
      <c r="SHQ189" s="39"/>
      <c r="SHR189" s="39"/>
      <c r="SHS189" s="39"/>
      <c r="SHT189" s="39"/>
      <c r="SHU189" s="39"/>
      <c r="SHV189" s="39"/>
      <c r="SHW189" s="39"/>
      <c r="SHX189" s="39"/>
      <c r="SHY189" s="39"/>
      <c r="SHZ189" s="39"/>
      <c r="SIA189" s="39"/>
      <c r="SIB189" s="39"/>
      <c r="SIC189" s="39"/>
      <c r="SID189" s="39"/>
      <c r="SIE189" s="39"/>
      <c r="SIF189" s="39"/>
      <c r="SIG189" s="39"/>
      <c r="SIH189" s="39"/>
      <c r="SII189" s="39"/>
      <c r="SIJ189" s="39"/>
      <c r="SIK189" s="39"/>
      <c r="SIL189" s="39"/>
      <c r="SIM189" s="39"/>
      <c r="SIN189" s="39"/>
      <c r="SIO189" s="39"/>
      <c r="SIP189" s="39"/>
      <c r="SIQ189" s="39"/>
      <c r="SIR189" s="39"/>
      <c r="SIS189" s="39"/>
      <c r="SIT189" s="39"/>
      <c r="SIU189" s="39"/>
      <c r="SIV189" s="39"/>
      <c r="SIW189" s="39"/>
      <c r="SIX189" s="39"/>
      <c r="SIY189" s="39"/>
      <c r="SIZ189" s="39"/>
      <c r="SJA189" s="39"/>
      <c r="SJB189" s="39"/>
      <c r="SJC189" s="39"/>
      <c r="SJD189" s="39"/>
      <c r="SJE189" s="39"/>
      <c r="SJF189" s="39"/>
      <c r="SJG189" s="39"/>
      <c r="SJH189" s="39"/>
      <c r="SJI189" s="39"/>
      <c r="SJJ189" s="39"/>
      <c r="SJK189" s="39"/>
      <c r="SJL189" s="39"/>
      <c r="SJM189" s="39"/>
      <c r="SJN189" s="39"/>
      <c r="SJO189" s="39"/>
      <c r="SJP189" s="39"/>
      <c r="SJQ189" s="39"/>
      <c r="SJR189" s="39"/>
      <c r="SJS189" s="39"/>
      <c r="SJT189" s="39"/>
      <c r="SJU189" s="39"/>
      <c r="SJV189" s="39"/>
      <c r="SJW189" s="39"/>
      <c r="SJX189" s="39"/>
      <c r="SJY189" s="39"/>
      <c r="SJZ189" s="39"/>
      <c r="SKA189" s="39"/>
      <c r="SKB189" s="39"/>
      <c r="SKC189" s="39"/>
      <c r="SKD189" s="39"/>
      <c r="SKE189" s="39"/>
      <c r="SKF189" s="39"/>
      <c r="SKG189" s="39"/>
      <c r="SKH189" s="39"/>
      <c r="SKI189" s="39"/>
      <c r="SKJ189" s="39"/>
      <c r="SKK189" s="39"/>
      <c r="SKL189" s="39"/>
      <c r="SKM189" s="39"/>
      <c r="SKN189" s="39"/>
      <c r="SKO189" s="39"/>
      <c r="SKP189" s="39"/>
      <c r="SKQ189" s="39"/>
      <c r="SKR189" s="39"/>
      <c r="SKS189" s="39"/>
      <c r="SKT189" s="39"/>
      <c r="SKU189" s="39"/>
      <c r="SKV189" s="39"/>
      <c r="SKW189" s="39"/>
      <c r="SKX189" s="39"/>
      <c r="SKY189" s="39"/>
      <c r="SKZ189" s="39"/>
      <c r="SLA189" s="39"/>
      <c r="SLB189" s="39"/>
      <c r="SLC189" s="39"/>
      <c r="SLD189" s="39"/>
      <c r="SLE189" s="39"/>
      <c r="SLF189" s="39"/>
      <c r="SLG189" s="39"/>
      <c r="SLH189" s="39"/>
      <c r="SLI189" s="39"/>
      <c r="SLJ189" s="39"/>
      <c r="SLK189" s="39"/>
      <c r="SLL189" s="39"/>
      <c r="SLM189" s="39"/>
      <c r="SLN189" s="39"/>
      <c r="SLO189" s="39"/>
      <c r="SLP189" s="39"/>
      <c r="SLQ189" s="39"/>
      <c r="SLR189" s="39"/>
      <c r="SLS189" s="39"/>
      <c r="SLT189" s="39"/>
      <c r="SLU189" s="39"/>
      <c r="SLV189" s="39"/>
      <c r="SLW189" s="39"/>
      <c r="SLX189" s="39"/>
      <c r="SLY189" s="39"/>
      <c r="SLZ189" s="39"/>
      <c r="SMA189" s="39"/>
      <c r="SMB189" s="39"/>
      <c r="SMC189" s="39"/>
      <c r="SMD189" s="39"/>
      <c r="SME189" s="39"/>
      <c r="SMF189" s="39"/>
      <c r="SMG189" s="39"/>
      <c r="SMH189" s="39"/>
      <c r="SMI189" s="39"/>
      <c r="SMJ189" s="39"/>
      <c r="SMK189" s="39"/>
      <c r="SML189" s="39"/>
      <c r="SMM189" s="39"/>
      <c r="SMN189" s="39"/>
      <c r="SMO189" s="39"/>
      <c r="SMP189" s="39"/>
      <c r="SMQ189" s="39"/>
      <c r="SMR189" s="39"/>
      <c r="SMS189" s="39"/>
      <c r="SMT189" s="39"/>
      <c r="SMU189" s="39"/>
      <c r="SMV189" s="39"/>
      <c r="SMW189" s="39"/>
      <c r="SMX189" s="39"/>
      <c r="SMY189" s="39"/>
      <c r="SMZ189" s="39"/>
      <c r="SNA189" s="39"/>
      <c r="SNB189" s="39"/>
      <c r="SNC189" s="39"/>
      <c r="SND189" s="39"/>
      <c r="SNE189" s="39"/>
      <c r="SNF189" s="39"/>
      <c r="SNG189" s="39"/>
      <c r="SNH189" s="39"/>
      <c r="SNI189" s="39"/>
      <c r="SNJ189" s="39"/>
      <c r="SNK189" s="39"/>
      <c r="SNL189" s="39"/>
      <c r="SNM189" s="39"/>
      <c r="SNN189" s="39"/>
      <c r="SNO189" s="39"/>
      <c r="SNP189" s="39"/>
      <c r="SNQ189" s="39"/>
      <c r="SNR189" s="39"/>
      <c r="SNS189" s="39"/>
      <c r="SNT189" s="39"/>
      <c r="SNU189" s="39"/>
      <c r="SNV189" s="39"/>
      <c r="SNW189" s="39"/>
      <c r="SNX189" s="39"/>
      <c r="SNY189" s="39"/>
      <c r="SNZ189" s="39"/>
      <c r="SOA189" s="39"/>
      <c r="SOB189" s="39"/>
      <c r="SOC189" s="39"/>
      <c r="SOD189" s="39"/>
      <c r="SOE189" s="39"/>
      <c r="SOF189" s="39"/>
      <c r="SOG189" s="39"/>
      <c r="SOH189" s="39"/>
      <c r="SOI189" s="39"/>
      <c r="SOJ189" s="39"/>
      <c r="SOK189" s="39"/>
      <c r="SOL189" s="39"/>
      <c r="SOM189" s="39"/>
      <c r="SON189" s="39"/>
      <c r="SOO189" s="39"/>
      <c r="SOP189" s="39"/>
      <c r="SOQ189" s="39"/>
      <c r="SOR189" s="39"/>
      <c r="SOS189" s="39"/>
      <c r="SOT189" s="39"/>
      <c r="SOU189" s="39"/>
      <c r="SOV189" s="39"/>
      <c r="SOW189" s="39"/>
      <c r="SOX189" s="39"/>
      <c r="SOY189" s="39"/>
      <c r="SOZ189" s="39"/>
      <c r="SPA189" s="39"/>
      <c r="SPB189" s="39"/>
      <c r="SPC189" s="39"/>
      <c r="SPD189" s="39"/>
      <c r="SPE189" s="39"/>
      <c r="SPF189" s="39"/>
      <c r="SPG189" s="39"/>
      <c r="SPH189" s="39"/>
      <c r="SPI189" s="39"/>
      <c r="SPJ189" s="39"/>
      <c r="SPK189" s="39"/>
      <c r="SPL189" s="39"/>
      <c r="SPM189" s="39"/>
      <c r="SPN189" s="39"/>
      <c r="SPO189" s="39"/>
      <c r="SPP189" s="39"/>
      <c r="SPQ189" s="39"/>
      <c r="SPR189" s="39"/>
      <c r="SPS189" s="39"/>
      <c r="SPT189" s="39"/>
      <c r="SPU189" s="39"/>
      <c r="SPV189" s="39"/>
      <c r="SPW189" s="39"/>
      <c r="SPX189" s="39"/>
      <c r="SPY189" s="39"/>
      <c r="SPZ189" s="39"/>
      <c r="SQA189" s="39"/>
      <c r="SQB189" s="39"/>
      <c r="SQC189" s="39"/>
      <c r="SQD189" s="39"/>
      <c r="SQE189" s="39"/>
      <c r="SQF189" s="39"/>
      <c r="SQG189" s="39"/>
      <c r="SQH189" s="39"/>
      <c r="SQI189" s="39"/>
      <c r="SQJ189" s="39"/>
      <c r="SQK189" s="39"/>
      <c r="SQL189" s="39"/>
      <c r="SQM189" s="39"/>
      <c r="SQN189" s="39"/>
      <c r="SQO189" s="39"/>
      <c r="SQP189" s="39"/>
      <c r="SQQ189" s="39"/>
      <c r="SQR189" s="39"/>
      <c r="SQS189" s="39"/>
      <c r="SQT189" s="39"/>
      <c r="SQU189" s="39"/>
      <c r="SQV189" s="39"/>
      <c r="SQW189" s="39"/>
      <c r="SQX189" s="39"/>
      <c r="SQY189" s="39"/>
      <c r="SQZ189" s="39"/>
      <c r="SRA189" s="39"/>
      <c r="SRB189" s="39"/>
      <c r="SRC189" s="39"/>
      <c r="SRD189" s="39"/>
      <c r="SRE189" s="39"/>
      <c r="SRF189" s="39"/>
      <c r="SRG189" s="39"/>
      <c r="SRH189" s="39"/>
      <c r="SRI189" s="39"/>
      <c r="SRJ189" s="39"/>
      <c r="SRK189" s="39"/>
      <c r="SRL189" s="39"/>
      <c r="SRM189" s="39"/>
      <c r="SRN189" s="39"/>
      <c r="SRO189" s="39"/>
      <c r="SRP189" s="39"/>
      <c r="SRQ189" s="39"/>
      <c r="SRR189" s="39"/>
      <c r="SRS189" s="39"/>
      <c r="SRT189" s="39"/>
      <c r="SRU189" s="39"/>
      <c r="SRV189" s="39"/>
      <c r="SRW189" s="39"/>
      <c r="SRX189" s="39"/>
      <c r="SRY189" s="39"/>
      <c r="SRZ189" s="39"/>
      <c r="SSA189" s="39"/>
      <c r="SSB189" s="39"/>
      <c r="SSC189" s="39"/>
      <c r="SSD189" s="39"/>
      <c r="SSE189" s="39"/>
      <c r="SSF189" s="39"/>
      <c r="SSG189" s="39"/>
      <c r="SSH189" s="39"/>
      <c r="SSI189" s="39"/>
      <c r="SSJ189" s="39"/>
      <c r="SSK189" s="39"/>
      <c r="SSL189" s="39"/>
      <c r="SSM189" s="39"/>
      <c r="SSN189" s="39"/>
      <c r="SSO189" s="39"/>
      <c r="SSP189" s="39"/>
      <c r="SSQ189" s="39"/>
      <c r="SSR189" s="39"/>
      <c r="SSS189" s="39"/>
      <c r="SST189" s="39"/>
      <c r="SSU189" s="39"/>
      <c r="SSV189" s="39"/>
      <c r="SSW189" s="39"/>
      <c r="SSX189" s="39"/>
      <c r="SSY189" s="39"/>
      <c r="SSZ189" s="39"/>
      <c r="STA189" s="39"/>
      <c r="STB189" s="39"/>
      <c r="STC189" s="39"/>
      <c r="STD189" s="39"/>
      <c r="STE189" s="39"/>
      <c r="STF189" s="39"/>
      <c r="STG189" s="39"/>
      <c r="STH189" s="39"/>
      <c r="STI189" s="39"/>
      <c r="STJ189" s="39"/>
      <c r="STK189" s="39"/>
      <c r="STL189" s="39"/>
      <c r="STM189" s="39"/>
      <c r="STN189" s="39"/>
      <c r="STO189" s="39"/>
      <c r="STP189" s="39"/>
      <c r="STQ189" s="39"/>
      <c r="STR189" s="39"/>
      <c r="STS189" s="39"/>
      <c r="STT189" s="39"/>
      <c r="STU189" s="39"/>
      <c r="STV189" s="39"/>
      <c r="STW189" s="39"/>
      <c r="STX189" s="39"/>
      <c r="STY189" s="39"/>
      <c r="STZ189" s="39"/>
      <c r="SUA189" s="39"/>
      <c r="SUB189" s="39"/>
      <c r="SUC189" s="39"/>
      <c r="SUD189" s="39"/>
      <c r="SUE189" s="39"/>
      <c r="SUF189" s="39"/>
      <c r="SUG189" s="39"/>
      <c r="SUH189" s="39"/>
      <c r="SUI189" s="39"/>
      <c r="SUJ189" s="39"/>
      <c r="SUK189" s="39"/>
      <c r="SUL189" s="39"/>
      <c r="SUM189" s="39"/>
      <c r="SUN189" s="39"/>
      <c r="SUO189" s="39"/>
      <c r="SUP189" s="39"/>
      <c r="SUQ189" s="39"/>
      <c r="SUR189" s="39"/>
      <c r="SUS189" s="39"/>
      <c r="SUT189" s="39"/>
      <c r="SUU189" s="39"/>
      <c r="SUV189" s="39"/>
      <c r="SUW189" s="39"/>
      <c r="SUX189" s="39"/>
      <c r="SUY189" s="39"/>
      <c r="SUZ189" s="39"/>
      <c r="SVA189" s="39"/>
      <c r="SVB189" s="39"/>
      <c r="SVC189" s="39"/>
      <c r="SVD189" s="39"/>
      <c r="SVE189" s="39"/>
      <c r="SVF189" s="39"/>
      <c r="SVG189" s="39"/>
      <c r="SVH189" s="39"/>
      <c r="SVI189" s="39"/>
      <c r="SVJ189" s="39"/>
      <c r="SVK189" s="39"/>
      <c r="SVL189" s="39"/>
      <c r="SVM189" s="39"/>
      <c r="SVN189" s="39"/>
      <c r="SVO189" s="39"/>
      <c r="SVP189" s="39"/>
      <c r="SVQ189" s="39"/>
      <c r="SVR189" s="39"/>
      <c r="SVS189" s="39"/>
      <c r="SVT189" s="39"/>
      <c r="SVU189" s="39"/>
      <c r="SVV189" s="39"/>
      <c r="SVW189" s="39"/>
      <c r="SVX189" s="39"/>
      <c r="SVY189" s="39"/>
      <c r="SVZ189" s="39"/>
      <c r="SWA189" s="39"/>
      <c r="SWB189" s="39"/>
      <c r="SWC189" s="39"/>
      <c r="SWD189" s="39"/>
      <c r="SWE189" s="39"/>
      <c r="SWF189" s="39"/>
      <c r="SWG189" s="39"/>
      <c r="SWH189" s="39"/>
      <c r="SWI189" s="39"/>
      <c r="SWJ189" s="39"/>
      <c r="SWK189" s="39"/>
      <c r="SWL189" s="39"/>
      <c r="SWM189" s="39"/>
      <c r="SWN189" s="39"/>
      <c r="SWO189" s="39"/>
      <c r="SWP189" s="39"/>
      <c r="SWQ189" s="39"/>
      <c r="SWR189" s="39"/>
      <c r="SWS189" s="39"/>
      <c r="SWT189" s="39"/>
      <c r="SWU189" s="39"/>
      <c r="SWV189" s="39"/>
      <c r="SWW189" s="39"/>
      <c r="SWX189" s="39"/>
      <c r="SWY189" s="39"/>
      <c r="SWZ189" s="39"/>
      <c r="SXA189" s="39"/>
      <c r="SXB189" s="39"/>
      <c r="SXC189" s="39"/>
      <c r="SXD189" s="39"/>
      <c r="SXE189" s="39"/>
      <c r="SXF189" s="39"/>
      <c r="SXG189" s="39"/>
      <c r="SXH189" s="39"/>
      <c r="SXI189" s="39"/>
      <c r="SXJ189" s="39"/>
      <c r="SXK189" s="39"/>
      <c r="SXL189" s="39"/>
      <c r="SXM189" s="39"/>
      <c r="SXN189" s="39"/>
      <c r="SXO189" s="39"/>
      <c r="SXP189" s="39"/>
      <c r="SXQ189" s="39"/>
      <c r="SXR189" s="39"/>
      <c r="SXS189" s="39"/>
      <c r="SXT189" s="39"/>
      <c r="SXU189" s="39"/>
      <c r="SXV189" s="39"/>
      <c r="SXW189" s="39"/>
      <c r="SXX189" s="39"/>
      <c r="SXY189" s="39"/>
      <c r="SXZ189" s="39"/>
      <c r="SYA189" s="39"/>
      <c r="SYB189" s="39"/>
      <c r="SYC189" s="39"/>
      <c r="SYD189" s="39"/>
      <c r="SYE189" s="39"/>
      <c r="SYF189" s="39"/>
      <c r="SYG189" s="39"/>
      <c r="SYH189" s="39"/>
      <c r="SYI189" s="39"/>
      <c r="SYJ189" s="39"/>
      <c r="SYK189" s="39"/>
      <c r="SYL189" s="39"/>
      <c r="SYM189" s="39"/>
      <c r="SYN189" s="39"/>
      <c r="SYO189" s="39"/>
      <c r="SYP189" s="39"/>
      <c r="SYQ189" s="39"/>
      <c r="SYR189" s="39"/>
      <c r="SYS189" s="39"/>
      <c r="SYT189" s="39"/>
      <c r="SYU189" s="39"/>
      <c r="SYV189" s="39"/>
      <c r="SYW189" s="39"/>
      <c r="SYX189" s="39"/>
      <c r="SYY189" s="39"/>
      <c r="SYZ189" s="39"/>
      <c r="SZA189" s="39"/>
      <c r="SZB189" s="39"/>
      <c r="SZC189" s="39"/>
      <c r="SZD189" s="39"/>
      <c r="SZE189" s="39"/>
      <c r="SZF189" s="39"/>
      <c r="SZG189" s="39"/>
      <c r="SZH189" s="39"/>
      <c r="SZI189" s="39"/>
      <c r="SZJ189" s="39"/>
      <c r="SZK189" s="39"/>
      <c r="SZL189" s="39"/>
      <c r="SZM189" s="39"/>
      <c r="SZN189" s="39"/>
      <c r="SZO189" s="39"/>
      <c r="SZP189" s="39"/>
      <c r="SZQ189" s="39"/>
      <c r="SZR189" s="39"/>
      <c r="SZS189" s="39"/>
      <c r="SZT189" s="39"/>
      <c r="SZU189" s="39"/>
      <c r="SZV189" s="39"/>
      <c r="SZW189" s="39"/>
      <c r="SZX189" s="39"/>
      <c r="SZY189" s="39"/>
      <c r="SZZ189" s="39"/>
      <c r="TAA189" s="39"/>
      <c r="TAB189" s="39"/>
      <c r="TAC189" s="39"/>
      <c r="TAD189" s="39"/>
      <c r="TAE189" s="39"/>
      <c r="TAF189" s="39"/>
      <c r="TAG189" s="39"/>
      <c r="TAH189" s="39"/>
      <c r="TAI189" s="39"/>
      <c r="TAJ189" s="39"/>
      <c r="TAK189" s="39"/>
      <c r="TAL189" s="39"/>
      <c r="TAM189" s="39"/>
      <c r="TAN189" s="39"/>
      <c r="TAO189" s="39"/>
      <c r="TAP189" s="39"/>
      <c r="TAQ189" s="39"/>
      <c r="TAR189" s="39"/>
      <c r="TAS189" s="39"/>
      <c r="TAT189" s="39"/>
      <c r="TAU189" s="39"/>
      <c r="TAV189" s="39"/>
      <c r="TAW189" s="39"/>
      <c r="TAX189" s="39"/>
      <c r="TAY189" s="39"/>
      <c r="TAZ189" s="39"/>
      <c r="TBA189" s="39"/>
      <c r="TBB189" s="39"/>
      <c r="TBC189" s="39"/>
      <c r="TBD189" s="39"/>
      <c r="TBE189" s="39"/>
      <c r="TBF189" s="39"/>
      <c r="TBG189" s="39"/>
      <c r="TBH189" s="39"/>
      <c r="TBI189" s="39"/>
      <c r="TBJ189" s="39"/>
      <c r="TBK189" s="39"/>
      <c r="TBL189" s="39"/>
      <c r="TBM189" s="39"/>
      <c r="TBN189" s="39"/>
      <c r="TBO189" s="39"/>
      <c r="TBP189" s="39"/>
      <c r="TBQ189" s="39"/>
      <c r="TBR189" s="39"/>
      <c r="TBS189" s="39"/>
      <c r="TBT189" s="39"/>
      <c r="TBU189" s="39"/>
      <c r="TBV189" s="39"/>
      <c r="TBW189" s="39"/>
      <c r="TBX189" s="39"/>
      <c r="TBY189" s="39"/>
      <c r="TBZ189" s="39"/>
      <c r="TCA189" s="39"/>
      <c r="TCB189" s="39"/>
      <c r="TCC189" s="39"/>
      <c r="TCD189" s="39"/>
      <c r="TCE189" s="39"/>
      <c r="TCF189" s="39"/>
      <c r="TCG189" s="39"/>
      <c r="TCH189" s="39"/>
      <c r="TCI189" s="39"/>
      <c r="TCJ189" s="39"/>
      <c r="TCK189" s="39"/>
      <c r="TCL189" s="39"/>
      <c r="TCM189" s="39"/>
      <c r="TCN189" s="39"/>
      <c r="TCO189" s="39"/>
      <c r="TCP189" s="39"/>
      <c r="TCQ189" s="39"/>
      <c r="TCR189" s="39"/>
      <c r="TCS189" s="39"/>
      <c r="TCT189" s="39"/>
      <c r="TCU189" s="39"/>
      <c r="TCV189" s="39"/>
      <c r="TCW189" s="39"/>
      <c r="TCX189" s="39"/>
      <c r="TCY189" s="39"/>
      <c r="TCZ189" s="39"/>
      <c r="TDA189" s="39"/>
      <c r="TDB189" s="39"/>
      <c r="TDC189" s="39"/>
      <c r="TDD189" s="39"/>
      <c r="TDE189" s="39"/>
      <c r="TDF189" s="39"/>
      <c r="TDG189" s="39"/>
      <c r="TDH189" s="39"/>
      <c r="TDI189" s="39"/>
      <c r="TDJ189" s="39"/>
      <c r="TDK189" s="39"/>
      <c r="TDL189" s="39"/>
      <c r="TDM189" s="39"/>
      <c r="TDN189" s="39"/>
      <c r="TDO189" s="39"/>
      <c r="TDP189" s="39"/>
      <c r="TDQ189" s="39"/>
      <c r="TDR189" s="39"/>
      <c r="TDS189" s="39"/>
      <c r="TDT189" s="39"/>
      <c r="TDU189" s="39"/>
      <c r="TDV189" s="39"/>
      <c r="TDW189" s="39"/>
      <c r="TDX189" s="39"/>
      <c r="TDY189" s="39"/>
      <c r="TDZ189" s="39"/>
      <c r="TEA189" s="39"/>
      <c r="TEB189" s="39"/>
      <c r="TEC189" s="39"/>
      <c r="TED189" s="39"/>
      <c r="TEE189" s="39"/>
      <c r="TEF189" s="39"/>
      <c r="TEG189" s="39"/>
      <c r="TEH189" s="39"/>
      <c r="TEI189" s="39"/>
      <c r="TEJ189" s="39"/>
      <c r="TEK189" s="39"/>
      <c r="TEL189" s="39"/>
      <c r="TEM189" s="39"/>
      <c r="TEN189" s="39"/>
      <c r="TEO189" s="39"/>
      <c r="TEP189" s="39"/>
      <c r="TEQ189" s="39"/>
      <c r="TER189" s="39"/>
      <c r="TES189" s="39"/>
      <c r="TET189" s="39"/>
      <c r="TEU189" s="39"/>
      <c r="TEV189" s="39"/>
      <c r="TEW189" s="39"/>
      <c r="TEX189" s="39"/>
      <c r="TEY189" s="39"/>
      <c r="TEZ189" s="39"/>
      <c r="TFA189" s="39"/>
      <c r="TFB189" s="39"/>
      <c r="TFC189" s="39"/>
      <c r="TFD189" s="39"/>
      <c r="TFE189" s="39"/>
      <c r="TFF189" s="39"/>
      <c r="TFG189" s="39"/>
      <c r="TFH189" s="39"/>
      <c r="TFI189" s="39"/>
      <c r="TFJ189" s="39"/>
      <c r="TFK189" s="39"/>
      <c r="TFL189" s="39"/>
      <c r="TFM189" s="39"/>
      <c r="TFN189" s="39"/>
      <c r="TFO189" s="39"/>
      <c r="TFP189" s="39"/>
      <c r="TFQ189" s="39"/>
      <c r="TFR189" s="39"/>
      <c r="TFS189" s="39"/>
      <c r="TFT189" s="39"/>
      <c r="TFU189" s="39"/>
      <c r="TFV189" s="39"/>
      <c r="TFW189" s="39"/>
      <c r="TFX189" s="39"/>
      <c r="TFY189" s="39"/>
      <c r="TFZ189" s="39"/>
      <c r="TGA189" s="39"/>
      <c r="TGB189" s="39"/>
      <c r="TGC189" s="39"/>
      <c r="TGD189" s="39"/>
      <c r="TGE189" s="39"/>
      <c r="TGF189" s="39"/>
      <c r="TGG189" s="39"/>
      <c r="TGH189" s="39"/>
      <c r="TGI189" s="39"/>
      <c r="TGJ189" s="39"/>
      <c r="TGK189" s="39"/>
      <c r="TGL189" s="39"/>
      <c r="TGM189" s="39"/>
      <c r="TGN189" s="39"/>
      <c r="TGO189" s="39"/>
      <c r="TGP189" s="39"/>
      <c r="TGQ189" s="39"/>
      <c r="TGR189" s="39"/>
      <c r="TGS189" s="39"/>
      <c r="TGT189" s="39"/>
      <c r="TGU189" s="39"/>
      <c r="TGV189" s="39"/>
      <c r="TGW189" s="39"/>
      <c r="TGX189" s="39"/>
      <c r="TGY189" s="39"/>
      <c r="TGZ189" s="39"/>
      <c r="THA189" s="39"/>
      <c r="THB189" s="39"/>
      <c r="THC189" s="39"/>
      <c r="THD189" s="39"/>
      <c r="THE189" s="39"/>
      <c r="THF189" s="39"/>
      <c r="THG189" s="39"/>
      <c r="THH189" s="39"/>
      <c r="THI189" s="39"/>
      <c r="THJ189" s="39"/>
      <c r="THK189" s="39"/>
      <c r="THL189" s="39"/>
      <c r="THM189" s="39"/>
      <c r="THN189" s="39"/>
      <c r="THO189" s="39"/>
      <c r="THP189" s="39"/>
      <c r="THQ189" s="39"/>
      <c r="THR189" s="39"/>
      <c r="THS189" s="39"/>
      <c r="THT189" s="39"/>
      <c r="THU189" s="39"/>
      <c r="THV189" s="39"/>
      <c r="THW189" s="39"/>
      <c r="THX189" s="39"/>
      <c r="THY189" s="39"/>
      <c r="THZ189" s="39"/>
      <c r="TIA189" s="39"/>
      <c r="TIB189" s="39"/>
      <c r="TIC189" s="39"/>
      <c r="TID189" s="39"/>
      <c r="TIE189" s="39"/>
      <c r="TIF189" s="39"/>
      <c r="TIG189" s="39"/>
      <c r="TIH189" s="39"/>
      <c r="TII189" s="39"/>
      <c r="TIJ189" s="39"/>
      <c r="TIK189" s="39"/>
      <c r="TIL189" s="39"/>
      <c r="TIM189" s="39"/>
      <c r="TIN189" s="39"/>
      <c r="TIO189" s="39"/>
      <c r="TIP189" s="39"/>
      <c r="TIQ189" s="39"/>
      <c r="TIR189" s="39"/>
      <c r="TIS189" s="39"/>
      <c r="TIT189" s="39"/>
      <c r="TIU189" s="39"/>
      <c r="TIV189" s="39"/>
      <c r="TIW189" s="39"/>
      <c r="TIX189" s="39"/>
      <c r="TIY189" s="39"/>
      <c r="TIZ189" s="39"/>
      <c r="TJA189" s="39"/>
      <c r="TJB189" s="39"/>
      <c r="TJC189" s="39"/>
      <c r="TJD189" s="39"/>
      <c r="TJE189" s="39"/>
      <c r="TJF189" s="39"/>
      <c r="TJG189" s="39"/>
      <c r="TJH189" s="39"/>
      <c r="TJI189" s="39"/>
      <c r="TJJ189" s="39"/>
      <c r="TJK189" s="39"/>
      <c r="TJL189" s="39"/>
      <c r="TJM189" s="39"/>
      <c r="TJN189" s="39"/>
      <c r="TJO189" s="39"/>
      <c r="TJP189" s="39"/>
      <c r="TJQ189" s="39"/>
      <c r="TJR189" s="39"/>
      <c r="TJS189" s="39"/>
      <c r="TJT189" s="39"/>
      <c r="TJU189" s="39"/>
      <c r="TJV189" s="39"/>
      <c r="TJW189" s="39"/>
      <c r="TJX189" s="39"/>
      <c r="TJY189" s="39"/>
      <c r="TJZ189" s="39"/>
      <c r="TKA189" s="39"/>
      <c r="TKB189" s="39"/>
      <c r="TKC189" s="39"/>
      <c r="TKD189" s="39"/>
      <c r="TKE189" s="39"/>
      <c r="TKF189" s="39"/>
      <c r="TKG189" s="39"/>
      <c r="TKH189" s="39"/>
      <c r="TKI189" s="39"/>
      <c r="TKJ189" s="39"/>
      <c r="TKK189" s="39"/>
      <c r="TKL189" s="39"/>
      <c r="TKM189" s="39"/>
      <c r="TKN189" s="39"/>
      <c r="TKO189" s="39"/>
      <c r="TKP189" s="39"/>
      <c r="TKQ189" s="39"/>
      <c r="TKR189" s="39"/>
      <c r="TKS189" s="39"/>
      <c r="TKT189" s="39"/>
      <c r="TKU189" s="39"/>
      <c r="TKV189" s="39"/>
      <c r="TKW189" s="39"/>
      <c r="TKX189" s="39"/>
      <c r="TKY189" s="39"/>
      <c r="TKZ189" s="39"/>
      <c r="TLA189" s="39"/>
      <c r="TLB189" s="39"/>
      <c r="TLC189" s="39"/>
      <c r="TLD189" s="39"/>
      <c r="TLE189" s="39"/>
      <c r="TLF189" s="39"/>
      <c r="TLG189" s="39"/>
      <c r="TLH189" s="39"/>
      <c r="TLI189" s="39"/>
      <c r="TLJ189" s="39"/>
      <c r="TLK189" s="39"/>
      <c r="TLL189" s="39"/>
      <c r="TLM189" s="39"/>
      <c r="TLN189" s="39"/>
      <c r="TLO189" s="39"/>
      <c r="TLP189" s="39"/>
      <c r="TLQ189" s="39"/>
      <c r="TLR189" s="39"/>
      <c r="TLS189" s="39"/>
      <c r="TLT189" s="39"/>
      <c r="TLU189" s="39"/>
      <c r="TLV189" s="39"/>
      <c r="TLW189" s="39"/>
      <c r="TLX189" s="39"/>
      <c r="TLY189" s="39"/>
      <c r="TLZ189" s="39"/>
      <c r="TMA189" s="39"/>
      <c r="TMB189" s="39"/>
      <c r="TMC189" s="39"/>
      <c r="TMD189" s="39"/>
      <c r="TME189" s="39"/>
      <c r="TMF189" s="39"/>
      <c r="TMG189" s="39"/>
      <c r="TMH189" s="39"/>
      <c r="TMI189" s="39"/>
      <c r="TMJ189" s="39"/>
      <c r="TMK189" s="39"/>
      <c r="TML189" s="39"/>
      <c r="TMM189" s="39"/>
      <c r="TMN189" s="39"/>
      <c r="TMO189" s="39"/>
      <c r="TMP189" s="39"/>
      <c r="TMQ189" s="39"/>
      <c r="TMR189" s="39"/>
      <c r="TMS189" s="39"/>
      <c r="TMT189" s="39"/>
      <c r="TMU189" s="39"/>
      <c r="TMV189" s="39"/>
      <c r="TMW189" s="39"/>
      <c r="TMX189" s="39"/>
      <c r="TMY189" s="39"/>
      <c r="TMZ189" s="39"/>
      <c r="TNA189" s="39"/>
      <c r="TNB189" s="39"/>
      <c r="TNC189" s="39"/>
      <c r="TND189" s="39"/>
      <c r="TNE189" s="39"/>
      <c r="TNF189" s="39"/>
      <c r="TNG189" s="39"/>
      <c r="TNH189" s="39"/>
      <c r="TNI189" s="39"/>
      <c r="TNJ189" s="39"/>
      <c r="TNK189" s="39"/>
      <c r="TNL189" s="39"/>
      <c r="TNM189" s="39"/>
      <c r="TNN189" s="39"/>
      <c r="TNO189" s="39"/>
      <c r="TNP189" s="39"/>
      <c r="TNQ189" s="39"/>
      <c r="TNR189" s="39"/>
      <c r="TNS189" s="39"/>
      <c r="TNT189" s="39"/>
      <c r="TNU189" s="39"/>
      <c r="TNV189" s="39"/>
      <c r="TNW189" s="39"/>
      <c r="TNX189" s="39"/>
      <c r="TNY189" s="39"/>
      <c r="TNZ189" s="39"/>
      <c r="TOA189" s="39"/>
      <c r="TOB189" s="39"/>
      <c r="TOC189" s="39"/>
      <c r="TOD189" s="39"/>
      <c r="TOE189" s="39"/>
      <c r="TOF189" s="39"/>
      <c r="TOG189" s="39"/>
      <c r="TOH189" s="39"/>
      <c r="TOI189" s="39"/>
      <c r="TOJ189" s="39"/>
      <c r="TOK189" s="39"/>
      <c r="TOL189" s="39"/>
      <c r="TOM189" s="39"/>
      <c r="TON189" s="39"/>
      <c r="TOO189" s="39"/>
      <c r="TOP189" s="39"/>
      <c r="TOQ189" s="39"/>
      <c r="TOR189" s="39"/>
      <c r="TOS189" s="39"/>
      <c r="TOT189" s="39"/>
      <c r="TOU189" s="39"/>
      <c r="TOV189" s="39"/>
      <c r="TOW189" s="39"/>
      <c r="TOX189" s="39"/>
      <c r="TOY189" s="39"/>
      <c r="TOZ189" s="39"/>
      <c r="TPA189" s="39"/>
      <c r="TPB189" s="39"/>
      <c r="TPC189" s="39"/>
      <c r="TPD189" s="39"/>
      <c r="TPE189" s="39"/>
      <c r="TPF189" s="39"/>
      <c r="TPG189" s="39"/>
      <c r="TPH189" s="39"/>
      <c r="TPI189" s="39"/>
      <c r="TPJ189" s="39"/>
      <c r="TPK189" s="39"/>
      <c r="TPL189" s="39"/>
      <c r="TPM189" s="39"/>
      <c r="TPN189" s="39"/>
      <c r="TPO189" s="39"/>
      <c r="TPP189" s="39"/>
      <c r="TPQ189" s="39"/>
      <c r="TPR189" s="39"/>
      <c r="TPS189" s="39"/>
      <c r="TPT189" s="39"/>
      <c r="TPU189" s="39"/>
      <c r="TPV189" s="39"/>
      <c r="TPW189" s="39"/>
      <c r="TPX189" s="39"/>
      <c r="TPY189" s="39"/>
      <c r="TPZ189" s="39"/>
      <c r="TQA189" s="39"/>
      <c r="TQB189" s="39"/>
      <c r="TQC189" s="39"/>
      <c r="TQD189" s="39"/>
      <c r="TQE189" s="39"/>
      <c r="TQF189" s="39"/>
      <c r="TQG189" s="39"/>
      <c r="TQH189" s="39"/>
      <c r="TQI189" s="39"/>
      <c r="TQJ189" s="39"/>
      <c r="TQK189" s="39"/>
      <c r="TQL189" s="39"/>
      <c r="TQM189" s="39"/>
      <c r="TQN189" s="39"/>
      <c r="TQO189" s="39"/>
      <c r="TQP189" s="39"/>
      <c r="TQQ189" s="39"/>
      <c r="TQR189" s="39"/>
      <c r="TQS189" s="39"/>
      <c r="TQT189" s="39"/>
      <c r="TQU189" s="39"/>
      <c r="TQV189" s="39"/>
      <c r="TQW189" s="39"/>
      <c r="TQX189" s="39"/>
      <c r="TQY189" s="39"/>
      <c r="TQZ189" s="39"/>
      <c r="TRA189" s="39"/>
      <c r="TRB189" s="39"/>
      <c r="TRC189" s="39"/>
      <c r="TRD189" s="39"/>
      <c r="TRE189" s="39"/>
      <c r="TRF189" s="39"/>
      <c r="TRG189" s="39"/>
      <c r="TRH189" s="39"/>
      <c r="TRI189" s="39"/>
      <c r="TRJ189" s="39"/>
      <c r="TRK189" s="39"/>
      <c r="TRL189" s="39"/>
      <c r="TRM189" s="39"/>
      <c r="TRN189" s="39"/>
      <c r="TRO189" s="39"/>
      <c r="TRP189" s="39"/>
      <c r="TRQ189" s="39"/>
      <c r="TRR189" s="39"/>
      <c r="TRS189" s="39"/>
      <c r="TRT189" s="39"/>
      <c r="TRU189" s="39"/>
      <c r="TRV189" s="39"/>
      <c r="TRW189" s="39"/>
      <c r="TRX189" s="39"/>
      <c r="TRY189" s="39"/>
      <c r="TRZ189" s="39"/>
      <c r="TSA189" s="39"/>
      <c r="TSB189" s="39"/>
      <c r="TSC189" s="39"/>
      <c r="TSD189" s="39"/>
      <c r="TSE189" s="39"/>
      <c r="TSF189" s="39"/>
      <c r="TSG189" s="39"/>
      <c r="TSH189" s="39"/>
      <c r="TSI189" s="39"/>
      <c r="TSJ189" s="39"/>
      <c r="TSK189" s="39"/>
      <c r="TSL189" s="39"/>
      <c r="TSM189" s="39"/>
      <c r="TSN189" s="39"/>
      <c r="TSO189" s="39"/>
      <c r="TSP189" s="39"/>
      <c r="TSQ189" s="39"/>
      <c r="TSR189" s="39"/>
      <c r="TSS189" s="39"/>
      <c r="TST189" s="39"/>
      <c r="TSU189" s="39"/>
      <c r="TSV189" s="39"/>
      <c r="TSW189" s="39"/>
      <c r="TSX189" s="39"/>
      <c r="TSY189" s="39"/>
      <c r="TSZ189" s="39"/>
      <c r="TTA189" s="39"/>
      <c r="TTB189" s="39"/>
      <c r="TTC189" s="39"/>
      <c r="TTD189" s="39"/>
      <c r="TTE189" s="39"/>
      <c r="TTF189" s="39"/>
      <c r="TTG189" s="39"/>
      <c r="TTH189" s="39"/>
      <c r="TTI189" s="39"/>
      <c r="TTJ189" s="39"/>
      <c r="TTK189" s="39"/>
      <c r="TTL189" s="39"/>
      <c r="TTM189" s="39"/>
      <c r="TTN189" s="39"/>
      <c r="TTO189" s="39"/>
      <c r="TTP189" s="39"/>
      <c r="TTQ189" s="39"/>
      <c r="TTR189" s="39"/>
      <c r="TTS189" s="39"/>
      <c r="TTT189" s="39"/>
      <c r="TTU189" s="39"/>
      <c r="TTV189" s="39"/>
      <c r="TTW189" s="39"/>
      <c r="TTX189" s="39"/>
      <c r="TTY189" s="39"/>
      <c r="TTZ189" s="39"/>
      <c r="TUA189" s="39"/>
      <c r="TUB189" s="39"/>
      <c r="TUC189" s="39"/>
      <c r="TUD189" s="39"/>
      <c r="TUE189" s="39"/>
      <c r="TUF189" s="39"/>
      <c r="TUG189" s="39"/>
      <c r="TUH189" s="39"/>
      <c r="TUI189" s="39"/>
      <c r="TUJ189" s="39"/>
      <c r="TUK189" s="39"/>
      <c r="TUL189" s="39"/>
      <c r="TUM189" s="39"/>
      <c r="TUN189" s="39"/>
      <c r="TUO189" s="39"/>
      <c r="TUP189" s="39"/>
      <c r="TUQ189" s="39"/>
      <c r="TUR189" s="39"/>
      <c r="TUS189" s="39"/>
      <c r="TUT189" s="39"/>
      <c r="TUU189" s="39"/>
      <c r="TUV189" s="39"/>
      <c r="TUW189" s="39"/>
      <c r="TUX189" s="39"/>
      <c r="TUY189" s="39"/>
      <c r="TUZ189" s="39"/>
      <c r="TVA189" s="39"/>
      <c r="TVB189" s="39"/>
      <c r="TVC189" s="39"/>
      <c r="TVD189" s="39"/>
      <c r="TVE189" s="39"/>
      <c r="TVF189" s="39"/>
      <c r="TVG189" s="39"/>
      <c r="TVH189" s="39"/>
      <c r="TVI189" s="39"/>
      <c r="TVJ189" s="39"/>
      <c r="TVK189" s="39"/>
      <c r="TVL189" s="39"/>
      <c r="TVM189" s="39"/>
      <c r="TVN189" s="39"/>
      <c r="TVO189" s="39"/>
      <c r="TVP189" s="39"/>
      <c r="TVQ189" s="39"/>
      <c r="TVR189" s="39"/>
      <c r="TVS189" s="39"/>
      <c r="TVT189" s="39"/>
      <c r="TVU189" s="39"/>
      <c r="TVV189" s="39"/>
      <c r="TVW189" s="39"/>
      <c r="TVX189" s="39"/>
      <c r="TVY189" s="39"/>
      <c r="TVZ189" s="39"/>
      <c r="TWA189" s="39"/>
      <c r="TWB189" s="39"/>
      <c r="TWC189" s="39"/>
      <c r="TWD189" s="39"/>
      <c r="TWE189" s="39"/>
      <c r="TWF189" s="39"/>
      <c r="TWG189" s="39"/>
      <c r="TWH189" s="39"/>
      <c r="TWI189" s="39"/>
      <c r="TWJ189" s="39"/>
      <c r="TWK189" s="39"/>
      <c r="TWL189" s="39"/>
      <c r="TWM189" s="39"/>
      <c r="TWN189" s="39"/>
      <c r="TWO189" s="39"/>
      <c r="TWP189" s="39"/>
      <c r="TWQ189" s="39"/>
      <c r="TWR189" s="39"/>
      <c r="TWS189" s="39"/>
      <c r="TWT189" s="39"/>
      <c r="TWU189" s="39"/>
      <c r="TWV189" s="39"/>
      <c r="TWW189" s="39"/>
      <c r="TWX189" s="39"/>
      <c r="TWY189" s="39"/>
      <c r="TWZ189" s="39"/>
      <c r="TXA189" s="39"/>
      <c r="TXB189" s="39"/>
      <c r="TXC189" s="39"/>
      <c r="TXD189" s="39"/>
      <c r="TXE189" s="39"/>
      <c r="TXF189" s="39"/>
      <c r="TXG189" s="39"/>
      <c r="TXH189" s="39"/>
      <c r="TXI189" s="39"/>
      <c r="TXJ189" s="39"/>
      <c r="TXK189" s="39"/>
      <c r="TXL189" s="39"/>
      <c r="TXM189" s="39"/>
      <c r="TXN189" s="39"/>
      <c r="TXO189" s="39"/>
      <c r="TXP189" s="39"/>
      <c r="TXQ189" s="39"/>
      <c r="TXR189" s="39"/>
      <c r="TXS189" s="39"/>
      <c r="TXT189" s="39"/>
      <c r="TXU189" s="39"/>
      <c r="TXV189" s="39"/>
      <c r="TXW189" s="39"/>
      <c r="TXX189" s="39"/>
      <c r="TXY189" s="39"/>
      <c r="TXZ189" s="39"/>
      <c r="TYA189" s="39"/>
      <c r="TYB189" s="39"/>
      <c r="TYC189" s="39"/>
      <c r="TYD189" s="39"/>
      <c r="TYE189" s="39"/>
      <c r="TYF189" s="39"/>
      <c r="TYG189" s="39"/>
      <c r="TYH189" s="39"/>
      <c r="TYI189" s="39"/>
      <c r="TYJ189" s="39"/>
      <c r="TYK189" s="39"/>
      <c r="TYL189" s="39"/>
      <c r="TYM189" s="39"/>
      <c r="TYN189" s="39"/>
      <c r="TYO189" s="39"/>
      <c r="TYP189" s="39"/>
      <c r="TYQ189" s="39"/>
      <c r="TYR189" s="39"/>
      <c r="TYS189" s="39"/>
      <c r="TYT189" s="39"/>
      <c r="TYU189" s="39"/>
      <c r="TYV189" s="39"/>
      <c r="TYW189" s="39"/>
      <c r="TYX189" s="39"/>
      <c r="TYY189" s="39"/>
      <c r="TYZ189" s="39"/>
      <c r="TZA189" s="39"/>
      <c r="TZB189" s="39"/>
      <c r="TZC189" s="39"/>
      <c r="TZD189" s="39"/>
      <c r="TZE189" s="39"/>
      <c r="TZF189" s="39"/>
      <c r="TZG189" s="39"/>
      <c r="TZH189" s="39"/>
      <c r="TZI189" s="39"/>
      <c r="TZJ189" s="39"/>
      <c r="TZK189" s="39"/>
      <c r="TZL189" s="39"/>
      <c r="TZM189" s="39"/>
      <c r="TZN189" s="39"/>
      <c r="TZO189" s="39"/>
      <c r="TZP189" s="39"/>
      <c r="TZQ189" s="39"/>
      <c r="TZR189" s="39"/>
      <c r="TZS189" s="39"/>
      <c r="TZT189" s="39"/>
      <c r="TZU189" s="39"/>
      <c r="TZV189" s="39"/>
      <c r="TZW189" s="39"/>
      <c r="TZX189" s="39"/>
      <c r="TZY189" s="39"/>
      <c r="TZZ189" s="39"/>
      <c r="UAA189" s="39"/>
      <c r="UAB189" s="39"/>
      <c r="UAC189" s="39"/>
      <c r="UAD189" s="39"/>
      <c r="UAE189" s="39"/>
      <c r="UAF189" s="39"/>
      <c r="UAG189" s="39"/>
      <c r="UAH189" s="39"/>
      <c r="UAI189" s="39"/>
      <c r="UAJ189" s="39"/>
      <c r="UAK189" s="39"/>
      <c r="UAL189" s="39"/>
      <c r="UAM189" s="39"/>
      <c r="UAN189" s="39"/>
      <c r="UAO189" s="39"/>
      <c r="UAP189" s="39"/>
      <c r="UAQ189" s="39"/>
      <c r="UAR189" s="39"/>
      <c r="UAS189" s="39"/>
      <c r="UAT189" s="39"/>
      <c r="UAU189" s="39"/>
      <c r="UAV189" s="39"/>
      <c r="UAW189" s="39"/>
      <c r="UAX189" s="39"/>
      <c r="UAY189" s="39"/>
      <c r="UAZ189" s="39"/>
      <c r="UBA189" s="39"/>
      <c r="UBB189" s="39"/>
      <c r="UBC189" s="39"/>
      <c r="UBD189" s="39"/>
      <c r="UBE189" s="39"/>
      <c r="UBF189" s="39"/>
      <c r="UBG189" s="39"/>
      <c r="UBH189" s="39"/>
      <c r="UBI189" s="39"/>
      <c r="UBJ189" s="39"/>
      <c r="UBK189" s="39"/>
      <c r="UBL189" s="39"/>
      <c r="UBM189" s="39"/>
      <c r="UBN189" s="39"/>
      <c r="UBO189" s="39"/>
      <c r="UBP189" s="39"/>
      <c r="UBQ189" s="39"/>
      <c r="UBR189" s="39"/>
      <c r="UBS189" s="39"/>
      <c r="UBT189" s="39"/>
      <c r="UBU189" s="39"/>
      <c r="UBV189" s="39"/>
      <c r="UBW189" s="39"/>
      <c r="UBX189" s="39"/>
      <c r="UBY189" s="39"/>
      <c r="UBZ189" s="39"/>
      <c r="UCA189" s="39"/>
      <c r="UCB189" s="39"/>
      <c r="UCC189" s="39"/>
      <c r="UCD189" s="39"/>
      <c r="UCE189" s="39"/>
      <c r="UCF189" s="39"/>
      <c r="UCG189" s="39"/>
      <c r="UCH189" s="39"/>
      <c r="UCI189" s="39"/>
      <c r="UCJ189" s="39"/>
      <c r="UCK189" s="39"/>
      <c r="UCL189" s="39"/>
      <c r="UCM189" s="39"/>
      <c r="UCN189" s="39"/>
      <c r="UCO189" s="39"/>
      <c r="UCP189" s="39"/>
      <c r="UCQ189" s="39"/>
      <c r="UCR189" s="39"/>
      <c r="UCS189" s="39"/>
      <c r="UCT189" s="39"/>
      <c r="UCU189" s="39"/>
      <c r="UCV189" s="39"/>
      <c r="UCW189" s="39"/>
      <c r="UCX189" s="39"/>
      <c r="UCY189" s="39"/>
      <c r="UCZ189" s="39"/>
      <c r="UDA189" s="39"/>
      <c r="UDB189" s="39"/>
      <c r="UDC189" s="39"/>
      <c r="UDD189" s="39"/>
      <c r="UDE189" s="39"/>
      <c r="UDF189" s="39"/>
      <c r="UDG189" s="39"/>
      <c r="UDH189" s="39"/>
      <c r="UDI189" s="39"/>
      <c r="UDJ189" s="39"/>
      <c r="UDK189" s="39"/>
      <c r="UDL189" s="39"/>
      <c r="UDM189" s="39"/>
      <c r="UDN189" s="39"/>
      <c r="UDO189" s="39"/>
      <c r="UDP189" s="39"/>
      <c r="UDQ189" s="39"/>
      <c r="UDR189" s="39"/>
      <c r="UDS189" s="39"/>
      <c r="UDT189" s="39"/>
      <c r="UDU189" s="39"/>
      <c r="UDV189" s="39"/>
      <c r="UDW189" s="39"/>
      <c r="UDX189" s="39"/>
      <c r="UDY189" s="39"/>
      <c r="UDZ189" s="39"/>
      <c r="UEA189" s="39"/>
      <c r="UEB189" s="39"/>
      <c r="UEC189" s="39"/>
      <c r="UED189" s="39"/>
      <c r="UEE189" s="39"/>
      <c r="UEF189" s="39"/>
      <c r="UEG189" s="39"/>
      <c r="UEH189" s="39"/>
      <c r="UEI189" s="39"/>
      <c r="UEJ189" s="39"/>
      <c r="UEK189" s="39"/>
      <c r="UEL189" s="39"/>
      <c r="UEM189" s="39"/>
      <c r="UEN189" s="39"/>
      <c r="UEO189" s="39"/>
      <c r="UEP189" s="39"/>
      <c r="UEQ189" s="39"/>
      <c r="UER189" s="39"/>
      <c r="UES189" s="39"/>
      <c r="UET189" s="39"/>
      <c r="UEU189" s="39"/>
      <c r="UEV189" s="39"/>
      <c r="UEW189" s="39"/>
      <c r="UEX189" s="39"/>
      <c r="UEY189" s="39"/>
      <c r="UEZ189" s="39"/>
      <c r="UFA189" s="39"/>
      <c r="UFB189" s="39"/>
      <c r="UFC189" s="39"/>
      <c r="UFD189" s="39"/>
      <c r="UFE189" s="39"/>
      <c r="UFF189" s="39"/>
      <c r="UFG189" s="39"/>
      <c r="UFH189" s="39"/>
      <c r="UFI189" s="39"/>
      <c r="UFJ189" s="39"/>
      <c r="UFK189" s="39"/>
      <c r="UFL189" s="39"/>
      <c r="UFM189" s="39"/>
      <c r="UFN189" s="39"/>
      <c r="UFO189" s="39"/>
      <c r="UFP189" s="39"/>
      <c r="UFQ189" s="39"/>
      <c r="UFR189" s="39"/>
      <c r="UFS189" s="39"/>
      <c r="UFT189" s="39"/>
      <c r="UFU189" s="39"/>
      <c r="UFV189" s="39"/>
      <c r="UFW189" s="39"/>
      <c r="UFX189" s="39"/>
      <c r="UFY189" s="39"/>
      <c r="UFZ189" s="39"/>
      <c r="UGA189" s="39"/>
      <c r="UGB189" s="39"/>
      <c r="UGC189" s="39"/>
      <c r="UGD189" s="39"/>
      <c r="UGE189" s="39"/>
      <c r="UGF189" s="39"/>
      <c r="UGG189" s="39"/>
      <c r="UGH189" s="39"/>
      <c r="UGI189" s="39"/>
      <c r="UGJ189" s="39"/>
      <c r="UGK189" s="39"/>
      <c r="UGL189" s="39"/>
      <c r="UGM189" s="39"/>
      <c r="UGN189" s="39"/>
      <c r="UGO189" s="39"/>
      <c r="UGP189" s="39"/>
      <c r="UGQ189" s="39"/>
      <c r="UGR189" s="39"/>
      <c r="UGS189" s="39"/>
      <c r="UGT189" s="39"/>
      <c r="UGU189" s="39"/>
      <c r="UGV189" s="39"/>
      <c r="UGW189" s="39"/>
      <c r="UGX189" s="39"/>
      <c r="UGY189" s="39"/>
      <c r="UGZ189" s="39"/>
      <c r="UHA189" s="39"/>
      <c r="UHB189" s="39"/>
      <c r="UHC189" s="39"/>
      <c r="UHD189" s="39"/>
      <c r="UHE189" s="39"/>
      <c r="UHF189" s="39"/>
      <c r="UHG189" s="39"/>
      <c r="UHH189" s="39"/>
      <c r="UHI189" s="39"/>
      <c r="UHJ189" s="39"/>
      <c r="UHK189" s="39"/>
      <c r="UHL189" s="39"/>
      <c r="UHM189" s="39"/>
      <c r="UHN189" s="39"/>
      <c r="UHO189" s="39"/>
      <c r="UHP189" s="39"/>
      <c r="UHQ189" s="39"/>
      <c r="UHR189" s="39"/>
      <c r="UHS189" s="39"/>
      <c r="UHT189" s="39"/>
      <c r="UHU189" s="39"/>
      <c r="UHV189" s="39"/>
      <c r="UHW189" s="39"/>
      <c r="UHX189" s="39"/>
      <c r="UHY189" s="39"/>
      <c r="UHZ189" s="39"/>
      <c r="UIA189" s="39"/>
      <c r="UIB189" s="39"/>
      <c r="UIC189" s="39"/>
      <c r="UID189" s="39"/>
      <c r="UIE189" s="39"/>
      <c r="UIF189" s="39"/>
      <c r="UIG189" s="39"/>
      <c r="UIH189" s="39"/>
      <c r="UII189" s="39"/>
      <c r="UIJ189" s="39"/>
      <c r="UIK189" s="39"/>
      <c r="UIL189" s="39"/>
      <c r="UIM189" s="39"/>
      <c r="UIN189" s="39"/>
      <c r="UIO189" s="39"/>
      <c r="UIP189" s="39"/>
      <c r="UIQ189" s="39"/>
      <c r="UIR189" s="39"/>
      <c r="UIS189" s="39"/>
      <c r="UIT189" s="39"/>
      <c r="UIU189" s="39"/>
      <c r="UIV189" s="39"/>
      <c r="UIW189" s="39"/>
      <c r="UIX189" s="39"/>
      <c r="UIY189" s="39"/>
      <c r="UIZ189" s="39"/>
      <c r="UJA189" s="39"/>
      <c r="UJB189" s="39"/>
      <c r="UJC189" s="39"/>
      <c r="UJD189" s="39"/>
      <c r="UJE189" s="39"/>
      <c r="UJF189" s="39"/>
      <c r="UJG189" s="39"/>
      <c r="UJH189" s="39"/>
      <c r="UJI189" s="39"/>
      <c r="UJJ189" s="39"/>
      <c r="UJK189" s="39"/>
      <c r="UJL189" s="39"/>
      <c r="UJM189" s="39"/>
      <c r="UJN189" s="39"/>
      <c r="UJO189" s="39"/>
      <c r="UJP189" s="39"/>
      <c r="UJQ189" s="39"/>
      <c r="UJR189" s="39"/>
      <c r="UJS189" s="39"/>
      <c r="UJT189" s="39"/>
      <c r="UJU189" s="39"/>
      <c r="UJV189" s="39"/>
      <c r="UJW189" s="39"/>
      <c r="UJX189" s="39"/>
      <c r="UJY189" s="39"/>
      <c r="UJZ189" s="39"/>
      <c r="UKA189" s="39"/>
      <c r="UKB189" s="39"/>
      <c r="UKC189" s="39"/>
      <c r="UKD189" s="39"/>
      <c r="UKE189" s="39"/>
      <c r="UKF189" s="39"/>
      <c r="UKG189" s="39"/>
      <c r="UKH189" s="39"/>
      <c r="UKI189" s="39"/>
      <c r="UKJ189" s="39"/>
      <c r="UKK189" s="39"/>
      <c r="UKL189" s="39"/>
      <c r="UKM189" s="39"/>
      <c r="UKN189" s="39"/>
      <c r="UKO189" s="39"/>
      <c r="UKP189" s="39"/>
      <c r="UKQ189" s="39"/>
      <c r="UKR189" s="39"/>
      <c r="UKS189" s="39"/>
      <c r="UKT189" s="39"/>
      <c r="UKU189" s="39"/>
      <c r="UKV189" s="39"/>
      <c r="UKW189" s="39"/>
      <c r="UKX189" s="39"/>
      <c r="UKY189" s="39"/>
      <c r="UKZ189" s="39"/>
      <c r="ULA189" s="39"/>
      <c r="ULB189" s="39"/>
      <c r="ULC189" s="39"/>
      <c r="ULD189" s="39"/>
      <c r="ULE189" s="39"/>
      <c r="ULF189" s="39"/>
      <c r="ULG189" s="39"/>
      <c r="ULH189" s="39"/>
      <c r="ULI189" s="39"/>
      <c r="ULJ189" s="39"/>
      <c r="ULK189" s="39"/>
      <c r="ULL189" s="39"/>
      <c r="ULM189" s="39"/>
      <c r="ULN189" s="39"/>
      <c r="ULO189" s="39"/>
      <c r="ULP189" s="39"/>
      <c r="ULQ189" s="39"/>
      <c r="ULR189" s="39"/>
      <c r="ULS189" s="39"/>
      <c r="ULT189" s="39"/>
      <c r="ULU189" s="39"/>
      <c r="ULV189" s="39"/>
      <c r="ULW189" s="39"/>
      <c r="ULX189" s="39"/>
      <c r="ULY189" s="39"/>
      <c r="ULZ189" s="39"/>
      <c r="UMA189" s="39"/>
      <c r="UMB189" s="39"/>
      <c r="UMC189" s="39"/>
      <c r="UMD189" s="39"/>
      <c r="UME189" s="39"/>
      <c r="UMF189" s="39"/>
      <c r="UMG189" s="39"/>
      <c r="UMH189" s="39"/>
      <c r="UMI189" s="39"/>
      <c r="UMJ189" s="39"/>
      <c r="UMK189" s="39"/>
      <c r="UML189" s="39"/>
      <c r="UMM189" s="39"/>
      <c r="UMN189" s="39"/>
      <c r="UMO189" s="39"/>
      <c r="UMP189" s="39"/>
      <c r="UMQ189" s="39"/>
      <c r="UMR189" s="39"/>
      <c r="UMS189" s="39"/>
      <c r="UMT189" s="39"/>
      <c r="UMU189" s="39"/>
      <c r="UMV189" s="39"/>
      <c r="UMW189" s="39"/>
      <c r="UMX189" s="39"/>
      <c r="UMY189" s="39"/>
      <c r="UMZ189" s="39"/>
      <c r="UNA189" s="39"/>
      <c r="UNB189" s="39"/>
      <c r="UNC189" s="39"/>
      <c r="UND189" s="39"/>
      <c r="UNE189" s="39"/>
      <c r="UNF189" s="39"/>
      <c r="UNG189" s="39"/>
      <c r="UNH189" s="39"/>
      <c r="UNI189" s="39"/>
      <c r="UNJ189" s="39"/>
      <c r="UNK189" s="39"/>
      <c r="UNL189" s="39"/>
      <c r="UNM189" s="39"/>
      <c r="UNN189" s="39"/>
      <c r="UNO189" s="39"/>
      <c r="UNP189" s="39"/>
      <c r="UNQ189" s="39"/>
      <c r="UNR189" s="39"/>
      <c r="UNS189" s="39"/>
      <c r="UNT189" s="39"/>
      <c r="UNU189" s="39"/>
      <c r="UNV189" s="39"/>
      <c r="UNW189" s="39"/>
      <c r="UNX189" s="39"/>
      <c r="UNY189" s="39"/>
      <c r="UNZ189" s="39"/>
      <c r="UOA189" s="39"/>
      <c r="UOB189" s="39"/>
      <c r="UOC189" s="39"/>
      <c r="UOD189" s="39"/>
      <c r="UOE189" s="39"/>
      <c r="UOF189" s="39"/>
      <c r="UOG189" s="39"/>
      <c r="UOH189" s="39"/>
      <c r="UOI189" s="39"/>
      <c r="UOJ189" s="39"/>
      <c r="UOK189" s="39"/>
      <c r="UOL189" s="39"/>
      <c r="UOM189" s="39"/>
      <c r="UON189" s="39"/>
      <c r="UOO189" s="39"/>
      <c r="UOP189" s="39"/>
      <c r="UOQ189" s="39"/>
      <c r="UOR189" s="39"/>
      <c r="UOS189" s="39"/>
      <c r="UOT189" s="39"/>
      <c r="UOU189" s="39"/>
      <c r="UOV189" s="39"/>
      <c r="UOW189" s="39"/>
      <c r="UOX189" s="39"/>
      <c r="UOY189" s="39"/>
      <c r="UOZ189" s="39"/>
      <c r="UPA189" s="39"/>
      <c r="UPB189" s="39"/>
      <c r="UPC189" s="39"/>
      <c r="UPD189" s="39"/>
      <c r="UPE189" s="39"/>
      <c r="UPF189" s="39"/>
      <c r="UPG189" s="39"/>
      <c r="UPH189" s="39"/>
      <c r="UPI189" s="39"/>
      <c r="UPJ189" s="39"/>
      <c r="UPK189" s="39"/>
      <c r="UPL189" s="39"/>
      <c r="UPM189" s="39"/>
      <c r="UPN189" s="39"/>
      <c r="UPO189" s="39"/>
      <c r="UPP189" s="39"/>
      <c r="UPQ189" s="39"/>
      <c r="UPR189" s="39"/>
      <c r="UPS189" s="39"/>
      <c r="UPT189" s="39"/>
      <c r="UPU189" s="39"/>
      <c r="UPV189" s="39"/>
      <c r="UPW189" s="39"/>
      <c r="UPX189" s="39"/>
      <c r="UPY189" s="39"/>
      <c r="UPZ189" s="39"/>
      <c r="UQA189" s="39"/>
      <c r="UQB189" s="39"/>
      <c r="UQC189" s="39"/>
      <c r="UQD189" s="39"/>
      <c r="UQE189" s="39"/>
      <c r="UQF189" s="39"/>
      <c r="UQG189" s="39"/>
      <c r="UQH189" s="39"/>
      <c r="UQI189" s="39"/>
      <c r="UQJ189" s="39"/>
      <c r="UQK189" s="39"/>
      <c r="UQL189" s="39"/>
      <c r="UQM189" s="39"/>
      <c r="UQN189" s="39"/>
      <c r="UQO189" s="39"/>
      <c r="UQP189" s="39"/>
      <c r="UQQ189" s="39"/>
      <c r="UQR189" s="39"/>
      <c r="UQS189" s="39"/>
      <c r="UQT189" s="39"/>
      <c r="UQU189" s="39"/>
      <c r="UQV189" s="39"/>
      <c r="UQW189" s="39"/>
      <c r="UQX189" s="39"/>
      <c r="UQY189" s="39"/>
      <c r="UQZ189" s="39"/>
      <c r="URA189" s="39"/>
      <c r="URB189" s="39"/>
      <c r="URC189" s="39"/>
      <c r="URD189" s="39"/>
      <c r="URE189" s="39"/>
      <c r="URF189" s="39"/>
      <c r="URG189" s="39"/>
      <c r="URH189" s="39"/>
      <c r="URI189" s="39"/>
      <c r="URJ189" s="39"/>
      <c r="URK189" s="39"/>
      <c r="URL189" s="39"/>
      <c r="URM189" s="39"/>
      <c r="URN189" s="39"/>
      <c r="URO189" s="39"/>
      <c r="URP189" s="39"/>
      <c r="URQ189" s="39"/>
      <c r="URR189" s="39"/>
      <c r="URS189" s="39"/>
      <c r="URT189" s="39"/>
      <c r="URU189" s="39"/>
      <c r="URV189" s="39"/>
      <c r="URW189" s="39"/>
      <c r="URX189" s="39"/>
      <c r="URY189" s="39"/>
      <c r="URZ189" s="39"/>
      <c r="USA189" s="39"/>
      <c r="USB189" s="39"/>
      <c r="USC189" s="39"/>
      <c r="USD189" s="39"/>
      <c r="USE189" s="39"/>
      <c r="USF189" s="39"/>
      <c r="USG189" s="39"/>
      <c r="USH189" s="39"/>
      <c r="USI189" s="39"/>
      <c r="USJ189" s="39"/>
      <c r="USK189" s="39"/>
      <c r="USL189" s="39"/>
      <c r="USM189" s="39"/>
      <c r="USN189" s="39"/>
      <c r="USO189" s="39"/>
      <c r="USP189" s="39"/>
      <c r="USQ189" s="39"/>
      <c r="USR189" s="39"/>
      <c r="USS189" s="39"/>
      <c r="UST189" s="39"/>
      <c r="USU189" s="39"/>
      <c r="USV189" s="39"/>
      <c r="USW189" s="39"/>
      <c r="USX189" s="39"/>
      <c r="USY189" s="39"/>
      <c r="USZ189" s="39"/>
      <c r="UTA189" s="39"/>
      <c r="UTB189" s="39"/>
      <c r="UTC189" s="39"/>
      <c r="UTD189" s="39"/>
      <c r="UTE189" s="39"/>
      <c r="UTF189" s="39"/>
      <c r="UTG189" s="39"/>
      <c r="UTH189" s="39"/>
      <c r="UTI189" s="39"/>
      <c r="UTJ189" s="39"/>
      <c r="UTK189" s="39"/>
      <c r="UTL189" s="39"/>
      <c r="UTM189" s="39"/>
      <c r="UTN189" s="39"/>
      <c r="UTO189" s="39"/>
      <c r="UTP189" s="39"/>
      <c r="UTQ189" s="39"/>
      <c r="UTR189" s="39"/>
      <c r="UTS189" s="39"/>
      <c r="UTT189" s="39"/>
      <c r="UTU189" s="39"/>
      <c r="UTV189" s="39"/>
      <c r="UTW189" s="39"/>
      <c r="UTX189" s="39"/>
      <c r="UTY189" s="39"/>
      <c r="UTZ189" s="39"/>
      <c r="UUA189" s="39"/>
      <c r="UUB189" s="39"/>
      <c r="UUC189" s="39"/>
      <c r="UUD189" s="39"/>
      <c r="UUE189" s="39"/>
      <c r="UUF189" s="39"/>
      <c r="UUG189" s="39"/>
      <c r="UUH189" s="39"/>
      <c r="UUI189" s="39"/>
      <c r="UUJ189" s="39"/>
      <c r="UUK189" s="39"/>
      <c r="UUL189" s="39"/>
      <c r="UUM189" s="39"/>
      <c r="UUN189" s="39"/>
      <c r="UUO189" s="39"/>
      <c r="UUP189" s="39"/>
      <c r="UUQ189" s="39"/>
      <c r="UUR189" s="39"/>
      <c r="UUS189" s="39"/>
      <c r="UUT189" s="39"/>
      <c r="UUU189" s="39"/>
      <c r="UUV189" s="39"/>
      <c r="UUW189" s="39"/>
      <c r="UUX189" s="39"/>
      <c r="UUY189" s="39"/>
      <c r="UUZ189" s="39"/>
      <c r="UVA189" s="39"/>
      <c r="UVB189" s="39"/>
      <c r="UVC189" s="39"/>
      <c r="UVD189" s="39"/>
      <c r="UVE189" s="39"/>
      <c r="UVF189" s="39"/>
      <c r="UVG189" s="39"/>
      <c r="UVH189" s="39"/>
      <c r="UVI189" s="39"/>
      <c r="UVJ189" s="39"/>
      <c r="UVK189" s="39"/>
      <c r="UVL189" s="39"/>
      <c r="UVM189" s="39"/>
      <c r="UVN189" s="39"/>
      <c r="UVO189" s="39"/>
      <c r="UVP189" s="39"/>
      <c r="UVQ189" s="39"/>
      <c r="UVR189" s="39"/>
      <c r="UVS189" s="39"/>
      <c r="UVT189" s="39"/>
      <c r="UVU189" s="39"/>
      <c r="UVV189" s="39"/>
      <c r="UVW189" s="39"/>
      <c r="UVX189" s="39"/>
      <c r="UVY189" s="39"/>
      <c r="UVZ189" s="39"/>
      <c r="UWA189" s="39"/>
      <c r="UWB189" s="39"/>
      <c r="UWC189" s="39"/>
      <c r="UWD189" s="39"/>
      <c r="UWE189" s="39"/>
      <c r="UWF189" s="39"/>
      <c r="UWG189" s="39"/>
      <c r="UWH189" s="39"/>
      <c r="UWI189" s="39"/>
      <c r="UWJ189" s="39"/>
      <c r="UWK189" s="39"/>
      <c r="UWL189" s="39"/>
      <c r="UWM189" s="39"/>
      <c r="UWN189" s="39"/>
      <c r="UWO189" s="39"/>
      <c r="UWP189" s="39"/>
      <c r="UWQ189" s="39"/>
      <c r="UWR189" s="39"/>
      <c r="UWS189" s="39"/>
      <c r="UWT189" s="39"/>
      <c r="UWU189" s="39"/>
      <c r="UWV189" s="39"/>
      <c r="UWW189" s="39"/>
      <c r="UWX189" s="39"/>
      <c r="UWY189" s="39"/>
      <c r="UWZ189" s="39"/>
      <c r="UXA189" s="39"/>
      <c r="UXB189" s="39"/>
      <c r="UXC189" s="39"/>
      <c r="UXD189" s="39"/>
      <c r="UXE189" s="39"/>
      <c r="UXF189" s="39"/>
      <c r="UXG189" s="39"/>
      <c r="UXH189" s="39"/>
      <c r="UXI189" s="39"/>
      <c r="UXJ189" s="39"/>
      <c r="UXK189" s="39"/>
      <c r="UXL189" s="39"/>
      <c r="UXM189" s="39"/>
      <c r="UXN189" s="39"/>
      <c r="UXO189" s="39"/>
      <c r="UXP189" s="39"/>
      <c r="UXQ189" s="39"/>
      <c r="UXR189" s="39"/>
      <c r="UXS189" s="39"/>
      <c r="UXT189" s="39"/>
      <c r="UXU189" s="39"/>
      <c r="UXV189" s="39"/>
      <c r="UXW189" s="39"/>
      <c r="UXX189" s="39"/>
      <c r="UXY189" s="39"/>
      <c r="UXZ189" s="39"/>
      <c r="UYA189" s="39"/>
      <c r="UYB189" s="39"/>
      <c r="UYC189" s="39"/>
      <c r="UYD189" s="39"/>
      <c r="UYE189" s="39"/>
      <c r="UYF189" s="39"/>
      <c r="UYG189" s="39"/>
      <c r="UYH189" s="39"/>
      <c r="UYI189" s="39"/>
      <c r="UYJ189" s="39"/>
      <c r="UYK189" s="39"/>
      <c r="UYL189" s="39"/>
      <c r="UYM189" s="39"/>
      <c r="UYN189" s="39"/>
      <c r="UYO189" s="39"/>
      <c r="UYP189" s="39"/>
      <c r="UYQ189" s="39"/>
      <c r="UYR189" s="39"/>
      <c r="UYS189" s="39"/>
      <c r="UYT189" s="39"/>
      <c r="UYU189" s="39"/>
      <c r="UYV189" s="39"/>
      <c r="UYW189" s="39"/>
      <c r="UYX189" s="39"/>
      <c r="UYY189" s="39"/>
      <c r="UYZ189" s="39"/>
      <c r="UZA189" s="39"/>
      <c r="UZB189" s="39"/>
      <c r="UZC189" s="39"/>
      <c r="UZD189" s="39"/>
      <c r="UZE189" s="39"/>
      <c r="UZF189" s="39"/>
      <c r="UZG189" s="39"/>
      <c r="UZH189" s="39"/>
      <c r="UZI189" s="39"/>
      <c r="UZJ189" s="39"/>
      <c r="UZK189" s="39"/>
      <c r="UZL189" s="39"/>
      <c r="UZM189" s="39"/>
      <c r="UZN189" s="39"/>
      <c r="UZO189" s="39"/>
      <c r="UZP189" s="39"/>
      <c r="UZQ189" s="39"/>
      <c r="UZR189" s="39"/>
      <c r="UZS189" s="39"/>
      <c r="UZT189" s="39"/>
      <c r="UZU189" s="39"/>
      <c r="UZV189" s="39"/>
      <c r="UZW189" s="39"/>
      <c r="UZX189" s="39"/>
      <c r="UZY189" s="39"/>
      <c r="UZZ189" s="39"/>
      <c r="VAA189" s="39"/>
      <c r="VAB189" s="39"/>
      <c r="VAC189" s="39"/>
      <c r="VAD189" s="39"/>
      <c r="VAE189" s="39"/>
      <c r="VAF189" s="39"/>
      <c r="VAG189" s="39"/>
      <c r="VAH189" s="39"/>
      <c r="VAI189" s="39"/>
      <c r="VAJ189" s="39"/>
      <c r="VAK189" s="39"/>
      <c r="VAL189" s="39"/>
      <c r="VAM189" s="39"/>
      <c r="VAN189" s="39"/>
      <c r="VAO189" s="39"/>
      <c r="VAP189" s="39"/>
      <c r="VAQ189" s="39"/>
      <c r="VAR189" s="39"/>
      <c r="VAS189" s="39"/>
      <c r="VAT189" s="39"/>
      <c r="VAU189" s="39"/>
      <c r="VAV189" s="39"/>
      <c r="VAW189" s="39"/>
      <c r="VAX189" s="39"/>
      <c r="VAY189" s="39"/>
      <c r="VAZ189" s="39"/>
      <c r="VBA189" s="39"/>
      <c r="VBB189" s="39"/>
      <c r="VBC189" s="39"/>
      <c r="VBD189" s="39"/>
      <c r="VBE189" s="39"/>
      <c r="VBF189" s="39"/>
      <c r="VBG189" s="39"/>
      <c r="VBH189" s="39"/>
      <c r="VBI189" s="39"/>
      <c r="VBJ189" s="39"/>
      <c r="VBK189" s="39"/>
      <c r="VBL189" s="39"/>
      <c r="VBM189" s="39"/>
      <c r="VBN189" s="39"/>
      <c r="VBO189" s="39"/>
      <c r="VBP189" s="39"/>
      <c r="VBQ189" s="39"/>
      <c r="VBR189" s="39"/>
      <c r="VBS189" s="39"/>
      <c r="VBT189" s="39"/>
      <c r="VBU189" s="39"/>
      <c r="VBV189" s="39"/>
      <c r="VBW189" s="39"/>
      <c r="VBX189" s="39"/>
      <c r="VBY189" s="39"/>
      <c r="VBZ189" s="39"/>
      <c r="VCA189" s="39"/>
      <c r="VCB189" s="39"/>
      <c r="VCC189" s="39"/>
      <c r="VCD189" s="39"/>
      <c r="VCE189" s="39"/>
      <c r="VCF189" s="39"/>
      <c r="VCG189" s="39"/>
      <c r="VCH189" s="39"/>
      <c r="VCI189" s="39"/>
      <c r="VCJ189" s="39"/>
      <c r="VCK189" s="39"/>
      <c r="VCL189" s="39"/>
      <c r="VCM189" s="39"/>
      <c r="VCN189" s="39"/>
      <c r="VCO189" s="39"/>
      <c r="VCP189" s="39"/>
      <c r="VCQ189" s="39"/>
      <c r="VCR189" s="39"/>
      <c r="VCS189" s="39"/>
      <c r="VCT189" s="39"/>
      <c r="VCU189" s="39"/>
      <c r="VCV189" s="39"/>
      <c r="VCW189" s="39"/>
      <c r="VCX189" s="39"/>
      <c r="VCY189" s="39"/>
      <c r="VCZ189" s="39"/>
      <c r="VDA189" s="39"/>
      <c r="VDB189" s="39"/>
      <c r="VDC189" s="39"/>
      <c r="VDD189" s="39"/>
      <c r="VDE189" s="39"/>
      <c r="VDF189" s="39"/>
      <c r="VDG189" s="39"/>
      <c r="VDH189" s="39"/>
      <c r="VDI189" s="39"/>
      <c r="VDJ189" s="39"/>
      <c r="VDK189" s="39"/>
      <c r="VDL189" s="39"/>
      <c r="VDM189" s="39"/>
      <c r="VDN189" s="39"/>
      <c r="VDO189" s="39"/>
      <c r="VDP189" s="39"/>
      <c r="VDQ189" s="39"/>
      <c r="VDR189" s="39"/>
      <c r="VDS189" s="39"/>
      <c r="VDT189" s="39"/>
      <c r="VDU189" s="39"/>
      <c r="VDV189" s="39"/>
      <c r="VDW189" s="39"/>
      <c r="VDX189" s="39"/>
      <c r="VDY189" s="39"/>
      <c r="VDZ189" s="39"/>
      <c r="VEA189" s="39"/>
      <c r="VEB189" s="39"/>
      <c r="VEC189" s="39"/>
      <c r="VED189" s="39"/>
      <c r="VEE189" s="39"/>
      <c r="VEF189" s="39"/>
      <c r="VEG189" s="39"/>
      <c r="VEH189" s="39"/>
      <c r="VEI189" s="39"/>
      <c r="VEJ189" s="39"/>
      <c r="VEK189" s="39"/>
      <c r="VEL189" s="39"/>
      <c r="VEM189" s="39"/>
      <c r="VEN189" s="39"/>
      <c r="VEO189" s="39"/>
      <c r="VEP189" s="39"/>
      <c r="VEQ189" s="39"/>
      <c r="VER189" s="39"/>
      <c r="VES189" s="39"/>
      <c r="VET189" s="39"/>
      <c r="VEU189" s="39"/>
      <c r="VEV189" s="39"/>
      <c r="VEW189" s="39"/>
      <c r="VEX189" s="39"/>
      <c r="VEY189" s="39"/>
      <c r="VEZ189" s="39"/>
      <c r="VFA189" s="39"/>
      <c r="VFB189" s="39"/>
      <c r="VFC189" s="39"/>
      <c r="VFD189" s="39"/>
      <c r="VFE189" s="39"/>
      <c r="VFF189" s="39"/>
      <c r="VFG189" s="39"/>
      <c r="VFH189" s="39"/>
      <c r="VFI189" s="39"/>
      <c r="VFJ189" s="39"/>
      <c r="VFK189" s="39"/>
      <c r="VFL189" s="39"/>
      <c r="VFM189" s="39"/>
      <c r="VFN189" s="39"/>
      <c r="VFO189" s="39"/>
      <c r="VFP189" s="39"/>
      <c r="VFQ189" s="39"/>
      <c r="VFR189" s="39"/>
      <c r="VFS189" s="39"/>
      <c r="VFT189" s="39"/>
      <c r="VFU189" s="39"/>
      <c r="VFV189" s="39"/>
      <c r="VFW189" s="39"/>
      <c r="VFX189" s="39"/>
      <c r="VFY189" s="39"/>
      <c r="VFZ189" s="39"/>
      <c r="VGA189" s="39"/>
      <c r="VGB189" s="39"/>
      <c r="VGC189" s="39"/>
      <c r="VGD189" s="39"/>
      <c r="VGE189" s="39"/>
      <c r="VGF189" s="39"/>
      <c r="VGG189" s="39"/>
      <c r="VGH189" s="39"/>
      <c r="VGI189" s="39"/>
      <c r="VGJ189" s="39"/>
      <c r="VGK189" s="39"/>
      <c r="VGL189" s="39"/>
      <c r="VGM189" s="39"/>
      <c r="VGN189" s="39"/>
      <c r="VGO189" s="39"/>
      <c r="VGP189" s="39"/>
      <c r="VGQ189" s="39"/>
      <c r="VGR189" s="39"/>
      <c r="VGS189" s="39"/>
      <c r="VGT189" s="39"/>
      <c r="VGU189" s="39"/>
      <c r="VGV189" s="39"/>
      <c r="VGW189" s="39"/>
      <c r="VGX189" s="39"/>
      <c r="VGY189" s="39"/>
      <c r="VGZ189" s="39"/>
      <c r="VHA189" s="39"/>
      <c r="VHB189" s="39"/>
      <c r="VHC189" s="39"/>
      <c r="VHD189" s="39"/>
      <c r="VHE189" s="39"/>
      <c r="VHF189" s="39"/>
      <c r="VHG189" s="39"/>
      <c r="VHH189" s="39"/>
      <c r="VHI189" s="39"/>
      <c r="VHJ189" s="39"/>
      <c r="VHK189" s="39"/>
      <c r="VHL189" s="39"/>
      <c r="VHM189" s="39"/>
      <c r="VHN189" s="39"/>
      <c r="VHO189" s="39"/>
      <c r="VHP189" s="39"/>
      <c r="VHQ189" s="39"/>
      <c r="VHR189" s="39"/>
      <c r="VHS189" s="39"/>
      <c r="VHT189" s="39"/>
      <c r="VHU189" s="39"/>
      <c r="VHV189" s="39"/>
      <c r="VHW189" s="39"/>
      <c r="VHX189" s="39"/>
      <c r="VHY189" s="39"/>
      <c r="VHZ189" s="39"/>
      <c r="VIA189" s="39"/>
      <c r="VIB189" s="39"/>
      <c r="VIC189" s="39"/>
      <c r="VID189" s="39"/>
      <c r="VIE189" s="39"/>
      <c r="VIF189" s="39"/>
      <c r="VIG189" s="39"/>
      <c r="VIH189" s="39"/>
      <c r="VII189" s="39"/>
      <c r="VIJ189" s="39"/>
      <c r="VIK189" s="39"/>
      <c r="VIL189" s="39"/>
      <c r="VIM189" s="39"/>
      <c r="VIN189" s="39"/>
      <c r="VIO189" s="39"/>
      <c r="VIP189" s="39"/>
      <c r="VIQ189" s="39"/>
      <c r="VIR189" s="39"/>
      <c r="VIS189" s="39"/>
      <c r="VIT189" s="39"/>
      <c r="VIU189" s="39"/>
      <c r="VIV189" s="39"/>
      <c r="VIW189" s="39"/>
      <c r="VIX189" s="39"/>
      <c r="VIY189" s="39"/>
      <c r="VIZ189" s="39"/>
      <c r="VJA189" s="39"/>
      <c r="VJB189" s="39"/>
      <c r="VJC189" s="39"/>
      <c r="VJD189" s="39"/>
      <c r="VJE189" s="39"/>
      <c r="VJF189" s="39"/>
      <c r="VJG189" s="39"/>
      <c r="VJH189" s="39"/>
      <c r="VJI189" s="39"/>
      <c r="VJJ189" s="39"/>
      <c r="VJK189" s="39"/>
      <c r="VJL189" s="39"/>
      <c r="VJM189" s="39"/>
      <c r="VJN189" s="39"/>
      <c r="VJO189" s="39"/>
      <c r="VJP189" s="39"/>
      <c r="VJQ189" s="39"/>
      <c r="VJR189" s="39"/>
      <c r="VJS189" s="39"/>
      <c r="VJT189" s="39"/>
      <c r="VJU189" s="39"/>
      <c r="VJV189" s="39"/>
      <c r="VJW189" s="39"/>
      <c r="VJX189" s="39"/>
      <c r="VJY189" s="39"/>
      <c r="VJZ189" s="39"/>
      <c r="VKA189" s="39"/>
      <c r="VKB189" s="39"/>
      <c r="VKC189" s="39"/>
      <c r="VKD189" s="39"/>
      <c r="VKE189" s="39"/>
      <c r="VKF189" s="39"/>
      <c r="VKG189" s="39"/>
      <c r="VKH189" s="39"/>
      <c r="VKI189" s="39"/>
      <c r="VKJ189" s="39"/>
      <c r="VKK189" s="39"/>
      <c r="VKL189" s="39"/>
      <c r="VKM189" s="39"/>
      <c r="VKN189" s="39"/>
      <c r="VKO189" s="39"/>
      <c r="VKP189" s="39"/>
      <c r="VKQ189" s="39"/>
      <c r="VKR189" s="39"/>
      <c r="VKS189" s="39"/>
      <c r="VKT189" s="39"/>
      <c r="VKU189" s="39"/>
      <c r="VKV189" s="39"/>
      <c r="VKW189" s="39"/>
      <c r="VKX189" s="39"/>
      <c r="VKY189" s="39"/>
      <c r="VKZ189" s="39"/>
      <c r="VLA189" s="39"/>
      <c r="VLB189" s="39"/>
      <c r="VLC189" s="39"/>
      <c r="VLD189" s="39"/>
      <c r="VLE189" s="39"/>
      <c r="VLF189" s="39"/>
      <c r="VLG189" s="39"/>
      <c r="VLH189" s="39"/>
      <c r="VLI189" s="39"/>
      <c r="VLJ189" s="39"/>
      <c r="VLK189" s="39"/>
      <c r="VLL189" s="39"/>
      <c r="VLM189" s="39"/>
      <c r="VLN189" s="39"/>
      <c r="VLO189" s="39"/>
      <c r="VLP189" s="39"/>
      <c r="VLQ189" s="39"/>
      <c r="VLR189" s="39"/>
      <c r="VLS189" s="39"/>
      <c r="VLT189" s="39"/>
      <c r="VLU189" s="39"/>
      <c r="VLV189" s="39"/>
      <c r="VLW189" s="39"/>
      <c r="VLX189" s="39"/>
      <c r="VLY189" s="39"/>
      <c r="VLZ189" s="39"/>
      <c r="VMA189" s="39"/>
      <c r="VMB189" s="39"/>
      <c r="VMC189" s="39"/>
      <c r="VMD189" s="39"/>
      <c r="VME189" s="39"/>
      <c r="VMF189" s="39"/>
      <c r="VMG189" s="39"/>
      <c r="VMH189" s="39"/>
      <c r="VMI189" s="39"/>
      <c r="VMJ189" s="39"/>
      <c r="VMK189" s="39"/>
      <c r="VML189" s="39"/>
      <c r="VMM189" s="39"/>
      <c r="VMN189" s="39"/>
      <c r="VMO189" s="39"/>
      <c r="VMP189" s="39"/>
      <c r="VMQ189" s="39"/>
      <c r="VMR189" s="39"/>
      <c r="VMS189" s="39"/>
      <c r="VMT189" s="39"/>
      <c r="VMU189" s="39"/>
      <c r="VMV189" s="39"/>
      <c r="VMW189" s="39"/>
      <c r="VMX189" s="39"/>
      <c r="VMY189" s="39"/>
      <c r="VMZ189" s="39"/>
      <c r="VNA189" s="39"/>
      <c r="VNB189" s="39"/>
      <c r="VNC189" s="39"/>
      <c r="VND189" s="39"/>
      <c r="VNE189" s="39"/>
      <c r="VNF189" s="39"/>
      <c r="VNG189" s="39"/>
      <c r="VNH189" s="39"/>
      <c r="VNI189" s="39"/>
      <c r="VNJ189" s="39"/>
      <c r="VNK189" s="39"/>
      <c r="VNL189" s="39"/>
      <c r="VNM189" s="39"/>
      <c r="VNN189" s="39"/>
      <c r="VNO189" s="39"/>
      <c r="VNP189" s="39"/>
      <c r="VNQ189" s="39"/>
      <c r="VNR189" s="39"/>
      <c r="VNS189" s="39"/>
      <c r="VNT189" s="39"/>
      <c r="VNU189" s="39"/>
      <c r="VNV189" s="39"/>
      <c r="VNW189" s="39"/>
      <c r="VNX189" s="39"/>
      <c r="VNY189" s="39"/>
      <c r="VNZ189" s="39"/>
      <c r="VOA189" s="39"/>
      <c r="VOB189" s="39"/>
      <c r="VOC189" s="39"/>
      <c r="VOD189" s="39"/>
      <c r="VOE189" s="39"/>
      <c r="VOF189" s="39"/>
      <c r="VOG189" s="39"/>
      <c r="VOH189" s="39"/>
      <c r="VOI189" s="39"/>
      <c r="VOJ189" s="39"/>
      <c r="VOK189" s="39"/>
      <c r="VOL189" s="39"/>
      <c r="VOM189" s="39"/>
      <c r="VON189" s="39"/>
      <c r="VOO189" s="39"/>
      <c r="VOP189" s="39"/>
      <c r="VOQ189" s="39"/>
      <c r="VOR189" s="39"/>
      <c r="VOS189" s="39"/>
      <c r="VOT189" s="39"/>
      <c r="VOU189" s="39"/>
      <c r="VOV189" s="39"/>
      <c r="VOW189" s="39"/>
      <c r="VOX189" s="39"/>
      <c r="VOY189" s="39"/>
      <c r="VOZ189" s="39"/>
      <c r="VPA189" s="39"/>
      <c r="VPB189" s="39"/>
      <c r="VPC189" s="39"/>
      <c r="VPD189" s="39"/>
      <c r="VPE189" s="39"/>
      <c r="VPF189" s="39"/>
      <c r="VPG189" s="39"/>
      <c r="VPH189" s="39"/>
      <c r="VPI189" s="39"/>
      <c r="VPJ189" s="39"/>
      <c r="VPK189" s="39"/>
      <c r="VPL189" s="39"/>
      <c r="VPM189" s="39"/>
      <c r="VPN189" s="39"/>
      <c r="VPO189" s="39"/>
      <c r="VPP189" s="39"/>
      <c r="VPQ189" s="39"/>
      <c r="VPR189" s="39"/>
      <c r="VPS189" s="39"/>
      <c r="VPT189" s="39"/>
      <c r="VPU189" s="39"/>
      <c r="VPV189" s="39"/>
      <c r="VPW189" s="39"/>
      <c r="VPX189" s="39"/>
      <c r="VPY189" s="39"/>
      <c r="VPZ189" s="39"/>
      <c r="VQA189" s="39"/>
      <c r="VQB189" s="39"/>
      <c r="VQC189" s="39"/>
      <c r="VQD189" s="39"/>
      <c r="VQE189" s="39"/>
      <c r="VQF189" s="39"/>
      <c r="VQG189" s="39"/>
      <c r="VQH189" s="39"/>
      <c r="VQI189" s="39"/>
      <c r="VQJ189" s="39"/>
      <c r="VQK189" s="39"/>
      <c r="VQL189" s="39"/>
      <c r="VQM189" s="39"/>
      <c r="VQN189" s="39"/>
      <c r="VQO189" s="39"/>
      <c r="VQP189" s="39"/>
      <c r="VQQ189" s="39"/>
      <c r="VQR189" s="39"/>
      <c r="VQS189" s="39"/>
      <c r="VQT189" s="39"/>
      <c r="VQU189" s="39"/>
      <c r="VQV189" s="39"/>
      <c r="VQW189" s="39"/>
      <c r="VQX189" s="39"/>
      <c r="VQY189" s="39"/>
      <c r="VQZ189" s="39"/>
      <c r="VRA189" s="39"/>
      <c r="VRB189" s="39"/>
      <c r="VRC189" s="39"/>
      <c r="VRD189" s="39"/>
      <c r="VRE189" s="39"/>
      <c r="VRF189" s="39"/>
      <c r="VRG189" s="39"/>
      <c r="VRH189" s="39"/>
      <c r="VRI189" s="39"/>
      <c r="VRJ189" s="39"/>
      <c r="VRK189" s="39"/>
      <c r="VRL189" s="39"/>
      <c r="VRM189" s="39"/>
      <c r="VRN189" s="39"/>
      <c r="VRO189" s="39"/>
      <c r="VRP189" s="39"/>
      <c r="VRQ189" s="39"/>
      <c r="VRR189" s="39"/>
      <c r="VRS189" s="39"/>
      <c r="VRT189" s="39"/>
      <c r="VRU189" s="39"/>
      <c r="VRV189" s="39"/>
      <c r="VRW189" s="39"/>
      <c r="VRX189" s="39"/>
      <c r="VRY189" s="39"/>
      <c r="VRZ189" s="39"/>
      <c r="VSA189" s="39"/>
      <c r="VSB189" s="39"/>
      <c r="VSC189" s="39"/>
      <c r="VSD189" s="39"/>
      <c r="VSE189" s="39"/>
      <c r="VSF189" s="39"/>
      <c r="VSG189" s="39"/>
      <c r="VSH189" s="39"/>
      <c r="VSI189" s="39"/>
      <c r="VSJ189" s="39"/>
      <c r="VSK189" s="39"/>
      <c r="VSL189" s="39"/>
      <c r="VSM189" s="39"/>
      <c r="VSN189" s="39"/>
      <c r="VSO189" s="39"/>
      <c r="VSP189" s="39"/>
      <c r="VSQ189" s="39"/>
      <c r="VSR189" s="39"/>
      <c r="VSS189" s="39"/>
      <c r="VST189" s="39"/>
      <c r="VSU189" s="39"/>
      <c r="VSV189" s="39"/>
      <c r="VSW189" s="39"/>
      <c r="VSX189" s="39"/>
      <c r="VSY189" s="39"/>
      <c r="VSZ189" s="39"/>
      <c r="VTA189" s="39"/>
      <c r="VTB189" s="39"/>
      <c r="VTC189" s="39"/>
      <c r="VTD189" s="39"/>
      <c r="VTE189" s="39"/>
      <c r="VTF189" s="39"/>
      <c r="VTG189" s="39"/>
      <c r="VTH189" s="39"/>
      <c r="VTI189" s="39"/>
      <c r="VTJ189" s="39"/>
      <c r="VTK189" s="39"/>
      <c r="VTL189" s="39"/>
      <c r="VTM189" s="39"/>
      <c r="VTN189" s="39"/>
      <c r="VTO189" s="39"/>
      <c r="VTP189" s="39"/>
      <c r="VTQ189" s="39"/>
      <c r="VTR189" s="39"/>
      <c r="VTS189" s="39"/>
      <c r="VTT189" s="39"/>
      <c r="VTU189" s="39"/>
      <c r="VTV189" s="39"/>
      <c r="VTW189" s="39"/>
      <c r="VTX189" s="39"/>
      <c r="VTY189" s="39"/>
      <c r="VTZ189" s="39"/>
      <c r="VUA189" s="39"/>
      <c r="VUB189" s="39"/>
      <c r="VUC189" s="39"/>
      <c r="VUD189" s="39"/>
      <c r="VUE189" s="39"/>
      <c r="VUF189" s="39"/>
      <c r="VUG189" s="39"/>
      <c r="VUH189" s="39"/>
      <c r="VUI189" s="39"/>
      <c r="VUJ189" s="39"/>
      <c r="VUK189" s="39"/>
      <c r="VUL189" s="39"/>
      <c r="VUM189" s="39"/>
      <c r="VUN189" s="39"/>
      <c r="VUO189" s="39"/>
      <c r="VUP189" s="39"/>
      <c r="VUQ189" s="39"/>
      <c r="VUR189" s="39"/>
      <c r="VUS189" s="39"/>
      <c r="VUT189" s="39"/>
      <c r="VUU189" s="39"/>
      <c r="VUV189" s="39"/>
      <c r="VUW189" s="39"/>
      <c r="VUX189" s="39"/>
      <c r="VUY189" s="39"/>
      <c r="VUZ189" s="39"/>
      <c r="VVA189" s="39"/>
      <c r="VVB189" s="39"/>
      <c r="VVC189" s="39"/>
      <c r="VVD189" s="39"/>
      <c r="VVE189" s="39"/>
      <c r="VVF189" s="39"/>
      <c r="VVG189" s="39"/>
      <c r="VVH189" s="39"/>
      <c r="VVI189" s="39"/>
      <c r="VVJ189" s="39"/>
      <c r="VVK189" s="39"/>
      <c r="VVL189" s="39"/>
      <c r="VVM189" s="39"/>
      <c r="VVN189" s="39"/>
      <c r="VVO189" s="39"/>
      <c r="VVP189" s="39"/>
      <c r="VVQ189" s="39"/>
      <c r="VVR189" s="39"/>
      <c r="VVS189" s="39"/>
      <c r="VVT189" s="39"/>
      <c r="VVU189" s="39"/>
      <c r="VVV189" s="39"/>
      <c r="VVW189" s="39"/>
      <c r="VVX189" s="39"/>
      <c r="VVY189" s="39"/>
      <c r="VVZ189" s="39"/>
      <c r="VWA189" s="39"/>
      <c r="VWB189" s="39"/>
      <c r="VWC189" s="39"/>
      <c r="VWD189" s="39"/>
      <c r="VWE189" s="39"/>
      <c r="VWF189" s="39"/>
      <c r="VWG189" s="39"/>
      <c r="VWH189" s="39"/>
      <c r="VWI189" s="39"/>
      <c r="VWJ189" s="39"/>
      <c r="VWK189" s="39"/>
      <c r="VWL189" s="39"/>
      <c r="VWM189" s="39"/>
      <c r="VWN189" s="39"/>
      <c r="VWO189" s="39"/>
      <c r="VWP189" s="39"/>
      <c r="VWQ189" s="39"/>
      <c r="VWR189" s="39"/>
      <c r="VWS189" s="39"/>
      <c r="VWT189" s="39"/>
      <c r="VWU189" s="39"/>
      <c r="VWV189" s="39"/>
      <c r="VWW189" s="39"/>
      <c r="VWX189" s="39"/>
      <c r="VWY189" s="39"/>
      <c r="VWZ189" s="39"/>
      <c r="VXA189" s="39"/>
      <c r="VXB189" s="39"/>
      <c r="VXC189" s="39"/>
      <c r="VXD189" s="39"/>
      <c r="VXE189" s="39"/>
      <c r="VXF189" s="39"/>
      <c r="VXG189" s="39"/>
      <c r="VXH189" s="39"/>
      <c r="VXI189" s="39"/>
      <c r="VXJ189" s="39"/>
      <c r="VXK189" s="39"/>
      <c r="VXL189" s="39"/>
      <c r="VXM189" s="39"/>
      <c r="VXN189" s="39"/>
      <c r="VXO189" s="39"/>
      <c r="VXP189" s="39"/>
      <c r="VXQ189" s="39"/>
      <c r="VXR189" s="39"/>
      <c r="VXS189" s="39"/>
      <c r="VXT189" s="39"/>
      <c r="VXU189" s="39"/>
      <c r="VXV189" s="39"/>
      <c r="VXW189" s="39"/>
      <c r="VXX189" s="39"/>
      <c r="VXY189" s="39"/>
      <c r="VXZ189" s="39"/>
      <c r="VYA189" s="39"/>
      <c r="VYB189" s="39"/>
      <c r="VYC189" s="39"/>
      <c r="VYD189" s="39"/>
      <c r="VYE189" s="39"/>
      <c r="VYF189" s="39"/>
      <c r="VYG189" s="39"/>
      <c r="VYH189" s="39"/>
      <c r="VYI189" s="39"/>
      <c r="VYJ189" s="39"/>
      <c r="VYK189" s="39"/>
      <c r="VYL189" s="39"/>
      <c r="VYM189" s="39"/>
      <c r="VYN189" s="39"/>
      <c r="VYO189" s="39"/>
      <c r="VYP189" s="39"/>
      <c r="VYQ189" s="39"/>
      <c r="VYR189" s="39"/>
      <c r="VYS189" s="39"/>
      <c r="VYT189" s="39"/>
      <c r="VYU189" s="39"/>
      <c r="VYV189" s="39"/>
      <c r="VYW189" s="39"/>
      <c r="VYX189" s="39"/>
      <c r="VYY189" s="39"/>
      <c r="VYZ189" s="39"/>
      <c r="VZA189" s="39"/>
      <c r="VZB189" s="39"/>
      <c r="VZC189" s="39"/>
      <c r="VZD189" s="39"/>
      <c r="VZE189" s="39"/>
      <c r="VZF189" s="39"/>
      <c r="VZG189" s="39"/>
      <c r="VZH189" s="39"/>
      <c r="VZI189" s="39"/>
      <c r="VZJ189" s="39"/>
      <c r="VZK189" s="39"/>
      <c r="VZL189" s="39"/>
      <c r="VZM189" s="39"/>
      <c r="VZN189" s="39"/>
      <c r="VZO189" s="39"/>
      <c r="VZP189" s="39"/>
      <c r="VZQ189" s="39"/>
      <c r="VZR189" s="39"/>
      <c r="VZS189" s="39"/>
      <c r="VZT189" s="39"/>
      <c r="VZU189" s="39"/>
      <c r="VZV189" s="39"/>
      <c r="VZW189" s="39"/>
      <c r="VZX189" s="39"/>
      <c r="VZY189" s="39"/>
      <c r="VZZ189" s="39"/>
      <c r="WAA189" s="39"/>
      <c r="WAB189" s="39"/>
      <c r="WAC189" s="39"/>
      <c r="WAD189" s="39"/>
      <c r="WAE189" s="39"/>
      <c r="WAF189" s="39"/>
      <c r="WAG189" s="39"/>
      <c r="WAH189" s="39"/>
      <c r="WAI189" s="39"/>
      <c r="WAJ189" s="39"/>
      <c r="WAK189" s="39"/>
      <c r="WAL189" s="39"/>
      <c r="WAM189" s="39"/>
      <c r="WAN189" s="39"/>
      <c r="WAO189" s="39"/>
      <c r="WAP189" s="39"/>
      <c r="WAQ189" s="39"/>
      <c r="WAR189" s="39"/>
      <c r="WAS189" s="39"/>
      <c r="WAT189" s="39"/>
      <c r="WAU189" s="39"/>
      <c r="WAV189" s="39"/>
      <c r="WAW189" s="39"/>
      <c r="WAX189" s="39"/>
      <c r="WAY189" s="39"/>
      <c r="WAZ189" s="39"/>
      <c r="WBA189" s="39"/>
      <c r="WBB189" s="39"/>
      <c r="WBC189" s="39"/>
      <c r="WBD189" s="39"/>
      <c r="WBE189" s="39"/>
      <c r="WBF189" s="39"/>
      <c r="WBG189" s="39"/>
      <c r="WBH189" s="39"/>
      <c r="WBI189" s="39"/>
      <c r="WBJ189" s="39"/>
      <c r="WBK189" s="39"/>
      <c r="WBL189" s="39"/>
      <c r="WBM189" s="39"/>
      <c r="WBN189" s="39"/>
      <c r="WBO189" s="39"/>
      <c r="WBP189" s="39"/>
      <c r="WBQ189" s="39"/>
      <c r="WBR189" s="39"/>
      <c r="WBS189" s="39"/>
      <c r="WBT189" s="39"/>
      <c r="WBU189" s="39"/>
      <c r="WBV189" s="39"/>
      <c r="WBW189" s="39"/>
      <c r="WBX189" s="39"/>
      <c r="WBY189" s="39"/>
      <c r="WBZ189" s="39"/>
      <c r="WCA189" s="39"/>
      <c r="WCB189" s="39"/>
      <c r="WCC189" s="39"/>
      <c r="WCD189" s="39"/>
      <c r="WCE189" s="39"/>
      <c r="WCF189" s="39"/>
      <c r="WCG189" s="39"/>
      <c r="WCH189" s="39"/>
      <c r="WCI189" s="39"/>
      <c r="WCJ189" s="39"/>
      <c r="WCK189" s="39"/>
      <c r="WCL189" s="39"/>
      <c r="WCM189" s="39"/>
      <c r="WCN189" s="39"/>
      <c r="WCO189" s="39"/>
      <c r="WCP189" s="39"/>
      <c r="WCQ189" s="39"/>
      <c r="WCR189" s="39"/>
      <c r="WCS189" s="39"/>
      <c r="WCT189" s="39"/>
      <c r="WCU189" s="39"/>
      <c r="WCV189" s="39"/>
      <c r="WCW189" s="39"/>
      <c r="WCX189" s="39"/>
      <c r="WCY189" s="39"/>
      <c r="WCZ189" s="39"/>
      <c r="WDA189" s="39"/>
      <c r="WDB189" s="39"/>
      <c r="WDC189" s="39"/>
      <c r="WDD189" s="39"/>
      <c r="WDE189" s="39"/>
      <c r="WDF189" s="39"/>
      <c r="WDG189" s="39"/>
      <c r="WDH189" s="39"/>
      <c r="WDI189" s="39"/>
      <c r="WDJ189" s="39"/>
      <c r="WDK189" s="39"/>
      <c r="WDL189" s="39"/>
      <c r="WDM189" s="39"/>
      <c r="WDN189" s="39"/>
      <c r="WDO189" s="39"/>
      <c r="WDP189" s="39"/>
      <c r="WDQ189" s="39"/>
      <c r="WDR189" s="39"/>
      <c r="WDS189" s="39"/>
      <c r="WDT189" s="39"/>
      <c r="WDU189" s="39"/>
      <c r="WDV189" s="39"/>
      <c r="WDW189" s="39"/>
      <c r="WDX189" s="39"/>
      <c r="WDY189" s="39"/>
      <c r="WDZ189" s="39"/>
      <c r="WEA189" s="39"/>
      <c r="WEB189" s="39"/>
      <c r="WEC189" s="39"/>
      <c r="WED189" s="39"/>
      <c r="WEE189" s="39"/>
      <c r="WEF189" s="39"/>
      <c r="WEG189" s="39"/>
      <c r="WEH189" s="39"/>
      <c r="WEI189" s="39"/>
      <c r="WEJ189" s="39"/>
      <c r="WEK189" s="39"/>
      <c r="WEL189" s="39"/>
      <c r="WEM189" s="39"/>
      <c r="WEN189" s="39"/>
      <c r="WEO189" s="39"/>
      <c r="WEP189" s="39"/>
      <c r="WEQ189" s="39"/>
      <c r="WER189" s="39"/>
      <c r="WES189" s="39"/>
      <c r="WET189" s="39"/>
      <c r="WEU189" s="39"/>
      <c r="WEV189" s="39"/>
      <c r="WEW189" s="39"/>
      <c r="WEX189" s="39"/>
      <c r="WEY189" s="39"/>
      <c r="WEZ189" s="39"/>
      <c r="WFA189" s="39"/>
      <c r="WFB189" s="39"/>
      <c r="WFC189" s="39"/>
      <c r="WFD189" s="39"/>
      <c r="WFE189" s="39"/>
      <c r="WFF189" s="39"/>
      <c r="WFG189" s="39"/>
      <c r="WFH189" s="39"/>
      <c r="WFI189" s="39"/>
      <c r="WFJ189" s="39"/>
      <c r="WFK189" s="39"/>
      <c r="WFL189" s="39"/>
      <c r="WFM189" s="39"/>
      <c r="WFN189" s="39"/>
      <c r="WFO189" s="39"/>
      <c r="WFP189" s="39"/>
      <c r="WFQ189" s="39"/>
      <c r="WFR189" s="39"/>
      <c r="WFS189" s="39"/>
      <c r="WFT189" s="39"/>
      <c r="WFU189" s="39"/>
      <c r="WFV189" s="39"/>
      <c r="WFW189" s="39"/>
      <c r="WFX189" s="39"/>
      <c r="WFY189" s="39"/>
      <c r="WFZ189" s="39"/>
      <c r="WGA189" s="39"/>
      <c r="WGB189" s="39"/>
      <c r="WGC189" s="39"/>
      <c r="WGD189" s="39"/>
      <c r="WGE189" s="39"/>
      <c r="WGF189" s="39"/>
      <c r="WGG189" s="39"/>
      <c r="WGH189" s="39"/>
      <c r="WGI189" s="39"/>
      <c r="WGJ189" s="39"/>
      <c r="WGK189" s="39"/>
      <c r="WGL189" s="39"/>
      <c r="WGM189" s="39"/>
      <c r="WGN189" s="39"/>
      <c r="WGO189" s="39"/>
      <c r="WGP189" s="39"/>
      <c r="WGQ189" s="39"/>
      <c r="WGR189" s="39"/>
      <c r="WGS189" s="39"/>
      <c r="WGT189" s="39"/>
      <c r="WGU189" s="39"/>
      <c r="WGV189" s="39"/>
      <c r="WGW189" s="39"/>
      <c r="WGX189" s="39"/>
      <c r="WGY189" s="39"/>
      <c r="WGZ189" s="39"/>
      <c r="WHA189" s="39"/>
      <c r="WHB189" s="39"/>
      <c r="WHC189" s="39"/>
      <c r="WHD189" s="39"/>
      <c r="WHE189" s="39"/>
      <c r="WHF189" s="39"/>
      <c r="WHG189" s="39"/>
      <c r="WHH189" s="39"/>
      <c r="WHI189" s="39"/>
      <c r="WHJ189" s="39"/>
      <c r="WHK189" s="39"/>
      <c r="WHL189" s="39"/>
      <c r="WHM189" s="39"/>
      <c r="WHN189" s="39"/>
      <c r="WHO189" s="39"/>
      <c r="WHP189" s="39"/>
      <c r="WHQ189" s="39"/>
      <c r="WHR189" s="39"/>
      <c r="WHS189" s="39"/>
      <c r="WHT189" s="39"/>
      <c r="WHU189" s="39"/>
      <c r="WHV189" s="39"/>
      <c r="WHW189" s="39"/>
      <c r="WHX189" s="39"/>
      <c r="WHY189" s="39"/>
      <c r="WHZ189" s="39"/>
      <c r="WIA189" s="39"/>
      <c r="WIB189" s="39"/>
      <c r="WIC189" s="39"/>
      <c r="WID189" s="39"/>
      <c r="WIE189" s="39"/>
      <c r="WIF189" s="39"/>
      <c r="WIG189" s="39"/>
      <c r="WIH189" s="39"/>
      <c r="WII189" s="39"/>
      <c r="WIJ189" s="39"/>
      <c r="WIK189" s="39"/>
      <c r="WIL189" s="39"/>
      <c r="WIM189" s="39"/>
      <c r="WIN189" s="39"/>
      <c r="WIO189" s="39"/>
      <c r="WIP189" s="39"/>
      <c r="WIQ189" s="39"/>
      <c r="WIR189" s="39"/>
      <c r="WIS189" s="39"/>
      <c r="WIT189" s="39"/>
      <c r="WIU189" s="39"/>
      <c r="WIV189" s="39"/>
      <c r="WIW189" s="39"/>
      <c r="WIX189" s="39"/>
      <c r="WIY189" s="39"/>
      <c r="WIZ189" s="39"/>
      <c r="WJA189" s="39"/>
      <c r="WJB189" s="39"/>
      <c r="WJC189" s="39"/>
      <c r="WJD189" s="39"/>
      <c r="WJE189" s="39"/>
      <c r="WJF189" s="39"/>
      <c r="WJG189" s="39"/>
      <c r="WJH189" s="39"/>
      <c r="WJI189" s="39"/>
      <c r="WJJ189" s="39"/>
      <c r="WJK189" s="39"/>
      <c r="WJL189" s="39"/>
      <c r="WJM189" s="39"/>
      <c r="WJN189" s="39"/>
      <c r="WJO189" s="39"/>
      <c r="WJP189" s="39"/>
      <c r="WJQ189" s="39"/>
      <c r="WJR189" s="39"/>
      <c r="WJS189" s="39"/>
      <c r="WJT189" s="39"/>
      <c r="WJU189" s="39"/>
      <c r="WJV189" s="39"/>
      <c r="WJW189" s="39"/>
      <c r="WJX189" s="39"/>
      <c r="WJY189" s="39"/>
      <c r="WJZ189" s="39"/>
      <c r="WKA189" s="39"/>
      <c r="WKB189" s="39"/>
      <c r="WKC189" s="39"/>
      <c r="WKD189" s="39"/>
      <c r="WKE189" s="39"/>
      <c r="WKF189" s="39"/>
      <c r="WKG189" s="39"/>
      <c r="WKH189" s="39"/>
      <c r="WKI189" s="39"/>
      <c r="WKJ189" s="39"/>
      <c r="WKK189" s="39"/>
      <c r="WKL189" s="39"/>
      <c r="WKM189" s="39"/>
      <c r="WKN189" s="39"/>
      <c r="WKO189" s="39"/>
      <c r="WKP189" s="39"/>
      <c r="WKQ189" s="39"/>
      <c r="WKR189" s="39"/>
      <c r="WKS189" s="39"/>
      <c r="WKT189" s="39"/>
      <c r="WKU189" s="39"/>
      <c r="WKV189" s="39"/>
      <c r="WKW189" s="39"/>
      <c r="WKX189" s="39"/>
      <c r="WKY189" s="39"/>
      <c r="WKZ189" s="39"/>
      <c r="WLA189" s="39"/>
      <c r="WLB189" s="39"/>
      <c r="WLC189" s="39"/>
      <c r="WLD189" s="39"/>
      <c r="WLE189" s="39"/>
      <c r="WLF189" s="39"/>
      <c r="WLG189" s="39"/>
      <c r="WLH189" s="39"/>
      <c r="WLI189" s="39"/>
      <c r="WLJ189" s="39"/>
      <c r="WLK189" s="39"/>
      <c r="WLL189" s="39"/>
      <c r="WLM189" s="39"/>
      <c r="WLN189" s="39"/>
      <c r="WLO189" s="39"/>
      <c r="WLP189" s="39"/>
      <c r="WLQ189" s="39"/>
      <c r="WLR189" s="39"/>
      <c r="WLS189" s="39"/>
      <c r="WLT189" s="39"/>
      <c r="WLU189" s="39"/>
      <c r="WLV189" s="39"/>
      <c r="WLW189" s="39"/>
      <c r="WLX189" s="39"/>
      <c r="WLY189" s="39"/>
      <c r="WLZ189" s="39"/>
      <c r="WMA189" s="39"/>
      <c r="WMB189" s="39"/>
      <c r="WMC189" s="39"/>
      <c r="WMD189" s="39"/>
      <c r="WME189" s="39"/>
      <c r="WMF189" s="39"/>
      <c r="WMG189" s="39"/>
      <c r="WMH189" s="39"/>
      <c r="WMI189" s="39"/>
      <c r="WMJ189" s="39"/>
      <c r="WMK189" s="39"/>
      <c r="WML189" s="39"/>
      <c r="WMM189" s="39"/>
      <c r="WMN189" s="39"/>
      <c r="WMO189" s="39"/>
      <c r="WMP189" s="39"/>
      <c r="WMQ189" s="39"/>
      <c r="WMR189" s="39"/>
      <c r="WMS189" s="39"/>
      <c r="WMT189" s="39"/>
      <c r="WMU189" s="39"/>
      <c r="WMV189" s="39"/>
      <c r="WMW189" s="39"/>
      <c r="WMX189" s="39"/>
      <c r="WMY189" s="39"/>
      <c r="WMZ189" s="39"/>
      <c r="WNA189" s="39"/>
      <c r="WNB189" s="39"/>
      <c r="WNC189" s="39"/>
      <c r="WND189" s="39"/>
      <c r="WNE189" s="39"/>
      <c r="WNF189" s="39"/>
      <c r="WNG189" s="39"/>
      <c r="WNH189" s="39"/>
      <c r="WNI189" s="39"/>
      <c r="WNJ189" s="39"/>
      <c r="WNK189" s="39"/>
      <c r="WNL189" s="39"/>
      <c r="WNM189" s="39"/>
      <c r="WNN189" s="39"/>
      <c r="WNO189" s="39"/>
      <c r="WNP189" s="39"/>
      <c r="WNQ189" s="39"/>
      <c r="WNR189" s="39"/>
      <c r="WNS189" s="39"/>
      <c r="WNT189" s="39"/>
      <c r="WNU189" s="39"/>
      <c r="WNV189" s="39"/>
      <c r="WNW189" s="39"/>
      <c r="WNX189" s="39"/>
      <c r="WNY189" s="39"/>
      <c r="WNZ189" s="39"/>
      <c r="WOA189" s="39"/>
      <c r="WOB189" s="39"/>
      <c r="WOC189" s="39"/>
      <c r="WOD189" s="39"/>
      <c r="WOE189" s="39"/>
      <c r="WOF189" s="39"/>
      <c r="WOG189" s="39"/>
      <c r="WOH189" s="39"/>
      <c r="WOI189" s="39"/>
      <c r="WOJ189" s="39"/>
      <c r="WOK189" s="39"/>
      <c r="WOL189" s="39"/>
      <c r="WOM189" s="39"/>
      <c r="WON189" s="39"/>
      <c r="WOO189" s="39"/>
      <c r="WOP189" s="39"/>
      <c r="WOQ189" s="39"/>
      <c r="WOR189" s="39"/>
      <c r="WOS189" s="39"/>
      <c r="WOT189" s="39"/>
      <c r="WOU189" s="39"/>
      <c r="WOV189" s="39"/>
      <c r="WOW189" s="39"/>
      <c r="WOX189" s="39"/>
      <c r="WOY189" s="39"/>
      <c r="WOZ189" s="39"/>
      <c r="WPA189" s="39"/>
      <c r="WPB189" s="39"/>
      <c r="WPC189" s="39"/>
      <c r="WPD189" s="39"/>
      <c r="WPE189" s="39"/>
      <c r="WPF189" s="39"/>
      <c r="WPG189" s="39"/>
      <c r="WPH189" s="39"/>
      <c r="WPI189" s="39"/>
      <c r="WPJ189" s="39"/>
      <c r="WPK189" s="39"/>
      <c r="WPL189" s="39"/>
      <c r="WPM189" s="39"/>
      <c r="WPN189" s="39"/>
      <c r="WPO189" s="39"/>
      <c r="WPP189" s="39"/>
      <c r="WPQ189" s="39"/>
      <c r="WPR189" s="39"/>
      <c r="WPS189" s="39"/>
      <c r="WPT189" s="39"/>
      <c r="WPU189" s="39"/>
      <c r="WPV189" s="39"/>
      <c r="WPW189" s="39"/>
      <c r="WPX189" s="39"/>
      <c r="WPY189" s="39"/>
      <c r="WPZ189" s="39"/>
      <c r="WQA189" s="39"/>
      <c r="WQB189" s="39"/>
      <c r="WQC189" s="39"/>
      <c r="WQD189" s="39"/>
      <c r="WQE189" s="39"/>
      <c r="WQF189" s="39"/>
      <c r="WQG189" s="39"/>
      <c r="WQH189" s="39"/>
      <c r="WQI189" s="39"/>
      <c r="WQJ189" s="39"/>
      <c r="WQK189" s="39"/>
      <c r="WQL189" s="39"/>
      <c r="WQM189" s="39"/>
      <c r="WQN189" s="39"/>
      <c r="WQO189" s="39"/>
      <c r="WQP189" s="39"/>
      <c r="WQQ189" s="39"/>
      <c r="WQR189" s="39"/>
      <c r="WQS189" s="39"/>
      <c r="WQT189" s="39"/>
      <c r="WQU189" s="39"/>
      <c r="WQV189" s="39"/>
      <c r="WQW189" s="39"/>
      <c r="WQX189" s="39"/>
      <c r="WQY189" s="39"/>
      <c r="WQZ189" s="39"/>
      <c r="WRA189" s="39"/>
      <c r="WRB189" s="39"/>
      <c r="WRC189" s="39"/>
      <c r="WRD189" s="39"/>
      <c r="WRE189" s="39"/>
      <c r="WRF189" s="39"/>
      <c r="WRG189" s="39"/>
      <c r="WRH189" s="39"/>
      <c r="WRI189" s="39"/>
      <c r="WRJ189" s="39"/>
      <c r="WRK189" s="39"/>
      <c r="WRL189" s="39"/>
      <c r="WRM189" s="39"/>
      <c r="WRN189" s="39"/>
      <c r="WRO189" s="39"/>
      <c r="WRP189" s="39"/>
      <c r="WRQ189" s="39"/>
      <c r="WRR189" s="39"/>
      <c r="WRS189" s="39"/>
      <c r="WRT189" s="39"/>
      <c r="WRU189" s="39"/>
      <c r="WRV189" s="39"/>
      <c r="WRW189" s="39"/>
      <c r="WRX189" s="39"/>
      <c r="WRY189" s="39"/>
      <c r="WRZ189" s="39"/>
      <c r="WSA189" s="39"/>
      <c r="WSB189" s="39"/>
      <c r="WSC189" s="39"/>
      <c r="WSD189" s="39"/>
      <c r="WSE189" s="39"/>
      <c r="WSF189" s="39"/>
      <c r="WSG189" s="39"/>
      <c r="WSH189" s="39"/>
      <c r="WSI189" s="39"/>
      <c r="WSJ189" s="39"/>
      <c r="WSK189" s="39"/>
      <c r="WSL189" s="39"/>
      <c r="WSM189" s="39"/>
      <c r="WSN189" s="39"/>
      <c r="WSO189" s="39"/>
      <c r="WSP189" s="39"/>
      <c r="WSQ189" s="39"/>
      <c r="WSR189" s="39"/>
      <c r="WSS189" s="39"/>
      <c r="WST189" s="39"/>
      <c r="WSU189" s="39"/>
      <c r="WSV189" s="39"/>
      <c r="WSW189" s="39"/>
      <c r="WSX189" s="39"/>
      <c r="WSY189" s="39"/>
      <c r="WSZ189" s="39"/>
      <c r="WTA189" s="39"/>
      <c r="WTB189" s="39"/>
      <c r="WTC189" s="39"/>
      <c r="WTD189" s="39"/>
      <c r="WTE189" s="39"/>
      <c r="WTF189" s="39"/>
      <c r="WTG189" s="39"/>
      <c r="WTH189" s="39"/>
      <c r="WTI189" s="39"/>
      <c r="WTJ189" s="39"/>
      <c r="WTK189" s="39"/>
      <c r="WTL189" s="39"/>
      <c r="WTM189" s="39"/>
      <c r="WTN189" s="39"/>
      <c r="WTO189" s="39"/>
      <c r="WTP189" s="39"/>
      <c r="WTQ189" s="39"/>
      <c r="WTR189" s="39"/>
      <c r="WTS189" s="39"/>
      <c r="WTT189" s="39"/>
      <c r="WTU189" s="39"/>
      <c r="WTV189" s="39"/>
      <c r="WTW189" s="39"/>
      <c r="WTX189" s="39"/>
      <c r="WTY189" s="39"/>
      <c r="WTZ189" s="39"/>
      <c r="WUA189" s="39"/>
      <c r="WUB189" s="39"/>
      <c r="WUC189" s="39"/>
      <c r="WUD189" s="39"/>
      <c r="WUE189" s="39"/>
      <c r="WUF189" s="39"/>
      <c r="WUG189" s="39"/>
      <c r="WUH189" s="39"/>
      <c r="WUI189" s="39"/>
      <c r="WUJ189" s="39"/>
      <c r="WUK189" s="39"/>
      <c r="WUL189" s="39"/>
      <c r="WUM189" s="39"/>
      <c r="WUN189" s="39"/>
      <c r="WUO189" s="39"/>
      <c r="WUP189" s="39"/>
      <c r="WUQ189" s="39"/>
      <c r="WUR189" s="39"/>
      <c r="WUS189" s="39"/>
      <c r="WUT189" s="39"/>
      <c r="WUU189" s="39"/>
      <c r="WUV189" s="39"/>
      <c r="WUW189" s="39"/>
      <c r="WUX189" s="39"/>
      <c r="WUY189" s="39"/>
      <c r="WUZ189" s="39"/>
      <c r="WVA189" s="39"/>
      <c r="WVB189" s="39"/>
      <c r="WVC189" s="39"/>
      <c r="WVD189" s="39"/>
      <c r="WVE189" s="39"/>
      <c r="WVF189" s="39"/>
      <c r="WVG189" s="39"/>
      <c r="WVH189" s="39"/>
      <c r="WVI189" s="39"/>
      <c r="WVJ189" s="39"/>
      <c r="WVK189" s="39"/>
      <c r="WVL189" s="39"/>
      <c r="WVM189" s="39"/>
      <c r="WVN189" s="39"/>
      <c r="WVO189" s="39"/>
      <c r="WVP189" s="39"/>
      <c r="WVQ189" s="39"/>
      <c r="WVR189" s="39"/>
      <c r="WVS189" s="39"/>
      <c r="WVT189" s="39"/>
      <c r="WVU189" s="39"/>
      <c r="WVV189" s="39"/>
      <c r="WVW189" s="39"/>
      <c r="WVX189" s="39"/>
      <c r="WVY189" s="39"/>
      <c r="WVZ189" s="39"/>
      <c r="WWA189" s="39"/>
      <c r="WWB189" s="39"/>
      <c r="WWC189" s="39"/>
      <c r="WWD189" s="39"/>
      <c r="WWE189" s="39"/>
      <c r="WWF189" s="39"/>
      <c r="WWG189" s="39"/>
      <c r="WWH189" s="39"/>
      <c r="WWI189" s="39"/>
      <c r="WWJ189" s="39"/>
      <c r="WWK189" s="39"/>
      <c r="WWL189" s="39"/>
      <c r="WWM189" s="39"/>
      <c r="WWN189" s="39"/>
      <c r="WWO189" s="39"/>
      <c r="WWP189" s="39"/>
      <c r="WWQ189" s="39"/>
      <c r="WWR189" s="39"/>
      <c r="WWS189" s="39"/>
      <c r="WWT189" s="39"/>
      <c r="WWU189" s="39"/>
      <c r="WWV189" s="39"/>
      <c r="WWW189" s="39"/>
      <c r="WWX189" s="39"/>
      <c r="WWY189" s="39"/>
      <c r="WWZ189" s="39"/>
      <c r="WXA189" s="39"/>
      <c r="WXB189" s="39"/>
      <c r="WXC189" s="39"/>
      <c r="WXD189" s="39"/>
      <c r="WXE189" s="39"/>
      <c r="WXF189" s="39"/>
      <c r="WXG189" s="39"/>
      <c r="WXH189" s="39"/>
      <c r="WXI189" s="39"/>
      <c r="WXJ189" s="39"/>
      <c r="WXK189" s="39"/>
      <c r="WXL189" s="39"/>
      <c r="WXM189" s="39"/>
      <c r="WXN189" s="39"/>
      <c r="WXO189" s="39"/>
      <c r="WXP189" s="39"/>
      <c r="WXQ189" s="39"/>
      <c r="WXR189" s="39"/>
      <c r="WXS189" s="39"/>
      <c r="WXT189" s="39"/>
      <c r="WXU189" s="39"/>
      <c r="WXV189" s="39"/>
      <c r="WXW189" s="39"/>
      <c r="WXX189" s="39"/>
      <c r="WXY189" s="39"/>
      <c r="WXZ189" s="39"/>
      <c r="WYA189" s="39"/>
      <c r="WYB189" s="39"/>
      <c r="WYC189" s="39"/>
      <c r="WYD189" s="39"/>
      <c r="WYE189" s="39"/>
      <c r="WYF189" s="39"/>
      <c r="WYG189" s="39"/>
      <c r="WYH189" s="39"/>
      <c r="WYI189" s="39"/>
      <c r="WYJ189" s="39"/>
      <c r="WYK189" s="39"/>
      <c r="WYL189" s="39"/>
      <c r="WYM189" s="39"/>
      <c r="WYN189" s="39"/>
      <c r="WYO189" s="39"/>
      <c r="WYP189" s="39"/>
      <c r="WYQ189" s="39"/>
      <c r="WYR189" s="39"/>
      <c r="WYS189" s="39"/>
      <c r="WYT189" s="39"/>
      <c r="WYU189" s="39"/>
      <c r="WYV189" s="39"/>
      <c r="WYW189" s="39"/>
      <c r="WYX189" s="39"/>
      <c r="WYY189" s="39"/>
      <c r="WYZ189" s="39"/>
      <c r="WZA189" s="39"/>
      <c r="WZB189" s="39"/>
      <c r="WZC189" s="39"/>
      <c r="WZD189" s="39"/>
      <c r="WZE189" s="39"/>
      <c r="WZF189" s="39"/>
      <c r="WZG189" s="39"/>
      <c r="WZH189" s="39"/>
      <c r="WZI189" s="39"/>
      <c r="WZJ189" s="39"/>
      <c r="WZK189" s="39"/>
      <c r="WZL189" s="39"/>
      <c r="WZM189" s="39"/>
      <c r="WZN189" s="39"/>
      <c r="WZO189" s="39"/>
      <c r="WZP189" s="39"/>
      <c r="WZQ189" s="39"/>
      <c r="WZR189" s="39"/>
      <c r="WZS189" s="39"/>
      <c r="WZT189" s="39"/>
      <c r="WZU189" s="39"/>
      <c r="WZV189" s="39"/>
      <c r="WZW189" s="39"/>
      <c r="WZX189" s="39"/>
      <c r="WZY189" s="39"/>
      <c r="WZZ189" s="39"/>
      <c r="XAA189" s="39"/>
      <c r="XAB189" s="39"/>
      <c r="XAC189" s="39"/>
      <c r="XAD189" s="39"/>
      <c r="XAE189" s="39"/>
      <c r="XAF189" s="39"/>
      <c r="XAG189" s="39"/>
      <c r="XAH189" s="39"/>
      <c r="XAI189" s="39"/>
      <c r="XAJ189" s="39"/>
      <c r="XAK189" s="39"/>
      <c r="XAL189" s="39"/>
      <c r="XAM189" s="39"/>
      <c r="XAN189" s="39"/>
      <c r="XAO189" s="39"/>
      <c r="XAP189" s="39"/>
      <c r="XAQ189" s="39"/>
      <c r="XAR189" s="39"/>
      <c r="XAS189" s="39"/>
      <c r="XAT189" s="39"/>
      <c r="XAU189" s="39"/>
      <c r="XAV189" s="39"/>
      <c r="XAW189" s="39"/>
      <c r="XAX189" s="39"/>
      <c r="XAY189" s="39"/>
      <c r="XAZ189" s="39"/>
      <c r="XBA189" s="39"/>
      <c r="XBB189" s="39"/>
      <c r="XBC189" s="39"/>
      <c r="XBD189" s="39"/>
      <c r="XBE189" s="39"/>
      <c r="XBF189" s="39"/>
      <c r="XBG189" s="39"/>
      <c r="XBH189" s="39"/>
      <c r="XBI189" s="39"/>
      <c r="XBJ189" s="39"/>
      <c r="XBK189" s="39"/>
      <c r="XBL189" s="39"/>
      <c r="XBM189" s="39"/>
      <c r="XBN189" s="39"/>
      <c r="XBO189" s="39"/>
      <c r="XBP189" s="39"/>
      <c r="XBQ189" s="39"/>
      <c r="XBR189" s="39"/>
      <c r="XBS189" s="39"/>
      <c r="XBT189" s="39"/>
      <c r="XBU189" s="39"/>
      <c r="XBV189" s="39"/>
      <c r="XBW189" s="39"/>
      <c r="XBX189" s="39"/>
      <c r="XBY189" s="39"/>
      <c r="XBZ189" s="39"/>
      <c r="XCA189" s="39"/>
      <c r="XCB189" s="39"/>
      <c r="XCC189" s="39"/>
      <c r="XCD189" s="39"/>
      <c r="XCE189" s="39"/>
      <c r="XCF189" s="39"/>
      <c r="XCG189" s="39"/>
      <c r="XCH189" s="39"/>
      <c r="XCI189" s="39"/>
      <c r="XCJ189" s="39"/>
      <c r="XCK189" s="39"/>
      <c r="XCL189" s="39"/>
      <c r="XCM189" s="39"/>
      <c r="XCN189" s="39"/>
      <c r="XCO189" s="39"/>
      <c r="XCP189" s="39"/>
      <c r="XCQ189" s="39"/>
      <c r="XCR189" s="39"/>
      <c r="XCS189" s="39"/>
      <c r="XCT189" s="39"/>
      <c r="XCU189" s="39"/>
      <c r="XCV189" s="39"/>
      <c r="XCW189" s="39"/>
      <c r="XCX189" s="39"/>
      <c r="XCY189" s="39"/>
      <c r="XCZ189" s="39"/>
      <c r="XDA189" s="39"/>
      <c r="XDB189" s="39"/>
      <c r="XDC189" s="39"/>
      <c r="XDD189" s="39"/>
      <c r="XDE189" s="39"/>
      <c r="XDF189" s="39"/>
      <c r="XDG189" s="39"/>
      <c r="XDH189" s="39"/>
      <c r="XDI189" s="39"/>
      <c r="XDJ189" s="39"/>
      <c r="XDK189" s="39"/>
      <c r="XDL189" s="39"/>
      <c r="XDM189" s="39"/>
      <c r="XDN189" s="39"/>
      <c r="XDO189" s="39"/>
      <c r="XDP189" s="39"/>
      <c r="XDQ189" s="39"/>
      <c r="XDR189" s="39"/>
      <c r="XDS189" s="39"/>
      <c r="XDT189" s="39"/>
      <c r="XDU189" s="39"/>
      <c r="XDV189" s="39"/>
      <c r="XDW189" s="39"/>
      <c r="XDX189" s="39"/>
      <c r="XDY189" s="39"/>
      <c r="XDZ189" s="39"/>
      <c r="XEA189" s="39"/>
      <c r="XEB189" s="39"/>
      <c r="XEC189" s="39"/>
      <c r="XED189" s="39"/>
      <c r="XEE189" s="39"/>
      <c r="XEF189" s="39"/>
      <c r="XEG189" s="39"/>
      <c r="XEH189" s="39"/>
      <c r="XEI189" s="39"/>
      <c r="XEJ189" s="39"/>
      <c r="XEK189" s="39"/>
      <c r="XEL189" s="39"/>
      <c r="XEM189" s="39"/>
      <c r="XEN189" s="39"/>
      <c r="XEO189" s="39"/>
      <c r="XEP189" s="39"/>
      <c r="XEQ189" s="39"/>
      <c r="XER189" s="39"/>
      <c r="XES189" s="39"/>
      <c r="XET189" s="39"/>
      <c r="XEU189" s="39"/>
      <c r="XEV189" s="39"/>
      <c r="XEW189" s="39"/>
      <c r="XEX189" s="39"/>
      <c r="XEY189" s="39"/>
      <c r="XEZ189" s="39"/>
      <c r="XFA189" s="39"/>
      <c r="XFB189" s="39"/>
      <c r="XFC189" s="39"/>
    </row>
    <row r="190" spans="1:16383" ht="15" customHeight="1">
      <c r="A190" s="24" t="s">
        <v>1349</v>
      </c>
      <c r="B190" s="25"/>
      <c r="C190" s="26">
        <v>42668</v>
      </c>
      <c r="D190" s="38" t="s">
        <v>29</v>
      </c>
      <c r="E190" s="38" t="s">
        <v>94</v>
      </c>
      <c r="F190" s="38" t="s">
        <v>30</v>
      </c>
      <c r="G190" s="38">
        <v>8</v>
      </c>
      <c r="H190" s="39" t="s">
        <v>1350</v>
      </c>
      <c r="I190" s="39" t="s">
        <v>1351</v>
      </c>
      <c r="J190" s="39" t="s">
        <v>1352</v>
      </c>
      <c r="K190" s="39" t="s">
        <v>1353</v>
      </c>
      <c r="L190" s="39" t="s">
        <v>1354</v>
      </c>
      <c r="M190" s="45" t="s">
        <v>1355</v>
      </c>
      <c r="N190" s="166" t="s">
        <v>1235</v>
      </c>
      <c r="O190" s="94" t="s">
        <v>1235</v>
      </c>
      <c r="R190" s="42" t="s">
        <v>39</v>
      </c>
      <c r="U190" s="52" t="s">
        <v>1235</v>
      </c>
      <c r="W190" s="54" t="s">
        <v>1236</v>
      </c>
      <c r="Z190" s="174" t="s">
        <v>1235</v>
      </c>
      <c r="AA190" s="25">
        <f t="shared" si="2"/>
        <v>1</v>
      </c>
    </row>
    <row r="191" spans="1:16383" ht="15" customHeight="1">
      <c r="A191" s="24" t="s">
        <v>1356</v>
      </c>
      <c r="B191" s="25"/>
      <c r="C191" s="26">
        <v>42670</v>
      </c>
      <c r="D191" s="38" t="s">
        <v>29</v>
      </c>
      <c r="E191" s="38" t="s">
        <v>29</v>
      </c>
      <c r="F191" s="38" t="s">
        <v>47</v>
      </c>
      <c r="G191" s="38">
        <v>5</v>
      </c>
      <c r="H191" s="39" t="s">
        <v>781</v>
      </c>
      <c r="I191" s="39" t="s">
        <v>1357</v>
      </c>
      <c r="J191" s="39" t="s">
        <v>1358</v>
      </c>
      <c r="K191" s="39" t="s">
        <v>1359</v>
      </c>
      <c r="L191" s="39" t="s">
        <v>167</v>
      </c>
      <c r="M191" s="45" t="s">
        <v>1360</v>
      </c>
      <c r="N191" s="40" t="s">
        <v>1235</v>
      </c>
      <c r="O191" s="99" t="s">
        <v>1235</v>
      </c>
      <c r="R191" s="42" t="s">
        <v>77</v>
      </c>
      <c r="U191" s="52" t="s">
        <v>1235</v>
      </c>
      <c r="W191" s="54" t="s">
        <v>1236</v>
      </c>
      <c r="Z191" s="199" t="s">
        <v>1235</v>
      </c>
      <c r="AA191" s="25">
        <f t="shared" si="2"/>
        <v>0</v>
      </c>
    </row>
    <row r="192" spans="1:16383" ht="15" customHeight="1">
      <c r="A192" s="24" t="s">
        <v>1361</v>
      </c>
      <c r="B192" s="25"/>
      <c r="C192" s="26">
        <v>42724</v>
      </c>
      <c r="D192" s="38" t="s">
        <v>94</v>
      </c>
      <c r="E192" s="38" t="s">
        <v>29</v>
      </c>
      <c r="F192" s="38" t="s">
        <v>69</v>
      </c>
      <c r="G192" s="38">
        <v>1</v>
      </c>
      <c r="H192" s="39" t="s">
        <v>1362</v>
      </c>
      <c r="I192" s="39" t="s">
        <v>1363</v>
      </c>
      <c r="J192" s="39" t="s">
        <v>1364</v>
      </c>
      <c r="K192" s="193" t="s">
        <v>1365</v>
      </c>
      <c r="L192" s="39" t="s">
        <v>63</v>
      </c>
      <c r="M192" s="45" t="s">
        <v>1366</v>
      </c>
      <c r="N192" s="40" t="s">
        <v>1235</v>
      </c>
      <c r="O192" s="94" t="s">
        <v>1235</v>
      </c>
      <c r="R192" s="42" t="s">
        <v>77</v>
      </c>
      <c r="U192" s="52" t="s">
        <v>1235</v>
      </c>
      <c r="W192" s="243" t="s">
        <v>1236</v>
      </c>
      <c r="Z192" s="25" t="s">
        <v>1235</v>
      </c>
      <c r="AA192" s="25">
        <f t="shared" si="2"/>
        <v>0</v>
      </c>
    </row>
    <row r="193" spans="1:51" ht="15" customHeight="1">
      <c r="A193" s="389" t="s">
        <v>1367</v>
      </c>
      <c r="B193" s="25" t="s">
        <v>722</v>
      </c>
      <c r="C193" s="26">
        <v>42682</v>
      </c>
      <c r="D193" s="38" t="s">
        <v>94</v>
      </c>
      <c r="E193" s="38" t="s">
        <v>29</v>
      </c>
      <c r="F193" s="38" t="s">
        <v>30</v>
      </c>
      <c r="G193" s="38">
        <v>1</v>
      </c>
      <c r="H193" s="39" t="s">
        <v>299</v>
      </c>
      <c r="I193" s="39" t="s">
        <v>723</v>
      </c>
      <c r="J193" s="39" t="s">
        <v>724</v>
      </c>
      <c r="K193" s="193" t="s">
        <v>725</v>
      </c>
      <c r="L193" s="39" t="s">
        <v>201</v>
      </c>
      <c r="M193" s="45" t="s">
        <v>1368</v>
      </c>
      <c r="N193" s="40" t="s">
        <v>1369</v>
      </c>
      <c r="O193" s="390">
        <v>42598.416666666664</v>
      </c>
      <c r="R193" s="42" t="s">
        <v>39</v>
      </c>
      <c r="S193" s="43">
        <v>42401</v>
      </c>
      <c r="U193" s="52" t="s">
        <v>1235</v>
      </c>
      <c r="W193" s="54" t="s">
        <v>1236</v>
      </c>
      <c r="X193" s="50" t="s">
        <v>433</v>
      </c>
      <c r="Z193" s="25" t="s">
        <v>1235</v>
      </c>
      <c r="AA193" s="25">
        <f t="shared" si="2"/>
        <v>0</v>
      </c>
    </row>
    <row r="194" spans="1:51" ht="15" customHeight="1">
      <c r="A194" s="24" t="s">
        <v>1370</v>
      </c>
      <c r="B194" s="25"/>
      <c r="C194" s="26">
        <v>42677</v>
      </c>
      <c r="D194" s="38" t="s">
        <v>94</v>
      </c>
      <c r="E194" s="38" t="s">
        <v>29</v>
      </c>
      <c r="F194" s="38" t="s">
        <v>69</v>
      </c>
      <c r="G194" s="38">
        <v>1</v>
      </c>
      <c r="H194" s="39" t="s">
        <v>1371</v>
      </c>
      <c r="I194" s="39" t="s">
        <v>1372</v>
      </c>
      <c r="J194" s="39" t="s">
        <v>1373</v>
      </c>
      <c r="K194" s="193" t="s">
        <v>1374</v>
      </c>
      <c r="L194" s="39" t="s">
        <v>346</v>
      </c>
      <c r="M194" s="45" t="s">
        <v>1375</v>
      </c>
      <c r="N194" s="158" t="s">
        <v>13</v>
      </c>
      <c r="O194" s="94">
        <v>42678.4375</v>
      </c>
      <c r="R194" s="42" t="s">
        <v>77</v>
      </c>
      <c r="U194" s="52" t="s">
        <v>1235</v>
      </c>
      <c r="W194" s="54" t="s">
        <v>1376</v>
      </c>
      <c r="Z194" s="25" t="s">
        <v>1235</v>
      </c>
      <c r="AA194" s="25">
        <f t="shared" ref="AA194:AA203" si="3">IF(AND(E194="YES",X194&lt;&gt;"MWRA"),1,0)</f>
        <v>0</v>
      </c>
      <c r="AB194" s="24" t="s">
        <v>1242</v>
      </c>
    </row>
    <row r="195" spans="1:51" ht="15" customHeight="1">
      <c r="A195" s="24" t="s">
        <v>1377</v>
      </c>
      <c r="B195" s="25" t="s">
        <v>1287</v>
      </c>
      <c r="C195" s="26">
        <v>42669</v>
      </c>
      <c r="D195" s="38" t="s">
        <v>94</v>
      </c>
      <c r="E195" s="38" t="s">
        <v>29</v>
      </c>
      <c r="F195" s="38" t="s">
        <v>95</v>
      </c>
      <c r="G195" s="38">
        <v>1</v>
      </c>
      <c r="H195" s="39" t="s">
        <v>509</v>
      </c>
      <c r="I195" s="39" t="s">
        <v>1288</v>
      </c>
      <c r="J195" s="39" t="s">
        <v>1289</v>
      </c>
      <c r="K195" s="193" t="s">
        <v>1290</v>
      </c>
      <c r="L195" s="39" t="s">
        <v>63</v>
      </c>
      <c r="M195" s="45" t="s">
        <v>1378</v>
      </c>
      <c r="N195" s="40" t="s">
        <v>13</v>
      </c>
      <c r="O195" s="94">
        <v>42628.395833333336</v>
      </c>
      <c r="Q195" s="41" t="s">
        <v>122</v>
      </c>
      <c r="R195" s="42" t="s">
        <v>77</v>
      </c>
      <c r="S195" s="43">
        <v>42430</v>
      </c>
      <c r="U195" s="223" t="s">
        <v>1235</v>
      </c>
      <c r="W195" s="54" t="s">
        <v>1292</v>
      </c>
      <c r="X195" s="50" t="s">
        <v>43</v>
      </c>
      <c r="Z195" s="25" t="s">
        <v>1235</v>
      </c>
      <c r="AA195" s="25">
        <f t="shared" si="3"/>
        <v>0</v>
      </c>
    </row>
    <row r="196" spans="1:51" ht="15" customHeight="1">
      <c r="A196" s="24" t="s">
        <v>1379</v>
      </c>
      <c r="B196" s="25"/>
      <c r="C196" s="26">
        <v>42696</v>
      </c>
      <c r="D196" s="38" t="s">
        <v>29</v>
      </c>
      <c r="E196" s="38" t="s">
        <v>94</v>
      </c>
      <c r="F196" s="38" t="s">
        <v>95</v>
      </c>
      <c r="G196" s="38">
        <v>11</v>
      </c>
      <c r="H196" s="39" t="s">
        <v>1380</v>
      </c>
      <c r="I196" s="39" t="s">
        <v>117</v>
      </c>
      <c r="J196" s="39" t="s">
        <v>1381</v>
      </c>
      <c r="K196" s="39" t="s">
        <v>1382</v>
      </c>
      <c r="L196" s="39" t="s">
        <v>898</v>
      </c>
      <c r="M196" s="45" t="s">
        <v>1383</v>
      </c>
      <c r="N196" s="158" t="s">
        <v>1384</v>
      </c>
      <c r="O196" s="95" t="s">
        <v>1235</v>
      </c>
      <c r="R196" s="42" t="s">
        <v>39</v>
      </c>
      <c r="S196" s="43">
        <v>42401</v>
      </c>
      <c r="U196" s="52" t="s">
        <v>1235</v>
      </c>
      <c r="W196" s="54" t="s">
        <v>1236</v>
      </c>
      <c r="Z196" s="25" t="s">
        <v>1235</v>
      </c>
      <c r="AA196" s="25">
        <f t="shared" si="3"/>
        <v>1</v>
      </c>
      <c r="AC196" s="159"/>
      <c r="AD196" s="159"/>
      <c r="AE196" s="159"/>
      <c r="AF196" s="159"/>
      <c r="AG196" s="159"/>
      <c r="AH196" s="159"/>
      <c r="AI196" s="159"/>
      <c r="AJ196" s="159"/>
      <c r="AK196" s="159"/>
      <c r="AL196" s="159" t="s">
        <v>1005</v>
      </c>
      <c r="AM196" s="159" t="s">
        <v>1005</v>
      </c>
      <c r="AN196" s="159"/>
      <c r="AO196" s="159"/>
      <c r="AP196" s="159" t="s">
        <v>1005</v>
      </c>
      <c r="AQ196" s="159"/>
      <c r="AR196" s="159"/>
      <c r="AS196" s="159"/>
      <c r="AT196" s="159"/>
      <c r="AU196" s="159"/>
      <c r="AV196" s="159"/>
      <c r="AW196" s="159"/>
      <c r="AX196" s="159"/>
      <c r="AY196" s="159" t="s">
        <v>1005</v>
      </c>
    </row>
    <row r="197" spans="1:51" ht="15" customHeight="1">
      <c r="A197" s="24" t="s">
        <v>1385</v>
      </c>
      <c r="B197" s="25" t="s">
        <v>1245</v>
      </c>
      <c r="C197" s="26">
        <v>42723</v>
      </c>
      <c r="D197" s="38" t="s">
        <v>94</v>
      </c>
      <c r="E197" s="38" t="s">
        <v>29</v>
      </c>
      <c r="F197" s="38" t="s">
        <v>47</v>
      </c>
      <c r="G197" s="38">
        <v>2</v>
      </c>
      <c r="H197" s="39" t="s">
        <v>509</v>
      </c>
      <c r="I197" s="39" t="s">
        <v>1309</v>
      </c>
      <c r="J197" s="39" t="s">
        <v>1248</v>
      </c>
      <c r="K197" s="39" t="s">
        <v>1310</v>
      </c>
      <c r="L197" s="39" t="s">
        <v>167</v>
      </c>
      <c r="M197" s="45" t="s">
        <v>1386</v>
      </c>
      <c r="O197" s="94" t="s">
        <v>1235</v>
      </c>
      <c r="R197" s="42" t="s">
        <v>77</v>
      </c>
      <c r="U197" s="52" t="s">
        <v>1235</v>
      </c>
      <c r="W197" s="54" t="s">
        <v>1236</v>
      </c>
      <c r="Z197" s="25" t="s">
        <v>1235</v>
      </c>
      <c r="AA197" s="25">
        <f t="shared" si="3"/>
        <v>0</v>
      </c>
      <c r="AB197" s="24" t="s">
        <v>1251</v>
      </c>
    </row>
    <row r="198" spans="1:51" ht="15" customHeight="1">
      <c r="A198" s="24" t="s">
        <v>1387</v>
      </c>
      <c r="B198" s="25"/>
      <c r="C198" s="26">
        <v>42677</v>
      </c>
      <c r="D198" s="38" t="s">
        <v>29</v>
      </c>
      <c r="E198" s="38" t="s">
        <v>29</v>
      </c>
      <c r="F198" s="38" t="s">
        <v>47</v>
      </c>
      <c r="G198" s="38">
        <v>3</v>
      </c>
      <c r="H198" s="39" t="s">
        <v>1388</v>
      </c>
      <c r="I198" s="39" t="s">
        <v>1389</v>
      </c>
      <c r="J198" s="39" t="s">
        <v>1005</v>
      </c>
      <c r="K198" s="39" t="s">
        <v>1390</v>
      </c>
      <c r="L198" s="39" t="s">
        <v>183</v>
      </c>
      <c r="M198" s="45" t="s">
        <v>1391</v>
      </c>
      <c r="O198" s="94" t="s">
        <v>1235</v>
      </c>
      <c r="R198" s="42" t="s">
        <v>77</v>
      </c>
      <c r="U198" s="52" t="s">
        <v>1235</v>
      </c>
      <c r="W198" s="54" t="s">
        <v>1236</v>
      </c>
      <c r="Z198" s="25" t="s">
        <v>1235</v>
      </c>
      <c r="AA198" s="25">
        <f t="shared" si="3"/>
        <v>0</v>
      </c>
      <c r="AB198" s="24" t="s">
        <v>1392</v>
      </c>
    </row>
    <row r="199" spans="1:51" ht="15" customHeight="1">
      <c r="A199" s="193" t="s">
        <v>1393</v>
      </c>
      <c r="B199" s="25"/>
      <c r="C199" s="26">
        <v>42676</v>
      </c>
      <c r="D199" s="38" t="s">
        <v>29</v>
      </c>
      <c r="E199" s="38" t="s">
        <v>29</v>
      </c>
      <c r="F199" s="38" t="s">
        <v>95</v>
      </c>
      <c r="G199" s="38">
        <v>1</v>
      </c>
      <c r="H199" s="161" t="s">
        <v>1394</v>
      </c>
      <c r="I199" s="161" t="s">
        <v>419</v>
      </c>
      <c r="J199" s="161" t="s">
        <v>1395</v>
      </c>
      <c r="K199" s="394" t="s">
        <v>1396</v>
      </c>
      <c r="L199" s="394" t="s">
        <v>1397</v>
      </c>
      <c r="O199" s="94" t="s">
        <v>1235</v>
      </c>
      <c r="U199" s="52" t="s">
        <v>1235</v>
      </c>
      <c r="W199" s="54" t="s">
        <v>1236</v>
      </c>
      <c r="Z199" s="25" t="s">
        <v>1235</v>
      </c>
      <c r="AA199" s="25">
        <f t="shared" si="3"/>
        <v>0</v>
      </c>
      <c r="AB199" s="24" t="s">
        <v>1319</v>
      </c>
    </row>
    <row r="200" spans="1:51" ht="15" customHeight="1">
      <c r="A200" s="24" t="s">
        <v>1398</v>
      </c>
      <c r="B200" s="25"/>
      <c r="C200" s="26">
        <v>42669</v>
      </c>
      <c r="D200" s="38" t="s">
        <v>29</v>
      </c>
      <c r="E200" s="38" t="s">
        <v>94</v>
      </c>
      <c r="F200" s="38" t="s">
        <v>95</v>
      </c>
      <c r="G200" s="38">
        <v>9</v>
      </c>
      <c r="H200" s="39" t="s">
        <v>225</v>
      </c>
      <c r="I200" s="39" t="s">
        <v>1399</v>
      </c>
      <c r="J200" s="39" t="s">
        <v>1400</v>
      </c>
      <c r="K200" s="39" t="s">
        <v>1401</v>
      </c>
      <c r="L200" s="39" t="s">
        <v>167</v>
      </c>
      <c r="M200" s="45" t="s">
        <v>1402</v>
      </c>
      <c r="O200" s="94" t="s">
        <v>1235</v>
      </c>
      <c r="R200" s="42" t="s">
        <v>77</v>
      </c>
      <c r="T200" s="44" t="s">
        <v>1403</v>
      </c>
      <c r="U200" s="223" t="s">
        <v>1235</v>
      </c>
      <c r="W200" s="54" t="s">
        <v>1236</v>
      </c>
      <c r="Z200" s="25" t="s">
        <v>1235</v>
      </c>
      <c r="AA200" s="25">
        <f t="shared" si="3"/>
        <v>1</v>
      </c>
      <c r="AB200" s="24" t="s">
        <v>1404</v>
      </c>
    </row>
    <row r="201" spans="1:51" ht="15" customHeight="1">
      <c r="A201" s="24" t="s">
        <v>1405</v>
      </c>
      <c r="B201" s="25"/>
      <c r="D201" s="38" t="s">
        <v>29</v>
      </c>
      <c r="E201" s="38" t="s">
        <v>94</v>
      </c>
      <c r="F201" s="38" t="s">
        <v>95</v>
      </c>
      <c r="G201" s="38">
        <v>7</v>
      </c>
      <c r="H201" s="39" t="s">
        <v>471</v>
      </c>
      <c r="I201" s="39" t="s">
        <v>1406</v>
      </c>
      <c r="J201" s="39" t="s">
        <v>1407</v>
      </c>
      <c r="K201" s="39" t="s">
        <v>1408</v>
      </c>
      <c r="L201" s="39" t="s">
        <v>129</v>
      </c>
      <c r="M201" s="45" t="s">
        <v>1409</v>
      </c>
      <c r="N201" s="166" t="s">
        <v>1235</v>
      </c>
      <c r="O201" s="94" t="s">
        <v>1235</v>
      </c>
      <c r="R201" s="42" t="s">
        <v>39</v>
      </c>
      <c r="S201" s="43">
        <v>42430</v>
      </c>
      <c r="U201" s="52" t="s">
        <v>1235</v>
      </c>
      <c r="W201" s="54" t="s">
        <v>1236</v>
      </c>
      <c r="Z201" s="25" t="s">
        <v>1235</v>
      </c>
      <c r="AA201" s="25">
        <f t="shared" si="3"/>
        <v>1</v>
      </c>
    </row>
    <row r="202" spans="1:51" ht="15" customHeight="1">
      <c r="A202" s="24" t="s">
        <v>1410</v>
      </c>
      <c r="B202" s="25"/>
      <c r="C202" s="26">
        <v>42669</v>
      </c>
      <c r="D202" s="38" t="s">
        <v>29</v>
      </c>
      <c r="E202" s="38" t="s">
        <v>94</v>
      </c>
      <c r="F202" s="38" t="s">
        <v>95</v>
      </c>
      <c r="G202" s="38">
        <v>11</v>
      </c>
      <c r="H202" s="39" t="s">
        <v>163</v>
      </c>
      <c r="I202" s="39" t="s">
        <v>1411</v>
      </c>
      <c r="J202" s="39" t="s">
        <v>1412</v>
      </c>
      <c r="K202" s="39" t="s">
        <v>1413</v>
      </c>
      <c r="L202" s="39" t="s">
        <v>676</v>
      </c>
      <c r="M202" s="45" t="s">
        <v>1414</v>
      </c>
      <c r="N202" s="166" t="s">
        <v>1235</v>
      </c>
      <c r="O202" s="94" t="s">
        <v>1235</v>
      </c>
      <c r="R202" s="42" t="s">
        <v>39</v>
      </c>
      <c r="S202" s="43">
        <v>42430</v>
      </c>
      <c r="U202" s="226" t="s">
        <v>1235</v>
      </c>
      <c r="W202" s="54" t="s">
        <v>1236</v>
      </c>
      <c r="Z202" s="199" t="s">
        <v>1242</v>
      </c>
      <c r="AA202" s="25">
        <f t="shared" si="3"/>
        <v>1</v>
      </c>
    </row>
    <row r="203" spans="1:51" ht="15" customHeight="1">
      <c r="A203" s="24" t="s">
        <v>1415</v>
      </c>
      <c r="B203" s="25"/>
      <c r="C203" s="26">
        <v>42745</v>
      </c>
      <c r="D203" s="38" t="s">
        <v>29</v>
      </c>
      <c r="E203" s="38" t="s">
        <v>94</v>
      </c>
      <c r="F203" s="38" t="s">
        <v>95</v>
      </c>
      <c r="G203" s="38">
        <v>78</v>
      </c>
      <c r="H203" s="39" t="s">
        <v>737</v>
      </c>
      <c r="I203" s="39" t="s">
        <v>1416</v>
      </c>
      <c r="J203" s="39" t="s">
        <v>1417</v>
      </c>
      <c r="K203" s="39" t="s">
        <v>1418</v>
      </c>
      <c r="L203" s="39" t="s">
        <v>1419</v>
      </c>
      <c r="M203" s="24" t="s">
        <v>244</v>
      </c>
      <c r="N203" s="40" t="s">
        <v>13</v>
      </c>
      <c r="O203" s="94">
        <v>42612.416666666664</v>
      </c>
      <c r="P203" s="41" t="s">
        <v>131</v>
      </c>
      <c r="Q203" s="41" t="s">
        <v>131</v>
      </c>
      <c r="R203" s="42" t="s">
        <v>77</v>
      </c>
      <c r="S203" s="43">
        <v>42491</v>
      </c>
      <c r="T203" s="44" t="s">
        <v>1420</v>
      </c>
      <c r="U203" s="361">
        <v>42747</v>
      </c>
      <c r="W203" s="54" t="s">
        <v>1421</v>
      </c>
      <c r="X203" s="50" t="s">
        <v>104</v>
      </c>
      <c r="Y203" s="38">
        <v>19</v>
      </c>
      <c r="Z203" s="25" t="s">
        <v>1422</v>
      </c>
      <c r="AA203" s="25">
        <f t="shared" si="3"/>
        <v>0</v>
      </c>
    </row>
    <row r="204" spans="1:51" ht="77.25" customHeight="1"/>
  </sheetData>
  <autoFilter ref="B1:B204" xr:uid="{00000000-0009-0000-0000-000000000000}"/>
  <sortState xmlns:xlrd2="http://schemas.microsoft.com/office/spreadsheetml/2017/richdata2" ref="A2:AC203">
    <sortCondition descending="1" ref="Z2:Z203"/>
    <sortCondition ref="A2:A203"/>
  </sortState>
  <conditionalFormatting sqref="M175:X175 A175:G175 A22:J22 L22:V22 A146:L147 A173:J173 A45:O45 R45:X45 M173:X173 D113:J113 L113:X113 A23:X23 B199:G199 A24:J24 L24:X24 A139:X145 A138:T138 A168:W169 V138:X138 A85:I85 M85:X85 X22 N146:X147 A68:J68 L68:V68 A127:X137 A69:X77 A46:X67 A86:X88 A114:X125 A148:X165 M199:X199 A79:X84 A78:J78 L78:X78 A176:X198 A174:X174 X166 A166:V167 A102:X106 A101:I101 L101 A90:X100 A89:J89 L89:X89 X68 A170:X172 A26:X44 N101:X101 A2:X21 A200:X212 AB3:AB125 AB127:AB203 AA3:AA203 A25:T25 V25:X25 A108:X110 A107:J107 L107:X107 A112:X112 A111:L111 N111:X111 AA2:AB2 Z196:Z203 Z204:AB212 Z19:Z125 Z127:Z194">
    <cfRule type="expression" dxfId="64" priority="19">
      <formula>$U2="Out of Program"</formula>
    </cfRule>
  </conditionalFormatting>
  <conditionalFormatting sqref="M146:M147">
    <cfRule type="expression" dxfId="63" priority="36">
      <formula>$U145="Out of Program"</formula>
    </cfRule>
  </conditionalFormatting>
  <conditionalFormatting sqref="Z195">
    <cfRule type="expression" dxfId="62" priority="18">
      <formula>$U195="Out of Program"</formula>
    </cfRule>
  </conditionalFormatting>
  <conditionalFormatting sqref="L173">
    <cfRule type="expression" dxfId="61" priority="17">
      <formula>$U173="Out of Program"</formula>
    </cfRule>
  </conditionalFormatting>
  <conditionalFormatting sqref="P45:Q45">
    <cfRule type="expression" dxfId="60" priority="16">
      <formula>$U45="Out of Program"</formula>
    </cfRule>
  </conditionalFormatting>
  <conditionalFormatting sqref="U126:X126 A126:S126 AB126 Z126">
    <cfRule type="expression" dxfId="59" priority="46">
      <formula>#REF!="Out of Program"</formula>
    </cfRule>
  </conditionalFormatting>
  <conditionalFormatting sqref="X167">
    <cfRule type="expression" dxfId="58" priority="64">
      <formula>$U168="Out of Program"</formula>
    </cfRule>
  </conditionalFormatting>
  <conditionalFormatting sqref="A113">
    <cfRule type="expression" dxfId="57" priority="15">
      <formula>$S113="Out of Program"</formula>
    </cfRule>
  </conditionalFormatting>
  <conditionalFormatting sqref="A199">
    <cfRule type="expression" dxfId="56" priority="14">
      <formula>$S199="Out of Program"</formula>
    </cfRule>
  </conditionalFormatting>
  <conditionalFormatting sqref="U138">
    <cfRule type="expression" dxfId="55" priority="7">
      <formula>$U138="Out of Program"</formula>
    </cfRule>
  </conditionalFormatting>
  <conditionalFormatting sqref="X169">
    <cfRule type="expression" dxfId="54" priority="6">
      <formula>$U170="Out of Program"</formula>
    </cfRule>
  </conditionalFormatting>
  <conditionalFormatting sqref="W166:W167">
    <cfRule type="expression" dxfId="53" priority="5">
      <formula>$U166="Out of Program"</formula>
    </cfRule>
  </conditionalFormatting>
  <conditionalFormatting sqref="U25">
    <cfRule type="expression" dxfId="52" priority="4">
      <formula>$R25="Out of Program"</formula>
    </cfRule>
  </conditionalFormatting>
  <conditionalFormatting sqref="Y127:Y212 Y2:Y125">
    <cfRule type="expression" dxfId="51" priority="2">
      <formula>$U2="Out of Program"</formula>
    </cfRule>
  </conditionalFormatting>
  <conditionalFormatting sqref="Y126">
    <cfRule type="expression" dxfId="50" priority="3">
      <formula>#REF!="Out of Program"</formula>
    </cfRule>
  </conditionalFormatting>
  <conditionalFormatting sqref="Z2:Z18">
    <cfRule type="expression" dxfId="49" priority="1">
      <formula>$U2="Out of Program"</formula>
    </cfRule>
  </conditionalFormatting>
  <pageMargins left="0.7" right="0.7" top="0.75" bottom="0.75" header="0.3" footer="0.3"/>
  <pageSetup orientation="portrait" horizontalDpi="4294967292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83"/>
  <sheetViews>
    <sheetView tabSelected="1" zoomScale="82" zoomScaleNormal="82" workbookViewId="0">
      <pane xSplit="1" ySplit="1" topLeftCell="N437" activePane="bottomRight" state="frozen"/>
      <selection pane="bottomRight" activeCell="O338" sqref="O338"/>
      <selection pane="bottomLeft" activeCell="A2" sqref="A2"/>
      <selection pane="topRight" activeCell="B1" sqref="B1"/>
    </sheetView>
  </sheetViews>
  <sheetFormatPr defaultColWidth="8.85546875" defaultRowHeight="15"/>
  <cols>
    <col min="1" max="1" width="23.42578125" style="76" customWidth="1"/>
    <col min="2" max="2" width="8.85546875" style="56" customWidth="1"/>
    <col min="3" max="3" width="11.85546875" style="67" customWidth="1"/>
    <col min="4" max="4" width="11.42578125" style="65" customWidth="1"/>
    <col min="5" max="5" width="8.85546875" style="65" customWidth="1"/>
    <col min="6" max="6" width="16.28515625" style="65" customWidth="1"/>
    <col min="7" max="7" width="17.7109375" style="63" customWidth="1"/>
    <col min="8" max="8" width="0.7109375" style="63" customWidth="1"/>
    <col min="9" max="9" width="1.85546875" style="63" customWidth="1"/>
    <col min="10" max="10" width="6.5703125" style="63" customWidth="1"/>
    <col min="11" max="11" width="6.42578125" style="63" customWidth="1"/>
    <col min="12" max="12" width="5.85546875" style="63" customWidth="1"/>
    <col min="13" max="13" width="5" style="63" customWidth="1"/>
    <col min="14" max="14" width="10.42578125" style="68" customWidth="1"/>
    <col min="15" max="15" width="45.42578125" style="63" customWidth="1"/>
    <col min="16" max="16" width="15.42578125" style="63" customWidth="1"/>
    <col min="17" max="17" width="14" style="63" customWidth="1"/>
    <col min="18" max="19" width="15" style="64" customWidth="1"/>
    <col min="20" max="20" width="12.42578125" style="65" customWidth="1"/>
    <col min="21" max="21" width="11.42578125" style="65" customWidth="1"/>
    <col min="22" max="22" width="10.140625" style="65" customWidth="1"/>
    <col min="23" max="23" width="11" style="65" customWidth="1"/>
    <col min="24" max="24" width="11.42578125" style="65" customWidth="1"/>
    <col min="25" max="25" width="30.42578125" style="74" customWidth="1"/>
    <col min="26" max="26" width="15.140625" style="56" customWidth="1"/>
    <col min="27" max="27" width="8.85546875" style="63" customWidth="1"/>
    <col min="28" max="28" width="18.42578125" style="65" customWidth="1"/>
    <col min="29" max="29" width="17.140625" style="65" customWidth="1"/>
    <col min="30" max="30" width="71.42578125" style="345" customWidth="1"/>
    <col min="31" max="16384" width="8.85546875" style="63"/>
  </cols>
  <sheetData>
    <row r="1" spans="1:30" s="62" customFormat="1" ht="67.5" customHeight="1">
      <c r="A1" s="55" t="s">
        <v>1423</v>
      </c>
      <c r="B1" s="15" t="s">
        <v>1</v>
      </c>
      <c r="C1" s="16" t="s">
        <v>2</v>
      </c>
      <c r="D1" s="105" t="s">
        <v>1424</v>
      </c>
      <c r="E1" s="105" t="s">
        <v>1425</v>
      </c>
      <c r="F1" s="105" t="s">
        <v>104</v>
      </c>
      <c r="G1" s="17"/>
      <c r="H1" s="17"/>
      <c r="I1" s="18"/>
      <c r="J1" s="17"/>
      <c r="K1" s="17"/>
      <c r="L1" s="17"/>
      <c r="M1" s="17"/>
      <c r="N1" s="19" t="s">
        <v>1426</v>
      </c>
      <c r="O1" s="20" t="s">
        <v>1427</v>
      </c>
      <c r="P1" s="27" t="s">
        <v>1428</v>
      </c>
      <c r="Q1" s="20" t="s">
        <v>19</v>
      </c>
      <c r="R1" s="21" t="s">
        <v>1429</v>
      </c>
      <c r="S1" s="21" t="s">
        <v>23</v>
      </c>
      <c r="T1" s="53" t="s">
        <v>1430</v>
      </c>
      <c r="U1" s="53" t="s">
        <v>1431</v>
      </c>
      <c r="V1" s="53" t="s">
        <v>1432</v>
      </c>
      <c r="W1" s="53" t="s">
        <v>1433</v>
      </c>
      <c r="X1" s="53" t="s">
        <v>1434</v>
      </c>
      <c r="Y1" s="53" t="s">
        <v>1435</v>
      </c>
      <c r="Z1" s="146" t="s">
        <v>1436</v>
      </c>
      <c r="AA1" s="27" t="s">
        <v>1437</v>
      </c>
      <c r="AB1" s="53" t="s">
        <v>1438</v>
      </c>
      <c r="AC1" s="53" t="s">
        <v>1439</v>
      </c>
      <c r="AD1" s="368" t="s">
        <v>27</v>
      </c>
    </row>
    <row r="2" spans="1:30" s="22" customFormat="1">
      <c r="A2" s="261" t="s">
        <v>710</v>
      </c>
      <c r="B2" s="62"/>
      <c r="C2" s="57">
        <v>42762</v>
      </c>
      <c r="D2" s="65"/>
      <c r="E2" s="65" t="s">
        <v>29</v>
      </c>
      <c r="F2" s="65" t="s">
        <v>29</v>
      </c>
      <c r="G2" s="58"/>
      <c r="H2" s="58"/>
      <c r="I2" s="60"/>
      <c r="J2" s="58"/>
      <c r="K2" s="58"/>
      <c r="L2" s="58"/>
      <c r="M2" s="58"/>
      <c r="N2" s="61" t="s">
        <v>1440</v>
      </c>
      <c r="O2" s="24" t="s">
        <v>1441</v>
      </c>
      <c r="P2" s="58"/>
      <c r="Q2" s="63" t="str">
        <f>IF(V2&lt;&gt;"","Completed","")</f>
        <v>Completed</v>
      </c>
      <c r="R2" s="64">
        <v>42770</v>
      </c>
      <c r="S2" s="64" t="s">
        <v>149</v>
      </c>
      <c r="T2" s="242">
        <v>11</v>
      </c>
      <c r="U2" s="242">
        <v>22</v>
      </c>
      <c r="V2" s="242">
        <v>22</v>
      </c>
      <c r="W2" s="242"/>
      <c r="X2" s="242"/>
      <c r="Y2" s="347" t="s">
        <v>44</v>
      </c>
      <c r="Z2" s="345" t="s">
        <v>1442</v>
      </c>
      <c r="AA2" s="92"/>
      <c r="AB2" s="242" t="s">
        <v>94</v>
      </c>
      <c r="AC2" s="242" t="s">
        <v>29</v>
      </c>
      <c r="AD2" s="345"/>
    </row>
    <row r="3" spans="1:30">
      <c r="A3" s="75" t="s">
        <v>124</v>
      </c>
      <c r="B3" s="59"/>
      <c r="C3" s="57">
        <v>42744</v>
      </c>
      <c r="D3" s="65">
        <v>4016000</v>
      </c>
      <c r="E3" s="65" t="s">
        <v>29</v>
      </c>
      <c r="F3" s="65" t="s">
        <v>29</v>
      </c>
      <c r="G3" s="58" t="s">
        <v>1443</v>
      </c>
      <c r="H3" s="58" t="s">
        <v>1444</v>
      </c>
      <c r="I3" s="60">
        <v>367</v>
      </c>
      <c r="J3" s="58" t="s">
        <v>94</v>
      </c>
      <c r="K3" s="58" t="s">
        <v>29</v>
      </c>
      <c r="L3" s="58" t="s">
        <v>94</v>
      </c>
      <c r="M3" s="58" t="s">
        <v>29</v>
      </c>
      <c r="N3" s="61" t="s">
        <v>1445</v>
      </c>
      <c r="O3" s="58" t="s">
        <v>1446</v>
      </c>
      <c r="P3" s="58" t="s">
        <v>1447</v>
      </c>
      <c r="Q3" s="63" t="str">
        <f>IF(V3&lt;&gt;"","Completed","")</f>
        <v>Completed</v>
      </c>
      <c r="R3" s="64">
        <v>42644</v>
      </c>
      <c r="S3" s="64" t="s">
        <v>57</v>
      </c>
      <c r="T3" s="150">
        <v>62</v>
      </c>
      <c r="U3" s="150">
        <v>92</v>
      </c>
      <c r="V3" s="150">
        <v>92</v>
      </c>
      <c r="W3" s="150"/>
      <c r="X3" s="150"/>
      <c r="Y3" s="74" t="s">
        <v>44</v>
      </c>
      <c r="Z3" s="56" t="s">
        <v>1448</v>
      </c>
      <c r="AA3" s="252"/>
      <c r="AB3" s="65" t="s">
        <v>94</v>
      </c>
      <c r="AC3" s="65" t="s">
        <v>94</v>
      </c>
    </row>
    <row r="4" spans="1:30">
      <c r="A4" s="75" t="s">
        <v>231</v>
      </c>
      <c r="B4" s="59"/>
      <c r="C4" s="57">
        <v>42752</v>
      </c>
      <c r="D4" s="65">
        <v>2032000</v>
      </c>
      <c r="E4" s="65" t="s">
        <v>29</v>
      </c>
      <c r="F4" s="65" t="s">
        <v>29</v>
      </c>
      <c r="G4" s="58" t="s">
        <v>1443</v>
      </c>
      <c r="H4" s="58" t="s">
        <v>1449</v>
      </c>
      <c r="I4" s="60">
        <v>298</v>
      </c>
      <c r="J4" s="58" t="s">
        <v>29</v>
      </c>
      <c r="K4" s="58" t="s">
        <v>29</v>
      </c>
      <c r="L4" s="58" t="s">
        <v>29</v>
      </c>
      <c r="M4" s="58" t="s">
        <v>29</v>
      </c>
      <c r="N4" s="61" t="s">
        <v>1450</v>
      </c>
      <c r="O4" s="58" t="s">
        <v>1451</v>
      </c>
      <c r="P4" s="58" t="s">
        <v>1447</v>
      </c>
      <c r="Q4" s="63" t="str">
        <f>IF(V4&lt;&gt;"","Completed","")</f>
        <v>Completed</v>
      </c>
      <c r="R4" s="64">
        <v>42650</v>
      </c>
      <c r="S4" s="64" t="s">
        <v>43</v>
      </c>
      <c r="T4" s="65">
        <v>25</v>
      </c>
      <c r="U4" s="65">
        <v>48</v>
      </c>
      <c r="V4" s="65">
        <v>48</v>
      </c>
      <c r="Y4" s="74" t="s">
        <v>44</v>
      </c>
      <c r="Z4" s="56" t="s">
        <v>1452</v>
      </c>
      <c r="AA4" s="252"/>
      <c r="AB4" s="151" t="s">
        <v>94</v>
      </c>
      <c r="AC4" s="151" t="s">
        <v>1453</v>
      </c>
      <c r="AD4" s="56" t="s">
        <v>1454</v>
      </c>
    </row>
    <row r="5" spans="1:30">
      <c r="A5" s="338" t="s">
        <v>522</v>
      </c>
      <c r="B5" s="305"/>
      <c r="C5" s="311">
        <v>42709</v>
      </c>
      <c r="D5" s="109" t="s">
        <v>1455</v>
      </c>
      <c r="E5" s="151" t="s">
        <v>94</v>
      </c>
      <c r="F5" s="151" t="s">
        <v>29</v>
      </c>
      <c r="G5" s="306" t="s">
        <v>1443</v>
      </c>
      <c r="H5" s="306" t="s">
        <v>1456</v>
      </c>
      <c r="I5" s="307">
        <v>42</v>
      </c>
      <c r="J5" s="306" t="s">
        <v>94</v>
      </c>
      <c r="K5" s="306" t="s">
        <v>94</v>
      </c>
      <c r="L5" s="306" t="s">
        <v>29</v>
      </c>
      <c r="M5" s="306" t="s">
        <v>29</v>
      </c>
      <c r="N5" s="308" t="s">
        <v>1457</v>
      </c>
      <c r="O5" s="306" t="s">
        <v>1458</v>
      </c>
      <c r="P5" s="306" t="s">
        <v>1459</v>
      </c>
      <c r="Q5" s="63" t="str">
        <f>IF(V5&lt;&gt;"","Completed","")</f>
        <v>Completed</v>
      </c>
      <c r="R5" s="310">
        <v>42690</v>
      </c>
      <c r="S5" s="310" t="s">
        <v>80</v>
      </c>
      <c r="T5" s="65">
        <v>18</v>
      </c>
      <c r="U5" s="65">
        <v>36</v>
      </c>
      <c r="V5" s="65">
        <v>36</v>
      </c>
      <c r="Y5" s="74" t="s">
        <v>44</v>
      </c>
      <c r="Z5" s="56" t="s">
        <v>1460</v>
      </c>
      <c r="AA5" s="249">
        <f>V5</f>
        <v>36</v>
      </c>
      <c r="AB5" s="242" t="s">
        <v>94</v>
      </c>
      <c r="AC5" s="242" t="s">
        <v>29</v>
      </c>
    </row>
    <row r="6" spans="1:30">
      <c r="A6" s="331" t="s">
        <v>1217</v>
      </c>
      <c r="B6" s="59"/>
      <c r="C6" s="57">
        <v>42758</v>
      </c>
      <c r="E6" s="65" t="s">
        <v>29</v>
      </c>
      <c r="F6" s="65" t="s">
        <v>29</v>
      </c>
      <c r="G6" s="58" t="s">
        <v>1461</v>
      </c>
      <c r="H6" s="58"/>
      <c r="I6" s="60"/>
      <c r="J6" s="58"/>
      <c r="K6" s="58"/>
      <c r="L6" s="58"/>
      <c r="M6" s="58"/>
      <c r="N6" s="61" t="s">
        <v>1462</v>
      </c>
      <c r="O6" s="58" t="s">
        <v>1463</v>
      </c>
      <c r="P6" s="58"/>
      <c r="Q6" s="63" t="str">
        <f>IF(V6&lt;&gt;"","Completed","")</f>
        <v>Completed</v>
      </c>
      <c r="R6" s="64">
        <v>42714</v>
      </c>
      <c r="S6" s="64" t="s">
        <v>57</v>
      </c>
      <c r="T6" s="65">
        <v>41</v>
      </c>
      <c r="U6" s="65">
        <v>74</v>
      </c>
      <c r="V6" s="65">
        <v>74</v>
      </c>
      <c r="Y6" s="74" t="s">
        <v>44</v>
      </c>
      <c r="Z6" s="56" t="s">
        <v>1464</v>
      </c>
      <c r="AA6" s="92">
        <f>V6</f>
        <v>74</v>
      </c>
      <c r="AB6" s="248" t="s">
        <v>94</v>
      </c>
      <c r="AC6" s="248" t="s">
        <v>29</v>
      </c>
    </row>
    <row r="7" spans="1:30">
      <c r="A7" s="75" t="s">
        <v>28</v>
      </c>
      <c r="B7" s="59"/>
      <c r="C7" s="57">
        <v>42726</v>
      </c>
      <c r="E7" s="65" t="s">
        <v>29</v>
      </c>
      <c r="F7" s="65" t="s">
        <v>29</v>
      </c>
      <c r="G7" s="58" t="s">
        <v>1443</v>
      </c>
      <c r="H7" s="58" t="s">
        <v>1444</v>
      </c>
      <c r="I7" s="60">
        <v>0</v>
      </c>
      <c r="J7" s="58" t="s">
        <v>94</v>
      </c>
      <c r="K7" s="58" t="s">
        <v>29</v>
      </c>
      <c r="L7" s="58" t="s">
        <v>29</v>
      </c>
      <c r="M7" s="58" t="s">
        <v>29</v>
      </c>
      <c r="N7" s="61" t="s">
        <v>1465</v>
      </c>
      <c r="O7" s="58" t="s">
        <v>1466</v>
      </c>
      <c r="P7" s="58" t="s">
        <v>1459</v>
      </c>
      <c r="Q7" s="63" t="str">
        <f>IF(V7&lt;&gt;"","Completed","")</f>
        <v>Completed</v>
      </c>
      <c r="R7" s="64">
        <v>42658</v>
      </c>
      <c r="S7" s="64" t="s">
        <v>43</v>
      </c>
      <c r="T7" s="65">
        <v>16</v>
      </c>
      <c r="U7" s="256">
        <v>31</v>
      </c>
      <c r="V7" s="256">
        <v>31</v>
      </c>
      <c r="W7" s="256"/>
      <c r="X7" s="256"/>
      <c r="Y7" s="74" t="s">
        <v>44</v>
      </c>
      <c r="Z7" s="56" t="s">
        <v>1467</v>
      </c>
      <c r="AA7" s="252"/>
      <c r="AB7" s="151" t="s">
        <v>94</v>
      </c>
      <c r="AC7" s="151" t="s">
        <v>29</v>
      </c>
      <c r="AD7" s="351"/>
    </row>
    <row r="8" spans="1:30">
      <c r="A8" s="261" t="s">
        <v>710</v>
      </c>
      <c r="C8" s="57">
        <v>42765</v>
      </c>
      <c r="E8" s="65" t="s">
        <v>29</v>
      </c>
      <c r="F8" s="65" t="s">
        <v>29</v>
      </c>
      <c r="N8" s="68" t="s">
        <v>1468</v>
      </c>
      <c r="O8" s="90" t="s">
        <v>1469</v>
      </c>
      <c r="Q8" s="63" t="str">
        <f>IF(V8&lt;&gt;"","Completed","")</f>
        <v>Completed</v>
      </c>
      <c r="R8" s="64">
        <v>42770</v>
      </c>
      <c r="S8" s="64" t="s">
        <v>149</v>
      </c>
      <c r="T8" s="242">
        <v>5</v>
      </c>
      <c r="U8" s="242">
        <v>10</v>
      </c>
      <c r="V8" s="242">
        <v>10</v>
      </c>
      <c r="W8" s="242"/>
      <c r="X8" s="242"/>
      <c r="Y8" s="347" t="s">
        <v>44</v>
      </c>
      <c r="Z8" s="345" t="s">
        <v>1442</v>
      </c>
      <c r="AA8" s="92"/>
      <c r="AB8" s="242" t="s">
        <v>94</v>
      </c>
      <c r="AC8" s="242" t="s">
        <v>29</v>
      </c>
    </row>
    <row r="9" spans="1:30">
      <c r="A9" s="75" t="s">
        <v>803</v>
      </c>
      <c r="B9" s="59"/>
      <c r="C9" s="57">
        <v>42760</v>
      </c>
      <c r="E9" s="65" t="s">
        <v>29</v>
      </c>
      <c r="F9" s="65" t="s">
        <v>29</v>
      </c>
      <c r="G9" s="58" t="s">
        <v>1443</v>
      </c>
      <c r="H9" s="58" t="s">
        <v>1456</v>
      </c>
      <c r="I9" s="60">
        <v>650</v>
      </c>
      <c r="J9" s="58" t="s">
        <v>29</v>
      </c>
      <c r="K9" s="58" t="s">
        <v>29</v>
      </c>
      <c r="L9" s="58" t="s">
        <v>94</v>
      </c>
      <c r="M9" s="58" t="s">
        <v>29</v>
      </c>
      <c r="N9" s="61" t="s">
        <v>1470</v>
      </c>
      <c r="O9" s="58" t="s">
        <v>1471</v>
      </c>
      <c r="P9" s="58" t="s">
        <v>1447</v>
      </c>
      <c r="Q9" s="63" t="str">
        <f>IF(V9&lt;&gt;"","Completed","")</f>
        <v>Completed</v>
      </c>
      <c r="R9" s="64">
        <v>42697</v>
      </c>
      <c r="S9" s="64" t="s">
        <v>43</v>
      </c>
      <c r="T9" s="65">
        <v>83</v>
      </c>
      <c r="U9" s="65">
        <v>165</v>
      </c>
      <c r="V9" s="65">
        <v>165</v>
      </c>
      <c r="Y9" s="74" t="s">
        <v>44</v>
      </c>
      <c r="Z9" s="56" t="s">
        <v>1472</v>
      </c>
      <c r="AA9" s="249"/>
      <c r="AB9" s="74" t="s">
        <v>94</v>
      </c>
      <c r="AC9" s="74" t="s">
        <v>94</v>
      </c>
    </row>
    <row r="10" spans="1:30">
      <c r="A10" s="75" t="s">
        <v>253</v>
      </c>
      <c r="B10" s="59"/>
      <c r="C10" s="57">
        <v>42755</v>
      </c>
      <c r="D10" s="65">
        <v>3035000</v>
      </c>
      <c r="E10" s="65" t="s">
        <v>29</v>
      </c>
      <c r="F10" s="65" t="s">
        <v>94</v>
      </c>
      <c r="G10" s="58" t="s">
        <v>1461</v>
      </c>
      <c r="H10" s="58" t="s">
        <v>1456</v>
      </c>
      <c r="I10" s="60">
        <v>74</v>
      </c>
      <c r="J10" s="58" t="s">
        <v>94</v>
      </c>
      <c r="K10" s="58" t="s">
        <v>29</v>
      </c>
      <c r="L10" s="58" t="s">
        <v>94</v>
      </c>
      <c r="M10" s="58" t="s">
        <v>94</v>
      </c>
      <c r="N10" s="61" t="s">
        <v>1473</v>
      </c>
      <c r="O10" s="292" t="s">
        <v>1474</v>
      </c>
      <c r="P10" s="58" t="s">
        <v>1447</v>
      </c>
      <c r="Q10" s="63" t="str">
        <f>IF(V10&lt;&gt;"","Completed","")</f>
        <v>Completed</v>
      </c>
      <c r="R10" s="64">
        <v>42712</v>
      </c>
      <c r="S10" s="64" t="s">
        <v>104</v>
      </c>
      <c r="T10" s="65">
        <v>14</v>
      </c>
      <c r="V10" s="256">
        <v>24</v>
      </c>
      <c r="Y10" s="74" t="s">
        <v>44</v>
      </c>
      <c r="Z10" s="56" t="s">
        <v>1475</v>
      </c>
      <c r="AA10" s="363">
        <f>V10</f>
        <v>24</v>
      </c>
      <c r="AB10" s="65" t="s">
        <v>94</v>
      </c>
      <c r="AC10" s="65" t="s">
        <v>29</v>
      </c>
    </row>
    <row r="11" spans="1:30">
      <c r="A11" s="63" t="s">
        <v>45</v>
      </c>
      <c r="B11" s="63" t="s">
        <v>46</v>
      </c>
      <c r="C11" s="112">
        <v>42746</v>
      </c>
      <c r="D11" s="315">
        <v>2002000</v>
      </c>
      <c r="E11" s="57" t="s">
        <v>29</v>
      </c>
      <c r="F11" s="65" t="s">
        <v>29</v>
      </c>
      <c r="G11" s="63" t="s">
        <v>1443</v>
      </c>
      <c r="H11" s="63" t="s">
        <v>1444</v>
      </c>
      <c r="I11" s="58">
        <v>0</v>
      </c>
      <c r="J11" s="58" t="s">
        <v>94</v>
      </c>
      <c r="K11" s="60" t="s">
        <v>29</v>
      </c>
      <c r="L11" s="58" t="s">
        <v>94</v>
      </c>
      <c r="M11" s="58" t="s">
        <v>29</v>
      </c>
      <c r="N11" s="58" t="s">
        <v>1476</v>
      </c>
      <c r="O11" s="58" t="s">
        <v>1477</v>
      </c>
      <c r="P11" s="61" t="s">
        <v>1447</v>
      </c>
      <c r="Q11" s="63" t="str">
        <f>IF(V11&lt;&gt;"","Completed","")</f>
        <v>Completed</v>
      </c>
      <c r="R11" s="57">
        <v>42685</v>
      </c>
      <c r="S11" s="57" t="s">
        <v>57</v>
      </c>
      <c r="T11" s="65">
        <v>39</v>
      </c>
      <c r="U11" s="273">
        <v>66</v>
      </c>
      <c r="V11" s="273">
        <v>66</v>
      </c>
      <c r="W11" s="273"/>
      <c r="X11" s="273"/>
      <c r="Y11" s="74" t="s">
        <v>44</v>
      </c>
      <c r="Z11" s="145" t="s">
        <v>1478</v>
      </c>
      <c r="AA11" s="104"/>
      <c r="AB11" s="65" t="s">
        <v>94</v>
      </c>
      <c r="AC11" s="65" t="s">
        <v>94</v>
      </c>
      <c r="AD11" s="56"/>
    </row>
    <row r="12" spans="1:30">
      <c r="A12" s="63" t="s">
        <v>58</v>
      </c>
      <c r="B12" s="63"/>
      <c r="C12" s="111">
        <v>42744</v>
      </c>
      <c r="D12" s="106">
        <v>4003000</v>
      </c>
      <c r="E12" s="57" t="s">
        <v>29</v>
      </c>
      <c r="F12" s="65" t="s">
        <v>29</v>
      </c>
      <c r="G12" s="63" t="s">
        <v>1443</v>
      </c>
      <c r="H12" s="63" t="s">
        <v>1456</v>
      </c>
      <c r="I12" s="58">
        <v>410</v>
      </c>
      <c r="J12" s="58" t="s">
        <v>94</v>
      </c>
      <c r="K12" s="60" t="s">
        <v>29</v>
      </c>
      <c r="L12" s="58" t="s">
        <v>29</v>
      </c>
      <c r="M12" s="58" t="s">
        <v>29</v>
      </c>
      <c r="N12" s="58" t="s">
        <v>1479</v>
      </c>
      <c r="O12" s="58" t="s">
        <v>1480</v>
      </c>
      <c r="P12" s="61" t="s">
        <v>1459</v>
      </c>
      <c r="Q12" s="63" t="str">
        <f>IF(V12&lt;&gt;"","Completed","")</f>
        <v>Completed</v>
      </c>
      <c r="R12" s="57">
        <v>42668</v>
      </c>
      <c r="S12" s="57" t="s">
        <v>57</v>
      </c>
      <c r="T12" s="65">
        <v>96</v>
      </c>
      <c r="U12" s="273">
        <v>149</v>
      </c>
      <c r="V12" s="273">
        <v>149</v>
      </c>
      <c r="W12" s="273"/>
      <c r="X12" s="273"/>
      <c r="Y12" s="74" t="s">
        <v>44</v>
      </c>
      <c r="Z12" s="56" t="s">
        <v>1481</v>
      </c>
      <c r="AA12" s="342"/>
      <c r="AB12" s="65" t="s">
        <v>94</v>
      </c>
      <c r="AC12" s="65" t="s">
        <v>29</v>
      </c>
      <c r="AD12" s="56"/>
    </row>
    <row r="13" spans="1:30">
      <c r="A13" s="331" t="s">
        <v>1206</v>
      </c>
      <c r="B13" s="59"/>
      <c r="C13" s="57">
        <v>42755</v>
      </c>
      <c r="E13" s="65" t="s">
        <v>29</v>
      </c>
      <c r="F13" s="65" t="s">
        <v>29</v>
      </c>
      <c r="G13" s="58" t="s">
        <v>1482</v>
      </c>
      <c r="H13" s="58" t="s">
        <v>1444</v>
      </c>
      <c r="I13" s="60">
        <v>9751</v>
      </c>
      <c r="J13" s="58" t="s">
        <v>94</v>
      </c>
      <c r="K13" s="58" t="s">
        <v>29</v>
      </c>
      <c r="L13" s="58" t="s">
        <v>94</v>
      </c>
      <c r="M13" s="58" t="s">
        <v>29</v>
      </c>
      <c r="N13" s="61" t="s">
        <v>1483</v>
      </c>
      <c r="O13" s="58" t="s">
        <v>1484</v>
      </c>
      <c r="P13" s="58" t="s">
        <v>1447</v>
      </c>
      <c r="Q13" s="63" t="str">
        <f>IF(V13&lt;&gt;"","Completed","")</f>
        <v>Completed</v>
      </c>
      <c r="R13" s="64">
        <v>42716</v>
      </c>
      <c r="S13" s="64" t="s">
        <v>57</v>
      </c>
      <c r="T13" s="65">
        <v>6</v>
      </c>
      <c r="U13" s="65">
        <v>12</v>
      </c>
      <c r="V13" s="65">
        <v>12</v>
      </c>
      <c r="Y13" s="74" t="s">
        <v>44</v>
      </c>
      <c r="Z13" s="56" t="s">
        <v>1485</v>
      </c>
      <c r="AA13" s="252"/>
      <c r="AB13" s="329" t="s">
        <v>94</v>
      </c>
      <c r="AC13" s="329" t="s">
        <v>29</v>
      </c>
    </row>
    <row r="14" spans="1:30">
      <c r="A14" s="63" t="s">
        <v>58</v>
      </c>
      <c r="B14" s="63"/>
      <c r="C14" s="111">
        <v>42744</v>
      </c>
      <c r="D14" s="106">
        <v>4003000</v>
      </c>
      <c r="E14" s="57" t="s">
        <v>29</v>
      </c>
      <c r="F14" s="65" t="s">
        <v>29</v>
      </c>
      <c r="G14" s="63" t="s">
        <v>1443</v>
      </c>
      <c r="H14" s="63" t="s">
        <v>1456</v>
      </c>
      <c r="I14" s="58">
        <v>118</v>
      </c>
      <c r="J14" s="58" t="s">
        <v>94</v>
      </c>
      <c r="K14" s="60" t="s">
        <v>29</v>
      </c>
      <c r="L14" s="58" t="s">
        <v>29</v>
      </c>
      <c r="M14" s="58" t="s">
        <v>29</v>
      </c>
      <c r="N14" s="58" t="s">
        <v>1486</v>
      </c>
      <c r="O14" s="58" t="s">
        <v>1487</v>
      </c>
      <c r="P14" s="61" t="s">
        <v>1447</v>
      </c>
      <c r="Q14" s="63" t="str">
        <f>IF(V14&lt;&gt;"","Completed","")</f>
        <v>Completed</v>
      </c>
      <c r="R14" s="57">
        <v>42670</v>
      </c>
      <c r="S14" s="57" t="s">
        <v>57</v>
      </c>
      <c r="T14" s="65">
        <v>24</v>
      </c>
      <c r="U14" s="273">
        <v>43</v>
      </c>
      <c r="V14" s="273">
        <v>43</v>
      </c>
      <c r="W14" s="273"/>
      <c r="X14" s="273"/>
      <c r="Y14" s="74" t="s">
        <v>44</v>
      </c>
      <c r="Z14" s="56" t="s">
        <v>1488</v>
      </c>
      <c r="AA14" s="365">
        <f>SUM(V13:V14)</f>
        <v>55</v>
      </c>
      <c r="AB14" s="65" t="s">
        <v>94</v>
      </c>
      <c r="AC14" s="65" t="s">
        <v>29</v>
      </c>
      <c r="AD14" s="56"/>
    </row>
    <row r="15" spans="1:30">
      <c r="A15" s="244" t="s">
        <v>1006</v>
      </c>
      <c r="B15" s="62" t="s">
        <v>1007</v>
      </c>
      <c r="C15" s="57">
        <v>42713</v>
      </c>
      <c r="E15" s="65" t="s">
        <v>29</v>
      </c>
      <c r="F15" s="65" t="s">
        <v>94</v>
      </c>
      <c r="G15" s="58" t="s">
        <v>1443</v>
      </c>
      <c r="H15" s="58" t="s">
        <v>1444</v>
      </c>
      <c r="I15" s="60">
        <v>246</v>
      </c>
      <c r="J15" s="58" t="s">
        <v>29</v>
      </c>
      <c r="K15" s="58" t="s">
        <v>29</v>
      </c>
      <c r="L15" s="58" t="s">
        <v>29</v>
      </c>
      <c r="M15" s="58" t="s">
        <v>94</v>
      </c>
      <c r="N15" s="61" t="s">
        <v>1489</v>
      </c>
      <c r="O15" s="58" t="s">
        <v>1490</v>
      </c>
      <c r="P15" s="58" t="s">
        <v>1459</v>
      </c>
      <c r="Q15" s="63" t="str">
        <f>IF(V15&lt;&gt;"","Completed","")</f>
        <v>Completed</v>
      </c>
      <c r="R15" s="64">
        <v>42670</v>
      </c>
      <c r="S15" s="64" t="s">
        <v>104</v>
      </c>
      <c r="T15" s="65">
        <v>70</v>
      </c>
      <c r="V15" s="256">
        <v>114</v>
      </c>
      <c r="Y15" s="74" t="s">
        <v>44</v>
      </c>
      <c r="Z15" s="56" t="s">
        <v>1491</v>
      </c>
      <c r="AA15" s="249"/>
      <c r="AB15" s="74" t="s">
        <v>94</v>
      </c>
      <c r="AC15" s="65" t="s">
        <v>29</v>
      </c>
    </row>
    <row r="16" spans="1:30">
      <c r="A16" s="75" t="s">
        <v>664</v>
      </c>
      <c r="B16" s="59"/>
      <c r="C16" s="57"/>
      <c r="E16" s="65" t="s">
        <v>29</v>
      </c>
      <c r="F16" s="65" t="s">
        <v>29</v>
      </c>
      <c r="G16" s="58" t="s">
        <v>1443</v>
      </c>
      <c r="H16" s="58" t="s">
        <v>1456</v>
      </c>
      <c r="I16" s="60">
        <v>264</v>
      </c>
      <c r="J16" s="58" t="s">
        <v>94</v>
      </c>
      <c r="K16" s="58" t="s">
        <v>29</v>
      </c>
      <c r="L16" s="58" t="s">
        <v>94</v>
      </c>
      <c r="M16" s="58" t="s">
        <v>29</v>
      </c>
      <c r="N16" s="61" t="s">
        <v>1492</v>
      </c>
      <c r="O16" s="58" t="s">
        <v>1493</v>
      </c>
      <c r="P16" s="58" t="s">
        <v>1447</v>
      </c>
      <c r="Q16" s="63" t="str">
        <f>IF(V16&lt;&gt;"","Completed","")</f>
        <v>Completed</v>
      </c>
      <c r="R16" s="64">
        <v>42635</v>
      </c>
      <c r="S16" s="64" t="s">
        <v>222</v>
      </c>
      <c r="T16" s="65">
        <v>13</v>
      </c>
      <c r="U16" s="65">
        <v>25</v>
      </c>
      <c r="V16" s="65">
        <v>25</v>
      </c>
      <c r="Y16" s="74" t="s">
        <v>44</v>
      </c>
      <c r="Z16" s="56" t="s">
        <v>1494</v>
      </c>
      <c r="AA16" s="249"/>
      <c r="AB16" s="242" t="s">
        <v>94</v>
      </c>
    </row>
    <row r="17" spans="1:30">
      <c r="A17" s="75" t="s">
        <v>1022</v>
      </c>
      <c r="B17" s="59"/>
      <c r="C17" s="57">
        <v>42740</v>
      </c>
      <c r="E17" s="65" t="s">
        <v>29</v>
      </c>
      <c r="F17" s="65" t="s">
        <v>29</v>
      </c>
      <c r="G17" s="58" t="s">
        <v>1443</v>
      </c>
      <c r="H17" s="58" t="s">
        <v>1456</v>
      </c>
      <c r="I17" s="60">
        <v>211</v>
      </c>
      <c r="J17" s="58" t="s">
        <v>94</v>
      </c>
      <c r="K17" s="58" t="s">
        <v>29</v>
      </c>
      <c r="L17" s="58" t="s">
        <v>94</v>
      </c>
      <c r="M17" s="58" t="s">
        <v>29</v>
      </c>
      <c r="N17" s="61" t="s">
        <v>1495</v>
      </c>
      <c r="O17" s="58" t="s">
        <v>1496</v>
      </c>
      <c r="P17" s="58" t="s">
        <v>1447</v>
      </c>
      <c r="Q17" s="63" t="str">
        <f>IF(V17&lt;&gt;"","Completed","")</f>
        <v>Completed</v>
      </c>
      <c r="R17" s="64">
        <v>42672</v>
      </c>
      <c r="S17" s="64" t="s">
        <v>80</v>
      </c>
      <c r="T17" s="65">
        <v>51</v>
      </c>
      <c r="U17" s="65">
        <v>86</v>
      </c>
      <c r="V17" s="65">
        <v>86</v>
      </c>
      <c r="Y17" s="74" t="s">
        <v>44</v>
      </c>
      <c r="Z17" s="56" t="s">
        <v>1497</v>
      </c>
      <c r="AA17" s="249"/>
      <c r="AB17" s="65" t="s">
        <v>94</v>
      </c>
      <c r="AC17" s="65" t="s">
        <v>94</v>
      </c>
    </row>
    <row r="18" spans="1:30">
      <c r="A18" s="75" t="s">
        <v>803</v>
      </c>
      <c r="B18" s="59"/>
      <c r="C18" s="57">
        <v>42754</v>
      </c>
      <c r="E18" s="65" t="s">
        <v>29</v>
      </c>
      <c r="F18" s="65" t="s">
        <v>29</v>
      </c>
      <c r="G18" s="58" t="s">
        <v>1443</v>
      </c>
      <c r="H18" s="58" t="s">
        <v>1456</v>
      </c>
      <c r="I18" s="60">
        <v>423</v>
      </c>
      <c r="J18" s="58" t="s">
        <v>94</v>
      </c>
      <c r="K18" s="58" t="s">
        <v>29</v>
      </c>
      <c r="L18" s="58" t="s">
        <v>94</v>
      </c>
      <c r="M18" s="58" t="s">
        <v>29</v>
      </c>
      <c r="N18" s="61" t="s">
        <v>1498</v>
      </c>
      <c r="O18" s="58" t="s">
        <v>1499</v>
      </c>
      <c r="P18" s="58" t="s">
        <v>1447</v>
      </c>
      <c r="Q18" s="63" t="str">
        <f>IF(V18&lt;&gt;"","Completed","")</f>
        <v>Completed</v>
      </c>
      <c r="R18" s="64">
        <v>42693</v>
      </c>
      <c r="S18" s="64" t="s">
        <v>43</v>
      </c>
      <c r="T18" s="65">
        <v>65</v>
      </c>
      <c r="U18" s="65">
        <v>130</v>
      </c>
      <c r="V18" s="65">
        <v>130</v>
      </c>
      <c r="Y18" s="74" t="s">
        <v>44</v>
      </c>
      <c r="Z18" s="56" t="s">
        <v>1500</v>
      </c>
      <c r="AA18" s="249"/>
      <c r="AB18" s="74" t="s">
        <v>94</v>
      </c>
      <c r="AC18" s="74" t="s">
        <v>94</v>
      </c>
    </row>
    <row r="19" spans="1:30">
      <c r="A19" s="75" t="s">
        <v>1022</v>
      </c>
      <c r="B19" s="59"/>
      <c r="C19" s="57">
        <v>42724</v>
      </c>
      <c r="E19" s="65" t="s">
        <v>29</v>
      </c>
      <c r="F19" s="65" t="s">
        <v>29</v>
      </c>
      <c r="G19" s="58" t="s">
        <v>1443</v>
      </c>
      <c r="H19" s="58" t="s">
        <v>1456</v>
      </c>
      <c r="I19" s="60">
        <v>202</v>
      </c>
      <c r="J19" s="58" t="s">
        <v>94</v>
      </c>
      <c r="K19" s="58" t="s">
        <v>29</v>
      </c>
      <c r="L19" s="58" t="s">
        <v>94</v>
      </c>
      <c r="M19" s="58" t="s">
        <v>29</v>
      </c>
      <c r="N19" s="61" t="s">
        <v>1501</v>
      </c>
      <c r="O19" s="58" t="s">
        <v>1502</v>
      </c>
      <c r="P19" s="58" t="s">
        <v>1459</v>
      </c>
      <c r="Q19" s="63" t="str">
        <f>IF(V19&lt;&gt;"","Completed","")</f>
        <v>Completed</v>
      </c>
      <c r="R19" s="64">
        <v>42693</v>
      </c>
      <c r="S19" s="64" t="s">
        <v>80</v>
      </c>
      <c r="T19" s="65">
        <v>30</v>
      </c>
      <c r="U19" s="65">
        <v>48</v>
      </c>
      <c r="V19" s="65">
        <v>48</v>
      </c>
      <c r="Y19" s="74" t="s">
        <v>44</v>
      </c>
      <c r="Z19" s="56" t="s">
        <v>1491</v>
      </c>
      <c r="AA19" s="249"/>
      <c r="AB19" s="74" t="s">
        <v>94</v>
      </c>
      <c r="AC19" s="65" t="s">
        <v>29</v>
      </c>
    </row>
    <row r="20" spans="1:30">
      <c r="A20" s="75" t="s">
        <v>845</v>
      </c>
      <c r="B20" s="59"/>
      <c r="C20" s="57">
        <v>42744</v>
      </c>
      <c r="E20" s="65" t="s">
        <v>29</v>
      </c>
      <c r="F20" s="65" t="s">
        <v>29</v>
      </c>
      <c r="G20" s="58" t="s">
        <v>1443</v>
      </c>
      <c r="H20" s="58"/>
      <c r="I20" s="60"/>
      <c r="J20" s="58"/>
      <c r="K20" s="58"/>
      <c r="L20" s="58"/>
      <c r="M20" s="58"/>
      <c r="N20" s="80" t="s">
        <v>1503</v>
      </c>
      <c r="O20" s="201" t="s">
        <v>1504</v>
      </c>
      <c r="P20" s="58"/>
      <c r="Q20" s="63" t="str">
        <f>IF(V20&lt;&gt;"","Completed","")</f>
        <v>Completed</v>
      </c>
      <c r="R20" s="64">
        <v>42707</v>
      </c>
      <c r="S20" s="386" t="s">
        <v>397</v>
      </c>
      <c r="T20" s="65">
        <v>15</v>
      </c>
      <c r="U20" s="65">
        <v>30</v>
      </c>
      <c r="V20" s="65">
        <v>30</v>
      </c>
      <c r="Y20" s="74" t="s">
        <v>44</v>
      </c>
      <c r="Z20" s="56" t="s">
        <v>1505</v>
      </c>
      <c r="AA20" s="249"/>
      <c r="AB20" s="65" t="s">
        <v>94</v>
      </c>
      <c r="AC20" s="347" t="s">
        <v>29</v>
      </c>
    </row>
    <row r="21" spans="1:30">
      <c r="A21" s="244" t="s">
        <v>811</v>
      </c>
      <c r="B21" s="59"/>
      <c r="C21" s="57">
        <v>42739</v>
      </c>
      <c r="E21" s="65" t="s">
        <v>29</v>
      </c>
      <c r="F21" s="65" t="s">
        <v>29</v>
      </c>
      <c r="G21" s="58"/>
      <c r="H21" s="58"/>
      <c r="I21" s="60"/>
      <c r="J21" s="58"/>
      <c r="K21" s="58"/>
      <c r="L21" s="58"/>
      <c r="M21" s="58"/>
      <c r="N21" s="269" t="s">
        <v>1506</v>
      </c>
      <c r="O21" s="360" t="s">
        <v>1507</v>
      </c>
      <c r="P21" s="58"/>
      <c r="Q21" s="63" t="str">
        <f>IF(V21&lt;&gt;"","Completed","")</f>
        <v>Completed</v>
      </c>
      <c r="R21" s="64">
        <v>42705</v>
      </c>
      <c r="S21" s="64" t="s">
        <v>43</v>
      </c>
      <c r="T21" s="65">
        <v>10</v>
      </c>
      <c r="U21" s="242">
        <v>14</v>
      </c>
      <c r="V21" s="242">
        <v>14</v>
      </c>
      <c r="W21" s="242"/>
      <c r="X21" s="242"/>
      <c r="Y21" s="74" t="s">
        <v>44</v>
      </c>
      <c r="Z21" s="345" t="s">
        <v>1508</v>
      </c>
      <c r="AA21" s="92">
        <f>V21</f>
        <v>14</v>
      </c>
      <c r="AB21" s="65" t="s">
        <v>94</v>
      </c>
      <c r="AC21" s="65" t="s">
        <v>29</v>
      </c>
    </row>
    <row r="22" spans="1:30">
      <c r="A22" s="331" t="s">
        <v>1206</v>
      </c>
      <c r="B22" s="59"/>
      <c r="C22" s="57">
        <v>42753</v>
      </c>
      <c r="E22" s="65" t="s">
        <v>29</v>
      </c>
      <c r="F22" s="65" t="s">
        <v>29</v>
      </c>
      <c r="G22" s="58" t="s">
        <v>1509</v>
      </c>
      <c r="H22" s="58" t="s">
        <v>1444</v>
      </c>
      <c r="I22" s="60">
        <v>0</v>
      </c>
      <c r="J22" s="58" t="s">
        <v>94</v>
      </c>
      <c r="K22" s="58" t="s">
        <v>29</v>
      </c>
      <c r="L22" s="58" t="s">
        <v>94</v>
      </c>
      <c r="M22" s="58" t="s">
        <v>29</v>
      </c>
      <c r="N22" s="61" t="s">
        <v>1510</v>
      </c>
      <c r="O22" s="58" t="s">
        <v>1511</v>
      </c>
      <c r="P22" s="58" t="s">
        <v>1447</v>
      </c>
      <c r="Q22" s="63" t="str">
        <f>IF(V22&lt;&gt;"","Completed","")</f>
        <v>Completed</v>
      </c>
      <c r="R22" s="64">
        <v>42720</v>
      </c>
      <c r="S22" s="64" t="s">
        <v>57</v>
      </c>
      <c r="T22" s="65">
        <v>11</v>
      </c>
      <c r="U22" s="65">
        <v>22</v>
      </c>
      <c r="V22" s="65">
        <v>22</v>
      </c>
      <c r="Y22" s="74" t="s">
        <v>44</v>
      </c>
      <c r="Z22" s="56" t="s">
        <v>1512</v>
      </c>
      <c r="AA22" s="252"/>
      <c r="AB22" s="242" t="s">
        <v>94</v>
      </c>
    </row>
    <row r="23" spans="1:30">
      <c r="A23" s="75" t="s">
        <v>929</v>
      </c>
      <c r="B23" s="59"/>
      <c r="C23" s="57">
        <v>42790</v>
      </c>
      <c r="E23" s="65" t="s">
        <v>29</v>
      </c>
      <c r="F23" s="65" t="s">
        <v>94</v>
      </c>
      <c r="G23" s="58" t="s">
        <v>1443</v>
      </c>
      <c r="H23" s="58" t="s">
        <v>1444</v>
      </c>
      <c r="I23" s="60">
        <v>0</v>
      </c>
      <c r="J23" s="58" t="s">
        <v>94</v>
      </c>
      <c r="K23" s="58" t="s">
        <v>29</v>
      </c>
      <c r="L23" s="58" t="s">
        <v>94</v>
      </c>
      <c r="M23" s="58" t="s">
        <v>94</v>
      </c>
      <c r="N23" s="61" t="s">
        <v>1513</v>
      </c>
      <c r="O23" s="58" t="s">
        <v>1514</v>
      </c>
      <c r="P23" s="58" t="s">
        <v>1447</v>
      </c>
      <c r="Q23" s="63" t="str">
        <f>IF(V23&lt;&gt;"","Completed","")</f>
        <v>Completed</v>
      </c>
      <c r="R23" s="64">
        <v>42636</v>
      </c>
      <c r="S23" s="386" t="s">
        <v>172</v>
      </c>
      <c r="T23" s="65">
        <v>26</v>
      </c>
      <c r="U23" s="256">
        <v>52</v>
      </c>
      <c r="V23" s="256">
        <v>52</v>
      </c>
      <c r="Y23" s="74" t="s">
        <v>44</v>
      </c>
      <c r="Z23" s="56" t="s">
        <v>1515</v>
      </c>
      <c r="AA23" s="249"/>
      <c r="AB23" s="65" t="s">
        <v>94</v>
      </c>
      <c r="AC23" s="65" t="s">
        <v>29</v>
      </c>
    </row>
    <row r="24" spans="1:30">
      <c r="A24" s="261" t="s">
        <v>81</v>
      </c>
      <c r="B24" s="63" t="s">
        <v>82</v>
      </c>
      <c r="C24" s="112">
        <v>42709</v>
      </c>
      <c r="D24" s="315">
        <v>1008000</v>
      </c>
      <c r="E24" s="57" t="s">
        <v>29</v>
      </c>
      <c r="F24" s="65" t="s">
        <v>29</v>
      </c>
      <c r="G24" s="63" t="s">
        <v>1443</v>
      </c>
      <c r="H24" s="63" t="s">
        <v>1456</v>
      </c>
      <c r="I24" s="58">
        <v>0</v>
      </c>
      <c r="J24" s="58" t="s">
        <v>94</v>
      </c>
      <c r="K24" s="60" t="s">
        <v>29</v>
      </c>
      <c r="L24" s="58" t="s">
        <v>94</v>
      </c>
      <c r="M24" s="58" t="s">
        <v>29</v>
      </c>
      <c r="N24" s="373" t="s">
        <v>1516</v>
      </c>
      <c r="O24" s="373" t="s">
        <v>1517</v>
      </c>
      <c r="P24" s="61" t="s">
        <v>1447</v>
      </c>
      <c r="Q24" s="63" t="str">
        <f>IF(V24&lt;&gt;"","Completed","")</f>
        <v>Completed</v>
      </c>
      <c r="R24" s="57">
        <v>42620</v>
      </c>
      <c r="S24" s="57" t="s">
        <v>80</v>
      </c>
      <c r="T24" s="65">
        <v>55</v>
      </c>
      <c r="U24" s="273">
        <v>95</v>
      </c>
      <c r="V24" s="273">
        <v>95</v>
      </c>
      <c r="W24" s="273"/>
      <c r="X24" s="273"/>
      <c r="Y24" s="74" t="s">
        <v>44</v>
      </c>
      <c r="Z24" s="148" t="s">
        <v>1518</v>
      </c>
      <c r="AA24" s="104"/>
      <c r="AB24" s="242" t="s">
        <v>94</v>
      </c>
      <c r="AC24" s="242" t="s">
        <v>29</v>
      </c>
      <c r="AD24" s="56"/>
    </row>
    <row r="25" spans="1:30">
      <c r="A25" s="261" t="s">
        <v>81</v>
      </c>
      <c r="B25" s="63" t="s">
        <v>82</v>
      </c>
      <c r="C25" s="112">
        <v>42709</v>
      </c>
      <c r="D25" s="315">
        <v>1008000</v>
      </c>
      <c r="E25" s="57" t="s">
        <v>29</v>
      </c>
      <c r="F25" s="65" t="s">
        <v>29</v>
      </c>
      <c r="G25" s="63" t="s">
        <v>1443</v>
      </c>
      <c r="H25" s="63" t="s">
        <v>1456</v>
      </c>
      <c r="I25" s="58">
        <v>0</v>
      </c>
      <c r="J25" s="58" t="s">
        <v>94</v>
      </c>
      <c r="K25" s="60" t="s">
        <v>29</v>
      </c>
      <c r="L25" s="58" t="s">
        <v>94</v>
      </c>
      <c r="M25" s="58" t="s">
        <v>29</v>
      </c>
      <c r="N25" s="373" t="s">
        <v>1519</v>
      </c>
      <c r="O25" s="373" t="s">
        <v>1520</v>
      </c>
      <c r="P25" s="61" t="s">
        <v>1447</v>
      </c>
      <c r="Q25" s="63" t="str">
        <f>IF(V25&lt;&gt;"","Completed","")</f>
        <v>Completed</v>
      </c>
      <c r="R25" s="57">
        <v>42621</v>
      </c>
      <c r="S25" s="57" t="s">
        <v>80</v>
      </c>
      <c r="T25" s="65">
        <v>40</v>
      </c>
      <c r="U25" s="273">
        <v>77</v>
      </c>
      <c r="V25" s="273">
        <v>77</v>
      </c>
      <c r="W25" s="273"/>
      <c r="X25" s="273"/>
      <c r="Y25" s="74" t="s">
        <v>44</v>
      </c>
      <c r="Z25" s="148" t="s">
        <v>1521</v>
      </c>
      <c r="AA25" s="104"/>
      <c r="AB25" s="242" t="s">
        <v>94</v>
      </c>
      <c r="AC25" s="242" t="s">
        <v>29</v>
      </c>
      <c r="AD25" s="56"/>
    </row>
    <row r="26" spans="1:30">
      <c r="A26" s="75" t="s">
        <v>845</v>
      </c>
      <c r="B26" s="59"/>
      <c r="C26" s="57">
        <v>42709</v>
      </c>
      <c r="E26" s="65" t="s">
        <v>29</v>
      </c>
      <c r="F26" s="65" t="s">
        <v>29</v>
      </c>
      <c r="G26" s="58" t="s">
        <v>1443</v>
      </c>
      <c r="H26" s="58" t="s">
        <v>1444</v>
      </c>
      <c r="I26" s="60">
        <v>364</v>
      </c>
      <c r="J26" s="58" t="s">
        <v>94</v>
      </c>
      <c r="K26" s="58" t="s">
        <v>29</v>
      </c>
      <c r="L26" s="58" t="s">
        <v>94</v>
      </c>
      <c r="M26" s="58" t="s">
        <v>29</v>
      </c>
      <c r="N26" s="61" t="s">
        <v>1522</v>
      </c>
      <c r="O26" s="58" t="s">
        <v>1523</v>
      </c>
      <c r="P26" s="58" t="s">
        <v>1459</v>
      </c>
      <c r="Q26" s="63" t="str">
        <f>IF(V26&lt;&gt;"","Completed","")</f>
        <v>Completed</v>
      </c>
      <c r="R26" s="64">
        <v>42651</v>
      </c>
      <c r="S26" s="386" t="s">
        <v>397</v>
      </c>
      <c r="T26" s="65">
        <v>10</v>
      </c>
      <c r="U26" s="65">
        <v>18</v>
      </c>
      <c r="V26" s="65">
        <v>18</v>
      </c>
      <c r="Y26" s="74" t="s">
        <v>44</v>
      </c>
      <c r="Z26" s="56" t="s">
        <v>1524</v>
      </c>
      <c r="AA26" s="249"/>
      <c r="AB26" s="65" t="s">
        <v>94</v>
      </c>
      <c r="AC26" s="65" t="s">
        <v>29</v>
      </c>
    </row>
    <row r="27" spans="1:30">
      <c r="A27" s="75" t="s">
        <v>331</v>
      </c>
      <c r="B27" s="59"/>
      <c r="C27" s="57">
        <v>42720</v>
      </c>
      <c r="D27" s="65">
        <v>1061000</v>
      </c>
      <c r="E27" s="65" t="s">
        <v>29</v>
      </c>
      <c r="F27" s="65" t="s">
        <v>94</v>
      </c>
      <c r="G27" s="58" t="s">
        <v>1443</v>
      </c>
      <c r="H27" s="58" t="s">
        <v>1456</v>
      </c>
      <c r="I27" s="60">
        <v>374</v>
      </c>
      <c r="J27" s="58" t="s">
        <v>94</v>
      </c>
      <c r="K27" s="58" t="s">
        <v>29</v>
      </c>
      <c r="L27" s="58" t="s">
        <v>94</v>
      </c>
      <c r="M27" s="58" t="s">
        <v>94</v>
      </c>
      <c r="N27" s="61" t="s">
        <v>1525</v>
      </c>
      <c r="O27" s="58" t="s">
        <v>1526</v>
      </c>
      <c r="P27" s="58" t="s">
        <v>1459</v>
      </c>
      <c r="Q27" s="63" t="str">
        <f>IF(V27&lt;&gt;"","Completed","")</f>
        <v>Completed</v>
      </c>
      <c r="R27" s="64">
        <v>42655</v>
      </c>
      <c r="S27" s="64" t="s">
        <v>104</v>
      </c>
      <c r="T27" s="65">
        <v>13</v>
      </c>
      <c r="V27" s="256">
        <v>26</v>
      </c>
      <c r="Y27" s="74" t="s">
        <v>44</v>
      </c>
      <c r="Z27" s="56" t="s">
        <v>1527</v>
      </c>
      <c r="AA27" s="249"/>
      <c r="AB27" s="151" t="s">
        <v>94</v>
      </c>
      <c r="AC27" s="324" t="s">
        <v>29</v>
      </c>
      <c r="AD27" s="349"/>
    </row>
    <row r="28" spans="1:30">
      <c r="A28" s="75" t="s">
        <v>1159</v>
      </c>
      <c r="B28" s="59"/>
      <c r="C28" s="57">
        <v>42741</v>
      </c>
      <c r="E28" s="65" t="s">
        <v>29</v>
      </c>
      <c r="F28" s="65" t="s">
        <v>29</v>
      </c>
      <c r="G28" s="58" t="s">
        <v>1443</v>
      </c>
      <c r="H28" s="58" t="s">
        <v>1449</v>
      </c>
      <c r="I28" s="60">
        <v>319</v>
      </c>
      <c r="J28" s="58" t="s">
        <v>94</v>
      </c>
      <c r="K28" s="58" t="s">
        <v>29</v>
      </c>
      <c r="L28" s="58" t="s">
        <v>94</v>
      </c>
      <c r="M28" s="58" t="s">
        <v>94</v>
      </c>
      <c r="N28" s="61" t="s">
        <v>1528</v>
      </c>
      <c r="O28" s="58" t="s">
        <v>1529</v>
      </c>
      <c r="P28" s="58" t="s">
        <v>1447</v>
      </c>
      <c r="Q28" s="63" t="str">
        <f>IF(V28&lt;&gt;"","Completed","")</f>
        <v>Completed</v>
      </c>
      <c r="R28" s="64">
        <v>42640</v>
      </c>
      <c r="S28" s="64" t="s">
        <v>57</v>
      </c>
      <c r="T28" s="65">
        <v>55</v>
      </c>
      <c r="U28" s="65">
        <v>87</v>
      </c>
      <c r="V28" s="65">
        <v>87</v>
      </c>
      <c r="Y28" s="74" t="s">
        <v>44</v>
      </c>
      <c r="Z28" s="56" t="s">
        <v>1530</v>
      </c>
      <c r="AA28" s="252"/>
      <c r="AB28" s="329" t="s">
        <v>94</v>
      </c>
      <c r="AC28" s="329" t="s">
        <v>94</v>
      </c>
    </row>
    <row r="29" spans="1:30">
      <c r="A29" s="75" t="s">
        <v>838</v>
      </c>
      <c r="B29" s="59"/>
      <c r="C29" s="57">
        <v>42648</v>
      </c>
      <c r="E29" s="65" t="s">
        <v>29</v>
      </c>
      <c r="F29" s="65" t="s">
        <v>29</v>
      </c>
      <c r="G29" s="58" t="s">
        <v>1443</v>
      </c>
      <c r="H29" s="58" t="s">
        <v>1456</v>
      </c>
      <c r="I29" s="60">
        <v>449</v>
      </c>
      <c r="J29" s="58" t="s">
        <v>29</v>
      </c>
      <c r="K29" s="58" t="s">
        <v>29</v>
      </c>
      <c r="L29" s="58" t="s">
        <v>94</v>
      </c>
      <c r="M29" s="58" t="s">
        <v>29</v>
      </c>
      <c r="N29" s="61" t="s">
        <v>1531</v>
      </c>
      <c r="O29" s="58" t="s">
        <v>1532</v>
      </c>
      <c r="P29" s="58" t="s">
        <v>1459</v>
      </c>
      <c r="Q29" s="63" t="str">
        <f>IF(V29&lt;&gt;"","Completed","")</f>
        <v>Completed</v>
      </c>
      <c r="R29" s="64">
        <v>42635</v>
      </c>
      <c r="S29" s="64" t="s">
        <v>222</v>
      </c>
      <c r="T29" s="65">
        <v>10</v>
      </c>
      <c r="U29" s="65">
        <v>20</v>
      </c>
      <c r="V29" s="65">
        <v>20</v>
      </c>
      <c r="Y29" s="74" t="s">
        <v>44</v>
      </c>
      <c r="Z29" s="56" t="s">
        <v>1533</v>
      </c>
      <c r="AA29" s="252"/>
      <c r="AB29" s="242" t="s">
        <v>94</v>
      </c>
    </row>
    <row r="30" spans="1:30">
      <c r="A30" s="332" t="s">
        <v>93</v>
      </c>
      <c r="B30" s="59"/>
      <c r="C30" s="57">
        <v>42772</v>
      </c>
      <c r="D30" s="65">
        <v>3010000</v>
      </c>
      <c r="E30" s="65" t="s">
        <v>29</v>
      </c>
      <c r="F30" s="65" t="s">
        <v>94</v>
      </c>
      <c r="G30" s="58" t="s">
        <v>1443</v>
      </c>
      <c r="H30" s="58" t="s">
        <v>1444</v>
      </c>
      <c r="I30" s="60">
        <v>0</v>
      </c>
      <c r="J30" s="58" t="s">
        <v>94</v>
      </c>
      <c r="K30" s="58" t="s">
        <v>29</v>
      </c>
      <c r="L30" s="58" t="s">
        <v>94</v>
      </c>
      <c r="M30" s="58" t="s">
        <v>94</v>
      </c>
      <c r="N30" s="61" t="s">
        <v>1534</v>
      </c>
      <c r="O30" s="58" t="s">
        <v>1535</v>
      </c>
      <c r="P30" s="58" t="s">
        <v>1447</v>
      </c>
      <c r="Q30" s="63" t="str">
        <f>IF(V30&lt;&gt;"","Completed","")</f>
        <v>Completed</v>
      </c>
      <c r="R30" s="327">
        <v>42753</v>
      </c>
      <c r="S30" s="327" t="s">
        <v>104</v>
      </c>
      <c r="T30" s="65">
        <v>13</v>
      </c>
      <c r="V30" s="256">
        <v>28</v>
      </c>
      <c r="Y30" s="74" t="s">
        <v>44</v>
      </c>
      <c r="Z30" s="56" t="s">
        <v>1536</v>
      </c>
      <c r="AA30" s="118">
        <f>V30</f>
        <v>28</v>
      </c>
      <c r="AB30" s="65" t="s">
        <v>94</v>
      </c>
      <c r="AC30" s="65" t="s">
        <v>94</v>
      </c>
    </row>
    <row r="31" spans="1:30">
      <c r="A31" s="332" t="s">
        <v>664</v>
      </c>
      <c r="B31" s="59"/>
      <c r="C31" s="57"/>
      <c r="E31" s="65" t="s">
        <v>29</v>
      </c>
      <c r="F31" s="65" t="s">
        <v>29</v>
      </c>
      <c r="G31" s="58" t="s">
        <v>1443</v>
      </c>
      <c r="H31" s="58" t="s">
        <v>1456</v>
      </c>
      <c r="I31" s="60">
        <v>493</v>
      </c>
      <c r="J31" s="58" t="s">
        <v>29</v>
      </c>
      <c r="K31" s="58" t="s">
        <v>29</v>
      </c>
      <c r="L31" s="58" t="s">
        <v>94</v>
      </c>
      <c r="M31" s="58" t="s">
        <v>29</v>
      </c>
      <c r="N31" s="61" t="s">
        <v>1537</v>
      </c>
      <c r="O31" s="58" t="s">
        <v>1538</v>
      </c>
      <c r="P31" s="58" t="s">
        <v>1447</v>
      </c>
      <c r="Q31" s="63" t="str">
        <f>IF(V31&lt;&gt;"","Completed","")</f>
        <v>Completed</v>
      </c>
      <c r="R31" s="64">
        <v>42538</v>
      </c>
      <c r="S31" s="64" t="s">
        <v>222</v>
      </c>
      <c r="T31" s="150">
        <v>36</v>
      </c>
      <c r="U31" s="65">
        <v>54</v>
      </c>
      <c r="V31" s="65">
        <v>54</v>
      </c>
      <c r="Y31" s="74" t="s">
        <v>44</v>
      </c>
      <c r="Z31" s="345" t="s">
        <v>220</v>
      </c>
      <c r="AA31" s="249"/>
      <c r="AB31" s="242" t="s">
        <v>94</v>
      </c>
      <c r="AC31" s="65" t="s">
        <v>29</v>
      </c>
    </row>
    <row r="32" spans="1:30">
      <c r="A32" s="75" t="s">
        <v>502</v>
      </c>
      <c r="B32" s="59"/>
      <c r="C32" s="57">
        <v>42794</v>
      </c>
      <c r="E32" s="65" t="s">
        <v>29</v>
      </c>
      <c r="F32" s="65" t="s">
        <v>29</v>
      </c>
      <c r="G32" s="58"/>
      <c r="H32" s="58"/>
      <c r="I32" s="60"/>
      <c r="J32" s="58"/>
      <c r="K32" s="58"/>
      <c r="L32" s="58"/>
      <c r="M32" s="58"/>
      <c r="N32" s="115" t="s">
        <v>1539</v>
      </c>
      <c r="O32" s="116" t="s">
        <v>1540</v>
      </c>
      <c r="P32" s="58"/>
      <c r="Q32" s="63" t="str">
        <f>IF(V32&lt;&gt;"","Completed","")</f>
        <v>Completed</v>
      </c>
      <c r="R32" s="64">
        <v>42756</v>
      </c>
      <c r="S32" s="64" t="s">
        <v>57</v>
      </c>
      <c r="T32" s="65">
        <v>8</v>
      </c>
      <c r="U32" s="65">
        <v>16</v>
      </c>
      <c r="V32" s="65">
        <v>16</v>
      </c>
      <c r="Y32" s="74" t="s">
        <v>44</v>
      </c>
      <c r="Z32" s="56" t="s">
        <v>1541</v>
      </c>
      <c r="AA32" s="249"/>
      <c r="AB32" s="65" t="s">
        <v>94</v>
      </c>
      <c r="AC32" s="65" t="s">
        <v>1453</v>
      </c>
      <c r="AD32" s="56"/>
    </row>
    <row r="33" spans="1:30">
      <c r="A33" s="75" t="s">
        <v>1197</v>
      </c>
      <c r="B33" s="59"/>
      <c r="C33" s="57">
        <v>42739</v>
      </c>
      <c r="E33" s="65" t="s">
        <v>29</v>
      </c>
      <c r="F33" s="65" t="s">
        <v>94</v>
      </c>
      <c r="G33" s="58" t="s">
        <v>1443</v>
      </c>
      <c r="H33" s="58" t="s">
        <v>1456</v>
      </c>
      <c r="I33" s="60">
        <v>450</v>
      </c>
      <c r="J33" s="58" t="s">
        <v>29</v>
      </c>
      <c r="K33" s="58" t="s">
        <v>29</v>
      </c>
      <c r="L33" s="58" t="s">
        <v>94</v>
      </c>
      <c r="M33" s="58" t="s">
        <v>94</v>
      </c>
      <c r="N33" s="61" t="s">
        <v>1542</v>
      </c>
      <c r="O33" s="58" t="s">
        <v>1543</v>
      </c>
      <c r="P33" s="58" t="s">
        <v>1447</v>
      </c>
      <c r="Q33" s="63" t="str">
        <f>IF(V33&lt;&gt;"","Completed","")</f>
        <v>Completed</v>
      </c>
      <c r="R33" s="64">
        <v>42651</v>
      </c>
      <c r="S33" s="64" t="s">
        <v>104</v>
      </c>
      <c r="T33" s="65">
        <v>71</v>
      </c>
      <c r="V33" s="256">
        <v>126</v>
      </c>
      <c r="Y33" s="74" t="s">
        <v>44</v>
      </c>
      <c r="Z33" s="56" t="s">
        <v>1481</v>
      </c>
      <c r="AA33" s="249"/>
      <c r="AB33" s="74" t="s">
        <v>94</v>
      </c>
      <c r="AC33" s="74" t="s">
        <v>29</v>
      </c>
    </row>
    <row r="34" spans="1:30">
      <c r="A34" s="75" t="s">
        <v>1022</v>
      </c>
      <c r="B34" s="59"/>
      <c r="C34" s="57">
        <v>42740</v>
      </c>
      <c r="E34" s="65" t="s">
        <v>29</v>
      </c>
      <c r="F34" s="65" t="s">
        <v>29</v>
      </c>
      <c r="G34" s="58" t="s">
        <v>1443</v>
      </c>
      <c r="H34" s="58" t="s">
        <v>1456</v>
      </c>
      <c r="I34" s="60">
        <v>223</v>
      </c>
      <c r="J34" s="58" t="s">
        <v>94</v>
      </c>
      <c r="K34" s="58" t="s">
        <v>29</v>
      </c>
      <c r="L34" s="58" t="s">
        <v>94</v>
      </c>
      <c r="M34" s="58" t="s">
        <v>29</v>
      </c>
      <c r="N34" s="61" t="s">
        <v>1544</v>
      </c>
      <c r="O34" s="58" t="s">
        <v>1545</v>
      </c>
      <c r="P34" s="58" t="s">
        <v>1447</v>
      </c>
      <c r="Q34" s="63" t="str">
        <f>IF(V34&lt;&gt;"","Completed","")</f>
        <v>Completed</v>
      </c>
      <c r="R34" s="64">
        <v>42679</v>
      </c>
      <c r="S34" s="64" t="s">
        <v>80</v>
      </c>
      <c r="T34" s="65">
        <v>26</v>
      </c>
      <c r="U34" s="65">
        <v>51</v>
      </c>
      <c r="V34" s="65">
        <v>51</v>
      </c>
      <c r="Y34" s="74" t="s">
        <v>44</v>
      </c>
      <c r="Z34" s="147" t="s">
        <v>1546</v>
      </c>
      <c r="AA34" s="249" t="s">
        <v>296</v>
      </c>
      <c r="AB34" s="74" t="s">
        <v>94</v>
      </c>
      <c r="AC34" s="65" t="s">
        <v>29</v>
      </c>
    </row>
    <row r="35" spans="1:30">
      <c r="A35" s="75" t="s">
        <v>273</v>
      </c>
      <c r="B35" s="59"/>
      <c r="C35" s="57">
        <v>42748</v>
      </c>
      <c r="D35" s="65">
        <v>4044000</v>
      </c>
      <c r="E35" s="65" t="s">
        <v>29</v>
      </c>
      <c r="F35" s="65" t="s">
        <v>29</v>
      </c>
      <c r="G35" s="58" t="s">
        <v>1443</v>
      </c>
      <c r="H35" s="58" t="s">
        <v>1456</v>
      </c>
      <c r="I35" s="60">
        <v>0</v>
      </c>
      <c r="J35" s="58" t="s">
        <v>94</v>
      </c>
      <c r="K35" s="58" t="s">
        <v>29</v>
      </c>
      <c r="L35" s="58" t="s">
        <v>94</v>
      </c>
      <c r="M35" s="58" t="s">
        <v>29</v>
      </c>
      <c r="N35" s="61" t="s">
        <v>1547</v>
      </c>
      <c r="O35" s="58" t="s">
        <v>1548</v>
      </c>
      <c r="P35" s="58" t="s">
        <v>1447</v>
      </c>
      <c r="Q35" s="63" t="str">
        <f>IF(V35&lt;&gt;"","Completed","")</f>
        <v>Completed</v>
      </c>
      <c r="R35" s="341">
        <v>42682</v>
      </c>
      <c r="S35" s="341" t="s">
        <v>43</v>
      </c>
      <c r="T35" s="65">
        <v>41</v>
      </c>
      <c r="U35" s="256">
        <v>71</v>
      </c>
      <c r="V35" s="256">
        <v>71</v>
      </c>
      <c r="Y35" s="74" t="s">
        <v>44</v>
      </c>
      <c r="Z35" s="56" t="s">
        <v>1549</v>
      </c>
      <c r="AA35" s="252"/>
      <c r="AB35" s="65" t="s">
        <v>94</v>
      </c>
      <c r="AC35" s="65" t="s">
        <v>94</v>
      </c>
      <c r="AD35" s="349"/>
    </row>
    <row r="36" spans="1:30">
      <c r="A36" s="332" t="s">
        <v>115</v>
      </c>
      <c r="B36" s="59"/>
      <c r="C36" s="57">
        <v>42733</v>
      </c>
      <c r="D36" s="65">
        <v>3014000</v>
      </c>
      <c r="E36" s="65" t="s">
        <v>29</v>
      </c>
      <c r="F36" s="65" t="s">
        <v>29</v>
      </c>
      <c r="G36" s="58" t="s">
        <v>1443</v>
      </c>
      <c r="H36" s="58" t="s">
        <v>1444</v>
      </c>
      <c r="I36" s="60">
        <v>0</v>
      </c>
      <c r="J36" s="58" t="s">
        <v>29</v>
      </c>
      <c r="K36" s="58" t="s">
        <v>29</v>
      </c>
      <c r="L36" s="58" t="s">
        <v>94</v>
      </c>
      <c r="M36" s="58" t="s">
        <v>29</v>
      </c>
      <c r="N36" s="61" t="s">
        <v>1550</v>
      </c>
      <c r="O36" s="58" t="s">
        <v>1551</v>
      </c>
      <c r="P36" s="58" t="s">
        <v>1459</v>
      </c>
      <c r="Q36" s="63" t="str">
        <f>IF(V36&lt;&gt;"","Completed","")</f>
        <v>Completed</v>
      </c>
      <c r="R36" s="64">
        <v>42669</v>
      </c>
      <c r="S36" s="64" t="s">
        <v>43</v>
      </c>
      <c r="T36" s="65">
        <v>88</v>
      </c>
      <c r="U36" s="65">
        <v>167</v>
      </c>
      <c r="V36" s="65">
        <v>167</v>
      </c>
      <c r="Y36" s="74" t="s">
        <v>44</v>
      </c>
      <c r="Z36" s="56" t="s">
        <v>1552</v>
      </c>
      <c r="AA36" s="249"/>
      <c r="AB36" s="151" t="s">
        <v>94</v>
      </c>
      <c r="AC36" s="242" t="s">
        <v>94</v>
      </c>
    </row>
    <row r="37" spans="1:30">
      <c r="A37" s="75" t="s">
        <v>115</v>
      </c>
      <c r="B37" s="59"/>
      <c r="C37" s="247">
        <v>42740</v>
      </c>
      <c r="D37" s="65">
        <v>3014000</v>
      </c>
      <c r="E37" s="65" t="s">
        <v>29</v>
      </c>
      <c r="F37" s="65" t="s">
        <v>29</v>
      </c>
      <c r="G37" s="58" t="s">
        <v>1443</v>
      </c>
      <c r="H37" s="58" t="s">
        <v>1444</v>
      </c>
      <c r="I37" s="60">
        <v>0</v>
      </c>
      <c r="J37" s="58" t="s">
        <v>94</v>
      </c>
      <c r="K37" s="58" t="s">
        <v>29</v>
      </c>
      <c r="L37" s="58" t="s">
        <v>94</v>
      </c>
      <c r="M37" s="58" t="s">
        <v>29</v>
      </c>
      <c r="N37" s="61" t="s">
        <v>1553</v>
      </c>
      <c r="O37" s="58" t="s">
        <v>1554</v>
      </c>
      <c r="P37" s="58" t="s">
        <v>1459</v>
      </c>
      <c r="Q37" s="63" t="str">
        <f>IF(V37&lt;&gt;"","Completed","")</f>
        <v>Completed</v>
      </c>
      <c r="R37" s="64">
        <v>42669</v>
      </c>
      <c r="S37" s="64" t="s">
        <v>43</v>
      </c>
      <c r="T37" s="65">
        <v>53</v>
      </c>
      <c r="U37" s="65">
        <v>106</v>
      </c>
      <c r="V37" s="65">
        <v>106</v>
      </c>
      <c r="Y37" s="74" t="s">
        <v>44</v>
      </c>
      <c r="Z37" s="56" t="s">
        <v>1555</v>
      </c>
      <c r="AA37" s="249"/>
      <c r="AB37" s="151" t="s">
        <v>94</v>
      </c>
      <c r="AC37" s="151" t="s">
        <v>29</v>
      </c>
    </row>
    <row r="38" spans="1:30">
      <c r="A38" s="75" t="s">
        <v>729</v>
      </c>
      <c r="B38" s="59"/>
      <c r="C38" s="57">
        <v>42706</v>
      </c>
      <c r="E38" s="65" t="s">
        <v>29</v>
      </c>
      <c r="F38" s="65" t="s">
        <v>94</v>
      </c>
      <c r="G38" s="58" t="s">
        <v>1443</v>
      </c>
      <c r="H38" s="58" t="s">
        <v>1456</v>
      </c>
      <c r="I38" s="60">
        <v>0</v>
      </c>
      <c r="J38" s="58" t="s">
        <v>94</v>
      </c>
      <c r="K38" s="58" t="s">
        <v>29</v>
      </c>
      <c r="L38" s="58" t="s">
        <v>94</v>
      </c>
      <c r="M38" s="58" t="s">
        <v>94</v>
      </c>
      <c r="N38" s="61" t="s">
        <v>1556</v>
      </c>
      <c r="O38" s="294" t="s">
        <v>1557</v>
      </c>
      <c r="P38" s="58" t="s">
        <v>1447</v>
      </c>
      <c r="Q38" s="63" t="str">
        <f>IF(V38&lt;&gt;"","Completed","")</f>
        <v>Completed</v>
      </c>
      <c r="R38" s="64">
        <v>42666</v>
      </c>
      <c r="S38" s="64" t="s">
        <v>104</v>
      </c>
      <c r="T38" s="65">
        <v>59</v>
      </c>
      <c r="V38" s="256">
        <v>94</v>
      </c>
      <c r="Y38" s="74" t="s">
        <v>44</v>
      </c>
      <c r="Z38" s="257" t="s">
        <v>1558</v>
      </c>
      <c r="AA38" s="118">
        <f>V38</f>
        <v>94</v>
      </c>
      <c r="AB38" s="242" t="s">
        <v>94</v>
      </c>
    </row>
    <row r="39" spans="1:30">
      <c r="A39" s="75" t="s">
        <v>929</v>
      </c>
      <c r="B39" s="59"/>
      <c r="C39" s="57">
        <v>42790</v>
      </c>
      <c r="E39" s="65" t="s">
        <v>29</v>
      </c>
      <c r="F39" s="65" t="s">
        <v>94</v>
      </c>
      <c r="G39" s="58" t="s">
        <v>1443</v>
      </c>
      <c r="H39" s="58" t="s">
        <v>1444</v>
      </c>
      <c r="I39" s="60">
        <v>226</v>
      </c>
      <c r="J39" s="58" t="s">
        <v>94</v>
      </c>
      <c r="K39" s="58" t="s">
        <v>29</v>
      </c>
      <c r="L39" s="58" t="s">
        <v>94</v>
      </c>
      <c r="M39" s="58" t="s">
        <v>94</v>
      </c>
      <c r="N39" s="61" t="s">
        <v>1559</v>
      </c>
      <c r="O39" s="58" t="s">
        <v>1560</v>
      </c>
      <c r="P39" s="58" t="s">
        <v>1447</v>
      </c>
      <c r="Q39" s="63" t="str">
        <f>IF(V39&lt;&gt;"","Completed","")</f>
        <v>Completed</v>
      </c>
      <c r="R39" s="64">
        <v>42635</v>
      </c>
      <c r="S39" s="386" t="s">
        <v>172</v>
      </c>
      <c r="T39" s="65">
        <v>22</v>
      </c>
      <c r="U39" s="256">
        <v>29</v>
      </c>
      <c r="V39" s="256">
        <v>29</v>
      </c>
      <c r="Y39" s="74" t="s">
        <v>44</v>
      </c>
      <c r="Z39" s="56" t="s">
        <v>1561</v>
      </c>
      <c r="AA39" s="249"/>
      <c r="AB39" s="65" t="s">
        <v>94</v>
      </c>
      <c r="AC39" s="65" t="s">
        <v>29</v>
      </c>
    </row>
    <row r="40" spans="1:30">
      <c r="A40" s="75" t="s">
        <v>838</v>
      </c>
      <c r="B40" s="59"/>
      <c r="C40" s="57"/>
      <c r="E40" s="65" t="s">
        <v>29</v>
      </c>
      <c r="F40" s="65" t="s">
        <v>29</v>
      </c>
      <c r="G40" s="58" t="s">
        <v>1443</v>
      </c>
      <c r="H40" s="58" t="s">
        <v>1456</v>
      </c>
      <c r="I40" s="60">
        <v>330</v>
      </c>
      <c r="J40" s="58" t="s">
        <v>94</v>
      </c>
      <c r="K40" s="58" t="s">
        <v>29</v>
      </c>
      <c r="L40" s="58" t="s">
        <v>94</v>
      </c>
      <c r="M40" s="58" t="s">
        <v>29</v>
      </c>
      <c r="N40" s="61" t="s">
        <v>1562</v>
      </c>
      <c r="O40" s="58" t="s">
        <v>1563</v>
      </c>
      <c r="P40" s="58" t="s">
        <v>1447</v>
      </c>
      <c r="Q40" s="63" t="str">
        <f>IF(V40&lt;&gt;"","Completed","")</f>
        <v>Completed</v>
      </c>
      <c r="R40" s="64">
        <v>42633</v>
      </c>
      <c r="S40" s="64" t="s">
        <v>222</v>
      </c>
      <c r="T40" s="65">
        <v>9</v>
      </c>
      <c r="U40" s="65">
        <v>18</v>
      </c>
      <c r="V40" s="65">
        <v>18</v>
      </c>
      <c r="Y40" s="74" t="s">
        <v>44</v>
      </c>
      <c r="Z40" s="56" t="s">
        <v>1494</v>
      </c>
      <c r="AA40" s="252"/>
      <c r="AB40" s="242" t="s">
        <v>94</v>
      </c>
    </row>
    <row r="41" spans="1:30">
      <c r="A41" s="75" t="s">
        <v>929</v>
      </c>
      <c r="B41" s="59"/>
      <c r="C41" s="57">
        <v>42790</v>
      </c>
      <c r="E41" s="65" t="s">
        <v>29</v>
      </c>
      <c r="F41" s="65" t="s">
        <v>94</v>
      </c>
      <c r="G41" s="58" t="s">
        <v>1443</v>
      </c>
      <c r="H41" s="58" t="s">
        <v>1444</v>
      </c>
      <c r="I41" s="60">
        <v>0</v>
      </c>
      <c r="J41" s="58" t="s">
        <v>94</v>
      </c>
      <c r="K41" s="58" t="s">
        <v>29</v>
      </c>
      <c r="L41" s="58" t="s">
        <v>94</v>
      </c>
      <c r="M41" s="58" t="s">
        <v>94</v>
      </c>
      <c r="N41" s="61" t="s">
        <v>1564</v>
      </c>
      <c r="O41" s="58" t="s">
        <v>1565</v>
      </c>
      <c r="P41" s="58" t="s">
        <v>1447</v>
      </c>
      <c r="Q41" s="63" t="str">
        <f>IF(V41&lt;&gt;"","Completed","")</f>
        <v>Completed</v>
      </c>
      <c r="R41" s="64">
        <v>42635</v>
      </c>
      <c r="S41" s="386" t="s">
        <v>172</v>
      </c>
      <c r="T41" s="65">
        <v>20</v>
      </c>
      <c r="U41" s="256">
        <v>36</v>
      </c>
      <c r="V41" s="256">
        <v>36</v>
      </c>
      <c r="Y41" s="74" t="s">
        <v>44</v>
      </c>
      <c r="Z41" s="56" t="s">
        <v>1448</v>
      </c>
      <c r="AA41" s="249"/>
      <c r="AB41" s="65" t="s">
        <v>94</v>
      </c>
      <c r="AC41" s="65" t="s">
        <v>29</v>
      </c>
    </row>
    <row r="42" spans="1:30">
      <c r="A42" s="75" t="s">
        <v>124</v>
      </c>
      <c r="B42" s="59"/>
      <c r="C42" s="57">
        <v>42780</v>
      </c>
      <c r="D42" s="65">
        <v>4016000</v>
      </c>
      <c r="E42" s="65" t="s">
        <v>29</v>
      </c>
      <c r="F42" s="65" t="s">
        <v>29</v>
      </c>
      <c r="G42" s="58" t="s">
        <v>1443</v>
      </c>
      <c r="H42" s="58" t="s">
        <v>1444</v>
      </c>
      <c r="I42" s="60">
        <v>0</v>
      </c>
      <c r="J42" s="58" t="s">
        <v>94</v>
      </c>
      <c r="K42" s="58" t="s">
        <v>29</v>
      </c>
      <c r="L42" s="58" t="s">
        <v>94</v>
      </c>
      <c r="M42" s="58" t="s">
        <v>29</v>
      </c>
      <c r="N42" s="61" t="s">
        <v>1566</v>
      </c>
      <c r="O42" s="58" t="s">
        <v>1567</v>
      </c>
      <c r="P42" s="58" t="s">
        <v>1459</v>
      </c>
      <c r="Q42" s="63" t="str">
        <f>IF(V42&lt;&gt;"","Completed","")</f>
        <v>Completed</v>
      </c>
      <c r="R42" s="64">
        <v>42714</v>
      </c>
      <c r="S42" s="64" t="s">
        <v>57</v>
      </c>
      <c r="T42" s="65">
        <v>62</v>
      </c>
      <c r="U42" s="65">
        <v>124</v>
      </c>
      <c r="V42" s="65">
        <v>124</v>
      </c>
      <c r="Y42" s="74" t="s">
        <v>44</v>
      </c>
      <c r="Z42" s="56" t="s">
        <v>1549</v>
      </c>
      <c r="AA42" s="252"/>
      <c r="AB42" s="65" t="s">
        <v>94</v>
      </c>
      <c r="AC42" s="65" t="s">
        <v>94</v>
      </c>
      <c r="AD42" s="63" t="s">
        <v>1568</v>
      </c>
    </row>
    <row r="43" spans="1:30">
      <c r="A43" s="331" t="s">
        <v>135</v>
      </c>
      <c r="B43" s="59"/>
      <c r="C43" s="57">
        <v>42768</v>
      </c>
      <c r="D43" s="65">
        <v>2017000</v>
      </c>
      <c r="E43" s="65" t="s">
        <v>29</v>
      </c>
      <c r="F43" s="65" t="s">
        <v>29</v>
      </c>
      <c r="G43" s="58" t="s">
        <v>1443</v>
      </c>
      <c r="H43" s="58"/>
      <c r="I43" s="60"/>
      <c r="J43" s="58"/>
      <c r="K43" s="58"/>
      <c r="L43" s="58"/>
      <c r="M43" s="58"/>
      <c r="N43" s="84" t="s">
        <v>1569</v>
      </c>
      <c r="O43" s="58" t="s">
        <v>1570</v>
      </c>
      <c r="P43" s="58"/>
      <c r="Q43" s="63" t="str">
        <f>IF(V43&lt;&gt;"","Completed","")</f>
        <v>Completed</v>
      </c>
      <c r="R43" s="64">
        <v>42720</v>
      </c>
      <c r="S43" s="64" t="s">
        <v>57</v>
      </c>
      <c r="T43" s="65">
        <v>12</v>
      </c>
      <c r="U43" s="65">
        <v>18</v>
      </c>
      <c r="V43" s="65">
        <v>18</v>
      </c>
      <c r="Y43" s="74" t="s">
        <v>44</v>
      </c>
      <c r="Z43" s="56" t="s">
        <v>1571</v>
      </c>
      <c r="AA43" s="92"/>
      <c r="AB43" s="329" t="s">
        <v>94</v>
      </c>
      <c r="AC43" s="329" t="s">
        <v>94</v>
      </c>
    </row>
    <row r="44" spans="1:30">
      <c r="A44" s="331" t="s">
        <v>135</v>
      </c>
      <c r="B44" s="59"/>
      <c r="C44" s="57">
        <v>42755</v>
      </c>
      <c r="D44" s="65">
        <v>2017000</v>
      </c>
      <c r="E44" s="65" t="s">
        <v>29</v>
      </c>
      <c r="F44" s="65" t="s">
        <v>29</v>
      </c>
      <c r="G44" s="58" t="s">
        <v>1443</v>
      </c>
      <c r="H44" s="58"/>
      <c r="I44" s="60"/>
      <c r="J44" s="58"/>
      <c r="K44" s="58"/>
      <c r="L44" s="58"/>
      <c r="M44" s="58"/>
      <c r="N44" s="84" t="s">
        <v>1572</v>
      </c>
      <c r="O44" s="58" t="s">
        <v>1573</v>
      </c>
      <c r="P44" s="58"/>
      <c r="Q44" s="63" t="str">
        <f>IF(V44&lt;&gt;"","Completed","")</f>
        <v>Completed</v>
      </c>
      <c r="R44" s="64">
        <v>42719</v>
      </c>
      <c r="S44" s="64" t="s">
        <v>57</v>
      </c>
      <c r="T44" s="65">
        <v>21</v>
      </c>
      <c r="U44" s="65">
        <v>33</v>
      </c>
      <c r="V44" s="65">
        <v>33</v>
      </c>
      <c r="Y44" s="74" t="s">
        <v>44</v>
      </c>
      <c r="Z44" s="56" t="s">
        <v>1485</v>
      </c>
      <c r="AA44" s="92"/>
      <c r="AB44" s="329" t="s">
        <v>94</v>
      </c>
      <c r="AC44" s="329" t="s">
        <v>94</v>
      </c>
    </row>
    <row r="45" spans="1:30">
      <c r="A45" s="75" t="s">
        <v>359</v>
      </c>
      <c r="B45" s="59"/>
      <c r="C45" s="57">
        <v>42725</v>
      </c>
      <c r="E45" s="65" t="s">
        <v>29</v>
      </c>
      <c r="F45" s="65" t="s">
        <v>94</v>
      </c>
      <c r="G45" s="58" t="s">
        <v>1443</v>
      </c>
      <c r="H45" s="58" t="s">
        <v>1456</v>
      </c>
      <c r="I45" s="60">
        <v>308</v>
      </c>
      <c r="J45" s="58" t="s">
        <v>29</v>
      </c>
      <c r="K45" s="58" t="s">
        <v>29</v>
      </c>
      <c r="L45" s="58" t="s">
        <v>94</v>
      </c>
      <c r="M45" s="58" t="s">
        <v>94</v>
      </c>
      <c r="N45" s="61" t="s">
        <v>1574</v>
      </c>
      <c r="O45" s="58" t="s">
        <v>1575</v>
      </c>
      <c r="P45" s="58" t="s">
        <v>1459</v>
      </c>
      <c r="Q45" s="63" t="str">
        <f>IF(V45&lt;&gt;"","Completed","")</f>
        <v>Completed</v>
      </c>
      <c r="R45" s="64">
        <v>42658</v>
      </c>
      <c r="S45" s="64" t="s">
        <v>104</v>
      </c>
      <c r="T45" s="65">
        <v>11</v>
      </c>
      <c r="V45" s="256">
        <v>19</v>
      </c>
      <c r="Y45" s="74" t="s">
        <v>44</v>
      </c>
      <c r="Z45" s="56" t="s">
        <v>1481</v>
      </c>
      <c r="AA45" s="249"/>
      <c r="AB45" s="65" t="s">
        <v>94</v>
      </c>
      <c r="AC45" s="65" t="s">
        <v>29</v>
      </c>
      <c r="AD45" s="349"/>
    </row>
    <row r="46" spans="1:30">
      <c r="A46" s="333" t="s">
        <v>1576</v>
      </c>
      <c r="B46" s="305"/>
      <c r="C46" s="57">
        <v>42709</v>
      </c>
      <c r="D46" s="151">
        <v>4018000</v>
      </c>
      <c r="E46" s="151" t="s">
        <v>1577</v>
      </c>
      <c r="F46" s="151" t="s">
        <v>1577</v>
      </c>
      <c r="G46" s="306" t="s">
        <v>1578</v>
      </c>
      <c r="H46" s="306"/>
      <c r="I46" s="307"/>
      <c r="J46" s="306"/>
      <c r="K46" s="306"/>
      <c r="L46" s="306"/>
      <c r="M46" s="306"/>
      <c r="N46" s="308" t="s">
        <v>1579</v>
      </c>
      <c r="O46" s="306" t="s">
        <v>1580</v>
      </c>
      <c r="P46" s="306" t="s">
        <v>1581</v>
      </c>
      <c r="Q46" s="63" t="str">
        <f>IF(V46&lt;&gt;"","Completed","")</f>
        <v>Completed</v>
      </c>
      <c r="R46" s="64">
        <v>42656</v>
      </c>
      <c r="S46" s="64" t="s">
        <v>149</v>
      </c>
      <c r="T46" s="151">
        <v>12</v>
      </c>
      <c r="U46" s="151">
        <v>24</v>
      </c>
      <c r="V46" s="151">
        <v>24</v>
      </c>
      <c r="W46" s="151"/>
      <c r="X46" s="151"/>
      <c r="Y46" s="74" t="s">
        <v>44</v>
      </c>
      <c r="Z46" s="56" t="s">
        <v>1582</v>
      </c>
      <c r="AA46" s="249"/>
      <c r="AB46" s="65" t="s">
        <v>94</v>
      </c>
      <c r="AC46" s="65" t="s">
        <v>29</v>
      </c>
      <c r="AD46" s="403"/>
    </row>
    <row r="47" spans="1:30">
      <c r="A47" s="75" t="s">
        <v>205</v>
      </c>
      <c r="B47" s="59"/>
      <c r="C47" s="57">
        <v>42753</v>
      </c>
      <c r="D47" s="65">
        <v>3030000</v>
      </c>
      <c r="E47" s="65" t="s">
        <v>29</v>
      </c>
      <c r="F47" s="65" t="s">
        <v>29</v>
      </c>
      <c r="G47" s="58" t="s">
        <v>1443</v>
      </c>
      <c r="H47" s="58" t="s">
        <v>1456</v>
      </c>
      <c r="I47" s="60">
        <v>453</v>
      </c>
      <c r="J47" s="58" t="s">
        <v>94</v>
      </c>
      <c r="K47" s="58" t="s">
        <v>29</v>
      </c>
      <c r="L47" s="58" t="s">
        <v>94</v>
      </c>
      <c r="M47" s="58" t="s">
        <v>29</v>
      </c>
      <c r="N47" s="61" t="s">
        <v>1583</v>
      </c>
      <c r="O47" s="58" t="s">
        <v>1584</v>
      </c>
      <c r="P47" s="58" t="s">
        <v>1447</v>
      </c>
      <c r="Q47" s="63" t="str">
        <f>IF(V47&lt;&gt;"","Completed","")</f>
        <v>Completed</v>
      </c>
      <c r="R47" s="64">
        <v>42726</v>
      </c>
      <c r="S47" s="64" t="s">
        <v>149</v>
      </c>
      <c r="T47" s="65">
        <v>66</v>
      </c>
      <c r="U47" s="65">
        <v>100</v>
      </c>
      <c r="V47" s="65">
        <v>100</v>
      </c>
      <c r="Y47" s="74" t="s">
        <v>44</v>
      </c>
      <c r="Z47" s="56" t="s">
        <v>1500</v>
      </c>
      <c r="AA47" s="252"/>
      <c r="AB47" s="65" t="s">
        <v>94</v>
      </c>
      <c r="AC47" s="65" t="s">
        <v>29</v>
      </c>
      <c r="AD47" s="403"/>
    </row>
    <row r="48" spans="1:30">
      <c r="A48" s="235" t="s">
        <v>150</v>
      </c>
      <c r="B48" s="296" t="s">
        <v>151</v>
      </c>
      <c r="C48" s="57">
        <v>42709</v>
      </c>
      <c r="D48" s="65">
        <v>2019000</v>
      </c>
      <c r="E48" s="65" t="s">
        <v>29</v>
      </c>
      <c r="F48" s="65" t="s">
        <v>29</v>
      </c>
      <c r="G48" s="58" t="s">
        <v>1443</v>
      </c>
      <c r="H48" s="58" t="s">
        <v>1456</v>
      </c>
      <c r="I48" s="60">
        <v>0</v>
      </c>
      <c r="J48" s="58" t="s">
        <v>29</v>
      </c>
      <c r="K48" s="58" t="s">
        <v>29</v>
      </c>
      <c r="L48" s="58" t="s">
        <v>94</v>
      </c>
      <c r="M48" s="58" t="s">
        <v>29</v>
      </c>
      <c r="N48" s="61" t="s">
        <v>1585</v>
      </c>
      <c r="O48" s="63" t="s">
        <v>1586</v>
      </c>
      <c r="P48" s="58" t="s">
        <v>1447</v>
      </c>
      <c r="Q48" s="63" t="str">
        <f>IF(V48&lt;&gt;"","Completed","")</f>
        <v>Completed</v>
      </c>
      <c r="R48" s="64">
        <v>42536</v>
      </c>
      <c r="S48" s="64" t="s">
        <v>222</v>
      </c>
      <c r="T48" s="65">
        <v>23</v>
      </c>
      <c r="U48" s="65">
        <v>42</v>
      </c>
      <c r="V48" s="65">
        <v>92</v>
      </c>
      <c r="Y48" s="74" t="s">
        <v>44</v>
      </c>
      <c r="Z48" s="56" t="s">
        <v>220</v>
      </c>
      <c r="AA48" s="252"/>
      <c r="AB48" s="383" t="s">
        <v>94</v>
      </c>
      <c r="AC48" s="65" t="s">
        <v>29</v>
      </c>
      <c r="AD48" s="353" t="s">
        <v>1587</v>
      </c>
    </row>
    <row r="49" spans="1:30">
      <c r="A49" s="235" t="s">
        <v>991</v>
      </c>
      <c r="B49" s="296" t="s">
        <v>151</v>
      </c>
      <c r="C49" s="57">
        <v>42724</v>
      </c>
      <c r="D49" s="65">
        <v>2019000</v>
      </c>
      <c r="E49" s="65" t="s">
        <v>29</v>
      </c>
      <c r="F49" s="65" t="s">
        <v>29</v>
      </c>
      <c r="G49" s="58" t="s">
        <v>1461</v>
      </c>
      <c r="H49" s="58" t="s">
        <v>1456</v>
      </c>
      <c r="I49" s="60">
        <v>0</v>
      </c>
      <c r="J49" s="58" t="s">
        <v>94</v>
      </c>
      <c r="K49" s="58" t="s">
        <v>29</v>
      </c>
      <c r="L49" s="58" t="s">
        <v>94</v>
      </c>
      <c r="M49" s="58" t="s">
        <v>29</v>
      </c>
      <c r="N49" s="259" t="s">
        <v>1588</v>
      </c>
      <c r="O49" s="63" t="s">
        <v>1589</v>
      </c>
      <c r="P49" s="58" t="s">
        <v>1447</v>
      </c>
      <c r="Q49" s="63" t="str">
        <f>IF(V49&lt;&gt;"","Completed","")</f>
        <v>Completed</v>
      </c>
      <c r="R49" s="64">
        <v>42696</v>
      </c>
      <c r="S49" s="64" t="s">
        <v>57</v>
      </c>
      <c r="T49" s="65">
        <v>27</v>
      </c>
      <c r="U49" s="65">
        <v>45</v>
      </c>
      <c r="V49" s="65">
        <v>45</v>
      </c>
      <c r="Y49" s="74" t="s">
        <v>44</v>
      </c>
      <c r="Z49" s="56" t="s">
        <v>1590</v>
      </c>
      <c r="AA49" s="252"/>
      <c r="AB49" s="65" t="s">
        <v>94</v>
      </c>
      <c r="AC49" s="65" t="s">
        <v>29</v>
      </c>
    </row>
    <row r="50" spans="1:30">
      <c r="A50" s="75" t="s">
        <v>487</v>
      </c>
      <c r="B50" s="59"/>
      <c r="C50" s="57">
        <v>42726</v>
      </c>
      <c r="E50" s="65" t="s">
        <v>29</v>
      </c>
      <c r="F50" s="65" t="s">
        <v>29</v>
      </c>
      <c r="G50" s="58" t="s">
        <v>1443</v>
      </c>
      <c r="H50" s="58" t="s">
        <v>1456</v>
      </c>
      <c r="I50" s="60">
        <v>0</v>
      </c>
      <c r="J50" s="58" t="s">
        <v>94</v>
      </c>
      <c r="K50" s="58" t="s">
        <v>29</v>
      </c>
      <c r="L50" s="58" t="s">
        <v>94</v>
      </c>
      <c r="M50" s="58" t="s">
        <v>29</v>
      </c>
      <c r="N50" s="61" t="s">
        <v>1591</v>
      </c>
      <c r="O50" s="58" t="s">
        <v>1592</v>
      </c>
      <c r="P50" s="58" t="s">
        <v>1447</v>
      </c>
      <c r="Q50" s="63" t="str">
        <f>IF(V50&lt;&gt;"","Completed","")</f>
        <v>Completed</v>
      </c>
      <c r="R50" s="64">
        <v>42672</v>
      </c>
      <c r="S50" s="64" t="s">
        <v>114</v>
      </c>
      <c r="T50" s="65">
        <v>48</v>
      </c>
      <c r="U50" s="65">
        <v>92</v>
      </c>
      <c r="V50" s="65">
        <v>92</v>
      </c>
      <c r="Y50" s="74" t="s">
        <v>44</v>
      </c>
      <c r="Z50" s="56" t="s">
        <v>1593</v>
      </c>
      <c r="AA50" s="252"/>
      <c r="AB50" s="325" t="s">
        <v>94</v>
      </c>
      <c r="AC50" s="325" t="s">
        <v>94</v>
      </c>
    </row>
    <row r="51" spans="1:30">
      <c r="A51" s="75" t="s">
        <v>703</v>
      </c>
      <c r="B51" s="59"/>
      <c r="C51" s="57">
        <v>42677</v>
      </c>
      <c r="E51" s="65" t="s">
        <v>29</v>
      </c>
      <c r="F51" s="65" t="s">
        <v>29</v>
      </c>
      <c r="G51" s="58" t="s">
        <v>1443</v>
      </c>
      <c r="H51" s="58"/>
      <c r="I51" s="60"/>
      <c r="J51" s="58"/>
      <c r="K51" s="58"/>
      <c r="L51" s="58"/>
      <c r="M51" s="58"/>
      <c r="N51" s="61" t="s">
        <v>1594</v>
      </c>
      <c r="O51" s="58" t="s">
        <v>1595</v>
      </c>
      <c r="P51" s="58"/>
      <c r="Q51" s="63" t="str">
        <f>IF(V51&lt;&gt;"","Completed","")</f>
        <v>Completed</v>
      </c>
      <c r="R51" s="64">
        <v>42651</v>
      </c>
      <c r="S51" s="64" t="s">
        <v>222</v>
      </c>
      <c r="T51" s="65">
        <v>92</v>
      </c>
      <c r="U51" s="65">
        <v>152</v>
      </c>
      <c r="V51" s="65">
        <v>152</v>
      </c>
      <c r="Y51" s="74" t="s">
        <v>44</v>
      </c>
      <c r="Z51" s="56" t="s">
        <v>1596</v>
      </c>
      <c r="AA51" s="249"/>
      <c r="AB51" s="242" t="s">
        <v>94</v>
      </c>
      <c r="AC51" s="74"/>
    </row>
    <row r="52" spans="1:30">
      <c r="A52" s="75" t="s">
        <v>965</v>
      </c>
      <c r="B52" s="59"/>
      <c r="C52" s="57">
        <v>42716</v>
      </c>
      <c r="E52" s="65" t="s">
        <v>29</v>
      </c>
      <c r="F52" s="65" t="s">
        <v>94</v>
      </c>
      <c r="G52" s="58" t="s">
        <v>1443</v>
      </c>
      <c r="H52" s="58" t="s">
        <v>1456</v>
      </c>
      <c r="I52" s="60">
        <v>0</v>
      </c>
      <c r="J52" s="58" t="s">
        <v>94</v>
      </c>
      <c r="K52" s="58" t="s">
        <v>29</v>
      </c>
      <c r="L52" s="58" t="s">
        <v>94</v>
      </c>
      <c r="M52" s="58" t="s">
        <v>94</v>
      </c>
      <c r="N52" s="61" t="s">
        <v>1597</v>
      </c>
      <c r="O52" s="58" t="s">
        <v>1598</v>
      </c>
      <c r="P52" s="58" t="s">
        <v>1447</v>
      </c>
      <c r="Q52" s="63" t="str">
        <f>IF(V52&lt;&gt;"","Completed","")</f>
        <v>Completed</v>
      </c>
      <c r="R52" s="64">
        <v>42670</v>
      </c>
      <c r="S52" s="64" t="s">
        <v>104</v>
      </c>
      <c r="T52" s="65">
        <v>3</v>
      </c>
      <c r="V52" s="256">
        <v>6</v>
      </c>
      <c r="Y52" s="74" t="s">
        <v>44</v>
      </c>
      <c r="Z52" s="56" t="s">
        <v>1599</v>
      </c>
      <c r="AA52" s="249"/>
      <c r="AB52" s="151" t="s">
        <v>94</v>
      </c>
      <c r="AC52" s="324" t="s">
        <v>29</v>
      </c>
    </row>
    <row r="53" spans="1:30">
      <c r="A53" s="75" t="s">
        <v>1022</v>
      </c>
      <c r="B53" s="59"/>
      <c r="C53" s="57">
        <v>42717</v>
      </c>
      <c r="E53" s="65" t="s">
        <v>29</v>
      </c>
      <c r="F53" s="65" t="s">
        <v>29</v>
      </c>
      <c r="G53" s="58" t="s">
        <v>1443</v>
      </c>
      <c r="H53" s="58"/>
      <c r="I53" s="60"/>
      <c r="J53" s="58"/>
      <c r="K53" s="58"/>
      <c r="L53" s="58"/>
      <c r="M53" s="58"/>
      <c r="N53" s="61" t="s">
        <v>1600</v>
      </c>
      <c r="O53" s="58" t="s">
        <v>1601</v>
      </c>
      <c r="P53" s="262" t="s">
        <v>1459</v>
      </c>
      <c r="Q53" s="63" t="str">
        <f>IF(V53&lt;&gt;"","Completed","")</f>
        <v>Completed</v>
      </c>
      <c r="R53" s="64">
        <v>42697</v>
      </c>
      <c r="S53" s="64" t="s">
        <v>80</v>
      </c>
      <c r="T53" s="150">
        <v>10</v>
      </c>
      <c r="U53" s="150">
        <v>17</v>
      </c>
      <c r="V53" s="150">
        <v>17</v>
      </c>
      <c r="W53" s="150"/>
      <c r="X53" s="150"/>
      <c r="Y53" s="74" t="s">
        <v>44</v>
      </c>
      <c r="Z53" s="56" t="s">
        <v>1602</v>
      </c>
      <c r="AA53" s="249"/>
      <c r="AB53" s="65" t="s">
        <v>94</v>
      </c>
      <c r="AC53" s="65" t="s">
        <v>94</v>
      </c>
    </row>
    <row r="54" spans="1:30">
      <c r="A54" s="332" t="s">
        <v>162</v>
      </c>
      <c r="B54" s="59"/>
      <c r="C54" s="57">
        <v>42727</v>
      </c>
      <c r="D54" s="65">
        <v>4020000</v>
      </c>
      <c r="E54" s="65" t="s">
        <v>29</v>
      </c>
      <c r="F54" s="65" t="s">
        <v>29</v>
      </c>
      <c r="G54" s="58" t="s">
        <v>1443</v>
      </c>
      <c r="H54" s="58" t="s">
        <v>1456</v>
      </c>
      <c r="I54" s="60">
        <v>0</v>
      </c>
      <c r="J54" s="58" t="s">
        <v>94</v>
      </c>
      <c r="K54" s="58" t="s">
        <v>29</v>
      </c>
      <c r="L54" s="58" t="s">
        <v>94</v>
      </c>
      <c r="M54" s="58" t="s">
        <v>29</v>
      </c>
      <c r="N54" s="61" t="s">
        <v>1603</v>
      </c>
      <c r="O54" s="58" t="s">
        <v>1604</v>
      </c>
      <c r="P54" s="58" t="s">
        <v>1459</v>
      </c>
      <c r="Q54" s="63" t="str">
        <f>IF(V54&lt;&gt;"","Completed","")</f>
        <v>Completed</v>
      </c>
      <c r="R54" s="64">
        <v>42697</v>
      </c>
      <c r="S54" s="233" t="s">
        <v>172</v>
      </c>
      <c r="T54" s="242">
        <v>152</v>
      </c>
      <c r="U54" s="242">
        <v>280</v>
      </c>
      <c r="V54" s="242">
        <v>280</v>
      </c>
      <c r="W54" s="242"/>
      <c r="X54" s="242"/>
      <c r="Y54" s="74" t="s">
        <v>44</v>
      </c>
      <c r="Z54" s="56" t="s">
        <v>1605</v>
      </c>
      <c r="AA54" s="249"/>
      <c r="AB54" s="65" t="s">
        <v>94</v>
      </c>
      <c r="AC54" s="65" t="s">
        <v>29</v>
      </c>
    </row>
    <row r="55" spans="1:30">
      <c r="A55" s="332" t="s">
        <v>162</v>
      </c>
      <c r="B55" s="59"/>
      <c r="C55" s="57">
        <v>42733</v>
      </c>
      <c r="D55" s="65">
        <v>4020000</v>
      </c>
      <c r="E55" s="65" t="s">
        <v>29</v>
      </c>
      <c r="F55" s="65" t="s">
        <v>29</v>
      </c>
      <c r="G55" s="58" t="s">
        <v>1443</v>
      </c>
      <c r="H55" s="58" t="s">
        <v>1456</v>
      </c>
      <c r="I55" s="60">
        <v>0</v>
      </c>
      <c r="J55" s="58" t="s">
        <v>94</v>
      </c>
      <c r="K55" s="58" t="s">
        <v>29</v>
      </c>
      <c r="L55" s="58" t="s">
        <v>94</v>
      </c>
      <c r="M55" s="58" t="s">
        <v>29</v>
      </c>
      <c r="N55" s="61" t="s">
        <v>1606</v>
      </c>
      <c r="O55" s="58" t="s">
        <v>1607</v>
      </c>
      <c r="P55" s="58" t="s">
        <v>1459</v>
      </c>
      <c r="Q55" s="63" t="str">
        <f>IF(V55&lt;&gt;"","Completed","")</f>
        <v>Completed</v>
      </c>
      <c r="R55" s="64">
        <v>42704</v>
      </c>
      <c r="S55" s="233" t="s">
        <v>172</v>
      </c>
      <c r="T55" s="242">
        <v>54</v>
      </c>
      <c r="U55" s="242">
        <v>103</v>
      </c>
      <c r="V55" s="242">
        <v>103</v>
      </c>
      <c r="W55" s="242"/>
      <c r="X55" s="242"/>
      <c r="Y55" s="74" t="s">
        <v>44</v>
      </c>
      <c r="Z55" s="56" t="s">
        <v>1608</v>
      </c>
      <c r="AA55" s="249"/>
      <c r="AB55" s="65" t="s">
        <v>94</v>
      </c>
      <c r="AC55" s="65" t="s">
        <v>29</v>
      </c>
    </row>
    <row r="56" spans="1:30">
      <c r="A56" s="75" t="s">
        <v>162</v>
      </c>
      <c r="B56" s="59"/>
      <c r="C56" s="57">
        <v>42739</v>
      </c>
      <c r="D56" s="65">
        <v>4020000</v>
      </c>
      <c r="E56" s="65" t="s">
        <v>29</v>
      </c>
      <c r="F56" s="65" t="s">
        <v>29</v>
      </c>
      <c r="G56" s="58" t="s">
        <v>1443</v>
      </c>
      <c r="H56" s="58" t="s">
        <v>1456</v>
      </c>
      <c r="I56" s="60">
        <v>800</v>
      </c>
      <c r="J56" s="58" t="s">
        <v>29</v>
      </c>
      <c r="K56" s="58" t="s">
        <v>29</v>
      </c>
      <c r="L56" s="58" t="s">
        <v>94</v>
      </c>
      <c r="M56" s="58" t="s">
        <v>29</v>
      </c>
      <c r="N56" s="61" t="s">
        <v>1609</v>
      </c>
      <c r="O56" s="58" t="s">
        <v>1610</v>
      </c>
      <c r="P56" s="58" t="s">
        <v>1459</v>
      </c>
      <c r="Q56" s="63" t="str">
        <f>IF(V56&lt;&gt;"","Completed","")</f>
        <v>Completed</v>
      </c>
      <c r="R56" s="64">
        <v>42717</v>
      </c>
      <c r="S56" s="233" t="s">
        <v>172</v>
      </c>
      <c r="T56" s="65">
        <v>50</v>
      </c>
      <c r="U56" s="65">
        <v>99</v>
      </c>
      <c r="V56" s="65">
        <v>99</v>
      </c>
      <c r="Y56" s="74" t="s">
        <v>44</v>
      </c>
      <c r="Z56" s="56" t="s">
        <v>1611</v>
      </c>
      <c r="AA56" s="249"/>
      <c r="AB56" s="65" t="s">
        <v>94</v>
      </c>
      <c r="AC56" s="65" t="s">
        <v>29</v>
      </c>
    </row>
    <row r="57" spans="1:30">
      <c r="A57" s="75" t="s">
        <v>273</v>
      </c>
      <c r="B57" s="59"/>
      <c r="C57" s="57">
        <v>42748</v>
      </c>
      <c r="D57" s="65">
        <v>4044000</v>
      </c>
      <c r="E57" s="65" t="s">
        <v>29</v>
      </c>
      <c r="F57" s="65" t="s">
        <v>29</v>
      </c>
      <c r="G57" s="58" t="s">
        <v>1482</v>
      </c>
      <c r="H57" s="58" t="s">
        <v>1456</v>
      </c>
      <c r="I57" s="60">
        <v>0</v>
      </c>
      <c r="J57" s="58" t="s">
        <v>94</v>
      </c>
      <c r="K57" s="58" t="s">
        <v>29</v>
      </c>
      <c r="L57" s="58" t="s">
        <v>94</v>
      </c>
      <c r="M57" s="58" t="s">
        <v>29</v>
      </c>
      <c r="N57" s="61" t="s">
        <v>1612</v>
      </c>
      <c r="O57" s="58" t="s">
        <v>1613</v>
      </c>
      <c r="P57" s="58" t="s">
        <v>1447</v>
      </c>
      <c r="Q57" s="63" t="str">
        <f>IF(V57&lt;&gt;"","Completed","")</f>
        <v>Completed</v>
      </c>
      <c r="R57" s="341">
        <v>42684</v>
      </c>
      <c r="S57" s="341" t="s">
        <v>43</v>
      </c>
      <c r="T57" s="65">
        <v>6</v>
      </c>
      <c r="U57" s="256">
        <v>12</v>
      </c>
      <c r="V57" s="256">
        <v>12</v>
      </c>
      <c r="Y57" s="74" t="s">
        <v>44</v>
      </c>
      <c r="Z57" s="56" t="s">
        <v>1549</v>
      </c>
      <c r="AA57" s="252"/>
      <c r="AB57" s="65" t="s">
        <v>94</v>
      </c>
      <c r="AC57" s="65" t="s">
        <v>29</v>
      </c>
      <c r="AD57" s="349"/>
    </row>
    <row r="58" spans="1:30">
      <c r="A58" s="75" t="s">
        <v>1135</v>
      </c>
      <c r="B58" s="59"/>
      <c r="C58" s="57">
        <v>42676</v>
      </c>
      <c r="E58" s="65" t="s">
        <v>29</v>
      </c>
      <c r="F58" s="65" t="s">
        <v>29</v>
      </c>
      <c r="G58" s="58" t="s">
        <v>1443</v>
      </c>
      <c r="H58" s="58" t="s">
        <v>1449</v>
      </c>
      <c r="I58" s="60">
        <v>0</v>
      </c>
      <c r="J58" s="58" t="s">
        <v>94</v>
      </c>
      <c r="K58" s="58" t="s">
        <v>29</v>
      </c>
      <c r="L58" s="58" t="s">
        <v>94</v>
      </c>
      <c r="M58" s="58" t="s">
        <v>29</v>
      </c>
      <c r="N58" s="61" t="s">
        <v>1614</v>
      </c>
      <c r="O58" s="58" t="s">
        <v>1615</v>
      </c>
      <c r="P58" s="58" t="s">
        <v>1447</v>
      </c>
      <c r="Q58" s="63" t="str">
        <f>IF(V58&lt;&gt;"","Completed","")</f>
        <v>Completed</v>
      </c>
      <c r="R58" s="64">
        <v>42644</v>
      </c>
      <c r="S58" s="401" t="s">
        <v>1143</v>
      </c>
      <c r="T58" s="150">
        <v>37</v>
      </c>
      <c r="U58" s="150">
        <v>51</v>
      </c>
      <c r="V58" s="150">
        <v>51</v>
      </c>
      <c r="W58" s="150"/>
      <c r="X58" s="150"/>
      <c r="Y58" s="74" t="s">
        <v>44</v>
      </c>
      <c r="Z58" s="56" t="s">
        <v>1467</v>
      </c>
      <c r="AA58" s="249"/>
      <c r="AB58" s="242" t="s">
        <v>94</v>
      </c>
    </row>
    <row r="59" spans="1:30">
      <c r="A59" s="75" t="s">
        <v>599</v>
      </c>
      <c r="B59" s="59"/>
      <c r="C59" s="57">
        <v>42684</v>
      </c>
      <c r="E59" s="65" t="s">
        <v>29</v>
      </c>
      <c r="F59" s="65" t="s">
        <v>29</v>
      </c>
      <c r="G59" s="58" t="s">
        <v>1443</v>
      </c>
      <c r="H59" s="58" t="s">
        <v>1444</v>
      </c>
      <c r="I59" s="60">
        <v>0</v>
      </c>
      <c r="J59" s="58" t="s">
        <v>94</v>
      </c>
      <c r="K59" s="58" t="s">
        <v>29</v>
      </c>
      <c r="L59" s="58" t="s">
        <v>94</v>
      </c>
      <c r="M59" s="58" t="s">
        <v>29</v>
      </c>
      <c r="N59" s="61" t="s">
        <v>1616</v>
      </c>
      <c r="O59" s="58" t="s">
        <v>1617</v>
      </c>
      <c r="P59" s="58" t="s">
        <v>1447</v>
      </c>
      <c r="Q59" s="63" t="str">
        <f>IF(V59&lt;&gt;"","Completed","")</f>
        <v>Completed</v>
      </c>
      <c r="R59" s="64">
        <v>42669</v>
      </c>
      <c r="S59" s="401" t="s">
        <v>149</v>
      </c>
      <c r="T59" s="65">
        <v>7</v>
      </c>
      <c r="U59" s="65">
        <v>14</v>
      </c>
      <c r="V59" s="65">
        <v>14</v>
      </c>
      <c r="Y59" s="74" t="s">
        <v>44</v>
      </c>
      <c r="Z59" s="56" t="s">
        <v>1481</v>
      </c>
      <c r="AA59" s="252"/>
      <c r="AB59" s="316" t="s">
        <v>94</v>
      </c>
      <c r="AC59" s="316" t="s">
        <v>29</v>
      </c>
    </row>
    <row r="60" spans="1:30">
      <c r="A60" s="332" t="s">
        <v>945</v>
      </c>
      <c r="B60" s="59"/>
      <c r="C60" s="57">
        <v>42787</v>
      </c>
      <c r="E60" s="65" t="s">
        <v>29</v>
      </c>
      <c r="F60" s="65" t="s">
        <v>29</v>
      </c>
      <c r="G60" s="58" t="s">
        <v>1443</v>
      </c>
      <c r="H60" s="58" t="s">
        <v>1456</v>
      </c>
      <c r="I60" s="60">
        <v>260</v>
      </c>
      <c r="J60" s="58" t="s">
        <v>94</v>
      </c>
      <c r="K60" s="58" t="s">
        <v>29</v>
      </c>
      <c r="L60" s="58" t="s">
        <v>94</v>
      </c>
      <c r="M60" s="58" t="s">
        <v>29</v>
      </c>
      <c r="N60" s="61" t="s">
        <v>1618</v>
      </c>
      <c r="O60" s="58" t="s">
        <v>1619</v>
      </c>
      <c r="P60" s="58" t="s">
        <v>1447</v>
      </c>
      <c r="Q60" s="63" t="str">
        <f>IF(V60&lt;&gt;"","Completed","")</f>
        <v>Completed</v>
      </c>
      <c r="R60" s="319">
        <v>42742</v>
      </c>
      <c r="S60" s="407" t="s">
        <v>57</v>
      </c>
      <c r="T60" s="242">
        <v>84</v>
      </c>
      <c r="U60" s="242">
        <v>168</v>
      </c>
      <c r="V60" s="242">
        <v>168</v>
      </c>
      <c r="W60" s="242"/>
      <c r="X60" s="242"/>
      <c r="Y60" s="74" t="s">
        <v>44</v>
      </c>
      <c r="Z60" s="56" t="s">
        <v>1620</v>
      </c>
      <c r="AA60" s="252"/>
      <c r="AB60" s="74" t="s">
        <v>94</v>
      </c>
      <c r="AC60" s="65" t="s">
        <v>29</v>
      </c>
    </row>
    <row r="61" spans="1:30">
      <c r="A61" s="333" t="s">
        <v>306</v>
      </c>
      <c r="B61" s="305"/>
      <c r="C61" s="311">
        <v>42726</v>
      </c>
      <c r="D61" s="109" t="s">
        <v>1621</v>
      </c>
      <c r="E61" s="151" t="s">
        <v>94</v>
      </c>
      <c r="F61" s="151" t="s">
        <v>29</v>
      </c>
      <c r="G61" s="306" t="s">
        <v>1443</v>
      </c>
      <c r="H61" s="306" t="s">
        <v>1456</v>
      </c>
      <c r="I61" s="307">
        <v>0</v>
      </c>
      <c r="J61" s="306" t="s">
        <v>94</v>
      </c>
      <c r="K61" s="306" t="s">
        <v>94</v>
      </c>
      <c r="L61" s="306" t="s">
        <v>29</v>
      </c>
      <c r="M61" s="306" t="s">
        <v>29</v>
      </c>
      <c r="N61" s="308" t="s">
        <v>1622</v>
      </c>
      <c r="O61" s="253" t="s">
        <v>1623</v>
      </c>
      <c r="P61" s="306" t="s">
        <v>1447</v>
      </c>
      <c r="Q61" s="63" t="str">
        <f>IF(V61&lt;&gt;"","Completed","")</f>
        <v>Completed</v>
      </c>
      <c r="R61" s="310">
        <v>42707</v>
      </c>
      <c r="S61" s="401" t="s">
        <v>114</v>
      </c>
      <c r="T61" s="65">
        <v>69</v>
      </c>
      <c r="U61" s="65">
        <v>110</v>
      </c>
      <c r="V61" s="65">
        <v>110</v>
      </c>
      <c r="Y61" s="74" t="s">
        <v>44</v>
      </c>
      <c r="Z61" s="56" t="s">
        <v>1624</v>
      </c>
      <c r="AA61" s="252">
        <f>V61</f>
        <v>110</v>
      </c>
      <c r="AB61" s="65" t="s">
        <v>94</v>
      </c>
      <c r="AC61" s="65" t="s">
        <v>94</v>
      </c>
    </row>
    <row r="62" spans="1:30">
      <c r="A62" s="201" t="s">
        <v>28</v>
      </c>
      <c r="B62" s="201"/>
      <c r="C62" s="111">
        <v>42726</v>
      </c>
      <c r="D62" s="106"/>
      <c r="E62" s="57" t="s">
        <v>29</v>
      </c>
      <c r="F62" s="65" t="s">
        <v>29</v>
      </c>
      <c r="G62" s="63" t="s">
        <v>1443</v>
      </c>
      <c r="H62" s="63" t="s">
        <v>1444</v>
      </c>
      <c r="I62" s="58">
        <v>503</v>
      </c>
      <c r="J62" s="58" t="s">
        <v>94</v>
      </c>
      <c r="K62" s="60" t="s">
        <v>29</v>
      </c>
      <c r="L62" s="58" t="s">
        <v>29</v>
      </c>
      <c r="M62" s="58" t="s">
        <v>29</v>
      </c>
      <c r="N62" s="58" t="s">
        <v>1625</v>
      </c>
      <c r="O62" s="58" t="s">
        <v>1626</v>
      </c>
      <c r="P62" s="61" t="s">
        <v>1459</v>
      </c>
      <c r="Q62" s="63" t="str">
        <f>IF(V62&lt;&gt;"","Completed","")</f>
        <v>Completed</v>
      </c>
      <c r="R62" s="57">
        <v>42658</v>
      </c>
      <c r="S62" s="401" t="s">
        <v>43</v>
      </c>
      <c r="T62" s="65">
        <v>6</v>
      </c>
      <c r="U62" s="273">
        <v>12</v>
      </c>
      <c r="V62" s="273">
        <v>12</v>
      </c>
      <c r="W62" s="273"/>
      <c r="X62" s="273"/>
      <c r="Y62" s="74" t="s">
        <v>44</v>
      </c>
      <c r="Z62" s="145" t="s">
        <v>1627</v>
      </c>
      <c r="AA62" s="342"/>
      <c r="AB62" s="65" t="s">
        <v>94</v>
      </c>
      <c r="AC62" s="65" t="s">
        <v>29</v>
      </c>
      <c r="AD62" s="350"/>
    </row>
    <row r="63" spans="1:30">
      <c r="A63" s="75" t="s">
        <v>929</v>
      </c>
      <c r="B63" s="59"/>
      <c r="C63" s="57">
        <v>42790</v>
      </c>
      <c r="E63" s="65" t="s">
        <v>29</v>
      </c>
      <c r="F63" s="65" t="s">
        <v>94</v>
      </c>
      <c r="G63" s="58" t="s">
        <v>1443</v>
      </c>
      <c r="H63" s="58" t="s">
        <v>1444</v>
      </c>
      <c r="I63" s="60">
        <v>290</v>
      </c>
      <c r="J63" s="58" t="s">
        <v>94</v>
      </c>
      <c r="K63" s="58" t="s">
        <v>29</v>
      </c>
      <c r="L63" s="58" t="s">
        <v>94</v>
      </c>
      <c r="M63" s="58" t="s">
        <v>94</v>
      </c>
      <c r="N63" s="61" t="s">
        <v>1628</v>
      </c>
      <c r="O63" s="58" t="s">
        <v>1629</v>
      </c>
      <c r="P63" s="58" t="s">
        <v>1447</v>
      </c>
      <c r="Q63" s="63" t="str">
        <f>IF(V63&lt;&gt;"","Completed","")</f>
        <v>Completed</v>
      </c>
      <c r="R63" s="64">
        <v>42636</v>
      </c>
      <c r="S63" s="408" t="s">
        <v>172</v>
      </c>
      <c r="T63" s="65">
        <v>28</v>
      </c>
      <c r="U63" s="256">
        <v>54</v>
      </c>
      <c r="V63" s="256">
        <v>54</v>
      </c>
      <c r="Y63" s="74" t="s">
        <v>44</v>
      </c>
      <c r="Z63" s="56" t="s">
        <v>1515</v>
      </c>
      <c r="AA63" s="249"/>
      <c r="AB63" s="65" t="s">
        <v>94</v>
      </c>
      <c r="AC63" s="65" t="s">
        <v>29</v>
      </c>
    </row>
    <row r="64" spans="1:30">
      <c r="A64" s="75" t="s">
        <v>550</v>
      </c>
      <c r="B64" s="59"/>
      <c r="C64" s="57">
        <v>42719</v>
      </c>
      <c r="E64" s="65" t="s">
        <v>29</v>
      </c>
      <c r="F64" s="65" t="s">
        <v>29</v>
      </c>
      <c r="G64" s="58" t="s">
        <v>1443</v>
      </c>
      <c r="H64" s="58" t="s">
        <v>1449</v>
      </c>
      <c r="I64" s="60">
        <v>344</v>
      </c>
      <c r="J64" s="58" t="s">
        <v>94</v>
      </c>
      <c r="K64" s="58" t="s">
        <v>29</v>
      </c>
      <c r="L64" s="58" t="s">
        <v>94</v>
      </c>
      <c r="M64" s="58" t="s">
        <v>29</v>
      </c>
      <c r="N64" s="61" t="s">
        <v>1630</v>
      </c>
      <c r="O64" s="58" t="s">
        <v>1631</v>
      </c>
      <c r="P64" s="58" t="s">
        <v>1447</v>
      </c>
      <c r="Q64" s="63" t="str">
        <f>IF(V64&lt;&gt;"","Completed","")</f>
        <v>Completed</v>
      </c>
      <c r="R64" s="64">
        <v>42690</v>
      </c>
      <c r="S64" s="50" t="s">
        <v>558</v>
      </c>
      <c r="T64" s="65">
        <v>45</v>
      </c>
      <c r="U64" s="65">
        <v>72</v>
      </c>
      <c r="V64" s="65">
        <v>72</v>
      </c>
      <c r="Y64" s="74" t="s">
        <v>44</v>
      </c>
      <c r="Z64" s="56" t="s">
        <v>1632</v>
      </c>
      <c r="AA64" s="249"/>
      <c r="AB64" s="65" t="s">
        <v>94</v>
      </c>
      <c r="AC64" s="65" t="s">
        <v>29</v>
      </c>
    </row>
    <row r="65" spans="1:30">
      <c r="A65" s="75" t="s">
        <v>331</v>
      </c>
      <c r="B65" s="66"/>
      <c r="C65" s="57">
        <v>42720</v>
      </c>
      <c r="D65" s="65">
        <v>1061000</v>
      </c>
      <c r="E65" s="65" t="s">
        <v>29</v>
      </c>
      <c r="F65" s="65" t="s">
        <v>94</v>
      </c>
      <c r="G65" s="58" t="s">
        <v>1443</v>
      </c>
      <c r="H65" s="58" t="s">
        <v>1456</v>
      </c>
      <c r="I65" s="60">
        <v>185</v>
      </c>
      <c r="J65" s="58" t="s">
        <v>94</v>
      </c>
      <c r="K65" s="58" t="s">
        <v>29</v>
      </c>
      <c r="L65" s="58" t="s">
        <v>94</v>
      </c>
      <c r="M65" s="58" t="s">
        <v>94</v>
      </c>
      <c r="N65" s="61" t="s">
        <v>1633</v>
      </c>
      <c r="O65" s="58" t="s">
        <v>1634</v>
      </c>
      <c r="P65" s="58" t="s">
        <v>1459</v>
      </c>
      <c r="Q65" s="63" t="str">
        <f>IF(V65&lt;&gt;"","Completed","")</f>
        <v>Completed</v>
      </c>
      <c r="R65" s="64">
        <v>42643</v>
      </c>
      <c r="S65" s="401" t="s">
        <v>104</v>
      </c>
      <c r="T65" s="65">
        <v>15</v>
      </c>
      <c r="V65" s="256">
        <v>30</v>
      </c>
      <c r="Y65" s="74" t="s">
        <v>44</v>
      </c>
      <c r="Z65" s="56" t="s">
        <v>1481</v>
      </c>
      <c r="AA65" s="249"/>
      <c r="AB65" s="151" t="s">
        <v>94</v>
      </c>
      <c r="AC65" s="324" t="s">
        <v>29</v>
      </c>
      <c r="AD65" s="349"/>
    </row>
    <row r="66" spans="1:30">
      <c r="A66" s="331" t="s">
        <v>179</v>
      </c>
      <c r="B66" s="59"/>
      <c r="C66" s="57">
        <v>42741</v>
      </c>
      <c r="D66" s="150">
        <v>1024000</v>
      </c>
      <c r="E66" s="65" t="s">
        <v>29</v>
      </c>
      <c r="F66" s="65" t="s">
        <v>29</v>
      </c>
      <c r="G66" s="58" t="s">
        <v>1443</v>
      </c>
      <c r="H66" s="58" t="s">
        <v>1456</v>
      </c>
      <c r="I66" s="60">
        <v>0</v>
      </c>
      <c r="J66" s="58" t="s">
        <v>29</v>
      </c>
      <c r="K66" s="58" t="s">
        <v>29</v>
      </c>
      <c r="L66" s="58" t="s">
        <v>29</v>
      </c>
      <c r="M66" s="58" t="s">
        <v>29</v>
      </c>
      <c r="N66" s="61" t="s">
        <v>1635</v>
      </c>
      <c r="O66" s="58" t="s">
        <v>1636</v>
      </c>
      <c r="P66" s="58" t="s">
        <v>1459</v>
      </c>
      <c r="Q66" s="63" t="str">
        <f>IF(V66&lt;&gt;"","Completed","")</f>
        <v>Completed</v>
      </c>
      <c r="R66" s="64">
        <v>42663</v>
      </c>
      <c r="S66" s="401" t="s">
        <v>57</v>
      </c>
      <c r="T66" s="65">
        <v>54</v>
      </c>
      <c r="U66" s="65">
        <v>82</v>
      </c>
      <c r="V66" s="65">
        <v>82</v>
      </c>
      <c r="Y66" s="74" t="s">
        <v>44</v>
      </c>
      <c r="Z66" s="56" t="s">
        <v>1637</v>
      </c>
      <c r="AA66" s="249"/>
      <c r="AB66" s="329" t="s">
        <v>94</v>
      </c>
      <c r="AC66" s="329" t="s">
        <v>94</v>
      </c>
    </row>
    <row r="67" spans="1:30">
      <c r="A67" s="75" t="s">
        <v>187</v>
      </c>
      <c r="B67" s="59"/>
      <c r="C67" s="57">
        <v>42725</v>
      </c>
      <c r="D67" s="65">
        <v>3026000</v>
      </c>
      <c r="E67" s="65" t="s">
        <v>29</v>
      </c>
      <c r="F67" s="65" t="s">
        <v>94</v>
      </c>
      <c r="G67" s="58" t="s">
        <v>1443</v>
      </c>
      <c r="H67" s="58" t="s">
        <v>1456</v>
      </c>
      <c r="I67" s="60">
        <v>0</v>
      </c>
      <c r="J67" s="58" t="s">
        <v>94</v>
      </c>
      <c r="K67" s="58" t="s">
        <v>29</v>
      </c>
      <c r="L67" s="58" t="s">
        <v>94</v>
      </c>
      <c r="M67" s="58" t="s">
        <v>94</v>
      </c>
      <c r="N67" s="61" t="s">
        <v>1638</v>
      </c>
      <c r="O67" s="58" t="s">
        <v>1639</v>
      </c>
      <c r="P67" s="58" t="s">
        <v>1447</v>
      </c>
      <c r="Q67" s="63" t="str">
        <f>IF(V67&lt;&gt;"","Completed","")</f>
        <v>Completed</v>
      </c>
      <c r="R67" s="64">
        <v>42682</v>
      </c>
      <c r="S67" s="64" t="s">
        <v>104</v>
      </c>
      <c r="T67" s="65">
        <v>30</v>
      </c>
      <c r="V67" s="256">
        <v>64</v>
      </c>
      <c r="Y67" s="74" t="s">
        <v>44</v>
      </c>
      <c r="Z67" s="56" t="s">
        <v>1640</v>
      </c>
      <c r="AA67" s="252"/>
      <c r="AB67" s="65" t="s">
        <v>94</v>
      </c>
      <c r="AC67" s="65" t="s">
        <v>29</v>
      </c>
    </row>
    <row r="68" spans="1:30">
      <c r="A68" s="331" t="s">
        <v>1206</v>
      </c>
      <c r="B68" s="59"/>
      <c r="C68" s="57">
        <v>42726</v>
      </c>
      <c r="E68" s="65" t="s">
        <v>29</v>
      </c>
      <c r="F68" s="65" t="s">
        <v>29</v>
      </c>
      <c r="G68" s="58" t="s">
        <v>1443</v>
      </c>
      <c r="H68" s="58" t="s">
        <v>1444</v>
      </c>
      <c r="I68" s="60">
        <v>398</v>
      </c>
      <c r="J68" s="58" t="s">
        <v>94</v>
      </c>
      <c r="K68" s="58" t="s">
        <v>29</v>
      </c>
      <c r="L68" s="58" t="s">
        <v>94</v>
      </c>
      <c r="M68" s="58" t="s">
        <v>29</v>
      </c>
      <c r="N68" s="61" t="s">
        <v>1641</v>
      </c>
      <c r="O68" s="58" t="s">
        <v>1642</v>
      </c>
      <c r="P68" s="58" t="s">
        <v>1459</v>
      </c>
      <c r="Q68" s="63" t="str">
        <f>IF(V68&lt;&gt;"","Completed","")</f>
        <v>Completed</v>
      </c>
      <c r="R68" s="64">
        <v>42665</v>
      </c>
      <c r="S68" s="64" t="s">
        <v>114</v>
      </c>
      <c r="T68" s="65">
        <v>28</v>
      </c>
      <c r="U68" s="65">
        <v>51</v>
      </c>
      <c r="V68" s="65">
        <v>51</v>
      </c>
      <c r="Y68" s="74" t="s">
        <v>44</v>
      </c>
      <c r="Z68" s="56" t="s">
        <v>1632</v>
      </c>
      <c r="AA68" s="252"/>
      <c r="AB68" s="248" t="s">
        <v>94</v>
      </c>
      <c r="AC68" s="248" t="s">
        <v>29</v>
      </c>
    </row>
    <row r="69" spans="1:30">
      <c r="A69" s="75" t="s">
        <v>965</v>
      </c>
      <c r="B69" s="59"/>
      <c r="C69" s="57">
        <v>42720</v>
      </c>
      <c r="E69" s="65" t="s">
        <v>29</v>
      </c>
      <c r="F69" s="65" t="s">
        <v>94</v>
      </c>
      <c r="G69" s="58" t="s">
        <v>1443</v>
      </c>
      <c r="H69" s="58" t="s">
        <v>1456</v>
      </c>
      <c r="I69" s="60">
        <v>0</v>
      </c>
      <c r="J69" s="58" t="s">
        <v>94</v>
      </c>
      <c r="K69" s="58" t="s">
        <v>29</v>
      </c>
      <c r="L69" s="58" t="s">
        <v>94</v>
      </c>
      <c r="M69" s="58" t="s">
        <v>94</v>
      </c>
      <c r="N69" s="61" t="s">
        <v>1643</v>
      </c>
      <c r="O69" s="58" t="s">
        <v>1644</v>
      </c>
      <c r="P69" s="58" t="s">
        <v>1447</v>
      </c>
      <c r="Q69" s="63" t="str">
        <f>IF(V69&lt;&gt;"","Completed","")</f>
        <v>Completed</v>
      </c>
      <c r="R69" s="64">
        <v>42671</v>
      </c>
      <c r="S69" s="64" t="s">
        <v>104</v>
      </c>
      <c r="T69" s="65">
        <v>16</v>
      </c>
      <c r="V69" s="256">
        <v>35</v>
      </c>
      <c r="Y69" s="74" t="s">
        <v>44</v>
      </c>
      <c r="Z69" s="56" t="s">
        <v>1599</v>
      </c>
      <c r="AA69" s="249"/>
      <c r="AB69" s="151" t="s">
        <v>94</v>
      </c>
      <c r="AC69" s="151" t="s">
        <v>29</v>
      </c>
    </row>
    <row r="70" spans="1:30">
      <c r="A70" s="75" t="s">
        <v>1039</v>
      </c>
      <c r="B70" s="59"/>
      <c r="C70" s="57">
        <v>42765</v>
      </c>
      <c r="E70" s="65" t="s">
        <v>29</v>
      </c>
      <c r="F70" s="65" t="s">
        <v>29</v>
      </c>
      <c r="G70" s="58" t="s">
        <v>1443</v>
      </c>
      <c r="H70" s="58" t="s">
        <v>1456</v>
      </c>
      <c r="I70" s="60">
        <v>250</v>
      </c>
      <c r="J70" s="58" t="s">
        <v>29</v>
      </c>
      <c r="K70" s="58" t="s">
        <v>29</v>
      </c>
      <c r="L70" s="58" t="s">
        <v>94</v>
      </c>
      <c r="M70" s="58" t="s">
        <v>29</v>
      </c>
      <c r="N70" s="61" t="s">
        <v>1645</v>
      </c>
      <c r="O70" s="58" t="s">
        <v>1646</v>
      </c>
      <c r="P70" s="58" t="s">
        <v>1459</v>
      </c>
      <c r="Q70" s="63" t="str">
        <f>IF(V70&lt;&gt;"","Completed","")</f>
        <v>Completed</v>
      </c>
      <c r="R70" s="64">
        <v>42714</v>
      </c>
      <c r="S70" s="64" t="s">
        <v>57</v>
      </c>
      <c r="T70" s="65">
        <v>36</v>
      </c>
      <c r="U70" s="65">
        <v>72</v>
      </c>
      <c r="V70" s="65">
        <v>72</v>
      </c>
      <c r="Y70" s="74" t="s">
        <v>44</v>
      </c>
      <c r="Z70" s="56" t="s">
        <v>1647</v>
      </c>
      <c r="AA70" s="249"/>
      <c r="AB70" s="65" t="s">
        <v>94</v>
      </c>
      <c r="AC70" s="65" t="s">
        <v>94</v>
      </c>
    </row>
    <row r="71" spans="1:30">
      <c r="A71" s="332" t="s">
        <v>945</v>
      </c>
      <c r="B71" s="59"/>
      <c r="C71" s="57">
        <v>42787</v>
      </c>
      <c r="E71" s="65" t="s">
        <v>29</v>
      </c>
      <c r="F71" s="65" t="s">
        <v>29</v>
      </c>
      <c r="G71" s="58" t="s">
        <v>1461</v>
      </c>
      <c r="H71" s="58" t="s">
        <v>1456</v>
      </c>
      <c r="I71" s="60">
        <v>195</v>
      </c>
      <c r="J71" s="58" t="s">
        <v>94</v>
      </c>
      <c r="K71" s="58" t="s">
        <v>29</v>
      </c>
      <c r="L71" s="58" t="s">
        <v>94</v>
      </c>
      <c r="M71" s="58" t="s">
        <v>29</v>
      </c>
      <c r="N71" s="61" t="s">
        <v>1648</v>
      </c>
      <c r="O71" s="292" t="s">
        <v>1649</v>
      </c>
      <c r="P71" s="58" t="s">
        <v>1447</v>
      </c>
      <c r="Q71" s="63" t="str">
        <f>IF(V71&lt;&gt;"","Completed","")</f>
        <v>Completed</v>
      </c>
      <c r="R71" s="319">
        <v>42742</v>
      </c>
      <c r="S71" s="319" t="s">
        <v>57</v>
      </c>
      <c r="T71" s="65">
        <v>59</v>
      </c>
      <c r="U71" s="65">
        <v>92</v>
      </c>
      <c r="V71" s="65">
        <v>92</v>
      </c>
      <c r="W71" s="242"/>
      <c r="X71" s="242"/>
      <c r="Y71" s="74" t="s">
        <v>44</v>
      </c>
      <c r="Z71" s="56" t="s">
        <v>1650</v>
      </c>
      <c r="AA71" s="252"/>
      <c r="AB71" s="74" t="s">
        <v>94</v>
      </c>
      <c r="AC71" s="65" t="s">
        <v>94</v>
      </c>
    </row>
    <row r="72" spans="1:30">
      <c r="A72" s="244" t="s">
        <v>195</v>
      </c>
      <c r="B72" s="62" t="s">
        <v>196</v>
      </c>
      <c r="C72" s="57">
        <v>42747</v>
      </c>
      <c r="D72" s="65">
        <v>1029000</v>
      </c>
      <c r="E72" s="65" t="s">
        <v>29</v>
      </c>
      <c r="F72" s="65" t="s">
        <v>29</v>
      </c>
      <c r="G72" s="58"/>
      <c r="H72" s="58"/>
      <c r="I72" s="60"/>
      <c r="J72" s="58"/>
      <c r="K72" s="58"/>
      <c r="L72" s="58"/>
      <c r="M72" s="58"/>
      <c r="N72" s="61" t="s">
        <v>1651</v>
      </c>
      <c r="O72" s="58" t="s">
        <v>1652</v>
      </c>
      <c r="P72" s="58" t="s">
        <v>1447</v>
      </c>
      <c r="Q72" s="63" t="str">
        <f>IF(V72&lt;&gt;"","Completed","")</f>
        <v>Completed</v>
      </c>
      <c r="R72" s="64">
        <v>42725</v>
      </c>
      <c r="S72" s="64" t="s">
        <v>204</v>
      </c>
      <c r="T72" s="65">
        <v>22</v>
      </c>
      <c r="U72" s="65">
        <v>37</v>
      </c>
      <c r="V72" s="65">
        <v>37</v>
      </c>
      <c r="Y72" s="74" t="s">
        <v>44</v>
      </c>
      <c r="Z72" s="56" t="s">
        <v>1549</v>
      </c>
      <c r="AA72" s="249">
        <f>V72</f>
        <v>37</v>
      </c>
      <c r="AB72" s="74" t="s">
        <v>94</v>
      </c>
      <c r="AC72" s="65" t="s">
        <v>29</v>
      </c>
    </row>
    <row r="73" spans="1:30">
      <c r="A73" s="245" t="s">
        <v>1653</v>
      </c>
      <c r="B73" s="62" t="s">
        <v>582</v>
      </c>
      <c r="C73" s="57">
        <v>42740</v>
      </c>
      <c r="E73" s="65" t="s">
        <v>29</v>
      </c>
      <c r="F73" s="65" t="s">
        <v>29</v>
      </c>
      <c r="G73" s="58" t="s">
        <v>1443</v>
      </c>
      <c r="H73" s="58" t="s">
        <v>1444</v>
      </c>
      <c r="I73" s="60">
        <v>280</v>
      </c>
      <c r="J73" s="58" t="s">
        <v>94</v>
      </c>
      <c r="K73" s="58" t="s">
        <v>29</v>
      </c>
      <c r="L73" s="58" t="s">
        <v>29</v>
      </c>
      <c r="M73" s="58" t="s">
        <v>29</v>
      </c>
      <c r="N73" s="61" t="s">
        <v>1654</v>
      </c>
      <c r="O73" s="58" t="s">
        <v>1655</v>
      </c>
      <c r="P73" s="58" t="s">
        <v>1447</v>
      </c>
      <c r="Q73" s="63" t="str">
        <f>IF(V73&lt;&gt;"","Completed","")</f>
        <v>Completed</v>
      </c>
      <c r="R73" s="64">
        <v>42705</v>
      </c>
      <c r="S73" s="64" t="s">
        <v>149</v>
      </c>
      <c r="T73" s="65">
        <v>37</v>
      </c>
      <c r="U73" s="242">
        <v>55</v>
      </c>
      <c r="V73" s="242">
        <v>55</v>
      </c>
      <c r="W73" s="242"/>
      <c r="X73" s="242"/>
      <c r="Y73" s="74" t="s">
        <v>44</v>
      </c>
      <c r="Z73" s="345" t="s">
        <v>1656</v>
      </c>
      <c r="AA73" s="252">
        <f>V73</f>
        <v>55</v>
      </c>
      <c r="AB73" s="65" t="s">
        <v>94</v>
      </c>
      <c r="AC73" s="74" t="s">
        <v>29</v>
      </c>
    </row>
    <row r="74" spans="1:30">
      <c r="A74" s="75" t="s">
        <v>803</v>
      </c>
      <c r="B74" s="59"/>
      <c r="C74" s="57">
        <v>42744</v>
      </c>
      <c r="E74" s="65" t="s">
        <v>29</v>
      </c>
      <c r="F74" s="65" t="s">
        <v>29</v>
      </c>
      <c r="G74" s="58" t="s">
        <v>1443</v>
      </c>
      <c r="H74" s="58" t="s">
        <v>1456</v>
      </c>
      <c r="I74" s="60">
        <v>267</v>
      </c>
      <c r="J74" s="58" t="s">
        <v>94</v>
      </c>
      <c r="K74" s="58" t="s">
        <v>29</v>
      </c>
      <c r="L74" s="58" t="s">
        <v>94</v>
      </c>
      <c r="M74" s="58" t="s">
        <v>29</v>
      </c>
      <c r="N74" s="61" t="s">
        <v>1657</v>
      </c>
      <c r="O74" s="58" t="s">
        <v>1658</v>
      </c>
      <c r="P74" s="58" t="s">
        <v>1447</v>
      </c>
      <c r="Q74" s="63" t="str">
        <f>IF(V74&lt;&gt;"","Completed","")</f>
        <v>Completed</v>
      </c>
      <c r="R74" s="64">
        <v>42677</v>
      </c>
      <c r="S74" s="64" t="s">
        <v>43</v>
      </c>
      <c r="T74" s="65">
        <v>16</v>
      </c>
      <c r="U74" s="65">
        <v>31</v>
      </c>
      <c r="V74" s="65">
        <v>31</v>
      </c>
      <c r="Y74" s="74" t="s">
        <v>44</v>
      </c>
      <c r="Z74" s="56" t="s">
        <v>1505</v>
      </c>
      <c r="AA74" s="249"/>
      <c r="AB74" s="65" t="s">
        <v>94</v>
      </c>
      <c r="AC74" s="65" t="s">
        <v>29</v>
      </c>
    </row>
    <row r="75" spans="1:30">
      <c r="A75" s="75" t="s">
        <v>205</v>
      </c>
      <c r="B75" s="59"/>
      <c r="C75" s="57">
        <v>42747</v>
      </c>
      <c r="D75" s="65">
        <v>3030000</v>
      </c>
      <c r="E75" s="65" t="s">
        <v>29</v>
      </c>
      <c r="F75" s="65" t="s">
        <v>29</v>
      </c>
      <c r="G75" s="58" t="s">
        <v>1443</v>
      </c>
      <c r="H75" s="58" t="s">
        <v>1456</v>
      </c>
      <c r="I75" s="60">
        <v>0</v>
      </c>
      <c r="J75" s="58" t="s">
        <v>29</v>
      </c>
      <c r="K75" s="58" t="s">
        <v>29</v>
      </c>
      <c r="L75" s="58" t="s">
        <v>94</v>
      </c>
      <c r="M75" s="58" t="s">
        <v>29</v>
      </c>
      <c r="N75" s="61" t="s">
        <v>1659</v>
      </c>
      <c r="O75" s="58" t="s">
        <v>1660</v>
      </c>
      <c r="P75" s="58" t="s">
        <v>1447</v>
      </c>
      <c r="Q75" s="63" t="str">
        <f>IF(V75&lt;&gt;"","Completed","")</f>
        <v>Completed</v>
      </c>
      <c r="R75" s="64">
        <v>42718</v>
      </c>
      <c r="S75" s="64" t="s">
        <v>149</v>
      </c>
      <c r="T75" s="65">
        <v>62</v>
      </c>
      <c r="U75" s="65">
        <v>104</v>
      </c>
      <c r="V75" s="65">
        <v>104</v>
      </c>
      <c r="Y75" s="74" t="s">
        <v>44</v>
      </c>
      <c r="Z75" s="56" t="s">
        <v>1549</v>
      </c>
      <c r="AA75" s="252"/>
      <c r="AB75" s="65" t="s">
        <v>94</v>
      </c>
      <c r="AC75" s="65" t="s">
        <v>94</v>
      </c>
    </row>
    <row r="76" spans="1:30">
      <c r="A76" s="332" t="s">
        <v>435</v>
      </c>
      <c r="B76" s="59"/>
      <c r="C76" s="57">
        <v>42655</v>
      </c>
      <c r="E76" s="65" t="s">
        <v>29</v>
      </c>
      <c r="F76" s="65" t="s">
        <v>29</v>
      </c>
      <c r="G76" s="58" t="s">
        <v>1443</v>
      </c>
      <c r="H76" s="58" t="s">
        <v>1444</v>
      </c>
      <c r="I76" s="60">
        <v>0</v>
      </c>
      <c r="J76" s="58" t="s">
        <v>29</v>
      </c>
      <c r="K76" s="58" t="s">
        <v>29</v>
      </c>
      <c r="L76" s="58" t="s">
        <v>29</v>
      </c>
      <c r="M76" s="58" t="s">
        <v>29</v>
      </c>
      <c r="N76" s="375" t="s">
        <v>1661</v>
      </c>
      <c r="O76" s="373" t="s">
        <v>1662</v>
      </c>
      <c r="P76" s="58" t="s">
        <v>1459</v>
      </c>
      <c r="Q76" s="63" t="str">
        <f>IF(V76&lt;&gt;"","Completed","")</f>
        <v>Completed</v>
      </c>
      <c r="R76" s="64">
        <v>42637</v>
      </c>
      <c r="S76" s="64" t="s">
        <v>80</v>
      </c>
      <c r="T76" s="323">
        <v>47</v>
      </c>
      <c r="U76" s="323">
        <v>92</v>
      </c>
      <c r="V76" s="323">
        <v>92</v>
      </c>
      <c r="W76" s="150"/>
      <c r="X76" s="150"/>
      <c r="Y76" s="74" t="s">
        <v>44</v>
      </c>
      <c r="Z76" s="56" t="s">
        <v>1663</v>
      </c>
      <c r="AA76" s="252"/>
      <c r="AB76" s="347" t="s">
        <v>94</v>
      </c>
      <c r="AC76" s="242" t="s">
        <v>29</v>
      </c>
    </row>
    <row r="77" spans="1:30">
      <c r="A77" s="75" t="s">
        <v>231</v>
      </c>
      <c r="B77" s="59"/>
      <c r="C77" s="57">
        <v>42752</v>
      </c>
      <c r="D77" s="65">
        <v>2032000</v>
      </c>
      <c r="E77" s="65" t="s">
        <v>29</v>
      </c>
      <c r="F77" s="65" t="s">
        <v>29</v>
      </c>
      <c r="G77" s="58" t="s">
        <v>1443</v>
      </c>
      <c r="H77" s="58" t="s">
        <v>1449</v>
      </c>
      <c r="I77" s="60">
        <v>0</v>
      </c>
      <c r="J77" s="58" t="s">
        <v>29</v>
      </c>
      <c r="K77" s="58" t="s">
        <v>29</v>
      </c>
      <c r="L77" s="58" t="s">
        <v>29</v>
      </c>
      <c r="M77" s="58" t="s">
        <v>29</v>
      </c>
      <c r="N77" s="61" t="s">
        <v>1664</v>
      </c>
      <c r="O77" s="58" t="s">
        <v>1665</v>
      </c>
      <c r="P77" s="58" t="s">
        <v>1447</v>
      </c>
      <c r="Q77" s="63" t="str">
        <f>IF(V77&lt;&gt;"","Completed","")</f>
        <v>Completed</v>
      </c>
      <c r="R77" s="64">
        <v>42651</v>
      </c>
      <c r="S77" s="64" t="s">
        <v>43</v>
      </c>
      <c r="T77" s="65">
        <v>33</v>
      </c>
      <c r="U77" s="65">
        <v>50</v>
      </c>
      <c r="V77" s="65">
        <v>50</v>
      </c>
      <c r="Y77" s="74" t="s">
        <v>44</v>
      </c>
      <c r="Z77" s="56" t="s">
        <v>1452</v>
      </c>
      <c r="AA77" s="252"/>
      <c r="AB77" s="151" t="s">
        <v>94</v>
      </c>
      <c r="AC77" s="151" t="s">
        <v>1453</v>
      </c>
      <c r="AD77" s="56" t="s">
        <v>1454</v>
      </c>
    </row>
    <row r="78" spans="1:30">
      <c r="A78" s="75" t="s">
        <v>298</v>
      </c>
      <c r="B78" s="59"/>
      <c r="C78" s="57">
        <v>42793</v>
      </c>
      <c r="D78" s="65">
        <v>4050000</v>
      </c>
      <c r="E78" s="65" t="s">
        <v>29</v>
      </c>
      <c r="F78" s="65" t="s">
        <v>94</v>
      </c>
      <c r="G78" s="58" t="s">
        <v>1443</v>
      </c>
      <c r="H78" s="58" t="s">
        <v>1456</v>
      </c>
      <c r="I78" s="60">
        <v>0</v>
      </c>
      <c r="J78" s="58" t="s">
        <v>94</v>
      </c>
      <c r="K78" s="58" t="s">
        <v>29</v>
      </c>
      <c r="L78" s="58" t="s">
        <v>94</v>
      </c>
      <c r="M78" s="58" t="s">
        <v>94</v>
      </c>
      <c r="N78" s="61" t="s">
        <v>1666</v>
      </c>
      <c r="O78" s="294" t="s">
        <v>1667</v>
      </c>
      <c r="P78" s="58" t="s">
        <v>1447</v>
      </c>
      <c r="Q78" s="63" t="str">
        <f>IF(V78&lt;&gt;"","Completed","")</f>
        <v>Completed</v>
      </c>
      <c r="R78" s="64">
        <v>42742</v>
      </c>
      <c r="S78" s="64" t="s">
        <v>57</v>
      </c>
      <c r="T78" s="65">
        <v>50</v>
      </c>
      <c r="U78" s="65">
        <v>98</v>
      </c>
      <c r="V78" s="256">
        <v>98</v>
      </c>
      <c r="Y78" s="74" t="s">
        <v>44</v>
      </c>
      <c r="Z78" s="56" t="s">
        <v>1668</v>
      </c>
      <c r="AA78" s="118">
        <f>V78</f>
        <v>98</v>
      </c>
      <c r="AB78" s="65" t="s">
        <v>94</v>
      </c>
      <c r="AC78" s="65" t="s">
        <v>94</v>
      </c>
    </row>
    <row r="79" spans="1:30">
      <c r="A79" s="332" t="s">
        <v>694</v>
      </c>
      <c r="B79" s="59"/>
      <c r="C79" s="57">
        <v>42662</v>
      </c>
      <c r="E79" s="65" t="s">
        <v>29</v>
      </c>
      <c r="F79" s="65" t="s">
        <v>29</v>
      </c>
      <c r="G79" s="58" t="s">
        <v>1443</v>
      </c>
      <c r="H79" s="58" t="s">
        <v>1456</v>
      </c>
      <c r="I79" s="60">
        <v>373</v>
      </c>
      <c r="J79" s="58" t="s">
        <v>94</v>
      </c>
      <c r="K79" s="58" t="s">
        <v>29</v>
      </c>
      <c r="L79" s="58" t="s">
        <v>29</v>
      </c>
      <c r="M79" s="58" t="s">
        <v>29</v>
      </c>
      <c r="N79" s="375" t="s">
        <v>1669</v>
      </c>
      <c r="O79" s="373" t="s">
        <v>1670</v>
      </c>
      <c r="P79" s="58" t="s">
        <v>1459</v>
      </c>
      <c r="Q79" s="63" t="str">
        <f>IF(V79&lt;&gt;"","Completed","")</f>
        <v>Completed</v>
      </c>
      <c r="R79" s="64">
        <v>42644</v>
      </c>
      <c r="S79" s="64" t="s">
        <v>80</v>
      </c>
      <c r="T79" s="323">
        <v>76</v>
      </c>
      <c r="U79" s="323">
        <v>121</v>
      </c>
      <c r="V79" s="323">
        <v>121</v>
      </c>
      <c r="W79" s="150"/>
      <c r="X79" s="150"/>
      <c r="Y79" s="74" t="s">
        <v>44</v>
      </c>
      <c r="Z79" s="56" t="s">
        <v>1671</v>
      </c>
      <c r="AA79" s="252"/>
      <c r="AB79" s="242" t="s">
        <v>94</v>
      </c>
      <c r="AC79" s="347" t="s">
        <v>94</v>
      </c>
    </row>
    <row r="80" spans="1:30">
      <c r="A80" s="75" t="s">
        <v>239</v>
      </c>
      <c r="B80" s="59"/>
      <c r="C80" s="57">
        <v>42780</v>
      </c>
      <c r="D80" s="65">
        <v>3035000</v>
      </c>
      <c r="E80" s="65" t="s">
        <v>29</v>
      </c>
      <c r="F80" s="65" t="s">
        <v>94</v>
      </c>
      <c r="G80" s="58" t="s">
        <v>1461</v>
      </c>
      <c r="H80" s="58" t="s">
        <v>1456</v>
      </c>
      <c r="I80" s="60">
        <v>100</v>
      </c>
      <c r="J80" s="58" t="s">
        <v>94</v>
      </c>
      <c r="K80" s="58" t="s">
        <v>29</v>
      </c>
      <c r="L80" s="58" t="s">
        <v>94</v>
      </c>
      <c r="M80" s="58" t="s">
        <v>94</v>
      </c>
      <c r="N80" s="61" t="s">
        <v>1672</v>
      </c>
      <c r="O80" s="292" t="s">
        <v>1673</v>
      </c>
      <c r="P80" s="58" t="s">
        <v>1447</v>
      </c>
      <c r="Q80" s="63" t="str">
        <f>IF(V80&lt;&gt;"","Completed","")</f>
        <v>Completed</v>
      </c>
      <c r="R80" s="64">
        <v>42704</v>
      </c>
      <c r="S80" s="64" t="s">
        <v>104</v>
      </c>
      <c r="T80" s="65">
        <v>16</v>
      </c>
      <c r="V80" s="256">
        <v>22</v>
      </c>
      <c r="Y80" s="74" t="s">
        <v>44</v>
      </c>
      <c r="Z80" s="56" t="s">
        <v>1505</v>
      </c>
      <c r="AA80" s="249"/>
      <c r="AB80" s="65" t="s">
        <v>94</v>
      </c>
      <c r="AC80" s="65" t="s">
        <v>29</v>
      </c>
      <c r="AD80" s="348" t="s">
        <v>1674</v>
      </c>
    </row>
    <row r="81" spans="1:30">
      <c r="A81" s="75" t="s">
        <v>239</v>
      </c>
      <c r="B81" s="59"/>
      <c r="C81" s="57">
        <v>42744</v>
      </c>
      <c r="D81" s="65">
        <v>3035000</v>
      </c>
      <c r="E81" s="65" t="s">
        <v>29</v>
      </c>
      <c r="F81" s="65" t="s">
        <v>94</v>
      </c>
      <c r="G81" s="58" t="s">
        <v>1461</v>
      </c>
      <c r="H81" s="58" t="s">
        <v>1456</v>
      </c>
      <c r="I81" s="60">
        <v>100</v>
      </c>
      <c r="J81" s="58" t="s">
        <v>94</v>
      </c>
      <c r="K81" s="58" t="s">
        <v>29</v>
      </c>
      <c r="L81" s="58" t="s">
        <v>94</v>
      </c>
      <c r="M81" s="58" t="s">
        <v>94</v>
      </c>
      <c r="N81" s="61" t="s">
        <v>1672</v>
      </c>
      <c r="O81" s="292" t="s">
        <v>1675</v>
      </c>
      <c r="P81" s="58" t="s">
        <v>1447</v>
      </c>
      <c r="Q81" s="63" t="str">
        <f>IF(V81&lt;&gt;"","Completed","")</f>
        <v>Completed</v>
      </c>
      <c r="R81" s="64">
        <v>42704</v>
      </c>
      <c r="S81" s="64" t="s">
        <v>104</v>
      </c>
      <c r="T81" s="65">
        <v>24</v>
      </c>
      <c r="V81" s="256">
        <v>32</v>
      </c>
      <c r="Y81" s="74" t="s">
        <v>44</v>
      </c>
      <c r="Z81" s="56" t="s">
        <v>1505</v>
      </c>
      <c r="AA81" s="363">
        <f>SUM(V80:V81)</f>
        <v>54</v>
      </c>
      <c r="AB81" s="242" t="s">
        <v>94</v>
      </c>
      <c r="AD81" s="348" t="s">
        <v>1676</v>
      </c>
    </row>
    <row r="82" spans="1:30">
      <c r="A82" s="75" t="s">
        <v>259</v>
      </c>
      <c r="B82" s="59"/>
      <c r="C82" s="57">
        <v>42755</v>
      </c>
      <c r="D82" s="65">
        <v>3035000</v>
      </c>
      <c r="E82" s="65" t="s">
        <v>29</v>
      </c>
      <c r="F82" s="65" t="s">
        <v>94</v>
      </c>
      <c r="G82" s="58" t="s">
        <v>1461</v>
      </c>
      <c r="H82" s="58" t="s">
        <v>1456</v>
      </c>
      <c r="I82" s="60">
        <v>0</v>
      </c>
      <c r="J82" s="58" t="s">
        <v>94</v>
      </c>
      <c r="K82" s="58" t="s">
        <v>29</v>
      </c>
      <c r="L82" s="58" t="s">
        <v>94</v>
      </c>
      <c r="M82" s="58" t="s">
        <v>94</v>
      </c>
      <c r="N82" s="61" t="s">
        <v>1677</v>
      </c>
      <c r="O82" s="292" t="s">
        <v>1678</v>
      </c>
      <c r="P82" s="58" t="s">
        <v>1447</v>
      </c>
      <c r="Q82" s="63" t="str">
        <f>IF(V82&lt;&gt;"","Completed","")</f>
        <v>Completed</v>
      </c>
      <c r="R82" s="64">
        <v>42713</v>
      </c>
      <c r="S82" s="64" t="s">
        <v>104</v>
      </c>
      <c r="T82" s="65">
        <v>18</v>
      </c>
      <c r="V82" s="256">
        <v>27</v>
      </c>
      <c r="Y82" s="74" t="s">
        <v>44</v>
      </c>
      <c r="Z82" s="56" t="s">
        <v>1475</v>
      </c>
      <c r="AA82" s="118">
        <f>V82</f>
        <v>27</v>
      </c>
      <c r="AB82" s="65" t="s">
        <v>94</v>
      </c>
      <c r="AC82" s="65" t="s">
        <v>29</v>
      </c>
    </row>
    <row r="83" spans="1:30" ht="15" customHeight="1">
      <c r="A83" s="75" t="s">
        <v>265</v>
      </c>
      <c r="B83" s="59"/>
      <c r="C83" s="57">
        <v>42794</v>
      </c>
      <c r="D83" s="65">
        <v>4036001</v>
      </c>
      <c r="E83" s="65" t="s">
        <v>29</v>
      </c>
      <c r="F83" s="65" t="s">
        <v>29</v>
      </c>
      <c r="G83" s="58" t="s">
        <v>1443</v>
      </c>
      <c r="H83" s="58" t="s">
        <v>1444</v>
      </c>
      <c r="I83" s="60">
        <v>0</v>
      </c>
      <c r="J83" s="58" t="s">
        <v>94</v>
      </c>
      <c r="K83" s="58" t="s">
        <v>29</v>
      </c>
      <c r="L83" s="58" t="s">
        <v>29</v>
      </c>
      <c r="M83" s="58" t="s">
        <v>29</v>
      </c>
      <c r="N83" s="61" t="s">
        <v>1679</v>
      </c>
      <c r="O83" s="58" t="s">
        <v>1680</v>
      </c>
      <c r="P83" s="58" t="s">
        <v>1459</v>
      </c>
      <c r="Q83" s="63" t="str">
        <f>IF(V83&lt;&gt;"","Completed","")</f>
        <v>Completed</v>
      </c>
      <c r="R83" s="64">
        <v>42664</v>
      </c>
      <c r="S83" s="386" t="s">
        <v>172</v>
      </c>
      <c r="T83" s="65">
        <v>20</v>
      </c>
      <c r="U83" s="65">
        <v>37</v>
      </c>
      <c r="V83" s="256">
        <v>37</v>
      </c>
      <c r="Y83" s="74" t="s">
        <v>44</v>
      </c>
      <c r="Z83" s="257" t="s">
        <v>1681</v>
      </c>
      <c r="AA83" s="249"/>
      <c r="AB83" s="65" t="s">
        <v>94</v>
      </c>
      <c r="AC83" s="65" t="s">
        <v>94</v>
      </c>
      <c r="AD83" s="257" t="s">
        <v>1682</v>
      </c>
    </row>
    <row r="84" spans="1:30">
      <c r="A84" s="75" t="s">
        <v>265</v>
      </c>
      <c r="B84" s="59"/>
      <c r="C84" s="57">
        <v>42794</v>
      </c>
      <c r="D84" s="65">
        <v>4036001</v>
      </c>
      <c r="E84" s="65" t="s">
        <v>29</v>
      </c>
      <c r="F84" s="65" t="s">
        <v>29</v>
      </c>
      <c r="G84" s="58" t="s">
        <v>1443</v>
      </c>
      <c r="H84" s="58" t="s">
        <v>1444</v>
      </c>
      <c r="I84" s="60">
        <v>165</v>
      </c>
      <c r="J84" s="58" t="s">
        <v>29</v>
      </c>
      <c r="K84" s="58" t="s">
        <v>29</v>
      </c>
      <c r="L84" s="58" t="s">
        <v>29</v>
      </c>
      <c r="M84" s="58" t="s">
        <v>29</v>
      </c>
      <c r="N84" s="61" t="s">
        <v>1683</v>
      </c>
      <c r="O84" s="58" t="s">
        <v>1684</v>
      </c>
      <c r="P84" s="58" t="s">
        <v>1459</v>
      </c>
      <c r="Q84" s="63" t="str">
        <f>IF(V84&lt;&gt;"","Completed","")</f>
        <v>Completed</v>
      </c>
      <c r="R84" s="64">
        <v>42665</v>
      </c>
      <c r="S84" s="386" t="s">
        <v>172</v>
      </c>
      <c r="T84" s="65">
        <v>110</v>
      </c>
      <c r="U84" s="65">
        <v>187</v>
      </c>
      <c r="V84" s="256">
        <v>187</v>
      </c>
      <c r="Y84" s="74" t="s">
        <v>44</v>
      </c>
      <c r="Z84" s="257" t="s">
        <v>1685</v>
      </c>
      <c r="AA84" s="249"/>
      <c r="AB84" s="65" t="s">
        <v>94</v>
      </c>
      <c r="AC84" s="65" t="s">
        <v>29</v>
      </c>
      <c r="AD84" s="257"/>
    </row>
    <row r="85" spans="1:30">
      <c r="A85" s="75" t="s">
        <v>265</v>
      </c>
      <c r="B85" s="59"/>
      <c r="C85" s="57">
        <v>42794</v>
      </c>
      <c r="D85" s="65">
        <v>4036001</v>
      </c>
      <c r="E85" s="65" t="s">
        <v>29</v>
      </c>
      <c r="F85" s="65" t="s">
        <v>29</v>
      </c>
      <c r="G85" s="58" t="s">
        <v>1443</v>
      </c>
      <c r="H85" s="58" t="s">
        <v>1444</v>
      </c>
      <c r="I85" s="60">
        <v>300</v>
      </c>
      <c r="J85" s="58" t="s">
        <v>29</v>
      </c>
      <c r="K85" s="58" t="s">
        <v>29</v>
      </c>
      <c r="L85" s="58" t="s">
        <v>29</v>
      </c>
      <c r="M85" s="58" t="s">
        <v>29</v>
      </c>
      <c r="N85" s="61" t="s">
        <v>1686</v>
      </c>
      <c r="O85" s="58" t="s">
        <v>1687</v>
      </c>
      <c r="P85" s="58" t="s">
        <v>1459</v>
      </c>
      <c r="Q85" s="63" t="str">
        <f>IF(V85&lt;&gt;"","Completed","")</f>
        <v>Completed</v>
      </c>
      <c r="R85" s="64">
        <v>42664</v>
      </c>
      <c r="S85" s="386" t="s">
        <v>172</v>
      </c>
      <c r="T85" s="65">
        <v>61</v>
      </c>
      <c r="U85" s="65">
        <v>103</v>
      </c>
      <c r="V85" s="256">
        <v>103</v>
      </c>
      <c r="Y85" s="74" t="s">
        <v>44</v>
      </c>
      <c r="Z85" s="56" t="s">
        <v>1491</v>
      </c>
      <c r="AA85" s="249"/>
      <c r="AB85" s="65" t="s">
        <v>94</v>
      </c>
      <c r="AC85" s="65" t="s">
        <v>29</v>
      </c>
      <c r="AD85" s="257"/>
    </row>
    <row r="86" spans="1:30">
      <c r="A86" s="245" t="s">
        <v>567</v>
      </c>
      <c r="B86" s="62" t="s">
        <v>417</v>
      </c>
      <c r="C86" s="57">
        <v>42648</v>
      </c>
      <c r="E86" s="65" t="s">
        <v>29</v>
      </c>
      <c r="F86" s="65" t="s">
        <v>29</v>
      </c>
      <c r="G86" s="58" t="s">
        <v>1443</v>
      </c>
      <c r="H86" s="58" t="s">
        <v>1444</v>
      </c>
      <c r="I86" s="60">
        <v>0</v>
      </c>
      <c r="J86" s="58" t="s">
        <v>94</v>
      </c>
      <c r="K86" s="58" t="s">
        <v>29</v>
      </c>
      <c r="L86" s="58" t="s">
        <v>29</v>
      </c>
      <c r="M86" s="58" t="s">
        <v>29</v>
      </c>
      <c r="N86" s="61" t="s">
        <v>1688</v>
      </c>
      <c r="O86" s="58" t="s">
        <v>1689</v>
      </c>
      <c r="P86" s="58" t="s">
        <v>1459</v>
      </c>
      <c r="Q86" s="63" t="str">
        <f>IF(V86&lt;&gt;"","Completed","")</f>
        <v>Completed</v>
      </c>
      <c r="R86" s="64">
        <v>42637</v>
      </c>
      <c r="S86" s="64" t="s">
        <v>222</v>
      </c>
      <c r="T86" s="65">
        <v>3</v>
      </c>
      <c r="U86" s="65">
        <v>6</v>
      </c>
      <c r="V86" s="65">
        <v>6</v>
      </c>
      <c r="Y86" s="74" t="s">
        <v>44</v>
      </c>
      <c r="Z86" s="56" t="s">
        <v>1533</v>
      </c>
      <c r="AA86" s="92"/>
      <c r="AB86" s="65" t="s">
        <v>94</v>
      </c>
      <c r="AC86" s="242" t="s">
        <v>29</v>
      </c>
    </row>
    <row r="87" spans="1:30">
      <c r="A87" s="332" t="s">
        <v>1182</v>
      </c>
      <c r="B87" s="59"/>
      <c r="C87" s="57"/>
      <c r="E87" s="65" t="s">
        <v>29</v>
      </c>
      <c r="F87" s="65" t="s">
        <v>94</v>
      </c>
      <c r="G87" s="58" t="s">
        <v>1443</v>
      </c>
      <c r="H87" s="58" t="s">
        <v>1444</v>
      </c>
      <c r="I87" s="60">
        <v>0</v>
      </c>
      <c r="J87" s="58" t="s">
        <v>94</v>
      </c>
      <c r="K87" s="58" t="s">
        <v>29</v>
      </c>
      <c r="L87" s="58" t="s">
        <v>29</v>
      </c>
      <c r="M87" s="58" t="s">
        <v>94</v>
      </c>
      <c r="N87" s="61" t="s">
        <v>1690</v>
      </c>
      <c r="O87" s="58" t="s">
        <v>1689</v>
      </c>
      <c r="P87" s="58" t="s">
        <v>1459</v>
      </c>
      <c r="Q87" s="63" t="str">
        <f>IF(V87&lt;&gt;"","Completed","")</f>
        <v>Completed</v>
      </c>
      <c r="R87" s="301">
        <v>42621</v>
      </c>
      <c r="S87" s="301" t="s">
        <v>222</v>
      </c>
      <c r="T87" s="150">
        <v>5</v>
      </c>
      <c r="U87" s="150">
        <v>10</v>
      </c>
      <c r="V87" s="150">
        <v>10</v>
      </c>
      <c r="W87" s="150"/>
      <c r="X87" s="150"/>
      <c r="Y87" s="74" t="s">
        <v>44</v>
      </c>
      <c r="Z87" s="56" t="s">
        <v>1691</v>
      </c>
      <c r="AA87" s="249"/>
      <c r="AB87" s="242" t="s">
        <v>94</v>
      </c>
      <c r="AC87" s="242" t="s">
        <v>29</v>
      </c>
    </row>
    <row r="88" spans="1:30">
      <c r="A88" s="75" t="s">
        <v>331</v>
      </c>
      <c r="B88" s="59"/>
      <c r="C88" s="57">
        <v>42720</v>
      </c>
      <c r="D88" s="65">
        <v>1061000</v>
      </c>
      <c r="E88" s="65" t="s">
        <v>29</v>
      </c>
      <c r="F88" s="65" t="s">
        <v>94</v>
      </c>
      <c r="G88" s="58" t="s">
        <v>1443</v>
      </c>
      <c r="H88" s="58" t="s">
        <v>1456</v>
      </c>
      <c r="I88" s="60">
        <v>295</v>
      </c>
      <c r="J88" s="58" t="s">
        <v>94</v>
      </c>
      <c r="K88" s="58" t="s">
        <v>29</v>
      </c>
      <c r="L88" s="58" t="s">
        <v>94</v>
      </c>
      <c r="M88" s="58" t="s">
        <v>94</v>
      </c>
      <c r="N88" s="61" t="s">
        <v>1692</v>
      </c>
      <c r="O88" s="58" t="s">
        <v>1693</v>
      </c>
      <c r="P88" s="58" t="s">
        <v>1459</v>
      </c>
      <c r="Q88" s="63" t="str">
        <f>IF(V88&lt;&gt;"","Completed","")</f>
        <v>Completed</v>
      </c>
      <c r="R88" s="64">
        <v>42643</v>
      </c>
      <c r="S88" s="64" t="s">
        <v>104</v>
      </c>
      <c r="T88" s="65">
        <v>11</v>
      </c>
      <c r="V88" s="256">
        <v>22</v>
      </c>
      <c r="Y88" s="74" t="s">
        <v>44</v>
      </c>
      <c r="Z88" s="56" t="s">
        <v>1481</v>
      </c>
      <c r="AA88" s="249"/>
      <c r="AB88" s="151" t="s">
        <v>94</v>
      </c>
      <c r="AC88" s="324" t="s">
        <v>29</v>
      </c>
      <c r="AD88" s="349"/>
    </row>
    <row r="89" spans="1:30">
      <c r="A89" s="75" t="s">
        <v>599</v>
      </c>
      <c r="B89" s="59"/>
      <c r="C89" s="57">
        <v>42711</v>
      </c>
      <c r="E89" s="65" t="s">
        <v>29</v>
      </c>
      <c r="F89" s="65" t="s">
        <v>29</v>
      </c>
      <c r="G89" s="58" t="s">
        <v>1443</v>
      </c>
      <c r="H89" s="58" t="s">
        <v>1444</v>
      </c>
      <c r="I89" s="60">
        <v>627</v>
      </c>
      <c r="J89" s="58" t="s">
        <v>29</v>
      </c>
      <c r="K89" s="58" t="s">
        <v>29</v>
      </c>
      <c r="L89" s="58" t="s">
        <v>94</v>
      </c>
      <c r="M89" s="58" t="s">
        <v>29</v>
      </c>
      <c r="N89" s="61" t="s">
        <v>1694</v>
      </c>
      <c r="O89" s="58" t="s">
        <v>1695</v>
      </c>
      <c r="P89" s="58" t="s">
        <v>1447</v>
      </c>
      <c r="Q89" s="63" t="str">
        <f>IF(V89&lt;&gt;"","Completed","")</f>
        <v>Completed</v>
      </c>
      <c r="R89" s="64">
        <v>42683</v>
      </c>
      <c r="S89" s="64" t="s">
        <v>149</v>
      </c>
      <c r="T89" s="65">
        <v>76</v>
      </c>
      <c r="U89" s="65">
        <v>118</v>
      </c>
      <c r="V89" s="65">
        <v>118</v>
      </c>
      <c r="Y89" s="74" t="s">
        <v>44</v>
      </c>
      <c r="Z89" s="56" t="s">
        <v>1478</v>
      </c>
      <c r="AA89" s="252"/>
      <c r="AB89" s="316" t="s">
        <v>94</v>
      </c>
      <c r="AC89" s="317" t="s">
        <v>94</v>
      </c>
      <c r="AD89" s="349"/>
    </row>
    <row r="90" spans="1:30">
      <c r="A90" s="75" t="s">
        <v>824</v>
      </c>
      <c r="B90" s="59"/>
      <c r="C90" s="57">
        <v>42726</v>
      </c>
      <c r="D90" s="150"/>
      <c r="E90" s="65" t="s">
        <v>29</v>
      </c>
      <c r="F90" s="65" t="s">
        <v>29</v>
      </c>
      <c r="G90" s="58" t="s">
        <v>1443</v>
      </c>
      <c r="H90" s="58" t="s">
        <v>1449</v>
      </c>
      <c r="I90" s="60">
        <v>193</v>
      </c>
      <c r="J90" s="58" t="s">
        <v>29</v>
      </c>
      <c r="K90" s="58" t="s">
        <v>29</v>
      </c>
      <c r="L90" s="58" t="s">
        <v>94</v>
      </c>
      <c r="M90" s="58" t="s">
        <v>29</v>
      </c>
      <c r="N90" s="61" t="s">
        <v>1696</v>
      </c>
      <c r="O90" s="58" t="s">
        <v>1697</v>
      </c>
      <c r="P90" s="58" t="s">
        <v>1447</v>
      </c>
      <c r="Q90" s="63" t="str">
        <f>IF(V90&lt;&gt;"","Completed","")</f>
        <v>Completed</v>
      </c>
      <c r="R90" s="64">
        <v>42658</v>
      </c>
      <c r="S90" s="64" t="s">
        <v>43</v>
      </c>
      <c r="T90" s="65">
        <v>74</v>
      </c>
      <c r="U90" s="65">
        <v>108</v>
      </c>
      <c r="V90" s="65">
        <v>108</v>
      </c>
      <c r="Y90" s="74" t="s">
        <v>44</v>
      </c>
      <c r="Z90" s="56" t="s">
        <v>1558</v>
      </c>
      <c r="AA90" s="252"/>
      <c r="AB90" s="324" t="s">
        <v>94</v>
      </c>
      <c r="AC90" s="151" t="s">
        <v>29</v>
      </c>
    </row>
    <row r="91" spans="1:30">
      <c r="A91" s="261" t="s">
        <v>710</v>
      </c>
      <c r="C91" s="57">
        <v>42782</v>
      </c>
      <c r="E91" s="65" t="s">
        <v>29</v>
      </c>
      <c r="F91" s="65" t="s">
        <v>29</v>
      </c>
      <c r="N91" s="68" t="s">
        <v>1698</v>
      </c>
      <c r="O91" s="90" t="s">
        <v>1699</v>
      </c>
      <c r="Q91" s="63" t="str">
        <f>IF(V91&lt;&gt;"","Completed","")</f>
        <v>Completed</v>
      </c>
      <c r="R91" s="64">
        <v>42770</v>
      </c>
      <c r="S91" s="64" t="s">
        <v>149</v>
      </c>
      <c r="T91" s="242">
        <v>34</v>
      </c>
      <c r="U91" s="242">
        <v>68</v>
      </c>
      <c r="V91" s="242">
        <v>68</v>
      </c>
      <c r="W91" s="242"/>
      <c r="X91" s="242"/>
      <c r="Y91" s="347" t="s">
        <v>44</v>
      </c>
      <c r="Z91" s="345" t="s">
        <v>1620</v>
      </c>
      <c r="AA91" s="92"/>
      <c r="AB91" s="242" t="s">
        <v>94</v>
      </c>
      <c r="AC91" s="242" t="s">
        <v>29</v>
      </c>
    </row>
    <row r="92" spans="1:30">
      <c r="A92" s="75" t="s">
        <v>664</v>
      </c>
      <c r="B92" s="59"/>
      <c r="C92" s="57"/>
      <c r="E92" s="65" t="s">
        <v>29</v>
      </c>
      <c r="F92" s="65" t="s">
        <v>29</v>
      </c>
      <c r="G92" s="58" t="s">
        <v>1443</v>
      </c>
      <c r="H92" s="58" t="s">
        <v>1449</v>
      </c>
      <c r="I92" s="60">
        <v>0</v>
      </c>
      <c r="J92" s="58" t="s">
        <v>94</v>
      </c>
      <c r="K92" s="58" t="s">
        <v>29</v>
      </c>
      <c r="L92" s="58" t="s">
        <v>94</v>
      </c>
      <c r="M92" s="58" t="s">
        <v>29</v>
      </c>
      <c r="N92" s="61" t="s">
        <v>1700</v>
      </c>
      <c r="O92" s="58" t="s">
        <v>1701</v>
      </c>
      <c r="P92" s="58" t="s">
        <v>1447</v>
      </c>
      <c r="Q92" s="63" t="str">
        <f>IF(V92&lt;&gt;"","Completed","")</f>
        <v>Completed</v>
      </c>
      <c r="R92" s="64">
        <v>42636</v>
      </c>
      <c r="S92" s="64" t="s">
        <v>222</v>
      </c>
      <c r="T92" s="65">
        <v>10</v>
      </c>
      <c r="U92" s="65">
        <v>18</v>
      </c>
      <c r="V92" s="65">
        <v>18</v>
      </c>
      <c r="Y92" s="74" t="s">
        <v>44</v>
      </c>
      <c r="Z92" s="56" t="s">
        <v>1494</v>
      </c>
      <c r="AA92" s="249"/>
      <c r="AB92" s="242" t="s">
        <v>94</v>
      </c>
    </row>
    <row r="93" spans="1:30">
      <c r="A93" s="261" t="s">
        <v>710</v>
      </c>
      <c r="B93" s="148"/>
      <c r="C93" s="57">
        <v>42765</v>
      </c>
      <c r="E93" s="65" t="s">
        <v>29</v>
      </c>
      <c r="F93" s="65" t="s">
        <v>29</v>
      </c>
      <c r="G93" s="58"/>
      <c r="H93" s="58"/>
      <c r="I93" s="60"/>
      <c r="J93" s="58"/>
      <c r="K93" s="58"/>
      <c r="L93" s="58"/>
      <c r="M93" s="58"/>
      <c r="N93" s="61" t="s">
        <v>1702</v>
      </c>
      <c r="O93" s="91" t="s">
        <v>1703</v>
      </c>
      <c r="P93" s="58"/>
      <c r="Q93" s="63" t="str">
        <f>IF(V93&lt;&gt;"","Completed","")</f>
        <v>Completed</v>
      </c>
      <c r="R93" s="64">
        <v>42770</v>
      </c>
      <c r="S93" s="64" t="s">
        <v>149</v>
      </c>
      <c r="T93" s="242">
        <v>6</v>
      </c>
      <c r="U93" s="242">
        <v>12</v>
      </c>
      <c r="V93" s="242">
        <v>12</v>
      </c>
      <c r="W93" s="242"/>
      <c r="X93" s="242"/>
      <c r="Y93" s="347" t="s">
        <v>44</v>
      </c>
      <c r="Z93" s="345" t="s">
        <v>1442</v>
      </c>
      <c r="AA93" s="92"/>
      <c r="AB93" s="242" t="s">
        <v>94</v>
      </c>
      <c r="AC93" s="242" t="s">
        <v>29</v>
      </c>
    </row>
    <row r="94" spans="1:30">
      <c r="A94" s="333" t="s">
        <v>124</v>
      </c>
      <c r="B94" s="59"/>
      <c r="C94" s="57">
        <v>42741</v>
      </c>
      <c r="D94" s="65">
        <v>4016000</v>
      </c>
      <c r="E94" s="65" t="s">
        <v>29</v>
      </c>
      <c r="F94" s="65" t="s">
        <v>29</v>
      </c>
      <c r="G94" s="58"/>
      <c r="H94" s="58"/>
      <c r="I94" s="60"/>
      <c r="J94" s="58"/>
      <c r="K94" s="58"/>
      <c r="L94" s="58"/>
      <c r="M94" s="58"/>
      <c r="N94" s="260" t="s">
        <v>1704</v>
      </c>
      <c r="O94" s="261" t="s">
        <v>1705</v>
      </c>
      <c r="P94" s="58"/>
      <c r="Q94" s="63" t="str">
        <f>IF(V94&lt;&gt;"","Completed","")</f>
        <v>Completed</v>
      </c>
      <c r="R94" s="64">
        <v>42672</v>
      </c>
      <c r="S94" s="64" t="s">
        <v>57</v>
      </c>
      <c r="T94" s="65">
        <v>4</v>
      </c>
      <c r="U94" s="65">
        <v>8</v>
      </c>
      <c r="V94" s="65">
        <v>8</v>
      </c>
      <c r="Y94" s="74" t="s">
        <v>44</v>
      </c>
      <c r="Z94" s="56" t="s">
        <v>1481</v>
      </c>
      <c r="AA94" s="252"/>
      <c r="AB94" s="328" t="s">
        <v>94</v>
      </c>
      <c r="AC94" s="328" t="s">
        <v>29</v>
      </c>
      <c r="AD94" s="56"/>
    </row>
    <row r="95" spans="1:30">
      <c r="A95" s="75" t="s">
        <v>632</v>
      </c>
      <c r="B95" s="59"/>
      <c r="C95" s="57">
        <v>42755</v>
      </c>
      <c r="E95" s="65" t="s">
        <v>29</v>
      </c>
      <c r="F95" s="65" t="s">
        <v>29</v>
      </c>
      <c r="G95" s="58" t="s">
        <v>1443</v>
      </c>
      <c r="H95" s="58" t="s">
        <v>1449</v>
      </c>
      <c r="I95" s="60">
        <v>0</v>
      </c>
      <c r="J95" s="58" t="s">
        <v>94</v>
      </c>
      <c r="K95" s="58" t="s">
        <v>29</v>
      </c>
      <c r="L95" s="58" t="s">
        <v>29</v>
      </c>
      <c r="M95" s="58" t="s">
        <v>29</v>
      </c>
      <c r="N95" s="61" t="s">
        <v>1706</v>
      </c>
      <c r="O95" s="58" t="s">
        <v>1707</v>
      </c>
      <c r="P95" s="58" t="s">
        <v>1447</v>
      </c>
      <c r="Q95" s="63" t="str">
        <f>IF(V95&lt;&gt;"","Completed","")</f>
        <v>Completed</v>
      </c>
      <c r="R95" s="64">
        <v>42719</v>
      </c>
      <c r="S95" s="64" t="s">
        <v>57</v>
      </c>
      <c r="T95" s="65">
        <v>5</v>
      </c>
      <c r="U95" s="65">
        <v>10</v>
      </c>
      <c r="V95" s="65">
        <v>10</v>
      </c>
      <c r="Y95" s="74" t="s">
        <v>44</v>
      </c>
      <c r="Z95" s="56" t="s">
        <v>1485</v>
      </c>
      <c r="AA95" s="252"/>
      <c r="AB95" s="65" t="s">
        <v>94</v>
      </c>
      <c r="AC95" s="65" t="s">
        <v>29</v>
      </c>
    </row>
    <row r="96" spans="1:30">
      <c r="A96" s="75" t="s">
        <v>1022</v>
      </c>
      <c r="B96" s="59"/>
      <c r="C96" s="57">
        <v>42740</v>
      </c>
      <c r="E96" s="65" t="s">
        <v>29</v>
      </c>
      <c r="F96" s="65" t="s">
        <v>29</v>
      </c>
      <c r="G96" s="58" t="s">
        <v>1443</v>
      </c>
      <c r="H96" s="58" t="s">
        <v>1456</v>
      </c>
      <c r="I96" s="60">
        <v>283</v>
      </c>
      <c r="J96" s="58" t="s">
        <v>94</v>
      </c>
      <c r="K96" s="58" t="s">
        <v>29</v>
      </c>
      <c r="L96" s="58" t="s">
        <v>94</v>
      </c>
      <c r="M96" s="58" t="s">
        <v>29</v>
      </c>
      <c r="N96" s="61" t="s">
        <v>1708</v>
      </c>
      <c r="O96" s="58" t="s">
        <v>1709</v>
      </c>
      <c r="P96" s="58" t="s">
        <v>1459</v>
      </c>
      <c r="Q96" s="63" t="str">
        <f>IF(V96&lt;&gt;"","Completed","")</f>
        <v>Completed</v>
      </c>
      <c r="R96" s="64">
        <v>42679</v>
      </c>
      <c r="S96" s="64" t="s">
        <v>80</v>
      </c>
      <c r="T96" s="65">
        <v>23</v>
      </c>
      <c r="U96" s="65">
        <v>34</v>
      </c>
      <c r="V96" s="65">
        <v>34</v>
      </c>
      <c r="Y96" s="74" t="s">
        <v>44</v>
      </c>
      <c r="Z96" s="56" t="s">
        <v>1491</v>
      </c>
      <c r="AA96" s="249"/>
      <c r="AB96" s="74" t="s">
        <v>94</v>
      </c>
      <c r="AC96" s="65" t="s">
        <v>29</v>
      </c>
    </row>
    <row r="97" spans="1:30">
      <c r="A97" s="75" t="s">
        <v>205</v>
      </c>
      <c r="B97" s="59"/>
      <c r="C97" s="57">
        <v>42794</v>
      </c>
      <c r="D97" s="65">
        <v>3030000</v>
      </c>
      <c r="E97" s="65" t="s">
        <v>29</v>
      </c>
      <c r="F97" s="65" t="s">
        <v>29</v>
      </c>
      <c r="G97" s="58" t="s">
        <v>1443</v>
      </c>
      <c r="H97" s="58" t="s">
        <v>1456</v>
      </c>
      <c r="I97" s="60">
        <v>0</v>
      </c>
      <c r="J97" s="58" t="s">
        <v>94</v>
      </c>
      <c r="K97" s="58" t="s">
        <v>29</v>
      </c>
      <c r="L97" s="58" t="s">
        <v>94</v>
      </c>
      <c r="M97" s="58" t="s">
        <v>29</v>
      </c>
      <c r="N97" s="61" t="s">
        <v>1710</v>
      </c>
      <c r="O97" s="58" t="s">
        <v>1711</v>
      </c>
      <c r="P97" s="58" t="s">
        <v>1447</v>
      </c>
      <c r="Q97" s="63" t="str">
        <f>IF(V97&lt;&gt;"","Completed","")</f>
        <v>Completed</v>
      </c>
      <c r="R97" s="64">
        <v>42718</v>
      </c>
      <c r="S97" s="64" t="s">
        <v>149</v>
      </c>
      <c r="T97" s="65">
        <v>21</v>
      </c>
      <c r="U97" s="65">
        <v>42</v>
      </c>
      <c r="V97" s="65">
        <v>42</v>
      </c>
      <c r="Y97" s="74" t="s">
        <v>44</v>
      </c>
      <c r="Z97" s="56" t="s">
        <v>1549</v>
      </c>
      <c r="AA97" s="252"/>
      <c r="AB97" s="65" t="s">
        <v>94</v>
      </c>
      <c r="AC97" s="65" t="s">
        <v>94</v>
      </c>
      <c r="AD97" s="257" t="s">
        <v>1712</v>
      </c>
    </row>
    <row r="98" spans="1:30">
      <c r="A98" s="75" t="s">
        <v>389</v>
      </c>
      <c r="B98" s="59"/>
      <c r="C98" s="57">
        <v>42662</v>
      </c>
      <c r="E98" s="65" t="s">
        <v>29</v>
      </c>
      <c r="F98" s="65" t="s">
        <v>29</v>
      </c>
      <c r="G98" s="58" t="s">
        <v>1443</v>
      </c>
      <c r="H98" s="58" t="s">
        <v>1456</v>
      </c>
      <c r="I98" s="60">
        <v>0</v>
      </c>
      <c r="J98" s="58" t="s">
        <v>94</v>
      </c>
      <c r="K98" s="58" t="s">
        <v>29</v>
      </c>
      <c r="L98" s="58" t="s">
        <v>29</v>
      </c>
      <c r="M98" s="58" t="s">
        <v>29</v>
      </c>
      <c r="N98" s="61" t="s">
        <v>1713</v>
      </c>
      <c r="O98" s="58" t="s">
        <v>1714</v>
      </c>
      <c r="P98" s="58" t="s">
        <v>1447</v>
      </c>
      <c r="Q98" s="63" t="str">
        <f>IF(V98&lt;&gt;"","Completed","")</f>
        <v>Completed</v>
      </c>
      <c r="R98" s="64">
        <v>42650</v>
      </c>
      <c r="S98" s="233" t="s">
        <v>397</v>
      </c>
      <c r="T98" s="65">
        <v>21</v>
      </c>
      <c r="U98" s="65">
        <v>39</v>
      </c>
      <c r="V98" s="65">
        <v>39</v>
      </c>
      <c r="Y98" s="74" t="s">
        <v>44</v>
      </c>
      <c r="Z98" s="56" t="s">
        <v>1671</v>
      </c>
      <c r="AA98" s="249">
        <f>V98</f>
        <v>39</v>
      </c>
      <c r="AB98" s="74" t="s">
        <v>94</v>
      </c>
      <c r="AC98" s="65" t="s">
        <v>29</v>
      </c>
    </row>
    <row r="99" spans="1:30">
      <c r="A99" s="340" t="s">
        <v>1046</v>
      </c>
      <c r="B99" s="260"/>
      <c r="C99" s="57">
        <v>42741</v>
      </c>
      <c r="E99" s="65" t="s">
        <v>29</v>
      </c>
      <c r="F99" s="65" t="s">
        <v>29</v>
      </c>
      <c r="G99" s="58" t="s">
        <v>1443</v>
      </c>
      <c r="H99" s="58" t="s">
        <v>1456</v>
      </c>
      <c r="I99" s="60">
        <v>0</v>
      </c>
      <c r="J99" s="58" t="s">
        <v>94</v>
      </c>
      <c r="K99" s="58" t="s">
        <v>29</v>
      </c>
      <c r="L99" s="58" t="s">
        <v>94</v>
      </c>
      <c r="M99" s="58" t="s">
        <v>29</v>
      </c>
      <c r="N99" s="61" t="s">
        <v>1715</v>
      </c>
      <c r="O99" s="294" t="s">
        <v>1716</v>
      </c>
      <c r="P99" s="58" t="s">
        <v>1459</v>
      </c>
      <c r="Q99" s="63" t="str">
        <f>IF(V99&lt;&gt;"","Completed","")</f>
        <v>Completed</v>
      </c>
      <c r="R99" s="64">
        <v>42655</v>
      </c>
      <c r="S99" s="64" t="s">
        <v>57</v>
      </c>
      <c r="T99" s="65">
        <v>38</v>
      </c>
      <c r="U99" s="65">
        <v>72</v>
      </c>
      <c r="V99" s="65">
        <v>72</v>
      </c>
      <c r="Y99" s="74" t="s">
        <v>44</v>
      </c>
      <c r="Z99" s="56" t="s">
        <v>1627</v>
      </c>
      <c r="AA99" s="252">
        <f>V99</f>
        <v>72</v>
      </c>
      <c r="AB99" s="65" t="s">
        <v>94</v>
      </c>
      <c r="AC99" s="65" t="s">
        <v>94</v>
      </c>
    </row>
    <row r="100" spans="1:30">
      <c r="A100" s="75" t="s">
        <v>929</v>
      </c>
      <c r="B100" s="59"/>
      <c r="C100" s="57">
        <v>42790</v>
      </c>
      <c r="E100" s="65" t="s">
        <v>29</v>
      </c>
      <c r="F100" s="65" t="s">
        <v>94</v>
      </c>
      <c r="G100" s="58" t="s">
        <v>1443</v>
      </c>
      <c r="H100" s="58" t="s">
        <v>1444</v>
      </c>
      <c r="I100" s="60">
        <v>0</v>
      </c>
      <c r="J100" s="58" t="s">
        <v>94</v>
      </c>
      <c r="K100" s="58" t="s">
        <v>29</v>
      </c>
      <c r="L100" s="58" t="s">
        <v>94</v>
      </c>
      <c r="M100" s="58" t="s">
        <v>94</v>
      </c>
      <c r="N100" s="61" t="s">
        <v>1717</v>
      </c>
      <c r="O100" s="58" t="s">
        <v>1718</v>
      </c>
      <c r="P100" s="58" t="s">
        <v>1447</v>
      </c>
      <c r="Q100" s="63" t="str">
        <f>IF(V100&lt;&gt;"","Completed","")</f>
        <v>Completed</v>
      </c>
      <c r="R100" s="64">
        <v>42636</v>
      </c>
      <c r="S100" s="386" t="s">
        <v>172</v>
      </c>
      <c r="T100" s="65">
        <v>21</v>
      </c>
      <c r="U100" s="256">
        <v>24</v>
      </c>
      <c r="V100" s="256">
        <v>24</v>
      </c>
      <c r="Y100" s="74" t="s">
        <v>44</v>
      </c>
      <c r="Z100" s="56" t="s">
        <v>1448</v>
      </c>
      <c r="AA100" s="249"/>
      <c r="AB100" s="74" t="s">
        <v>94</v>
      </c>
      <c r="AC100" s="65" t="s">
        <v>29</v>
      </c>
    </row>
    <row r="101" spans="1:30">
      <c r="A101" s="75" t="s">
        <v>273</v>
      </c>
      <c r="B101" s="59"/>
      <c r="C101" s="57">
        <v>42768</v>
      </c>
      <c r="D101" s="65">
        <v>4044000</v>
      </c>
      <c r="E101" s="65" t="s">
        <v>29</v>
      </c>
      <c r="F101" s="65" t="s">
        <v>29</v>
      </c>
      <c r="G101" s="58" t="s">
        <v>1443</v>
      </c>
      <c r="H101" s="58" t="s">
        <v>1456</v>
      </c>
      <c r="I101" s="60">
        <v>0</v>
      </c>
      <c r="J101" s="58" t="s">
        <v>94</v>
      </c>
      <c r="K101" s="58" t="s">
        <v>29</v>
      </c>
      <c r="L101" s="58" t="s">
        <v>94</v>
      </c>
      <c r="M101" s="58" t="s">
        <v>29</v>
      </c>
      <c r="N101" s="61" t="s">
        <v>1719</v>
      </c>
      <c r="O101" s="58" t="s">
        <v>1720</v>
      </c>
      <c r="P101" s="58" t="s">
        <v>1447</v>
      </c>
      <c r="Q101" s="63" t="str">
        <f>IF(V101&lt;&gt;"","Completed","")</f>
        <v>Completed</v>
      </c>
      <c r="R101" s="341">
        <v>42707</v>
      </c>
      <c r="S101" s="341" t="s">
        <v>43</v>
      </c>
      <c r="T101" s="65">
        <v>22</v>
      </c>
      <c r="U101" s="256">
        <v>43</v>
      </c>
      <c r="V101" s="256">
        <v>43</v>
      </c>
      <c r="Y101" s="74" t="s">
        <v>44</v>
      </c>
      <c r="Z101" s="56" t="s">
        <v>1571</v>
      </c>
      <c r="AA101" s="252"/>
      <c r="AB101" s="81" t="s">
        <v>94</v>
      </c>
      <c r="AC101" s="81"/>
    </row>
    <row r="102" spans="1:30">
      <c r="A102" s="75" t="s">
        <v>273</v>
      </c>
      <c r="B102" s="59"/>
      <c r="C102" s="57">
        <v>42772</v>
      </c>
      <c r="D102" s="65">
        <v>4044000</v>
      </c>
      <c r="E102" s="65" t="s">
        <v>29</v>
      </c>
      <c r="F102" s="65" t="s">
        <v>29</v>
      </c>
      <c r="G102" s="58" t="s">
        <v>1443</v>
      </c>
      <c r="H102" s="58" t="s">
        <v>1456</v>
      </c>
      <c r="I102" s="60">
        <v>0</v>
      </c>
      <c r="J102" s="58" t="s">
        <v>94</v>
      </c>
      <c r="K102" s="58" t="s">
        <v>29</v>
      </c>
      <c r="L102" s="58" t="s">
        <v>94</v>
      </c>
      <c r="M102" s="58" t="s">
        <v>29</v>
      </c>
      <c r="N102" s="61" t="s">
        <v>1721</v>
      </c>
      <c r="O102" s="58" t="s">
        <v>1722</v>
      </c>
      <c r="P102" s="58" t="s">
        <v>1447</v>
      </c>
      <c r="Q102" s="63" t="str">
        <f>IF(V102&lt;&gt;"","Completed","")</f>
        <v>Completed</v>
      </c>
      <c r="R102" s="341">
        <v>42714</v>
      </c>
      <c r="S102" s="341" t="s">
        <v>43</v>
      </c>
      <c r="T102" s="65">
        <v>234</v>
      </c>
      <c r="U102" s="256">
        <v>431</v>
      </c>
      <c r="V102" s="256">
        <v>431</v>
      </c>
      <c r="Y102" s="74" t="s">
        <v>44</v>
      </c>
      <c r="Z102" s="56" t="s">
        <v>1536</v>
      </c>
      <c r="AA102" s="252"/>
      <c r="AB102" s="81" t="s">
        <v>94</v>
      </c>
      <c r="AC102" s="81" t="s">
        <v>94</v>
      </c>
    </row>
    <row r="103" spans="1:30">
      <c r="A103" s="75" t="s">
        <v>273</v>
      </c>
      <c r="B103" s="59"/>
      <c r="C103" s="57">
        <v>42748</v>
      </c>
      <c r="D103" s="65">
        <v>4044000</v>
      </c>
      <c r="E103" s="65" t="s">
        <v>29</v>
      </c>
      <c r="F103" s="65" t="s">
        <v>29</v>
      </c>
      <c r="G103" s="58" t="s">
        <v>1443</v>
      </c>
      <c r="H103" s="58" t="s">
        <v>1456</v>
      </c>
      <c r="I103" s="60">
        <v>574</v>
      </c>
      <c r="J103" s="58" t="s">
        <v>94</v>
      </c>
      <c r="K103" s="58" t="s">
        <v>29</v>
      </c>
      <c r="L103" s="58" t="s">
        <v>94</v>
      </c>
      <c r="M103" s="58" t="s">
        <v>29</v>
      </c>
      <c r="N103" s="61" t="s">
        <v>1723</v>
      </c>
      <c r="O103" s="58" t="s">
        <v>1724</v>
      </c>
      <c r="P103" s="58" t="s">
        <v>1447</v>
      </c>
      <c r="Q103" s="63" t="str">
        <f>IF(V103&lt;&gt;"","Completed","")</f>
        <v>Completed</v>
      </c>
      <c r="R103" s="341">
        <v>42679</v>
      </c>
      <c r="S103" s="341" t="s">
        <v>43</v>
      </c>
      <c r="T103" s="65">
        <v>74</v>
      </c>
      <c r="U103" s="256">
        <v>119</v>
      </c>
      <c r="V103" s="256">
        <v>119</v>
      </c>
      <c r="Y103" s="74" t="s">
        <v>44</v>
      </c>
      <c r="Z103" s="257" t="s">
        <v>1549</v>
      </c>
      <c r="AA103" s="342"/>
      <c r="AB103" s="65" t="s">
        <v>94</v>
      </c>
      <c r="AC103" s="65" t="s">
        <v>29</v>
      </c>
    </row>
    <row r="104" spans="1:30">
      <c r="A104" s="75" t="s">
        <v>905</v>
      </c>
      <c r="B104" s="59"/>
      <c r="C104" s="57">
        <v>42776</v>
      </c>
      <c r="E104" s="65" t="s">
        <v>29</v>
      </c>
      <c r="F104" s="65" t="s">
        <v>29</v>
      </c>
      <c r="G104" s="58" t="s">
        <v>1443</v>
      </c>
      <c r="H104" s="58" t="s">
        <v>1456</v>
      </c>
      <c r="I104" s="60">
        <v>402</v>
      </c>
      <c r="J104" s="58" t="s">
        <v>94</v>
      </c>
      <c r="K104" s="58" t="s">
        <v>29</v>
      </c>
      <c r="L104" s="58" t="s">
        <v>29</v>
      </c>
      <c r="M104" s="58" t="s">
        <v>29</v>
      </c>
      <c r="N104" s="61" t="s">
        <v>1725</v>
      </c>
      <c r="O104" s="58" t="s">
        <v>1726</v>
      </c>
      <c r="P104" s="58" t="s">
        <v>1447</v>
      </c>
      <c r="Q104" s="63" t="str">
        <f>IF(V104&lt;&gt;"","Completed","")</f>
        <v>Completed</v>
      </c>
      <c r="R104" s="64">
        <v>42726</v>
      </c>
      <c r="S104" s="64" t="s">
        <v>57</v>
      </c>
      <c r="T104" s="65">
        <v>105</v>
      </c>
      <c r="U104" s="65">
        <v>160</v>
      </c>
      <c r="V104" s="65">
        <v>160</v>
      </c>
      <c r="Y104" s="74" t="s">
        <v>44</v>
      </c>
      <c r="Z104" s="56" t="s">
        <v>1650</v>
      </c>
      <c r="AA104" s="252"/>
      <c r="AB104" s="65" t="s">
        <v>94</v>
      </c>
      <c r="AC104" s="65" t="s">
        <v>94</v>
      </c>
    </row>
    <row r="105" spans="1:30">
      <c r="A105" s="331" t="s">
        <v>135</v>
      </c>
      <c r="B105" s="59"/>
      <c r="C105" s="57">
        <v>42768</v>
      </c>
      <c r="D105" s="65">
        <v>2017000</v>
      </c>
      <c r="E105" s="65" t="s">
        <v>29</v>
      </c>
      <c r="F105" s="65" t="s">
        <v>29</v>
      </c>
      <c r="G105" s="58" t="s">
        <v>1443</v>
      </c>
      <c r="H105" s="58"/>
      <c r="I105" s="60"/>
      <c r="J105" s="58"/>
      <c r="K105" s="58"/>
      <c r="L105" s="58"/>
      <c r="M105" s="58"/>
      <c r="N105" s="84" t="s">
        <v>1727</v>
      </c>
      <c r="O105" s="58" t="s">
        <v>1728</v>
      </c>
      <c r="P105" s="58"/>
      <c r="Q105" s="63" t="str">
        <f>IF(V105&lt;&gt;"","Completed","")</f>
        <v>Completed</v>
      </c>
      <c r="R105" s="64">
        <v>42719</v>
      </c>
      <c r="S105" s="64" t="s">
        <v>57</v>
      </c>
      <c r="T105" s="65">
        <v>5</v>
      </c>
      <c r="U105" s="65">
        <v>10</v>
      </c>
      <c r="V105" s="65">
        <v>10</v>
      </c>
      <c r="Y105" s="74" t="s">
        <v>44</v>
      </c>
      <c r="Z105" s="56" t="s">
        <v>1571</v>
      </c>
      <c r="AA105" s="92"/>
      <c r="AB105" s="329" t="s">
        <v>94</v>
      </c>
      <c r="AC105" s="329" t="s">
        <v>94</v>
      </c>
    </row>
    <row r="106" spans="1:30">
      <c r="A106" s="244" t="s">
        <v>989</v>
      </c>
      <c r="B106" s="62" t="s">
        <v>106</v>
      </c>
      <c r="C106" s="57">
        <v>42747</v>
      </c>
      <c r="E106" s="65" t="s">
        <v>29</v>
      </c>
      <c r="F106" s="65" t="s">
        <v>29</v>
      </c>
      <c r="G106" s="58" t="s">
        <v>1443</v>
      </c>
      <c r="N106" s="68" t="s">
        <v>1729</v>
      </c>
      <c r="O106" s="63" t="s">
        <v>1730</v>
      </c>
      <c r="Q106" s="63" t="str">
        <f>IF(V106&lt;&gt;"","Completed","")</f>
        <v>Completed</v>
      </c>
      <c r="R106" s="64">
        <v>42713</v>
      </c>
      <c r="S106" s="64" t="s">
        <v>204</v>
      </c>
      <c r="T106" s="256">
        <v>63</v>
      </c>
      <c r="U106" s="65">
        <v>105</v>
      </c>
      <c r="V106" s="65">
        <v>105</v>
      </c>
      <c r="Y106" s="74" t="s">
        <v>44</v>
      </c>
      <c r="Z106" s="56" t="s">
        <v>1549</v>
      </c>
      <c r="AA106" s="252"/>
      <c r="AB106" s="65" t="s">
        <v>94</v>
      </c>
      <c r="AC106" s="74" t="s">
        <v>29</v>
      </c>
    </row>
    <row r="107" spans="1:30">
      <c r="A107" s="75" t="s">
        <v>748</v>
      </c>
      <c r="B107" s="59"/>
      <c r="C107" s="57">
        <v>42718</v>
      </c>
      <c r="E107" s="65" t="s">
        <v>29</v>
      </c>
      <c r="F107" s="65" t="s">
        <v>29</v>
      </c>
      <c r="G107" s="58" t="s">
        <v>1443</v>
      </c>
      <c r="H107" s="58" t="s">
        <v>1456</v>
      </c>
      <c r="I107" s="60">
        <v>505</v>
      </c>
      <c r="J107" s="58" t="s">
        <v>94</v>
      </c>
      <c r="K107" s="58" t="s">
        <v>29</v>
      </c>
      <c r="L107" s="58" t="s">
        <v>29</v>
      </c>
      <c r="M107" s="58" t="s">
        <v>29</v>
      </c>
      <c r="N107" s="61" t="s">
        <v>1731</v>
      </c>
      <c r="O107" s="58" t="s">
        <v>1732</v>
      </c>
      <c r="P107" s="58" t="s">
        <v>1447</v>
      </c>
      <c r="Q107" s="63" t="str">
        <f>IF(V107&lt;&gt;"","Completed","")</f>
        <v>Completed</v>
      </c>
      <c r="R107" s="64">
        <v>42665</v>
      </c>
      <c r="S107" s="64" t="s">
        <v>149</v>
      </c>
      <c r="T107" s="65">
        <v>111</v>
      </c>
      <c r="U107" s="65">
        <v>181</v>
      </c>
      <c r="V107" s="65">
        <v>181</v>
      </c>
      <c r="Y107" s="74" t="s">
        <v>44</v>
      </c>
      <c r="Z107" s="56" t="s">
        <v>1481</v>
      </c>
      <c r="AA107" s="249"/>
      <c r="AB107" s="74" t="s">
        <v>94</v>
      </c>
      <c r="AC107" s="65" t="s">
        <v>94</v>
      </c>
      <c r="AD107" s="56" t="s">
        <v>1733</v>
      </c>
    </row>
    <row r="108" spans="1:30">
      <c r="A108" s="331" t="s">
        <v>1206</v>
      </c>
      <c r="B108" s="59"/>
      <c r="C108" s="57">
        <v>42744</v>
      </c>
      <c r="E108" s="65" t="s">
        <v>29</v>
      </c>
      <c r="F108" s="65" t="s">
        <v>29</v>
      </c>
      <c r="G108" s="58" t="s">
        <v>1443</v>
      </c>
      <c r="H108" s="58" t="s">
        <v>1444</v>
      </c>
      <c r="I108" s="60">
        <v>0</v>
      </c>
      <c r="J108" s="58" t="s">
        <v>94</v>
      </c>
      <c r="K108" s="58" t="s">
        <v>29</v>
      </c>
      <c r="L108" s="58" t="s">
        <v>94</v>
      </c>
      <c r="M108" s="58" t="s">
        <v>29</v>
      </c>
      <c r="N108" s="61" t="s">
        <v>1734</v>
      </c>
      <c r="O108" s="58" t="s">
        <v>1735</v>
      </c>
      <c r="P108" s="58" t="s">
        <v>1459</v>
      </c>
      <c r="Q108" s="63" t="str">
        <f>IF(V108&lt;&gt;"","Completed","")</f>
        <v>Completed</v>
      </c>
      <c r="R108" s="64">
        <v>42697</v>
      </c>
      <c r="S108" s="64" t="s">
        <v>57</v>
      </c>
      <c r="T108" s="242">
        <v>29</v>
      </c>
      <c r="U108" s="242">
        <v>58</v>
      </c>
      <c r="V108" s="242">
        <v>58</v>
      </c>
      <c r="W108" s="242"/>
      <c r="X108" s="242"/>
      <c r="Y108" s="74" t="s">
        <v>44</v>
      </c>
      <c r="Z108" s="345" t="s">
        <v>1508</v>
      </c>
      <c r="AA108" s="252"/>
      <c r="AB108" s="248" t="s">
        <v>94</v>
      </c>
      <c r="AC108" s="248" t="s">
        <v>29</v>
      </c>
    </row>
    <row r="109" spans="1:30">
      <c r="A109" s="331" t="s">
        <v>1206</v>
      </c>
      <c r="B109" s="59"/>
      <c r="C109" s="57">
        <v>42724</v>
      </c>
      <c r="E109" s="65" t="s">
        <v>29</v>
      </c>
      <c r="F109" s="65" t="s">
        <v>29</v>
      </c>
      <c r="G109" s="58" t="s">
        <v>1443</v>
      </c>
      <c r="H109" s="58" t="s">
        <v>1444</v>
      </c>
      <c r="I109" s="60">
        <v>0</v>
      </c>
      <c r="J109" s="58" t="s">
        <v>94</v>
      </c>
      <c r="K109" s="58" t="s">
        <v>29</v>
      </c>
      <c r="L109" s="58" t="s">
        <v>94</v>
      </c>
      <c r="M109" s="58" t="s">
        <v>29</v>
      </c>
      <c r="N109" s="61" t="s">
        <v>1736</v>
      </c>
      <c r="O109" s="58" t="s">
        <v>1737</v>
      </c>
      <c r="P109" s="58" t="s">
        <v>1459</v>
      </c>
      <c r="Q109" s="63" t="str">
        <f>IF(V109&lt;&gt;"","Completed","")</f>
        <v>Completed</v>
      </c>
      <c r="R109" s="64">
        <v>42697</v>
      </c>
      <c r="S109" s="64" t="s">
        <v>57</v>
      </c>
      <c r="T109" s="65">
        <v>30</v>
      </c>
      <c r="U109" s="65">
        <v>60</v>
      </c>
      <c r="V109" s="65">
        <v>60</v>
      </c>
      <c r="Y109" s="74" t="s">
        <v>44</v>
      </c>
      <c r="Z109" s="56" t="s">
        <v>1593</v>
      </c>
      <c r="AA109" s="252"/>
      <c r="AB109" s="248" t="s">
        <v>94</v>
      </c>
      <c r="AC109" s="248" t="s">
        <v>29</v>
      </c>
    </row>
    <row r="110" spans="1:30">
      <c r="A110" s="331" t="s">
        <v>1206</v>
      </c>
      <c r="B110" s="59"/>
      <c r="C110" s="57">
        <v>42744</v>
      </c>
      <c r="E110" s="65" t="s">
        <v>29</v>
      </c>
      <c r="F110" s="65" t="s">
        <v>29</v>
      </c>
      <c r="G110" s="58" t="s">
        <v>1443</v>
      </c>
      <c r="H110" s="58" t="s">
        <v>1449</v>
      </c>
      <c r="I110" s="60">
        <v>169</v>
      </c>
      <c r="J110" s="58" t="s">
        <v>94</v>
      </c>
      <c r="K110" s="58" t="s">
        <v>29</v>
      </c>
      <c r="L110" s="58" t="s">
        <v>94</v>
      </c>
      <c r="M110" s="58" t="s">
        <v>29</v>
      </c>
      <c r="N110" s="61" t="s">
        <v>1738</v>
      </c>
      <c r="O110" s="58" t="s">
        <v>1739</v>
      </c>
      <c r="P110" s="58" t="s">
        <v>1459</v>
      </c>
      <c r="Q110" s="63" t="str">
        <f>IF(V110&lt;&gt;"","Completed","")</f>
        <v>Completed</v>
      </c>
      <c r="R110" s="64">
        <v>42697</v>
      </c>
      <c r="S110" s="64" t="s">
        <v>57</v>
      </c>
      <c r="T110" s="65">
        <v>11</v>
      </c>
      <c r="U110" s="65">
        <v>20</v>
      </c>
      <c r="V110" s="65">
        <v>20</v>
      </c>
      <c r="Y110" s="74" t="s">
        <v>44</v>
      </c>
      <c r="Z110" s="56" t="s">
        <v>1593</v>
      </c>
      <c r="AA110" s="252"/>
      <c r="AB110" s="248" t="s">
        <v>94</v>
      </c>
      <c r="AC110" s="248" t="s">
        <v>29</v>
      </c>
    </row>
    <row r="111" spans="1:30">
      <c r="A111" s="75" t="s">
        <v>703</v>
      </c>
      <c r="B111" s="59"/>
      <c r="C111" s="57">
        <v>42664</v>
      </c>
      <c r="E111" s="65" t="s">
        <v>29</v>
      </c>
      <c r="F111" s="65" t="s">
        <v>29</v>
      </c>
      <c r="G111" s="58" t="s">
        <v>1443</v>
      </c>
      <c r="H111" s="58"/>
      <c r="I111" s="60"/>
      <c r="J111" s="58"/>
      <c r="K111" s="58"/>
      <c r="L111" s="58"/>
      <c r="M111" s="58"/>
      <c r="N111" s="61" t="s">
        <v>1740</v>
      </c>
      <c r="O111" s="58" t="s">
        <v>1741</v>
      </c>
      <c r="P111" s="58"/>
      <c r="Q111" s="63" t="str">
        <f>IF(V111&lt;&gt;"","Completed","")</f>
        <v>Completed</v>
      </c>
      <c r="R111" s="64">
        <v>42651</v>
      </c>
      <c r="S111" s="64" t="s">
        <v>222</v>
      </c>
      <c r="T111" s="65">
        <v>67</v>
      </c>
      <c r="U111" s="65">
        <v>134</v>
      </c>
      <c r="V111" s="65">
        <v>134</v>
      </c>
      <c r="Y111" s="74" t="s">
        <v>44</v>
      </c>
      <c r="Z111" s="56" t="s">
        <v>1742</v>
      </c>
      <c r="AA111" s="249"/>
      <c r="AB111" s="242" t="s">
        <v>94</v>
      </c>
      <c r="AC111" s="74"/>
    </row>
    <row r="112" spans="1:30">
      <c r="A112" s="75" t="s">
        <v>313</v>
      </c>
      <c r="B112" s="59"/>
      <c r="C112" s="57">
        <v>42709</v>
      </c>
      <c r="D112" s="65">
        <v>3056000</v>
      </c>
      <c r="E112" s="65" t="s">
        <v>29</v>
      </c>
      <c r="F112" s="65" t="s">
        <v>29</v>
      </c>
      <c r="G112" s="58" t="s">
        <v>1443</v>
      </c>
      <c r="H112" s="58" t="s">
        <v>1456</v>
      </c>
      <c r="I112" s="60">
        <v>391</v>
      </c>
      <c r="J112" s="58" t="s">
        <v>94</v>
      </c>
      <c r="K112" s="58" t="s">
        <v>29</v>
      </c>
      <c r="L112" s="58" t="s">
        <v>94</v>
      </c>
      <c r="M112" s="58" t="s">
        <v>29</v>
      </c>
      <c r="N112" s="61" t="s">
        <v>1743</v>
      </c>
      <c r="O112" s="58" t="s">
        <v>1744</v>
      </c>
      <c r="P112" s="58" t="s">
        <v>1459</v>
      </c>
      <c r="Q112" s="63" t="str">
        <f>IF(V112&lt;&gt;"","Completed","")</f>
        <v>Completed</v>
      </c>
      <c r="R112" s="64">
        <v>42679</v>
      </c>
      <c r="S112" s="64" t="s">
        <v>149</v>
      </c>
      <c r="T112" s="65">
        <v>63</v>
      </c>
      <c r="U112" s="65">
        <v>101</v>
      </c>
      <c r="V112" s="65">
        <v>101</v>
      </c>
      <c r="Y112" s="74" t="s">
        <v>44</v>
      </c>
      <c r="Z112" s="56" t="s">
        <v>1497</v>
      </c>
      <c r="AA112" s="249"/>
      <c r="AB112" s="65" t="s">
        <v>94</v>
      </c>
      <c r="AC112" s="65" t="s">
        <v>94</v>
      </c>
    </row>
    <row r="113" spans="1:30">
      <c r="A113" s="332" t="s">
        <v>647</v>
      </c>
      <c r="B113" s="59"/>
      <c r="C113" s="57">
        <v>42787</v>
      </c>
      <c r="E113" s="65" t="s">
        <v>29</v>
      </c>
      <c r="F113" s="65" t="s">
        <v>29</v>
      </c>
      <c r="G113" s="58" t="s">
        <v>1443</v>
      </c>
      <c r="H113" s="58" t="s">
        <v>1444</v>
      </c>
      <c r="I113" s="60">
        <v>501</v>
      </c>
      <c r="J113" s="58" t="s">
        <v>29</v>
      </c>
      <c r="K113" s="58" t="s">
        <v>29</v>
      </c>
      <c r="L113" s="58" t="s">
        <v>29</v>
      </c>
      <c r="M113" s="58" t="s">
        <v>29</v>
      </c>
      <c r="N113" s="61" t="s">
        <v>1745</v>
      </c>
      <c r="O113" s="58" t="s">
        <v>1746</v>
      </c>
      <c r="P113" s="58" t="s">
        <v>1459</v>
      </c>
      <c r="Q113" s="63" t="str">
        <f>IF(V113&lt;&gt;"","Completed","")</f>
        <v>Completed</v>
      </c>
      <c r="R113" s="319">
        <v>42742</v>
      </c>
      <c r="S113" s="319" t="s">
        <v>57</v>
      </c>
      <c r="T113" s="65">
        <v>57</v>
      </c>
      <c r="U113" s="65">
        <v>87</v>
      </c>
      <c r="V113" s="65">
        <v>87</v>
      </c>
      <c r="Y113" s="74" t="s">
        <v>44</v>
      </c>
      <c r="Z113" s="56" t="s">
        <v>1747</v>
      </c>
      <c r="AA113" s="252"/>
      <c r="AB113" s="74" t="s">
        <v>94</v>
      </c>
      <c r="AC113" s="65" t="s">
        <v>94</v>
      </c>
    </row>
    <row r="114" spans="1:30">
      <c r="A114" s="63" t="s">
        <v>45</v>
      </c>
      <c r="B114" s="63" t="s">
        <v>46</v>
      </c>
      <c r="C114" s="112">
        <v>42746</v>
      </c>
      <c r="D114" s="315">
        <v>2002000</v>
      </c>
      <c r="E114" s="57" t="s">
        <v>29</v>
      </c>
      <c r="F114" s="65" t="s">
        <v>29</v>
      </c>
      <c r="G114" s="63" t="s">
        <v>1443</v>
      </c>
      <c r="H114" s="63" t="s">
        <v>1444</v>
      </c>
      <c r="I114" s="58">
        <v>300</v>
      </c>
      <c r="J114" s="58" t="s">
        <v>94</v>
      </c>
      <c r="K114" s="60" t="s">
        <v>29</v>
      </c>
      <c r="L114" s="58" t="s">
        <v>94</v>
      </c>
      <c r="M114" s="58" t="s">
        <v>29</v>
      </c>
      <c r="N114" s="58" t="s">
        <v>1748</v>
      </c>
      <c r="O114" s="58" t="s">
        <v>1749</v>
      </c>
      <c r="P114" s="61" t="s">
        <v>1447</v>
      </c>
      <c r="Q114" s="63" t="str">
        <f>IF(V114&lt;&gt;"","Completed","")</f>
        <v>Completed</v>
      </c>
      <c r="R114" s="57">
        <v>42685</v>
      </c>
      <c r="S114" s="57" t="s">
        <v>57</v>
      </c>
      <c r="T114" s="65">
        <v>51</v>
      </c>
      <c r="U114" s="273">
        <v>76</v>
      </c>
      <c r="V114" s="273">
        <v>76</v>
      </c>
      <c r="W114" s="273"/>
      <c r="X114" s="273"/>
      <c r="Y114" s="74" t="s">
        <v>44</v>
      </c>
      <c r="Z114" s="56" t="s">
        <v>1478</v>
      </c>
      <c r="AA114" s="104"/>
      <c r="AB114" s="65" t="s">
        <v>94</v>
      </c>
      <c r="AC114" s="65" t="s">
        <v>94</v>
      </c>
      <c r="AD114" s="56"/>
    </row>
    <row r="115" spans="1:30">
      <c r="A115" s="331" t="s">
        <v>1206</v>
      </c>
      <c r="B115" s="59"/>
      <c r="C115" s="57">
        <v>42744</v>
      </c>
      <c r="E115" s="65" t="s">
        <v>29</v>
      </c>
      <c r="F115" s="65" t="s">
        <v>29</v>
      </c>
      <c r="G115" s="58" t="s">
        <v>1443</v>
      </c>
      <c r="H115" s="58" t="s">
        <v>1444</v>
      </c>
      <c r="I115" s="60">
        <v>251</v>
      </c>
      <c r="J115" s="58" t="s">
        <v>29</v>
      </c>
      <c r="K115" s="58" t="s">
        <v>29</v>
      </c>
      <c r="L115" s="58" t="s">
        <v>94</v>
      </c>
      <c r="M115" s="58" t="s">
        <v>29</v>
      </c>
      <c r="N115" s="61" t="s">
        <v>1750</v>
      </c>
      <c r="O115" s="58" t="s">
        <v>1751</v>
      </c>
      <c r="P115" s="58" t="s">
        <v>1459</v>
      </c>
      <c r="Q115" s="63" t="str">
        <f>IF(V115&lt;&gt;"","Completed","")</f>
        <v>Completed</v>
      </c>
      <c r="R115" s="64">
        <v>42697</v>
      </c>
      <c r="S115" s="64" t="s">
        <v>57</v>
      </c>
      <c r="T115" s="65">
        <v>44</v>
      </c>
      <c r="U115" s="65">
        <v>75</v>
      </c>
      <c r="V115" s="65">
        <v>75</v>
      </c>
      <c r="Y115" s="74" t="s">
        <v>44</v>
      </c>
      <c r="Z115" s="56" t="s">
        <v>1640</v>
      </c>
      <c r="AA115" s="252"/>
      <c r="AB115" s="248" t="s">
        <v>94</v>
      </c>
      <c r="AC115" s="248" t="s">
        <v>94</v>
      </c>
    </row>
    <row r="116" spans="1:30">
      <c r="A116" s="75" t="s">
        <v>290</v>
      </c>
      <c r="B116" s="59"/>
      <c r="C116" s="57">
        <v>42709</v>
      </c>
      <c r="D116" s="65">
        <v>4050000</v>
      </c>
      <c r="E116" s="65" t="s">
        <v>29</v>
      </c>
      <c r="F116" s="65" t="s">
        <v>94</v>
      </c>
      <c r="G116" s="58" t="s">
        <v>1443</v>
      </c>
      <c r="H116" s="58" t="s">
        <v>1444</v>
      </c>
      <c r="I116" s="60">
        <v>0</v>
      </c>
      <c r="J116" s="58" t="s">
        <v>94</v>
      </c>
      <c r="K116" s="58" t="s">
        <v>29</v>
      </c>
      <c r="L116" s="58" t="s">
        <v>94</v>
      </c>
      <c r="M116" s="58" t="s">
        <v>94</v>
      </c>
      <c r="N116" s="61" t="s">
        <v>1752</v>
      </c>
      <c r="O116" s="58" t="s">
        <v>1753</v>
      </c>
      <c r="P116" s="58" t="s">
        <v>1459</v>
      </c>
      <c r="Q116" s="63" t="str">
        <f>IF(V116&lt;&gt;"","Completed","")</f>
        <v>Completed</v>
      </c>
      <c r="R116" s="64">
        <v>42664</v>
      </c>
      <c r="S116" s="64" t="s">
        <v>104</v>
      </c>
      <c r="T116" s="151">
        <v>16</v>
      </c>
      <c r="U116" s="151"/>
      <c r="V116" s="256">
        <v>33</v>
      </c>
      <c r="W116" s="151"/>
      <c r="X116" s="151"/>
      <c r="Y116" s="74" t="s">
        <v>44</v>
      </c>
      <c r="Z116" s="56" t="s">
        <v>1754</v>
      </c>
      <c r="AA116" s="249"/>
      <c r="AB116" s="65" t="s">
        <v>94</v>
      </c>
      <c r="AC116" s="65" t="s">
        <v>29</v>
      </c>
    </row>
    <row r="117" spans="1:30">
      <c r="A117" s="75" t="s">
        <v>1197</v>
      </c>
      <c r="B117" s="59"/>
      <c r="C117" s="57">
        <v>42794</v>
      </c>
      <c r="E117" s="65" t="s">
        <v>29</v>
      </c>
      <c r="F117" s="65" t="s">
        <v>94</v>
      </c>
      <c r="G117" s="58" t="s">
        <v>1482</v>
      </c>
      <c r="H117" s="58" t="s">
        <v>1456</v>
      </c>
      <c r="I117" s="60">
        <v>0</v>
      </c>
      <c r="J117" s="58" t="s">
        <v>94</v>
      </c>
      <c r="K117" s="58" t="s">
        <v>29</v>
      </c>
      <c r="L117" s="58" t="s">
        <v>94</v>
      </c>
      <c r="M117" s="58" t="s">
        <v>94</v>
      </c>
      <c r="N117" s="61" t="s">
        <v>1755</v>
      </c>
      <c r="O117" s="58" t="s">
        <v>1756</v>
      </c>
      <c r="P117" s="58" t="s">
        <v>1447</v>
      </c>
      <c r="Q117" s="63" t="str">
        <f>IF(V117&lt;&gt;"","Completed","")</f>
        <v>Completed</v>
      </c>
      <c r="R117" s="64">
        <v>42651</v>
      </c>
      <c r="S117" s="64" t="s">
        <v>104</v>
      </c>
      <c r="T117" s="355" t="s">
        <v>1757</v>
      </c>
      <c r="U117" s="355" t="s">
        <v>1757</v>
      </c>
      <c r="V117" s="355" t="s">
        <v>1757</v>
      </c>
      <c r="Y117" s="74" t="s">
        <v>44</v>
      </c>
      <c r="Z117" s="56" t="s">
        <v>1481</v>
      </c>
      <c r="AA117" s="249"/>
      <c r="AB117" s="74" t="s">
        <v>94</v>
      </c>
      <c r="AC117" s="74" t="s">
        <v>29</v>
      </c>
      <c r="AD117" s="345" t="s">
        <v>1758</v>
      </c>
    </row>
    <row r="118" spans="1:30">
      <c r="A118" s="261" t="s">
        <v>710</v>
      </c>
      <c r="C118" s="57">
        <v>42782</v>
      </c>
      <c r="E118" s="65" t="s">
        <v>29</v>
      </c>
      <c r="F118" s="65" t="s">
        <v>29</v>
      </c>
      <c r="N118" s="68" t="s">
        <v>1759</v>
      </c>
      <c r="O118" s="90" t="s">
        <v>1760</v>
      </c>
      <c r="Q118" s="63" t="str">
        <f>IF(V118&lt;&gt;"","Completed","")</f>
        <v>Completed</v>
      </c>
      <c r="R118" s="64">
        <v>42770</v>
      </c>
      <c r="S118" s="64" t="s">
        <v>149</v>
      </c>
      <c r="T118" s="242">
        <v>50</v>
      </c>
      <c r="U118" s="242">
        <v>83</v>
      </c>
      <c r="V118" s="242">
        <v>83</v>
      </c>
      <c r="Y118" s="74" t="s">
        <v>44</v>
      </c>
      <c r="Z118" s="56" t="s">
        <v>1620</v>
      </c>
      <c r="AA118" s="92"/>
      <c r="AB118" s="242" t="s">
        <v>94</v>
      </c>
      <c r="AC118" s="242" t="s">
        <v>29</v>
      </c>
    </row>
    <row r="119" spans="1:30">
      <c r="A119" s="332" t="s">
        <v>894</v>
      </c>
      <c r="B119" s="59"/>
      <c r="C119" s="57">
        <v>42732</v>
      </c>
      <c r="E119" s="65" t="s">
        <v>29</v>
      </c>
      <c r="F119" s="65" t="s">
        <v>94</v>
      </c>
      <c r="G119" s="58" t="s">
        <v>1443</v>
      </c>
      <c r="H119" s="58" t="s">
        <v>1449</v>
      </c>
      <c r="I119" s="60">
        <v>315</v>
      </c>
      <c r="J119" s="58" t="s">
        <v>29</v>
      </c>
      <c r="K119" s="58" t="s">
        <v>29</v>
      </c>
      <c r="L119" s="58" t="s">
        <v>94</v>
      </c>
      <c r="M119" s="58" t="s">
        <v>94</v>
      </c>
      <c r="N119" s="61" t="s">
        <v>1761</v>
      </c>
      <c r="O119" s="58" t="s">
        <v>1762</v>
      </c>
      <c r="P119" s="58" t="s">
        <v>1447</v>
      </c>
      <c r="Q119" s="63" t="str">
        <f>IF(V119&lt;&gt;"","Completed","")</f>
        <v>Completed</v>
      </c>
      <c r="R119" s="64">
        <v>42695</v>
      </c>
      <c r="S119" s="64" t="s">
        <v>104</v>
      </c>
      <c r="T119" s="242">
        <v>61</v>
      </c>
      <c r="U119" s="242"/>
      <c r="V119" s="256">
        <v>95</v>
      </c>
      <c r="W119" s="242"/>
      <c r="X119" s="242"/>
      <c r="Y119" s="74" t="s">
        <v>44</v>
      </c>
      <c r="Z119" s="345" t="s">
        <v>1608</v>
      </c>
      <c r="AA119" s="252"/>
      <c r="AB119" s="242" t="s">
        <v>94</v>
      </c>
    </row>
    <row r="120" spans="1:30">
      <c r="A120" s="75" t="s">
        <v>803</v>
      </c>
      <c r="B120" s="59"/>
      <c r="C120" s="57">
        <v>42759</v>
      </c>
      <c r="E120" s="65" t="s">
        <v>29</v>
      </c>
      <c r="F120" s="65" t="s">
        <v>29</v>
      </c>
      <c r="G120" s="58" t="s">
        <v>1443</v>
      </c>
      <c r="H120" s="58" t="s">
        <v>1456</v>
      </c>
      <c r="I120" s="60">
        <v>292</v>
      </c>
      <c r="J120" s="58" t="s">
        <v>94</v>
      </c>
      <c r="K120" s="58" t="s">
        <v>29</v>
      </c>
      <c r="L120" s="58" t="s">
        <v>94</v>
      </c>
      <c r="M120" s="58" t="s">
        <v>29</v>
      </c>
      <c r="N120" s="61" t="s">
        <v>1763</v>
      </c>
      <c r="O120" s="58" t="s">
        <v>1764</v>
      </c>
      <c r="P120" s="58" t="s">
        <v>1447</v>
      </c>
      <c r="Q120" s="63" t="str">
        <f>IF(V120&lt;&gt;"","Completed","")</f>
        <v>Completed</v>
      </c>
      <c r="R120" s="64">
        <v>42696</v>
      </c>
      <c r="S120" s="64" t="s">
        <v>43</v>
      </c>
      <c r="T120" s="65">
        <v>15</v>
      </c>
      <c r="U120" s="65">
        <v>30</v>
      </c>
      <c r="V120" s="65">
        <v>30</v>
      </c>
      <c r="Y120" s="74" t="s">
        <v>44</v>
      </c>
      <c r="Z120" s="56" t="s">
        <v>1464</v>
      </c>
      <c r="AA120" s="249"/>
      <c r="AB120" s="65" t="s">
        <v>94</v>
      </c>
      <c r="AC120" s="74" t="s">
        <v>29</v>
      </c>
    </row>
    <row r="121" spans="1:30">
      <c r="A121" s="332" t="s">
        <v>945</v>
      </c>
      <c r="B121" s="59"/>
      <c r="C121" s="57">
        <v>42787</v>
      </c>
      <c r="E121" s="65" t="s">
        <v>29</v>
      </c>
      <c r="F121" s="65" t="s">
        <v>29</v>
      </c>
      <c r="G121" s="58" t="s">
        <v>1443</v>
      </c>
      <c r="H121" s="58" t="s">
        <v>1456</v>
      </c>
      <c r="I121" s="60">
        <v>181</v>
      </c>
      <c r="J121" s="58" t="s">
        <v>29</v>
      </c>
      <c r="K121" s="58" t="s">
        <v>29</v>
      </c>
      <c r="L121" s="58" t="s">
        <v>94</v>
      </c>
      <c r="M121" s="58" t="s">
        <v>29</v>
      </c>
      <c r="N121" s="61" t="s">
        <v>1765</v>
      </c>
      <c r="O121" s="58" t="s">
        <v>1766</v>
      </c>
      <c r="P121" s="58" t="s">
        <v>1447</v>
      </c>
      <c r="Q121" s="63" t="str">
        <f>IF(V121&lt;&gt;"","Completed","")</f>
        <v>Completed</v>
      </c>
      <c r="R121" s="319">
        <v>42742</v>
      </c>
      <c r="S121" s="319" t="s">
        <v>57</v>
      </c>
      <c r="T121" s="65">
        <v>68</v>
      </c>
      <c r="U121" s="65">
        <v>101</v>
      </c>
      <c r="V121" s="65">
        <v>101</v>
      </c>
      <c r="W121" s="242"/>
      <c r="X121" s="242"/>
      <c r="Y121" s="74" t="s">
        <v>44</v>
      </c>
      <c r="Z121" s="56" t="s">
        <v>1767</v>
      </c>
      <c r="AA121" s="252"/>
      <c r="AB121" s="74" t="s">
        <v>94</v>
      </c>
      <c r="AC121" s="65" t="s">
        <v>94</v>
      </c>
    </row>
    <row r="122" spans="1:30">
      <c r="A122" s="75" t="s">
        <v>487</v>
      </c>
      <c r="B122" s="59"/>
      <c r="C122" s="57">
        <v>42726</v>
      </c>
      <c r="E122" s="65" t="s">
        <v>29</v>
      </c>
      <c r="F122" s="65" t="s">
        <v>29</v>
      </c>
      <c r="G122" s="58" t="s">
        <v>1443</v>
      </c>
      <c r="H122" s="58" t="s">
        <v>1456</v>
      </c>
      <c r="I122" s="60">
        <v>595</v>
      </c>
      <c r="J122" s="58" t="s">
        <v>29</v>
      </c>
      <c r="K122" s="58" t="s">
        <v>29</v>
      </c>
      <c r="L122" s="58" t="s">
        <v>94</v>
      </c>
      <c r="M122" s="58" t="s">
        <v>29</v>
      </c>
      <c r="N122" s="61" t="s">
        <v>1768</v>
      </c>
      <c r="O122" s="58" t="s">
        <v>1769</v>
      </c>
      <c r="P122" s="58" t="s">
        <v>1447</v>
      </c>
      <c r="Q122" s="63" t="str">
        <f>IF(V122&lt;&gt;"","Completed","")</f>
        <v>Completed</v>
      </c>
      <c r="R122" s="64">
        <v>42672</v>
      </c>
      <c r="S122" s="64" t="s">
        <v>114</v>
      </c>
      <c r="T122" s="65">
        <v>102</v>
      </c>
      <c r="U122" s="65">
        <v>163</v>
      </c>
      <c r="V122" s="65">
        <v>163</v>
      </c>
      <c r="Y122" s="74" t="s">
        <v>44</v>
      </c>
      <c r="Z122" s="56" t="s">
        <v>1640</v>
      </c>
      <c r="AA122" s="252"/>
      <c r="AB122" s="325" t="s">
        <v>94</v>
      </c>
      <c r="AC122" s="325" t="s">
        <v>94</v>
      </c>
    </row>
    <row r="123" spans="1:30">
      <c r="A123" s="75" t="s">
        <v>803</v>
      </c>
      <c r="B123" s="59"/>
      <c r="C123" s="57">
        <v>42760</v>
      </c>
      <c r="E123" s="65" t="s">
        <v>29</v>
      </c>
      <c r="F123" s="65" t="s">
        <v>29</v>
      </c>
      <c r="G123" s="58" t="s">
        <v>1443</v>
      </c>
      <c r="H123" s="58" t="s">
        <v>1456</v>
      </c>
      <c r="I123" s="60">
        <v>503</v>
      </c>
      <c r="J123" s="58" t="s">
        <v>94</v>
      </c>
      <c r="K123" s="58" t="s">
        <v>29</v>
      </c>
      <c r="L123" s="58" t="s">
        <v>94</v>
      </c>
      <c r="M123" s="58" t="s">
        <v>29</v>
      </c>
      <c r="N123" s="61" t="s">
        <v>1770</v>
      </c>
      <c r="O123" s="58" t="s">
        <v>1771</v>
      </c>
      <c r="P123" s="58" t="s">
        <v>1447</v>
      </c>
      <c r="Q123" s="63" t="str">
        <f>IF(V123&lt;&gt;"","Completed","")</f>
        <v>Completed</v>
      </c>
      <c r="R123" s="64">
        <v>42693</v>
      </c>
      <c r="S123" s="64" t="s">
        <v>43</v>
      </c>
      <c r="T123" s="65">
        <v>86</v>
      </c>
      <c r="U123" s="65">
        <v>171</v>
      </c>
      <c r="V123" s="65">
        <v>171</v>
      </c>
      <c r="Y123" s="74" t="s">
        <v>44</v>
      </c>
      <c r="Z123" s="56" t="s">
        <v>1472</v>
      </c>
      <c r="AA123" s="249"/>
      <c r="AB123" s="65" t="s">
        <v>94</v>
      </c>
      <c r="AC123" s="74" t="s">
        <v>29</v>
      </c>
    </row>
    <row r="124" spans="1:30">
      <c r="A124" s="63" t="s">
        <v>28</v>
      </c>
      <c r="B124" s="63"/>
      <c r="C124" s="111">
        <v>42726</v>
      </c>
      <c r="D124" s="106"/>
      <c r="E124" s="57" t="s">
        <v>29</v>
      </c>
      <c r="F124" s="65" t="s">
        <v>29</v>
      </c>
      <c r="G124" s="63" t="s">
        <v>1443</v>
      </c>
      <c r="H124" s="63" t="s">
        <v>1444</v>
      </c>
      <c r="I124" s="58">
        <v>0</v>
      </c>
      <c r="J124" s="58" t="s">
        <v>94</v>
      </c>
      <c r="K124" s="60" t="s">
        <v>29</v>
      </c>
      <c r="L124" s="58" t="s">
        <v>29</v>
      </c>
      <c r="M124" s="58" t="s">
        <v>29</v>
      </c>
      <c r="N124" s="58" t="s">
        <v>1772</v>
      </c>
      <c r="O124" s="58" t="s">
        <v>1773</v>
      </c>
      <c r="P124" s="61" t="s">
        <v>1459</v>
      </c>
      <c r="Q124" s="63" t="str">
        <f>IF(V124&lt;&gt;"","Completed","")</f>
        <v>Completed</v>
      </c>
      <c r="R124" s="57">
        <v>42658</v>
      </c>
      <c r="S124" s="64" t="s">
        <v>43</v>
      </c>
      <c r="T124" s="65">
        <v>6</v>
      </c>
      <c r="U124" s="273">
        <v>12</v>
      </c>
      <c r="V124" s="273">
        <v>12</v>
      </c>
      <c r="W124" s="273"/>
      <c r="X124" s="273"/>
      <c r="Y124" s="74" t="s">
        <v>44</v>
      </c>
      <c r="Z124" s="145" t="s">
        <v>1627</v>
      </c>
      <c r="AA124" s="342"/>
      <c r="AB124" s="65" t="s">
        <v>94</v>
      </c>
      <c r="AC124" s="65" t="s">
        <v>29</v>
      </c>
      <c r="AD124" s="350"/>
    </row>
    <row r="125" spans="1:30">
      <c r="A125" s="75" t="s">
        <v>313</v>
      </c>
      <c r="B125" s="59"/>
      <c r="C125" s="57">
        <v>42712</v>
      </c>
      <c r="D125" s="65">
        <v>3056000</v>
      </c>
      <c r="E125" s="65" t="s">
        <v>29</v>
      </c>
      <c r="F125" s="65" t="s">
        <v>29</v>
      </c>
      <c r="G125" s="58" t="s">
        <v>1443</v>
      </c>
      <c r="H125" s="58" t="s">
        <v>1456</v>
      </c>
      <c r="I125" s="60">
        <v>336</v>
      </c>
      <c r="J125" s="58" t="s">
        <v>94</v>
      </c>
      <c r="K125" s="58" t="s">
        <v>29</v>
      </c>
      <c r="L125" s="58" t="s">
        <v>94</v>
      </c>
      <c r="M125" s="58" t="s">
        <v>29</v>
      </c>
      <c r="N125" s="61" t="s">
        <v>1774</v>
      </c>
      <c r="O125" s="58" t="s">
        <v>1773</v>
      </c>
      <c r="P125" s="58" t="s">
        <v>1459</v>
      </c>
      <c r="Q125" s="63" t="str">
        <f>IF(V125&lt;&gt;"","Completed","")</f>
        <v>Completed</v>
      </c>
      <c r="R125" s="64">
        <v>42679</v>
      </c>
      <c r="S125" s="64" t="s">
        <v>149</v>
      </c>
      <c r="T125" s="65">
        <v>49</v>
      </c>
      <c r="U125" s="65">
        <v>77</v>
      </c>
      <c r="V125" s="65">
        <v>77</v>
      </c>
      <c r="Y125" s="74" t="s">
        <v>44</v>
      </c>
      <c r="Z125" s="56" t="s">
        <v>1491</v>
      </c>
      <c r="AA125" s="249"/>
      <c r="AB125" s="65" t="s">
        <v>94</v>
      </c>
      <c r="AC125" s="65" t="s">
        <v>29</v>
      </c>
    </row>
    <row r="126" spans="1:30">
      <c r="A126" s="332" t="s">
        <v>444</v>
      </c>
      <c r="B126" s="59"/>
      <c r="C126" s="57">
        <v>42674</v>
      </c>
      <c r="E126" s="65" t="s">
        <v>29</v>
      </c>
      <c r="F126" s="65" t="s">
        <v>29</v>
      </c>
      <c r="G126" s="58" t="s">
        <v>1443</v>
      </c>
      <c r="H126" s="58" t="s">
        <v>1456</v>
      </c>
      <c r="I126" s="60">
        <v>138</v>
      </c>
      <c r="J126" s="58" t="s">
        <v>94</v>
      </c>
      <c r="K126" s="58" t="s">
        <v>29</v>
      </c>
      <c r="L126" s="58" t="s">
        <v>94</v>
      </c>
      <c r="M126" s="58" t="s">
        <v>29</v>
      </c>
      <c r="N126" s="375" t="s">
        <v>1775</v>
      </c>
      <c r="O126" s="373" t="s">
        <v>1776</v>
      </c>
      <c r="P126" s="58" t="s">
        <v>1459</v>
      </c>
      <c r="Q126" s="63" t="str">
        <f>IF(V126&lt;&gt;"","Completed","")</f>
        <v>Completed</v>
      </c>
      <c r="R126" s="64">
        <v>42649</v>
      </c>
      <c r="S126" s="64" t="s">
        <v>80</v>
      </c>
      <c r="T126" s="242">
        <v>5</v>
      </c>
      <c r="U126" s="242">
        <v>10</v>
      </c>
      <c r="V126" s="242">
        <v>10</v>
      </c>
      <c r="Y126" s="74" t="s">
        <v>44</v>
      </c>
      <c r="Z126" s="56" t="s">
        <v>1777</v>
      </c>
      <c r="AA126" s="249"/>
      <c r="AB126" s="242" t="s">
        <v>94</v>
      </c>
      <c r="AC126" s="242" t="s">
        <v>29</v>
      </c>
    </row>
    <row r="127" spans="1:30">
      <c r="A127" s="75" t="s">
        <v>452</v>
      </c>
      <c r="B127" s="59"/>
      <c r="C127" s="57">
        <v>42720</v>
      </c>
      <c r="E127" s="65" t="s">
        <v>29</v>
      </c>
      <c r="F127" s="65" t="s">
        <v>29</v>
      </c>
      <c r="G127" s="58" t="s">
        <v>1443</v>
      </c>
      <c r="H127" s="58" t="s">
        <v>1456</v>
      </c>
      <c r="I127" s="60">
        <v>1</v>
      </c>
      <c r="J127" s="58" t="s">
        <v>94</v>
      </c>
      <c r="K127" s="58" t="s">
        <v>29</v>
      </c>
      <c r="L127" s="58" t="s">
        <v>94</v>
      </c>
      <c r="M127" s="58" t="s">
        <v>29</v>
      </c>
      <c r="N127" s="61" t="s">
        <v>1778</v>
      </c>
      <c r="O127" s="58" t="s">
        <v>1776</v>
      </c>
      <c r="P127" s="58" t="s">
        <v>1459</v>
      </c>
      <c r="Q127" s="63" t="str">
        <f>IF(V127&lt;&gt;"","Completed","")</f>
        <v>Completed</v>
      </c>
      <c r="R127" s="64">
        <v>42658</v>
      </c>
      <c r="S127" s="64" t="s">
        <v>433</v>
      </c>
      <c r="T127" s="65">
        <v>30</v>
      </c>
      <c r="U127" s="65">
        <v>49</v>
      </c>
      <c r="V127" s="65">
        <v>49</v>
      </c>
      <c r="Y127" s="74" t="s">
        <v>44</v>
      </c>
      <c r="Z127" s="56" t="s">
        <v>1488</v>
      </c>
      <c r="AA127" s="252"/>
      <c r="AB127" s="151" t="s">
        <v>94</v>
      </c>
      <c r="AC127" s="151" t="s">
        <v>29</v>
      </c>
    </row>
    <row r="128" spans="1:30">
      <c r="A128" s="75" t="s">
        <v>639</v>
      </c>
      <c r="B128" s="59"/>
      <c r="C128" s="57">
        <v>42766</v>
      </c>
      <c r="E128" s="65" t="s">
        <v>29</v>
      </c>
      <c r="F128" s="65" t="s">
        <v>29</v>
      </c>
      <c r="G128" s="58" t="s">
        <v>1443</v>
      </c>
      <c r="H128" s="58" t="s">
        <v>1444</v>
      </c>
      <c r="I128" s="60">
        <v>239</v>
      </c>
      <c r="J128" s="58" t="s">
        <v>94</v>
      </c>
      <c r="K128" s="58" t="s">
        <v>29</v>
      </c>
      <c r="L128" s="58" t="s">
        <v>29</v>
      </c>
      <c r="M128" s="58" t="s">
        <v>29</v>
      </c>
      <c r="N128" s="61" t="s">
        <v>1779</v>
      </c>
      <c r="O128" s="58" t="s">
        <v>1776</v>
      </c>
      <c r="P128" s="58" t="s">
        <v>1459</v>
      </c>
      <c r="Q128" s="63" t="str">
        <f>IF(V128&lt;&gt;"","Completed","")</f>
        <v>Completed</v>
      </c>
      <c r="R128" s="64">
        <v>42720</v>
      </c>
      <c r="S128" s="64" t="s">
        <v>43</v>
      </c>
      <c r="T128" s="65">
        <v>33</v>
      </c>
      <c r="U128" s="65">
        <v>61</v>
      </c>
      <c r="V128" s="65">
        <v>61</v>
      </c>
      <c r="Y128" s="74" t="s">
        <v>44</v>
      </c>
      <c r="Z128" s="56" t="s">
        <v>1780</v>
      </c>
      <c r="AA128" s="249"/>
      <c r="AB128" s="65" t="s">
        <v>94</v>
      </c>
      <c r="AC128" s="65" t="s">
        <v>29</v>
      </c>
    </row>
    <row r="129" spans="1:29">
      <c r="A129" s="332" t="s">
        <v>694</v>
      </c>
      <c r="B129" s="59"/>
      <c r="C129" s="57">
        <v>42662</v>
      </c>
      <c r="E129" s="65" t="s">
        <v>29</v>
      </c>
      <c r="F129" s="65" t="s">
        <v>29</v>
      </c>
      <c r="G129" s="58" t="s">
        <v>1443</v>
      </c>
      <c r="H129" s="58" t="s">
        <v>1456</v>
      </c>
      <c r="I129" s="60">
        <v>348</v>
      </c>
      <c r="J129" s="58" t="s">
        <v>94</v>
      </c>
      <c r="K129" s="58" t="s">
        <v>29</v>
      </c>
      <c r="L129" s="58" t="s">
        <v>29</v>
      </c>
      <c r="M129" s="58" t="s">
        <v>29</v>
      </c>
      <c r="N129" s="375" t="s">
        <v>1781</v>
      </c>
      <c r="O129" s="373" t="s">
        <v>1776</v>
      </c>
      <c r="P129" s="58" t="s">
        <v>1459</v>
      </c>
      <c r="Q129" s="63" t="str">
        <f>IF(V129&lt;&gt;"","Completed","")</f>
        <v>Completed</v>
      </c>
      <c r="R129" s="64">
        <v>42644</v>
      </c>
      <c r="S129" s="64" t="s">
        <v>80</v>
      </c>
      <c r="T129" s="242">
        <v>76</v>
      </c>
      <c r="U129" s="242">
        <v>128</v>
      </c>
      <c r="V129" s="242">
        <v>128</v>
      </c>
      <c r="Y129" s="74" t="s">
        <v>44</v>
      </c>
      <c r="Z129" s="56" t="s">
        <v>1671</v>
      </c>
      <c r="AA129" s="252"/>
      <c r="AB129" s="242" t="s">
        <v>94</v>
      </c>
      <c r="AC129" s="347" t="s">
        <v>29</v>
      </c>
    </row>
    <row r="130" spans="1:29">
      <c r="A130" s="244" t="s">
        <v>744</v>
      </c>
      <c r="B130" s="62" t="s">
        <v>722</v>
      </c>
      <c r="C130" s="57">
        <v>42726</v>
      </c>
      <c r="E130" s="65" t="s">
        <v>29</v>
      </c>
      <c r="F130" s="65" t="s">
        <v>29</v>
      </c>
      <c r="G130" s="58" t="s">
        <v>1443</v>
      </c>
      <c r="H130" s="58" t="s">
        <v>1456</v>
      </c>
      <c r="I130" s="60">
        <v>178</v>
      </c>
      <c r="J130" s="58" t="s">
        <v>94</v>
      </c>
      <c r="K130" s="58" t="s">
        <v>29</v>
      </c>
      <c r="L130" s="58" t="s">
        <v>94</v>
      </c>
      <c r="M130" s="58" t="s">
        <v>29</v>
      </c>
      <c r="N130" s="61" t="s">
        <v>1782</v>
      </c>
      <c r="O130" s="58" t="s">
        <v>1776</v>
      </c>
      <c r="P130" s="58" t="s">
        <v>1447</v>
      </c>
      <c r="Q130" s="63" t="str">
        <f>IF(V130&lt;&gt;"","Completed","")</f>
        <v>Completed</v>
      </c>
      <c r="R130" s="64">
        <v>42670</v>
      </c>
      <c r="S130" s="64" t="s">
        <v>433</v>
      </c>
      <c r="T130" s="65">
        <v>31</v>
      </c>
      <c r="U130" s="65">
        <v>31</v>
      </c>
      <c r="V130" s="65">
        <v>31</v>
      </c>
      <c r="Y130" s="74" t="s">
        <v>44</v>
      </c>
      <c r="Z130" s="56" t="s">
        <v>1478</v>
      </c>
      <c r="AA130" s="252"/>
      <c r="AB130" s="74" t="s">
        <v>94</v>
      </c>
      <c r="AC130" s="65" t="s">
        <v>29</v>
      </c>
    </row>
    <row r="131" spans="1:29">
      <c r="A131" s="75" t="s">
        <v>894</v>
      </c>
      <c r="B131" s="59"/>
      <c r="C131" s="57">
        <v>42712</v>
      </c>
      <c r="E131" s="65" t="s">
        <v>29</v>
      </c>
      <c r="F131" s="65" t="s">
        <v>94</v>
      </c>
      <c r="G131" s="58" t="s">
        <v>1443</v>
      </c>
      <c r="H131" s="58" t="s">
        <v>1449</v>
      </c>
      <c r="I131" s="60">
        <v>325</v>
      </c>
      <c r="J131" s="58" t="s">
        <v>94</v>
      </c>
      <c r="K131" s="58" t="s">
        <v>29</v>
      </c>
      <c r="L131" s="58" t="s">
        <v>94</v>
      </c>
      <c r="M131" s="58" t="s">
        <v>94</v>
      </c>
      <c r="N131" s="61" t="s">
        <v>1783</v>
      </c>
      <c r="O131" s="58" t="s">
        <v>1776</v>
      </c>
      <c r="P131" s="58" t="s">
        <v>1447</v>
      </c>
      <c r="Q131" s="63" t="str">
        <f>IF(V131&lt;&gt;"","Completed","")</f>
        <v>Completed</v>
      </c>
      <c r="R131" s="64">
        <v>42673</v>
      </c>
      <c r="S131" s="64" t="s">
        <v>104</v>
      </c>
      <c r="T131" s="65">
        <v>18</v>
      </c>
      <c r="V131" s="256">
        <v>35</v>
      </c>
      <c r="Y131" s="74" t="s">
        <v>44</v>
      </c>
      <c r="Z131" s="56" t="s">
        <v>1599</v>
      </c>
      <c r="AA131" s="252"/>
      <c r="AB131" s="65" t="s">
        <v>94</v>
      </c>
      <c r="AC131" s="65" t="s">
        <v>29</v>
      </c>
    </row>
    <row r="132" spans="1:29">
      <c r="A132" s="75" t="s">
        <v>162</v>
      </c>
      <c r="B132" s="59"/>
      <c r="C132" s="57">
        <v>42733</v>
      </c>
      <c r="D132" s="65">
        <v>4020000</v>
      </c>
      <c r="E132" s="65" t="s">
        <v>29</v>
      </c>
      <c r="F132" s="65" t="s">
        <v>29</v>
      </c>
      <c r="G132" s="58" t="s">
        <v>1443</v>
      </c>
      <c r="H132" s="58" t="s">
        <v>1456</v>
      </c>
      <c r="I132" s="60">
        <v>0</v>
      </c>
      <c r="J132" s="58" t="s">
        <v>29</v>
      </c>
      <c r="K132" s="58" t="s">
        <v>29</v>
      </c>
      <c r="L132" s="58" t="s">
        <v>94</v>
      </c>
      <c r="M132" s="58" t="s">
        <v>29</v>
      </c>
      <c r="N132" s="61" t="s">
        <v>1784</v>
      </c>
      <c r="O132" s="58" t="s">
        <v>1785</v>
      </c>
      <c r="P132" s="58" t="s">
        <v>1459</v>
      </c>
      <c r="Q132" s="63" t="str">
        <f>IF(V132&lt;&gt;"","Completed","")</f>
        <v>Completed</v>
      </c>
      <c r="R132" s="64">
        <v>42710</v>
      </c>
      <c r="S132" s="233" t="s">
        <v>172</v>
      </c>
      <c r="T132" s="65">
        <v>46</v>
      </c>
      <c r="U132" s="65">
        <v>89</v>
      </c>
      <c r="V132" s="65">
        <v>89</v>
      </c>
      <c r="Y132" s="74" t="s">
        <v>44</v>
      </c>
      <c r="Z132" s="56" t="s">
        <v>1608</v>
      </c>
      <c r="AA132" s="249"/>
      <c r="AB132" s="65" t="s">
        <v>94</v>
      </c>
      <c r="AC132" s="65" t="s">
        <v>29</v>
      </c>
    </row>
    <row r="133" spans="1:29">
      <c r="A133" s="75" t="s">
        <v>205</v>
      </c>
      <c r="B133" s="59"/>
      <c r="C133" s="57">
        <v>42747</v>
      </c>
      <c r="D133" s="65">
        <v>3030000</v>
      </c>
      <c r="E133" s="65" t="s">
        <v>29</v>
      </c>
      <c r="F133" s="65" t="s">
        <v>29</v>
      </c>
      <c r="G133" s="58" t="s">
        <v>1443</v>
      </c>
      <c r="H133" s="58" t="s">
        <v>1456</v>
      </c>
      <c r="I133" s="60">
        <v>277</v>
      </c>
      <c r="J133" s="58" t="s">
        <v>94</v>
      </c>
      <c r="K133" s="58" t="s">
        <v>29</v>
      </c>
      <c r="L133" s="58" t="s">
        <v>94</v>
      </c>
      <c r="M133" s="58" t="s">
        <v>29</v>
      </c>
      <c r="N133" s="61" t="s">
        <v>1786</v>
      </c>
      <c r="O133" s="58" t="s">
        <v>1785</v>
      </c>
      <c r="P133" s="58" t="s">
        <v>1447</v>
      </c>
      <c r="Q133" s="63" t="str">
        <f>IF(V133&lt;&gt;"","Completed","")</f>
        <v>Completed</v>
      </c>
      <c r="R133" s="64">
        <v>42719</v>
      </c>
      <c r="S133" s="64" t="s">
        <v>149</v>
      </c>
      <c r="T133" s="65">
        <v>63</v>
      </c>
      <c r="U133" s="65">
        <v>93</v>
      </c>
      <c r="V133" s="65">
        <v>93</v>
      </c>
      <c r="Y133" s="74" t="s">
        <v>44</v>
      </c>
      <c r="Z133" s="56" t="s">
        <v>1549</v>
      </c>
      <c r="AA133" s="252"/>
      <c r="AB133" s="65" t="s">
        <v>94</v>
      </c>
      <c r="AC133" s="65" t="s">
        <v>94</v>
      </c>
    </row>
    <row r="134" spans="1:29">
      <c r="A134" s="75" t="s">
        <v>929</v>
      </c>
      <c r="B134" s="59"/>
      <c r="C134" s="57">
        <v>42790</v>
      </c>
      <c r="E134" s="65" t="s">
        <v>29</v>
      </c>
      <c r="F134" s="65" t="s">
        <v>94</v>
      </c>
      <c r="G134" s="58" t="s">
        <v>1443</v>
      </c>
      <c r="H134" s="58" t="s">
        <v>1444</v>
      </c>
      <c r="I134" s="60">
        <v>0</v>
      </c>
      <c r="J134" s="58" t="s">
        <v>29</v>
      </c>
      <c r="K134" s="58" t="s">
        <v>29</v>
      </c>
      <c r="L134" s="58" t="s">
        <v>94</v>
      </c>
      <c r="M134" s="58" t="s">
        <v>94</v>
      </c>
      <c r="N134" s="61" t="s">
        <v>1787</v>
      </c>
      <c r="O134" s="58" t="s">
        <v>1788</v>
      </c>
      <c r="P134" s="58" t="s">
        <v>1447</v>
      </c>
      <c r="Q134" s="63" t="str">
        <f>IF(V134&lt;&gt;"","Completed","")</f>
        <v>Completed</v>
      </c>
      <c r="R134" s="64">
        <v>42641</v>
      </c>
      <c r="S134" s="386" t="s">
        <v>172</v>
      </c>
      <c r="T134" s="65">
        <v>88</v>
      </c>
      <c r="U134" s="256">
        <v>140</v>
      </c>
      <c r="V134" s="256">
        <v>140</v>
      </c>
      <c r="Y134" s="74" t="s">
        <v>44</v>
      </c>
      <c r="Z134" s="56" t="s">
        <v>1777</v>
      </c>
      <c r="AA134" s="249"/>
      <c r="AB134" s="65" t="s">
        <v>94</v>
      </c>
      <c r="AC134" s="65" t="s">
        <v>29</v>
      </c>
    </row>
    <row r="135" spans="1:29">
      <c r="A135" s="75" t="s">
        <v>426</v>
      </c>
      <c r="B135" s="59"/>
      <c r="C135" s="57">
        <v>42744</v>
      </c>
      <c r="E135" s="65" t="s">
        <v>29</v>
      </c>
      <c r="F135" s="65" t="s">
        <v>29</v>
      </c>
      <c r="G135" s="58" t="s">
        <v>1443</v>
      </c>
      <c r="H135" s="58" t="s">
        <v>1449</v>
      </c>
      <c r="I135" s="60">
        <v>300</v>
      </c>
      <c r="J135" s="58" t="s">
        <v>94</v>
      </c>
      <c r="K135" s="58" t="s">
        <v>29</v>
      </c>
      <c r="L135" s="58" t="s">
        <v>29</v>
      </c>
      <c r="M135" s="58" t="s">
        <v>29</v>
      </c>
      <c r="N135" s="61" t="s">
        <v>1789</v>
      </c>
      <c r="O135" s="58" t="s">
        <v>1790</v>
      </c>
      <c r="P135" s="58" t="s">
        <v>1447</v>
      </c>
      <c r="Q135" s="63" t="str">
        <f>IF(V135&lt;&gt;"","Completed","")</f>
        <v>Completed</v>
      </c>
      <c r="R135" s="64">
        <v>42689</v>
      </c>
      <c r="S135" s="64" t="s">
        <v>433</v>
      </c>
      <c r="T135" s="65">
        <v>38</v>
      </c>
      <c r="U135" s="65">
        <v>76</v>
      </c>
      <c r="V135" s="65">
        <v>76</v>
      </c>
      <c r="Y135" s="74" t="s">
        <v>44</v>
      </c>
      <c r="Z135" s="56" t="s">
        <v>1791</v>
      </c>
      <c r="AA135" s="249">
        <f>V135</f>
        <v>76</v>
      </c>
      <c r="AB135" s="65" t="s">
        <v>94</v>
      </c>
      <c r="AC135" s="65" t="s">
        <v>29</v>
      </c>
    </row>
    <row r="136" spans="1:29">
      <c r="A136" s="75" t="s">
        <v>996</v>
      </c>
      <c r="B136" s="59"/>
      <c r="C136" s="57">
        <v>42663</v>
      </c>
      <c r="E136" s="65" t="s">
        <v>29</v>
      </c>
      <c r="F136" s="65" t="s">
        <v>29</v>
      </c>
      <c r="G136" s="58" t="s">
        <v>1443</v>
      </c>
      <c r="H136" s="58" t="s">
        <v>1444</v>
      </c>
      <c r="I136" s="60">
        <v>276</v>
      </c>
      <c r="J136" s="58" t="s">
        <v>94</v>
      </c>
      <c r="K136" s="58" t="s">
        <v>29</v>
      </c>
      <c r="L136" s="58" t="s">
        <v>29</v>
      </c>
      <c r="M136" s="58" t="s">
        <v>29</v>
      </c>
      <c r="N136" s="61" t="s">
        <v>1792</v>
      </c>
      <c r="O136" s="58" t="s">
        <v>1793</v>
      </c>
      <c r="P136" s="58" t="s">
        <v>1447</v>
      </c>
      <c r="Q136" s="63" t="str">
        <f>IF(V136&lt;&gt;"","Completed","")</f>
        <v>Completed</v>
      </c>
      <c r="R136" s="64">
        <v>42649</v>
      </c>
      <c r="S136" s="386" t="s">
        <v>397</v>
      </c>
      <c r="T136" s="65">
        <v>11</v>
      </c>
      <c r="U136" s="65">
        <v>22</v>
      </c>
      <c r="V136" s="65">
        <v>22</v>
      </c>
      <c r="Y136" s="74" t="s">
        <v>44</v>
      </c>
      <c r="Z136" s="56" t="s">
        <v>1515</v>
      </c>
      <c r="AA136" s="252"/>
      <c r="AB136" s="242" t="s">
        <v>94</v>
      </c>
      <c r="AC136" s="74"/>
    </row>
    <row r="137" spans="1:29">
      <c r="A137" s="331" t="s">
        <v>1206</v>
      </c>
      <c r="B137" s="59"/>
      <c r="C137" s="57">
        <v>42726</v>
      </c>
      <c r="E137" s="65" t="s">
        <v>29</v>
      </c>
      <c r="F137" s="65" t="s">
        <v>29</v>
      </c>
      <c r="G137" s="58" t="s">
        <v>1443</v>
      </c>
      <c r="H137" s="58" t="s">
        <v>1444</v>
      </c>
      <c r="I137" s="60">
        <v>376</v>
      </c>
      <c r="J137" s="58" t="s">
        <v>94</v>
      </c>
      <c r="K137" s="58" t="s">
        <v>29</v>
      </c>
      <c r="L137" s="58" t="s">
        <v>94</v>
      </c>
      <c r="M137" s="58" t="s">
        <v>29</v>
      </c>
      <c r="N137" s="61" t="s">
        <v>1794</v>
      </c>
      <c r="O137" s="58" t="s">
        <v>1795</v>
      </c>
      <c r="P137" s="58" t="s">
        <v>1459</v>
      </c>
      <c r="Q137" s="63" t="str">
        <f>IF(V137&lt;&gt;"","Completed","")</f>
        <v>Completed</v>
      </c>
      <c r="R137" s="64">
        <v>42667</v>
      </c>
      <c r="S137" s="64" t="s">
        <v>114</v>
      </c>
      <c r="T137" s="65">
        <v>26</v>
      </c>
      <c r="U137" s="65">
        <v>47</v>
      </c>
      <c r="V137" s="65">
        <v>47</v>
      </c>
      <c r="Y137" s="74" t="s">
        <v>44</v>
      </c>
      <c r="Z137" s="56" t="s">
        <v>1599</v>
      </c>
      <c r="AA137" s="252"/>
      <c r="AB137" s="74" t="s">
        <v>94</v>
      </c>
      <c r="AC137" s="74" t="s">
        <v>29</v>
      </c>
    </row>
    <row r="138" spans="1:29">
      <c r="A138" s="331" t="s">
        <v>1206</v>
      </c>
      <c r="B138" s="59"/>
      <c r="C138" s="57">
        <v>42667</v>
      </c>
      <c r="E138" s="65" t="s">
        <v>29</v>
      </c>
      <c r="F138" s="65" t="s">
        <v>29</v>
      </c>
      <c r="G138" s="58" t="s">
        <v>1443</v>
      </c>
      <c r="H138" s="58" t="s">
        <v>1444</v>
      </c>
      <c r="I138" s="60">
        <v>298</v>
      </c>
      <c r="J138" s="58" t="s">
        <v>94</v>
      </c>
      <c r="K138" s="58" t="s">
        <v>29</v>
      </c>
      <c r="L138" s="58" t="s">
        <v>94</v>
      </c>
      <c r="M138" s="58" t="s">
        <v>29</v>
      </c>
      <c r="N138" s="61" t="s">
        <v>1796</v>
      </c>
      <c r="O138" s="58" t="s">
        <v>1797</v>
      </c>
      <c r="P138" s="58" t="s">
        <v>1459</v>
      </c>
      <c r="Q138" s="63" t="str">
        <f>IF(V138&lt;&gt;"","Completed","")</f>
        <v>Completed</v>
      </c>
      <c r="R138" s="64">
        <v>42665</v>
      </c>
      <c r="S138" s="64" t="s">
        <v>114</v>
      </c>
      <c r="T138" s="65">
        <v>24</v>
      </c>
      <c r="U138" s="65">
        <v>47</v>
      </c>
      <c r="V138" s="65">
        <v>47</v>
      </c>
      <c r="Y138" s="74" t="s">
        <v>44</v>
      </c>
      <c r="Z138" s="56" t="s">
        <v>1478</v>
      </c>
      <c r="AA138" s="252"/>
      <c r="AB138" s="326" t="s">
        <v>94</v>
      </c>
      <c r="AC138" s="326" t="s">
        <v>29</v>
      </c>
    </row>
    <row r="139" spans="1:29">
      <c r="A139" s="75" t="s">
        <v>929</v>
      </c>
      <c r="B139" s="59"/>
      <c r="C139" s="57">
        <v>42790</v>
      </c>
      <c r="E139" s="65" t="s">
        <v>29</v>
      </c>
      <c r="F139" s="65" t="s">
        <v>94</v>
      </c>
      <c r="G139" s="58" t="s">
        <v>1443</v>
      </c>
      <c r="H139" s="58" t="s">
        <v>1444</v>
      </c>
      <c r="I139" s="60">
        <v>276</v>
      </c>
      <c r="J139" s="58" t="s">
        <v>94</v>
      </c>
      <c r="K139" s="58" t="s">
        <v>29</v>
      </c>
      <c r="L139" s="58" t="s">
        <v>94</v>
      </c>
      <c r="M139" s="58" t="s">
        <v>94</v>
      </c>
      <c r="N139" s="61" t="s">
        <v>1798</v>
      </c>
      <c r="O139" s="58" t="s">
        <v>1799</v>
      </c>
      <c r="P139" s="58" t="s">
        <v>1447</v>
      </c>
      <c r="Q139" s="63" t="str">
        <f>IF(V139&lt;&gt;"","Completed","")</f>
        <v>Completed</v>
      </c>
      <c r="R139" s="64">
        <v>42633</v>
      </c>
      <c r="S139" s="386" t="s">
        <v>172</v>
      </c>
      <c r="T139" s="65">
        <v>38</v>
      </c>
      <c r="U139" s="256">
        <v>57</v>
      </c>
      <c r="V139" s="256">
        <v>57</v>
      </c>
      <c r="Y139" s="74" t="s">
        <v>44</v>
      </c>
      <c r="Z139" s="56" t="s">
        <v>1800</v>
      </c>
      <c r="AA139" s="249"/>
      <c r="AB139" s="65" t="s">
        <v>94</v>
      </c>
      <c r="AC139" s="65" t="s">
        <v>29</v>
      </c>
    </row>
    <row r="140" spans="1:29">
      <c r="A140" s="75" t="s">
        <v>313</v>
      </c>
      <c r="B140" s="59"/>
      <c r="C140" s="57">
        <v>42712</v>
      </c>
      <c r="D140" s="65">
        <v>3056000</v>
      </c>
      <c r="E140" s="65" t="s">
        <v>476</v>
      </c>
      <c r="F140" s="65" t="s">
        <v>29</v>
      </c>
      <c r="G140" s="58" t="s">
        <v>1443</v>
      </c>
      <c r="H140" s="58"/>
      <c r="I140" s="60"/>
      <c r="J140" s="58"/>
      <c r="K140" s="58"/>
      <c r="L140" s="58"/>
      <c r="M140" s="58"/>
      <c r="N140" s="259" t="s">
        <v>1801</v>
      </c>
      <c r="O140" s="262" t="s">
        <v>1802</v>
      </c>
      <c r="P140" s="58" t="s">
        <v>1459</v>
      </c>
      <c r="Q140" s="63" t="str">
        <f>IF(V140&lt;&gt;"","Completed","")</f>
        <v>Completed</v>
      </c>
      <c r="R140" s="64">
        <v>42679</v>
      </c>
      <c r="S140" s="64" t="s">
        <v>149</v>
      </c>
      <c r="T140" s="65">
        <v>60</v>
      </c>
      <c r="U140" s="65">
        <v>95</v>
      </c>
      <c r="V140" s="65">
        <v>95</v>
      </c>
      <c r="Y140" s="74" t="s">
        <v>44</v>
      </c>
      <c r="Z140" s="56" t="s">
        <v>1491</v>
      </c>
      <c r="AA140" s="249"/>
      <c r="AB140" s="65" t="s">
        <v>94</v>
      </c>
      <c r="AC140" s="65" t="s">
        <v>94</v>
      </c>
    </row>
    <row r="141" spans="1:29">
      <c r="A141" s="24" t="s">
        <v>1222</v>
      </c>
      <c r="B141" s="148"/>
      <c r="C141" s="57">
        <v>42780</v>
      </c>
      <c r="E141" s="65" t="s">
        <v>29</v>
      </c>
      <c r="F141" s="65" t="s">
        <v>29</v>
      </c>
      <c r="G141" s="58"/>
      <c r="H141" s="58"/>
      <c r="I141" s="60"/>
      <c r="J141" s="58"/>
      <c r="K141" s="58"/>
      <c r="L141" s="58"/>
      <c r="M141" s="58"/>
      <c r="N141" s="85" t="s">
        <v>1803</v>
      </c>
      <c r="O141" s="63" t="s">
        <v>1804</v>
      </c>
      <c r="Q141" s="63" t="str">
        <f>IF(V141&lt;&gt;"","Completed","")</f>
        <v>Completed</v>
      </c>
      <c r="R141" s="67">
        <v>42763</v>
      </c>
      <c r="S141" s="67" t="s">
        <v>43</v>
      </c>
      <c r="T141" s="65">
        <v>51</v>
      </c>
      <c r="U141" s="65">
        <v>85</v>
      </c>
      <c r="V141" s="65">
        <v>85</v>
      </c>
      <c r="Y141" s="74" t="s">
        <v>44</v>
      </c>
      <c r="Z141" s="56" t="s">
        <v>1767</v>
      </c>
      <c r="AA141" s="92"/>
      <c r="AB141" s="65" t="s">
        <v>94</v>
      </c>
      <c r="AC141" s="65" t="s">
        <v>29</v>
      </c>
    </row>
    <row r="142" spans="1:29">
      <c r="A142" s="332" t="s">
        <v>832</v>
      </c>
      <c r="B142" s="59"/>
      <c r="C142" s="57">
        <v>42727</v>
      </c>
      <c r="E142" s="65" t="s">
        <v>29</v>
      </c>
      <c r="F142" s="65" t="s">
        <v>29</v>
      </c>
      <c r="G142" s="58" t="s">
        <v>1443</v>
      </c>
      <c r="H142" s="58" t="s">
        <v>1444</v>
      </c>
      <c r="I142" s="60">
        <v>0</v>
      </c>
      <c r="J142" s="58" t="s">
        <v>94</v>
      </c>
      <c r="K142" s="58" t="s">
        <v>29</v>
      </c>
      <c r="L142" s="58" t="s">
        <v>94</v>
      </c>
      <c r="M142" s="58" t="s">
        <v>29</v>
      </c>
      <c r="N142" s="61" t="s">
        <v>1805</v>
      </c>
      <c r="O142" s="294" t="s">
        <v>1806</v>
      </c>
      <c r="P142" s="58" t="s">
        <v>1447</v>
      </c>
      <c r="Q142" s="63" t="str">
        <f>IF(V142&lt;&gt;"","Completed","")</f>
        <v>Completed</v>
      </c>
      <c r="R142" s="319">
        <v>42707</v>
      </c>
      <c r="S142" s="319" t="s">
        <v>80</v>
      </c>
      <c r="T142" s="65">
        <v>36</v>
      </c>
      <c r="U142" s="65">
        <v>71</v>
      </c>
      <c r="V142" s="65">
        <v>71</v>
      </c>
      <c r="Y142" s="74" t="s">
        <v>44</v>
      </c>
      <c r="Z142" s="345" t="s">
        <v>1605</v>
      </c>
      <c r="AA142" s="249">
        <f>V142</f>
        <v>71</v>
      </c>
      <c r="AB142" s="65" t="s">
        <v>94</v>
      </c>
      <c r="AC142" s="65" t="s">
        <v>29</v>
      </c>
    </row>
    <row r="143" spans="1:29">
      <c r="A143" s="75" t="s">
        <v>803</v>
      </c>
      <c r="B143" s="59"/>
      <c r="C143" s="57">
        <v>42753</v>
      </c>
      <c r="E143" s="65" t="s">
        <v>29</v>
      </c>
      <c r="F143" s="65" t="s">
        <v>29</v>
      </c>
      <c r="G143" s="58" t="s">
        <v>1443</v>
      </c>
      <c r="H143" s="58" t="s">
        <v>1456</v>
      </c>
      <c r="I143" s="60">
        <v>273</v>
      </c>
      <c r="J143" s="58" t="s">
        <v>94</v>
      </c>
      <c r="K143" s="58" t="s">
        <v>29</v>
      </c>
      <c r="L143" s="58" t="s">
        <v>94</v>
      </c>
      <c r="M143" s="58" t="s">
        <v>29</v>
      </c>
      <c r="N143" s="61" t="s">
        <v>1807</v>
      </c>
      <c r="O143" s="58" t="s">
        <v>1808</v>
      </c>
      <c r="P143" s="58" t="s">
        <v>1447</v>
      </c>
      <c r="Q143" s="63" t="str">
        <f>IF(V143&lt;&gt;"","Completed","")</f>
        <v>Completed</v>
      </c>
      <c r="R143" s="64">
        <v>42690</v>
      </c>
      <c r="S143" s="64" t="s">
        <v>43</v>
      </c>
      <c r="T143" s="65">
        <v>13</v>
      </c>
      <c r="U143" s="65">
        <v>26</v>
      </c>
      <c r="V143" s="65">
        <v>26</v>
      </c>
      <c r="Y143" s="74" t="s">
        <v>44</v>
      </c>
      <c r="Z143" s="56" t="s">
        <v>1500</v>
      </c>
      <c r="AA143" s="249"/>
      <c r="AB143" s="65" t="s">
        <v>94</v>
      </c>
      <c r="AC143" s="74" t="s">
        <v>29</v>
      </c>
    </row>
    <row r="144" spans="1:29">
      <c r="A144" s="75" t="s">
        <v>313</v>
      </c>
      <c r="B144" s="59"/>
      <c r="C144" s="57">
        <v>42712</v>
      </c>
      <c r="D144" s="65">
        <v>3056000</v>
      </c>
      <c r="E144" s="65" t="s">
        <v>29</v>
      </c>
      <c r="F144" s="65" t="s">
        <v>29</v>
      </c>
      <c r="G144" s="58" t="s">
        <v>1443</v>
      </c>
      <c r="H144" s="58"/>
      <c r="I144" s="60"/>
      <c r="J144" s="58"/>
      <c r="K144" s="58"/>
      <c r="L144" s="58"/>
      <c r="M144" s="58"/>
      <c r="N144" s="61" t="s">
        <v>1809</v>
      </c>
      <c r="O144" s="58" t="s">
        <v>1810</v>
      </c>
      <c r="P144" s="58"/>
      <c r="Q144" s="63" t="str">
        <f>IF(V144&lt;&gt;"","Completed","")</f>
        <v>Completed</v>
      </c>
      <c r="R144" s="64">
        <v>42679</v>
      </c>
      <c r="S144" s="64" t="s">
        <v>149</v>
      </c>
      <c r="T144" s="65">
        <v>77</v>
      </c>
      <c r="U144" s="65">
        <v>98</v>
      </c>
      <c r="V144" s="65">
        <v>98</v>
      </c>
      <c r="Y144" s="74" t="s">
        <v>44</v>
      </c>
      <c r="Z144" s="56" t="s">
        <v>1491</v>
      </c>
      <c r="AA144" s="249"/>
      <c r="AB144" s="65" t="s">
        <v>94</v>
      </c>
      <c r="AC144" s="384" t="s">
        <v>29</v>
      </c>
    </row>
    <row r="145" spans="1:30">
      <c r="A145" s="244" t="s">
        <v>320</v>
      </c>
      <c r="B145" s="62" t="s">
        <v>68</v>
      </c>
      <c r="C145" s="57">
        <v>42753</v>
      </c>
      <c r="E145" s="65" t="s">
        <v>29</v>
      </c>
      <c r="F145" s="65" t="s">
        <v>29</v>
      </c>
      <c r="G145" s="280" t="s">
        <v>1443</v>
      </c>
      <c r="H145" s="280" t="s">
        <v>1444</v>
      </c>
      <c r="I145" s="281">
        <v>154</v>
      </c>
      <c r="J145" s="280" t="s">
        <v>94</v>
      </c>
      <c r="K145" s="280" t="s">
        <v>29</v>
      </c>
      <c r="L145" s="280" t="s">
        <v>29</v>
      </c>
      <c r="M145" s="280" t="s">
        <v>29</v>
      </c>
      <c r="N145" s="61" t="s">
        <v>1811</v>
      </c>
      <c r="O145" s="58" t="s">
        <v>1812</v>
      </c>
      <c r="P145" s="58" t="s">
        <v>1447</v>
      </c>
      <c r="Q145" s="63" t="str">
        <f>IF(V145&lt;&gt;"","Completed","")</f>
        <v>Completed</v>
      </c>
      <c r="R145" s="64">
        <v>42727</v>
      </c>
      <c r="S145" s="64" t="s">
        <v>80</v>
      </c>
      <c r="T145" s="65">
        <v>27</v>
      </c>
      <c r="U145" s="65">
        <v>50</v>
      </c>
      <c r="V145" s="65">
        <v>50</v>
      </c>
      <c r="Y145" s="74" t="s">
        <v>44</v>
      </c>
      <c r="Z145" s="56" t="s">
        <v>1500</v>
      </c>
      <c r="AA145" s="92"/>
      <c r="AB145" s="65" t="s">
        <v>94</v>
      </c>
      <c r="AC145" s="65" t="s">
        <v>29</v>
      </c>
      <c r="AD145" s="349"/>
    </row>
    <row r="146" spans="1:30">
      <c r="A146" s="75" t="s">
        <v>1022</v>
      </c>
      <c r="B146" s="59"/>
      <c r="C146" s="57">
        <v>42717</v>
      </c>
      <c r="E146" s="65" t="s">
        <v>29</v>
      </c>
      <c r="F146" s="65" t="s">
        <v>29</v>
      </c>
      <c r="G146" s="58" t="s">
        <v>1443</v>
      </c>
      <c r="H146" s="58"/>
      <c r="I146" s="60"/>
      <c r="J146" s="58"/>
      <c r="K146" s="58"/>
      <c r="L146" s="58"/>
      <c r="M146" s="58"/>
      <c r="N146" s="61" t="s">
        <v>1813</v>
      </c>
      <c r="O146" s="58" t="s">
        <v>1814</v>
      </c>
      <c r="P146" s="58" t="s">
        <v>1459</v>
      </c>
      <c r="Q146" s="63" t="str">
        <f>IF(V146&lt;&gt;"","Completed","")</f>
        <v>Completed</v>
      </c>
      <c r="R146" s="64">
        <v>42697</v>
      </c>
      <c r="S146" s="64" t="s">
        <v>80</v>
      </c>
      <c r="T146" s="65">
        <v>66</v>
      </c>
      <c r="U146" s="65">
        <v>132</v>
      </c>
      <c r="V146" s="65">
        <v>132</v>
      </c>
      <c r="Y146" s="74" t="s">
        <v>44</v>
      </c>
      <c r="Z146" s="56" t="s">
        <v>1602</v>
      </c>
      <c r="AA146" s="249"/>
      <c r="AB146" s="74" t="s">
        <v>94</v>
      </c>
      <c r="AC146" s="65" t="s">
        <v>29</v>
      </c>
    </row>
    <row r="147" spans="1:30">
      <c r="A147" s="331" t="s">
        <v>179</v>
      </c>
      <c r="B147" s="59"/>
      <c r="C147" s="57">
        <v>42741</v>
      </c>
      <c r="D147" s="150">
        <v>1024000</v>
      </c>
      <c r="E147" s="65" t="s">
        <v>29</v>
      </c>
      <c r="F147" s="65" t="s">
        <v>29</v>
      </c>
      <c r="G147" s="58" t="s">
        <v>1443</v>
      </c>
      <c r="H147" s="58" t="s">
        <v>1456</v>
      </c>
      <c r="I147" s="60">
        <v>393</v>
      </c>
      <c r="J147" s="58" t="s">
        <v>29</v>
      </c>
      <c r="K147" s="58" t="s">
        <v>29</v>
      </c>
      <c r="L147" s="58" t="s">
        <v>29</v>
      </c>
      <c r="M147" s="58" t="s">
        <v>29</v>
      </c>
      <c r="N147" s="61" t="s">
        <v>1815</v>
      </c>
      <c r="O147" s="58" t="s">
        <v>1816</v>
      </c>
      <c r="P147" s="58" t="s">
        <v>1459</v>
      </c>
      <c r="Q147" s="63" t="str">
        <f>IF(V147&lt;&gt;"","Completed","")</f>
        <v>Completed</v>
      </c>
      <c r="R147" s="64">
        <v>42663</v>
      </c>
      <c r="S147" s="64" t="s">
        <v>57</v>
      </c>
      <c r="T147" s="65">
        <v>34</v>
      </c>
      <c r="U147" s="65">
        <v>58</v>
      </c>
      <c r="V147" s="65">
        <v>58</v>
      </c>
      <c r="Y147" s="74" t="s">
        <v>44</v>
      </c>
      <c r="Z147" s="56" t="s">
        <v>1817</v>
      </c>
      <c r="AA147" s="249"/>
      <c r="AB147" s="329" t="s">
        <v>94</v>
      </c>
      <c r="AC147" s="329" t="s">
        <v>94</v>
      </c>
    </row>
    <row r="148" spans="1:30">
      <c r="A148" s="75" t="s">
        <v>331</v>
      </c>
      <c r="B148" s="59"/>
      <c r="C148" s="57">
        <v>42720</v>
      </c>
      <c r="D148" s="65">
        <v>1061000</v>
      </c>
      <c r="E148" s="65" t="s">
        <v>29</v>
      </c>
      <c r="F148" s="65" t="s">
        <v>94</v>
      </c>
      <c r="G148" s="58" t="s">
        <v>1443</v>
      </c>
      <c r="H148" s="58" t="s">
        <v>1456</v>
      </c>
      <c r="I148" s="60">
        <v>0</v>
      </c>
      <c r="J148" s="58" t="s">
        <v>94</v>
      </c>
      <c r="K148" s="58" t="s">
        <v>29</v>
      </c>
      <c r="L148" s="58" t="s">
        <v>94</v>
      </c>
      <c r="M148" s="58" t="s">
        <v>94</v>
      </c>
      <c r="N148" s="61" t="s">
        <v>1818</v>
      </c>
      <c r="O148" s="58" t="s">
        <v>1819</v>
      </c>
      <c r="P148" s="58" t="s">
        <v>1459</v>
      </c>
      <c r="Q148" s="63" t="str">
        <f>IF(V148&lt;&gt;"","Completed","")</f>
        <v>Completed</v>
      </c>
      <c r="R148" s="64">
        <v>42648</v>
      </c>
      <c r="S148" s="64" t="s">
        <v>104</v>
      </c>
      <c r="T148" s="65">
        <v>10</v>
      </c>
      <c r="V148" s="256">
        <v>20</v>
      </c>
      <c r="Y148" s="74" t="s">
        <v>44</v>
      </c>
      <c r="Z148" s="56" t="s">
        <v>1481</v>
      </c>
      <c r="AA148" s="249"/>
      <c r="AB148" s="151" t="s">
        <v>94</v>
      </c>
      <c r="AC148" s="324" t="s">
        <v>29</v>
      </c>
      <c r="AD148" s="349"/>
    </row>
    <row r="149" spans="1:30">
      <c r="A149" s="75" t="s">
        <v>331</v>
      </c>
      <c r="B149" s="59"/>
      <c r="C149" s="57">
        <v>42720</v>
      </c>
      <c r="D149" s="65">
        <v>1061000</v>
      </c>
      <c r="E149" s="65" t="s">
        <v>29</v>
      </c>
      <c r="F149" s="65" t="s">
        <v>94</v>
      </c>
      <c r="G149" s="58" t="s">
        <v>1443</v>
      </c>
      <c r="H149" s="58" t="s">
        <v>1456</v>
      </c>
      <c r="I149" s="60">
        <v>0</v>
      </c>
      <c r="J149" s="58" t="s">
        <v>29</v>
      </c>
      <c r="K149" s="58" t="s">
        <v>29</v>
      </c>
      <c r="L149" s="58" t="s">
        <v>94</v>
      </c>
      <c r="M149" s="58" t="s">
        <v>94</v>
      </c>
      <c r="N149" s="61" t="s">
        <v>1820</v>
      </c>
      <c r="O149" s="58" t="s">
        <v>1821</v>
      </c>
      <c r="P149" s="58" t="s">
        <v>1459</v>
      </c>
      <c r="Q149" s="63" t="str">
        <f>IF(V149&lt;&gt;"","Completed","")</f>
        <v>Completed</v>
      </c>
      <c r="R149" s="64">
        <v>42647</v>
      </c>
      <c r="S149" s="64" t="s">
        <v>104</v>
      </c>
      <c r="T149" s="65">
        <v>84</v>
      </c>
      <c r="V149" s="256">
        <v>168</v>
      </c>
      <c r="Y149" s="74" t="s">
        <v>44</v>
      </c>
      <c r="Z149" s="56" t="s">
        <v>1527</v>
      </c>
      <c r="AA149" s="249"/>
      <c r="AB149" s="151" t="s">
        <v>94</v>
      </c>
      <c r="AC149" s="324" t="s">
        <v>29</v>
      </c>
      <c r="AD149" s="349"/>
    </row>
    <row r="150" spans="1:30">
      <c r="A150" s="75" t="s">
        <v>331</v>
      </c>
      <c r="B150" s="59"/>
      <c r="C150" s="57">
        <v>42741</v>
      </c>
      <c r="D150" s="65">
        <v>1061000</v>
      </c>
      <c r="E150" s="65" t="s">
        <v>29</v>
      </c>
      <c r="F150" s="65" t="s">
        <v>94</v>
      </c>
      <c r="G150" s="58" t="s">
        <v>1443</v>
      </c>
      <c r="H150" s="58" t="s">
        <v>1456</v>
      </c>
      <c r="I150" s="60">
        <v>0</v>
      </c>
      <c r="J150" s="58" t="s">
        <v>29</v>
      </c>
      <c r="K150" s="58" t="s">
        <v>29</v>
      </c>
      <c r="L150" s="58" t="s">
        <v>94</v>
      </c>
      <c r="M150" s="58" t="s">
        <v>94</v>
      </c>
      <c r="N150" s="61" t="s">
        <v>1822</v>
      </c>
      <c r="O150" s="58" t="s">
        <v>1823</v>
      </c>
      <c r="P150" s="58" t="s">
        <v>1459</v>
      </c>
      <c r="Q150" s="63" t="str">
        <f>IF(V150&lt;&gt;"","Completed","")</f>
        <v>Completed</v>
      </c>
      <c r="R150" s="64">
        <v>42703</v>
      </c>
      <c r="S150" s="64" t="s">
        <v>104</v>
      </c>
      <c r="T150" s="65">
        <v>45</v>
      </c>
      <c r="V150" s="256">
        <v>90</v>
      </c>
      <c r="Y150" s="74" t="s">
        <v>44</v>
      </c>
      <c r="Z150" s="56" t="s">
        <v>1824</v>
      </c>
      <c r="AA150" s="249"/>
      <c r="AB150" s="151" t="s">
        <v>94</v>
      </c>
      <c r="AC150" s="384" t="s">
        <v>29</v>
      </c>
      <c r="AD150" s="349"/>
    </row>
    <row r="151" spans="1:30">
      <c r="A151" s="331" t="s">
        <v>1206</v>
      </c>
      <c r="B151" s="59"/>
      <c r="C151" s="57">
        <v>42724</v>
      </c>
      <c r="E151" s="65" t="s">
        <v>29</v>
      </c>
      <c r="F151" s="65" t="s">
        <v>29</v>
      </c>
      <c r="G151" s="58" t="s">
        <v>1443</v>
      </c>
      <c r="H151" s="58" t="s">
        <v>1444</v>
      </c>
      <c r="I151" s="60">
        <v>339</v>
      </c>
      <c r="J151" s="58" t="s">
        <v>29</v>
      </c>
      <c r="K151" s="58" t="s">
        <v>29</v>
      </c>
      <c r="L151" s="58" t="s">
        <v>94</v>
      </c>
      <c r="M151" s="58" t="s">
        <v>29</v>
      </c>
      <c r="N151" s="61" t="s">
        <v>1825</v>
      </c>
      <c r="O151" s="58" t="s">
        <v>1826</v>
      </c>
      <c r="P151" s="58" t="s">
        <v>1459</v>
      </c>
      <c r="Q151" s="63" t="str">
        <f>IF(V151&lt;&gt;"","Completed","")</f>
        <v>Completed</v>
      </c>
      <c r="R151" s="64">
        <v>42691</v>
      </c>
      <c r="S151" s="64" t="s">
        <v>57</v>
      </c>
      <c r="T151" s="65">
        <v>47</v>
      </c>
      <c r="U151" s="65">
        <v>91</v>
      </c>
      <c r="V151" s="65">
        <v>91</v>
      </c>
      <c r="Y151" s="74" t="s">
        <v>44</v>
      </c>
      <c r="Z151" s="56" t="s">
        <v>1590</v>
      </c>
      <c r="AA151" s="252"/>
      <c r="AB151" s="65" t="s">
        <v>94</v>
      </c>
      <c r="AC151" s="74" t="s">
        <v>29</v>
      </c>
    </row>
    <row r="152" spans="1:30">
      <c r="A152" s="331" t="s">
        <v>1206</v>
      </c>
      <c r="B152" s="59"/>
      <c r="C152" s="57">
        <v>42790</v>
      </c>
      <c r="E152" s="65" t="s">
        <v>29</v>
      </c>
      <c r="F152" s="65" t="s">
        <v>29</v>
      </c>
      <c r="G152" s="58" t="s">
        <v>1443</v>
      </c>
      <c r="H152" s="58" t="s">
        <v>1444</v>
      </c>
      <c r="I152" s="60">
        <v>0</v>
      </c>
      <c r="J152" s="58" t="s">
        <v>29</v>
      </c>
      <c r="K152" s="58" t="s">
        <v>29</v>
      </c>
      <c r="L152" s="58" t="s">
        <v>94</v>
      </c>
      <c r="M152" s="58" t="s">
        <v>29</v>
      </c>
      <c r="N152" s="61" t="s">
        <v>1827</v>
      </c>
      <c r="O152" s="58" t="s">
        <v>1828</v>
      </c>
      <c r="P152" s="58" t="s">
        <v>1459</v>
      </c>
      <c r="Q152" s="63" t="str">
        <f>IF(V152&lt;&gt;"","Completed","")</f>
        <v>Completed</v>
      </c>
      <c r="R152" s="64">
        <v>42685</v>
      </c>
      <c r="S152" s="64" t="s">
        <v>114</v>
      </c>
      <c r="T152" s="65">
        <v>15</v>
      </c>
      <c r="U152" s="65">
        <v>21</v>
      </c>
      <c r="V152" s="65">
        <v>21</v>
      </c>
      <c r="Y152" s="74" t="s">
        <v>44</v>
      </c>
      <c r="Z152" s="56" t="s">
        <v>1650</v>
      </c>
      <c r="AA152" s="252"/>
      <c r="AB152" s="65" t="s">
        <v>94</v>
      </c>
      <c r="AC152" s="74" t="s">
        <v>29</v>
      </c>
    </row>
    <row r="153" spans="1:30">
      <c r="A153" s="331" t="s">
        <v>1206</v>
      </c>
      <c r="B153" s="59"/>
      <c r="C153" s="57">
        <v>42726</v>
      </c>
      <c r="E153" s="65" t="s">
        <v>29</v>
      </c>
      <c r="F153" s="65" t="s">
        <v>29</v>
      </c>
      <c r="G153" s="58" t="s">
        <v>1443</v>
      </c>
      <c r="H153" s="58" t="s">
        <v>1444</v>
      </c>
      <c r="I153" s="60">
        <v>164</v>
      </c>
      <c r="J153" s="58" t="s">
        <v>94</v>
      </c>
      <c r="K153" s="58" t="s">
        <v>29</v>
      </c>
      <c r="L153" s="58" t="s">
        <v>94</v>
      </c>
      <c r="M153" s="58" t="s">
        <v>29</v>
      </c>
      <c r="N153" s="61" t="s">
        <v>1829</v>
      </c>
      <c r="O153" s="58" t="s">
        <v>1830</v>
      </c>
      <c r="P153" s="58" t="s">
        <v>1459</v>
      </c>
      <c r="Q153" s="63" t="str">
        <f>IF(V153&lt;&gt;"","Completed","")</f>
        <v>Completed</v>
      </c>
      <c r="R153" s="64">
        <v>42665</v>
      </c>
      <c r="S153" s="64" t="s">
        <v>114</v>
      </c>
      <c r="T153" s="65">
        <v>36</v>
      </c>
      <c r="U153" s="65">
        <v>72</v>
      </c>
      <c r="V153" s="65">
        <v>72</v>
      </c>
      <c r="Y153" s="74" t="s">
        <v>44</v>
      </c>
      <c r="Z153" s="56" t="s">
        <v>1478</v>
      </c>
      <c r="AA153" s="252"/>
      <c r="AB153" s="65" t="s">
        <v>94</v>
      </c>
      <c r="AC153" s="74" t="s">
        <v>29</v>
      </c>
    </row>
    <row r="154" spans="1:30">
      <c r="A154" s="338" t="s">
        <v>341</v>
      </c>
      <c r="B154" s="305"/>
      <c r="C154" s="311">
        <v>42709</v>
      </c>
      <c r="D154" s="109" t="s">
        <v>1831</v>
      </c>
      <c r="E154" s="151" t="s">
        <v>94</v>
      </c>
      <c r="F154" s="151" t="s">
        <v>29</v>
      </c>
      <c r="G154" s="306" t="s">
        <v>1443</v>
      </c>
      <c r="H154" s="306" t="s">
        <v>1456</v>
      </c>
      <c r="I154" s="307">
        <v>94</v>
      </c>
      <c r="J154" s="306" t="s">
        <v>94</v>
      </c>
      <c r="K154" s="306" t="s">
        <v>94</v>
      </c>
      <c r="L154" s="306" t="s">
        <v>29</v>
      </c>
      <c r="M154" s="306" t="s">
        <v>29</v>
      </c>
      <c r="N154" s="376" t="s">
        <v>1832</v>
      </c>
      <c r="O154" s="321" t="s">
        <v>1833</v>
      </c>
      <c r="P154" s="306" t="s">
        <v>1447</v>
      </c>
      <c r="Q154" s="63" t="str">
        <f>IF(V154&lt;&gt;"","Completed","")</f>
        <v>Completed</v>
      </c>
      <c r="R154" s="310">
        <v>42689</v>
      </c>
      <c r="S154" s="310" t="s">
        <v>80</v>
      </c>
      <c r="T154" s="65">
        <v>20</v>
      </c>
      <c r="U154" s="65">
        <v>36</v>
      </c>
      <c r="V154" s="65">
        <v>36</v>
      </c>
      <c r="Y154" s="74" t="s">
        <v>44</v>
      </c>
      <c r="Z154" s="56" t="s">
        <v>1460</v>
      </c>
      <c r="AA154" s="252">
        <f>V154</f>
        <v>36</v>
      </c>
      <c r="AB154" s="242" t="s">
        <v>94</v>
      </c>
      <c r="AC154" s="347" t="s">
        <v>29</v>
      </c>
      <c r="AD154" s="349"/>
    </row>
    <row r="155" spans="1:30">
      <c r="A155" s="261" t="s">
        <v>710</v>
      </c>
      <c r="C155" s="57">
        <v>42765</v>
      </c>
      <c r="E155" s="65" t="s">
        <v>29</v>
      </c>
      <c r="F155" s="65" t="s">
        <v>29</v>
      </c>
      <c r="N155" s="68" t="s">
        <v>1834</v>
      </c>
      <c r="O155" s="90" t="s">
        <v>1835</v>
      </c>
      <c r="Q155" s="63" t="str">
        <f>IF(V155&lt;&gt;"","Completed","")</f>
        <v>Completed</v>
      </c>
      <c r="R155" s="64">
        <v>42770</v>
      </c>
      <c r="S155" s="64" t="s">
        <v>149</v>
      </c>
      <c r="T155" s="242">
        <v>49</v>
      </c>
      <c r="U155" s="242">
        <v>94</v>
      </c>
      <c r="V155" s="242">
        <v>94</v>
      </c>
      <c r="Y155" s="74" t="s">
        <v>44</v>
      </c>
      <c r="Z155" s="345" t="s">
        <v>1442</v>
      </c>
      <c r="AA155" s="92"/>
      <c r="AB155" s="242" t="s">
        <v>94</v>
      </c>
      <c r="AC155" s="242" t="s">
        <v>94</v>
      </c>
    </row>
    <row r="156" spans="1:30">
      <c r="A156" s="331" t="s">
        <v>1128</v>
      </c>
      <c r="B156" s="59"/>
      <c r="C156" s="57">
        <v>42747</v>
      </c>
      <c r="E156" s="65" t="s">
        <v>29</v>
      </c>
      <c r="F156" s="65" t="s">
        <v>29</v>
      </c>
      <c r="G156" s="58" t="s">
        <v>1443</v>
      </c>
      <c r="H156" s="58" t="s">
        <v>1456</v>
      </c>
      <c r="I156" s="60">
        <v>447</v>
      </c>
      <c r="J156" s="58" t="s">
        <v>94</v>
      </c>
      <c r="K156" s="58" t="s">
        <v>29</v>
      </c>
      <c r="L156" s="58" t="s">
        <v>29</v>
      </c>
      <c r="M156" s="58" t="s">
        <v>29</v>
      </c>
      <c r="N156" s="61" t="s">
        <v>1836</v>
      </c>
      <c r="O156" s="58" t="s">
        <v>1837</v>
      </c>
      <c r="P156" s="58" t="s">
        <v>1459</v>
      </c>
      <c r="Q156" s="63" t="str">
        <f>IF(V156&lt;&gt;"","Completed","")</f>
        <v>Completed</v>
      </c>
      <c r="R156" s="64">
        <v>42714</v>
      </c>
      <c r="S156" s="64" t="s">
        <v>57</v>
      </c>
      <c r="T156" s="65">
        <v>70</v>
      </c>
      <c r="U156" s="65">
        <v>109</v>
      </c>
      <c r="V156" s="65">
        <v>109</v>
      </c>
      <c r="Y156" s="74" t="s">
        <v>44</v>
      </c>
      <c r="Z156" s="56" t="s">
        <v>1838</v>
      </c>
      <c r="AA156" s="252"/>
      <c r="AB156" s="329" t="s">
        <v>94</v>
      </c>
      <c r="AC156" s="329" t="s">
        <v>94</v>
      </c>
    </row>
    <row r="157" spans="1:30">
      <c r="A157" s="75" t="s">
        <v>929</v>
      </c>
      <c r="B157" s="59"/>
      <c r="C157" s="57">
        <v>42790</v>
      </c>
      <c r="E157" s="65" t="s">
        <v>29</v>
      </c>
      <c r="F157" s="65" t="s">
        <v>94</v>
      </c>
      <c r="G157" s="58" t="s">
        <v>1443</v>
      </c>
      <c r="H157" s="58" t="s">
        <v>1444</v>
      </c>
      <c r="I157" s="60">
        <v>439</v>
      </c>
      <c r="J157" s="58" t="s">
        <v>29</v>
      </c>
      <c r="K157" s="58" t="s">
        <v>29</v>
      </c>
      <c r="L157" s="58" t="s">
        <v>94</v>
      </c>
      <c r="M157" s="58" t="s">
        <v>94</v>
      </c>
      <c r="N157" s="61" t="s">
        <v>1839</v>
      </c>
      <c r="O157" s="58" t="s">
        <v>1840</v>
      </c>
      <c r="P157" s="58" t="s">
        <v>1447</v>
      </c>
      <c r="Q157" s="63" t="str">
        <f>IF(V157&lt;&gt;"","Completed","")</f>
        <v>Completed</v>
      </c>
      <c r="R157" s="64">
        <v>42642</v>
      </c>
      <c r="S157" s="386" t="s">
        <v>172</v>
      </c>
      <c r="T157" s="65">
        <v>52</v>
      </c>
      <c r="U157" s="256">
        <v>100</v>
      </c>
      <c r="V157" s="256">
        <v>100</v>
      </c>
      <c r="Y157" s="74" t="s">
        <v>44</v>
      </c>
      <c r="Z157" s="56" t="s">
        <v>1582</v>
      </c>
      <c r="AA157" s="249"/>
      <c r="AB157" s="65" t="s">
        <v>94</v>
      </c>
      <c r="AC157" s="65" t="s">
        <v>29</v>
      </c>
    </row>
    <row r="158" spans="1:30">
      <c r="A158" s="261" t="s">
        <v>710</v>
      </c>
      <c r="C158" s="57">
        <v>42782</v>
      </c>
      <c r="E158" s="65" t="s">
        <v>29</v>
      </c>
      <c r="F158" s="65" t="s">
        <v>29</v>
      </c>
      <c r="N158" s="68" t="s">
        <v>1841</v>
      </c>
      <c r="O158" s="90" t="s">
        <v>1842</v>
      </c>
      <c r="Q158" s="63" t="str">
        <f>IF(V158&lt;&gt;"","Completed","")</f>
        <v>Completed</v>
      </c>
      <c r="R158" s="64">
        <v>42770</v>
      </c>
      <c r="S158" s="64" t="s">
        <v>149</v>
      </c>
      <c r="T158" s="242">
        <v>11</v>
      </c>
      <c r="U158" s="242">
        <v>22</v>
      </c>
      <c r="V158" s="242">
        <v>22</v>
      </c>
      <c r="Y158" s="74" t="s">
        <v>44</v>
      </c>
      <c r="Z158" s="345" t="s">
        <v>1620</v>
      </c>
      <c r="AA158" s="92"/>
      <c r="AB158" s="242" t="s">
        <v>94</v>
      </c>
      <c r="AC158" s="242" t="s">
        <v>29</v>
      </c>
    </row>
    <row r="159" spans="1:30">
      <c r="A159" s="331" t="s">
        <v>179</v>
      </c>
      <c r="B159" s="59"/>
      <c r="C159" s="57">
        <v>42741</v>
      </c>
      <c r="D159" s="150">
        <v>1024000</v>
      </c>
      <c r="E159" s="65" t="s">
        <v>29</v>
      </c>
      <c r="F159" s="65" t="s">
        <v>29</v>
      </c>
      <c r="G159" s="58" t="s">
        <v>1443</v>
      </c>
      <c r="H159" s="58" t="s">
        <v>1456</v>
      </c>
      <c r="I159" s="60">
        <v>0</v>
      </c>
      <c r="J159" s="58" t="s">
        <v>94</v>
      </c>
      <c r="K159" s="58" t="s">
        <v>29</v>
      </c>
      <c r="L159" s="58" t="s">
        <v>29</v>
      </c>
      <c r="M159" s="58" t="s">
        <v>29</v>
      </c>
      <c r="N159" s="61" t="s">
        <v>1843</v>
      </c>
      <c r="O159" s="58" t="s">
        <v>1844</v>
      </c>
      <c r="P159" s="58" t="s">
        <v>1459</v>
      </c>
      <c r="Q159" s="63" t="str">
        <f>IF(V159&lt;&gt;"","Completed","")</f>
        <v>Completed</v>
      </c>
      <c r="R159" s="64">
        <v>42661</v>
      </c>
      <c r="S159" s="64" t="s">
        <v>57</v>
      </c>
      <c r="T159" s="65">
        <v>29</v>
      </c>
      <c r="U159" s="65">
        <v>46</v>
      </c>
      <c r="V159" s="65">
        <v>46</v>
      </c>
      <c r="Y159" s="74" t="s">
        <v>44</v>
      </c>
      <c r="Z159" s="56" t="s">
        <v>1637</v>
      </c>
      <c r="AA159" s="249"/>
      <c r="AB159" s="329" t="s">
        <v>94</v>
      </c>
      <c r="AC159" s="330" t="s">
        <v>29</v>
      </c>
    </row>
    <row r="160" spans="1:30">
      <c r="A160" s="75" t="s">
        <v>824</v>
      </c>
      <c r="B160" s="59"/>
      <c r="C160" s="57">
        <v>42726</v>
      </c>
      <c r="D160" s="150"/>
      <c r="E160" s="65" t="s">
        <v>29</v>
      </c>
      <c r="F160" s="65" t="s">
        <v>29</v>
      </c>
      <c r="G160" s="58" t="s">
        <v>1443</v>
      </c>
      <c r="H160" s="58" t="s">
        <v>1449</v>
      </c>
      <c r="I160" s="60">
        <v>211</v>
      </c>
      <c r="J160" s="58" t="s">
        <v>94</v>
      </c>
      <c r="K160" s="58" t="s">
        <v>29</v>
      </c>
      <c r="L160" s="58" t="s">
        <v>94</v>
      </c>
      <c r="M160" s="58" t="s">
        <v>29</v>
      </c>
      <c r="N160" s="61" t="s">
        <v>1845</v>
      </c>
      <c r="O160" s="58" t="s">
        <v>1846</v>
      </c>
      <c r="P160" s="58" t="s">
        <v>1447</v>
      </c>
      <c r="Q160" s="63" t="str">
        <f>IF(V160&lt;&gt;"","Completed","")</f>
        <v>Completed</v>
      </c>
      <c r="R160" s="64">
        <v>42658</v>
      </c>
      <c r="S160" s="64" t="s">
        <v>43</v>
      </c>
      <c r="T160" s="150">
        <v>54</v>
      </c>
      <c r="U160" s="150">
        <v>82</v>
      </c>
      <c r="V160" s="150">
        <v>82</v>
      </c>
      <c r="W160" s="150"/>
      <c r="X160" s="150"/>
      <c r="Y160" s="74" t="s">
        <v>44</v>
      </c>
      <c r="Z160" s="56" t="s">
        <v>1558</v>
      </c>
      <c r="AA160" s="252"/>
      <c r="AB160" s="324" t="s">
        <v>94</v>
      </c>
      <c r="AC160" s="151" t="s">
        <v>29</v>
      </c>
    </row>
    <row r="161" spans="1:30">
      <c r="A161" s="332" t="s">
        <v>945</v>
      </c>
      <c r="B161" s="59"/>
      <c r="C161" s="57">
        <v>42787</v>
      </c>
      <c r="E161" s="65" t="s">
        <v>29</v>
      </c>
      <c r="F161" s="65" t="s">
        <v>29</v>
      </c>
      <c r="G161" s="58" t="s">
        <v>1443</v>
      </c>
      <c r="H161" s="58" t="s">
        <v>1456</v>
      </c>
      <c r="I161" s="60">
        <v>0</v>
      </c>
      <c r="J161" s="58" t="s">
        <v>94</v>
      </c>
      <c r="K161" s="58" t="s">
        <v>29</v>
      </c>
      <c r="L161" s="58" t="s">
        <v>94</v>
      </c>
      <c r="M161" s="58" t="s">
        <v>29</v>
      </c>
      <c r="N161" s="61" t="s">
        <v>1847</v>
      </c>
      <c r="O161" s="58" t="s">
        <v>1848</v>
      </c>
      <c r="P161" s="58" t="s">
        <v>1447</v>
      </c>
      <c r="Q161" s="63" t="str">
        <f>IF(V161&lt;&gt;"","Completed","")</f>
        <v>Completed</v>
      </c>
      <c r="R161" s="319">
        <v>42742</v>
      </c>
      <c r="S161" s="319" t="s">
        <v>57</v>
      </c>
      <c r="T161" s="65">
        <v>76</v>
      </c>
      <c r="U161" s="65">
        <v>152</v>
      </c>
      <c r="V161" s="65">
        <v>152</v>
      </c>
      <c r="W161" s="242"/>
      <c r="X161" s="242"/>
      <c r="Y161" s="74" t="s">
        <v>44</v>
      </c>
      <c r="Z161" s="56" t="s">
        <v>1849</v>
      </c>
      <c r="AA161" s="252"/>
      <c r="AB161" s="74" t="s">
        <v>94</v>
      </c>
      <c r="AC161" s="65" t="s">
        <v>29</v>
      </c>
    </row>
    <row r="162" spans="1:30">
      <c r="A162" s="75" t="s">
        <v>313</v>
      </c>
      <c r="B162" s="59"/>
      <c r="C162" s="57">
        <v>42712</v>
      </c>
      <c r="D162" s="65">
        <v>3056000</v>
      </c>
      <c r="E162" s="65" t="s">
        <v>29</v>
      </c>
      <c r="F162" s="65" t="s">
        <v>29</v>
      </c>
      <c r="G162" s="58" t="s">
        <v>1443</v>
      </c>
      <c r="H162" s="58" t="s">
        <v>1456</v>
      </c>
      <c r="I162" s="60">
        <v>178</v>
      </c>
      <c r="J162" s="58" t="s">
        <v>94</v>
      </c>
      <c r="K162" s="58" t="s">
        <v>29</v>
      </c>
      <c r="L162" s="58" t="s">
        <v>94</v>
      </c>
      <c r="M162" s="58" t="s">
        <v>29</v>
      </c>
      <c r="N162" s="61" t="s">
        <v>1850</v>
      </c>
      <c r="O162" s="58" t="s">
        <v>1851</v>
      </c>
      <c r="P162" s="58" t="s">
        <v>1459</v>
      </c>
      <c r="Q162" s="63" t="str">
        <f>IF(V162&lt;&gt;"","Completed","")</f>
        <v>Completed</v>
      </c>
      <c r="R162" s="64">
        <v>42679</v>
      </c>
      <c r="S162" s="64" t="s">
        <v>149</v>
      </c>
      <c r="T162" s="65">
        <v>29</v>
      </c>
      <c r="U162" s="65">
        <v>55</v>
      </c>
      <c r="V162" s="65">
        <v>55</v>
      </c>
      <c r="Y162" s="74" t="s">
        <v>44</v>
      </c>
      <c r="Z162" s="56" t="s">
        <v>1491</v>
      </c>
      <c r="AA162" s="249"/>
      <c r="AB162" s="65" t="s">
        <v>94</v>
      </c>
      <c r="AC162" s="65" t="s">
        <v>94</v>
      </c>
    </row>
    <row r="163" spans="1:30">
      <c r="A163" s="244" t="s">
        <v>350</v>
      </c>
      <c r="B163" s="62" t="s">
        <v>106</v>
      </c>
      <c r="C163" s="57">
        <v>42745</v>
      </c>
      <c r="D163" s="109" t="s">
        <v>1852</v>
      </c>
      <c r="E163" s="151" t="s">
        <v>94</v>
      </c>
      <c r="F163" s="151" t="s">
        <v>29</v>
      </c>
      <c r="G163" s="306" t="s">
        <v>1443</v>
      </c>
      <c r="H163" s="306" t="s">
        <v>1456</v>
      </c>
      <c r="I163" s="307">
        <v>63</v>
      </c>
      <c r="J163" s="306" t="s">
        <v>94</v>
      </c>
      <c r="K163" s="306" t="s">
        <v>94</v>
      </c>
      <c r="L163" s="306" t="s">
        <v>29</v>
      </c>
      <c r="M163" s="306" t="s">
        <v>29</v>
      </c>
      <c r="N163" s="308" t="s">
        <v>1853</v>
      </c>
      <c r="O163" s="306" t="s">
        <v>1854</v>
      </c>
      <c r="P163" s="306" t="s">
        <v>1447</v>
      </c>
      <c r="Q163" s="63" t="str">
        <f>IF(V163&lt;&gt;"","Completed","")</f>
        <v>Completed</v>
      </c>
      <c r="R163" s="64">
        <v>42720</v>
      </c>
      <c r="S163" s="64" t="s">
        <v>204</v>
      </c>
      <c r="T163" s="65">
        <v>37</v>
      </c>
      <c r="U163" s="65">
        <v>58</v>
      </c>
      <c r="V163" s="65">
        <v>58</v>
      </c>
      <c r="Y163" s="74" t="s">
        <v>44</v>
      </c>
      <c r="Z163" s="56" t="s">
        <v>1505</v>
      </c>
      <c r="AA163" s="252">
        <f>V163</f>
        <v>58</v>
      </c>
      <c r="AB163" s="65" t="s">
        <v>94</v>
      </c>
      <c r="AC163" s="74" t="s">
        <v>29</v>
      </c>
      <c r="AD163" s="349"/>
    </row>
    <row r="164" spans="1:30">
      <c r="A164" s="331" t="s">
        <v>1206</v>
      </c>
      <c r="B164" s="59"/>
      <c r="C164" s="57">
        <v>42719</v>
      </c>
      <c r="E164" s="65" t="s">
        <v>29</v>
      </c>
      <c r="F164" s="65" t="s">
        <v>29</v>
      </c>
      <c r="G164" s="58" t="s">
        <v>1443</v>
      </c>
      <c r="H164" s="58" t="s">
        <v>1444</v>
      </c>
      <c r="I164" s="60">
        <v>306</v>
      </c>
      <c r="J164" s="58" t="s">
        <v>94</v>
      </c>
      <c r="K164" s="58" t="s">
        <v>29</v>
      </c>
      <c r="L164" s="58" t="s">
        <v>94</v>
      </c>
      <c r="M164" s="58" t="s">
        <v>29</v>
      </c>
      <c r="N164" s="61" t="s">
        <v>1855</v>
      </c>
      <c r="O164" s="58" t="s">
        <v>1856</v>
      </c>
      <c r="P164" s="58" t="s">
        <v>1459</v>
      </c>
      <c r="Q164" s="63" t="str">
        <f>IF(V164&lt;&gt;"","Completed","")</f>
        <v>Completed</v>
      </c>
      <c r="R164" s="64">
        <v>42665</v>
      </c>
      <c r="S164" s="64" t="s">
        <v>114</v>
      </c>
      <c r="T164" s="65">
        <v>9</v>
      </c>
      <c r="U164" s="65">
        <v>18</v>
      </c>
      <c r="V164" s="65">
        <v>18</v>
      </c>
      <c r="Y164" s="74" t="s">
        <v>44</v>
      </c>
      <c r="Z164" s="56" t="s">
        <v>1632</v>
      </c>
      <c r="AA164" s="252"/>
      <c r="AB164" s="74" t="s">
        <v>94</v>
      </c>
      <c r="AC164" s="74" t="s">
        <v>29</v>
      </c>
    </row>
    <row r="165" spans="1:30">
      <c r="A165" s="75" t="s">
        <v>1415</v>
      </c>
      <c r="B165" s="59"/>
      <c r="C165" s="57">
        <v>42753</v>
      </c>
      <c r="D165" s="65">
        <v>200940</v>
      </c>
      <c r="E165" s="65" t="s">
        <v>29</v>
      </c>
      <c r="F165" s="65" t="s">
        <v>94</v>
      </c>
      <c r="G165" s="58" t="s">
        <v>1482</v>
      </c>
      <c r="H165" s="58"/>
      <c r="I165" s="60"/>
      <c r="J165" s="58"/>
      <c r="K165" s="58"/>
      <c r="L165" s="58"/>
      <c r="M165" s="58"/>
      <c r="N165" s="399" t="s">
        <v>1857</v>
      </c>
      <c r="O165" s="201" t="s">
        <v>1858</v>
      </c>
      <c r="P165" s="58"/>
      <c r="Q165" s="63" t="str">
        <f>IF(V165&lt;&gt;"","Completed","")</f>
        <v>Completed</v>
      </c>
      <c r="R165" s="250">
        <v>42748</v>
      </c>
      <c r="S165" s="250" t="s">
        <v>104</v>
      </c>
      <c r="T165" s="65">
        <v>5</v>
      </c>
      <c r="V165" s="256">
        <v>6</v>
      </c>
      <c r="Y165" s="74" t="s">
        <v>44</v>
      </c>
      <c r="Z165" s="56" t="s">
        <v>1500</v>
      </c>
      <c r="AA165" s="252"/>
      <c r="AB165" s="65" t="s">
        <v>94</v>
      </c>
      <c r="AC165" s="65" t="s">
        <v>29</v>
      </c>
    </row>
    <row r="166" spans="1:30">
      <c r="A166" s="261" t="s">
        <v>81</v>
      </c>
      <c r="B166" s="63" t="s">
        <v>82</v>
      </c>
      <c r="C166" s="112">
        <v>42709</v>
      </c>
      <c r="D166" s="315">
        <v>1008000</v>
      </c>
      <c r="E166" s="57" t="s">
        <v>29</v>
      </c>
      <c r="F166" s="65" t="s">
        <v>29</v>
      </c>
      <c r="G166" s="63" t="s">
        <v>1482</v>
      </c>
      <c r="H166" s="63" t="s">
        <v>1456</v>
      </c>
      <c r="I166" s="58">
        <v>0</v>
      </c>
      <c r="J166" s="58" t="s">
        <v>94</v>
      </c>
      <c r="K166" s="60" t="s">
        <v>29</v>
      </c>
      <c r="L166" s="58" t="s">
        <v>94</v>
      </c>
      <c r="M166" s="58" t="s">
        <v>29</v>
      </c>
      <c r="N166" s="373" t="s">
        <v>1859</v>
      </c>
      <c r="O166" s="373" t="s">
        <v>1860</v>
      </c>
      <c r="P166" s="61" t="s">
        <v>1447</v>
      </c>
      <c r="Q166" s="63" t="str">
        <f>IF(V166&lt;&gt;"","Completed","")</f>
        <v>Completed</v>
      </c>
      <c r="R166" s="57">
        <v>42628</v>
      </c>
      <c r="S166" s="57" t="s">
        <v>80</v>
      </c>
      <c r="T166" s="65">
        <v>7</v>
      </c>
      <c r="U166" s="273">
        <v>12</v>
      </c>
      <c r="V166" s="273">
        <v>12</v>
      </c>
      <c r="W166" s="273"/>
      <c r="X166" s="273"/>
      <c r="Y166" s="74" t="s">
        <v>44</v>
      </c>
      <c r="Z166" s="56" t="s">
        <v>1861</v>
      </c>
      <c r="AA166" s="104"/>
      <c r="AB166" s="242" t="s">
        <v>94</v>
      </c>
      <c r="AC166" s="242"/>
      <c r="AD166" s="56"/>
    </row>
    <row r="167" spans="1:30">
      <c r="A167" s="75" t="s">
        <v>313</v>
      </c>
      <c r="B167" s="59"/>
      <c r="C167" s="57">
        <v>42712</v>
      </c>
      <c r="D167" s="65">
        <v>3056000</v>
      </c>
      <c r="E167" s="65" t="s">
        <v>29</v>
      </c>
      <c r="F167" s="65" t="s">
        <v>29</v>
      </c>
      <c r="G167" s="58" t="s">
        <v>1443</v>
      </c>
      <c r="H167" s="58" t="s">
        <v>1456</v>
      </c>
      <c r="I167" s="60">
        <v>0</v>
      </c>
      <c r="J167" s="58" t="s">
        <v>94</v>
      </c>
      <c r="K167" s="58" t="s">
        <v>29</v>
      </c>
      <c r="L167" s="58" t="s">
        <v>94</v>
      </c>
      <c r="M167" s="58" t="s">
        <v>29</v>
      </c>
      <c r="N167" s="61" t="s">
        <v>1862</v>
      </c>
      <c r="O167" s="58" t="s">
        <v>1863</v>
      </c>
      <c r="P167" s="58" t="s">
        <v>1459</v>
      </c>
      <c r="Q167" s="63" t="str">
        <f>IF(V167&lt;&gt;"","Completed","")</f>
        <v>Completed</v>
      </c>
      <c r="R167" s="64">
        <v>42679</v>
      </c>
      <c r="S167" s="64" t="s">
        <v>149</v>
      </c>
      <c r="T167" s="65">
        <v>40</v>
      </c>
      <c r="U167" s="65">
        <v>62</v>
      </c>
      <c r="V167" s="65">
        <v>62</v>
      </c>
      <c r="Y167" s="74" t="s">
        <v>44</v>
      </c>
      <c r="Z167" s="56" t="s">
        <v>1491</v>
      </c>
      <c r="AA167" s="249"/>
      <c r="AB167" s="65" t="s">
        <v>94</v>
      </c>
      <c r="AC167" s="65" t="s">
        <v>29</v>
      </c>
    </row>
    <row r="168" spans="1:30">
      <c r="A168" s="75" t="s">
        <v>845</v>
      </c>
      <c r="B168" s="59"/>
      <c r="C168" s="57">
        <v>42709</v>
      </c>
      <c r="E168" s="65" t="s">
        <v>29</v>
      </c>
      <c r="F168" s="65" t="s">
        <v>29</v>
      </c>
      <c r="G168" s="58" t="s">
        <v>1443</v>
      </c>
      <c r="H168" s="58" t="s">
        <v>1444</v>
      </c>
      <c r="I168" s="60">
        <v>254</v>
      </c>
      <c r="J168" s="58" t="s">
        <v>94</v>
      </c>
      <c r="K168" s="58" t="s">
        <v>29</v>
      </c>
      <c r="L168" s="58" t="s">
        <v>94</v>
      </c>
      <c r="M168" s="58" t="s">
        <v>29</v>
      </c>
      <c r="N168" s="61" t="s">
        <v>1864</v>
      </c>
      <c r="O168" s="58" t="s">
        <v>1865</v>
      </c>
      <c r="P168" s="58" t="s">
        <v>1459</v>
      </c>
      <c r="Q168" s="63" t="str">
        <f>IF(V168&lt;&gt;"","Completed","")</f>
        <v>Completed</v>
      </c>
      <c r="R168" s="64">
        <v>42651</v>
      </c>
      <c r="S168" s="386" t="s">
        <v>397</v>
      </c>
      <c r="T168" s="65">
        <v>15</v>
      </c>
      <c r="U168" s="65">
        <v>24</v>
      </c>
      <c r="V168" s="65">
        <v>24</v>
      </c>
      <c r="Y168" s="74" t="s">
        <v>44</v>
      </c>
      <c r="Z168" s="56" t="s">
        <v>1524</v>
      </c>
      <c r="AA168" s="249"/>
      <c r="AB168" s="65" t="s">
        <v>94</v>
      </c>
      <c r="AC168" s="65" t="s">
        <v>29</v>
      </c>
    </row>
    <row r="169" spans="1:30">
      <c r="A169" s="245" t="s">
        <v>766</v>
      </c>
      <c r="B169" s="62"/>
      <c r="C169" s="57">
        <v>42787</v>
      </c>
      <c r="E169" s="65" t="s">
        <v>29</v>
      </c>
      <c r="F169" s="65" t="s">
        <v>29</v>
      </c>
      <c r="G169" s="58"/>
      <c r="H169" s="58"/>
      <c r="I169" s="60"/>
      <c r="J169" s="58"/>
      <c r="K169" s="58"/>
      <c r="L169" s="58"/>
      <c r="M169" s="58"/>
      <c r="N169" s="61" t="s">
        <v>1866</v>
      </c>
      <c r="O169" s="277" t="s">
        <v>1867</v>
      </c>
      <c r="P169" s="58"/>
      <c r="Q169" s="63" t="str">
        <f>IF(V169&lt;&gt;"","Completed","")</f>
        <v>Completed</v>
      </c>
      <c r="R169" s="64">
        <v>42749</v>
      </c>
      <c r="S169" s="64" t="s">
        <v>57</v>
      </c>
      <c r="T169" s="242">
        <v>74</v>
      </c>
      <c r="U169" s="65">
        <v>142</v>
      </c>
      <c r="V169" s="65">
        <v>142</v>
      </c>
      <c r="Y169" s="74" t="s">
        <v>44</v>
      </c>
      <c r="Z169" s="345" t="s">
        <v>1868</v>
      </c>
      <c r="AA169" s="92"/>
      <c r="AB169" s="65" t="s">
        <v>94</v>
      </c>
      <c r="AC169" s="65" t="s">
        <v>29</v>
      </c>
    </row>
    <row r="170" spans="1:30">
      <c r="A170" s="75" t="s">
        <v>599</v>
      </c>
      <c r="B170" s="59"/>
      <c r="C170" s="57">
        <v>42661</v>
      </c>
      <c r="E170" s="65" t="s">
        <v>29</v>
      </c>
      <c r="F170" s="65" t="s">
        <v>29</v>
      </c>
      <c r="G170" s="58" t="s">
        <v>1443</v>
      </c>
      <c r="H170" s="58" t="s">
        <v>1444</v>
      </c>
      <c r="I170" s="60">
        <v>993</v>
      </c>
      <c r="J170" s="58" t="s">
        <v>94</v>
      </c>
      <c r="K170" s="58" t="s">
        <v>29</v>
      </c>
      <c r="L170" s="58" t="s">
        <v>94</v>
      </c>
      <c r="M170" s="58" t="s">
        <v>29</v>
      </c>
      <c r="N170" s="61" t="s">
        <v>1869</v>
      </c>
      <c r="O170" s="58" t="s">
        <v>1870</v>
      </c>
      <c r="P170" s="58" t="s">
        <v>1447</v>
      </c>
      <c r="Q170" s="63" t="str">
        <f>IF(V170&lt;&gt;"","Completed","")</f>
        <v>Completed</v>
      </c>
      <c r="R170" s="64">
        <v>42671</v>
      </c>
      <c r="S170" s="64" t="s">
        <v>149</v>
      </c>
      <c r="T170" s="65">
        <v>51</v>
      </c>
      <c r="U170" s="65">
        <v>102</v>
      </c>
      <c r="V170" s="65">
        <v>102</v>
      </c>
      <c r="Y170" s="74" t="s">
        <v>44</v>
      </c>
      <c r="Z170" s="56" t="s">
        <v>1871</v>
      </c>
      <c r="AA170" s="252"/>
      <c r="AB170" s="316" t="s">
        <v>94</v>
      </c>
      <c r="AC170" s="317" t="s">
        <v>94</v>
      </c>
      <c r="AD170" s="349"/>
    </row>
    <row r="171" spans="1:30">
      <c r="A171" s="245" t="s">
        <v>353</v>
      </c>
      <c r="B171" s="62" t="s">
        <v>354</v>
      </c>
      <c r="C171" s="311">
        <v>42688</v>
      </c>
      <c r="D171" s="109" t="s">
        <v>1872</v>
      </c>
      <c r="E171" s="151" t="s">
        <v>94</v>
      </c>
      <c r="F171" s="151" t="s">
        <v>29</v>
      </c>
      <c r="G171" s="306" t="s">
        <v>1443</v>
      </c>
      <c r="H171" s="306" t="s">
        <v>1444</v>
      </c>
      <c r="I171" s="307">
        <v>94</v>
      </c>
      <c r="J171" s="306" t="s">
        <v>29</v>
      </c>
      <c r="K171" s="306" t="s">
        <v>94</v>
      </c>
      <c r="L171" s="306" t="s">
        <v>29</v>
      </c>
      <c r="M171" s="306" t="s">
        <v>29</v>
      </c>
      <c r="N171" s="308" t="s">
        <v>1873</v>
      </c>
      <c r="O171" s="306" t="s">
        <v>1874</v>
      </c>
      <c r="P171" s="306" t="s">
        <v>1459</v>
      </c>
      <c r="Q171" s="63" t="str">
        <f>IF(V171&lt;&gt;"","Completed","")</f>
        <v>Completed</v>
      </c>
      <c r="R171" s="268">
        <v>42705</v>
      </c>
      <c r="S171" s="268" t="s">
        <v>204</v>
      </c>
      <c r="T171" s="65">
        <v>32</v>
      </c>
      <c r="U171" s="65">
        <v>52</v>
      </c>
      <c r="V171" s="65">
        <v>52</v>
      </c>
      <c r="Y171" s="74" t="s">
        <v>44</v>
      </c>
      <c r="Z171" s="345" t="s">
        <v>1608</v>
      </c>
      <c r="AA171" s="252">
        <f>V171</f>
        <v>52</v>
      </c>
      <c r="AB171" s="65" t="s">
        <v>94</v>
      </c>
      <c r="AC171" s="65" t="s">
        <v>29</v>
      </c>
      <c r="AD171" s="349"/>
    </row>
    <row r="172" spans="1:30">
      <c r="A172" s="75" t="s">
        <v>979</v>
      </c>
      <c r="B172" s="59"/>
      <c r="C172" s="57">
        <v>42726</v>
      </c>
      <c r="E172" s="65" t="s">
        <v>29</v>
      </c>
      <c r="F172" s="65" t="s">
        <v>29</v>
      </c>
      <c r="G172" s="58" t="s">
        <v>1443</v>
      </c>
      <c r="H172" s="58" t="s">
        <v>1456</v>
      </c>
      <c r="I172" s="60">
        <v>551</v>
      </c>
      <c r="J172" s="58" t="s">
        <v>94</v>
      </c>
      <c r="K172" s="58" t="s">
        <v>29</v>
      </c>
      <c r="L172" s="58" t="s">
        <v>94</v>
      </c>
      <c r="M172" s="58" t="s">
        <v>29</v>
      </c>
      <c r="N172" s="61" t="s">
        <v>1875</v>
      </c>
      <c r="O172" s="58" t="s">
        <v>1876</v>
      </c>
      <c r="P172" s="58" t="s">
        <v>1447</v>
      </c>
      <c r="Q172" s="63" t="str">
        <f>IF(V172&lt;&gt;"","Completed","")</f>
        <v>Completed</v>
      </c>
      <c r="R172" s="64">
        <v>42657</v>
      </c>
      <c r="S172" s="64" t="s">
        <v>43</v>
      </c>
      <c r="T172" s="65">
        <v>76</v>
      </c>
      <c r="U172" s="65">
        <v>115</v>
      </c>
      <c r="V172" s="65">
        <v>115</v>
      </c>
      <c r="Y172" s="74" t="s">
        <v>44</v>
      </c>
      <c r="Z172" s="56" t="s">
        <v>1877</v>
      </c>
      <c r="AA172" s="249"/>
      <c r="AB172" s="151" t="s">
        <v>94</v>
      </c>
      <c r="AC172" s="151" t="s">
        <v>29</v>
      </c>
    </row>
    <row r="173" spans="1:30">
      <c r="A173" s="75" t="s">
        <v>205</v>
      </c>
      <c r="B173" s="59"/>
      <c r="C173" s="57">
        <v>42772</v>
      </c>
      <c r="D173" s="65">
        <v>3030000</v>
      </c>
      <c r="E173" s="65" t="s">
        <v>29</v>
      </c>
      <c r="F173" s="65" t="s">
        <v>29</v>
      </c>
      <c r="G173" s="58" t="s">
        <v>1443</v>
      </c>
      <c r="H173" s="58" t="s">
        <v>1456</v>
      </c>
      <c r="I173" s="60">
        <v>373</v>
      </c>
      <c r="J173" s="58" t="s">
        <v>94</v>
      </c>
      <c r="K173" s="58" t="s">
        <v>29</v>
      </c>
      <c r="L173" s="58" t="s">
        <v>94</v>
      </c>
      <c r="M173" s="58" t="s">
        <v>29</v>
      </c>
      <c r="N173" s="61" t="s">
        <v>1878</v>
      </c>
      <c r="O173" s="58" t="s">
        <v>1879</v>
      </c>
      <c r="P173" s="58" t="s">
        <v>1447</v>
      </c>
      <c r="Q173" s="63" t="str">
        <f>IF(V173&lt;&gt;"","Completed","")</f>
        <v>Completed</v>
      </c>
      <c r="R173" s="64">
        <v>42725</v>
      </c>
      <c r="S173" s="64" t="s">
        <v>149</v>
      </c>
      <c r="T173" s="65">
        <v>63</v>
      </c>
      <c r="U173" s="65">
        <v>98</v>
      </c>
      <c r="V173" s="65">
        <v>98</v>
      </c>
      <c r="Y173" s="74" t="s">
        <v>44</v>
      </c>
      <c r="Z173" s="56" t="s">
        <v>1536</v>
      </c>
      <c r="AA173" s="252"/>
      <c r="AB173" s="65" t="s">
        <v>94</v>
      </c>
      <c r="AC173" s="65" t="s">
        <v>94</v>
      </c>
    </row>
    <row r="174" spans="1:30">
      <c r="A174" s="75" t="s">
        <v>1152</v>
      </c>
      <c r="B174" s="59"/>
      <c r="C174" s="57">
        <v>42691</v>
      </c>
      <c r="E174" s="65" t="s">
        <v>29</v>
      </c>
      <c r="F174" s="65" t="s">
        <v>29</v>
      </c>
      <c r="G174" s="58" t="s">
        <v>1443</v>
      </c>
      <c r="H174" s="58" t="s">
        <v>1449</v>
      </c>
      <c r="I174" s="60">
        <v>15</v>
      </c>
      <c r="J174" s="58" t="s">
        <v>94</v>
      </c>
      <c r="K174" s="58" t="s">
        <v>29</v>
      </c>
      <c r="L174" s="58" t="s">
        <v>94</v>
      </c>
      <c r="M174" s="58" t="s">
        <v>29</v>
      </c>
      <c r="N174" s="61" t="s">
        <v>1880</v>
      </c>
      <c r="O174" s="58" t="s">
        <v>1881</v>
      </c>
      <c r="P174" s="58" t="s">
        <v>1459</v>
      </c>
      <c r="Q174" s="63" t="str">
        <f>IF(V174&lt;&gt;"","Completed","")</f>
        <v>Completed</v>
      </c>
      <c r="R174" s="64">
        <v>42668</v>
      </c>
      <c r="S174" s="64" t="s">
        <v>80</v>
      </c>
      <c r="T174" s="65">
        <v>13</v>
      </c>
      <c r="U174" s="65">
        <v>26</v>
      </c>
      <c r="V174" s="65">
        <v>26</v>
      </c>
      <c r="Y174" s="74" t="s">
        <v>44</v>
      </c>
      <c r="Z174" s="56" t="s">
        <v>1681</v>
      </c>
      <c r="AA174" s="249"/>
      <c r="AB174" s="65" t="s">
        <v>94</v>
      </c>
      <c r="AC174" s="65" t="s">
        <v>29</v>
      </c>
    </row>
    <row r="175" spans="1:30">
      <c r="A175" s="75" t="s">
        <v>502</v>
      </c>
      <c r="B175" s="59"/>
      <c r="C175" s="57">
        <v>42794</v>
      </c>
      <c r="E175" s="65" t="s">
        <v>29</v>
      </c>
      <c r="F175" s="65" t="s">
        <v>29</v>
      </c>
      <c r="G175" s="58"/>
      <c r="H175" s="58"/>
      <c r="I175" s="60"/>
      <c r="J175" s="58"/>
      <c r="K175" s="58"/>
      <c r="L175" s="58"/>
      <c r="M175" s="58"/>
      <c r="N175" s="251" t="s">
        <v>1882</v>
      </c>
      <c r="O175" s="58" t="s">
        <v>1883</v>
      </c>
      <c r="P175" s="58"/>
      <c r="Q175" s="63" t="str">
        <f>IF(V175&lt;&gt;"","Completed","")</f>
        <v>Completed</v>
      </c>
      <c r="R175" s="64">
        <v>42755</v>
      </c>
      <c r="S175" s="64" t="s">
        <v>57</v>
      </c>
      <c r="T175" s="65">
        <v>50</v>
      </c>
      <c r="U175" s="65">
        <v>87</v>
      </c>
      <c r="V175" s="65">
        <v>87</v>
      </c>
      <c r="Y175" s="74" t="s">
        <v>44</v>
      </c>
      <c r="Z175" s="56" t="s">
        <v>1884</v>
      </c>
      <c r="AA175" s="249"/>
      <c r="AB175" s="65" t="s">
        <v>94</v>
      </c>
      <c r="AC175" s="65" t="s">
        <v>29</v>
      </c>
      <c r="AD175" s="56" t="s">
        <v>1885</v>
      </c>
    </row>
    <row r="176" spans="1:30">
      <c r="A176" s="261" t="s">
        <v>81</v>
      </c>
      <c r="B176" s="63" t="s">
        <v>82</v>
      </c>
      <c r="C176" s="112"/>
      <c r="D176" s="315">
        <v>1008000</v>
      </c>
      <c r="E176" s="57" t="s">
        <v>29</v>
      </c>
      <c r="F176" s="65" t="s">
        <v>29</v>
      </c>
      <c r="G176" s="63" t="s">
        <v>1443</v>
      </c>
      <c r="H176" s="63" t="s">
        <v>1456</v>
      </c>
      <c r="I176" s="58">
        <v>385</v>
      </c>
      <c r="J176" s="58" t="s">
        <v>94</v>
      </c>
      <c r="K176" s="60" t="s">
        <v>29</v>
      </c>
      <c r="L176" s="58" t="s">
        <v>94</v>
      </c>
      <c r="M176" s="58" t="s">
        <v>29</v>
      </c>
      <c r="N176" s="373" t="s">
        <v>1886</v>
      </c>
      <c r="O176" s="373" t="s">
        <v>1887</v>
      </c>
      <c r="P176" s="61" t="s">
        <v>1447</v>
      </c>
      <c r="Q176" s="63" t="str">
        <f>IF(V176&lt;&gt;"","Completed","")</f>
        <v>Completed</v>
      </c>
      <c r="R176" s="57">
        <v>42585</v>
      </c>
      <c r="S176" s="57" t="s">
        <v>80</v>
      </c>
      <c r="T176" s="65">
        <v>74</v>
      </c>
      <c r="U176" s="273">
        <v>118</v>
      </c>
      <c r="V176" s="273">
        <v>118</v>
      </c>
      <c r="W176" s="273"/>
      <c r="X176" s="273"/>
      <c r="Y176" s="74" t="s">
        <v>44</v>
      </c>
      <c r="Z176" s="148" t="s">
        <v>1888</v>
      </c>
      <c r="AA176" s="104"/>
      <c r="AB176" s="242" t="s">
        <v>94</v>
      </c>
      <c r="AC176" s="242" t="s">
        <v>94</v>
      </c>
      <c r="AD176" s="56"/>
    </row>
    <row r="177" spans="1:30">
      <c r="A177" s="75" t="s">
        <v>599</v>
      </c>
      <c r="B177" s="59"/>
      <c r="C177" s="57">
        <v>42676</v>
      </c>
      <c r="E177" s="65" t="s">
        <v>29</v>
      </c>
      <c r="F177" s="65" t="s">
        <v>29</v>
      </c>
      <c r="G177" s="58" t="s">
        <v>1443</v>
      </c>
      <c r="H177" s="58" t="s">
        <v>1444</v>
      </c>
      <c r="I177" s="60">
        <v>0</v>
      </c>
      <c r="J177" s="58" t="s">
        <v>94</v>
      </c>
      <c r="K177" s="58" t="s">
        <v>29</v>
      </c>
      <c r="L177" s="58" t="s">
        <v>94</v>
      </c>
      <c r="M177" s="58" t="s">
        <v>29</v>
      </c>
      <c r="N177" s="61" t="s">
        <v>1889</v>
      </c>
      <c r="O177" s="58" t="s">
        <v>1890</v>
      </c>
      <c r="P177" s="58" t="s">
        <v>1447</v>
      </c>
      <c r="Q177" s="63" t="str">
        <f>IF(V177&lt;&gt;"","Completed","")</f>
        <v>Completed</v>
      </c>
      <c r="R177" s="64">
        <v>42669</v>
      </c>
      <c r="S177" s="64" t="s">
        <v>149</v>
      </c>
      <c r="T177" s="65">
        <v>8</v>
      </c>
      <c r="U177" s="65">
        <v>13</v>
      </c>
      <c r="V177" s="65">
        <v>13</v>
      </c>
      <c r="Y177" s="74" t="s">
        <v>44</v>
      </c>
      <c r="Z177" s="56" t="s">
        <v>1467</v>
      </c>
      <c r="AA177" s="252"/>
      <c r="AB177" s="316" t="s">
        <v>94</v>
      </c>
      <c r="AC177" s="317" t="s">
        <v>94</v>
      </c>
      <c r="AD177" s="349"/>
    </row>
    <row r="178" spans="1:30">
      <c r="A178" s="75" t="s">
        <v>1121</v>
      </c>
      <c r="B178" s="59"/>
      <c r="C178" s="311">
        <v>42723</v>
      </c>
      <c r="E178" s="65" t="s">
        <v>29</v>
      </c>
      <c r="F178" s="65" t="s">
        <v>94</v>
      </c>
      <c r="G178" s="58" t="s">
        <v>1443</v>
      </c>
      <c r="H178" s="58" t="s">
        <v>1456</v>
      </c>
      <c r="I178" s="60">
        <v>262</v>
      </c>
      <c r="J178" s="58" t="s">
        <v>94</v>
      </c>
      <c r="K178" s="58" t="s">
        <v>29</v>
      </c>
      <c r="L178" s="58" t="s">
        <v>94</v>
      </c>
      <c r="M178" s="58" t="s">
        <v>94</v>
      </c>
      <c r="N178" s="61" t="s">
        <v>1891</v>
      </c>
      <c r="O178" s="58" t="s">
        <v>1892</v>
      </c>
      <c r="P178" s="58" t="s">
        <v>1447</v>
      </c>
      <c r="Q178" s="63" t="str">
        <f>IF(V178&lt;&gt;"","Completed","")</f>
        <v>Completed</v>
      </c>
      <c r="R178" s="64">
        <v>42677</v>
      </c>
      <c r="S178" s="64" t="s">
        <v>104</v>
      </c>
      <c r="T178" s="65">
        <v>22</v>
      </c>
      <c r="V178" s="256">
        <v>34</v>
      </c>
      <c r="Y178" s="74" t="s">
        <v>44</v>
      </c>
      <c r="Z178" s="56" t="s">
        <v>1893</v>
      </c>
      <c r="AA178" s="249"/>
      <c r="AB178" s="324" t="s">
        <v>94</v>
      </c>
      <c r="AC178" s="324" t="s">
        <v>94</v>
      </c>
    </row>
    <row r="179" spans="1:30">
      <c r="A179" s="75" t="s">
        <v>973</v>
      </c>
      <c r="B179" s="59"/>
      <c r="C179" s="57">
        <v>42761</v>
      </c>
      <c r="E179" s="65" t="s">
        <v>29</v>
      </c>
      <c r="F179" s="65" t="s">
        <v>29</v>
      </c>
      <c r="G179" s="58" t="s">
        <v>1443</v>
      </c>
      <c r="H179" s="58" t="s">
        <v>1456</v>
      </c>
      <c r="I179" s="60">
        <v>275</v>
      </c>
      <c r="J179" s="58" t="s">
        <v>94</v>
      </c>
      <c r="K179" s="58" t="s">
        <v>29</v>
      </c>
      <c r="L179" s="58" t="s">
        <v>29</v>
      </c>
      <c r="M179" s="58" t="s">
        <v>29</v>
      </c>
      <c r="N179" s="61" t="s">
        <v>1894</v>
      </c>
      <c r="O179" s="58" t="s">
        <v>1895</v>
      </c>
      <c r="P179" s="58" t="s">
        <v>1447</v>
      </c>
      <c r="Q179" s="63" t="str">
        <f>IF(V179&lt;&gt;"","Completed","")</f>
        <v>Completed</v>
      </c>
      <c r="R179" s="64">
        <v>42712</v>
      </c>
      <c r="S179" s="64" t="s">
        <v>43</v>
      </c>
      <c r="T179" s="65">
        <v>26</v>
      </c>
      <c r="U179" s="65">
        <v>52</v>
      </c>
      <c r="V179" s="65">
        <v>52</v>
      </c>
      <c r="Y179" s="74" t="s">
        <v>44</v>
      </c>
      <c r="Z179" s="56" t="s">
        <v>1896</v>
      </c>
      <c r="AA179" s="252"/>
      <c r="AB179" s="65" t="s">
        <v>94</v>
      </c>
      <c r="AC179" s="65" t="s">
        <v>29</v>
      </c>
    </row>
    <row r="180" spans="1:30">
      <c r="A180" s="246" t="s">
        <v>581</v>
      </c>
      <c r="B180" s="148" t="s">
        <v>582</v>
      </c>
      <c r="C180" s="57">
        <v>42738</v>
      </c>
      <c r="E180" s="65" t="s">
        <v>29</v>
      </c>
      <c r="F180" s="65" t="s">
        <v>29</v>
      </c>
      <c r="G180" s="58" t="s">
        <v>1443</v>
      </c>
      <c r="H180" s="58" t="s">
        <v>1444</v>
      </c>
      <c r="I180" s="60">
        <v>280</v>
      </c>
      <c r="J180" s="58" t="s">
        <v>94</v>
      </c>
      <c r="K180" s="58" t="s">
        <v>29</v>
      </c>
      <c r="L180" s="58" t="s">
        <v>29</v>
      </c>
      <c r="M180" s="58" t="s">
        <v>29</v>
      </c>
      <c r="N180" s="61" t="s">
        <v>1897</v>
      </c>
      <c r="O180" s="58" t="s">
        <v>1898</v>
      </c>
      <c r="P180" s="58" t="s">
        <v>1447</v>
      </c>
      <c r="Q180" s="63" t="str">
        <f>IF(V180&lt;&gt;"","Completed","")</f>
        <v>Completed</v>
      </c>
      <c r="R180" s="64">
        <v>42703</v>
      </c>
      <c r="S180" s="64" t="s">
        <v>149</v>
      </c>
      <c r="T180" s="65">
        <v>59</v>
      </c>
      <c r="U180" s="65">
        <v>76</v>
      </c>
      <c r="V180" s="65">
        <v>76</v>
      </c>
      <c r="Y180" s="74" t="s">
        <v>44</v>
      </c>
      <c r="Z180" s="56" t="s">
        <v>1632</v>
      </c>
      <c r="AA180" s="252"/>
      <c r="AB180" s="65" t="s">
        <v>94</v>
      </c>
      <c r="AC180" s="65" t="s">
        <v>94</v>
      </c>
    </row>
    <row r="181" spans="1:30">
      <c r="A181" s="333" t="s">
        <v>124</v>
      </c>
      <c r="B181" s="59"/>
      <c r="C181" s="57">
        <v>42744</v>
      </c>
      <c r="D181" s="65">
        <v>4016000</v>
      </c>
      <c r="E181" s="65" t="s">
        <v>29</v>
      </c>
      <c r="F181" s="65" t="s">
        <v>29</v>
      </c>
      <c r="G181" s="58" t="s">
        <v>1443</v>
      </c>
      <c r="H181" s="58" t="s">
        <v>1444</v>
      </c>
      <c r="I181" s="60">
        <v>119</v>
      </c>
      <c r="J181" s="58" t="s">
        <v>29</v>
      </c>
      <c r="K181" s="58" t="s">
        <v>29</v>
      </c>
      <c r="L181" s="58" t="s">
        <v>94</v>
      </c>
      <c r="M181" s="58" t="s">
        <v>29</v>
      </c>
      <c r="N181" s="61" t="s">
        <v>1899</v>
      </c>
      <c r="O181" s="58" t="s">
        <v>1900</v>
      </c>
      <c r="P181" s="58" t="s">
        <v>1901</v>
      </c>
      <c r="Q181" s="63" t="str">
        <f>IF(V181&lt;&gt;"","Completed","")</f>
        <v>Completed</v>
      </c>
      <c r="R181" s="64">
        <v>42686</v>
      </c>
      <c r="S181" s="64" t="s">
        <v>57</v>
      </c>
      <c r="T181" s="65">
        <v>93</v>
      </c>
      <c r="U181" s="65">
        <v>139</v>
      </c>
      <c r="V181" s="65">
        <v>139</v>
      </c>
      <c r="Y181" s="74" t="s">
        <v>44</v>
      </c>
      <c r="Z181" s="56" t="s">
        <v>1902</v>
      </c>
      <c r="AA181" s="252"/>
      <c r="AB181" s="328" t="s">
        <v>94</v>
      </c>
      <c r="AC181" s="328" t="s">
        <v>94</v>
      </c>
      <c r="AD181" s="56"/>
    </row>
    <row r="182" spans="1:30">
      <c r="A182" s="75" t="s">
        <v>1022</v>
      </c>
      <c r="B182" s="59"/>
      <c r="C182" s="57">
        <v>42724</v>
      </c>
      <c r="E182" s="65" t="s">
        <v>29</v>
      </c>
      <c r="F182" s="65" t="s">
        <v>29</v>
      </c>
      <c r="G182" s="58" t="s">
        <v>1443</v>
      </c>
      <c r="H182" s="58" t="s">
        <v>1456</v>
      </c>
      <c r="I182" s="60">
        <v>397</v>
      </c>
      <c r="J182" s="58" t="s">
        <v>94</v>
      </c>
      <c r="K182" s="58" t="s">
        <v>29</v>
      </c>
      <c r="L182" s="58" t="s">
        <v>94</v>
      </c>
      <c r="M182" s="58" t="s">
        <v>29</v>
      </c>
      <c r="N182" s="61" t="s">
        <v>1903</v>
      </c>
      <c r="O182" s="58" t="s">
        <v>1904</v>
      </c>
      <c r="P182" s="58" t="s">
        <v>1459</v>
      </c>
      <c r="Q182" s="63" t="str">
        <f>IF(V182&lt;&gt;"","Completed","")</f>
        <v>Completed</v>
      </c>
      <c r="R182" s="64">
        <v>42693</v>
      </c>
      <c r="S182" s="64" t="s">
        <v>80</v>
      </c>
      <c r="T182" s="65">
        <v>34</v>
      </c>
      <c r="U182" s="65">
        <v>62</v>
      </c>
      <c r="V182" s="65">
        <v>62</v>
      </c>
      <c r="Y182" s="74" t="s">
        <v>44</v>
      </c>
      <c r="Z182" s="56" t="s">
        <v>1491</v>
      </c>
      <c r="AA182" s="249"/>
      <c r="AB182" s="74" t="s">
        <v>94</v>
      </c>
      <c r="AC182" s="65" t="s">
        <v>29</v>
      </c>
    </row>
    <row r="183" spans="1:30">
      <c r="A183" s="75" t="s">
        <v>187</v>
      </c>
      <c r="B183" s="59"/>
      <c r="C183" s="57">
        <v>42725</v>
      </c>
      <c r="D183" s="65">
        <v>3026000</v>
      </c>
      <c r="E183" s="65" t="s">
        <v>29</v>
      </c>
      <c r="F183" s="65" t="s">
        <v>94</v>
      </c>
      <c r="G183" s="58" t="s">
        <v>1443</v>
      </c>
      <c r="H183" s="58" t="s">
        <v>1456</v>
      </c>
      <c r="I183" s="60">
        <v>302</v>
      </c>
      <c r="J183" s="58" t="s">
        <v>94</v>
      </c>
      <c r="K183" s="58" t="s">
        <v>29</v>
      </c>
      <c r="L183" s="58" t="s">
        <v>94</v>
      </c>
      <c r="M183" s="58" t="s">
        <v>94</v>
      </c>
      <c r="N183" s="61" t="s">
        <v>1905</v>
      </c>
      <c r="O183" s="58" t="s">
        <v>1906</v>
      </c>
      <c r="P183" s="58" t="s">
        <v>1447</v>
      </c>
      <c r="Q183" s="63" t="str">
        <f>IF(V183&lt;&gt;"","Completed","")</f>
        <v>Completed</v>
      </c>
      <c r="R183" s="64">
        <v>42684</v>
      </c>
      <c r="S183" s="64" t="s">
        <v>104</v>
      </c>
      <c r="T183" s="65">
        <v>25</v>
      </c>
      <c r="V183" s="256">
        <v>59</v>
      </c>
      <c r="Y183" s="74" t="s">
        <v>44</v>
      </c>
      <c r="Z183" s="56" t="s">
        <v>1640</v>
      </c>
      <c r="AA183" s="252"/>
      <c r="AB183" s="151" t="s">
        <v>94</v>
      </c>
      <c r="AC183" s="151" t="s">
        <v>29</v>
      </c>
    </row>
    <row r="184" spans="1:30">
      <c r="A184" s="75" t="s">
        <v>736</v>
      </c>
      <c r="B184" s="59"/>
      <c r="C184" s="57">
        <v>42746</v>
      </c>
      <c r="E184" s="65" t="s">
        <v>29</v>
      </c>
      <c r="F184" s="65" t="s">
        <v>29</v>
      </c>
      <c r="G184" s="58" t="s">
        <v>1443</v>
      </c>
      <c r="H184" s="58" t="s">
        <v>1444</v>
      </c>
      <c r="I184" s="60">
        <v>264</v>
      </c>
      <c r="J184" s="58" t="s">
        <v>94</v>
      </c>
      <c r="K184" s="58" t="s">
        <v>29</v>
      </c>
      <c r="L184" s="58" t="s">
        <v>29</v>
      </c>
      <c r="M184" s="58" t="s">
        <v>29</v>
      </c>
      <c r="N184" s="61" t="s">
        <v>1907</v>
      </c>
      <c r="O184" s="58" t="s">
        <v>1908</v>
      </c>
      <c r="P184" s="58" t="s">
        <v>1447</v>
      </c>
      <c r="Q184" s="63" t="str">
        <f>IF(V184&lt;&gt;"","Completed","")</f>
        <v>Completed</v>
      </c>
      <c r="R184" s="64">
        <v>42682</v>
      </c>
      <c r="S184" s="64" t="s">
        <v>433</v>
      </c>
      <c r="T184" s="65">
        <v>61</v>
      </c>
      <c r="U184" s="65">
        <v>97</v>
      </c>
      <c r="V184" s="65">
        <v>97</v>
      </c>
      <c r="Y184" s="74" t="s">
        <v>44</v>
      </c>
      <c r="Z184" s="56" t="s">
        <v>1909</v>
      </c>
      <c r="AA184" s="249"/>
      <c r="AB184" s="74" t="s">
        <v>94</v>
      </c>
      <c r="AC184" s="65" t="s">
        <v>29</v>
      </c>
    </row>
    <row r="185" spans="1:30">
      <c r="A185" s="332" t="s">
        <v>647</v>
      </c>
      <c r="B185" s="59"/>
      <c r="C185" s="57">
        <v>42787</v>
      </c>
      <c r="E185" s="65" t="s">
        <v>29</v>
      </c>
      <c r="F185" s="65" t="s">
        <v>29</v>
      </c>
      <c r="G185" s="58" t="s">
        <v>1443</v>
      </c>
      <c r="H185" s="58" t="s">
        <v>1444</v>
      </c>
      <c r="I185" s="60">
        <v>200</v>
      </c>
      <c r="J185" s="58" t="s">
        <v>29</v>
      </c>
      <c r="K185" s="58" t="s">
        <v>29</v>
      </c>
      <c r="L185" s="58" t="s">
        <v>29</v>
      </c>
      <c r="M185" s="58" t="s">
        <v>29</v>
      </c>
      <c r="N185" s="61" t="s">
        <v>1910</v>
      </c>
      <c r="O185" s="58" t="s">
        <v>1911</v>
      </c>
      <c r="P185" s="58" t="s">
        <v>1459</v>
      </c>
      <c r="Q185" s="63" t="str">
        <f>IF(V185&lt;&gt;"","Completed","")</f>
        <v>Completed</v>
      </c>
      <c r="R185" s="319">
        <v>42742</v>
      </c>
      <c r="S185" s="319" t="s">
        <v>57</v>
      </c>
      <c r="T185" s="65">
        <v>21</v>
      </c>
      <c r="U185" s="65">
        <v>34</v>
      </c>
      <c r="V185" s="65">
        <v>34</v>
      </c>
      <c r="Y185" s="74" t="s">
        <v>44</v>
      </c>
      <c r="Z185" s="56" t="s">
        <v>1912</v>
      </c>
      <c r="AA185" s="252"/>
      <c r="AB185" s="74" t="s">
        <v>94</v>
      </c>
      <c r="AC185" s="65" t="s">
        <v>94</v>
      </c>
    </row>
    <row r="186" spans="1:30">
      <c r="A186" s="332" t="s">
        <v>115</v>
      </c>
      <c r="B186" s="59"/>
      <c r="C186" s="57">
        <v>42733</v>
      </c>
      <c r="D186" s="65">
        <v>3014000</v>
      </c>
      <c r="E186" s="65" t="s">
        <v>29</v>
      </c>
      <c r="F186" s="65" t="s">
        <v>29</v>
      </c>
      <c r="G186" s="58" t="s">
        <v>1443</v>
      </c>
      <c r="H186" s="58" t="s">
        <v>1444</v>
      </c>
      <c r="I186" s="60">
        <v>600</v>
      </c>
      <c r="J186" s="58" t="s">
        <v>94</v>
      </c>
      <c r="K186" s="58" t="s">
        <v>29</v>
      </c>
      <c r="L186" s="58" t="s">
        <v>94</v>
      </c>
      <c r="M186" s="58" t="s">
        <v>29</v>
      </c>
      <c r="N186" s="61" t="s">
        <v>1913</v>
      </c>
      <c r="O186" s="58" t="s">
        <v>1914</v>
      </c>
      <c r="P186" s="58" t="s">
        <v>1459</v>
      </c>
      <c r="Q186" s="63" t="str">
        <f>IF(V186&lt;&gt;"","Completed","")</f>
        <v>Completed</v>
      </c>
      <c r="R186" s="319">
        <v>42668</v>
      </c>
      <c r="S186" s="319" t="s">
        <v>43</v>
      </c>
      <c r="T186" s="242">
        <v>30</v>
      </c>
      <c r="U186" s="242">
        <v>60</v>
      </c>
      <c r="V186" s="242">
        <v>60</v>
      </c>
      <c r="W186" s="242"/>
      <c r="X186" s="242"/>
      <c r="Y186" s="74" t="s">
        <v>44</v>
      </c>
      <c r="Z186" s="56" t="s">
        <v>1605</v>
      </c>
      <c r="AA186" s="249"/>
      <c r="AB186" s="151" t="s">
        <v>94</v>
      </c>
      <c r="AC186" s="65" t="s">
        <v>476</v>
      </c>
    </row>
    <row r="187" spans="1:30">
      <c r="A187" s="75" t="s">
        <v>290</v>
      </c>
      <c r="B187" s="59"/>
      <c r="C187" s="57">
        <v>42709</v>
      </c>
      <c r="D187" s="65">
        <v>4050000</v>
      </c>
      <c r="E187" s="65" t="s">
        <v>29</v>
      </c>
      <c r="F187" s="65" t="s">
        <v>94</v>
      </c>
      <c r="G187" s="58" t="s">
        <v>1443</v>
      </c>
      <c r="H187" s="58" t="s">
        <v>1444</v>
      </c>
      <c r="I187" s="60">
        <v>412</v>
      </c>
      <c r="J187" s="58" t="s">
        <v>94</v>
      </c>
      <c r="K187" s="58" t="s">
        <v>29</v>
      </c>
      <c r="L187" s="58" t="s">
        <v>94</v>
      </c>
      <c r="M187" s="58" t="s">
        <v>94</v>
      </c>
      <c r="N187" s="61" t="s">
        <v>1915</v>
      </c>
      <c r="O187" s="58" t="s">
        <v>1916</v>
      </c>
      <c r="P187" s="58" t="s">
        <v>1459</v>
      </c>
      <c r="Q187" s="63" t="str">
        <f>IF(V187&lt;&gt;"","Completed","")</f>
        <v>Completed</v>
      </c>
      <c r="R187" s="64">
        <v>42663</v>
      </c>
      <c r="S187" s="64" t="s">
        <v>104</v>
      </c>
      <c r="T187" s="151">
        <v>11</v>
      </c>
      <c r="U187" s="151"/>
      <c r="V187" s="256">
        <v>22</v>
      </c>
      <c r="W187" s="151"/>
      <c r="X187" s="151"/>
      <c r="Y187" s="74" t="s">
        <v>44</v>
      </c>
      <c r="Z187" s="56" t="s">
        <v>1754</v>
      </c>
      <c r="AA187" s="249"/>
      <c r="AB187" s="65" t="s">
        <v>94</v>
      </c>
      <c r="AC187" s="65" t="s">
        <v>29</v>
      </c>
    </row>
    <row r="188" spans="1:30">
      <c r="A188" s="75" t="s">
        <v>624</v>
      </c>
      <c r="B188" s="59"/>
      <c r="C188" s="57">
        <v>42677</v>
      </c>
      <c r="E188" s="65" t="s">
        <v>29</v>
      </c>
      <c r="F188" s="65" t="s">
        <v>29</v>
      </c>
      <c r="G188" s="58" t="s">
        <v>1443</v>
      </c>
      <c r="H188" s="58"/>
      <c r="I188" s="60"/>
      <c r="J188" s="58"/>
      <c r="K188" s="58"/>
      <c r="L188" s="58"/>
      <c r="M188" s="58"/>
      <c r="N188" s="61" t="s">
        <v>1917</v>
      </c>
      <c r="O188" s="58" t="s">
        <v>1918</v>
      </c>
      <c r="P188" s="58" t="s">
        <v>1901</v>
      </c>
      <c r="Q188" s="63" t="str">
        <f>IF(V188&lt;&gt;"","Completed","")</f>
        <v>Completed</v>
      </c>
      <c r="R188" s="64">
        <v>42665</v>
      </c>
      <c r="S188" s="64" t="s">
        <v>80</v>
      </c>
      <c r="T188" s="150">
        <v>40</v>
      </c>
      <c r="U188" s="150">
        <v>72</v>
      </c>
      <c r="V188" s="150">
        <v>72</v>
      </c>
      <c r="W188" s="150"/>
      <c r="X188" s="150"/>
      <c r="Y188" s="74" t="s">
        <v>44</v>
      </c>
      <c r="Z188" s="56" t="s">
        <v>1596</v>
      </c>
      <c r="AA188" s="249"/>
      <c r="AB188" s="347" t="s">
        <v>94</v>
      </c>
      <c r="AC188" s="242" t="s">
        <v>29</v>
      </c>
    </row>
    <row r="189" spans="1:30">
      <c r="A189" s="75" t="s">
        <v>359</v>
      </c>
      <c r="B189" s="59"/>
      <c r="C189" s="57">
        <v>42725</v>
      </c>
      <c r="E189" s="65" t="s">
        <v>29</v>
      </c>
      <c r="F189" s="65" t="s">
        <v>94</v>
      </c>
      <c r="G189" s="58" t="s">
        <v>1443</v>
      </c>
      <c r="H189" s="58" t="s">
        <v>1456</v>
      </c>
      <c r="I189" s="60">
        <v>0</v>
      </c>
      <c r="J189" s="58" t="s">
        <v>94</v>
      </c>
      <c r="K189" s="58" t="s">
        <v>29</v>
      </c>
      <c r="L189" s="58" t="s">
        <v>94</v>
      </c>
      <c r="M189" s="58" t="s">
        <v>94</v>
      </c>
      <c r="N189" s="61" t="s">
        <v>1919</v>
      </c>
      <c r="O189" s="58" t="s">
        <v>1920</v>
      </c>
      <c r="P189" s="58" t="s">
        <v>1459</v>
      </c>
      <c r="Q189" s="63" t="str">
        <f>IF(V189&lt;&gt;"","Completed","")</f>
        <v>Completed</v>
      </c>
      <c r="R189" s="64">
        <v>42658</v>
      </c>
      <c r="S189" s="64" t="s">
        <v>104</v>
      </c>
      <c r="T189" s="65">
        <v>24</v>
      </c>
      <c r="V189" s="256">
        <v>44</v>
      </c>
      <c r="Y189" s="74" t="s">
        <v>44</v>
      </c>
      <c r="Z189" s="56" t="s">
        <v>1481</v>
      </c>
      <c r="AA189" s="249"/>
      <c r="AB189" s="65" t="s">
        <v>94</v>
      </c>
      <c r="AC189" s="65" t="s">
        <v>29</v>
      </c>
    </row>
    <row r="190" spans="1:30">
      <c r="A190" s="75" t="s">
        <v>359</v>
      </c>
      <c r="B190" s="59"/>
      <c r="C190" s="57">
        <v>42725</v>
      </c>
      <c r="E190" s="65" t="s">
        <v>29</v>
      </c>
      <c r="F190" s="65" t="s">
        <v>94</v>
      </c>
      <c r="G190" s="58" t="s">
        <v>1443</v>
      </c>
      <c r="H190" s="58" t="s">
        <v>1456</v>
      </c>
      <c r="I190" s="60">
        <v>0</v>
      </c>
      <c r="J190" s="58" t="s">
        <v>29</v>
      </c>
      <c r="K190" s="58" t="s">
        <v>29</v>
      </c>
      <c r="L190" s="58" t="s">
        <v>94</v>
      </c>
      <c r="M190" s="58" t="s">
        <v>94</v>
      </c>
      <c r="N190" s="61" t="s">
        <v>1921</v>
      </c>
      <c r="O190" s="58" t="s">
        <v>1922</v>
      </c>
      <c r="P190" s="58" t="s">
        <v>1459</v>
      </c>
      <c r="Q190" s="63" t="str">
        <f>IF(V190&lt;&gt;"","Completed","")</f>
        <v>Completed</v>
      </c>
      <c r="R190" s="64">
        <v>42658</v>
      </c>
      <c r="S190" s="64" t="s">
        <v>104</v>
      </c>
      <c r="T190" s="65">
        <v>24</v>
      </c>
      <c r="V190" s="256">
        <v>40</v>
      </c>
      <c r="Y190" s="74" t="s">
        <v>44</v>
      </c>
      <c r="Z190" s="56" t="s">
        <v>1481</v>
      </c>
      <c r="AA190" s="249"/>
      <c r="AB190" s="65" t="s">
        <v>94</v>
      </c>
      <c r="AC190" s="65" t="s">
        <v>29</v>
      </c>
    </row>
    <row r="191" spans="1:30" s="66" customFormat="1">
      <c r="A191" s="244" t="s">
        <v>366</v>
      </c>
      <c r="B191" s="62" t="s">
        <v>354</v>
      </c>
      <c r="C191" s="57">
        <v>42741</v>
      </c>
      <c r="D191" s="65"/>
      <c r="E191" s="65" t="s">
        <v>29</v>
      </c>
      <c r="F191" s="65" t="s">
        <v>29</v>
      </c>
      <c r="G191" s="58" t="s">
        <v>1443</v>
      </c>
      <c r="H191" s="58" t="s">
        <v>1449</v>
      </c>
      <c r="I191" s="60">
        <v>278</v>
      </c>
      <c r="J191" s="58" t="s">
        <v>29</v>
      </c>
      <c r="K191" s="58" t="s">
        <v>29</v>
      </c>
      <c r="L191" s="58" t="s">
        <v>29</v>
      </c>
      <c r="M191" s="58" t="s">
        <v>29</v>
      </c>
      <c r="N191" s="61" t="s">
        <v>1923</v>
      </c>
      <c r="O191" s="58" t="s">
        <v>1924</v>
      </c>
      <c r="P191" s="58" t="s">
        <v>1459</v>
      </c>
      <c r="Q191" s="63" t="str">
        <f>IF(V191&lt;&gt;"","Completed","")</f>
        <v>Completed</v>
      </c>
      <c r="R191" s="268">
        <v>42705</v>
      </c>
      <c r="S191" s="268" t="s">
        <v>114</v>
      </c>
      <c r="T191" s="65">
        <v>75</v>
      </c>
      <c r="U191" s="65">
        <v>120</v>
      </c>
      <c r="V191" s="65">
        <v>120</v>
      </c>
      <c r="W191" s="65"/>
      <c r="X191" s="65"/>
      <c r="Y191" s="74" t="s">
        <v>44</v>
      </c>
      <c r="Z191" s="56" t="s">
        <v>1791</v>
      </c>
      <c r="AA191" s="252"/>
      <c r="AB191" s="65" t="s">
        <v>94</v>
      </c>
      <c r="AC191" s="65" t="s">
        <v>29</v>
      </c>
      <c r="AD191" s="345"/>
    </row>
    <row r="192" spans="1:30" s="66" customFormat="1">
      <c r="A192" s="24" t="s">
        <v>1222</v>
      </c>
      <c r="B192" s="62"/>
      <c r="C192" s="57">
        <v>42782</v>
      </c>
      <c r="D192" s="65"/>
      <c r="E192" s="65" t="s">
        <v>29</v>
      </c>
      <c r="F192" s="65" t="s">
        <v>29</v>
      </c>
      <c r="G192" s="58"/>
      <c r="H192" s="58"/>
      <c r="I192" s="60"/>
      <c r="J192" s="58"/>
      <c r="K192" s="58"/>
      <c r="L192" s="58"/>
      <c r="M192" s="58"/>
      <c r="N192" s="251" t="s">
        <v>1925</v>
      </c>
      <c r="O192" s="63" t="s">
        <v>1926</v>
      </c>
      <c r="P192" s="63"/>
      <c r="Q192" s="63" t="str">
        <f>IF(V192&lt;&gt;"","Completed","")</f>
        <v>Completed</v>
      </c>
      <c r="R192" s="67">
        <v>42761</v>
      </c>
      <c r="S192" s="67" t="s">
        <v>43</v>
      </c>
      <c r="T192" s="65">
        <v>108</v>
      </c>
      <c r="U192" s="65">
        <v>176</v>
      </c>
      <c r="V192" s="65">
        <v>176</v>
      </c>
      <c r="W192" s="65"/>
      <c r="X192" s="65"/>
      <c r="Y192" s="74" t="s">
        <v>44</v>
      </c>
      <c r="Z192" s="345" t="s">
        <v>1620</v>
      </c>
      <c r="AA192" s="92">
        <f>SUM(V191:V192)</f>
        <v>296</v>
      </c>
      <c r="AB192" s="151" t="s">
        <v>94</v>
      </c>
      <c r="AC192" s="151" t="s">
        <v>29</v>
      </c>
      <c r="AD192" s="345"/>
    </row>
    <row r="193" spans="1:30" s="66" customFormat="1">
      <c r="A193" s="244" t="s">
        <v>1228</v>
      </c>
      <c r="B193" s="62" t="s">
        <v>371</v>
      </c>
      <c r="C193" s="247">
        <v>42740</v>
      </c>
      <c r="D193" s="65"/>
      <c r="E193" s="65" t="s">
        <v>29</v>
      </c>
      <c r="F193" s="65" t="s">
        <v>29</v>
      </c>
      <c r="G193" s="58" t="s">
        <v>1443</v>
      </c>
      <c r="H193" s="58" t="s">
        <v>1456</v>
      </c>
      <c r="I193" s="60">
        <v>0</v>
      </c>
      <c r="J193" s="58" t="s">
        <v>94</v>
      </c>
      <c r="K193" s="58" t="s">
        <v>29</v>
      </c>
      <c r="L193" s="58" t="s">
        <v>94</v>
      </c>
      <c r="M193" s="58" t="s">
        <v>29</v>
      </c>
      <c r="N193" s="61" t="s">
        <v>1927</v>
      </c>
      <c r="O193" s="58" t="s">
        <v>1928</v>
      </c>
      <c r="P193" s="58" t="s">
        <v>1459</v>
      </c>
      <c r="Q193" s="63" t="str">
        <f>IF(V193&lt;&gt;"","Completed","")</f>
        <v>Completed</v>
      </c>
      <c r="R193" s="64">
        <v>42666</v>
      </c>
      <c r="S193" s="67" t="s">
        <v>43</v>
      </c>
      <c r="T193" s="65">
        <v>49</v>
      </c>
      <c r="U193" s="65">
        <v>80</v>
      </c>
      <c r="V193" s="65">
        <v>80</v>
      </c>
      <c r="W193" s="65"/>
      <c r="X193" s="65"/>
      <c r="Y193" s="74" t="s">
        <v>44</v>
      </c>
      <c r="Z193" s="56" t="s">
        <v>1555</v>
      </c>
      <c r="AA193" s="252"/>
      <c r="AB193" s="151" t="s">
        <v>94</v>
      </c>
      <c r="AC193" s="151" t="s">
        <v>94</v>
      </c>
      <c r="AD193" s="345"/>
    </row>
    <row r="194" spans="1:30" s="66" customFormat="1">
      <c r="A194" s="75" t="s">
        <v>887</v>
      </c>
      <c r="B194" s="59"/>
      <c r="C194" s="57">
        <v>42674</v>
      </c>
      <c r="D194" s="65"/>
      <c r="E194" s="65" t="s">
        <v>29</v>
      </c>
      <c r="F194" s="65" t="s">
        <v>29</v>
      </c>
      <c r="G194" s="58" t="s">
        <v>1443</v>
      </c>
      <c r="H194" s="58" t="s">
        <v>1456</v>
      </c>
      <c r="I194" s="60">
        <v>245</v>
      </c>
      <c r="J194" s="58" t="s">
        <v>94</v>
      </c>
      <c r="K194" s="58" t="s">
        <v>29</v>
      </c>
      <c r="L194" s="58" t="s">
        <v>94</v>
      </c>
      <c r="M194" s="58" t="s">
        <v>29</v>
      </c>
      <c r="N194" s="61" t="s">
        <v>1929</v>
      </c>
      <c r="O194" s="58" t="s">
        <v>1930</v>
      </c>
      <c r="P194" s="58" t="s">
        <v>1459</v>
      </c>
      <c r="Q194" s="63" t="str">
        <f>IF(V194&lt;&gt;"","Completed","")</f>
        <v>Completed</v>
      </c>
      <c r="R194" s="64">
        <v>42657</v>
      </c>
      <c r="S194" s="64" t="s">
        <v>80</v>
      </c>
      <c r="T194" s="65">
        <v>7</v>
      </c>
      <c r="U194" s="65">
        <v>14</v>
      </c>
      <c r="V194" s="65">
        <v>14</v>
      </c>
      <c r="W194" s="65"/>
      <c r="X194" s="65"/>
      <c r="Y194" s="74" t="s">
        <v>44</v>
      </c>
      <c r="Z194" s="56" t="s">
        <v>1777</v>
      </c>
      <c r="AA194" s="252">
        <f>V194</f>
        <v>14</v>
      </c>
      <c r="AB194" s="65" t="s">
        <v>94</v>
      </c>
      <c r="AC194" s="242" t="s">
        <v>29</v>
      </c>
      <c r="AD194" s="345"/>
    </row>
    <row r="195" spans="1:30" s="66" customFormat="1">
      <c r="A195" s="75" t="s">
        <v>496</v>
      </c>
      <c r="B195" s="59"/>
      <c r="C195" s="57">
        <v>42745</v>
      </c>
      <c r="D195" s="65"/>
      <c r="E195" s="65" t="s">
        <v>29</v>
      </c>
      <c r="F195" s="65" t="s">
        <v>29</v>
      </c>
      <c r="G195" s="58" t="s">
        <v>1443</v>
      </c>
      <c r="H195" s="58" t="s">
        <v>1444</v>
      </c>
      <c r="I195" s="60">
        <v>0</v>
      </c>
      <c r="J195" s="58" t="s">
        <v>94</v>
      </c>
      <c r="K195" s="58" t="s">
        <v>29</v>
      </c>
      <c r="L195" s="58" t="s">
        <v>94</v>
      </c>
      <c r="M195" s="58" t="s">
        <v>29</v>
      </c>
      <c r="N195" s="61" t="s">
        <v>1931</v>
      </c>
      <c r="O195" s="294" t="s">
        <v>1932</v>
      </c>
      <c r="P195" s="58" t="s">
        <v>1447</v>
      </c>
      <c r="Q195" s="63" t="str">
        <f>IF(V195&lt;&gt;"","Completed","")</f>
        <v>Completed</v>
      </c>
      <c r="R195" s="64">
        <v>42710</v>
      </c>
      <c r="S195" s="64" t="s">
        <v>57</v>
      </c>
      <c r="T195" s="65">
        <v>50</v>
      </c>
      <c r="U195" s="65">
        <v>95</v>
      </c>
      <c r="V195" s="65">
        <v>95</v>
      </c>
      <c r="W195" s="65"/>
      <c r="X195" s="65"/>
      <c r="Y195" s="74" t="s">
        <v>44</v>
      </c>
      <c r="Z195" s="56" t="s">
        <v>1933</v>
      </c>
      <c r="AA195" s="92">
        <f>V195</f>
        <v>95</v>
      </c>
      <c r="AB195" s="65" t="s">
        <v>94</v>
      </c>
      <c r="AC195" s="65" t="s">
        <v>29</v>
      </c>
      <c r="AD195" s="345"/>
    </row>
    <row r="196" spans="1:30" s="66" customFormat="1">
      <c r="A196" s="338" t="s">
        <v>559</v>
      </c>
      <c r="B196" s="305"/>
      <c r="C196" s="57">
        <v>42793</v>
      </c>
      <c r="D196" s="109"/>
      <c r="E196" s="151" t="s">
        <v>29</v>
      </c>
      <c r="F196" s="151" t="s">
        <v>29</v>
      </c>
      <c r="G196" s="306"/>
      <c r="H196" s="306"/>
      <c r="I196" s="307"/>
      <c r="J196" s="306"/>
      <c r="K196" s="306"/>
      <c r="L196" s="306"/>
      <c r="M196" s="306"/>
      <c r="N196" s="77" t="s">
        <v>1934</v>
      </c>
      <c r="O196" s="78" t="s">
        <v>1935</v>
      </c>
      <c r="P196" s="306"/>
      <c r="Q196" s="63" t="str">
        <f>IF(V196&lt;&gt;"","Completed","")</f>
        <v>Completed</v>
      </c>
      <c r="R196" s="64">
        <v>42756</v>
      </c>
      <c r="S196" s="64" t="s">
        <v>80</v>
      </c>
      <c r="T196" s="65">
        <v>41</v>
      </c>
      <c r="U196" s="65">
        <v>65</v>
      </c>
      <c r="V196" s="65">
        <v>65</v>
      </c>
      <c r="W196" s="65"/>
      <c r="X196" s="65"/>
      <c r="Y196" s="74" t="s">
        <v>44</v>
      </c>
      <c r="Z196" s="56" t="s">
        <v>1668</v>
      </c>
      <c r="AA196" s="252"/>
      <c r="AB196" s="242" t="s">
        <v>94</v>
      </c>
      <c r="AC196" s="347" t="s">
        <v>29</v>
      </c>
      <c r="AD196" s="56"/>
    </row>
    <row r="197" spans="1:30" s="66" customFormat="1">
      <c r="A197" s="331" t="s">
        <v>1206</v>
      </c>
      <c r="B197" s="59"/>
      <c r="C197" s="57">
        <v>42726</v>
      </c>
      <c r="D197" s="65"/>
      <c r="E197" s="65" t="s">
        <v>29</v>
      </c>
      <c r="F197" s="65" t="s">
        <v>29</v>
      </c>
      <c r="G197" s="58" t="s">
        <v>1443</v>
      </c>
      <c r="H197" s="58" t="s">
        <v>1444</v>
      </c>
      <c r="I197" s="60">
        <v>0</v>
      </c>
      <c r="J197" s="58" t="s">
        <v>94</v>
      </c>
      <c r="K197" s="58" t="s">
        <v>29</v>
      </c>
      <c r="L197" s="58" t="s">
        <v>94</v>
      </c>
      <c r="M197" s="58" t="s">
        <v>29</v>
      </c>
      <c r="N197" s="61" t="s">
        <v>1936</v>
      </c>
      <c r="O197" s="58" t="s">
        <v>1937</v>
      </c>
      <c r="P197" s="58" t="s">
        <v>1459</v>
      </c>
      <c r="Q197" s="63" t="str">
        <f>IF(V197&lt;&gt;"","Completed","")</f>
        <v>Completed</v>
      </c>
      <c r="R197" s="64">
        <v>42692</v>
      </c>
      <c r="S197" s="64" t="s">
        <v>57</v>
      </c>
      <c r="T197" s="65">
        <v>22</v>
      </c>
      <c r="U197" s="65">
        <v>43</v>
      </c>
      <c r="V197" s="65">
        <v>43</v>
      </c>
      <c r="W197" s="65"/>
      <c r="X197" s="65"/>
      <c r="Y197" s="74" t="s">
        <v>44</v>
      </c>
      <c r="Z197" s="56" t="s">
        <v>1590</v>
      </c>
      <c r="AA197" s="252"/>
      <c r="AB197" s="74" t="s">
        <v>94</v>
      </c>
      <c r="AC197" s="74" t="s">
        <v>29</v>
      </c>
      <c r="AD197" s="345"/>
    </row>
    <row r="198" spans="1:30">
      <c r="A198" s="332" t="s">
        <v>1087</v>
      </c>
      <c r="B198" s="59"/>
      <c r="C198" s="57">
        <v>42762</v>
      </c>
      <c r="E198" s="65" t="s">
        <v>29</v>
      </c>
      <c r="F198" s="65" t="s">
        <v>94</v>
      </c>
      <c r="G198" s="58"/>
      <c r="H198" s="58"/>
      <c r="I198" s="60"/>
      <c r="J198" s="58"/>
      <c r="K198" s="58"/>
      <c r="L198" s="58"/>
      <c r="M198" s="58"/>
      <c r="N198" s="71" t="s">
        <v>1938</v>
      </c>
      <c r="O198" s="72" t="s">
        <v>1939</v>
      </c>
      <c r="P198" s="58"/>
      <c r="Q198" s="63" t="str">
        <f>IF(V198&lt;&gt;"","Completed","")</f>
        <v>Completed</v>
      </c>
      <c r="R198" s="64">
        <v>42749</v>
      </c>
      <c r="S198" s="64" t="s">
        <v>104</v>
      </c>
      <c r="T198" s="242">
        <v>57</v>
      </c>
      <c r="U198" s="242"/>
      <c r="V198" s="369">
        <v>114</v>
      </c>
      <c r="W198" s="242"/>
      <c r="X198" s="242"/>
      <c r="Y198" s="347" t="s">
        <v>44</v>
      </c>
      <c r="Z198" s="345" t="s">
        <v>1940</v>
      </c>
      <c r="AA198" s="92"/>
      <c r="AB198" s="324" t="s">
        <v>94</v>
      </c>
      <c r="AC198" s="151" t="s">
        <v>29</v>
      </c>
    </row>
    <row r="199" spans="1:30">
      <c r="A199" s="75" t="s">
        <v>624</v>
      </c>
      <c r="B199" s="59"/>
      <c r="C199" s="57">
        <v>42677</v>
      </c>
      <c r="E199" s="65" t="s">
        <v>29</v>
      </c>
      <c r="F199" s="65" t="s">
        <v>29</v>
      </c>
      <c r="G199" s="58" t="s">
        <v>1443</v>
      </c>
      <c r="H199" s="58"/>
      <c r="I199" s="60"/>
      <c r="J199" s="58"/>
      <c r="K199" s="58"/>
      <c r="L199" s="58"/>
      <c r="M199" s="58"/>
      <c r="N199" s="61" t="s">
        <v>1941</v>
      </c>
      <c r="O199" s="58" t="s">
        <v>1942</v>
      </c>
      <c r="P199" s="58" t="s">
        <v>1459</v>
      </c>
      <c r="Q199" s="63" t="str">
        <f>IF(V199&lt;&gt;"","Completed","")</f>
        <v>Completed</v>
      </c>
      <c r="R199" s="64">
        <v>42658</v>
      </c>
      <c r="S199" s="64" t="s">
        <v>80</v>
      </c>
      <c r="T199" s="150">
        <v>89</v>
      </c>
      <c r="U199" s="150">
        <v>134</v>
      </c>
      <c r="V199" s="150">
        <v>134</v>
      </c>
      <c r="W199" s="150"/>
      <c r="X199" s="150"/>
      <c r="Y199" s="74" t="s">
        <v>44</v>
      </c>
      <c r="Z199" s="56" t="s">
        <v>1596</v>
      </c>
      <c r="AA199" s="249"/>
      <c r="AB199" s="347" t="s">
        <v>94</v>
      </c>
      <c r="AC199" s="242" t="s">
        <v>29</v>
      </c>
    </row>
    <row r="200" spans="1:30">
      <c r="A200" s="245" t="s">
        <v>766</v>
      </c>
      <c r="B200" s="62"/>
      <c r="C200" s="57">
        <v>42787</v>
      </c>
      <c r="E200" s="65" t="s">
        <v>29</v>
      </c>
      <c r="F200" s="65" t="s">
        <v>29</v>
      </c>
      <c r="G200" s="58"/>
      <c r="H200" s="58"/>
      <c r="I200" s="60"/>
      <c r="J200" s="58"/>
      <c r="K200" s="58"/>
      <c r="L200" s="58"/>
      <c r="M200" s="58"/>
      <c r="N200" s="61" t="s">
        <v>1943</v>
      </c>
      <c r="O200" s="277" t="s">
        <v>1944</v>
      </c>
      <c r="P200" s="58"/>
      <c r="Q200" s="63" t="str">
        <f>IF(V200&lt;&gt;"","Completed","")</f>
        <v>Completed</v>
      </c>
      <c r="R200" s="64">
        <v>42749</v>
      </c>
      <c r="S200" s="64" t="s">
        <v>57</v>
      </c>
      <c r="T200" s="242">
        <v>100</v>
      </c>
      <c r="U200" s="65">
        <v>179</v>
      </c>
      <c r="V200" s="65">
        <v>179</v>
      </c>
      <c r="Y200" s="74" t="s">
        <v>44</v>
      </c>
      <c r="Z200" s="345" t="s">
        <v>1868</v>
      </c>
      <c r="AA200" s="92"/>
      <c r="AB200" s="65" t="s">
        <v>94</v>
      </c>
      <c r="AC200" s="65" t="s">
        <v>94</v>
      </c>
    </row>
    <row r="201" spans="1:30">
      <c r="A201" s="75" t="s">
        <v>398</v>
      </c>
      <c r="B201" s="59"/>
      <c r="C201" s="57">
        <v>42726</v>
      </c>
      <c r="E201" s="65" t="s">
        <v>29</v>
      </c>
      <c r="F201" s="65" t="s">
        <v>29</v>
      </c>
      <c r="G201" s="58" t="s">
        <v>1443</v>
      </c>
      <c r="H201" s="58" t="s">
        <v>1444</v>
      </c>
      <c r="I201" s="60">
        <v>414</v>
      </c>
      <c r="J201" s="58" t="s">
        <v>29</v>
      </c>
      <c r="K201" s="58" t="s">
        <v>29</v>
      </c>
      <c r="L201" s="58" t="s">
        <v>29</v>
      </c>
      <c r="M201" s="58" t="s">
        <v>29</v>
      </c>
      <c r="N201" s="61" t="s">
        <v>1945</v>
      </c>
      <c r="O201" s="58" t="s">
        <v>1946</v>
      </c>
      <c r="P201" s="58" t="s">
        <v>1459</v>
      </c>
      <c r="Q201" s="63" t="str">
        <f>IF(V201&lt;&gt;"","Completed","")</f>
        <v>Completed</v>
      </c>
      <c r="R201" s="64">
        <v>42644</v>
      </c>
      <c r="S201" s="64" t="s">
        <v>43</v>
      </c>
      <c r="T201" s="65">
        <v>19</v>
      </c>
      <c r="U201" s="65">
        <v>29</v>
      </c>
      <c r="V201" s="65">
        <v>29</v>
      </c>
      <c r="Y201" s="74" t="s">
        <v>44</v>
      </c>
      <c r="Z201" s="56" t="s">
        <v>1742</v>
      </c>
      <c r="AA201" s="252"/>
      <c r="AB201" s="74" t="s">
        <v>94</v>
      </c>
      <c r="AC201" s="65" t="s">
        <v>29</v>
      </c>
    </row>
    <row r="202" spans="1:30">
      <c r="A202" s="75" t="s">
        <v>398</v>
      </c>
      <c r="B202" s="59"/>
      <c r="C202" s="57">
        <v>42726</v>
      </c>
      <c r="E202" s="65" t="s">
        <v>29</v>
      </c>
      <c r="F202" s="65" t="s">
        <v>29</v>
      </c>
      <c r="G202" s="58" t="s">
        <v>1443</v>
      </c>
      <c r="H202" s="58" t="s">
        <v>1444</v>
      </c>
      <c r="I202" s="60">
        <v>0</v>
      </c>
      <c r="J202" s="58" t="s">
        <v>29</v>
      </c>
      <c r="K202" s="58" t="s">
        <v>29</v>
      </c>
      <c r="L202" s="58" t="s">
        <v>29</v>
      </c>
      <c r="M202" s="58" t="s">
        <v>29</v>
      </c>
      <c r="N202" s="61" t="s">
        <v>1947</v>
      </c>
      <c r="O202" s="58" t="s">
        <v>1948</v>
      </c>
      <c r="P202" s="58" t="s">
        <v>1459</v>
      </c>
      <c r="Q202" s="63" t="str">
        <f>IF(V202&lt;&gt;"","Completed","")</f>
        <v>Completed</v>
      </c>
      <c r="R202" s="64">
        <v>42644</v>
      </c>
      <c r="S202" s="64" t="s">
        <v>43</v>
      </c>
      <c r="T202" s="65">
        <v>14</v>
      </c>
      <c r="U202" s="65">
        <v>23</v>
      </c>
      <c r="V202" s="65">
        <v>23</v>
      </c>
      <c r="Y202" s="74" t="s">
        <v>44</v>
      </c>
      <c r="Z202" s="56" t="s">
        <v>1742</v>
      </c>
      <c r="AA202" s="252"/>
      <c r="AB202" s="74" t="s">
        <v>94</v>
      </c>
      <c r="AC202" s="65" t="s">
        <v>29</v>
      </c>
    </row>
    <row r="203" spans="1:30">
      <c r="A203" s="75" t="s">
        <v>398</v>
      </c>
      <c r="B203" s="59"/>
      <c r="C203" s="57">
        <v>42726</v>
      </c>
      <c r="E203" s="65" t="s">
        <v>29</v>
      </c>
      <c r="F203" s="65" t="s">
        <v>29</v>
      </c>
      <c r="G203" s="58" t="s">
        <v>1443</v>
      </c>
      <c r="H203" s="58" t="s">
        <v>1444</v>
      </c>
      <c r="I203" s="60">
        <v>0</v>
      </c>
      <c r="J203" s="58" t="s">
        <v>29</v>
      </c>
      <c r="K203" s="58" t="s">
        <v>29</v>
      </c>
      <c r="L203" s="58" t="s">
        <v>29</v>
      </c>
      <c r="M203" s="58" t="s">
        <v>29</v>
      </c>
      <c r="N203" s="61" t="s">
        <v>1949</v>
      </c>
      <c r="O203" s="58" t="s">
        <v>1950</v>
      </c>
      <c r="P203" s="58" t="s">
        <v>1459</v>
      </c>
      <c r="Q203" s="63" t="str">
        <f>IF(V203&lt;&gt;"","Completed","")</f>
        <v>Completed</v>
      </c>
      <c r="R203" s="64">
        <v>42644</v>
      </c>
      <c r="S203" s="64" t="s">
        <v>43</v>
      </c>
      <c r="T203" s="65">
        <v>14</v>
      </c>
      <c r="U203" s="65">
        <v>25</v>
      </c>
      <c r="V203" s="65">
        <v>25</v>
      </c>
      <c r="Y203" s="74" t="s">
        <v>44</v>
      </c>
      <c r="Z203" s="56" t="s">
        <v>1742</v>
      </c>
      <c r="AA203" s="252"/>
      <c r="AB203" s="74" t="s">
        <v>94</v>
      </c>
      <c r="AC203" s="65" t="s">
        <v>29</v>
      </c>
    </row>
    <row r="204" spans="1:30">
      <c r="A204" s="75" t="s">
        <v>398</v>
      </c>
      <c r="B204" s="59"/>
      <c r="C204" s="57">
        <v>42726</v>
      </c>
      <c r="E204" s="65" t="s">
        <v>29</v>
      </c>
      <c r="F204" s="65" t="s">
        <v>29</v>
      </c>
      <c r="G204" s="58" t="s">
        <v>1443</v>
      </c>
      <c r="H204" s="58" t="s">
        <v>1444</v>
      </c>
      <c r="I204" s="60">
        <v>99</v>
      </c>
      <c r="J204" s="58" t="s">
        <v>94</v>
      </c>
      <c r="K204" s="58" t="s">
        <v>29</v>
      </c>
      <c r="L204" s="58" t="s">
        <v>29</v>
      </c>
      <c r="M204" s="58" t="s">
        <v>29</v>
      </c>
      <c r="N204" s="61" t="s">
        <v>1951</v>
      </c>
      <c r="O204" s="58" t="s">
        <v>1952</v>
      </c>
      <c r="P204" s="58" t="s">
        <v>1459</v>
      </c>
      <c r="Q204" s="63" t="str">
        <f>IF(V204&lt;&gt;"","Completed","")</f>
        <v>Completed</v>
      </c>
      <c r="R204" s="64">
        <v>42644</v>
      </c>
      <c r="S204" s="64" t="s">
        <v>43</v>
      </c>
      <c r="T204" s="65">
        <v>40</v>
      </c>
      <c r="U204" s="65">
        <v>64</v>
      </c>
      <c r="V204" s="65">
        <v>64</v>
      </c>
      <c r="Y204" s="74" t="s">
        <v>44</v>
      </c>
      <c r="Z204" s="56" t="s">
        <v>1671</v>
      </c>
      <c r="AA204" s="252">
        <f>SUM(V201:V204)</f>
        <v>141</v>
      </c>
      <c r="AB204" s="74" t="s">
        <v>94</v>
      </c>
      <c r="AC204" s="65" t="s">
        <v>29</v>
      </c>
    </row>
    <row r="205" spans="1:30">
      <c r="A205" s="75" t="s">
        <v>965</v>
      </c>
      <c r="B205" s="59"/>
      <c r="C205" s="57">
        <v>42716</v>
      </c>
      <c r="E205" s="65" t="s">
        <v>29</v>
      </c>
      <c r="F205" s="65" t="s">
        <v>94</v>
      </c>
      <c r="G205" s="58" t="s">
        <v>1443</v>
      </c>
      <c r="H205" s="58" t="s">
        <v>1456</v>
      </c>
      <c r="I205" s="60">
        <v>191</v>
      </c>
      <c r="J205" s="58" t="s">
        <v>94</v>
      </c>
      <c r="K205" s="58" t="s">
        <v>29</v>
      </c>
      <c r="L205" s="58" t="s">
        <v>94</v>
      </c>
      <c r="M205" s="58" t="s">
        <v>94</v>
      </c>
      <c r="N205" s="61" t="s">
        <v>1953</v>
      </c>
      <c r="O205" s="58" t="s">
        <v>1954</v>
      </c>
      <c r="P205" s="58" t="s">
        <v>1447</v>
      </c>
      <c r="Q205" s="63" t="str">
        <f>IF(V205&lt;&gt;"","Completed","")</f>
        <v>Completed</v>
      </c>
      <c r="R205" s="64">
        <v>42670</v>
      </c>
      <c r="S205" s="64" t="s">
        <v>104</v>
      </c>
      <c r="T205" s="65">
        <v>4</v>
      </c>
      <c r="V205" s="256">
        <v>10</v>
      </c>
      <c r="Y205" s="74" t="s">
        <v>44</v>
      </c>
      <c r="Z205" s="56" t="s">
        <v>1599</v>
      </c>
      <c r="AA205" s="249"/>
      <c r="AB205" s="151" t="s">
        <v>94</v>
      </c>
      <c r="AC205" s="151" t="s">
        <v>94</v>
      </c>
    </row>
    <row r="206" spans="1:30">
      <c r="A206" s="75" t="s">
        <v>273</v>
      </c>
      <c r="B206" s="59"/>
      <c r="C206" s="57">
        <v>42760</v>
      </c>
      <c r="D206" s="65">
        <v>4044000</v>
      </c>
      <c r="E206" s="65" t="s">
        <v>29</v>
      </c>
      <c r="F206" s="65" t="s">
        <v>29</v>
      </c>
      <c r="G206" s="58" t="s">
        <v>1443</v>
      </c>
      <c r="H206" s="58" t="s">
        <v>1456</v>
      </c>
      <c r="I206" s="60">
        <v>499</v>
      </c>
      <c r="J206" s="58" t="s">
        <v>94</v>
      </c>
      <c r="K206" s="58" t="s">
        <v>29</v>
      </c>
      <c r="L206" s="58" t="s">
        <v>94</v>
      </c>
      <c r="M206" s="58" t="s">
        <v>29</v>
      </c>
      <c r="N206" s="61" t="s">
        <v>1955</v>
      </c>
      <c r="O206" s="58" t="s">
        <v>1956</v>
      </c>
      <c r="P206" s="58" t="s">
        <v>1447</v>
      </c>
      <c r="Q206" s="63" t="str">
        <f>IF(V206&lt;&gt;"","Completed","")</f>
        <v>Completed</v>
      </c>
      <c r="R206" s="341">
        <v>42693</v>
      </c>
      <c r="S206" s="341" t="s">
        <v>43</v>
      </c>
      <c r="T206" s="65">
        <v>62</v>
      </c>
      <c r="U206" s="256">
        <v>117</v>
      </c>
      <c r="V206" s="256">
        <v>117</v>
      </c>
      <c r="Y206" s="74" t="s">
        <v>44</v>
      </c>
      <c r="Z206" s="257" t="s">
        <v>1472</v>
      </c>
      <c r="AA206" s="342"/>
      <c r="AB206" s="81" t="s">
        <v>94</v>
      </c>
      <c r="AC206" s="81"/>
    </row>
    <row r="207" spans="1:30">
      <c r="A207" s="75" t="s">
        <v>1087</v>
      </c>
      <c r="B207" s="59"/>
      <c r="C207" s="57">
        <v>42768</v>
      </c>
      <c r="D207" s="65" t="s">
        <v>296</v>
      </c>
      <c r="E207" s="65" t="s">
        <v>29</v>
      </c>
      <c r="F207" s="65" t="s">
        <v>94</v>
      </c>
      <c r="G207" s="58"/>
      <c r="H207" s="58"/>
      <c r="I207" s="60"/>
      <c r="J207" s="58"/>
      <c r="K207" s="58"/>
      <c r="L207" s="58"/>
      <c r="M207" s="58"/>
      <c r="N207" s="71" t="s">
        <v>1957</v>
      </c>
      <c r="O207" s="72" t="s">
        <v>1958</v>
      </c>
      <c r="P207" s="58"/>
      <c r="Q207" s="63" t="str">
        <f>IF(V207&lt;&gt;"","Completed","")</f>
        <v>Completed</v>
      </c>
      <c r="R207" s="64">
        <v>42749</v>
      </c>
      <c r="S207" s="64" t="s">
        <v>104</v>
      </c>
      <c r="T207" s="242">
        <v>18</v>
      </c>
      <c r="U207" s="242"/>
      <c r="V207" s="369">
        <v>34</v>
      </c>
      <c r="W207" s="242"/>
      <c r="X207" s="242"/>
      <c r="Y207" s="347" t="s">
        <v>44</v>
      </c>
      <c r="Z207" s="345" t="s">
        <v>1940</v>
      </c>
      <c r="AA207" s="92"/>
      <c r="AB207" s="65" t="s">
        <v>94</v>
      </c>
      <c r="AC207" s="74" t="s">
        <v>94</v>
      </c>
    </row>
    <row r="208" spans="1:30">
      <c r="A208" s="75" t="s">
        <v>599</v>
      </c>
      <c r="B208" s="59"/>
      <c r="C208" s="57">
        <v>42695</v>
      </c>
      <c r="E208" s="65" t="s">
        <v>29</v>
      </c>
      <c r="F208" s="65" t="s">
        <v>29</v>
      </c>
      <c r="G208" s="58" t="s">
        <v>1443</v>
      </c>
      <c r="H208" s="58" t="s">
        <v>1444</v>
      </c>
      <c r="I208" s="60">
        <v>1</v>
      </c>
      <c r="J208" s="58" t="s">
        <v>29</v>
      </c>
      <c r="K208" s="58" t="s">
        <v>29</v>
      </c>
      <c r="L208" s="58" t="s">
        <v>94</v>
      </c>
      <c r="M208" s="58" t="s">
        <v>29</v>
      </c>
      <c r="N208" s="61" t="s">
        <v>1959</v>
      </c>
      <c r="O208" s="58" t="s">
        <v>1960</v>
      </c>
      <c r="P208" s="58" t="s">
        <v>1447</v>
      </c>
      <c r="Q208" s="63" t="str">
        <f>IF(V208&lt;&gt;"","Completed","")</f>
        <v>Completed</v>
      </c>
      <c r="R208" s="64">
        <v>42675</v>
      </c>
      <c r="S208" s="64" t="s">
        <v>149</v>
      </c>
      <c r="T208" s="65">
        <v>62</v>
      </c>
      <c r="U208" s="65">
        <v>121</v>
      </c>
      <c r="V208" s="65">
        <v>121</v>
      </c>
      <c r="Y208" s="74" t="s">
        <v>44</v>
      </c>
      <c r="Z208" s="56" t="s">
        <v>1961</v>
      </c>
      <c r="AA208" s="252"/>
      <c r="AB208" s="316" t="s">
        <v>94</v>
      </c>
      <c r="AC208" s="317" t="s">
        <v>94</v>
      </c>
      <c r="AD208" s="349"/>
    </row>
    <row r="209" spans="1:30">
      <c r="A209" s="75" t="s">
        <v>703</v>
      </c>
      <c r="B209" s="59"/>
      <c r="C209" s="57">
        <v>42677</v>
      </c>
      <c r="E209" s="65" t="s">
        <v>29</v>
      </c>
      <c r="F209" s="65" t="s">
        <v>29</v>
      </c>
      <c r="G209" s="58" t="s">
        <v>1443</v>
      </c>
      <c r="H209" s="58"/>
      <c r="I209" s="60"/>
      <c r="J209" s="58"/>
      <c r="K209" s="58"/>
      <c r="L209" s="58"/>
      <c r="M209" s="58"/>
      <c r="N209" s="61" t="s">
        <v>1962</v>
      </c>
      <c r="O209" s="271" t="s">
        <v>1963</v>
      </c>
      <c r="P209" s="58"/>
      <c r="Q209" s="63" t="str">
        <f>IF(V209&lt;&gt;"","Completed","")</f>
        <v>Completed</v>
      </c>
      <c r="R209" s="64">
        <v>42658</v>
      </c>
      <c r="S209" s="64" t="s">
        <v>222</v>
      </c>
      <c r="T209" s="65">
        <v>44</v>
      </c>
      <c r="U209" s="65">
        <v>82</v>
      </c>
      <c r="V209" s="65">
        <v>82</v>
      </c>
      <c r="Y209" s="74" t="s">
        <v>44</v>
      </c>
      <c r="Z209" s="56" t="s">
        <v>1596</v>
      </c>
      <c r="AA209" s="249"/>
      <c r="AB209" s="242" t="s">
        <v>94</v>
      </c>
      <c r="AC209" s="74"/>
    </row>
    <row r="210" spans="1:30">
      <c r="A210" s="244" t="s">
        <v>764</v>
      </c>
      <c r="B210" s="62" t="s">
        <v>573</v>
      </c>
      <c r="C210" s="57">
        <v>42716</v>
      </c>
      <c r="E210" s="65" t="s">
        <v>29</v>
      </c>
      <c r="F210" s="65" t="s">
        <v>29</v>
      </c>
      <c r="G210" s="58" t="s">
        <v>1443</v>
      </c>
      <c r="H210" s="58" t="s">
        <v>1456</v>
      </c>
      <c r="I210" s="60">
        <v>87</v>
      </c>
      <c r="J210" s="58" t="s">
        <v>94</v>
      </c>
      <c r="K210" s="58" t="s">
        <v>29</v>
      </c>
      <c r="L210" s="58" t="s">
        <v>29</v>
      </c>
      <c r="M210" s="58" t="s">
        <v>29</v>
      </c>
      <c r="N210" s="61" t="s">
        <v>1964</v>
      </c>
      <c r="O210" s="58" t="s">
        <v>1965</v>
      </c>
      <c r="P210" s="58" t="s">
        <v>1459</v>
      </c>
      <c r="Q210" s="63" t="str">
        <f>IF(V210&lt;&gt;"","Completed","")</f>
        <v>Completed</v>
      </c>
      <c r="R210" s="64">
        <v>42691</v>
      </c>
      <c r="S210" s="64" t="s">
        <v>149</v>
      </c>
      <c r="T210" s="65">
        <v>27</v>
      </c>
      <c r="U210" s="65">
        <v>54</v>
      </c>
      <c r="V210" s="65">
        <v>54</v>
      </c>
      <c r="Y210" s="74" t="s">
        <v>44</v>
      </c>
      <c r="Z210" s="56" t="s">
        <v>1966</v>
      </c>
      <c r="AA210" s="252"/>
      <c r="AB210" s="65" t="s">
        <v>94</v>
      </c>
      <c r="AC210" s="65" t="s">
        <v>29</v>
      </c>
    </row>
    <row r="211" spans="1:30">
      <c r="A211" s="244" t="s">
        <v>1150</v>
      </c>
      <c r="B211" s="62" t="s">
        <v>573</v>
      </c>
      <c r="C211" s="57">
        <v>42710</v>
      </c>
      <c r="E211" s="65" t="s">
        <v>29</v>
      </c>
      <c r="F211" s="65" t="s">
        <v>29</v>
      </c>
      <c r="G211" s="58" t="s">
        <v>1443</v>
      </c>
      <c r="H211" s="58" t="s">
        <v>1456</v>
      </c>
      <c r="I211" s="60">
        <v>253</v>
      </c>
      <c r="J211" s="58" t="s">
        <v>94</v>
      </c>
      <c r="K211" s="58" t="s">
        <v>29</v>
      </c>
      <c r="L211" s="58" t="s">
        <v>29</v>
      </c>
      <c r="M211" s="58" t="s">
        <v>29</v>
      </c>
      <c r="N211" s="61" t="s">
        <v>1967</v>
      </c>
      <c r="O211" s="58" t="s">
        <v>1968</v>
      </c>
      <c r="P211" s="58" t="s">
        <v>1459</v>
      </c>
      <c r="Q211" s="63" t="str">
        <f>IF(V211&lt;&gt;"","Completed","")</f>
        <v>Completed</v>
      </c>
      <c r="R211" s="64">
        <v>42689</v>
      </c>
      <c r="S211" s="64" t="s">
        <v>149</v>
      </c>
      <c r="T211" s="65">
        <v>26</v>
      </c>
      <c r="U211" s="65">
        <v>51</v>
      </c>
      <c r="V211" s="65">
        <v>51</v>
      </c>
      <c r="Y211" s="74" t="s">
        <v>44</v>
      </c>
      <c r="Z211" s="345" t="s">
        <v>1478</v>
      </c>
      <c r="AA211" s="252"/>
      <c r="AB211" s="65" t="s">
        <v>94</v>
      </c>
      <c r="AC211" s="74" t="s">
        <v>94</v>
      </c>
    </row>
    <row r="212" spans="1:30">
      <c r="A212" s="75" t="s">
        <v>273</v>
      </c>
      <c r="B212" s="59"/>
      <c r="C212" s="57">
        <v>42753</v>
      </c>
      <c r="D212" s="65">
        <v>4044000</v>
      </c>
      <c r="E212" s="65" t="s">
        <v>29</v>
      </c>
      <c r="F212" s="65" t="s">
        <v>29</v>
      </c>
      <c r="G212" s="58" t="s">
        <v>1443</v>
      </c>
      <c r="H212" s="58" t="s">
        <v>1456</v>
      </c>
      <c r="I212" s="60">
        <v>591</v>
      </c>
      <c r="J212" s="58" t="s">
        <v>29</v>
      </c>
      <c r="K212" s="58" t="s">
        <v>29</v>
      </c>
      <c r="L212" s="58" t="s">
        <v>94</v>
      </c>
      <c r="M212" s="58" t="s">
        <v>29</v>
      </c>
      <c r="N212" s="61" t="s">
        <v>1969</v>
      </c>
      <c r="O212" s="58" t="s">
        <v>1970</v>
      </c>
      <c r="P212" s="58" t="s">
        <v>1447</v>
      </c>
      <c r="Q212" s="63" t="str">
        <f>IF(V212&lt;&gt;"","Completed","")</f>
        <v>Completed</v>
      </c>
      <c r="R212" s="341">
        <v>42682</v>
      </c>
      <c r="S212" s="341" t="s">
        <v>43</v>
      </c>
      <c r="T212" s="65">
        <v>121</v>
      </c>
      <c r="U212" s="256">
        <v>162</v>
      </c>
      <c r="V212" s="256">
        <v>162</v>
      </c>
      <c r="Y212" s="74" t="s">
        <v>44</v>
      </c>
      <c r="Z212" s="56" t="s">
        <v>1500</v>
      </c>
      <c r="AA212" s="252"/>
      <c r="AB212" s="81" t="s">
        <v>94</v>
      </c>
      <c r="AC212" s="79" t="s">
        <v>94</v>
      </c>
    </row>
    <row r="213" spans="1:30">
      <c r="A213" s="75" t="s">
        <v>824</v>
      </c>
      <c r="B213" s="59"/>
      <c r="C213" s="57">
        <v>42726</v>
      </c>
      <c r="D213" s="150"/>
      <c r="E213" s="65" t="s">
        <v>29</v>
      </c>
      <c r="F213" s="65" t="s">
        <v>29</v>
      </c>
      <c r="G213" s="58" t="s">
        <v>1443</v>
      </c>
      <c r="H213" s="58" t="s">
        <v>1449</v>
      </c>
      <c r="I213" s="60">
        <v>0</v>
      </c>
      <c r="J213" s="58" t="s">
        <v>94</v>
      </c>
      <c r="K213" s="58" t="s">
        <v>29</v>
      </c>
      <c r="L213" s="58" t="s">
        <v>94</v>
      </c>
      <c r="M213" s="58" t="s">
        <v>29</v>
      </c>
      <c r="N213" s="61" t="s">
        <v>1971</v>
      </c>
      <c r="O213" s="58" t="s">
        <v>1972</v>
      </c>
      <c r="P213" s="58" t="s">
        <v>1447</v>
      </c>
      <c r="Q213" s="63" t="str">
        <f>IF(V213&lt;&gt;"","Completed","")</f>
        <v>Completed</v>
      </c>
      <c r="R213" s="64">
        <v>42658</v>
      </c>
      <c r="S213" s="64" t="s">
        <v>43</v>
      </c>
      <c r="T213" s="65">
        <v>33</v>
      </c>
      <c r="U213" s="65">
        <v>54</v>
      </c>
      <c r="V213" s="65">
        <v>54</v>
      </c>
      <c r="Y213" s="74" t="s">
        <v>44</v>
      </c>
      <c r="Z213" s="148" t="s">
        <v>1460</v>
      </c>
      <c r="AA213" s="252"/>
      <c r="AB213" s="324" t="s">
        <v>94</v>
      </c>
      <c r="AC213" s="151" t="s">
        <v>29</v>
      </c>
    </row>
    <row r="214" spans="1:30">
      <c r="A214" s="75" t="s">
        <v>331</v>
      </c>
      <c r="B214" s="59"/>
      <c r="C214" s="57">
        <v>42720</v>
      </c>
      <c r="D214" s="65">
        <v>1061000</v>
      </c>
      <c r="E214" s="65" t="s">
        <v>29</v>
      </c>
      <c r="F214" s="65" t="s">
        <v>94</v>
      </c>
      <c r="G214" s="58" t="s">
        <v>1443</v>
      </c>
      <c r="H214" s="58" t="s">
        <v>1456</v>
      </c>
      <c r="I214" s="60">
        <v>0</v>
      </c>
      <c r="J214" s="58" t="s">
        <v>94</v>
      </c>
      <c r="K214" s="58" t="s">
        <v>29</v>
      </c>
      <c r="L214" s="58" t="s">
        <v>94</v>
      </c>
      <c r="M214" s="58" t="s">
        <v>94</v>
      </c>
      <c r="N214" s="61" t="s">
        <v>1973</v>
      </c>
      <c r="O214" s="58" t="s">
        <v>1974</v>
      </c>
      <c r="P214" s="58" t="s">
        <v>1459</v>
      </c>
      <c r="Q214" s="63" t="str">
        <f>IF(V214&lt;&gt;"","Completed","")</f>
        <v>Completed</v>
      </c>
      <c r="R214" s="64">
        <v>42678</v>
      </c>
      <c r="S214" s="64" t="s">
        <v>104</v>
      </c>
      <c r="T214" s="65">
        <v>55</v>
      </c>
      <c r="V214" s="256">
        <v>113</v>
      </c>
      <c r="Y214" s="74" t="s">
        <v>44</v>
      </c>
      <c r="Z214" s="56" t="s">
        <v>1966</v>
      </c>
      <c r="AA214" s="249"/>
      <c r="AB214" s="151" t="s">
        <v>94</v>
      </c>
      <c r="AC214" s="324" t="s">
        <v>94</v>
      </c>
      <c r="AD214" s="349"/>
    </row>
    <row r="215" spans="1:30">
      <c r="A215" s="261" t="s">
        <v>710</v>
      </c>
      <c r="C215" s="57">
        <v>42782</v>
      </c>
      <c r="E215" s="65" t="s">
        <v>29</v>
      </c>
      <c r="F215" s="65" t="s">
        <v>29</v>
      </c>
      <c r="N215" s="68" t="s">
        <v>1975</v>
      </c>
      <c r="O215" s="90" t="s">
        <v>1976</v>
      </c>
      <c r="Q215" s="63" t="str">
        <f>IF(V215&lt;&gt;"","Completed","")</f>
        <v>Completed</v>
      </c>
      <c r="R215" s="64">
        <v>42770</v>
      </c>
      <c r="S215" s="64" t="s">
        <v>149</v>
      </c>
      <c r="T215" s="242">
        <v>67</v>
      </c>
      <c r="U215" s="242">
        <v>101</v>
      </c>
      <c r="V215" s="242">
        <v>101</v>
      </c>
      <c r="Y215" s="74" t="s">
        <v>44</v>
      </c>
      <c r="Z215" s="345" t="s">
        <v>1620</v>
      </c>
      <c r="AA215" s="92"/>
      <c r="AB215" s="242" t="s">
        <v>94</v>
      </c>
      <c r="AC215" s="242" t="s">
        <v>29</v>
      </c>
    </row>
    <row r="216" spans="1:30">
      <c r="A216" s="75" t="s">
        <v>624</v>
      </c>
      <c r="B216" s="59"/>
      <c r="C216" s="57">
        <v>42677</v>
      </c>
      <c r="E216" s="65" t="s">
        <v>29</v>
      </c>
      <c r="F216" s="65" t="s">
        <v>29</v>
      </c>
      <c r="G216" s="58" t="s">
        <v>1443</v>
      </c>
      <c r="H216" s="58"/>
      <c r="I216" s="60"/>
      <c r="J216" s="58"/>
      <c r="K216" s="58"/>
      <c r="L216" s="58"/>
      <c r="M216" s="58"/>
      <c r="N216" s="61" t="s">
        <v>1977</v>
      </c>
      <c r="O216" s="58" t="s">
        <v>1978</v>
      </c>
      <c r="P216" s="58" t="s">
        <v>1459</v>
      </c>
      <c r="Q216" s="63" t="str">
        <f>IF(V216&lt;&gt;"","Completed","")</f>
        <v>Completed</v>
      </c>
      <c r="R216" s="64">
        <v>42665</v>
      </c>
      <c r="S216" s="64" t="s">
        <v>80</v>
      </c>
      <c r="T216" s="150">
        <v>66</v>
      </c>
      <c r="U216" s="150">
        <v>98</v>
      </c>
      <c r="V216" s="150">
        <v>98</v>
      </c>
      <c r="W216" s="150"/>
      <c r="X216" s="150"/>
      <c r="Y216" s="74" t="s">
        <v>44</v>
      </c>
      <c r="Z216" s="56" t="s">
        <v>1596</v>
      </c>
      <c r="AA216" s="249"/>
      <c r="AB216" s="347" t="s">
        <v>94</v>
      </c>
      <c r="AC216" s="242" t="s">
        <v>94</v>
      </c>
    </row>
    <row r="217" spans="1:30">
      <c r="A217" s="75" t="s">
        <v>736</v>
      </c>
      <c r="B217" s="59"/>
      <c r="C217" s="247">
        <v>42740</v>
      </c>
      <c r="E217" s="65" t="s">
        <v>29</v>
      </c>
      <c r="F217" s="65" t="s">
        <v>29</v>
      </c>
      <c r="G217" s="58" t="s">
        <v>1443</v>
      </c>
      <c r="H217" s="58" t="s">
        <v>1444</v>
      </c>
      <c r="I217" s="60">
        <v>212</v>
      </c>
      <c r="J217" s="58" t="s">
        <v>94</v>
      </c>
      <c r="K217" s="58" t="s">
        <v>29</v>
      </c>
      <c r="L217" s="58" t="s">
        <v>29</v>
      </c>
      <c r="M217" s="58" t="s">
        <v>29</v>
      </c>
      <c r="N217" s="61" t="s">
        <v>1979</v>
      </c>
      <c r="O217" s="58" t="s">
        <v>1980</v>
      </c>
      <c r="P217" s="58" t="s">
        <v>1447</v>
      </c>
      <c r="Q217" s="63" t="str">
        <f>IF(V217&lt;&gt;"","Completed","")</f>
        <v>Completed</v>
      </c>
      <c r="R217" s="64">
        <v>42682</v>
      </c>
      <c r="S217" s="64" t="s">
        <v>433</v>
      </c>
      <c r="T217" s="65">
        <v>48</v>
      </c>
      <c r="U217" s="65">
        <v>79</v>
      </c>
      <c r="V217" s="65">
        <v>79</v>
      </c>
      <c r="Y217" s="74" t="s">
        <v>44</v>
      </c>
      <c r="Z217" s="56" t="s">
        <v>1981</v>
      </c>
      <c r="AA217" s="249"/>
      <c r="AB217" s="242" t="s">
        <v>94</v>
      </c>
    </row>
    <row r="218" spans="1:30">
      <c r="A218" s="75" t="s">
        <v>838</v>
      </c>
      <c r="B218" s="59"/>
      <c r="C218" s="57">
        <v>42655</v>
      </c>
      <c r="E218" s="65" t="s">
        <v>29</v>
      </c>
      <c r="F218" s="65" t="s">
        <v>29</v>
      </c>
      <c r="G218" s="58" t="s">
        <v>1482</v>
      </c>
      <c r="H218" s="58"/>
      <c r="I218" s="60"/>
      <c r="J218" s="58"/>
      <c r="K218" s="58"/>
      <c r="L218" s="58"/>
      <c r="M218" s="58"/>
      <c r="N218" s="61" t="s">
        <v>1982</v>
      </c>
      <c r="O218" s="58" t="s">
        <v>1983</v>
      </c>
      <c r="P218" s="58"/>
      <c r="Q218" s="63" t="str">
        <f>IF(V218&lt;&gt;"","Completed","")</f>
        <v>Completed</v>
      </c>
      <c r="R218" s="64">
        <v>42640</v>
      </c>
      <c r="S218" s="64" t="s">
        <v>222</v>
      </c>
      <c r="T218" s="65">
        <v>23</v>
      </c>
      <c r="U218" s="65">
        <f>72/2</f>
        <v>36</v>
      </c>
      <c r="V218" s="65">
        <f>72/2</f>
        <v>36</v>
      </c>
      <c r="Y218" s="74" t="s">
        <v>44</v>
      </c>
      <c r="Z218" s="56" t="s">
        <v>1663</v>
      </c>
      <c r="AA218" s="252"/>
      <c r="AB218" s="242" t="s">
        <v>94</v>
      </c>
    </row>
    <row r="219" spans="1:30">
      <c r="A219" s="75" t="s">
        <v>359</v>
      </c>
      <c r="B219" s="59"/>
      <c r="C219" s="57">
        <v>42720</v>
      </c>
      <c r="E219" s="65" t="s">
        <v>29</v>
      </c>
      <c r="F219" s="65" t="s">
        <v>94</v>
      </c>
      <c r="G219" s="58" t="s">
        <v>1443</v>
      </c>
      <c r="H219" s="58" t="s">
        <v>1456</v>
      </c>
      <c r="I219" s="60">
        <v>0</v>
      </c>
      <c r="J219" s="58" t="s">
        <v>94</v>
      </c>
      <c r="K219" s="58" t="s">
        <v>29</v>
      </c>
      <c r="L219" s="58" t="s">
        <v>94</v>
      </c>
      <c r="M219" s="58" t="s">
        <v>94</v>
      </c>
      <c r="N219" s="61" t="s">
        <v>1984</v>
      </c>
      <c r="O219" s="58" t="s">
        <v>1983</v>
      </c>
      <c r="P219" s="58" t="s">
        <v>1459</v>
      </c>
      <c r="Q219" s="63" t="str">
        <f>IF(V219&lt;&gt;"","Completed","")</f>
        <v>Completed</v>
      </c>
      <c r="R219" s="64">
        <v>42658</v>
      </c>
      <c r="S219" s="64" t="s">
        <v>104</v>
      </c>
      <c r="T219" s="65">
        <v>6</v>
      </c>
      <c r="V219" s="256">
        <v>11</v>
      </c>
      <c r="Y219" s="74" t="s">
        <v>44</v>
      </c>
      <c r="Z219" s="56" t="s">
        <v>1481</v>
      </c>
      <c r="AA219" s="249"/>
      <c r="AB219" s="151" t="s">
        <v>94</v>
      </c>
      <c r="AC219" s="151" t="s">
        <v>29</v>
      </c>
    </row>
    <row r="220" spans="1:30">
      <c r="A220" s="75" t="s">
        <v>1022</v>
      </c>
      <c r="B220" s="59"/>
      <c r="C220" s="57">
        <v>42740</v>
      </c>
      <c r="E220" s="65" t="s">
        <v>29</v>
      </c>
      <c r="F220" s="65" t="s">
        <v>29</v>
      </c>
      <c r="G220" s="58" t="s">
        <v>1443</v>
      </c>
      <c r="H220" s="58" t="s">
        <v>1456</v>
      </c>
      <c r="I220" s="60">
        <v>0</v>
      </c>
      <c r="J220" s="58" t="s">
        <v>29</v>
      </c>
      <c r="K220" s="58" t="s">
        <v>29</v>
      </c>
      <c r="L220" s="58" t="s">
        <v>94</v>
      </c>
      <c r="M220" s="58" t="s">
        <v>29</v>
      </c>
      <c r="N220" s="61" t="s">
        <v>1985</v>
      </c>
      <c r="O220" s="58" t="s">
        <v>1986</v>
      </c>
      <c r="P220" s="58" t="s">
        <v>1459</v>
      </c>
      <c r="Q220" s="63" t="str">
        <f>IF(V220&lt;&gt;"","Completed","")</f>
        <v>Completed</v>
      </c>
      <c r="R220" s="64">
        <v>42693</v>
      </c>
      <c r="S220" s="64" t="s">
        <v>80</v>
      </c>
      <c r="T220" s="65">
        <v>98</v>
      </c>
      <c r="U220" s="65">
        <v>151</v>
      </c>
      <c r="V220" s="65">
        <v>151</v>
      </c>
      <c r="Y220" s="74" t="s">
        <v>44</v>
      </c>
      <c r="Z220" s="56" t="s">
        <v>1491</v>
      </c>
      <c r="AA220" s="249"/>
      <c r="AB220" s="74" t="s">
        <v>94</v>
      </c>
      <c r="AC220" s="65" t="s">
        <v>29</v>
      </c>
    </row>
    <row r="221" spans="1:30">
      <c r="A221" s="75" t="s">
        <v>979</v>
      </c>
      <c r="B221" s="59"/>
      <c r="C221" s="57">
        <v>42698</v>
      </c>
      <c r="E221" s="65" t="s">
        <v>29</v>
      </c>
      <c r="F221" s="65" t="s">
        <v>29</v>
      </c>
      <c r="G221" s="58" t="s">
        <v>1443</v>
      </c>
      <c r="H221" s="58" t="s">
        <v>1456</v>
      </c>
      <c r="I221" s="60">
        <v>430</v>
      </c>
      <c r="J221" s="58" t="s">
        <v>94</v>
      </c>
      <c r="K221" s="58" t="s">
        <v>29</v>
      </c>
      <c r="L221" s="58" t="s">
        <v>94</v>
      </c>
      <c r="M221" s="58" t="s">
        <v>29</v>
      </c>
      <c r="N221" s="61" t="s">
        <v>1987</v>
      </c>
      <c r="O221" s="58" t="s">
        <v>1988</v>
      </c>
      <c r="P221" s="58" t="s">
        <v>1447</v>
      </c>
      <c r="Q221" s="63" t="str">
        <f>IF(V221&lt;&gt;"","Completed","")</f>
        <v>Completed</v>
      </c>
      <c r="R221" s="64">
        <v>42661</v>
      </c>
      <c r="S221" s="64" t="s">
        <v>43</v>
      </c>
      <c r="T221" s="65">
        <v>85</v>
      </c>
      <c r="U221" s="65">
        <v>131</v>
      </c>
      <c r="V221" s="65">
        <v>131</v>
      </c>
      <c r="Y221" s="74" t="s">
        <v>44</v>
      </c>
      <c r="Z221" s="56" t="s">
        <v>1546</v>
      </c>
      <c r="AA221" s="249"/>
      <c r="AB221" s="242" t="s">
        <v>94</v>
      </c>
      <c r="AC221" s="151"/>
    </row>
    <row r="222" spans="1:30">
      <c r="A222" s="75" t="s">
        <v>550</v>
      </c>
      <c r="B222" s="59"/>
      <c r="C222" s="57">
        <v>42725</v>
      </c>
      <c r="E222" s="65" t="s">
        <v>29</v>
      </c>
      <c r="F222" s="65" t="s">
        <v>29</v>
      </c>
      <c r="G222" s="58" t="s">
        <v>1443</v>
      </c>
      <c r="H222" s="58" t="s">
        <v>1449</v>
      </c>
      <c r="I222" s="60">
        <v>252</v>
      </c>
      <c r="J222" s="58" t="s">
        <v>94</v>
      </c>
      <c r="K222" s="58" t="s">
        <v>29</v>
      </c>
      <c r="L222" s="58" t="s">
        <v>94</v>
      </c>
      <c r="M222" s="58" t="s">
        <v>29</v>
      </c>
      <c r="N222" s="61" t="s">
        <v>1989</v>
      </c>
      <c r="O222" s="58" t="s">
        <v>1990</v>
      </c>
      <c r="P222" s="58" t="s">
        <v>1447</v>
      </c>
      <c r="Q222" s="63" t="str">
        <f>IF(V222&lt;&gt;"","Completed","")</f>
        <v>Completed</v>
      </c>
      <c r="R222" s="64">
        <v>42685</v>
      </c>
      <c r="S222" s="24" t="s">
        <v>558</v>
      </c>
      <c r="T222" s="65">
        <v>29</v>
      </c>
      <c r="U222" s="65">
        <v>49</v>
      </c>
      <c r="V222" s="65">
        <v>49</v>
      </c>
      <c r="Y222" s="74" t="s">
        <v>44</v>
      </c>
      <c r="Z222" s="56" t="s">
        <v>1640</v>
      </c>
      <c r="AA222" s="249"/>
      <c r="AB222" s="65" t="s">
        <v>94</v>
      </c>
      <c r="AC222" s="65" t="s">
        <v>29</v>
      </c>
    </row>
    <row r="223" spans="1:30">
      <c r="A223" s="332" t="s">
        <v>435</v>
      </c>
      <c r="B223" s="59"/>
      <c r="C223" s="57">
        <v>42655</v>
      </c>
      <c r="E223" s="65" t="s">
        <v>29</v>
      </c>
      <c r="F223" s="65" t="s">
        <v>29</v>
      </c>
      <c r="G223" s="58" t="s">
        <v>1443</v>
      </c>
      <c r="H223" s="58" t="s">
        <v>1444</v>
      </c>
      <c r="I223" s="60">
        <v>0</v>
      </c>
      <c r="J223" s="58" t="s">
        <v>94</v>
      </c>
      <c r="K223" s="58" t="s">
        <v>29</v>
      </c>
      <c r="L223" s="58" t="s">
        <v>29</v>
      </c>
      <c r="M223" s="58" t="s">
        <v>29</v>
      </c>
      <c r="N223" s="375" t="s">
        <v>1991</v>
      </c>
      <c r="O223" s="373" t="s">
        <v>1992</v>
      </c>
      <c r="P223" s="58" t="s">
        <v>1459</v>
      </c>
      <c r="Q223" s="63" t="str">
        <f>IF(V223&lt;&gt;"","Completed","")</f>
        <v>Completed</v>
      </c>
      <c r="R223" s="64">
        <v>42630</v>
      </c>
      <c r="S223" s="64" t="s">
        <v>80</v>
      </c>
      <c r="T223" s="323">
        <v>40</v>
      </c>
      <c r="U223" s="323">
        <v>79</v>
      </c>
      <c r="V223" s="323">
        <v>79</v>
      </c>
      <c r="W223" s="150"/>
      <c r="X223" s="150"/>
      <c r="Y223" s="74" t="s">
        <v>44</v>
      </c>
      <c r="Z223" s="56" t="s">
        <v>1663</v>
      </c>
      <c r="AA223" s="252"/>
      <c r="AB223" s="347" t="s">
        <v>94</v>
      </c>
      <c r="AC223" s="242" t="s">
        <v>29</v>
      </c>
    </row>
    <row r="224" spans="1:30">
      <c r="A224" s="75" t="s">
        <v>273</v>
      </c>
      <c r="B224" s="59"/>
      <c r="C224" s="57">
        <v>42765</v>
      </c>
      <c r="D224" s="65">
        <v>4044000</v>
      </c>
      <c r="E224" s="65" t="s">
        <v>29</v>
      </c>
      <c r="F224" s="65" t="s">
        <v>29</v>
      </c>
      <c r="G224" s="58" t="s">
        <v>1443</v>
      </c>
      <c r="H224" s="58" t="s">
        <v>1456</v>
      </c>
      <c r="I224" s="60">
        <v>0</v>
      </c>
      <c r="J224" s="58" t="s">
        <v>94</v>
      </c>
      <c r="K224" s="58" t="s">
        <v>29</v>
      </c>
      <c r="L224" s="58" t="s">
        <v>94</v>
      </c>
      <c r="M224" s="58" t="s">
        <v>29</v>
      </c>
      <c r="N224" s="61" t="s">
        <v>1993</v>
      </c>
      <c r="O224" s="58" t="s">
        <v>1994</v>
      </c>
      <c r="P224" s="58" t="s">
        <v>1447</v>
      </c>
      <c r="Q224" s="63" t="str">
        <f>IF(V224&lt;&gt;"","Completed","")</f>
        <v>Completed</v>
      </c>
      <c r="R224" s="341">
        <v>42707</v>
      </c>
      <c r="S224" s="341" t="s">
        <v>43</v>
      </c>
      <c r="T224" s="65">
        <v>16</v>
      </c>
      <c r="U224" s="256">
        <v>29</v>
      </c>
      <c r="V224" s="256">
        <v>29</v>
      </c>
      <c r="Y224" s="74" t="s">
        <v>44</v>
      </c>
      <c r="Z224" s="56" t="s">
        <v>1647</v>
      </c>
      <c r="AA224" s="252"/>
      <c r="AB224" s="81" t="s">
        <v>94</v>
      </c>
      <c r="AC224" s="79"/>
    </row>
    <row r="225" spans="1:30">
      <c r="A225" s="75" t="s">
        <v>1039</v>
      </c>
      <c r="B225" s="59"/>
      <c r="C225" s="57">
        <v>42769</v>
      </c>
      <c r="E225" s="65" t="s">
        <v>29</v>
      </c>
      <c r="F225" s="65" t="s">
        <v>29</v>
      </c>
      <c r="G225" s="58" t="s">
        <v>1443</v>
      </c>
      <c r="H225" s="58" t="s">
        <v>1456</v>
      </c>
      <c r="I225" s="60">
        <v>500</v>
      </c>
      <c r="J225" s="58" t="s">
        <v>29</v>
      </c>
      <c r="K225" s="58" t="s">
        <v>29</v>
      </c>
      <c r="L225" s="58" t="s">
        <v>94</v>
      </c>
      <c r="M225" s="58" t="s">
        <v>29</v>
      </c>
      <c r="N225" s="61" t="s">
        <v>1995</v>
      </c>
      <c r="O225" s="58" t="s">
        <v>1996</v>
      </c>
      <c r="P225" s="58" t="s">
        <v>1447</v>
      </c>
      <c r="Q225" s="63" t="str">
        <f>IF(V225&lt;&gt;"","Completed","")</f>
        <v>Completed</v>
      </c>
      <c r="R225" s="64">
        <v>42714</v>
      </c>
      <c r="S225" s="64" t="s">
        <v>57</v>
      </c>
      <c r="T225" s="65">
        <v>73</v>
      </c>
      <c r="U225" s="65">
        <v>118</v>
      </c>
      <c r="V225" s="65">
        <v>118</v>
      </c>
      <c r="Y225" s="74" t="s">
        <v>44</v>
      </c>
      <c r="Z225" s="56" t="s">
        <v>1472</v>
      </c>
      <c r="AA225" s="249"/>
      <c r="AB225" s="65" t="s">
        <v>94</v>
      </c>
      <c r="AC225" s="74" t="s">
        <v>29</v>
      </c>
    </row>
    <row r="226" spans="1:30">
      <c r="A226" s="332" t="s">
        <v>444</v>
      </c>
      <c r="B226" s="59"/>
      <c r="C226" s="57">
        <v>42674</v>
      </c>
      <c r="E226" s="65" t="s">
        <v>29</v>
      </c>
      <c r="F226" s="242" t="s">
        <v>29</v>
      </c>
      <c r="G226" s="58" t="s">
        <v>1443</v>
      </c>
      <c r="H226" s="58" t="s">
        <v>1456</v>
      </c>
      <c r="I226" s="60">
        <v>0</v>
      </c>
      <c r="J226" s="58" t="s">
        <v>29</v>
      </c>
      <c r="K226" s="58" t="s">
        <v>29</v>
      </c>
      <c r="L226" s="58" t="s">
        <v>94</v>
      </c>
      <c r="M226" s="58" t="s">
        <v>29</v>
      </c>
      <c r="N226" s="375" t="s">
        <v>1997</v>
      </c>
      <c r="O226" s="373" t="s">
        <v>1998</v>
      </c>
      <c r="P226" s="58" t="s">
        <v>1459</v>
      </c>
      <c r="Q226" s="63" t="str">
        <f>IF(V226&lt;&gt;"","Completed","")</f>
        <v>Completed</v>
      </c>
      <c r="R226" s="64">
        <v>42651</v>
      </c>
      <c r="S226" s="64" t="s">
        <v>80</v>
      </c>
      <c r="T226" s="242">
        <v>40</v>
      </c>
      <c r="U226" s="242">
        <v>79</v>
      </c>
      <c r="V226" s="242">
        <v>79</v>
      </c>
      <c r="Y226" s="74" t="s">
        <v>44</v>
      </c>
      <c r="Z226" s="56" t="s">
        <v>1777</v>
      </c>
      <c r="AA226" s="249"/>
      <c r="AB226" s="242" t="s">
        <v>94</v>
      </c>
      <c r="AC226" s="242" t="s">
        <v>29</v>
      </c>
    </row>
    <row r="227" spans="1:30">
      <c r="A227" s="75" t="s">
        <v>452</v>
      </c>
      <c r="B227" s="59"/>
      <c r="C227" s="57">
        <v>42720</v>
      </c>
      <c r="E227" s="65" t="s">
        <v>29</v>
      </c>
      <c r="F227" s="65" t="s">
        <v>29</v>
      </c>
      <c r="G227" s="58" t="s">
        <v>1443</v>
      </c>
      <c r="H227" s="58" t="s">
        <v>1456</v>
      </c>
      <c r="I227" s="60">
        <v>0</v>
      </c>
      <c r="J227" s="58" t="s">
        <v>29</v>
      </c>
      <c r="K227" s="58" t="s">
        <v>29</v>
      </c>
      <c r="L227" s="58" t="s">
        <v>94</v>
      </c>
      <c r="M227" s="58" t="s">
        <v>29</v>
      </c>
      <c r="N227" s="61" t="s">
        <v>1999</v>
      </c>
      <c r="O227" s="58" t="s">
        <v>2000</v>
      </c>
      <c r="P227" s="58" t="s">
        <v>1459</v>
      </c>
      <c r="Q227" s="63" t="str">
        <f>IF(V227&lt;&gt;"","Completed","")</f>
        <v>Completed</v>
      </c>
      <c r="R227" s="64">
        <v>42658</v>
      </c>
      <c r="S227" s="64" t="s">
        <v>433</v>
      </c>
      <c r="T227" s="65">
        <v>49</v>
      </c>
      <c r="U227" s="65">
        <v>93</v>
      </c>
      <c r="V227" s="65">
        <v>93</v>
      </c>
      <c r="Y227" s="74" t="s">
        <v>44</v>
      </c>
      <c r="Z227" s="56" t="s">
        <v>1488</v>
      </c>
      <c r="AA227" s="252"/>
      <c r="AB227" s="151" t="s">
        <v>94</v>
      </c>
      <c r="AC227" s="151" t="s">
        <v>29</v>
      </c>
    </row>
    <row r="228" spans="1:30">
      <c r="A228" s="75" t="s">
        <v>273</v>
      </c>
      <c r="B228" s="59"/>
      <c r="C228" s="57">
        <v>42762</v>
      </c>
      <c r="D228" s="65">
        <v>4044000</v>
      </c>
      <c r="E228" s="65" t="s">
        <v>29</v>
      </c>
      <c r="F228" s="65" t="s">
        <v>29</v>
      </c>
      <c r="G228" s="58" t="s">
        <v>1443</v>
      </c>
      <c r="H228" s="58" t="s">
        <v>1456</v>
      </c>
      <c r="I228" s="60">
        <v>615</v>
      </c>
      <c r="J228" s="58" t="s">
        <v>94</v>
      </c>
      <c r="K228" s="58" t="s">
        <v>29</v>
      </c>
      <c r="L228" s="58" t="s">
        <v>94</v>
      </c>
      <c r="M228" s="58" t="s">
        <v>29</v>
      </c>
      <c r="N228" s="61" t="s">
        <v>2001</v>
      </c>
      <c r="O228" s="58" t="s">
        <v>2002</v>
      </c>
      <c r="P228" s="58" t="s">
        <v>1447</v>
      </c>
      <c r="Q228" s="63" t="str">
        <f>IF(V228&lt;&gt;"","Completed","")</f>
        <v>Completed</v>
      </c>
      <c r="R228" s="341">
        <v>42693</v>
      </c>
      <c r="S228" s="341" t="s">
        <v>43</v>
      </c>
      <c r="T228" s="65">
        <v>61</v>
      </c>
      <c r="U228" s="256">
        <v>89</v>
      </c>
      <c r="V228" s="256">
        <v>89</v>
      </c>
      <c r="Y228" s="74" t="s">
        <v>44</v>
      </c>
      <c r="Z228" s="257" t="s">
        <v>1896</v>
      </c>
      <c r="AA228" s="342"/>
      <c r="AB228" s="81" t="s">
        <v>94</v>
      </c>
      <c r="AC228" s="79" t="s">
        <v>29</v>
      </c>
    </row>
    <row r="229" spans="1:30">
      <c r="A229" s="244" t="s">
        <v>461</v>
      </c>
      <c r="B229" s="62" t="s">
        <v>462</v>
      </c>
      <c r="C229" s="57">
        <v>42741</v>
      </c>
      <c r="E229" s="65" t="s">
        <v>29</v>
      </c>
      <c r="F229" s="65" t="s">
        <v>29</v>
      </c>
      <c r="G229" s="58" t="s">
        <v>1443</v>
      </c>
      <c r="H229" s="58" t="s">
        <v>1449</v>
      </c>
      <c r="I229" s="60">
        <v>205</v>
      </c>
      <c r="J229" s="58" t="s">
        <v>29</v>
      </c>
      <c r="K229" s="58" t="s">
        <v>29</v>
      </c>
      <c r="L229" s="58" t="s">
        <v>29</v>
      </c>
      <c r="M229" s="58" t="s">
        <v>29</v>
      </c>
      <c r="N229" s="61" t="s">
        <v>2003</v>
      </c>
      <c r="O229" s="58" t="s">
        <v>2004</v>
      </c>
      <c r="P229" s="58" t="s">
        <v>1459</v>
      </c>
      <c r="Q229" s="63" t="str">
        <f>IF(V229&lt;&gt;"","Completed","")</f>
        <v>Completed</v>
      </c>
      <c r="R229" s="64">
        <v>42683</v>
      </c>
      <c r="S229" s="64" t="s">
        <v>57</v>
      </c>
      <c r="T229" s="65">
        <v>53</v>
      </c>
      <c r="U229" s="65">
        <v>106</v>
      </c>
      <c r="V229" s="65">
        <v>106</v>
      </c>
      <c r="Y229" s="74" t="s">
        <v>44</v>
      </c>
      <c r="Z229" s="56" t="s">
        <v>1590</v>
      </c>
      <c r="AA229" s="249">
        <f>V229</f>
        <v>106</v>
      </c>
      <c r="AB229" s="151" t="s">
        <v>94</v>
      </c>
      <c r="AC229" s="151" t="s">
        <v>29</v>
      </c>
    </row>
    <row r="230" spans="1:30">
      <c r="A230" s="75" t="s">
        <v>1039</v>
      </c>
      <c r="B230" s="59"/>
      <c r="C230" s="57">
        <v>42762</v>
      </c>
      <c r="E230" s="65" t="s">
        <v>29</v>
      </c>
      <c r="F230" s="65" t="s">
        <v>29</v>
      </c>
      <c r="G230" s="58" t="s">
        <v>1443</v>
      </c>
      <c r="H230" s="58" t="s">
        <v>1456</v>
      </c>
      <c r="I230" s="60">
        <v>240</v>
      </c>
      <c r="J230" s="58" t="s">
        <v>94</v>
      </c>
      <c r="K230" s="58" t="s">
        <v>29</v>
      </c>
      <c r="L230" s="58" t="s">
        <v>94</v>
      </c>
      <c r="M230" s="58" t="s">
        <v>29</v>
      </c>
      <c r="N230" s="61" t="s">
        <v>2005</v>
      </c>
      <c r="O230" s="58" t="s">
        <v>2006</v>
      </c>
      <c r="P230" s="58" t="s">
        <v>1459</v>
      </c>
      <c r="Q230" s="63" t="str">
        <f>IF(V230&lt;&gt;"","Completed","")</f>
        <v>Completed</v>
      </c>
      <c r="R230" s="64">
        <v>42714</v>
      </c>
      <c r="S230" s="64" t="s">
        <v>57</v>
      </c>
      <c r="T230" s="65">
        <v>47</v>
      </c>
      <c r="U230" s="65">
        <v>94</v>
      </c>
      <c r="V230" s="65">
        <v>94</v>
      </c>
      <c r="Y230" s="74" t="s">
        <v>44</v>
      </c>
      <c r="Z230" s="56" t="s">
        <v>2007</v>
      </c>
      <c r="AA230" s="249"/>
      <c r="AB230" s="65" t="s">
        <v>94</v>
      </c>
      <c r="AC230" s="74" t="s">
        <v>29</v>
      </c>
    </row>
    <row r="231" spans="1:30">
      <c r="A231" s="261" t="s">
        <v>710</v>
      </c>
      <c r="C231" s="57">
        <v>42766</v>
      </c>
      <c r="E231" s="65" t="s">
        <v>29</v>
      </c>
      <c r="F231" s="65" t="s">
        <v>29</v>
      </c>
      <c r="N231" s="68" t="s">
        <v>2008</v>
      </c>
      <c r="O231" s="90" t="s">
        <v>2009</v>
      </c>
      <c r="Q231" s="63" t="str">
        <f>IF(V231&lt;&gt;"","Completed","")</f>
        <v>Completed</v>
      </c>
      <c r="R231" s="64">
        <v>42770</v>
      </c>
      <c r="S231" s="64" t="s">
        <v>149</v>
      </c>
      <c r="T231" s="242">
        <v>6</v>
      </c>
      <c r="U231" s="242">
        <v>12</v>
      </c>
      <c r="V231" s="242">
        <v>12</v>
      </c>
      <c r="Y231" s="74" t="s">
        <v>44</v>
      </c>
      <c r="Z231" s="345" t="s">
        <v>1442</v>
      </c>
      <c r="AA231" s="92"/>
      <c r="AB231" s="242" t="s">
        <v>94</v>
      </c>
      <c r="AC231" s="242" t="s">
        <v>29</v>
      </c>
    </row>
    <row r="232" spans="1:30">
      <c r="A232" s="75" t="s">
        <v>331</v>
      </c>
      <c r="B232" s="59"/>
      <c r="C232" s="57">
        <v>42720</v>
      </c>
      <c r="D232" s="65">
        <v>1061000</v>
      </c>
      <c r="E232" s="65" t="s">
        <v>29</v>
      </c>
      <c r="F232" s="65" t="s">
        <v>94</v>
      </c>
      <c r="G232" s="58" t="s">
        <v>1443</v>
      </c>
      <c r="H232" s="58" t="s">
        <v>1456</v>
      </c>
      <c r="I232" s="60">
        <v>0</v>
      </c>
      <c r="J232" s="58" t="s">
        <v>94</v>
      </c>
      <c r="K232" s="58" t="s">
        <v>29</v>
      </c>
      <c r="L232" s="58" t="s">
        <v>94</v>
      </c>
      <c r="M232" s="58" t="s">
        <v>94</v>
      </c>
      <c r="N232" s="61" t="s">
        <v>2010</v>
      </c>
      <c r="O232" s="58" t="s">
        <v>2011</v>
      </c>
      <c r="P232" s="58" t="s">
        <v>1459</v>
      </c>
      <c r="Q232" s="63" t="str">
        <f>IF(V232&lt;&gt;"","Completed","")</f>
        <v>Completed</v>
      </c>
      <c r="R232" s="64">
        <v>42648</v>
      </c>
      <c r="S232" s="64" t="s">
        <v>104</v>
      </c>
      <c r="T232" s="65">
        <v>17</v>
      </c>
      <c r="V232" s="256">
        <v>45</v>
      </c>
      <c r="Y232" s="74" t="s">
        <v>44</v>
      </c>
      <c r="Z232" s="56" t="s">
        <v>1481</v>
      </c>
      <c r="AA232" s="249"/>
      <c r="AB232" s="151" t="s">
        <v>94</v>
      </c>
      <c r="AC232" s="324" t="s">
        <v>29</v>
      </c>
      <c r="AD232" s="349" t="s">
        <v>2012</v>
      </c>
    </row>
    <row r="233" spans="1:30">
      <c r="A233" s="75" t="s">
        <v>1039</v>
      </c>
      <c r="B233" s="59"/>
      <c r="C233" s="57">
        <v>42765</v>
      </c>
      <c r="E233" s="65" t="s">
        <v>29</v>
      </c>
      <c r="F233" s="65" t="s">
        <v>29</v>
      </c>
      <c r="G233" s="58" t="s">
        <v>1443</v>
      </c>
      <c r="H233" s="58" t="s">
        <v>1456</v>
      </c>
      <c r="I233" s="60">
        <v>0</v>
      </c>
      <c r="J233" s="58" t="s">
        <v>94</v>
      </c>
      <c r="K233" s="58" t="s">
        <v>29</v>
      </c>
      <c r="L233" s="58" t="s">
        <v>94</v>
      </c>
      <c r="M233" s="58" t="s">
        <v>29</v>
      </c>
      <c r="N233" s="61" t="s">
        <v>2013</v>
      </c>
      <c r="O233" s="58" t="s">
        <v>2014</v>
      </c>
      <c r="P233" s="58" t="s">
        <v>1459</v>
      </c>
      <c r="Q233" s="63" t="str">
        <f>IF(V233&lt;&gt;"","Completed","")</f>
        <v>Completed</v>
      </c>
      <c r="R233" s="64">
        <v>42714</v>
      </c>
      <c r="S233" s="64" t="s">
        <v>57</v>
      </c>
      <c r="T233" s="65">
        <v>14</v>
      </c>
      <c r="U233" s="65">
        <v>28</v>
      </c>
      <c r="V233" s="65">
        <v>28</v>
      </c>
      <c r="Y233" s="74" t="s">
        <v>44</v>
      </c>
      <c r="Z233" s="56" t="s">
        <v>2007</v>
      </c>
      <c r="AA233" s="249"/>
      <c r="AB233" s="315" t="s">
        <v>94</v>
      </c>
      <c r="AC233" s="74" t="s">
        <v>29</v>
      </c>
    </row>
    <row r="234" spans="1:30">
      <c r="A234" s="75" t="s">
        <v>1022</v>
      </c>
      <c r="B234" s="59"/>
      <c r="C234" s="57">
        <v>42740</v>
      </c>
      <c r="E234" s="65" t="s">
        <v>29</v>
      </c>
      <c r="F234" s="65" t="s">
        <v>29</v>
      </c>
      <c r="G234" s="58" t="s">
        <v>1443</v>
      </c>
      <c r="H234" s="58" t="s">
        <v>1456</v>
      </c>
      <c r="I234" s="60">
        <v>528</v>
      </c>
      <c r="J234" s="58" t="s">
        <v>29</v>
      </c>
      <c r="K234" s="58" t="s">
        <v>29</v>
      </c>
      <c r="L234" s="58" t="s">
        <v>94</v>
      </c>
      <c r="M234" s="58" t="s">
        <v>29</v>
      </c>
      <c r="N234" s="61" t="s">
        <v>2015</v>
      </c>
      <c r="O234" s="58" t="s">
        <v>2016</v>
      </c>
      <c r="P234" s="58" t="s">
        <v>1459</v>
      </c>
      <c r="Q234" s="63" t="str">
        <f>IF(V234&lt;&gt;"","Completed","")</f>
        <v>Completed</v>
      </c>
      <c r="R234" s="64">
        <v>42679</v>
      </c>
      <c r="S234" s="64" t="s">
        <v>80</v>
      </c>
      <c r="T234" s="65">
        <v>117</v>
      </c>
      <c r="U234" s="65">
        <v>182</v>
      </c>
      <c r="V234" s="65">
        <v>182</v>
      </c>
      <c r="Y234" s="74" t="s">
        <v>44</v>
      </c>
      <c r="Z234" s="56" t="s">
        <v>1491</v>
      </c>
      <c r="AA234" s="249"/>
      <c r="AB234" s="74" t="s">
        <v>94</v>
      </c>
      <c r="AC234" s="65" t="s">
        <v>29</v>
      </c>
    </row>
    <row r="235" spans="1:30">
      <c r="A235" s="75" t="s">
        <v>1022</v>
      </c>
      <c r="B235" s="59"/>
      <c r="C235" s="57">
        <v>42740</v>
      </c>
      <c r="E235" s="65" t="s">
        <v>29</v>
      </c>
      <c r="F235" s="65" t="s">
        <v>29</v>
      </c>
      <c r="G235" s="58" t="s">
        <v>1443</v>
      </c>
      <c r="H235" s="58" t="s">
        <v>1456</v>
      </c>
      <c r="I235" s="60">
        <v>275</v>
      </c>
      <c r="J235" s="58" t="s">
        <v>29</v>
      </c>
      <c r="K235" s="58" t="s">
        <v>29</v>
      </c>
      <c r="L235" s="58" t="s">
        <v>94</v>
      </c>
      <c r="M235" s="58" t="s">
        <v>29</v>
      </c>
      <c r="N235" s="61" t="s">
        <v>2017</v>
      </c>
      <c r="O235" s="58" t="s">
        <v>2018</v>
      </c>
      <c r="P235" s="58" t="s">
        <v>1459</v>
      </c>
      <c r="Q235" s="63" t="str">
        <f>IF(V235&lt;&gt;"","Completed","")</f>
        <v>Completed</v>
      </c>
      <c r="R235" s="64">
        <v>42679</v>
      </c>
      <c r="S235" s="64" t="s">
        <v>80</v>
      </c>
      <c r="T235" s="65">
        <v>41</v>
      </c>
      <c r="U235" s="65">
        <v>65</v>
      </c>
      <c r="V235" s="65">
        <v>65</v>
      </c>
      <c r="Y235" s="74" t="s">
        <v>44</v>
      </c>
      <c r="Z235" s="56" t="s">
        <v>1491</v>
      </c>
      <c r="AA235" s="249"/>
      <c r="AB235" s="74" t="s">
        <v>94</v>
      </c>
      <c r="AC235" s="65" t="s">
        <v>29</v>
      </c>
    </row>
    <row r="236" spans="1:30">
      <c r="A236" s="75" t="s">
        <v>803</v>
      </c>
      <c r="B236" s="59"/>
      <c r="C236" s="57">
        <v>42747</v>
      </c>
      <c r="E236" s="65" t="s">
        <v>29</v>
      </c>
      <c r="F236" s="65" t="s">
        <v>29</v>
      </c>
      <c r="G236" s="58" t="s">
        <v>1443</v>
      </c>
      <c r="H236" s="58" t="s">
        <v>1456</v>
      </c>
      <c r="I236" s="60">
        <v>218</v>
      </c>
      <c r="J236" s="58" t="s">
        <v>94</v>
      </c>
      <c r="K236" s="58" t="s">
        <v>29</v>
      </c>
      <c r="L236" s="58" t="s">
        <v>94</v>
      </c>
      <c r="M236" s="58" t="s">
        <v>29</v>
      </c>
      <c r="N236" s="61" t="s">
        <v>2019</v>
      </c>
      <c r="O236" s="58" t="s">
        <v>2020</v>
      </c>
      <c r="P236" s="58" t="s">
        <v>1447</v>
      </c>
      <c r="Q236" s="63" t="str">
        <f>IF(V236&lt;&gt;"","Completed","")</f>
        <v>Completed</v>
      </c>
      <c r="R236" s="64">
        <v>42679</v>
      </c>
      <c r="S236" s="64" t="s">
        <v>43</v>
      </c>
      <c r="T236" s="65">
        <v>20</v>
      </c>
      <c r="U236" s="65">
        <v>40</v>
      </c>
      <c r="V236" s="65">
        <v>40</v>
      </c>
      <c r="Y236" s="74" t="s">
        <v>44</v>
      </c>
      <c r="Z236" s="56" t="s">
        <v>1549</v>
      </c>
      <c r="AA236" s="249"/>
      <c r="AB236" s="65" t="s">
        <v>94</v>
      </c>
      <c r="AC236" s="65" t="s">
        <v>29</v>
      </c>
    </row>
    <row r="237" spans="1:30">
      <c r="A237" s="75" t="s">
        <v>1039</v>
      </c>
      <c r="B237" s="59"/>
      <c r="C237" s="57">
        <v>42759</v>
      </c>
      <c r="E237" s="65" t="s">
        <v>29</v>
      </c>
      <c r="F237" s="65" t="s">
        <v>29</v>
      </c>
      <c r="G237" s="58" t="s">
        <v>1443</v>
      </c>
      <c r="H237" s="58" t="s">
        <v>1456</v>
      </c>
      <c r="I237" s="60">
        <v>500</v>
      </c>
      <c r="J237" s="58" t="s">
        <v>29</v>
      </c>
      <c r="K237" s="58" t="s">
        <v>29</v>
      </c>
      <c r="L237" s="58" t="s">
        <v>94</v>
      </c>
      <c r="M237" s="58" t="s">
        <v>29</v>
      </c>
      <c r="N237" s="61" t="s">
        <v>2021</v>
      </c>
      <c r="O237" s="58" t="s">
        <v>2022</v>
      </c>
      <c r="P237" s="58" t="s">
        <v>1459</v>
      </c>
      <c r="Q237" s="63" t="str">
        <f>IF(V237&lt;&gt;"","Completed","")</f>
        <v>Completed</v>
      </c>
      <c r="R237" s="64">
        <v>42714</v>
      </c>
      <c r="S237" s="64" t="s">
        <v>57</v>
      </c>
      <c r="T237" s="65">
        <v>90</v>
      </c>
      <c r="U237" s="65">
        <v>142</v>
      </c>
      <c r="V237" s="65">
        <v>142</v>
      </c>
      <c r="Y237" s="74" t="s">
        <v>44</v>
      </c>
      <c r="Z237" s="56" t="s">
        <v>1464</v>
      </c>
      <c r="AA237" s="249"/>
      <c r="AB237" s="65" t="s">
        <v>94</v>
      </c>
      <c r="AC237" s="74" t="s">
        <v>29</v>
      </c>
    </row>
    <row r="238" spans="1:30">
      <c r="A238" s="75" t="s">
        <v>803</v>
      </c>
      <c r="B238" s="59"/>
      <c r="C238" s="57">
        <v>42759</v>
      </c>
      <c r="E238" s="65" t="s">
        <v>29</v>
      </c>
      <c r="F238" s="65" t="s">
        <v>29</v>
      </c>
      <c r="G238" s="58" t="s">
        <v>1443</v>
      </c>
      <c r="H238" s="58" t="s">
        <v>1456</v>
      </c>
      <c r="I238" s="60">
        <v>243</v>
      </c>
      <c r="J238" s="58" t="s">
        <v>94</v>
      </c>
      <c r="K238" s="58" t="s">
        <v>29</v>
      </c>
      <c r="L238" s="58" t="s">
        <v>94</v>
      </c>
      <c r="M238" s="58" t="s">
        <v>29</v>
      </c>
      <c r="N238" s="61" t="s">
        <v>2023</v>
      </c>
      <c r="O238" s="58" t="s">
        <v>2024</v>
      </c>
      <c r="P238" s="58" t="s">
        <v>1447</v>
      </c>
      <c r="Q238" s="63" t="str">
        <f>IF(V238&lt;&gt;"","Completed","")</f>
        <v>Completed</v>
      </c>
      <c r="R238" s="64">
        <v>42685</v>
      </c>
      <c r="S238" s="64" t="s">
        <v>43</v>
      </c>
      <c r="T238" s="65">
        <v>39</v>
      </c>
      <c r="U238" s="65">
        <v>78</v>
      </c>
      <c r="V238" s="65">
        <v>78</v>
      </c>
      <c r="Y238" s="74" t="s">
        <v>44</v>
      </c>
      <c r="Z238" s="56" t="s">
        <v>1464</v>
      </c>
      <c r="AA238" s="249"/>
      <c r="AB238" s="65" t="s">
        <v>94</v>
      </c>
      <c r="AC238" s="65" t="s">
        <v>94</v>
      </c>
    </row>
    <row r="239" spans="1:30">
      <c r="A239" s="331" t="s">
        <v>1206</v>
      </c>
      <c r="B239" s="59"/>
      <c r="C239" s="57">
        <v>42719</v>
      </c>
      <c r="E239" s="65" t="s">
        <v>29</v>
      </c>
      <c r="F239" s="65" t="s">
        <v>29</v>
      </c>
      <c r="G239" s="58" t="s">
        <v>1443</v>
      </c>
      <c r="H239" s="58" t="s">
        <v>1444</v>
      </c>
      <c r="I239" s="60">
        <v>326</v>
      </c>
      <c r="J239" s="58" t="s">
        <v>94</v>
      </c>
      <c r="K239" s="58" t="s">
        <v>29</v>
      </c>
      <c r="L239" s="58" t="s">
        <v>94</v>
      </c>
      <c r="M239" s="58" t="s">
        <v>29</v>
      </c>
      <c r="N239" s="61" t="s">
        <v>2025</v>
      </c>
      <c r="O239" s="58" t="s">
        <v>2026</v>
      </c>
      <c r="P239" s="58" t="s">
        <v>1459</v>
      </c>
      <c r="Q239" s="63" t="str">
        <f>IF(V239&lt;&gt;"","Completed","")</f>
        <v>Completed</v>
      </c>
      <c r="R239" s="64">
        <v>42665</v>
      </c>
      <c r="S239" s="64" t="s">
        <v>114</v>
      </c>
      <c r="T239" s="65">
        <v>62</v>
      </c>
      <c r="U239" s="65">
        <v>107</v>
      </c>
      <c r="V239" s="65">
        <v>107</v>
      </c>
      <c r="Y239" s="74" t="s">
        <v>44</v>
      </c>
      <c r="Z239" s="56" t="s">
        <v>1632</v>
      </c>
      <c r="AA239" s="252"/>
      <c r="AB239" s="74" t="s">
        <v>94</v>
      </c>
      <c r="AC239" s="74" t="s">
        <v>29</v>
      </c>
    </row>
    <row r="240" spans="1:30">
      <c r="A240" s="332" t="s">
        <v>542</v>
      </c>
      <c r="B240" s="59"/>
      <c r="C240" s="57">
        <v>42654</v>
      </c>
      <c r="E240" s="65" t="s">
        <v>29</v>
      </c>
      <c r="F240" s="65" t="s">
        <v>29</v>
      </c>
      <c r="G240" s="58" t="s">
        <v>1443</v>
      </c>
      <c r="H240" s="58"/>
      <c r="I240" s="60"/>
      <c r="J240" s="58"/>
      <c r="K240" s="58"/>
      <c r="L240" s="58"/>
      <c r="M240" s="58"/>
      <c r="N240" s="375" t="s">
        <v>2027</v>
      </c>
      <c r="O240" s="373" t="s">
        <v>2028</v>
      </c>
      <c r="P240" s="58" t="s">
        <v>1459</v>
      </c>
      <c r="Q240" s="63" t="str">
        <f>IF(V240&lt;&gt;"","Completed","")</f>
        <v>Completed</v>
      </c>
      <c r="R240" s="64">
        <v>42630</v>
      </c>
      <c r="S240" s="64" t="s">
        <v>80</v>
      </c>
      <c r="T240" s="323">
        <v>11</v>
      </c>
      <c r="U240" s="242">
        <v>22</v>
      </c>
      <c r="V240" s="242">
        <v>22</v>
      </c>
      <c r="Y240" s="74" t="s">
        <v>44</v>
      </c>
      <c r="Z240" s="257" t="s">
        <v>1530</v>
      </c>
      <c r="AA240" s="252"/>
      <c r="AB240" s="242" t="s">
        <v>94</v>
      </c>
      <c r="AC240" s="347" t="s">
        <v>29</v>
      </c>
    </row>
    <row r="241" spans="1:30">
      <c r="A241" s="244" t="s">
        <v>572</v>
      </c>
      <c r="B241" s="62" t="s">
        <v>573</v>
      </c>
      <c r="C241" s="57">
        <v>42710</v>
      </c>
      <c r="E241" s="65" t="s">
        <v>29</v>
      </c>
      <c r="F241" s="65" t="s">
        <v>29</v>
      </c>
      <c r="G241" s="58" t="s">
        <v>1443</v>
      </c>
      <c r="H241" s="58" t="s">
        <v>1456</v>
      </c>
      <c r="I241" s="60">
        <v>354</v>
      </c>
      <c r="J241" s="58" t="s">
        <v>94</v>
      </c>
      <c r="K241" s="58" t="s">
        <v>29</v>
      </c>
      <c r="L241" s="58" t="s">
        <v>29</v>
      </c>
      <c r="M241" s="58" t="s">
        <v>29</v>
      </c>
      <c r="N241" s="61" t="s">
        <v>2029</v>
      </c>
      <c r="O241" s="58" t="s">
        <v>2030</v>
      </c>
      <c r="P241" s="58" t="s">
        <v>1459</v>
      </c>
      <c r="Q241" s="63" t="str">
        <f>IF(V241&lt;&gt;"","Completed","")</f>
        <v>Completed</v>
      </c>
      <c r="R241" s="64">
        <v>42691</v>
      </c>
      <c r="S241" s="64" t="s">
        <v>149</v>
      </c>
      <c r="T241" s="65">
        <v>44</v>
      </c>
      <c r="U241" s="65">
        <v>85</v>
      </c>
      <c r="V241" s="65">
        <v>85</v>
      </c>
      <c r="Y241" s="74" t="s">
        <v>44</v>
      </c>
      <c r="Z241" s="56" t="s">
        <v>1478</v>
      </c>
      <c r="AA241" s="249">
        <f>V241</f>
        <v>85</v>
      </c>
      <c r="AB241" s="65" t="s">
        <v>94</v>
      </c>
      <c r="AC241" s="65" t="s">
        <v>29</v>
      </c>
    </row>
    <row r="242" spans="1:30">
      <c r="A242" s="75" t="s">
        <v>639</v>
      </c>
      <c r="B242" s="59"/>
      <c r="C242" s="57">
        <v>42768</v>
      </c>
      <c r="E242" s="65" t="s">
        <v>29</v>
      </c>
      <c r="F242" s="65" t="s">
        <v>29</v>
      </c>
      <c r="G242" s="58" t="s">
        <v>1443</v>
      </c>
      <c r="H242" s="58" t="s">
        <v>1444</v>
      </c>
      <c r="I242" s="60">
        <v>488</v>
      </c>
      <c r="J242" s="58" t="s">
        <v>94</v>
      </c>
      <c r="K242" s="58" t="s">
        <v>29</v>
      </c>
      <c r="L242" s="58" t="s">
        <v>29</v>
      </c>
      <c r="M242" s="58" t="s">
        <v>29</v>
      </c>
      <c r="N242" s="61" t="s">
        <v>2031</v>
      </c>
      <c r="O242" s="58" t="s">
        <v>2032</v>
      </c>
      <c r="P242" s="58" t="s">
        <v>1459</v>
      </c>
      <c r="Q242" s="63" t="str">
        <f>IF(V242&lt;&gt;"","Completed","")</f>
        <v>Completed</v>
      </c>
      <c r="R242" s="64">
        <v>42719</v>
      </c>
      <c r="S242" s="64" t="s">
        <v>43</v>
      </c>
      <c r="T242" s="65">
        <v>47</v>
      </c>
      <c r="U242" s="65">
        <v>88</v>
      </c>
      <c r="V242" s="65">
        <v>88</v>
      </c>
      <c r="Y242" s="74" t="s">
        <v>44</v>
      </c>
      <c r="Z242" s="56" t="s">
        <v>1912</v>
      </c>
      <c r="AA242" s="249"/>
      <c r="AB242" s="65" t="s">
        <v>94</v>
      </c>
      <c r="AC242" s="65" t="s">
        <v>29</v>
      </c>
    </row>
    <row r="243" spans="1:30">
      <c r="A243" s="75" t="s">
        <v>780</v>
      </c>
      <c r="B243" s="59"/>
      <c r="C243" s="57">
        <v>42744</v>
      </c>
      <c r="E243" s="65" t="s">
        <v>29</v>
      </c>
      <c r="F243" s="65" t="s">
        <v>29</v>
      </c>
      <c r="G243" s="58" t="s">
        <v>1443</v>
      </c>
      <c r="H243" s="58" t="s">
        <v>1456</v>
      </c>
      <c r="I243" s="60">
        <v>402</v>
      </c>
      <c r="J243" s="58" t="s">
        <v>94</v>
      </c>
      <c r="K243" s="58" t="s">
        <v>29</v>
      </c>
      <c r="L243" s="58" t="s">
        <v>94</v>
      </c>
      <c r="M243" s="58" t="s">
        <v>29</v>
      </c>
      <c r="N243" s="61" t="s">
        <v>2033</v>
      </c>
      <c r="O243" s="58" t="s">
        <v>2034</v>
      </c>
      <c r="P243" s="58" t="s">
        <v>1447</v>
      </c>
      <c r="Q243" s="63" t="str">
        <f>IF(V243&lt;&gt;"","Completed","")</f>
        <v>Completed</v>
      </c>
      <c r="R243" s="64">
        <v>42712</v>
      </c>
      <c r="S243" s="64" t="s">
        <v>57</v>
      </c>
      <c r="T243" s="65">
        <v>82</v>
      </c>
      <c r="U243" s="65">
        <v>126</v>
      </c>
      <c r="V243" s="65">
        <v>126</v>
      </c>
      <c r="Y243" s="74" t="s">
        <v>44</v>
      </c>
      <c r="Z243" s="56" t="s">
        <v>1505</v>
      </c>
      <c r="AA243" s="252"/>
      <c r="AB243" s="65" t="s">
        <v>94</v>
      </c>
      <c r="AC243" s="65" t="s">
        <v>94</v>
      </c>
    </row>
    <row r="244" spans="1:30">
      <c r="A244" s="75" t="s">
        <v>1159</v>
      </c>
      <c r="B244" s="59"/>
      <c r="C244" s="57">
        <v>42741</v>
      </c>
      <c r="E244" s="65" t="s">
        <v>29</v>
      </c>
      <c r="F244" s="65" t="s">
        <v>29</v>
      </c>
      <c r="G244" s="58" t="s">
        <v>1443</v>
      </c>
      <c r="H244" s="58" t="s">
        <v>1449</v>
      </c>
      <c r="I244" s="60">
        <v>300</v>
      </c>
      <c r="J244" s="58" t="s">
        <v>94</v>
      </c>
      <c r="K244" s="58" t="s">
        <v>29</v>
      </c>
      <c r="L244" s="58" t="s">
        <v>94</v>
      </c>
      <c r="M244" s="58" t="s">
        <v>94</v>
      </c>
      <c r="N244" s="61" t="s">
        <v>2035</v>
      </c>
      <c r="O244" s="58" t="s">
        <v>2036</v>
      </c>
      <c r="P244" s="58" t="s">
        <v>1447</v>
      </c>
      <c r="Q244" s="63" t="str">
        <f>IF(V244&lt;&gt;"","Completed","")</f>
        <v>Completed</v>
      </c>
      <c r="R244" s="64">
        <v>42648</v>
      </c>
      <c r="S244" s="64" t="s">
        <v>57</v>
      </c>
      <c r="T244" s="65">
        <v>70</v>
      </c>
      <c r="U244" s="65">
        <v>110</v>
      </c>
      <c r="V244" s="65">
        <v>110</v>
      </c>
      <c r="Y244" s="74" t="s">
        <v>44</v>
      </c>
      <c r="Z244" s="56" t="s">
        <v>1561</v>
      </c>
      <c r="AA244" s="252"/>
      <c r="AB244" s="329" t="s">
        <v>94</v>
      </c>
      <c r="AC244" s="329" t="s">
        <v>94</v>
      </c>
    </row>
    <row r="245" spans="1:30">
      <c r="A245" s="75" t="s">
        <v>803</v>
      </c>
      <c r="B245" s="59"/>
      <c r="C245" s="57">
        <v>42747</v>
      </c>
      <c r="E245" s="65" t="s">
        <v>29</v>
      </c>
      <c r="F245" s="65" t="s">
        <v>29</v>
      </c>
      <c r="G245" s="58" t="s">
        <v>1443</v>
      </c>
      <c r="H245" s="58" t="s">
        <v>1456</v>
      </c>
      <c r="I245" s="60">
        <v>165</v>
      </c>
      <c r="J245" s="58" t="s">
        <v>94</v>
      </c>
      <c r="K245" s="58" t="s">
        <v>29</v>
      </c>
      <c r="L245" s="58" t="s">
        <v>94</v>
      </c>
      <c r="M245" s="58" t="s">
        <v>29</v>
      </c>
      <c r="N245" s="61" t="s">
        <v>2037</v>
      </c>
      <c r="O245" s="58" t="s">
        <v>2038</v>
      </c>
      <c r="P245" s="58" t="s">
        <v>1447</v>
      </c>
      <c r="Q245" s="63" t="str">
        <f>IF(V245&lt;&gt;"","Completed","")</f>
        <v>Completed</v>
      </c>
      <c r="R245" s="64">
        <v>42670</v>
      </c>
      <c r="S245" s="64" t="s">
        <v>43</v>
      </c>
      <c r="T245" s="65">
        <v>25</v>
      </c>
      <c r="U245" s="65">
        <v>50</v>
      </c>
      <c r="V245" s="65">
        <v>50</v>
      </c>
      <c r="Y245" s="74" t="s">
        <v>44</v>
      </c>
      <c r="Z245" s="56" t="s">
        <v>1549</v>
      </c>
      <c r="AA245" s="249"/>
      <c r="AB245" s="65" t="s">
        <v>94</v>
      </c>
      <c r="AC245" s="65" t="s">
        <v>94</v>
      </c>
    </row>
    <row r="246" spans="1:30">
      <c r="A246" s="75" t="s">
        <v>162</v>
      </c>
      <c r="B246" s="59"/>
      <c r="C246" s="57">
        <v>42790</v>
      </c>
      <c r="D246" s="65">
        <v>4020000</v>
      </c>
      <c r="E246" s="65" t="s">
        <v>29</v>
      </c>
      <c r="F246" s="65" t="s">
        <v>29</v>
      </c>
      <c r="G246" s="58" t="s">
        <v>1482</v>
      </c>
      <c r="H246" s="58" t="s">
        <v>1456</v>
      </c>
      <c r="I246" s="60">
        <v>250</v>
      </c>
      <c r="J246" s="58" t="s">
        <v>94</v>
      </c>
      <c r="K246" s="58" t="s">
        <v>29</v>
      </c>
      <c r="L246" s="58" t="s">
        <v>94</v>
      </c>
      <c r="M246" s="58" t="s">
        <v>29</v>
      </c>
      <c r="N246" s="61" t="s">
        <v>2039</v>
      </c>
      <c r="O246" s="58" t="s">
        <v>2040</v>
      </c>
      <c r="P246" s="58" t="s">
        <v>1447</v>
      </c>
      <c r="Q246" s="63" t="str">
        <f>IF(V246&lt;&gt;"","Completed","")</f>
        <v>Completed</v>
      </c>
      <c r="R246" s="64">
        <v>42692</v>
      </c>
      <c r="S246" s="233" t="s">
        <v>172</v>
      </c>
      <c r="T246" s="65">
        <v>8</v>
      </c>
      <c r="U246" s="65">
        <v>16</v>
      </c>
      <c r="V246" s="65">
        <v>16</v>
      </c>
      <c r="Y246" s="74" t="s">
        <v>44</v>
      </c>
      <c r="Z246" s="56" t="s">
        <v>1754</v>
      </c>
      <c r="AA246" s="249"/>
      <c r="AB246" s="65" t="s">
        <v>94</v>
      </c>
      <c r="AC246" s="65" t="s">
        <v>29</v>
      </c>
    </row>
    <row r="247" spans="1:30" s="66" customFormat="1">
      <c r="A247" s="75" t="s">
        <v>470</v>
      </c>
      <c r="B247" s="59"/>
      <c r="C247" s="57">
        <v>42696</v>
      </c>
      <c r="D247" s="65"/>
      <c r="E247" s="65" t="s">
        <v>29</v>
      </c>
      <c r="F247" s="65" t="s">
        <v>29</v>
      </c>
      <c r="G247" s="58" t="s">
        <v>1443</v>
      </c>
      <c r="H247" s="58" t="s">
        <v>1456</v>
      </c>
      <c r="I247" s="60">
        <v>74</v>
      </c>
      <c r="J247" s="58" t="s">
        <v>94</v>
      </c>
      <c r="K247" s="58" t="s">
        <v>29</v>
      </c>
      <c r="L247" s="58" t="s">
        <v>29</v>
      </c>
      <c r="M247" s="58" t="s">
        <v>29</v>
      </c>
      <c r="N247" s="61" t="s">
        <v>2041</v>
      </c>
      <c r="O247" s="58" t="s">
        <v>2042</v>
      </c>
      <c r="P247" s="58" t="s">
        <v>1459</v>
      </c>
      <c r="Q247" s="63" t="str">
        <f>IF(V247&lt;&gt;"","Completed","")</f>
        <v>Completed</v>
      </c>
      <c r="R247" s="64">
        <v>42672</v>
      </c>
      <c r="S247" s="64" t="s">
        <v>80</v>
      </c>
      <c r="T247" s="65">
        <v>27</v>
      </c>
      <c r="U247" s="65">
        <v>54</v>
      </c>
      <c r="V247" s="65">
        <v>54</v>
      </c>
      <c r="W247" s="65"/>
      <c r="X247" s="65"/>
      <c r="Y247" s="74" t="s">
        <v>44</v>
      </c>
      <c r="Z247" s="56" t="s">
        <v>1527</v>
      </c>
      <c r="AA247" s="252">
        <f>V247</f>
        <v>54</v>
      </c>
      <c r="AB247" s="65" t="s">
        <v>94</v>
      </c>
      <c r="AC247" s="242" t="s">
        <v>29</v>
      </c>
      <c r="AD247" s="345"/>
    </row>
    <row r="248" spans="1:30" s="66" customFormat="1">
      <c r="A248" s="244" t="s">
        <v>478</v>
      </c>
      <c r="B248" s="62" t="s">
        <v>479</v>
      </c>
      <c r="C248" s="57">
        <v>42663</v>
      </c>
      <c r="D248" s="65"/>
      <c r="E248" s="65" t="s">
        <v>29</v>
      </c>
      <c r="F248" s="65" t="s">
        <v>29</v>
      </c>
      <c r="G248" s="58" t="s">
        <v>1443</v>
      </c>
      <c r="H248" s="58" t="s">
        <v>1449</v>
      </c>
      <c r="I248" s="60">
        <v>220</v>
      </c>
      <c r="J248" s="58" t="s">
        <v>94</v>
      </c>
      <c r="K248" s="58" t="s">
        <v>29</v>
      </c>
      <c r="L248" s="58" t="s">
        <v>29</v>
      </c>
      <c r="M248" s="58" t="s">
        <v>29</v>
      </c>
      <c r="N248" s="61" t="s">
        <v>2043</v>
      </c>
      <c r="O248" s="58" t="s">
        <v>2044</v>
      </c>
      <c r="P248" s="58" t="s">
        <v>1447</v>
      </c>
      <c r="Q248" s="63" t="str">
        <f>IF(V248&lt;&gt;"","Completed","")</f>
        <v>Completed</v>
      </c>
      <c r="R248" s="64">
        <v>42648</v>
      </c>
      <c r="S248" s="64" t="s">
        <v>222</v>
      </c>
      <c r="T248" s="150">
        <v>12</v>
      </c>
      <c r="U248" s="65">
        <v>24</v>
      </c>
      <c r="V248" s="65">
        <v>24</v>
      </c>
      <c r="W248" s="65"/>
      <c r="X248" s="65"/>
      <c r="Y248" s="74" t="s">
        <v>44</v>
      </c>
      <c r="Z248" s="56" t="s">
        <v>1515</v>
      </c>
      <c r="AA248" s="249">
        <f>V248</f>
        <v>24</v>
      </c>
      <c r="AB248" s="242" t="s">
        <v>94</v>
      </c>
      <c r="AC248" s="74"/>
      <c r="AD248" s="345"/>
    </row>
    <row r="249" spans="1:30" s="66" customFormat="1">
      <c r="A249" s="332" t="s">
        <v>212</v>
      </c>
      <c r="B249" s="59"/>
      <c r="C249" s="57">
        <v>42709</v>
      </c>
      <c r="D249" s="65">
        <v>3031000</v>
      </c>
      <c r="E249" s="65" t="s">
        <v>29</v>
      </c>
      <c r="F249" s="65" t="s">
        <v>29</v>
      </c>
      <c r="G249" s="58" t="s">
        <v>1443</v>
      </c>
      <c r="H249" s="58" t="s">
        <v>1456</v>
      </c>
      <c r="I249" s="60">
        <v>195</v>
      </c>
      <c r="J249" s="58" t="s">
        <v>94</v>
      </c>
      <c r="K249" s="58" t="s">
        <v>29</v>
      </c>
      <c r="L249" s="58" t="s">
        <v>94</v>
      </c>
      <c r="M249" s="58" t="s">
        <v>29</v>
      </c>
      <c r="N249" s="61" t="s">
        <v>2045</v>
      </c>
      <c r="O249" s="58" t="s">
        <v>2046</v>
      </c>
      <c r="P249" s="58" t="s">
        <v>1459</v>
      </c>
      <c r="Q249" s="63" t="str">
        <f>IF(V249&lt;&gt;"","Completed","")</f>
        <v>Completed</v>
      </c>
      <c r="R249" s="64">
        <v>42637</v>
      </c>
      <c r="S249" s="64" t="s">
        <v>222</v>
      </c>
      <c r="T249" s="65">
        <v>22</v>
      </c>
      <c r="U249" s="65">
        <v>44</v>
      </c>
      <c r="V249" s="65">
        <v>44</v>
      </c>
      <c r="W249" s="65"/>
      <c r="X249" s="65"/>
      <c r="Y249" s="74" t="s">
        <v>44</v>
      </c>
      <c r="Z249" s="56" t="s">
        <v>1533</v>
      </c>
      <c r="AA249" s="249"/>
      <c r="AB249" s="242" t="s">
        <v>94</v>
      </c>
      <c r="AC249" s="242" t="s">
        <v>29</v>
      </c>
      <c r="AD249" s="345"/>
    </row>
    <row r="250" spans="1:30" s="66" customFormat="1">
      <c r="A250" s="75" t="s">
        <v>247</v>
      </c>
      <c r="B250" s="59"/>
      <c r="C250" s="57">
        <v>42744</v>
      </c>
      <c r="D250" s="65">
        <v>3035000</v>
      </c>
      <c r="E250" s="65" t="s">
        <v>29</v>
      </c>
      <c r="F250" s="65" t="s">
        <v>94</v>
      </c>
      <c r="G250" s="58" t="s">
        <v>1461</v>
      </c>
      <c r="H250" s="58" t="s">
        <v>1456</v>
      </c>
      <c r="I250" s="60">
        <v>56</v>
      </c>
      <c r="J250" s="58" t="s">
        <v>94</v>
      </c>
      <c r="K250" s="58" t="s">
        <v>29</v>
      </c>
      <c r="L250" s="58" t="s">
        <v>94</v>
      </c>
      <c r="M250" s="58" t="s">
        <v>94</v>
      </c>
      <c r="N250" s="61" t="s">
        <v>2047</v>
      </c>
      <c r="O250" s="292" t="s">
        <v>2048</v>
      </c>
      <c r="P250" s="58" t="s">
        <v>1447</v>
      </c>
      <c r="Q250" s="63" t="str">
        <f>IF(V250&lt;&gt;"","Completed","")</f>
        <v>Completed</v>
      </c>
      <c r="R250" s="64">
        <v>42707</v>
      </c>
      <c r="S250" s="64" t="s">
        <v>104</v>
      </c>
      <c r="T250" s="65">
        <v>4</v>
      </c>
      <c r="U250" s="65"/>
      <c r="V250" s="256">
        <v>6</v>
      </c>
      <c r="W250" s="65"/>
      <c r="X250" s="65"/>
      <c r="Y250" s="74" t="s">
        <v>44</v>
      </c>
      <c r="Z250" s="56" t="s">
        <v>1505</v>
      </c>
      <c r="AA250" s="252"/>
      <c r="AB250" s="65" t="s">
        <v>94</v>
      </c>
      <c r="AC250" s="65" t="s">
        <v>29</v>
      </c>
      <c r="AD250" s="348" t="s">
        <v>2049</v>
      </c>
    </row>
    <row r="251" spans="1:30" s="66" customFormat="1">
      <c r="A251" s="75" t="s">
        <v>247</v>
      </c>
      <c r="B251" s="59"/>
      <c r="C251" s="57">
        <v>42744</v>
      </c>
      <c r="D251" s="65">
        <v>3035000</v>
      </c>
      <c r="E251" s="65" t="s">
        <v>29</v>
      </c>
      <c r="F251" s="65" t="s">
        <v>94</v>
      </c>
      <c r="G251" s="58" t="s">
        <v>1461</v>
      </c>
      <c r="H251" s="58" t="s">
        <v>1456</v>
      </c>
      <c r="I251" s="60">
        <v>56</v>
      </c>
      <c r="J251" s="58" t="s">
        <v>94</v>
      </c>
      <c r="K251" s="58" t="s">
        <v>29</v>
      </c>
      <c r="L251" s="58" t="s">
        <v>94</v>
      </c>
      <c r="M251" s="58" t="s">
        <v>94</v>
      </c>
      <c r="N251" s="61" t="s">
        <v>2047</v>
      </c>
      <c r="O251" s="292" t="s">
        <v>2050</v>
      </c>
      <c r="P251" s="58" t="s">
        <v>1447</v>
      </c>
      <c r="Q251" s="63" t="str">
        <f>IF(V251&lt;&gt;"","Completed","")</f>
        <v>Completed</v>
      </c>
      <c r="R251" s="64">
        <v>42707</v>
      </c>
      <c r="S251" s="64" t="s">
        <v>104</v>
      </c>
      <c r="T251" s="65">
        <v>5</v>
      </c>
      <c r="U251" s="65"/>
      <c r="V251" s="256">
        <v>10</v>
      </c>
      <c r="W251" s="65"/>
      <c r="X251" s="65"/>
      <c r="Y251" s="74" t="s">
        <v>44</v>
      </c>
      <c r="Z251" s="56" t="s">
        <v>1505</v>
      </c>
      <c r="AA251" s="252"/>
      <c r="AB251" s="65" t="s">
        <v>94</v>
      </c>
      <c r="AC251" s="65" t="s">
        <v>29</v>
      </c>
      <c r="AD251" s="348" t="s">
        <v>2051</v>
      </c>
    </row>
    <row r="252" spans="1:30" s="66" customFormat="1">
      <c r="A252" s="75" t="s">
        <v>247</v>
      </c>
      <c r="B252" s="59"/>
      <c r="C252" s="57">
        <v>42744</v>
      </c>
      <c r="D252" s="65">
        <v>3035000</v>
      </c>
      <c r="E252" s="65" t="s">
        <v>29</v>
      </c>
      <c r="F252" s="65" t="s">
        <v>94</v>
      </c>
      <c r="G252" s="58" t="s">
        <v>1461</v>
      </c>
      <c r="H252" s="58" t="s">
        <v>1456</v>
      </c>
      <c r="I252" s="60">
        <v>56</v>
      </c>
      <c r="J252" s="58" t="s">
        <v>94</v>
      </c>
      <c r="K252" s="58" t="s">
        <v>29</v>
      </c>
      <c r="L252" s="58" t="s">
        <v>94</v>
      </c>
      <c r="M252" s="58" t="s">
        <v>94</v>
      </c>
      <c r="N252" s="61" t="s">
        <v>2047</v>
      </c>
      <c r="O252" s="292" t="s">
        <v>2052</v>
      </c>
      <c r="P252" s="58" t="s">
        <v>1447</v>
      </c>
      <c r="Q252" s="63" t="str">
        <f>IF(V252&lt;&gt;"","Completed","")</f>
        <v>Completed</v>
      </c>
      <c r="R252" s="64">
        <v>42707</v>
      </c>
      <c r="S252" s="64" t="s">
        <v>104</v>
      </c>
      <c r="T252" s="65">
        <v>18</v>
      </c>
      <c r="U252" s="65"/>
      <c r="V252" s="256">
        <v>24</v>
      </c>
      <c r="W252" s="65"/>
      <c r="X252" s="65"/>
      <c r="Y252" s="74" t="s">
        <v>44</v>
      </c>
      <c r="Z252" s="56" t="s">
        <v>1505</v>
      </c>
      <c r="AA252" s="252"/>
      <c r="AB252" s="65" t="s">
        <v>94</v>
      </c>
      <c r="AC252" s="65" t="s">
        <v>29</v>
      </c>
      <c r="AD252" s="348" t="s">
        <v>2053</v>
      </c>
    </row>
    <row r="253" spans="1:30" s="66" customFormat="1">
      <c r="A253" s="75" t="s">
        <v>247</v>
      </c>
      <c r="B253" s="59"/>
      <c r="C253" s="57">
        <v>42744</v>
      </c>
      <c r="D253" s="65">
        <v>3035000</v>
      </c>
      <c r="E253" s="65" t="s">
        <v>29</v>
      </c>
      <c r="F253" s="65" t="s">
        <v>94</v>
      </c>
      <c r="G253" s="58" t="s">
        <v>1461</v>
      </c>
      <c r="H253" s="58" t="s">
        <v>1456</v>
      </c>
      <c r="I253" s="60">
        <v>56</v>
      </c>
      <c r="J253" s="58" t="s">
        <v>94</v>
      </c>
      <c r="K253" s="58" t="s">
        <v>29</v>
      </c>
      <c r="L253" s="58" t="s">
        <v>94</v>
      </c>
      <c r="M253" s="58" t="s">
        <v>94</v>
      </c>
      <c r="N253" s="61" t="s">
        <v>2047</v>
      </c>
      <c r="O253" s="292" t="s">
        <v>2054</v>
      </c>
      <c r="P253" s="58" t="s">
        <v>1447</v>
      </c>
      <c r="Q253" s="63" t="str">
        <f>IF(V253&lt;&gt;"","Completed","")</f>
        <v>Completed</v>
      </c>
      <c r="R253" s="64">
        <v>42707</v>
      </c>
      <c r="S253" s="64" t="s">
        <v>104</v>
      </c>
      <c r="T253" s="65">
        <v>3</v>
      </c>
      <c r="U253" s="65"/>
      <c r="V253" s="256">
        <v>5</v>
      </c>
      <c r="W253" s="65"/>
      <c r="X253" s="65"/>
      <c r="Y253" s="74" t="s">
        <v>44</v>
      </c>
      <c r="Z253" s="56" t="s">
        <v>1505</v>
      </c>
      <c r="AA253" s="118">
        <f>SUM(V250:V253)</f>
        <v>45</v>
      </c>
      <c r="AB253" s="65" t="s">
        <v>94</v>
      </c>
      <c r="AC253" s="65" t="s">
        <v>29</v>
      </c>
      <c r="AD253" s="348" t="s">
        <v>2055</v>
      </c>
    </row>
    <row r="254" spans="1:30" s="66" customFormat="1" ht="15" customHeight="1">
      <c r="A254" s="244" t="s">
        <v>370</v>
      </c>
      <c r="B254" s="62" t="s">
        <v>371</v>
      </c>
      <c r="C254" s="57">
        <v>42760</v>
      </c>
      <c r="D254" s="65"/>
      <c r="E254" s="65" t="s">
        <v>29</v>
      </c>
      <c r="F254" s="65" t="s">
        <v>29</v>
      </c>
      <c r="G254" s="58" t="s">
        <v>1443</v>
      </c>
      <c r="H254" s="58" t="s">
        <v>1456</v>
      </c>
      <c r="I254" s="60">
        <v>391</v>
      </c>
      <c r="J254" s="58" t="s">
        <v>94</v>
      </c>
      <c r="K254" s="58" t="s">
        <v>29</v>
      </c>
      <c r="L254" s="58" t="s">
        <v>94</v>
      </c>
      <c r="M254" s="58" t="s">
        <v>29</v>
      </c>
      <c r="N254" s="61" t="s">
        <v>2056</v>
      </c>
      <c r="O254" s="58" t="s">
        <v>2057</v>
      </c>
      <c r="P254" s="58" t="s">
        <v>1459</v>
      </c>
      <c r="Q254" s="63" t="str">
        <f>IF(V254&lt;&gt;"","Completed","")</f>
        <v>Completed</v>
      </c>
      <c r="R254" s="64">
        <v>42672</v>
      </c>
      <c r="S254" s="64" t="s">
        <v>43</v>
      </c>
      <c r="T254" s="65">
        <v>34</v>
      </c>
      <c r="U254" s="65">
        <v>58</v>
      </c>
      <c r="V254" s="65">
        <v>58</v>
      </c>
      <c r="W254" s="65"/>
      <c r="X254" s="65"/>
      <c r="Y254" s="74" t="s">
        <v>44</v>
      </c>
      <c r="Z254" s="56" t="s">
        <v>1472</v>
      </c>
      <c r="AA254" s="249"/>
      <c r="AB254" s="151" t="s">
        <v>94</v>
      </c>
      <c r="AC254" s="151" t="s">
        <v>94</v>
      </c>
      <c r="AD254" s="345"/>
    </row>
    <row r="255" spans="1:30" s="66" customFormat="1">
      <c r="A255" s="75" t="s">
        <v>331</v>
      </c>
      <c r="B255" s="59"/>
      <c r="C255" s="57">
        <v>42720</v>
      </c>
      <c r="D255" s="65">
        <v>1061000</v>
      </c>
      <c r="E255" s="65" t="s">
        <v>29</v>
      </c>
      <c r="F255" s="65" t="s">
        <v>94</v>
      </c>
      <c r="G255" s="58" t="s">
        <v>1443</v>
      </c>
      <c r="H255" s="58" t="s">
        <v>1456</v>
      </c>
      <c r="I255" s="60">
        <v>367</v>
      </c>
      <c r="J255" s="58" t="s">
        <v>29</v>
      </c>
      <c r="K255" s="58" t="s">
        <v>29</v>
      </c>
      <c r="L255" s="58" t="s">
        <v>94</v>
      </c>
      <c r="M255" s="58" t="s">
        <v>94</v>
      </c>
      <c r="N255" s="61" t="s">
        <v>2058</v>
      </c>
      <c r="O255" s="58" t="s">
        <v>2059</v>
      </c>
      <c r="P255" s="58" t="s">
        <v>1459</v>
      </c>
      <c r="Q255" s="63" t="str">
        <f>IF(V255&lt;&gt;"","Completed","")</f>
        <v>Completed</v>
      </c>
      <c r="R255" s="64">
        <v>42649</v>
      </c>
      <c r="S255" s="64" t="s">
        <v>104</v>
      </c>
      <c r="T255" s="65">
        <v>26</v>
      </c>
      <c r="U255" s="65"/>
      <c r="V255" s="256">
        <v>52</v>
      </c>
      <c r="W255" s="65"/>
      <c r="X255" s="65"/>
      <c r="Y255" s="74" t="s">
        <v>44</v>
      </c>
      <c r="Z255" s="56" t="s">
        <v>1481</v>
      </c>
      <c r="AA255" s="249"/>
      <c r="AB255" s="151" t="s">
        <v>94</v>
      </c>
      <c r="AC255" s="324" t="s">
        <v>29</v>
      </c>
      <c r="AD255" s="352" t="s">
        <v>2060</v>
      </c>
    </row>
    <row r="256" spans="1:30" s="66" customFormat="1">
      <c r="A256" s="75" t="s">
        <v>845</v>
      </c>
      <c r="B256" s="59"/>
      <c r="C256" s="57">
        <v>42688</v>
      </c>
      <c r="D256" s="65"/>
      <c r="E256" s="65" t="s">
        <v>29</v>
      </c>
      <c r="F256" s="65" t="s">
        <v>29</v>
      </c>
      <c r="G256" s="58" t="s">
        <v>1443</v>
      </c>
      <c r="H256" s="58" t="s">
        <v>1444</v>
      </c>
      <c r="I256" s="60">
        <v>242</v>
      </c>
      <c r="J256" s="58" t="s">
        <v>94</v>
      </c>
      <c r="K256" s="58" t="s">
        <v>29</v>
      </c>
      <c r="L256" s="58" t="s">
        <v>94</v>
      </c>
      <c r="M256" s="58" t="s">
        <v>29</v>
      </c>
      <c r="N256" s="61" t="s">
        <v>2061</v>
      </c>
      <c r="O256" s="58" t="s">
        <v>2062</v>
      </c>
      <c r="P256" s="58" t="s">
        <v>1459</v>
      </c>
      <c r="Q256" s="63" t="str">
        <f>IF(V256&lt;&gt;"","Completed","")</f>
        <v>Completed</v>
      </c>
      <c r="R256" s="64">
        <v>42651</v>
      </c>
      <c r="S256" s="386" t="s">
        <v>397</v>
      </c>
      <c r="T256" s="65">
        <v>21</v>
      </c>
      <c r="U256" s="65">
        <v>42</v>
      </c>
      <c r="V256" s="65">
        <v>42</v>
      </c>
      <c r="W256" s="65"/>
      <c r="X256" s="65"/>
      <c r="Y256" s="74" t="s">
        <v>44</v>
      </c>
      <c r="Z256" s="56" t="s">
        <v>2063</v>
      </c>
      <c r="AA256" s="249"/>
      <c r="AB256" s="65" t="s">
        <v>94</v>
      </c>
      <c r="AC256" s="65" t="s">
        <v>94</v>
      </c>
      <c r="AD256" s="345"/>
    </row>
    <row r="257" spans="1:30" s="66" customFormat="1">
      <c r="A257" s="261" t="s">
        <v>710</v>
      </c>
      <c r="B257" s="56"/>
      <c r="C257" s="57">
        <v>42762</v>
      </c>
      <c r="D257" s="65"/>
      <c r="E257" s="65" t="s">
        <v>29</v>
      </c>
      <c r="F257" s="65" t="s">
        <v>29</v>
      </c>
      <c r="G257" s="63"/>
      <c r="H257" s="63"/>
      <c r="I257" s="63"/>
      <c r="J257" s="63"/>
      <c r="K257" s="63"/>
      <c r="L257" s="63"/>
      <c r="M257" s="63"/>
      <c r="N257" s="68" t="s">
        <v>2064</v>
      </c>
      <c r="O257" s="76" t="s">
        <v>2065</v>
      </c>
      <c r="P257" s="63"/>
      <c r="Q257" s="63" t="str">
        <f>IF(V257&lt;&gt;"","Completed","")</f>
        <v>Completed</v>
      </c>
      <c r="R257" s="64">
        <v>42770</v>
      </c>
      <c r="S257" s="64" t="s">
        <v>149</v>
      </c>
      <c r="T257" s="242">
        <v>9</v>
      </c>
      <c r="U257" s="242">
        <v>18</v>
      </c>
      <c r="V257" s="242">
        <v>18</v>
      </c>
      <c r="W257" s="65"/>
      <c r="X257" s="65"/>
      <c r="Y257" s="74" t="s">
        <v>44</v>
      </c>
      <c r="Z257" s="345" t="s">
        <v>1442</v>
      </c>
      <c r="AA257" s="92"/>
      <c r="AB257" s="242" t="s">
        <v>94</v>
      </c>
      <c r="AC257" s="242" t="s">
        <v>29</v>
      </c>
      <c r="AD257" s="345"/>
    </row>
    <row r="258" spans="1:30" s="66" customFormat="1">
      <c r="A258" s="333" t="s">
        <v>559</v>
      </c>
      <c r="B258" s="305"/>
      <c r="C258" s="57">
        <v>42793</v>
      </c>
      <c r="D258" s="109"/>
      <c r="E258" s="151" t="s">
        <v>29</v>
      </c>
      <c r="F258" s="151" t="s">
        <v>29</v>
      </c>
      <c r="G258" s="306"/>
      <c r="H258" s="306"/>
      <c r="I258" s="307"/>
      <c r="J258" s="306"/>
      <c r="K258" s="306"/>
      <c r="L258" s="306"/>
      <c r="M258" s="306"/>
      <c r="N258" s="77" t="s">
        <v>2066</v>
      </c>
      <c r="O258" s="78" t="s">
        <v>2067</v>
      </c>
      <c r="P258" s="306"/>
      <c r="Q258" s="63" t="str">
        <f>IF(V258&lt;&gt;"","Completed","")</f>
        <v>Completed</v>
      </c>
      <c r="R258" s="64">
        <v>42756</v>
      </c>
      <c r="S258" s="64" t="s">
        <v>80</v>
      </c>
      <c r="T258" s="65">
        <v>48</v>
      </c>
      <c r="U258" s="65">
        <v>82</v>
      </c>
      <c r="V258" s="65">
        <v>82</v>
      </c>
      <c r="W258" s="65"/>
      <c r="X258" s="65"/>
      <c r="Y258" s="74" t="s">
        <v>44</v>
      </c>
      <c r="Z258" s="56" t="s">
        <v>1668</v>
      </c>
      <c r="AA258" s="252"/>
      <c r="AB258" s="65" t="s">
        <v>94</v>
      </c>
      <c r="AC258" s="74" t="s">
        <v>94</v>
      </c>
      <c r="AD258" s="56"/>
    </row>
    <row r="259" spans="1:30" s="66" customFormat="1">
      <c r="A259" s="333" t="s">
        <v>124</v>
      </c>
      <c r="B259" s="59"/>
      <c r="C259" s="57">
        <v>42741</v>
      </c>
      <c r="D259" s="65">
        <v>4016000</v>
      </c>
      <c r="E259" s="65" t="s">
        <v>29</v>
      </c>
      <c r="F259" s="65" t="s">
        <v>29</v>
      </c>
      <c r="G259" s="58"/>
      <c r="H259" s="58"/>
      <c r="I259" s="60"/>
      <c r="J259" s="58"/>
      <c r="K259" s="58"/>
      <c r="L259" s="58"/>
      <c r="M259" s="58"/>
      <c r="N259" s="260" t="s">
        <v>2068</v>
      </c>
      <c r="O259" s="58" t="s">
        <v>2069</v>
      </c>
      <c r="P259" s="58"/>
      <c r="Q259" s="63" t="str">
        <f>IF(V259&lt;&gt;"","Completed","")</f>
        <v>Completed</v>
      </c>
      <c r="R259" s="64">
        <v>42672</v>
      </c>
      <c r="S259" s="64" t="s">
        <v>57</v>
      </c>
      <c r="T259" s="65">
        <v>5</v>
      </c>
      <c r="U259" s="65">
        <v>10</v>
      </c>
      <c r="V259" s="65">
        <v>10</v>
      </c>
      <c r="W259" s="65"/>
      <c r="X259" s="65"/>
      <c r="Y259" s="74" t="s">
        <v>44</v>
      </c>
      <c r="Z259" s="56" t="s">
        <v>1481</v>
      </c>
      <c r="AA259" s="252"/>
      <c r="AB259" s="328" t="s">
        <v>94</v>
      </c>
      <c r="AC259" s="328" t="s">
        <v>29</v>
      </c>
      <c r="AD259" s="56"/>
    </row>
    <row r="260" spans="1:30" s="66" customFormat="1">
      <c r="A260" s="75" t="s">
        <v>502</v>
      </c>
      <c r="B260" s="59"/>
      <c r="C260" s="57">
        <v>42794</v>
      </c>
      <c r="D260" s="65"/>
      <c r="E260" s="65" t="s">
        <v>29</v>
      </c>
      <c r="F260" s="65" t="s">
        <v>29</v>
      </c>
      <c r="G260" s="58"/>
      <c r="H260" s="58"/>
      <c r="I260" s="60"/>
      <c r="J260" s="58"/>
      <c r="K260" s="58"/>
      <c r="L260" s="58"/>
      <c r="M260" s="58"/>
      <c r="N260" s="251" t="s">
        <v>2070</v>
      </c>
      <c r="O260" s="58" t="s">
        <v>2071</v>
      </c>
      <c r="P260" s="58"/>
      <c r="Q260" s="63" t="str">
        <f>IF(V260&lt;&gt;"","Completed","")</f>
        <v>Completed</v>
      </c>
      <c r="R260" s="64">
        <v>42756</v>
      </c>
      <c r="S260" s="64" t="s">
        <v>57</v>
      </c>
      <c r="T260" s="65">
        <v>49</v>
      </c>
      <c r="U260" s="65">
        <v>86</v>
      </c>
      <c r="V260" s="65">
        <v>86</v>
      </c>
      <c r="W260" s="65"/>
      <c r="X260" s="65"/>
      <c r="Y260" s="74" t="s">
        <v>44</v>
      </c>
      <c r="Z260" s="56" t="s">
        <v>1884</v>
      </c>
      <c r="AA260" s="249"/>
      <c r="AB260" s="65" t="s">
        <v>94</v>
      </c>
      <c r="AC260" s="65" t="s">
        <v>29</v>
      </c>
      <c r="AD260" s="56"/>
    </row>
    <row r="261" spans="1:30" s="66" customFormat="1">
      <c r="A261" s="331" t="s">
        <v>1206</v>
      </c>
      <c r="B261" s="59"/>
      <c r="C261" s="57">
        <v>42726</v>
      </c>
      <c r="D261" s="65"/>
      <c r="E261" s="65" t="s">
        <v>29</v>
      </c>
      <c r="F261" s="65" t="s">
        <v>29</v>
      </c>
      <c r="G261" s="58" t="s">
        <v>1443</v>
      </c>
      <c r="H261" s="58" t="s">
        <v>1444</v>
      </c>
      <c r="I261" s="60">
        <v>295</v>
      </c>
      <c r="J261" s="58" t="s">
        <v>94</v>
      </c>
      <c r="K261" s="58" t="s">
        <v>29</v>
      </c>
      <c r="L261" s="58" t="s">
        <v>94</v>
      </c>
      <c r="M261" s="58" t="s">
        <v>29</v>
      </c>
      <c r="N261" s="61" t="s">
        <v>2072</v>
      </c>
      <c r="O261" s="58" t="s">
        <v>2073</v>
      </c>
      <c r="P261" s="58" t="s">
        <v>1459</v>
      </c>
      <c r="Q261" s="63" t="str">
        <f>IF(V261&lt;&gt;"","Completed","")</f>
        <v>Completed</v>
      </c>
      <c r="R261" s="64">
        <v>42665</v>
      </c>
      <c r="S261" s="64" t="s">
        <v>114</v>
      </c>
      <c r="T261" s="65">
        <v>44</v>
      </c>
      <c r="U261" s="65">
        <v>78</v>
      </c>
      <c r="V261" s="65">
        <v>78</v>
      </c>
      <c r="W261" s="65"/>
      <c r="X261" s="65"/>
      <c r="Y261" s="74" t="s">
        <v>44</v>
      </c>
      <c r="Z261" s="56" t="s">
        <v>1632</v>
      </c>
      <c r="AA261" s="252"/>
      <c r="AB261" s="65" t="s">
        <v>94</v>
      </c>
      <c r="AC261" s="65" t="s">
        <v>29</v>
      </c>
      <c r="AD261" s="345"/>
    </row>
    <row r="262" spans="1:30" s="66" customFormat="1">
      <c r="A262" s="245" t="s">
        <v>567</v>
      </c>
      <c r="B262" s="62" t="s">
        <v>417</v>
      </c>
      <c r="C262" s="57">
        <v>42648</v>
      </c>
      <c r="D262" s="65"/>
      <c r="E262" s="65" t="s">
        <v>29</v>
      </c>
      <c r="F262" s="65" t="s">
        <v>29</v>
      </c>
      <c r="G262" s="58" t="s">
        <v>1443</v>
      </c>
      <c r="H262" s="58" t="s">
        <v>1444</v>
      </c>
      <c r="I262" s="60">
        <v>434</v>
      </c>
      <c r="J262" s="58" t="s">
        <v>94</v>
      </c>
      <c r="K262" s="58" t="s">
        <v>29</v>
      </c>
      <c r="L262" s="58" t="s">
        <v>29</v>
      </c>
      <c r="M262" s="58" t="s">
        <v>29</v>
      </c>
      <c r="N262" s="61" t="s">
        <v>2074</v>
      </c>
      <c r="O262" s="58" t="s">
        <v>2075</v>
      </c>
      <c r="P262" s="58" t="s">
        <v>1459</v>
      </c>
      <c r="Q262" s="63" t="str">
        <f>IF(V262&lt;&gt;"","Completed","")</f>
        <v>Completed</v>
      </c>
      <c r="R262" s="64">
        <v>42637</v>
      </c>
      <c r="S262" s="64" t="s">
        <v>222</v>
      </c>
      <c r="T262" s="65">
        <v>30</v>
      </c>
      <c r="U262" s="242">
        <v>58</v>
      </c>
      <c r="V262" s="242">
        <v>58</v>
      </c>
      <c r="W262" s="65"/>
      <c r="X262" s="65"/>
      <c r="Y262" s="74" t="s">
        <v>44</v>
      </c>
      <c r="Z262" s="56" t="s">
        <v>1533</v>
      </c>
      <c r="AA262" s="92"/>
      <c r="AB262" s="65" t="s">
        <v>94</v>
      </c>
      <c r="AC262" s="242" t="s">
        <v>29</v>
      </c>
      <c r="AD262" s="345"/>
    </row>
    <row r="263" spans="1:30" s="66" customFormat="1">
      <c r="A263" s="332" t="s">
        <v>647</v>
      </c>
      <c r="B263" s="59"/>
      <c r="C263" s="57">
        <v>42787</v>
      </c>
      <c r="D263" s="65"/>
      <c r="E263" s="65" t="s">
        <v>29</v>
      </c>
      <c r="F263" s="65" t="s">
        <v>29</v>
      </c>
      <c r="G263" s="58" t="s">
        <v>1443</v>
      </c>
      <c r="H263" s="58" t="s">
        <v>1444</v>
      </c>
      <c r="I263" s="60">
        <v>339</v>
      </c>
      <c r="J263" s="58" t="s">
        <v>94</v>
      </c>
      <c r="K263" s="58" t="s">
        <v>29</v>
      </c>
      <c r="L263" s="58" t="s">
        <v>29</v>
      </c>
      <c r="M263" s="58" t="s">
        <v>29</v>
      </c>
      <c r="N263" s="61" t="s">
        <v>2076</v>
      </c>
      <c r="O263" s="58" t="s">
        <v>2077</v>
      </c>
      <c r="P263" s="58" t="s">
        <v>1459</v>
      </c>
      <c r="Q263" s="63" t="str">
        <f>IF(V263&lt;&gt;"","Completed","")</f>
        <v>Completed</v>
      </c>
      <c r="R263" s="319">
        <v>42742</v>
      </c>
      <c r="S263" s="319" t="s">
        <v>57</v>
      </c>
      <c r="T263" s="65">
        <v>37</v>
      </c>
      <c r="U263" s="65">
        <v>54</v>
      </c>
      <c r="V263" s="65">
        <v>54</v>
      </c>
      <c r="W263" s="65"/>
      <c r="X263" s="65"/>
      <c r="Y263" s="74" t="s">
        <v>44</v>
      </c>
      <c r="Z263" s="56" t="s">
        <v>1500</v>
      </c>
      <c r="AA263" s="252"/>
      <c r="AB263" s="65" t="s">
        <v>94</v>
      </c>
      <c r="AC263" s="65" t="s">
        <v>94</v>
      </c>
      <c r="AD263" s="345"/>
    </row>
    <row r="264" spans="1:30" s="66" customFormat="1">
      <c r="A264" s="331" t="s">
        <v>1206</v>
      </c>
      <c r="B264" s="59"/>
      <c r="C264" s="57">
        <v>42744</v>
      </c>
      <c r="D264" s="65"/>
      <c r="E264" s="65" t="s">
        <v>29</v>
      </c>
      <c r="F264" s="65" t="s">
        <v>29</v>
      </c>
      <c r="G264" s="58" t="s">
        <v>1443</v>
      </c>
      <c r="H264" s="58" t="s">
        <v>1444</v>
      </c>
      <c r="I264" s="60">
        <v>0</v>
      </c>
      <c r="J264" s="58" t="s">
        <v>94</v>
      </c>
      <c r="K264" s="58" t="s">
        <v>29</v>
      </c>
      <c r="L264" s="58" t="s">
        <v>94</v>
      </c>
      <c r="M264" s="58" t="s">
        <v>29</v>
      </c>
      <c r="N264" s="61" t="s">
        <v>2078</v>
      </c>
      <c r="O264" s="58" t="s">
        <v>2079</v>
      </c>
      <c r="P264" s="58" t="s">
        <v>1459</v>
      </c>
      <c r="Q264" s="63" t="str">
        <f>IF(V264&lt;&gt;"","Completed","")</f>
        <v>Completed</v>
      </c>
      <c r="R264" s="64">
        <v>42704</v>
      </c>
      <c r="S264" s="64" t="s">
        <v>57</v>
      </c>
      <c r="T264" s="242">
        <v>34</v>
      </c>
      <c r="U264" s="242">
        <v>66</v>
      </c>
      <c r="V264" s="242">
        <v>66</v>
      </c>
      <c r="W264" s="242"/>
      <c r="X264" s="242"/>
      <c r="Y264" s="74" t="s">
        <v>44</v>
      </c>
      <c r="Z264" s="345" t="s">
        <v>1508</v>
      </c>
      <c r="AA264" s="252"/>
      <c r="AB264" s="329" t="s">
        <v>94</v>
      </c>
      <c r="AC264" s="329" t="s">
        <v>94</v>
      </c>
      <c r="AD264" s="345"/>
    </row>
    <row r="265" spans="1:30" s="66" customFormat="1">
      <c r="A265" s="75" t="s">
        <v>1022</v>
      </c>
      <c r="B265" s="59"/>
      <c r="C265" s="57">
        <v>42698</v>
      </c>
      <c r="D265" s="65"/>
      <c r="E265" s="65" t="s">
        <v>29</v>
      </c>
      <c r="F265" s="65" t="s">
        <v>29</v>
      </c>
      <c r="G265" s="58" t="s">
        <v>1443</v>
      </c>
      <c r="H265" s="58" t="s">
        <v>1456</v>
      </c>
      <c r="I265" s="60">
        <v>0</v>
      </c>
      <c r="J265" s="58" t="s">
        <v>94</v>
      </c>
      <c r="K265" s="58" t="s">
        <v>29</v>
      </c>
      <c r="L265" s="58" t="s">
        <v>94</v>
      </c>
      <c r="M265" s="58" t="s">
        <v>29</v>
      </c>
      <c r="N265" s="61" t="s">
        <v>2080</v>
      </c>
      <c r="O265" s="58" t="s">
        <v>2081</v>
      </c>
      <c r="P265" s="58" t="s">
        <v>1459</v>
      </c>
      <c r="Q265" s="63" t="str">
        <f>IF(V265&lt;&gt;"","Completed","")</f>
        <v>Completed</v>
      </c>
      <c r="R265" s="64">
        <v>42672</v>
      </c>
      <c r="S265" s="64" t="s">
        <v>80</v>
      </c>
      <c r="T265" s="65">
        <v>20</v>
      </c>
      <c r="U265" s="65">
        <v>40</v>
      </c>
      <c r="V265" s="65">
        <v>40</v>
      </c>
      <c r="W265" s="65"/>
      <c r="X265" s="65"/>
      <c r="Y265" s="74" t="s">
        <v>44</v>
      </c>
      <c r="Z265" s="56" t="s">
        <v>1497</v>
      </c>
      <c r="AA265" s="249"/>
      <c r="AB265" s="74" t="s">
        <v>94</v>
      </c>
      <c r="AC265" s="242" t="s">
        <v>29</v>
      </c>
      <c r="AD265" s="345"/>
    </row>
    <row r="266" spans="1:30" s="66" customFormat="1">
      <c r="A266" s="75" t="s">
        <v>959</v>
      </c>
      <c r="B266" s="59"/>
      <c r="C266" s="57">
        <v>42741</v>
      </c>
      <c r="D266" s="65"/>
      <c r="E266" s="65" t="s">
        <v>29</v>
      </c>
      <c r="F266" s="65" t="s">
        <v>29</v>
      </c>
      <c r="G266" s="58"/>
      <c r="H266" s="58"/>
      <c r="I266" s="60"/>
      <c r="J266" s="58"/>
      <c r="K266" s="58"/>
      <c r="L266" s="58"/>
      <c r="M266" s="58"/>
      <c r="N266" s="59">
        <v>2610002</v>
      </c>
      <c r="O266" s="58" t="s">
        <v>2082</v>
      </c>
      <c r="P266" s="58" t="s">
        <v>1447</v>
      </c>
      <c r="Q266" s="63" t="str">
        <f>IF(V266&lt;&gt;"","Completed","")</f>
        <v>Completed</v>
      </c>
      <c r="R266" s="64">
        <v>42706</v>
      </c>
      <c r="S266" s="64" t="s">
        <v>57</v>
      </c>
      <c r="T266" s="65">
        <v>50</v>
      </c>
      <c r="U266" s="65">
        <v>95</v>
      </c>
      <c r="V266" s="65">
        <v>95</v>
      </c>
      <c r="W266" s="65"/>
      <c r="X266" s="65"/>
      <c r="Y266" s="74" t="s">
        <v>44</v>
      </c>
      <c r="Z266" s="56" t="s">
        <v>1824</v>
      </c>
      <c r="AA266" s="252"/>
      <c r="AB266" s="74" t="s">
        <v>94</v>
      </c>
      <c r="AC266" s="65" t="s">
        <v>94</v>
      </c>
      <c r="AD266" s="345"/>
    </row>
    <row r="267" spans="1:30" s="66" customFormat="1">
      <c r="A267" s="261" t="s">
        <v>81</v>
      </c>
      <c r="B267" s="63" t="s">
        <v>82</v>
      </c>
      <c r="C267" s="112">
        <v>42709</v>
      </c>
      <c r="D267" s="315">
        <v>1008000</v>
      </c>
      <c r="E267" s="57" t="s">
        <v>29</v>
      </c>
      <c r="F267" s="65" t="s">
        <v>29</v>
      </c>
      <c r="G267" s="63" t="s">
        <v>1443</v>
      </c>
      <c r="H267" s="63" t="s">
        <v>1456</v>
      </c>
      <c r="I267" s="58">
        <v>320</v>
      </c>
      <c r="J267" s="58" t="s">
        <v>94</v>
      </c>
      <c r="K267" s="60" t="s">
        <v>29</v>
      </c>
      <c r="L267" s="58" t="s">
        <v>94</v>
      </c>
      <c r="M267" s="58" t="s">
        <v>29</v>
      </c>
      <c r="N267" s="373" t="s">
        <v>2083</v>
      </c>
      <c r="O267" s="373" t="s">
        <v>2084</v>
      </c>
      <c r="P267" s="61" t="s">
        <v>1447</v>
      </c>
      <c r="Q267" s="63" t="str">
        <f>IF(V267&lt;&gt;"","Completed","")</f>
        <v>Completed</v>
      </c>
      <c r="R267" s="57">
        <v>42615</v>
      </c>
      <c r="S267" s="57" t="s">
        <v>80</v>
      </c>
      <c r="T267" s="65">
        <v>78</v>
      </c>
      <c r="U267" s="273">
        <v>127</v>
      </c>
      <c r="V267" s="273">
        <v>127</v>
      </c>
      <c r="W267" s="273"/>
      <c r="X267" s="273"/>
      <c r="Y267" s="74" t="s">
        <v>44</v>
      </c>
      <c r="Z267" s="148" t="s">
        <v>2085</v>
      </c>
      <c r="AA267" s="104"/>
      <c r="AB267" s="242" t="s">
        <v>94</v>
      </c>
      <c r="AC267" s="242" t="s">
        <v>29</v>
      </c>
      <c r="AD267" s="56"/>
    </row>
    <row r="268" spans="1:30" s="66" customFormat="1">
      <c r="A268" s="338" t="s">
        <v>529</v>
      </c>
      <c r="B268" s="305"/>
      <c r="C268" s="311">
        <v>42780</v>
      </c>
      <c r="D268" s="109"/>
      <c r="E268" s="151" t="s">
        <v>29</v>
      </c>
      <c r="F268" s="151" t="s">
        <v>29</v>
      </c>
      <c r="G268" s="306"/>
      <c r="H268" s="306"/>
      <c r="I268" s="307"/>
      <c r="J268" s="306"/>
      <c r="K268" s="306"/>
      <c r="L268" s="306"/>
      <c r="M268" s="306"/>
      <c r="N268" s="269" t="s">
        <v>2086</v>
      </c>
      <c r="O268" s="344" t="s">
        <v>2087</v>
      </c>
      <c r="P268" s="306"/>
      <c r="Q268" s="63" t="str">
        <f>IF(V268&lt;&gt;"","Completed","")</f>
        <v>Completed</v>
      </c>
      <c r="R268" s="310">
        <v>42703</v>
      </c>
      <c r="S268" s="310" t="s">
        <v>57</v>
      </c>
      <c r="T268" s="65">
        <v>33</v>
      </c>
      <c r="U268" s="65">
        <v>54</v>
      </c>
      <c r="V268" s="65">
        <v>54</v>
      </c>
      <c r="W268" s="65"/>
      <c r="X268" s="65"/>
      <c r="Y268" s="74" t="s">
        <v>44</v>
      </c>
      <c r="Z268" s="345" t="s">
        <v>1508</v>
      </c>
      <c r="AA268" s="252">
        <f>V268</f>
        <v>54</v>
      </c>
      <c r="AB268" s="65" t="s">
        <v>94</v>
      </c>
      <c r="AC268" s="65" t="s">
        <v>29</v>
      </c>
      <c r="AD268" s="345"/>
    </row>
    <row r="269" spans="1:30" s="66" customFormat="1">
      <c r="A269" s="331" t="s">
        <v>1206</v>
      </c>
      <c r="B269" s="59"/>
      <c r="C269" s="57">
        <v>42713</v>
      </c>
      <c r="D269" s="65"/>
      <c r="E269" s="65" t="s">
        <v>29</v>
      </c>
      <c r="F269" s="65" t="s">
        <v>29</v>
      </c>
      <c r="G269" s="58" t="s">
        <v>1443</v>
      </c>
      <c r="H269" s="58" t="s">
        <v>1444</v>
      </c>
      <c r="I269" s="60">
        <v>178</v>
      </c>
      <c r="J269" s="58" t="s">
        <v>94</v>
      </c>
      <c r="K269" s="58" t="s">
        <v>29</v>
      </c>
      <c r="L269" s="58" t="s">
        <v>94</v>
      </c>
      <c r="M269" s="58" t="s">
        <v>29</v>
      </c>
      <c r="N269" s="61" t="s">
        <v>2088</v>
      </c>
      <c r="O269" s="58" t="s">
        <v>2089</v>
      </c>
      <c r="P269" s="58" t="s">
        <v>1459</v>
      </c>
      <c r="Q269" s="63" t="str">
        <f>IF(V269&lt;&gt;"","Completed","")</f>
        <v>Completed</v>
      </c>
      <c r="R269" s="64">
        <v>42665</v>
      </c>
      <c r="S269" s="64" t="s">
        <v>114</v>
      </c>
      <c r="T269" s="65">
        <v>41</v>
      </c>
      <c r="U269" s="65">
        <v>80</v>
      </c>
      <c r="V269" s="65">
        <v>80</v>
      </c>
      <c r="W269" s="65"/>
      <c r="X269" s="65"/>
      <c r="Y269" s="74" t="s">
        <v>44</v>
      </c>
      <c r="Z269" s="56" t="s">
        <v>2090</v>
      </c>
      <c r="AA269" s="252"/>
      <c r="AB269" s="65" t="s">
        <v>94</v>
      </c>
      <c r="AC269" s="65" t="s">
        <v>1453</v>
      </c>
      <c r="AD269" s="345" t="s">
        <v>2091</v>
      </c>
    </row>
    <row r="270" spans="1:30" s="66" customFormat="1">
      <c r="A270" s="75" t="s">
        <v>664</v>
      </c>
      <c r="B270" s="59"/>
      <c r="C270" s="57"/>
      <c r="D270" s="65"/>
      <c r="E270" s="65" t="s">
        <v>29</v>
      </c>
      <c r="F270" s="65" t="s">
        <v>29</v>
      </c>
      <c r="G270" s="58" t="s">
        <v>1443</v>
      </c>
      <c r="H270" s="58" t="s">
        <v>1456</v>
      </c>
      <c r="I270" s="60">
        <v>441</v>
      </c>
      <c r="J270" s="58" t="s">
        <v>94</v>
      </c>
      <c r="K270" s="58" t="s">
        <v>29</v>
      </c>
      <c r="L270" s="58" t="s">
        <v>94</v>
      </c>
      <c r="M270" s="58" t="s">
        <v>29</v>
      </c>
      <c r="N270" s="61" t="s">
        <v>2092</v>
      </c>
      <c r="O270" s="58" t="s">
        <v>2093</v>
      </c>
      <c r="P270" s="58" t="s">
        <v>1447</v>
      </c>
      <c r="Q270" s="63" t="str">
        <f>IF(V270&lt;&gt;"","Completed","")</f>
        <v>Completed</v>
      </c>
      <c r="R270" s="64">
        <v>42635</v>
      </c>
      <c r="S270" s="64" t="s">
        <v>222</v>
      </c>
      <c r="T270" s="65">
        <v>11</v>
      </c>
      <c r="U270" s="65">
        <v>21</v>
      </c>
      <c r="V270" s="65">
        <v>21</v>
      </c>
      <c r="W270" s="65"/>
      <c r="X270" s="65"/>
      <c r="Y270" s="74" t="s">
        <v>44</v>
      </c>
      <c r="Z270" s="56" t="s">
        <v>1494</v>
      </c>
      <c r="AA270" s="249"/>
      <c r="AB270" s="242" t="s">
        <v>94</v>
      </c>
      <c r="AC270" s="65"/>
      <c r="AD270" s="345"/>
    </row>
    <row r="271" spans="1:30" s="66" customFormat="1">
      <c r="A271" s="332" t="s">
        <v>2094</v>
      </c>
      <c r="B271" s="59"/>
      <c r="C271" s="57">
        <v>42674</v>
      </c>
      <c r="D271" s="65"/>
      <c r="E271" s="65" t="s">
        <v>29</v>
      </c>
      <c r="F271" s="65" t="s">
        <v>29</v>
      </c>
      <c r="G271" s="58" t="s">
        <v>1461</v>
      </c>
      <c r="H271" s="58" t="s">
        <v>1456</v>
      </c>
      <c r="I271" s="60">
        <v>0</v>
      </c>
      <c r="J271" s="58" t="s">
        <v>94</v>
      </c>
      <c r="K271" s="58" t="s">
        <v>29</v>
      </c>
      <c r="L271" s="58" t="s">
        <v>29</v>
      </c>
      <c r="M271" s="58" t="s">
        <v>29</v>
      </c>
      <c r="N271" s="61" t="s">
        <v>2095</v>
      </c>
      <c r="O271" s="292" t="s">
        <v>2096</v>
      </c>
      <c r="P271" s="58" t="s">
        <v>1459</v>
      </c>
      <c r="Q271" s="63" t="str">
        <f>IF(V271&lt;&gt;"","Completed","")</f>
        <v>Completed</v>
      </c>
      <c r="R271" s="64">
        <v>42633</v>
      </c>
      <c r="S271" s="64" t="s">
        <v>222</v>
      </c>
      <c r="T271" s="242">
        <v>17</v>
      </c>
      <c r="U271" s="242">
        <v>34</v>
      </c>
      <c r="V271" s="242">
        <v>34</v>
      </c>
      <c r="W271" s="242"/>
      <c r="X271" s="242"/>
      <c r="Y271" s="74" t="s">
        <v>44</v>
      </c>
      <c r="Z271" s="56" t="s">
        <v>1521</v>
      </c>
      <c r="AA271" s="252">
        <f>V271</f>
        <v>34</v>
      </c>
      <c r="AB271" s="347" t="s">
        <v>94</v>
      </c>
      <c r="AC271" s="242" t="s">
        <v>29</v>
      </c>
      <c r="AD271" s="345"/>
    </row>
    <row r="272" spans="1:30" s="66" customFormat="1">
      <c r="A272" s="75" t="s">
        <v>929</v>
      </c>
      <c r="B272" s="59"/>
      <c r="C272" s="57">
        <v>42790</v>
      </c>
      <c r="D272" s="65"/>
      <c r="E272" s="65" t="s">
        <v>29</v>
      </c>
      <c r="F272" s="65" t="s">
        <v>94</v>
      </c>
      <c r="G272" s="58" t="s">
        <v>1443</v>
      </c>
      <c r="H272" s="58" t="s">
        <v>1444</v>
      </c>
      <c r="I272" s="60">
        <v>253</v>
      </c>
      <c r="J272" s="58" t="s">
        <v>94</v>
      </c>
      <c r="K272" s="58" t="s">
        <v>29</v>
      </c>
      <c r="L272" s="58" t="s">
        <v>94</v>
      </c>
      <c r="M272" s="58" t="s">
        <v>94</v>
      </c>
      <c r="N272" s="61" t="s">
        <v>2097</v>
      </c>
      <c r="O272" s="58" t="s">
        <v>2098</v>
      </c>
      <c r="P272" s="58" t="s">
        <v>1447</v>
      </c>
      <c r="Q272" s="63" t="str">
        <f>IF(V272&lt;&gt;"","Completed","")</f>
        <v>Completed</v>
      </c>
      <c r="R272" s="64">
        <v>42635</v>
      </c>
      <c r="S272" s="386" t="s">
        <v>172</v>
      </c>
      <c r="T272" s="65">
        <v>17</v>
      </c>
      <c r="U272" s="256">
        <v>32</v>
      </c>
      <c r="V272" s="256">
        <v>32</v>
      </c>
      <c r="W272" s="65"/>
      <c r="X272" s="65"/>
      <c r="Y272" s="74" t="s">
        <v>44</v>
      </c>
      <c r="Z272" s="56" t="s">
        <v>1515</v>
      </c>
      <c r="AA272" s="249"/>
      <c r="AB272" s="65" t="s">
        <v>94</v>
      </c>
      <c r="AC272" s="65" t="s">
        <v>29</v>
      </c>
      <c r="AD272" s="345"/>
    </row>
    <row r="273" spans="1:30" s="66" customFormat="1">
      <c r="A273" s="75" t="s">
        <v>1022</v>
      </c>
      <c r="B273" s="59"/>
      <c r="C273" s="57">
        <v>42718</v>
      </c>
      <c r="D273" s="65"/>
      <c r="E273" s="65" t="s">
        <v>29</v>
      </c>
      <c r="F273" s="65" t="s">
        <v>29</v>
      </c>
      <c r="G273" s="58" t="s">
        <v>1443</v>
      </c>
      <c r="H273" s="58" t="s">
        <v>1456</v>
      </c>
      <c r="I273" s="60">
        <v>241</v>
      </c>
      <c r="J273" s="58" t="s">
        <v>94</v>
      </c>
      <c r="K273" s="58" t="s">
        <v>29</v>
      </c>
      <c r="L273" s="58" t="s">
        <v>94</v>
      </c>
      <c r="M273" s="58" t="s">
        <v>29</v>
      </c>
      <c r="N273" s="61" t="s">
        <v>2099</v>
      </c>
      <c r="O273" s="58" t="s">
        <v>2100</v>
      </c>
      <c r="P273" s="58" t="s">
        <v>1447</v>
      </c>
      <c r="Q273" s="63" t="str">
        <f>IF(V273&lt;&gt;"","Completed","")</f>
        <v>Completed</v>
      </c>
      <c r="R273" s="64">
        <v>42693</v>
      </c>
      <c r="S273" s="64" t="s">
        <v>80</v>
      </c>
      <c r="T273" s="65">
        <v>36</v>
      </c>
      <c r="U273" s="65">
        <v>56</v>
      </c>
      <c r="V273" s="65">
        <v>56</v>
      </c>
      <c r="W273" s="65"/>
      <c r="X273" s="65"/>
      <c r="Y273" s="74" t="s">
        <v>44</v>
      </c>
      <c r="Z273" s="56" t="s">
        <v>1491</v>
      </c>
      <c r="AA273" s="249"/>
      <c r="AB273" s="74" t="s">
        <v>94</v>
      </c>
      <c r="AC273" s="65" t="s">
        <v>94</v>
      </c>
      <c r="AD273" s="345"/>
    </row>
    <row r="274" spans="1:30" s="66" customFormat="1">
      <c r="A274" s="75" t="s">
        <v>487</v>
      </c>
      <c r="B274" s="59"/>
      <c r="C274" s="57">
        <v>42726</v>
      </c>
      <c r="D274" s="65"/>
      <c r="E274" s="65" t="s">
        <v>29</v>
      </c>
      <c r="F274" s="65" t="s">
        <v>29</v>
      </c>
      <c r="G274" s="58" t="s">
        <v>1443</v>
      </c>
      <c r="H274" s="58" t="s">
        <v>1456</v>
      </c>
      <c r="I274" s="60">
        <v>603</v>
      </c>
      <c r="J274" s="58" t="s">
        <v>29</v>
      </c>
      <c r="K274" s="58" t="s">
        <v>29</v>
      </c>
      <c r="L274" s="58" t="s">
        <v>94</v>
      </c>
      <c r="M274" s="58" t="s">
        <v>29</v>
      </c>
      <c r="N274" s="61" t="s">
        <v>2101</v>
      </c>
      <c r="O274" s="58" t="s">
        <v>2102</v>
      </c>
      <c r="P274" s="58" t="s">
        <v>1447</v>
      </c>
      <c r="Q274" s="63" t="str">
        <f>IF(V274&lt;&gt;"","Completed","")</f>
        <v>Completed</v>
      </c>
      <c r="R274" s="64">
        <v>42672</v>
      </c>
      <c r="S274" s="64" t="s">
        <v>114</v>
      </c>
      <c r="T274" s="65">
        <v>108</v>
      </c>
      <c r="U274" s="65">
        <v>166</v>
      </c>
      <c r="V274" s="65">
        <v>166</v>
      </c>
      <c r="W274" s="65"/>
      <c r="X274" s="65"/>
      <c r="Y274" s="74" t="s">
        <v>44</v>
      </c>
      <c r="Z274" s="56" t="s">
        <v>1602</v>
      </c>
      <c r="AA274" s="252"/>
      <c r="AB274" s="325" t="s">
        <v>94</v>
      </c>
      <c r="AC274" s="325" t="s">
        <v>29</v>
      </c>
      <c r="AD274" s="345"/>
    </row>
    <row r="275" spans="1:30" s="66" customFormat="1">
      <c r="A275" s="75" t="s">
        <v>838</v>
      </c>
      <c r="B275" s="59"/>
      <c r="C275" s="57">
        <v>42648</v>
      </c>
      <c r="D275" s="65"/>
      <c r="E275" s="65" t="s">
        <v>29</v>
      </c>
      <c r="F275" s="65" t="s">
        <v>29</v>
      </c>
      <c r="G275" s="58" t="s">
        <v>1443</v>
      </c>
      <c r="H275" s="58" t="s">
        <v>1456</v>
      </c>
      <c r="I275" s="60">
        <v>433</v>
      </c>
      <c r="J275" s="58" t="s">
        <v>94</v>
      </c>
      <c r="K275" s="58" t="s">
        <v>29</v>
      </c>
      <c r="L275" s="58" t="s">
        <v>94</v>
      </c>
      <c r="M275" s="58" t="s">
        <v>29</v>
      </c>
      <c r="N275" s="61" t="s">
        <v>2103</v>
      </c>
      <c r="O275" s="58" t="s">
        <v>2104</v>
      </c>
      <c r="P275" s="58" t="s">
        <v>1459</v>
      </c>
      <c r="Q275" s="63" t="str">
        <f>IF(V275&lt;&gt;"","Completed","")</f>
        <v>Completed</v>
      </c>
      <c r="R275" s="64">
        <v>42635</v>
      </c>
      <c r="S275" s="64" t="s">
        <v>222</v>
      </c>
      <c r="T275" s="65">
        <v>9</v>
      </c>
      <c r="U275" s="65">
        <v>18</v>
      </c>
      <c r="V275" s="65">
        <v>18</v>
      </c>
      <c r="W275" s="65"/>
      <c r="X275" s="65"/>
      <c r="Y275" s="74" t="s">
        <v>44</v>
      </c>
      <c r="Z275" s="56" t="s">
        <v>1533</v>
      </c>
      <c r="AA275" s="252"/>
      <c r="AB275" s="242" t="s">
        <v>94</v>
      </c>
      <c r="AC275" s="65"/>
      <c r="AD275" s="345"/>
    </row>
    <row r="276" spans="1:30" s="66" customFormat="1">
      <c r="A276" s="332" t="s">
        <v>1022</v>
      </c>
      <c r="B276" s="59"/>
      <c r="C276" s="57">
        <v>42727</v>
      </c>
      <c r="D276" s="65"/>
      <c r="E276" s="65" t="s">
        <v>29</v>
      </c>
      <c r="F276" s="65" t="s">
        <v>29</v>
      </c>
      <c r="G276" s="58" t="s">
        <v>1443</v>
      </c>
      <c r="H276" s="58" t="s">
        <v>1456</v>
      </c>
      <c r="I276" s="60">
        <v>383</v>
      </c>
      <c r="J276" s="58" t="s">
        <v>94</v>
      </c>
      <c r="K276" s="58" t="s">
        <v>29</v>
      </c>
      <c r="L276" s="58" t="s">
        <v>94</v>
      </c>
      <c r="M276" s="58" t="s">
        <v>29</v>
      </c>
      <c r="N276" s="61" t="s">
        <v>2105</v>
      </c>
      <c r="O276" s="58" t="s">
        <v>2106</v>
      </c>
      <c r="P276" s="58" t="s">
        <v>1459</v>
      </c>
      <c r="Q276" s="63" t="str">
        <f>IF(V276&lt;&gt;"","Completed","")</f>
        <v>Completed</v>
      </c>
      <c r="R276" s="319">
        <v>42712</v>
      </c>
      <c r="S276" s="64" t="s">
        <v>80</v>
      </c>
      <c r="T276" s="242">
        <v>85</v>
      </c>
      <c r="U276" s="242">
        <v>170</v>
      </c>
      <c r="V276" s="242">
        <v>170</v>
      </c>
      <c r="W276" s="242"/>
      <c r="X276" s="242"/>
      <c r="Y276" s="74" t="s">
        <v>44</v>
      </c>
      <c r="Z276" s="345" t="s">
        <v>1605</v>
      </c>
      <c r="AA276" s="249"/>
      <c r="AB276" s="242" t="s">
        <v>94</v>
      </c>
      <c r="AC276" s="65"/>
      <c r="AD276" s="345"/>
    </row>
    <row r="277" spans="1:30" s="66" customFormat="1">
      <c r="A277" s="332" t="s">
        <v>212</v>
      </c>
      <c r="B277" s="59"/>
      <c r="C277" s="57">
        <v>42709</v>
      </c>
      <c r="D277" s="65">
        <v>3031000</v>
      </c>
      <c r="E277" s="65" t="s">
        <v>29</v>
      </c>
      <c r="F277" s="65" t="s">
        <v>29</v>
      </c>
      <c r="G277" s="58" t="s">
        <v>1443</v>
      </c>
      <c r="H277" s="58" t="s">
        <v>1456</v>
      </c>
      <c r="I277" s="60">
        <v>380</v>
      </c>
      <c r="J277" s="58" t="s">
        <v>94</v>
      </c>
      <c r="K277" s="58" t="s">
        <v>29</v>
      </c>
      <c r="L277" s="58" t="s">
        <v>94</v>
      </c>
      <c r="M277" s="58" t="s">
        <v>29</v>
      </c>
      <c r="N277" s="61" t="s">
        <v>2107</v>
      </c>
      <c r="O277" s="58" t="s">
        <v>2108</v>
      </c>
      <c r="P277" s="58" t="s">
        <v>1459</v>
      </c>
      <c r="Q277" s="63" t="str">
        <f>IF(V277&lt;&gt;"","Completed","")</f>
        <v>Completed</v>
      </c>
      <c r="R277" s="64">
        <v>42637</v>
      </c>
      <c r="S277" s="64" t="s">
        <v>222</v>
      </c>
      <c r="T277" s="65">
        <v>24</v>
      </c>
      <c r="U277" s="242">
        <v>46</v>
      </c>
      <c r="V277" s="242">
        <v>46</v>
      </c>
      <c r="W277" s="65"/>
      <c r="X277" s="65"/>
      <c r="Y277" s="74" t="s">
        <v>44</v>
      </c>
      <c r="Z277" s="56" t="s">
        <v>1530</v>
      </c>
      <c r="AA277" s="249"/>
      <c r="AB277" s="242" t="s">
        <v>94</v>
      </c>
      <c r="AC277" s="242" t="s">
        <v>29</v>
      </c>
      <c r="AD277" s="345"/>
    </row>
    <row r="278" spans="1:30" s="66" customFormat="1">
      <c r="A278" s="75" t="s">
        <v>231</v>
      </c>
      <c r="B278" s="59"/>
      <c r="C278" s="57">
        <v>42748</v>
      </c>
      <c r="D278" s="65">
        <v>2032000</v>
      </c>
      <c r="E278" s="65" t="s">
        <v>29</v>
      </c>
      <c r="F278" s="65" t="s">
        <v>29</v>
      </c>
      <c r="G278" s="58" t="s">
        <v>1443</v>
      </c>
      <c r="H278" s="58" t="s">
        <v>1449</v>
      </c>
      <c r="I278" s="60">
        <v>0</v>
      </c>
      <c r="J278" s="58" t="s">
        <v>94</v>
      </c>
      <c r="K278" s="58" t="s">
        <v>29</v>
      </c>
      <c r="L278" s="58" t="s">
        <v>29</v>
      </c>
      <c r="M278" s="58" t="s">
        <v>29</v>
      </c>
      <c r="N278" s="61" t="s">
        <v>2109</v>
      </c>
      <c r="O278" s="58" t="s">
        <v>2110</v>
      </c>
      <c r="P278" s="58" t="s">
        <v>1447</v>
      </c>
      <c r="Q278" s="63" t="str">
        <f>IF(V278&lt;&gt;"","Completed","")</f>
        <v>Completed</v>
      </c>
      <c r="R278" s="64">
        <v>42642</v>
      </c>
      <c r="S278" s="64" t="s">
        <v>43</v>
      </c>
      <c r="T278" s="65">
        <v>45</v>
      </c>
      <c r="U278" s="65">
        <v>94</v>
      </c>
      <c r="V278" s="65">
        <v>94</v>
      </c>
      <c r="W278" s="65"/>
      <c r="X278" s="65"/>
      <c r="Y278" s="74" t="s">
        <v>44</v>
      </c>
      <c r="Z278" s="56" t="s">
        <v>1452</v>
      </c>
      <c r="AA278" s="252"/>
      <c r="AB278" s="151" t="s">
        <v>94</v>
      </c>
      <c r="AC278" s="151" t="s">
        <v>29</v>
      </c>
      <c r="AD278" s="56"/>
    </row>
    <row r="279" spans="1:30">
      <c r="A279" s="75" t="s">
        <v>818</v>
      </c>
      <c r="B279" s="59"/>
      <c r="C279" s="57">
        <v>42663</v>
      </c>
      <c r="E279" s="65" t="s">
        <v>29</v>
      </c>
      <c r="F279" s="65" t="s">
        <v>29</v>
      </c>
      <c r="G279" s="58" t="s">
        <v>1443</v>
      </c>
      <c r="H279" s="58" t="s">
        <v>1456</v>
      </c>
      <c r="I279" s="60">
        <v>346</v>
      </c>
      <c r="J279" s="58" t="s">
        <v>29</v>
      </c>
      <c r="K279" s="58" t="s">
        <v>29</v>
      </c>
      <c r="L279" s="58" t="s">
        <v>29</v>
      </c>
      <c r="M279" s="58" t="s">
        <v>29</v>
      </c>
      <c r="N279" s="61" t="s">
        <v>2111</v>
      </c>
      <c r="O279" s="58" t="s">
        <v>2112</v>
      </c>
      <c r="P279" s="58" t="s">
        <v>1459</v>
      </c>
      <c r="Q279" s="63" t="str">
        <f>IF(V279&lt;&gt;"","Completed","")</f>
        <v>Completed</v>
      </c>
      <c r="R279" s="64">
        <v>42650</v>
      </c>
      <c r="S279" s="64" t="s">
        <v>222</v>
      </c>
      <c r="T279" s="65">
        <v>98</v>
      </c>
      <c r="U279" s="65">
        <v>155</v>
      </c>
      <c r="V279" s="65">
        <v>155</v>
      </c>
      <c r="Y279" s="74" t="s">
        <v>44</v>
      </c>
      <c r="Z279" s="56" t="s">
        <v>1515</v>
      </c>
      <c r="AA279" s="249"/>
      <c r="AB279" s="242" t="s">
        <v>94</v>
      </c>
    </row>
    <row r="280" spans="1:30">
      <c r="A280" s="63" t="s">
        <v>28</v>
      </c>
      <c r="B280" s="63"/>
      <c r="C280" s="111">
        <v>42726</v>
      </c>
      <c r="D280" s="106"/>
      <c r="E280" s="57" t="s">
        <v>29</v>
      </c>
      <c r="F280" s="65" t="s">
        <v>29</v>
      </c>
      <c r="G280" s="63" t="s">
        <v>1443</v>
      </c>
      <c r="H280" s="63" t="s">
        <v>1444</v>
      </c>
      <c r="I280" s="58">
        <v>0</v>
      </c>
      <c r="J280" s="58" t="s">
        <v>94</v>
      </c>
      <c r="K280" s="60" t="s">
        <v>29</v>
      </c>
      <c r="L280" s="58" t="s">
        <v>29</v>
      </c>
      <c r="M280" s="58" t="s">
        <v>29</v>
      </c>
      <c r="N280" s="58" t="s">
        <v>2113</v>
      </c>
      <c r="O280" s="58" t="s">
        <v>2114</v>
      </c>
      <c r="P280" s="61" t="s">
        <v>1459</v>
      </c>
      <c r="Q280" s="63" t="str">
        <f>IF(V280&lt;&gt;"","Completed","")</f>
        <v>Completed</v>
      </c>
      <c r="R280" s="57">
        <v>42658</v>
      </c>
      <c r="S280" s="64" t="s">
        <v>43</v>
      </c>
      <c r="T280" s="65">
        <v>11</v>
      </c>
      <c r="U280" s="273">
        <v>21</v>
      </c>
      <c r="V280" s="273">
        <v>21</v>
      </c>
      <c r="W280" s="273"/>
      <c r="X280" s="273"/>
      <c r="Y280" s="74" t="s">
        <v>44</v>
      </c>
      <c r="Z280" s="145" t="s">
        <v>1627</v>
      </c>
      <c r="AA280" s="342"/>
      <c r="AB280" s="65" t="s">
        <v>94</v>
      </c>
      <c r="AC280" s="65" t="s">
        <v>29</v>
      </c>
      <c r="AD280" s="350"/>
    </row>
    <row r="281" spans="1:30">
      <c r="A281" s="244" t="s">
        <v>366</v>
      </c>
      <c r="B281" s="62" t="s">
        <v>354</v>
      </c>
      <c r="C281" s="57">
        <v>42741</v>
      </c>
      <c r="E281" s="65" t="s">
        <v>29</v>
      </c>
      <c r="F281" s="65" t="s">
        <v>29</v>
      </c>
      <c r="G281" s="58" t="s">
        <v>1443</v>
      </c>
      <c r="H281" s="58" t="s">
        <v>1444</v>
      </c>
      <c r="I281" s="60">
        <v>0</v>
      </c>
      <c r="J281" s="58" t="s">
        <v>94</v>
      </c>
      <c r="K281" s="58" t="s">
        <v>29</v>
      </c>
      <c r="L281" s="58" t="s">
        <v>29</v>
      </c>
      <c r="M281" s="58" t="s">
        <v>29</v>
      </c>
      <c r="N281" s="61" t="s">
        <v>2115</v>
      </c>
      <c r="O281" s="58" t="s">
        <v>2116</v>
      </c>
      <c r="P281" s="58" t="s">
        <v>1459</v>
      </c>
      <c r="Q281" s="63" t="str">
        <f>IF(V281&lt;&gt;"","Completed","")</f>
        <v>Completed</v>
      </c>
      <c r="R281" s="268">
        <v>42706</v>
      </c>
      <c r="S281" s="268" t="s">
        <v>114</v>
      </c>
      <c r="T281" s="65">
        <v>47</v>
      </c>
      <c r="U281" s="65">
        <v>92</v>
      </c>
      <c r="V281" s="65">
        <v>92</v>
      </c>
      <c r="Y281" s="74" t="s">
        <v>44</v>
      </c>
      <c r="Z281" s="56" t="s">
        <v>1791</v>
      </c>
      <c r="AA281" s="252">
        <f>SUM(V280:V281)</f>
        <v>113</v>
      </c>
      <c r="AB281" s="65" t="s">
        <v>94</v>
      </c>
      <c r="AC281" s="65" t="s">
        <v>29</v>
      </c>
    </row>
    <row r="282" spans="1:30">
      <c r="A282" s="75" t="s">
        <v>664</v>
      </c>
      <c r="B282" s="59"/>
      <c r="C282" s="57"/>
      <c r="E282" s="65" t="s">
        <v>29</v>
      </c>
      <c r="F282" s="65" t="s">
        <v>29</v>
      </c>
      <c r="G282" s="58" t="s">
        <v>1443</v>
      </c>
      <c r="H282" s="58" t="s">
        <v>1449</v>
      </c>
      <c r="I282" s="60">
        <v>514</v>
      </c>
      <c r="J282" s="58" t="s">
        <v>29</v>
      </c>
      <c r="K282" s="58" t="s">
        <v>29</v>
      </c>
      <c r="L282" s="58" t="s">
        <v>94</v>
      </c>
      <c r="M282" s="58" t="s">
        <v>29</v>
      </c>
      <c r="N282" s="61" t="s">
        <v>2117</v>
      </c>
      <c r="O282" s="58" t="s">
        <v>2118</v>
      </c>
      <c r="P282" s="58" t="s">
        <v>1447</v>
      </c>
      <c r="Q282" s="63" t="str">
        <f>IF(V282&lt;&gt;"","Completed","")</f>
        <v>Completed</v>
      </c>
      <c r="R282" s="64">
        <v>42640</v>
      </c>
      <c r="S282" s="64" t="s">
        <v>222</v>
      </c>
      <c r="T282" s="65">
        <v>73</v>
      </c>
      <c r="U282" s="65">
        <v>124</v>
      </c>
      <c r="V282" s="65">
        <v>124</v>
      </c>
      <c r="Y282" s="74" t="s">
        <v>44</v>
      </c>
      <c r="Z282" s="56" t="s">
        <v>1663</v>
      </c>
      <c r="AA282" s="249"/>
      <c r="AB282" s="242" t="s">
        <v>94</v>
      </c>
    </row>
    <row r="283" spans="1:30">
      <c r="A283" s="75" t="s">
        <v>736</v>
      </c>
      <c r="B283" s="59"/>
      <c r="C283" s="57">
        <v>42716</v>
      </c>
      <c r="E283" s="65" t="s">
        <v>29</v>
      </c>
      <c r="F283" s="65" t="s">
        <v>29</v>
      </c>
      <c r="G283" s="58" t="s">
        <v>1443</v>
      </c>
      <c r="H283" s="58" t="s">
        <v>1444</v>
      </c>
      <c r="I283" s="60">
        <v>0</v>
      </c>
      <c r="J283" s="58" t="s">
        <v>94</v>
      </c>
      <c r="K283" s="58" t="s">
        <v>29</v>
      </c>
      <c r="L283" s="58" t="s">
        <v>29</v>
      </c>
      <c r="M283" s="58" t="s">
        <v>29</v>
      </c>
      <c r="N283" s="61" t="s">
        <v>2119</v>
      </c>
      <c r="O283" s="58" t="s">
        <v>2120</v>
      </c>
      <c r="P283" s="58" t="s">
        <v>1447</v>
      </c>
      <c r="Q283" s="63" t="str">
        <f>IF(V283&lt;&gt;"","Completed","")</f>
        <v>Completed</v>
      </c>
      <c r="R283" s="64">
        <v>42682</v>
      </c>
      <c r="S283" s="64" t="s">
        <v>433</v>
      </c>
      <c r="T283" s="65">
        <v>18</v>
      </c>
      <c r="U283" s="65">
        <v>28</v>
      </c>
      <c r="V283" s="65">
        <v>28</v>
      </c>
      <c r="Y283" s="74" t="s">
        <v>44</v>
      </c>
      <c r="Z283" s="56" t="s">
        <v>1508</v>
      </c>
      <c r="AA283" s="249"/>
      <c r="AB283" s="74" t="s">
        <v>94</v>
      </c>
      <c r="AC283" s="65" t="s">
        <v>29</v>
      </c>
    </row>
    <row r="284" spans="1:30">
      <c r="A284" s="75" t="s">
        <v>929</v>
      </c>
      <c r="B284" s="59"/>
      <c r="C284" s="57">
        <v>42790</v>
      </c>
      <c r="E284" s="65" t="s">
        <v>29</v>
      </c>
      <c r="F284" s="65" t="s">
        <v>94</v>
      </c>
      <c r="G284" s="58" t="s">
        <v>1509</v>
      </c>
      <c r="H284" s="58" t="s">
        <v>1444</v>
      </c>
      <c r="I284" s="60">
        <v>0</v>
      </c>
      <c r="J284" s="58" t="s">
        <v>94</v>
      </c>
      <c r="K284" s="58" t="s">
        <v>29</v>
      </c>
      <c r="L284" s="58" t="s">
        <v>94</v>
      </c>
      <c r="M284" s="58" t="s">
        <v>94</v>
      </c>
      <c r="N284" s="61" t="s">
        <v>2121</v>
      </c>
      <c r="O284" s="58" t="s">
        <v>2122</v>
      </c>
      <c r="P284" s="58" t="s">
        <v>1447</v>
      </c>
      <c r="Q284" s="63" t="str">
        <f>IF(V284&lt;&gt;"","Completed","")</f>
        <v>Completed</v>
      </c>
      <c r="R284" s="64">
        <v>42644</v>
      </c>
      <c r="S284" s="386" t="s">
        <v>172</v>
      </c>
      <c r="T284" s="65">
        <v>4</v>
      </c>
      <c r="U284" s="256">
        <v>8</v>
      </c>
      <c r="V284" s="256">
        <v>8</v>
      </c>
      <c r="Y284" s="74" t="s">
        <v>44</v>
      </c>
      <c r="Z284" s="56" t="s">
        <v>1838</v>
      </c>
      <c r="AA284" s="249"/>
      <c r="AB284" s="65" t="s">
        <v>94</v>
      </c>
      <c r="AC284" s="65" t="s">
        <v>29</v>
      </c>
    </row>
    <row r="285" spans="1:30">
      <c r="A285" s="75" t="s">
        <v>1087</v>
      </c>
      <c r="B285" s="59"/>
      <c r="C285" s="57">
        <v>42768</v>
      </c>
      <c r="E285" s="65" t="s">
        <v>29</v>
      </c>
      <c r="F285" s="65" t="s">
        <v>94</v>
      </c>
      <c r="G285" s="58"/>
      <c r="H285" s="58"/>
      <c r="I285" s="60"/>
      <c r="J285" s="58"/>
      <c r="K285" s="58"/>
      <c r="L285" s="58"/>
      <c r="M285" s="58"/>
      <c r="N285" s="71" t="s">
        <v>2123</v>
      </c>
      <c r="O285" s="72" t="s">
        <v>2124</v>
      </c>
      <c r="P285" s="58"/>
      <c r="Q285" s="63" t="str">
        <f>IF(V285&lt;&gt;"","Completed","")</f>
        <v>Completed</v>
      </c>
      <c r="R285" s="64">
        <v>42749</v>
      </c>
      <c r="S285" s="64" t="s">
        <v>104</v>
      </c>
      <c r="T285" s="242">
        <v>48</v>
      </c>
      <c r="U285" s="242"/>
      <c r="V285" s="369">
        <v>77</v>
      </c>
      <c r="W285" s="242"/>
      <c r="X285" s="242"/>
      <c r="Y285" s="347" t="s">
        <v>44</v>
      </c>
      <c r="Z285" s="345" t="s">
        <v>1940</v>
      </c>
      <c r="AA285" s="92"/>
      <c r="AB285" s="65" t="s">
        <v>94</v>
      </c>
      <c r="AC285" s="65" t="s">
        <v>29</v>
      </c>
    </row>
    <row r="286" spans="1:30">
      <c r="A286" s="332" t="s">
        <v>542</v>
      </c>
      <c r="B286" s="59"/>
      <c r="C286" s="57">
        <v>42654</v>
      </c>
      <c r="E286" s="65" t="s">
        <v>29</v>
      </c>
      <c r="F286" s="65" t="s">
        <v>29</v>
      </c>
      <c r="G286" s="58" t="s">
        <v>1443</v>
      </c>
      <c r="H286" s="58" t="s">
        <v>1444</v>
      </c>
      <c r="I286" s="60">
        <v>0</v>
      </c>
      <c r="J286" s="58" t="s">
        <v>94</v>
      </c>
      <c r="K286" s="58" t="s">
        <v>29</v>
      </c>
      <c r="L286" s="58" t="s">
        <v>94</v>
      </c>
      <c r="M286" s="58" t="s">
        <v>29</v>
      </c>
      <c r="N286" s="375" t="s">
        <v>2125</v>
      </c>
      <c r="O286" s="373" t="s">
        <v>2126</v>
      </c>
      <c r="P286" s="58" t="s">
        <v>1459</v>
      </c>
      <c r="Q286" s="63" t="str">
        <f>IF(V286&lt;&gt;"","Completed","")</f>
        <v>Completed</v>
      </c>
      <c r="R286" s="64">
        <v>42630</v>
      </c>
      <c r="S286" s="64" t="s">
        <v>80</v>
      </c>
      <c r="T286" s="323">
        <v>4</v>
      </c>
      <c r="U286" s="242">
        <v>8</v>
      </c>
      <c r="V286" s="242">
        <v>8</v>
      </c>
      <c r="Y286" s="74" t="s">
        <v>44</v>
      </c>
      <c r="Z286" s="257" t="s">
        <v>1530</v>
      </c>
      <c r="AA286" s="252"/>
      <c r="AB286" s="242" t="s">
        <v>94</v>
      </c>
      <c r="AC286" s="242" t="s">
        <v>29</v>
      </c>
    </row>
    <row r="287" spans="1:30">
      <c r="A287" s="332" t="s">
        <v>542</v>
      </c>
      <c r="B287" s="59"/>
      <c r="C287" s="57">
        <v>42703</v>
      </c>
      <c r="E287" s="65" t="s">
        <v>29</v>
      </c>
      <c r="F287" s="65" t="s">
        <v>29</v>
      </c>
      <c r="G287" s="58" t="s">
        <v>1443</v>
      </c>
      <c r="H287" s="58" t="s">
        <v>1444</v>
      </c>
      <c r="I287" s="60">
        <v>0</v>
      </c>
      <c r="J287" s="58" t="s">
        <v>94</v>
      </c>
      <c r="K287" s="58" t="s">
        <v>29</v>
      </c>
      <c r="L287" s="58" t="s">
        <v>94</v>
      </c>
      <c r="M287" s="58" t="s">
        <v>29</v>
      </c>
      <c r="N287" s="375" t="s">
        <v>2127</v>
      </c>
      <c r="O287" s="373" t="s">
        <v>2128</v>
      </c>
      <c r="P287" s="58" t="s">
        <v>1459</v>
      </c>
      <c r="Q287" s="63" t="str">
        <f>IF(V287&lt;&gt;"","Completed","")</f>
        <v>Completed</v>
      </c>
      <c r="R287" s="64">
        <v>42630</v>
      </c>
      <c r="S287" s="64" t="s">
        <v>80</v>
      </c>
      <c r="T287" s="323">
        <v>21</v>
      </c>
      <c r="U287" s="242">
        <v>41</v>
      </c>
      <c r="V287" s="242">
        <v>41</v>
      </c>
      <c r="Y287" s="74" t="s">
        <v>44</v>
      </c>
      <c r="Z287" s="257" t="s">
        <v>2129</v>
      </c>
      <c r="AA287" s="252"/>
      <c r="AB287" s="242" t="s">
        <v>94</v>
      </c>
      <c r="AC287" s="347" t="s">
        <v>29</v>
      </c>
    </row>
    <row r="288" spans="1:30">
      <c r="A288" s="332" t="s">
        <v>542</v>
      </c>
      <c r="B288" s="59"/>
      <c r="C288" s="57"/>
      <c r="E288" s="65" t="s">
        <v>29</v>
      </c>
      <c r="F288" s="65" t="s">
        <v>29</v>
      </c>
      <c r="G288" s="58" t="s">
        <v>1443</v>
      </c>
      <c r="H288" s="58"/>
      <c r="I288" s="60"/>
      <c r="J288" s="58"/>
      <c r="K288" s="58"/>
      <c r="L288" s="58"/>
      <c r="M288" s="58"/>
      <c r="N288" s="375" t="s">
        <v>2130</v>
      </c>
      <c r="O288" s="373" t="s">
        <v>2131</v>
      </c>
      <c r="P288" s="58" t="s">
        <v>1459</v>
      </c>
      <c r="Q288" s="63" t="str">
        <f>IF(V288&lt;&gt;"","Completed","")</f>
        <v>Completed</v>
      </c>
      <c r="R288" s="64">
        <v>42630</v>
      </c>
      <c r="S288" s="64" t="s">
        <v>80</v>
      </c>
      <c r="T288" s="323">
        <v>22</v>
      </c>
      <c r="U288" s="242">
        <v>44</v>
      </c>
      <c r="V288" s="242">
        <v>44</v>
      </c>
      <c r="Y288" s="74" t="s">
        <v>44</v>
      </c>
      <c r="Z288" s="257" t="s">
        <v>2129</v>
      </c>
      <c r="AA288" s="252"/>
      <c r="AB288" s="242" t="s">
        <v>94</v>
      </c>
      <c r="AC288" s="242" t="s">
        <v>94</v>
      </c>
    </row>
    <row r="289" spans="1:30">
      <c r="A289" s="75" t="s">
        <v>973</v>
      </c>
      <c r="B289" s="59"/>
      <c r="C289" s="57">
        <v>42761</v>
      </c>
      <c r="E289" s="65" t="s">
        <v>29</v>
      </c>
      <c r="F289" s="65" t="s">
        <v>29</v>
      </c>
      <c r="G289" s="58" t="s">
        <v>1443</v>
      </c>
      <c r="H289" s="58" t="s">
        <v>1456</v>
      </c>
      <c r="I289" s="60">
        <v>0</v>
      </c>
      <c r="J289" s="58" t="s">
        <v>94</v>
      </c>
      <c r="K289" s="58" t="s">
        <v>29</v>
      </c>
      <c r="L289" s="58" t="s">
        <v>29</v>
      </c>
      <c r="M289" s="58" t="s">
        <v>29</v>
      </c>
      <c r="N289" s="61" t="s">
        <v>2132</v>
      </c>
      <c r="O289" s="58" t="s">
        <v>2133</v>
      </c>
      <c r="P289" s="58" t="s">
        <v>1459</v>
      </c>
      <c r="Q289" s="63" t="str">
        <f>IF(V289&lt;&gt;"","Completed","")</f>
        <v>Completed</v>
      </c>
      <c r="R289" s="64">
        <v>42712</v>
      </c>
      <c r="S289" s="64" t="s">
        <v>43</v>
      </c>
      <c r="T289" s="65">
        <v>9</v>
      </c>
      <c r="U289" s="65">
        <v>18</v>
      </c>
      <c r="V289" s="65">
        <v>18</v>
      </c>
      <c r="Y289" s="74" t="s">
        <v>44</v>
      </c>
      <c r="Z289" s="56" t="s">
        <v>1896</v>
      </c>
      <c r="AA289" s="252"/>
      <c r="AB289" s="65" t="s">
        <v>94</v>
      </c>
      <c r="AC289" s="65" t="s">
        <v>29</v>
      </c>
    </row>
    <row r="290" spans="1:30">
      <c r="A290" s="331" t="s">
        <v>1206</v>
      </c>
      <c r="B290" s="59"/>
      <c r="C290" s="57">
        <v>42772</v>
      </c>
      <c r="E290" s="65" t="s">
        <v>29</v>
      </c>
      <c r="F290" s="65" t="s">
        <v>29</v>
      </c>
      <c r="G290" s="58" t="s">
        <v>1443</v>
      </c>
      <c r="H290" s="58" t="s">
        <v>1444</v>
      </c>
      <c r="I290" s="60">
        <v>415</v>
      </c>
      <c r="J290" s="58" t="s">
        <v>29</v>
      </c>
      <c r="K290" s="58" t="s">
        <v>29</v>
      </c>
      <c r="L290" s="58" t="s">
        <v>94</v>
      </c>
      <c r="M290" s="58" t="s">
        <v>29</v>
      </c>
      <c r="N290" s="61" t="s">
        <v>2134</v>
      </c>
      <c r="O290" s="58" t="s">
        <v>2135</v>
      </c>
      <c r="P290" s="58" t="s">
        <v>1459</v>
      </c>
      <c r="Q290" s="63" t="str">
        <f>IF(V290&lt;&gt;"","Completed","")</f>
        <v>Completed</v>
      </c>
      <c r="R290" s="64">
        <v>42704</v>
      </c>
      <c r="S290" s="64" t="s">
        <v>57</v>
      </c>
      <c r="T290" s="65">
        <v>40</v>
      </c>
      <c r="U290" s="65">
        <v>80</v>
      </c>
      <c r="V290" s="65">
        <v>80</v>
      </c>
      <c r="Y290" s="74" t="s">
        <v>44</v>
      </c>
      <c r="Z290" s="56" t="s">
        <v>1536</v>
      </c>
      <c r="AA290" s="252"/>
      <c r="AB290" s="248" t="s">
        <v>94</v>
      </c>
      <c r="AC290" s="248" t="s">
        <v>29</v>
      </c>
    </row>
    <row r="291" spans="1:30">
      <c r="A291" s="75" t="s">
        <v>331</v>
      </c>
      <c r="B291" s="59"/>
      <c r="C291" s="57">
        <v>42709</v>
      </c>
      <c r="D291" s="65">
        <v>1061000</v>
      </c>
      <c r="E291" s="65" t="s">
        <v>29</v>
      </c>
      <c r="F291" s="65" t="s">
        <v>94</v>
      </c>
      <c r="G291" s="58" t="s">
        <v>1443</v>
      </c>
      <c r="H291" s="58" t="s">
        <v>1456</v>
      </c>
      <c r="I291" s="60">
        <v>324</v>
      </c>
      <c r="J291" s="58" t="s">
        <v>94</v>
      </c>
      <c r="K291" s="58" t="s">
        <v>29</v>
      </c>
      <c r="L291" s="58" t="s">
        <v>94</v>
      </c>
      <c r="M291" s="58" t="s">
        <v>94</v>
      </c>
      <c r="N291" s="61" t="s">
        <v>2136</v>
      </c>
      <c r="O291" s="58" t="s">
        <v>2137</v>
      </c>
      <c r="P291" s="58" t="s">
        <v>1459</v>
      </c>
      <c r="Q291" s="63" t="str">
        <f>IF(V291&lt;&gt;"","Completed","")</f>
        <v>Completed</v>
      </c>
      <c r="R291" s="64">
        <v>42647</v>
      </c>
      <c r="S291" s="401" t="s">
        <v>104</v>
      </c>
      <c r="T291" s="65">
        <v>15</v>
      </c>
      <c r="V291" s="256">
        <v>30</v>
      </c>
      <c r="Y291" s="74" t="s">
        <v>44</v>
      </c>
      <c r="Z291" s="56" t="s">
        <v>1481</v>
      </c>
      <c r="AA291" s="249"/>
      <c r="AB291" s="151" t="s">
        <v>94</v>
      </c>
      <c r="AC291" s="384" t="s">
        <v>29</v>
      </c>
      <c r="AD291" s="349"/>
    </row>
    <row r="292" spans="1:30">
      <c r="A292" s="331" t="s">
        <v>1206</v>
      </c>
      <c r="B292" s="59"/>
      <c r="C292" s="57">
        <v>42753</v>
      </c>
      <c r="E292" s="65" t="s">
        <v>29</v>
      </c>
      <c r="F292" s="65" t="s">
        <v>29</v>
      </c>
      <c r="G292" s="58" t="s">
        <v>1509</v>
      </c>
      <c r="H292" s="58" t="s">
        <v>1444</v>
      </c>
      <c r="I292" s="60">
        <v>0</v>
      </c>
      <c r="J292" s="58" t="s">
        <v>94</v>
      </c>
      <c r="K292" s="58" t="s">
        <v>29</v>
      </c>
      <c r="L292" s="58" t="s">
        <v>94</v>
      </c>
      <c r="M292" s="58" t="s">
        <v>29</v>
      </c>
      <c r="N292" s="61" t="s">
        <v>2138</v>
      </c>
      <c r="O292" s="58" t="s">
        <v>2139</v>
      </c>
      <c r="P292" s="58" t="s">
        <v>1447</v>
      </c>
      <c r="Q292" s="63" t="str">
        <f>IF(V292&lt;&gt;"","Completed","")</f>
        <v>Completed</v>
      </c>
      <c r="R292" s="64">
        <v>42711</v>
      </c>
      <c r="S292" s="64" t="s">
        <v>57</v>
      </c>
      <c r="T292" s="65">
        <v>8</v>
      </c>
      <c r="U292" s="65">
        <v>16</v>
      </c>
      <c r="V292" s="65">
        <v>16</v>
      </c>
      <c r="Y292" s="74" t="s">
        <v>44</v>
      </c>
      <c r="Z292" s="56" t="s">
        <v>1500</v>
      </c>
      <c r="AA292" s="252"/>
      <c r="AB292" s="329" t="s">
        <v>94</v>
      </c>
      <c r="AC292" s="329" t="s">
        <v>94</v>
      </c>
    </row>
    <row r="293" spans="1:30">
      <c r="A293" s="332" t="s">
        <v>1022</v>
      </c>
      <c r="B293" s="59"/>
      <c r="C293" s="57">
        <v>42773</v>
      </c>
      <c r="E293" s="65" t="s">
        <v>29</v>
      </c>
      <c r="F293" s="65" t="s">
        <v>29</v>
      </c>
      <c r="G293" s="58" t="s">
        <v>1443</v>
      </c>
      <c r="H293" s="58" t="s">
        <v>1456</v>
      </c>
      <c r="I293" s="60">
        <v>472</v>
      </c>
      <c r="J293" s="58" t="s">
        <v>94</v>
      </c>
      <c r="K293" s="58" t="s">
        <v>29</v>
      </c>
      <c r="L293" s="58" t="s">
        <v>94</v>
      </c>
      <c r="M293" s="58" t="s">
        <v>29</v>
      </c>
      <c r="N293" s="61" t="s">
        <v>2140</v>
      </c>
      <c r="O293" s="58" t="s">
        <v>2141</v>
      </c>
      <c r="P293" s="58" t="s">
        <v>1459</v>
      </c>
      <c r="Q293" s="63" t="str">
        <f>IF(V293&lt;&gt;"","Completed","")</f>
        <v>Completed</v>
      </c>
      <c r="R293" s="319">
        <v>42672</v>
      </c>
      <c r="S293" s="64" t="s">
        <v>80</v>
      </c>
      <c r="T293" s="242">
        <v>117</v>
      </c>
      <c r="U293" s="242">
        <v>145</v>
      </c>
      <c r="V293" s="242">
        <v>145</v>
      </c>
      <c r="W293" s="242"/>
      <c r="X293" s="242"/>
      <c r="Y293" s="74" t="s">
        <v>44</v>
      </c>
      <c r="Z293" s="345" t="s">
        <v>1497</v>
      </c>
      <c r="AA293" s="249"/>
      <c r="AB293" s="74" t="s">
        <v>94</v>
      </c>
      <c r="AC293" s="65" t="s">
        <v>94</v>
      </c>
    </row>
    <row r="294" spans="1:30">
      <c r="A294" s="75" t="s">
        <v>273</v>
      </c>
      <c r="B294" s="59"/>
      <c r="C294" s="57">
        <v>42746</v>
      </c>
      <c r="D294" s="65">
        <v>4044000</v>
      </c>
      <c r="E294" s="65" t="s">
        <v>29</v>
      </c>
      <c r="F294" s="65" t="s">
        <v>29</v>
      </c>
      <c r="G294" s="58" t="s">
        <v>1443</v>
      </c>
      <c r="H294" s="58" t="s">
        <v>1456</v>
      </c>
      <c r="I294" s="60">
        <v>0</v>
      </c>
      <c r="J294" s="58" t="s">
        <v>94</v>
      </c>
      <c r="K294" s="58" t="s">
        <v>29</v>
      </c>
      <c r="L294" s="58" t="s">
        <v>94</v>
      </c>
      <c r="M294" s="58" t="s">
        <v>29</v>
      </c>
      <c r="N294" s="61" t="s">
        <v>2142</v>
      </c>
      <c r="O294" s="58" t="s">
        <v>2143</v>
      </c>
      <c r="P294" s="58" t="s">
        <v>1447</v>
      </c>
      <c r="Q294" s="63" t="str">
        <f>IF(V294&lt;&gt;"","Completed","")</f>
        <v>Completed</v>
      </c>
      <c r="R294" s="341">
        <v>42670</v>
      </c>
      <c r="S294" s="341" t="s">
        <v>43</v>
      </c>
      <c r="T294" s="65">
        <v>61</v>
      </c>
      <c r="U294" s="256">
        <v>81</v>
      </c>
      <c r="V294" s="256">
        <v>81</v>
      </c>
      <c r="Y294" s="74" t="s">
        <v>44</v>
      </c>
      <c r="Z294" s="56" t="s">
        <v>1656</v>
      </c>
      <c r="AA294" s="252"/>
      <c r="AB294" s="151" t="s">
        <v>94</v>
      </c>
      <c r="AC294" s="151" t="s">
        <v>29</v>
      </c>
    </row>
    <row r="295" spans="1:30">
      <c r="A295" s="332" t="s">
        <v>694</v>
      </c>
      <c r="B295" s="59"/>
      <c r="C295" s="57">
        <v>42661</v>
      </c>
      <c r="E295" s="65" t="s">
        <v>29</v>
      </c>
      <c r="F295" s="65" t="s">
        <v>29</v>
      </c>
      <c r="G295" s="58" t="s">
        <v>1443</v>
      </c>
      <c r="H295" s="58" t="s">
        <v>1456</v>
      </c>
      <c r="I295" s="60">
        <v>0</v>
      </c>
      <c r="J295" s="58" t="s">
        <v>94</v>
      </c>
      <c r="K295" s="58" t="s">
        <v>29</v>
      </c>
      <c r="L295" s="58" t="s">
        <v>29</v>
      </c>
      <c r="M295" s="58" t="s">
        <v>29</v>
      </c>
      <c r="N295" s="375" t="s">
        <v>2144</v>
      </c>
      <c r="O295" s="373" t="s">
        <v>2145</v>
      </c>
      <c r="P295" s="58" t="s">
        <v>1459</v>
      </c>
      <c r="Q295" s="63" t="str">
        <f>IF(V295&lt;&gt;"","Completed","")</f>
        <v>Completed</v>
      </c>
      <c r="R295" s="64">
        <v>42644</v>
      </c>
      <c r="S295" s="64" t="s">
        <v>80</v>
      </c>
      <c r="T295" s="242">
        <v>38</v>
      </c>
      <c r="U295" s="242">
        <v>62</v>
      </c>
      <c r="V295" s="242">
        <v>62</v>
      </c>
      <c r="Y295" s="74" t="s">
        <v>44</v>
      </c>
      <c r="Z295" s="56" t="s">
        <v>1663</v>
      </c>
      <c r="AA295" s="252"/>
      <c r="AB295" s="242" t="s">
        <v>94</v>
      </c>
      <c r="AC295" s="347" t="s">
        <v>29</v>
      </c>
    </row>
    <row r="296" spans="1:30">
      <c r="A296" s="332" t="s">
        <v>1022</v>
      </c>
      <c r="B296" s="59"/>
      <c r="C296" s="57">
        <v>42727</v>
      </c>
      <c r="E296" s="65" t="s">
        <v>29</v>
      </c>
      <c r="F296" s="65" t="s">
        <v>29</v>
      </c>
      <c r="G296" s="58" t="s">
        <v>1443</v>
      </c>
      <c r="H296" s="58" t="s">
        <v>1456</v>
      </c>
      <c r="I296" s="60">
        <v>270</v>
      </c>
      <c r="J296" s="58" t="s">
        <v>94</v>
      </c>
      <c r="K296" s="58" t="s">
        <v>29</v>
      </c>
      <c r="L296" s="58" t="s">
        <v>94</v>
      </c>
      <c r="M296" s="58" t="s">
        <v>29</v>
      </c>
      <c r="N296" s="61" t="s">
        <v>2146</v>
      </c>
      <c r="O296" s="58" t="s">
        <v>2147</v>
      </c>
      <c r="P296" s="58" t="s">
        <v>1459</v>
      </c>
      <c r="Q296" s="63" t="str">
        <f>IF(V296&lt;&gt;"","Completed","")</f>
        <v>Completed</v>
      </c>
      <c r="R296" s="319">
        <v>42707</v>
      </c>
      <c r="S296" s="64" t="s">
        <v>80</v>
      </c>
      <c r="T296" s="242">
        <v>21</v>
      </c>
      <c r="U296" s="242">
        <v>35</v>
      </c>
      <c r="V296" s="242">
        <v>35</v>
      </c>
      <c r="W296" s="242"/>
      <c r="X296" s="242"/>
      <c r="Y296" s="74" t="s">
        <v>44</v>
      </c>
      <c r="Z296" s="345" t="s">
        <v>1605</v>
      </c>
      <c r="AA296" s="249"/>
      <c r="AB296" s="74" t="s">
        <v>94</v>
      </c>
      <c r="AC296" s="65" t="s">
        <v>29</v>
      </c>
    </row>
    <row r="297" spans="1:30">
      <c r="A297" s="332" t="s">
        <v>1022</v>
      </c>
      <c r="B297" s="59"/>
      <c r="C297" s="57">
        <v>42718</v>
      </c>
      <c r="E297" s="65" t="s">
        <v>29</v>
      </c>
      <c r="F297" s="65" t="s">
        <v>29</v>
      </c>
      <c r="G297" s="58" t="s">
        <v>1443</v>
      </c>
      <c r="H297" s="58" t="s">
        <v>1456</v>
      </c>
      <c r="I297" s="60">
        <v>288</v>
      </c>
      <c r="J297" s="58" t="s">
        <v>94</v>
      </c>
      <c r="K297" s="58" t="s">
        <v>29</v>
      </c>
      <c r="L297" s="58" t="s">
        <v>94</v>
      </c>
      <c r="M297" s="58" t="s">
        <v>29</v>
      </c>
      <c r="N297" s="61" t="s">
        <v>2148</v>
      </c>
      <c r="O297" s="58" t="s">
        <v>2149</v>
      </c>
      <c r="P297" s="58" t="s">
        <v>1459</v>
      </c>
      <c r="Q297" s="63" t="str">
        <f>IF(V297&lt;&gt;"","Completed","")</f>
        <v>Completed</v>
      </c>
      <c r="R297" s="319">
        <v>42693</v>
      </c>
      <c r="S297" s="64" t="s">
        <v>80</v>
      </c>
      <c r="T297" s="242">
        <v>49</v>
      </c>
      <c r="U297" s="242">
        <v>98</v>
      </c>
      <c r="V297" s="242">
        <v>98</v>
      </c>
      <c r="W297" s="242"/>
      <c r="X297" s="242"/>
      <c r="Y297" s="74" t="s">
        <v>44</v>
      </c>
      <c r="Z297" s="345" t="s">
        <v>1491</v>
      </c>
      <c r="AA297" s="249"/>
      <c r="AB297" s="74" t="s">
        <v>94</v>
      </c>
      <c r="AC297" s="65" t="s">
        <v>29</v>
      </c>
    </row>
    <row r="298" spans="1:30">
      <c r="A298" s="332" t="s">
        <v>550</v>
      </c>
      <c r="B298" s="59"/>
      <c r="C298" s="57">
        <v>42727</v>
      </c>
      <c r="E298" s="65" t="s">
        <v>29</v>
      </c>
      <c r="F298" s="65" t="s">
        <v>29</v>
      </c>
      <c r="G298" s="58" t="s">
        <v>1443</v>
      </c>
      <c r="H298" s="58" t="s">
        <v>1449</v>
      </c>
      <c r="I298" s="60">
        <v>0</v>
      </c>
      <c r="J298" s="58" t="s">
        <v>94</v>
      </c>
      <c r="K298" s="58" t="s">
        <v>29</v>
      </c>
      <c r="L298" s="58" t="s">
        <v>94</v>
      </c>
      <c r="M298" s="58" t="s">
        <v>29</v>
      </c>
      <c r="N298" s="61" t="s">
        <v>2150</v>
      </c>
      <c r="O298" s="58" t="s">
        <v>2151</v>
      </c>
      <c r="P298" s="58" t="s">
        <v>1447</v>
      </c>
      <c r="Q298" s="63" t="str">
        <f>IF(V298&lt;&gt;"","Completed","")</f>
        <v>Completed</v>
      </c>
      <c r="R298" s="64">
        <v>42685</v>
      </c>
      <c r="S298" s="24" t="s">
        <v>558</v>
      </c>
      <c r="T298" s="242">
        <v>71</v>
      </c>
      <c r="U298" s="242">
        <v>121</v>
      </c>
      <c r="V298" s="242">
        <v>121</v>
      </c>
      <c r="W298" s="242"/>
      <c r="X298" s="242"/>
      <c r="Y298" s="74" t="s">
        <v>44</v>
      </c>
      <c r="Z298" s="345" t="s">
        <v>1605</v>
      </c>
      <c r="AA298" s="249"/>
      <c r="AB298" s="65" t="s">
        <v>94</v>
      </c>
      <c r="AC298" s="65" t="s">
        <v>29</v>
      </c>
    </row>
    <row r="299" spans="1:30">
      <c r="A299" s="75" t="s">
        <v>273</v>
      </c>
      <c r="B299" s="59"/>
      <c r="C299" s="57">
        <v>42773</v>
      </c>
      <c r="D299" s="65">
        <v>4044000</v>
      </c>
      <c r="E299" s="65" t="s">
        <v>29</v>
      </c>
      <c r="F299" s="65" t="s">
        <v>29</v>
      </c>
      <c r="G299" s="58" t="s">
        <v>1443</v>
      </c>
      <c r="H299" s="58" t="s">
        <v>1456</v>
      </c>
      <c r="I299" s="60">
        <v>5</v>
      </c>
      <c r="J299" s="58" t="s">
        <v>94</v>
      </c>
      <c r="K299" s="58" t="s">
        <v>29</v>
      </c>
      <c r="L299" s="58" t="s">
        <v>94</v>
      </c>
      <c r="M299" s="58" t="s">
        <v>29</v>
      </c>
      <c r="N299" s="61" t="s">
        <v>2152</v>
      </c>
      <c r="O299" s="58" t="s">
        <v>2153</v>
      </c>
      <c r="P299" s="58" t="s">
        <v>1447</v>
      </c>
      <c r="Q299" s="63" t="str">
        <f>IF(V299&lt;&gt;"","Completed","")</f>
        <v>Completed</v>
      </c>
      <c r="R299" s="293">
        <v>42707</v>
      </c>
      <c r="S299" s="341" t="s">
        <v>43</v>
      </c>
      <c r="T299" s="65">
        <v>32</v>
      </c>
      <c r="U299" s="256">
        <v>36</v>
      </c>
      <c r="V299" s="256">
        <v>36</v>
      </c>
      <c r="Y299" s="74" t="s">
        <v>44</v>
      </c>
      <c r="Z299" s="56" t="s">
        <v>1896</v>
      </c>
      <c r="AA299" s="252"/>
      <c r="AB299" s="65" t="s">
        <v>94</v>
      </c>
      <c r="AC299" s="65" t="s">
        <v>94</v>
      </c>
    </row>
    <row r="300" spans="1:30">
      <c r="A300" s="331" t="s">
        <v>1206</v>
      </c>
      <c r="B300" s="59"/>
      <c r="C300" s="57">
        <v>42726</v>
      </c>
      <c r="E300" s="65" t="s">
        <v>29</v>
      </c>
      <c r="F300" s="65" t="s">
        <v>29</v>
      </c>
      <c r="G300" s="58" t="s">
        <v>1443</v>
      </c>
      <c r="H300" s="58" t="s">
        <v>1444</v>
      </c>
      <c r="I300" s="60">
        <v>331</v>
      </c>
      <c r="J300" s="58" t="s">
        <v>94</v>
      </c>
      <c r="K300" s="58" t="s">
        <v>29</v>
      </c>
      <c r="L300" s="58" t="s">
        <v>94</v>
      </c>
      <c r="M300" s="58" t="s">
        <v>29</v>
      </c>
      <c r="N300" s="61" t="s">
        <v>2154</v>
      </c>
      <c r="O300" s="58" t="s">
        <v>2155</v>
      </c>
      <c r="P300" s="58" t="s">
        <v>1459</v>
      </c>
      <c r="Q300" s="63" t="str">
        <f>IF(V300&lt;&gt;"","Completed","")</f>
        <v>Completed</v>
      </c>
      <c r="R300" s="64">
        <v>42665</v>
      </c>
      <c r="S300" s="64" t="s">
        <v>114</v>
      </c>
      <c r="T300" s="65">
        <v>21</v>
      </c>
      <c r="U300" s="65">
        <v>37</v>
      </c>
      <c r="V300" s="65">
        <v>37</v>
      </c>
      <c r="Y300" s="74" t="s">
        <v>44</v>
      </c>
      <c r="Z300" s="56" t="s">
        <v>1602</v>
      </c>
      <c r="AA300" s="252"/>
      <c r="AB300" s="325" t="s">
        <v>94</v>
      </c>
      <c r="AC300" s="326" t="s">
        <v>29</v>
      </c>
    </row>
    <row r="301" spans="1:30">
      <c r="A301" s="75" t="s">
        <v>599</v>
      </c>
      <c r="B301" s="59"/>
      <c r="C301" s="57">
        <v>42689</v>
      </c>
      <c r="E301" s="65" t="s">
        <v>29</v>
      </c>
      <c r="F301" s="65" t="s">
        <v>29</v>
      </c>
      <c r="G301" s="58" t="s">
        <v>1443</v>
      </c>
      <c r="H301" s="58" t="s">
        <v>1444</v>
      </c>
      <c r="I301" s="60">
        <v>518</v>
      </c>
      <c r="J301" s="58" t="s">
        <v>29</v>
      </c>
      <c r="K301" s="58" t="s">
        <v>29</v>
      </c>
      <c r="L301" s="58" t="s">
        <v>94</v>
      </c>
      <c r="M301" s="58" t="s">
        <v>29</v>
      </c>
      <c r="N301" s="61" t="s">
        <v>2156</v>
      </c>
      <c r="O301" s="58" t="s">
        <v>2157</v>
      </c>
      <c r="P301" s="58" t="s">
        <v>1447</v>
      </c>
      <c r="Q301" s="63" t="str">
        <f>IF(V301&lt;&gt;"","Completed","")</f>
        <v>Completed</v>
      </c>
      <c r="R301" s="64">
        <v>42676</v>
      </c>
      <c r="S301" s="64" t="s">
        <v>149</v>
      </c>
      <c r="T301" s="65">
        <v>68</v>
      </c>
      <c r="U301" s="65">
        <v>108</v>
      </c>
      <c r="V301" s="65">
        <v>108</v>
      </c>
      <c r="Y301" s="74" t="s">
        <v>44</v>
      </c>
      <c r="Z301" s="56" t="s">
        <v>2063</v>
      </c>
      <c r="AA301" s="252"/>
      <c r="AB301" s="316" t="s">
        <v>94</v>
      </c>
      <c r="AC301" s="317" t="s">
        <v>94</v>
      </c>
      <c r="AD301" s="349"/>
    </row>
    <row r="302" spans="1:30">
      <c r="A302" s="75" t="s">
        <v>502</v>
      </c>
      <c r="B302" s="59"/>
      <c r="C302" s="57">
        <v>42794</v>
      </c>
      <c r="E302" s="65" t="s">
        <v>29</v>
      </c>
      <c r="F302" s="65" t="s">
        <v>29</v>
      </c>
      <c r="G302" s="58"/>
      <c r="H302" s="58"/>
      <c r="I302" s="60"/>
      <c r="J302" s="58"/>
      <c r="K302" s="58"/>
      <c r="L302" s="58"/>
      <c r="M302" s="58"/>
      <c r="N302" s="251" t="s">
        <v>2158</v>
      </c>
      <c r="O302" s="58" t="s">
        <v>2159</v>
      </c>
      <c r="P302" s="58"/>
      <c r="Q302" s="63" t="str">
        <f>IF(V302&lt;&gt;"","Completed","")</f>
        <v>Completed</v>
      </c>
      <c r="R302" s="64">
        <v>42756</v>
      </c>
      <c r="S302" s="64" t="s">
        <v>57</v>
      </c>
      <c r="T302" s="65">
        <v>12</v>
      </c>
      <c r="U302" s="65">
        <v>24</v>
      </c>
      <c r="V302" s="65">
        <v>24</v>
      </c>
      <c r="Y302" s="74" t="s">
        <v>44</v>
      </c>
      <c r="Z302" s="56" t="s">
        <v>1541</v>
      </c>
      <c r="AA302" s="249"/>
      <c r="AB302" s="65" t="s">
        <v>94</v>
      </c>
      <c r="AC302" s="65" t="s">
        <v>29</v>
      </c>
      <c r="AD302" s="56" t="s">
        <v>1885</v>
      </c>
    </row>
    <row r="303" spans="1:30">
      <c r="A303" s="75" t="s">
        <v>736</v>
      </c>
      <c r="B303" s="59"/>
      <c r="C303" s="247">
        <v>42740</v>
      </c>
      <c r="E303" s="65" t="s">
        <v>29</v>
      </c>
      <c r="F303" s="65" t="s">
        <v>29</v>
      </c>
      <c r="G303" s="58" t="s">
        <v>1443</v>
      </c>
      <c r="H303" s="58" t="s">
        <v>1444</v>
      </c>
      <c r="I303" s="60">
        <v>362</v>
      </c>
      <c r="J303" s="58" t="s">
        <v>94</v>
      </c>
      <c r="K303" s="58" t="s">
        <v>29</v>
      </c>
      <c r="L303" s="58" t="s">
        <v>29</v>
      </c>
      <c r="M303" s="58" t="s">
        <v>29</v>
      </c>
      <c r="N303" s="61" t="s">
        <v>2160</v>
      </c>
      <c r="O303" s="58" t="s">
        <v>2161</v>
      </c>
      <c r="P303" s="58" t="s">
        <v>1447</v>
      </c>
      <c r="Q303" s="63" t="str">
        <f>IF(V303&lt;&gt;"","Completed","")</f>
        <v>Completed</v>
      </c>
      <c r="R303" s="64">
        <v>42682</v>
      </c>
      <c r="S303" s="64" t="s">
        <v>433</v>
      </c>
      <c r="T303" s="65">
        <v>76</v>
      </c>
      <c r="U303" s="65">
        <v>125</v>
      </c>
      <c r="V303" s="65">
        <v>125</v>
      </c>
      <c r="Y303" s="74" t="s">
        <v>44</v>
      </c>
      <c r="Z303" s="56" t="s">
        <v>1981</v>
      </c>
      <c r="AA303" s="249"/>
      <c r="AB303" s="242" t="s">
        <v>94</v>
      </c>
    </row>
    <row r="304" spans="1:30">
      <c r="A304" s="75" t="s">
        <v>877</v>
      </c>
      <c r="B304" s="59"/>
      <c r="C304" s="57">
        <v>42744</v>
      </c>
      <c r="E304" s="65" t="s">
        <v>29</v>
      </c>
      <c r="F304" s="65" t="s">
        <v>29</v>
      </c>
      <c r="G304" s="58" t="s">
        <v>1443</v>
      </c>
      <c r="H304" s="58" t="s">
        <v>1449</v>
      </c>
      <c r="I304" s="60">
        <v>550</v>
      </c>
      <c r="J304" s="58" t="s">
        <v>94</v>
      </c>
      <c r="K304" s="58" t="s">
        <v>29</v>
      </c>
      <c r="L304" s="58" t="s">
        <v>29</v>
      </c>
      <c r="M304" s="58" t="s">
        <v>29</v>
      </c>
      <c r="N304" s="61" t="s">
        <v>2162</v>
      </c>
      <c r="O304" s="58" t="s">
        <v>2163</v>
      </c>
      <c r="P304" s="58" t="s">
        <v>1447</v>
      </c>
      <c r="Q304" s="63" t="str">
        <f>IF(V304&lt;&gt;"","Completed","")</f>
        <v>Completed</v>
      </c>
      <c r="R304" s="64">
        <v>42662</v>
      </c>
      <c r="S304" s="64" t="s">
        <v>57</v>
      </c>
      <c r="T304" s="65">
        <v>75</v>
      </c>
      <c r="U304" s="65">
        <v>123</v>
      </c>
      <c r="V304" s="65">
        <v>123</v>
      </c>
      <c r="Y304" s="74" t="s">
        <v>44</v>
      </c>
      <c r="Z304" s="56" t="s">
        <v>1637</v>
      </c>
      <c r="AA304" s="252"/>
      <c r="AB304" s="248" t="s">
        <v>94</v>
      </c>
      <c r="AC304" s="248" t="s">
        <v>29</v>
      </c>
    </row>
    <row r="305" spans="1:30">
      <c r="A305" s="331" t="s">
        <v>1206</v>
      </c>
      <c r="B305" s="59"/>
      <c r="C305" s="57">
        <v>42726</v>
      </c>
      <c r="E305" s="65" t="s">
        <v>29</v>
      </c>
      <c r="F305" s="65" t="s">
        <v>29</v>
      </c>
      <c r="G305" s="58" t="s">
        <v>1443</v>
      </c>
      <c r="H305" s="58" t="s">
        <v>1444</v>
      </c>
      <c r="I305" s="60">
        <v>261</v>
      </c>
      <c r="J305" s="58" t="s">
        <v>94</v>
      </c>
      <c r="K305" s="58" t="s">
        <v>29</v>
      </c>
      <c r="L305" s="58" t="s">
        <v>94</v>
      </c>
      <c r="M305" s="58" t="s">
        <v>29</v>
      </c>
      <c r="N305" s="61" t="s">
        <v>2164</v>
      </c>
      <c r="O305" s="58" t="s">
        <v>2165</v>
      </c>
      <c r="P305" s="58" t="s">
        <v>1459</v>
      </c>
      <c r="Q305" s="63" t="str">
        <f>IF(V305&lt;&gt;"","Completed","")</f>
        <v>Completed</v>
      </c>
      <c r="R305" s="64">
        <v>42665</v>
      </c>
      <c r="S305" s="64" t="s">
        <v>114</v>
      </c>
      <c r="T305" s="65">
        <v>12</v>
      </c>
      <c r="U305" s="65">
        <v>22</v>
      </c>
      <c r="V305" s="65">
        <v>22</v>
      </c>
      <c r="Y305" s="74" t="s">
        <v>44</v>
      </c>
      <c r="Z305" s="56" t="s">
        <v>1558</v>
      </c>
      <c r="AA305" s="252"/>
      <c r="AB305" s="325" t="s">
        <v>94</v>
      </c>
      <c r="AC305" s="326" t="s">
        <v>29</v>
      </c>
    </row>
    <row r="306" spans="1:30">
      <c r="A306" s="75" t="s">
        <v>789</v>
      </c>
      <c r="B306" s="59"/>
      <c r="C306" s="57">
        <v>42753</v>
      </c>
      <c r="E306" s="65" t="s">
        <v>29</v>
      </c>
      <c r="F306" s="65" t="s">
        <v>29</v>
      </c>
      <c r="G306" s="58" t="s">
        <v>1443</v>
      </c>
      <c r="H306" s="58" t="s">
        <v>1449</v>
      </c>
      <c r="I306" s="60">
        <v>300</v>
      </c>
      <c r="J306" s="58" t="s">
        <v>29</v>
      </c>
      <c r="K306" s="58" t="s">
        <v>29</v>
      </c>
      <c r="L306" s="58" t="s">
        <v>94</v>
      </c>
      <c r="M306" s="58" t="s">
        <v>29</v>
      </c>
      <c r="N306" s="61" t="s">
        <v>2166</v>
      </c>
      <c r="O306" s="58" t="s">
        <v>2167</v>
      </c>
      <c r="P306" s="58" t="s">
        <v>1459</v>
      </c>
      <c r="Q306" s="63" t="str">
        <f>IF(V306&lt;&gt;"","Completed","")</f>
        <v>Completed</v>
      </c>
      <c r="R306" s="64">
        <v>42714</v>
      </c>
      <c r="S306" s="64" t="s">
        <v>80</v>
      </c>
      <c r="T306" s="65">
        <v>31</v>
      </c>
      <c r="U306" s="65">
        <v>62</v>
      </c>
      <c r="V306" s="65">
        <v>62</v>
      </c>
      <c r="Y306" s="74" t="s">
        <v>44</v>
      </c>
      <c r="Z306" s="56" t="s">
        <v>1500</v>
      </c>
      <c r="AA306" s="249"/>
      <c r="AB306" s="65" t="s">
        <v>94</v>
      </c>
      <c r="AC306" s="65" t="s">
        <v>29</v>
      </c>
    </row>
    <row r="307" spans="1:30">
      <c r="A307" s="338" t="s">
        <v>590</v>
      </c>
      <c r="B307" s="318" t="s">
        <v>1180</v>
      </c>
      <c r="C307" s="320">
        <v>42727</v>
      </c>
      <c r="D307" s="110"/>
      <c r="E307" s="242" t="s">
        <v>94</v>
      </c>
      <c r="F307" s="346" t="s">
        <v>29</v>
      </c>
      <c r="G307" s="321" t="s">
        <v>1443</v>
      </c>
      <c r="H307" s="321" t="s">
        <v>1449</v>
      </c>
      <c r="I307" s="322">
        <v>52</v>
      </c>
      <c r="J307" s="321" t="s">
        <v>94</v>
      </c>
      <c r="K307" s="321" t="s">
        <v>94</v>
      </c>
      <c r="L307" s="321" t="s">
        <v>29</v>
      </c>
      <c r="M307" s="321" t="s">
        <v>29</v>
      </c>
      <c r="N307" s="376" t="s">
        <v>2168</v>
      </c>
      <c r="O307" s="321" t="s">
        <v>2169</v>
      </c>
      <c r="P307" s="321" t="s">
        <v>1447</v>
      </c>
      <c r="Q307" s="63" t="str">
        <f>IF(V307&lt;&gt;"","Completed","")</f>
        <v>Completed</v>
      </c>
      <c r="R307" s="250">
        <v>42714</v>
      </c>
      <c r="S307" s="250" t="s">
        <v>80</v>
      </c>
      <c r="T307" s="242">
        <v>61</v>
      </c>
      <c r="U307" s="242">
        <v>98</v>
      </c>
      <c r="V307" s="242">
        <v>98</v>
      </c>
      <c r="W307" s="242"/>
      <c r="X307" s="242"/>
      <c r="Y307" s="74" t="s">
        <v>44</v>
      </c>
      <c r="Z307" s="345" t="s">
        <v>1605</v>
      </c>
      <c r="AA307" s="249"/>
      <c r="AB307" s="242" t="s">
        <v>94</v>
      </c>
      <c r="AC307" s="347" t="s">
        <v>94</v>
      </c>
    </row>
    <row r="308" spans="1:30">
      <c r="A308" s="333" t="s">
        <v>559</v>
      </c>
      <c r="B308" s="305"/>
      <c r="C308" s="57">
        <v>42793</v>
      </c>
      <c r="D308" s="109"/>
      <c r="E308" s="151" t="s">
        <v>29</v>
      </c>
      <c r="F308" s="151" t="s">
        <v>29</v>
      </c>
      <c r="G308" s="306"/>
      <c r="H308" s="306"/>
      <c r="I308" s="307"/>
      <c r="J308" s="306"/>
      <c r="K308" s="306"/>
      <c r="L308" s="306"/>
      <c r="M308" s="306"/>
      <c r="N308" s="77" t="s">
        <v>2170</v>
      </c>
      <c r="O308" s="78" t="s">
        <v>2171</v>
      </c>
      <c r="P308" s="306"/>
      <c r="Q308" s="63" t="str">
        <f>IF(V308&lt;&gt;"","Completed","")</f>
        <v>Completed</v>
      </c>
      <c r="R308" s="64">
        <v>42756</v>
      </c>
      <c r="S308" s="64" t="s">
        <v>80</v>
      </c>
      <c r="T308" s="65">
        <v>22</v>
      </c>
      <c r="U308" s="65">
        <v>35</v>
      </c>
      <c r="V308" s="65">
        <v>35</v>
      </c>
      <c r="Y308" s="74" t="s">
        <v>44</v>
      </c>
      <c r="Z308" s="56" t="s">
        <v>1668</v>
      </c>
      <c r="AA308" s="252"/>
      <c r="AB308" s="65" t="s">
        <v>94</v>
      </c>
      <c r="AC308" s="74" t="s">
        <v>29</v>
      </c>
      <c r="AD308" s="56"/>
    </row>
    <row r="309" spans="1:30">
      <c r="A309" s="331" t="s">
        <v>1206</v>
      </c>
      <c r="B309" s="59"/>
      <c r="C309" s="57">
        <v>42768</v>
      </c>
      <c r="E309" s="65" t="s">
        <v>29</v>
      </c>
      <c r="F309" s="65" t="s">
        <v>29</v>
      </c>
      <c r="G309" s="58" t="s">
        <v>1482</v>
      </c>
      <c r="H309" s="58"/>
      <c r="I309" s="60"/>
      <c r="J309" s="58"/>
      <c r="K309" s="58"/>
      <c r="L309" s="58"/>
      <c r="M309" s="58"/>
      <c r="N309" s="61" t="s">
        <v>2172</v>
      </c>
      <c r="O309" s="58" t="s">
        <v>2173</v>
      </c>
      <c r="P309" s="58"/>
      <c r="Q309" s="63" t="str">
        <f>IF(V309&lt;&gt;"","Completed","")</f>
        <v>Completed</v>
      </c>
      <c r="R309" s="64">
        <v>42665</v>
      </c>
      <c r="S309" s="64" t="s">
        <v>114</v>
      </c>
      <c r="T309" s="65">
        <v>3</v>
      </c>
      <c r="U309" s="65">
        <v>6</v>
      </c>
      <c r="V309" s="65">
        <v>6</v>
      </c>
      <c r="Y309" s="74" t="s">
        <v>44</v>
      </c>
      <c r="Z309" s="56" t="s">
        <v>1754</v>
      </c>
      <c r="AA309" s="252"/>
      <c r="AB309" s="325" t="s">
        <v>94</v>
      </c>
      <c r="AC309" s="385" t="s">
        <v>29</v>
      </c>
    </row>
    <row r="310" spans="1:30">
      <c r="A310" s="333" t="s">
        <v>559</v>
      </c>
      <c r="B310" s="305"/>
      <c r="C310" s="57">
        <v>42761</v>
      </c>
      <c r="D310" s="109"/>
      <c r="E310" s="151" t="s">
        <v>29</v>
      </c>
      <c r="F310" s="151" t="s">
        <v>29</v>
      </c>
      <c r="G310" s="306"/>
      <c r="H310" s="306"/>
      <c r="I310" s="307"/>
      <c r="J310" s="306"/>
      <c r="K310" s="306"/>
      <c r="L310" s="306"/>
      <c r="M310" s="306"/>
      <c r="N310" s="77" t="s">
        <v>2174</v>
      </c>
      <c r="O310" s="78" t="s">
        <v>2175</v>
      </c>
      <c r="P310" s="306"/>
      <c r="Q310" s="63" t="str">
        <f>IF(V310&lt;&gt;"","Completed","")</f>
        <v>Completed</v>
      </c>
      <c r="R310" s="64">
        <v>42763</v>
      </c>
      <c r="S310" s="319" t="s">
        <v>2176</v>
      </c>
      <c r="T310" s="65">
        <v>40</v>
      </c>
      <c r="U310" s="65">
        <v>80</v>
      </c>
      <c r="V310" s="65">
        <v>80</v>
      </c>
      <c r="Y310" s="74" t="s">
        <v>44</v>
      </c>
      <c r="Z310" s="345" t="s">
        <v>2177</v>
      </c>
      <c r="AA310" s="252"/>
      <c r="AB310" s="65" t="s">
        <v>94</v>
      </c>
      <c r="AC310" s="74" t="s">
        <v>29</v>
      </c>
      <c r="AD310" s="56"/>
    </row>
    <row r="311" spans="1:30">
      <c r="A311" s="333" t="s">
        <v>559</v>
      </c>
      <c r="B311" s="305"/>
      <c r="C311" s="57">
        <v>42761</v>
      </c>
      <c r="D311" s="109"/>
      <c r="E311" s="151" t="s">
        <v>29</v>
      </c>
      <c r="F311" s="151" t="s">
        <v>29</v>
      </c>
      <c r="G311" s="306"/>
      <c r="H311" s="306"/>
      <c r="I311" s="307"/>
      <c r="J311" s="306"/>
      <c r="K311" s="306"/>
      <c r="L311" s="306"/>
      <c r="M311" s="306"/>
      <c r="N311" s="77" t="s">
        <v>2178</v>
      </c>
      <c r="O311" s="78" t="s">
        <v>2179</v>
      </c>
      <c r="P311" s="306"/>
      <c r="Q311" s="63" t="str">
        <f>IF(V311&lt;&gt;"","Completed","")</f>
        <v>Completed</v>
      </c>
      <c r="R311" s="64">
        <v>42756</v>
      </c>
      <c r="S311" s="319" t="s">
        <v>2176</v>
      </c>
      <c r="T311" s="242">
        <v>72</v>
      </c>
      <c r="U311" s="242">
        <v>137</v>
      </c>
      <c r="V311" s="242">
        <v>137</v>
      </c>
      <c r="Y311" s="74" t="s">
        <v>44</v>
      </c>
      <c r="Z311" s="345" t="s">
        <v>2177</v>
      </c>
      <c r="AA311" s="252"/>
      <c r="AB311" s="65" t="s">
        <v>94</v>
      </c>
      <c r="AC311" s="74" t="s">
        <v>94</v>
      </c>
      <c r="AD311" s="56"/>
    </row>
    <row r="312" spans="1:30">
      <c r="A312" s="75" t="s">
        <v>703</v>
      </c>
      <c r="B312" s="59"/>
      <c r="C312" s="57">
        <v>42681</v>
      </c>
      <c r="E312" s="65" t="s">
        <v>29</v>
      </c>
      <c r="F312" s="65" t="s">
        <v>29</v>
      </c>
      <c r="G312" s="58" t="s">
        <v>1443</v>
      </c>
      <c r="H312" s="58"/>
      <c r="I312" s="60"/>
      <c r="J312" s="58"/>
      <c r="K312" s="58"/>
      <c r="L312" s="58"/>
      <c r="M312" s="58"/>
      <c r="N312" s="61" t="s">
        <v>2180</v>
      </c>
      <c r="O312" s="58" t="s">
        <v>2181</v>
      </c>
      <c r="P312" s="58"/>
      <c r="Q312" s="63" t="str">
        <f>IF(V312&lt;&gt;"","Completed","")</f>
        <v>Completed</v>
      </c>
      <c r="R312" s="64">
        <v>42658</v>
      </c>
      <c r="S312" s="64" t="s">
        <v>222</v>
      </c>
      <c r="T312" s="65">
        <v>101</v>
      </c>
      <c r="U312" s="65">
        <v>167</v>
      </c>
      <c r="V312" s="65">
        <v>167</v>
      </c>
      <c r="Y312" s="74" t="s">
        <v>44</v>
      </c>
      <c r="Z312" s="56" t="s">
        <v>1637</v>
      </c>
      <c r="AA312" s="249"/>
      <c r="AB312" s="242" t="s">
        <v>94</v>
      </c>
      <c r="AC312" s="74"/>
    </row>
    <row r="313" spans="1:30">
      <c r="A313" s="75" t="s">
        <v>599</v>
      </c>
      <c r="B313" s="59"/>
      <c r="C313" s="57">
        <v>42682</v>
      </c>
      <c r="E313" s="65" t="s">
        <v>29</v>
      </c>
      <c r="F313" s="65" t="s">
        <v>29</v>
      </c>
      <c r="G313" s="58" t="s">
        <v>1443</v>
      </c>
      <c r="H313" s="58" t="s">
        <v>1444</v>
      </c>
      <c r="I313" s="60">
        <v>257</v>
      </c>
      <c r="J313" s="58" t="s">
        <v>94</v>
      </c>
      <c r="K313" s="58" t="s">
        <v>29</v>
      </c>
      <c r="L313" s="58" t="s">
        <v>94</v>
      </c>
      <c r="M313" s="58" t="s">
        <v>29</v>
      </c>
      <c r="N313" s="61" t="s">
        <v>2182</v>
      </c>
      <c r="O313" s="58" t="s">
        <v>2183</v>
      </c>
      <c r="P313" s="58" t="s">
        <v>1447</v>
      </c>
      <c r="Q313" s="63" t="str">
        <f>IF(V313&lt;&gt;"","Completed","")</f>
        <v>Completed</v>
      </c>
      <c r="R313" s="64">
        <v>42670</v>
      </c>
      <c r="S313" s="64" t="s">
        <v>149</v>
      </c>
      <c r="T313" s="65">
        <v>7</v>
      </c>
      <c r="U313" s="65">
        <v>14</v>
      </c>
      <c r="V313" s="65">
        <v>14</v>
      </c>
      <c r="Y313" s="74" t="s">
        <v>44</v>
      </c>
      <c r="Z313" s="56" t="s">
        <v>1488</v>
      </c>
      <c r="AA313" s="252"/>
      <c r="AB313" s="316" t="s">
        <v>94</v>
      </c>
      <c r="AC313" s="317" t="s">
        <v>29</v>
      </c>
      <c r="AD313" s="349"/>
    </row>
    <row r="314" spans="1:30">
      <c r="A314" s="75" t="s">
        <v>359</v>
      </c>
      <c r="B314" s="59"/>
      <c r="C314" s="57">
        <v>42683</v>
      </c>
      <c r="E314" s="65" t="s">
        <v>29</v>
      </c>
      <c r="F314" s="65" t="s">
        <v>94</v>
      </c>
      <c r="G314" s="58" t="s">
        <v>1443</v>
      </c>
      <c r="H314" s="58" t="s">
        <v>1456</v>
      </c>
      <c r="I314" s="60">
        <v>299</v>
      </c>
      <c r="J314" s="58" t="s">
        <v>94</v>
      </c>
      <c r="K314" s="58" t="s">
        <v>29</v>
      </c>
      <c r="L314" s="58" t="s">
        <v>94</v>
      </c>
      <c r="M314" s="58" t="s">
        <v>94</v>
      </c>
      <c r="N314" s="61" t="s">
        <v>2184</v>
      </c>
      <c r="O314" s="58" t="s">
        <v>2185</v>
      </c>
      <c r="P314" s="58" t="s">
        <v>1459</v>
      </c>
      <c r="Q314" s="63" t="str">
        <f>IF(V314&lt;&gt;"","Completed","")</f>
        <v>Completed</v>
      </c>
      <c r="R314" s="64">
        <v>42658</v>
      </c>
      <c r="S314" s="64" t="s">
        <v>104</v>
      </c>
      <c r="T314" s="65">
        <v>5</v>
      </c>
      <c r="V314" s="256">
        <v>10</v>
      </c>
      <c r="Y314" s="74" t="s">
        <v>44</v>
      </c>
      <c r="Z314" s="56" t="s">
        <v>1481</v>
      </c>
      <c r="AA314" s="249"/>
      <c r="AB314" s="151" t="s">
        <v>94</v>
      </c>
      <c r="AC314" s="151" t="s">
        <v>29</v>
      </c>
    </row>
    <row r="315" spans="1:30">
      <c r="A315" s="332" t="s">
        <v>694</v>
      </c>
      <c r="B315" s="59"/>
      <c r="C315" s="57">
        <v>42661</v>
      </c>
      <c r="E315" s="65" t="s">
        <v>29</v>
      </c>
      <c r="F315" s="65" t="s">
        <v>29</v>
      </c>
      <c r="G315" s="58" t="s">
        <v>1482</v>
      </c>
      <c r="H315" s="58" t="s">
        <v>1456</v>
      </c>
      <c r="I315" s="60">
        <v>60</v>
      </c>
      <c r="J315" s="58" t="s">
        <v>94</v>
      </c>
      <c r="K315" s="58" t="s">
        <v>29</v>
      </c>
      <c r="L315" s="58" t="s">
        <v>29</v>
      </c>
      <c r="M315" s="58" t="s">
        <v>29</v>
      </c>
      <c r="N315" s="375" t="s">
        <v>2186</v>
      </c>
      <c r="O315" s="261" t="s">
        <v>2187</v>
      </c>
      <c r="Q315" s="63" t="str">
        <f>IF(V315&lt;&gt;"","Completed","")</f>
        <v>Completed</v>
      </c>
      <c r="R315" s="64">
        <v>42661</v>
      </c>
      <c r="S315" s="64" t="s">
        <v>80</v>
      </c>
      <c r="T315" s="242">
        <v>16</v>
      </c>
      <c r="U315" s="242">
        <v>32</v>
      </c>
      <c r="V315" s="242">
        <v>32</v>
      </c>
      <c r="Y315" s="74" t="s">
        <v>44</v>
      </c>
      <c r="Z315" s="56" t="s">
        <v>1582</v>
      </c>
      <c r="AA315" s="252"/>
      <c r="AB315" s="242" t="s">
        <v>94</v>
      </c>
      <c r="AC315" s="347" t="s">
        <v>29</v>
      </c>
    </row>
    <row r="316" spans="1:30">
      <c r="A316" s="75" t="s">
        <v>1087</v>
      </c>
      <c r="B316" s="59"/>
      <c r="C316" s="57">
        <v>42768</v>
      </c>
      <c r="E316" s="65" t="s">
        <v>29</v>
      </c>
      <c r="F316" s="65" t="s">
        <v>94</v>
      </c>
      <c r="G316" s="58"/>
      <c r="H316" s="58"/>
      <c r="I316" s="60"/>
      <c r="J316" s="58"/>
      <c r="K316" s="58"/>
      <c r="L316" s="58"/>
      <c r="M316" s="58"/>
      <c r="N316" s="71" t="s">
        <v>2188</v>
      </c>
      <c r="O316" s="72" t="s">
        <v>2189</v>
      </c>
      <c r="P316" s="58"/>
      <c r="Q316" s="63" t="str">
        <f>IF(V316&lt;&gt;"","Completed","")</f>
        <v>Completed</v>
      </c>
      <c r="R316" s="64">
        <v>42749</v>
      </c>
      <c r="S316" s="64" t="s">
        <v>104</v>
      </c>
      <c r="T316" s="242">
        <v>9</v>
      </c>
      <c r="U316" s="242"/>
      <c r="V316" s="369">
        <v>19</v>
      </c>
      <c r="W316" s="242"/>
      <c r="X316" s="242"/>
      <c r="Y316" s="347" t="s">
        <v>44</v>
      </c>
      <c r="Z316" s="345" t="s">
        <v>1940</v>
      </c>
      <c r="AA316" s="92"/>
      <c r="AB316" s="65" t="s">
        <v>94</v>
      </c>
      <c r="AC316" s="65" t="s">
        <v>94</v>
      </c>
    </row>
    <row r="317" spans="1:30">
      <c r="A317" s="75" t="s">
        <v>824</v>
      </c>
      <c r="B317" s="59"/>
      <c r="C317" s="57">
        <v>42726</v>
      </c>
      <c r="D317" s="150"/>
      <c r="E317" s="65" t="s">
        <v>29</v>
      </c>
      <c r="F317" s="65" t="s">
        <v>29</v>
      </c>
      <c r="G317" s="58" t="s">
        <v>1443</v>
      </c>
      <c r="H317" s="58" t="s">
        <v>1449</v>
      </c>
      <c r="I317" s="60">
        <v>196</v>
      </c>
      <c r="J317" s="58" t="s">
        <v>94</v>
      </c>
      <c r="K317" s="58" t="s">
        <v>29</v>
      </c>
      <c r="L317" s="58" t="s">
        <v>94</v>
      </c>
      <c r="M317" s="58" t="s">
        <v>29</v>
      </c>
      <c r="N317" s="61" t="s">
        <v>2190</v>
      </c>
      <c r="O317" s="58" t="s">
        <v>2191</v>
      </c>
      <c r="P317" s="58" t="s">
        <v>1447</v>
      </c>
      <c r="Q317" s="63" t="str">
        <f>IF(V317&lt;&gt;"","Completed","")</f>
        <v>Completed</v>
      </c>
      <c r="R317" s="64">
        <v>42658</v>
      </c>
      <c r="S317" s="64" t="s">
        <v>43</v>
      </c>
      <c r="T317" s="65">
        <v>51</v>
      </c>
      <c r="U317" s="65">
        <v>80</v>
      </c>
      <c r="V317" s="65">
        <v>80</v>
      </c>
      <c r="Y317" s="74" t="s">
        <v>44</v>
      </c>
      <c r="Z317" s="56" t="s">
        <v>1558</v>
      </c>
      <c r="AA317" s="252"/>
      <c r="AB317" s="324" t="s">
        <v>94</v>
      </c>
      <c r="AC317" s="151" t="s">
        <v>94</v>
      </c>
    </row>
    <row r="318" spans="1:30">
      <c r="A318" s="245" t="s">
        <v>567</v>
      </c>
      <c r="B318" s="62" t="s">
        <v>417</v>
      </c>
      <c r="C318" s="57">
        <v>42648</v>
      </c>
      <c r="E318" s="65" t="s">
        <v>29</v>
      </c>
      <c r="F318" s="65" t="s">
        <v>29</v>
      </c>
      <c r="G318" s="58" t="s">
        <v>1443</v>
      </c>
      <c r="H318" s="58" t="s">
        <v>1444</v>
      </c>
      <c r="I318" s="60">
        <v>0</v>
      </c>
      <c r="J318" s="58" t="s">
        <v>94</v>
      </c>
      <c r="K318" s="58" t="s">
        <v>29</v>
      </c>
      <c r="L318" s="58" t="s">
        <v>29</v>
      </c>
      <c r="M318" s="58" t="s">
        <v>29</v>
      </c>
      <c r="N318" s="61" t="s">
        <v>2192</v>
      </c>
      <c r="O318" s="58" t="s">
        <v>2193</v>
      </c>
      <c r="P318" s="58" t="s">
        <v>1459</v>
      </c>
      <c r="Q318" s="63" t="str">
        <f>IF(V318&lt;&gt;"","Completed","")</f>
        <v>Completed</v>
      </c>
      <c r="R318" s="64">
        <v>42637</v>
      </c>
      <c r="S318" s="64" t="s">
        <v>222</v>
      </c>
      <c r="T318" s="65">
        <v>27</v>
      </c>
      <c r="U318" s="242">
        <v>50</v>
      </c>
      <c r="V318" s="242">
        <v>50</v>
      </c>
      <c r="Y318" s="74" t="s">
        <v>44</v>
      </c>
      <c r="Z318" s="56" t="s">
        <v>1533</v>
      </c>
      <c r="AA318" s="92">
        <f>SUM(V315:V318)</f>
        <v>181</v>
      </c>
      <c r="AB318" s="242" t="s">
        <v>94</v>
      </c>
      <c r="AC318" s="242" t="s">
        <v>29</v>
      </c>
    </row>
    <row r="319" spans="1:30">
      <c r="A319" s="75" t="s">
        <v>818</v>
      </c>
      <c r="B319" s="59"/>
      <c r="C319" s="57">
        <v>42663</v>
      </c>
      <c r="E319" s="65" t="s">
        <v>29</v>
      </c>
      <c r="F319" s="65" t="s">
        <v>29</v>
      </c>
      <c r="G319" s="58" t="s">
        <v>1443</v>
      </c>
      <c r="H319" s="58" t="s">
        <v>1456</v>
      </c>
      <c r="I319" s="60">
        <v>218</v>
      </c>
      <c r="J319" s="58" t="s">
        <v>29</v>
      </c>
      <c r="K319" s="58" t="s">
        <v>29</v>
      </c>
      <c r="L319" s="58" t="s">
        <v>29</v>
      </c>
      <c r="M319" s="58" t="s">
        <v>29</v>
      </c>
      <c r="N319" s="61" t="s">
        <v>2194</v>
      </c>
      <c r="O319" s="58" t="s">
        <v>2195</v>
      </c>
      <c r="P319" s="58" t="s">
        <v>1459</v>
      </c>
      <c r="Q319" s="63" t="str">
        <f>IF(V319&lt;&gt;"","Completed","")</f>
        <v>Completed</v>
      </c>
      <c r="R319" s="64">
        <v>42649</v>
      </c>
      <c r="S319" s="64" t="s">
        <v>222</v>
      </c>
      <c r="T319" s="65">
        <v>70</v>
      </c>
      <c r="U319" s="65">
        <v>108</v>
      </c>
      <c r="V319" s="65">
        <v>108</v>
      </c>
      <c r="Y319" s="74" t="s">
        <v>44</v>
      </c>
      <c r="Z319" s="56" t="s">
        <v>1515</v>
      </c>
      <c r="AA319" s="249">
        <f>SUM(V318:V319)</f>
        <v>158</v>
      </c>
      <c r="AB319" s="242" t="s">
        <v>94</v>
      </c>
    </row>
    <row r="320" spans="1:30">
      <c r="A320" s="75" t="s">
        <v>1039</v>
      </c>
      <c r="B320" s="59"/>
      <c r="C320" s="57">
        <v>42765</v>
      </c>
      <c r="E320" s="65" t="s">
        <v>29</v>
      </c>
      <c r="F320" s="65" t="s">
        <v>29</v>
      </c>
      <c r="G320" s="58" t="s">
        <v>1443</v>
      </c>
      <c r="H320" s="58" t="s">
        <v>1456</v>
      </c>
      <c r="I320" s="60">
        <v>240</v>
      </c>
      <c r="J320" s="58" t="s">
        <v>94</v>
      </c>
      <c r="K320" s="58" t="s">
        <v>29</v>
      </c>
      <c r="L320" s="58" t="s">
        <v>94</v>
      </c>
      <c r="M320" s="58" t="s">
        <v>29</v>
      </c>
      <c r="N320" s="61" t="s">
        <v>2196</v>
      </c>
      <c r="O320" s="58" t="s">
        <v>2197</v>
      </c>
      <c r="P320" s="58" t="s">
        <v>1459</v>
      </c>
      <c r="Q320" s="63" t="str">
        <f>IF(V320&lt;&gt;"","Completed","")</f>
        <v>Completed</v>
      </c>
      <c r="R320" s="64">
        <v>42714</v>
      </c>
      <c r="S320" s="64" t="s">
        <v>57</v>
      </c>
      <c r="T320" s="65">
        <v>9</v>
      </c>
      <c r="U320" s="65">
        <v>18</v>
      </c>
      <c r="V320" s="65">
        <v>18</v>
      </c>
      <c r="Y320" s="74" t="s">
        <v>44</v>
      </c>
      <c r="Z320" s="56" t="s">
        <v>2007</v>
      </c>
      <c r="AA320" s="249"/>
      <c r="AB320" s="65" t="s">
        <v>94</v>
      </c>
      <c r="AC320" s="74" t="s">
        <v>29</v>
      </c>
    </row>
    <row r="321" spans="1:30">
      <c r="A321" s="332" t="s">
        <v>212</v>
      </c>
      <c r="B321" s="59"/>
      <c r="C321" s="57">
        <v>42741</v>
      </c>
      <c r="D321" s="65">
        <v>3031000</v>
      </c>
      <c r="E321" s="65" t="s">
        <v>29</v>
      </c>
      <c r="F321" s="65" t="s">
        <v>29</v>
      </c>
      <c r="G321" s="58" t="s">
        <v>1443</v>
      </c>
      <c r="H321" s="58" t="s">
        <v>1456</v>
      </c>
      <c r="I321" s="60">
        <v>515</v>
      </c>
      <c r="J321" s="58" t="s">
        <v>94</v>
      </c>
      <c r="K321" s="58" t="s">
        <v>29</v>
      </c>
      <c r="L321" s="58" t="s">
        <v>94</v>
      </c>
      <c r="M321" s="58" t="s">
        <v>29</v>
      </c>
      <c r="N321" s="61" t="s">
        <v>2198</v>
      </c>
      <c r="O321" s="58" t="s">
        <v>2199</v>
      </c>
      <c r="P321" s="58" t="s">
        <v>1459</v>
      </c>
      <c r="Q321" s="63" t="str">
        <f>IF(V321&lt;&gt;"","Completed","")</f>
        <v>Completed</v>
      </c>
      <c r="R321" s="64">
        <v>42637</v>
      </c>
      <c r="S321" s="64" t="s">
        <v>222</v>
      </c>
      <c r="T321" s="65">
        <v>41</v>
      </c>
      <c r="U321" s="65">
        <v>80</v>
      </c>
      <c r="V321" s="65">
        <v>80</v>
      </c>
      <c r="Y321" s="74" t="s">
        <v>44</v>
      </c>
      <c r="Z321" s="56" t="s">
        <v>1533</v>
      </c>
      <c r="AA321" s="249"/>
      <c r="AB321" s="242" t="s">
        <v>94</v>
      </c>
      <c r="AC321" s="242" t="s">
        <v>29</v>
      </c>
    </row>
    <row r="322" spans="1:30">
      <c r="A322" s="246" t="s">
        <v>581</v>
      </c>
      <c r="B322" s="148" t="s">
        <v>582</v>
      </c>
      <c r="C322" s="57">
        <v>42738</v>
      </c>
      <c r="E322" s="65" t="s">
        <v>29</v>
      </c>
      <c r="F322" s="65" t="s">
        <v>29</v>
      </c>
      <c r="G322" s="58" t="s">
        <v>1443</v>
      </c>
      <c r="H322" s="58" t="s">
        <v>1444</v>
      </c>
      <c r="I322" s="60">
        <v>0</v>
      </c>
      <c r="J322" s="58" t="s">
        <v>94</v>
      </c>
      <c r="K322" s="58" t="s">
        <v>29</v>
      </c>
      <c r="L322" s="58" t="s">
        <v>29</v>
      </c>
      <c r="M322" s="58" t="s">
        <v>29</v>
      </c>
      <c r="N322" s="61" t="s">
        <v>2200</v>
      </c>
      <c r="O322" s="58" t="s">
        <v>2201</v>
      </c>
      <c r="P322" s="58" t="s">
        <v>1447</v>
      </c>
      <c r="Q322" s="63" t="str">
        <f>IF(V322&lt;&gt;"","Completed","")</f>
        <v>Completed</v>
      </c>
      <c r="R322" s="64">
        <v>42696</v>
      </c>
      <c r="S322" s="64" t="s">
        <v>149</v>
      </c>
      <c r="T322" s="65">
        <v>26</v>
      </c>
      <c r="U322" s="65">
        <v>46</v>
      </c>
      <c r="V322" s="65">
        <v>46</v>
      </c>
      <c r="Y322" s="74" t="s">
        <v>44</v>
      </c>
      <c r="Z322" s="56" t="s">
        <v>1632</v>
      </c>
      <c r="AA322" s="252"/>
      <c r="AB322" s="65" t="s">
        <v>94</v>
      </c>
      <c r="AC322" s="65" t="s">
        <v>94</v>
      </c>
    </row>
    <row r="323" spans="1:30">
      <c r="A323" s="244" t="s">
        <v>1167</v>
      </c>
      <c r="B323" s="62" t="s">
        <v>324</v>
      </c>
      <c r="C323" s="311">
        <v>42747</v>
      </c>
      <c r="D323" s="109">
        <v>1331003</v>
      </c>
      <c r="E323" s="151" t="s">
        <v>94</v>
      </c>
      <c r="F323" s="151" t="s">
        <v>29</v>
      </c>
      <c r="G323" s="306" t="s">
        <v>1443</v>
      </c>
      <c r="H323" s="306" t="s">
        <v>1444</v>
      </c>
      <c r="I323" s="307">
        <v>0</v>
      </c>
      <c r="J323" s="306" t="s">
        <v>94</v>
      </c>
      <c r="K323" s="306" t="s">
        <v>94</v>
      </c>
      <c r="L323" s="306" t="s">
        <v>29</v>
      </c>
      <c r="M323" s="306" t="s">
        <v>29</v>
      </c>
      <c r="N323" s="308" t="s">
        <v>2202</v>
      </c>
      <c r="O323" s="306" t="s">
        <v>2203</v>
      </c>
      <c r="P323" s="306" t="s">
        <v>1447</v>
      </c>
      <c r="Q323" s="63" t="str">
        <f>IF(V323&lt;&gt;"","Completed","")</f>
        <v>Completed</v>
      </c>
      <c r="R323" s="310">
        <v>42718</v>
      </c>
      <c r="S323" s="310" t="s">
        <v>204</v>
      </c>
      <c r="T323" s="65">
        <v>32</v>
      </c>
      <c r="U323" s="65">
        <v>64</v>
      </c>
      <c r="V323" s="65">
        <v>64</v>
      </c>
      <c r="Y323" s="74" t="s">
        <v>44</v>
      </c>
      <c r="Z323" s="56" t="s">
        <v>1549</v>
      </c>
      <c r="AA323" s="249"/>
      <c r="AB323" s="65" t="s">
        <v>94</v>
      </c>
      <c r="AC323" s="74" t="s">
        <v>94</v>
      </c>
    </row>
    <row r="324" spans="1:30">
      <c r="A324" s="75" t="s">
        <v>273</v>
      </c>
      <c r="B324" s="59"/>
      <c r="C324" s="57">
        <v>42760</v>
      </c>
      <c r="D324" s="65">
        <v>4044000</v>
      </c>
      <c r="E324" s="65" t="s">
        <v>29</v>
      </c>
      <c r="F324" s="65" t="s">
        <v>29</v>
      </c>
      <c r="G324" s="58" t="s">
        <v>1443</v>
      </c>
      <c r="H324" s="58" t="s">
        <v>1456</v>
      </c>
      <c r="I324" s="60">
        <v>595</v>
      </c>
      <c r="J324" s="58" t="s">
        <v>94</v>
      </c>
      <c r="K324" s="58" t="s">
        <v>29</v>
      </c>
      <c r="L324" s="58" t="s">
        <v>94</v>
      </c>
      <c r="M324" s="58" t="s">
        <v>29</v>
      </c>
      <c r="N324" s="61" t="s">
        <v>2204</v>
      </c>
      <c r="O324" s="58" t="s">
        <v>2205</v>
      </c>
      <c r="P324" s="58" t="s">
        <v>1447</v>
      </c>
      <c r="Q324" s="63" t="str">
        <f>IF(V324&lt;&gt;"","Completed","")</f>
        <v>Completed</v>
      </c>
      <c r="R324" s="293">
        <v>42693</v>
      </c>
      <c r="S324" s="341" t="s">
        <v>43</v>
      </c>
      <c r="T324" s="65">
        <v>66</v>
      </c>
      <c r="U324" s="256">
        <v>110</v>
      </c>
      <c r="V324" s="256">
        <v>110</v>
      </c>
      <c r="Y324" s="74" t="s">
        <v>44</v>
      </c>
      <c r="Z324" s="257" t="s">
        <v>1472</v>
      </c>
      <c r="AA324" s="342"/>
      <c r="AB324" s="65" t="s">
        <v>94</v>
      </c>
    </row>
    <row r="325" spans="1:30">
      <c r="A325" s="75" t="s">
        <v>205</v>
      </c>
      <c r="B325" s="59"/>
      <c r="C325" s="57">
        <v>42726</v>
      </c>
      <c r="D325" s="65">
        <v>3030000</v>
      </c>
      <c r="E325" s="65" t="s">
        <v>29</v>
      </c>
      <c r="F325" s="65" t="s">
        <v>29</v>
      </c>
      <c r="G325" s="58" t="s">
        <v>1443</v>
      </c>
      <c r="H325" s="58" t="s">
        <v>1456</v>
      </c>
      <c r="I325" s="60">
        <v>336</v>
      </c>
      <c r="J325" s="58" t="s">
        <v>94</v>
      </c>
      <c r="K325" s="58" t="s">
        <v>29</v>
      </c>
      <c r="L325" s="58" t="s">
        <v>94</v>
      </c>
      <c r="M325" s="58" t="s">
        <v>29</v>
      </c>
      <c r="N325" s="61" t="s">
        <v>2206</v>
      </c>
      <c r="O325" s="58" t="s">
        <v>2207</v>
      </c>
      <c r="P325" s="58" t="s">
        <v>1447</v>
      </c>
      <c r="Q325" s="63" t="str">
        <f>IF(V325&lt;&gt;"","Completed","")</f>
        <v>Completed</v>
      </c>
      <c r="R325" s="64">
        <v>42717</v>
      </c>
      <c r="S325" s="64" t="s">
        <v>149</v>
      </c>
      <c r="T325" s="65">
        <v>59</v>
      </c>
      <c r="U325" s="65">
        <v>91</v>
      </c>
      <c r="V325" s="65">
        <v>91</v>
      </c>
      <c r="Y325" s="74" t="s">
        <v>44</v>
      </c>
      <c r="Z325" s="56" t="s">
        <v>1624</v>
      </c>
      <c r="AA325" s="252"/>
      <c r="AB325" s="65" t="s">
        <v>94</v>
      </c>
      <c r="AC325" s="65" t="s">
        <v>29</v>
      </c>
    </row>
    <row r="326" spans="1:30">
      <c r="A326" s="331" t="s">
        <v>1128</v>
      </c>
      <c r="B326" s="59"/>
      <c r="C326" s="57">
        <v>42745</v>
      </c>
      <c r="E326" s="65" t="s">
        <v>29</v>
      </c>
      <c r="F326" s="65" t="s">
        <v>29</v>
      </c>
      <c r="G326" s="58" t="s">
        <v>1443</v>
      </c>
      <c r="H326" s="58" t="s">
        <v>1456</v>
      </c>
      <c r="I326" s="60">
        <v>339</v>
      </c>
      <c r="J326" s="58" t="s">
        <v>94</v>
      </c>
      <c r="K326" s="58" t="s">
        <v>29</v>
      </c>
      <c r="L326" s="58" t="s">
        <v>29</v>
      </c>
      <c r="M326" s="58" t="s">
        <v>29</v>
      </c>
      <c r="N326" s="61" t="s">
        <v>2208</v>
      </c>
      <c r="O326" s="58" t="s">
        <v>2209</v>
      </c>
      <c r="P326" s="58" t="s">
        <v>1459</v>
      </c>
      <c r="Q326" s="63" t="str">
        <f>IF(V326&lt;&gt;"","Completed","")</f>
        <v>Completed</v>
      </c>
      <c r="R326" s="64">
        <v>42714</v>
      </c>
      <c r="S326" s="64" t="s">
        <v>57</v>
      </c>
      <c r="T326" s="65">
        <v>38</v>
      </c>
      <c r="U326" s="65">
        <v>64</v>
      </c>
      <c r="V326" s="65">
        <v>64</v>
      </c>
      <c r="Y326" s="74" t="s">
        <v>44</v>
      </c>
      <c r="Z326" s="56" t="s">
        <v>1505</v>
      </c>
      <c r="AA326" s="252"/>
      <c r="AB326" s="329" t="s">
        <v>94</v>
      </c>
      <c r="AC326" s="329" t="s">
        <v>94</v>
      </c>
    </row>
    <row r="327" spans="1:30">
      <c r="A327" s="75" t="s">
        <v>973</v>
      </c>
      <c r="B327" s="59"/>
      <c r="C327" s="57">
        <v>42761</v>
      </c>
      <c r="E327" s="65" t="s">
        <v>29</v>
      </c>
      <c r="F327" s="65" t="s">
        <v>29</v>
      </c>
      <c r="G327" s="58" t="s">
        <v>1443</v>
      </c>
      <c r="H327" s="58" t="s">
        <v>1456</v>
      </c>
      <c r="I327" s="60">
        <v>218</v>
      </c>
      <c r="J327" s="58" t="s">
        <v>94</v>
      </c>
      <c r="K327" s="58" t="s">
        <v>29</v>
      </c>
      <c r="L327" s="58" t="s">
        <v>29</v>
      </c>
      <c r="M327" s="58" t="s">
        <v>29</v>
      </c>
      <c r="N327" s="61" t="s">
        <v>2210</v>
      </c>
      <c r="O327" s="58" t="s">
        <v>2211</v>
      </c>
      <c r="P327" s="58" t="s">
        <v>1447</v>
      </c>
      <c r="Q327" s="63" t="str">
        <f>IF(V327&lt;&gt;"","Completed","")</f>
        <v>Completed</v>
      </c>
      <c r="R327" s="64">
        <v>42719</v>
      </c>
      <c r="S327" s="64" t="s">
        <v>43</v>
      </c>
      <c r="T327" s="65">
        <v>26</v>
      </c>
      <c r="U327" s="65">
        <v>52</v>
      </c>
      <c r="V327" s="65">
        <v>52</v>
      </c>
      <c r="Y327" s="74" t="s">
        <v>44</v>
      </c>
      <c r="Z327" s="56" t="s">
        <v>1896</v>
      </c>
      <c r="AA327" s="252"/>
      <c r="AB327" s="65" t="s">
        <v>94</v>
      </c>
      <c r="AC327" s="65" t="s">
        <v>29</v>
      </c>
    </row>
    <row r="328" spans="1:30">
      <c r="A328" s="75" t="s">
        <v>599</v>
      </c>
      <c r="B328" s="59"/>
      <c r="C328" s="57">
        <v>42682</v>
      </c>
      <c r="E328" s="65" t="s">
        <v>29</v>
      </c>
      <c r="F328" s="65" t="s">
        <v>29</v>
      </c>
      <c r="G328" s="58" t="s">
        <v>1443</v>
      </c>
      <c r="H328" s="58" t="s">
        <v>1444</v>
      </c>
      <c r="I328" s="60">
        <v>0</v>
      </c>
      <c r="J328" s="58" t="s">
        <v>94</v>
      </c>
      <c r="K328" s="58" t="s">
        <v>29</v>
      </c>
      <c r="L328" s="58" t="s">
        <v>94</v>
      </c>
      <c r="M328" s="58" t="s">
        <v>29</v>
      </c>
      <c r="N328" s="61" t="s">
        <v>2212</v>
      </c>
      <c r="O328" s="58" t="s">
        <v>2213</v>
      </c>
      <c r="P328" s="58" t="s">
        <v>1447</v>
      </c>
      <c r="Q328" s="63" t="str">
        <f>IF(V328&lt;&gt;"","Completed","")</f>
        <v>Completed</v>
      </c>
      <c r="R328" s="64">
        <v>42668</v>
      </c>
      <c r="S328" s="64" t="s">
        <v>149</v>
      </c>
      <c r="T328" s="65">
        <v>81</v>
      </c>
      <c r="U328" s="65">
        <v>132</v>
      </c>
      <c r="V328" s="65">
        <v>132</v>
      </c>
      <c r="Y328" s="74" t="s">
        <v>44</v>
      </c>
      <c r="Z328" s="56" t="s">
        <v>1488</v>
      </c>
      <c r="AA328" s="252"/>
      <c r="AB328" s="316" t="s">
        <v>94</v>
      </c>
      <c r="AC328" s="317" t="s">
        <v>94</v>
      </c>
      <c r="AD328" s="349"/>
    </row>
    <row r="329" spans="1:30">
      <c r="A329" s="244" t="s">
        <v>305</v>
      </c>
      <c r="B329" s="62" t="s">
        <v>106</v>
      </c>
      <c r="C329" s="247">
        <v>42740</v>
      </c>
      <c r="D329" s="108">
        <v>1053007</v>
      </c>
      <c r="E329" s="65" t="s">
        <v>94</v>
      </c>
      <c r="F329" s="65" t="s">
        <v>29</v>
      </c>
      <c r="G329" s="58"/>
      <c r="H329" s="58"/>
      <c r="I329" s="60"/>
      <c r="J329" s="58"/>
      <c r="K329" s="58"/>
      <c r="L329" s="58"/>
      <c r="M329" s="58"/>
      <c r="N329" s="259" t="s">
        <v>2214</v>
      </c>
      <c r="O329" s="58" t="s">
        <v>2215</v>
      </c>
      <c r="P329" s="58"/>
      <c r="Q329" s="63" t="str">
        <f>IF(V329&lt;&gt;"","Completed","")</f>
        <v>Completed</v>
      </c>
      <c r="R329" s="64">
        <v>42716</v>
      </c>
      <c r="S329" s="64" t="s">
        <v>114</v>
      </c>
      <c r="T329" s="65">
        <v>30</v>
      </c>
      <c r="U329" s="65">
        <v>57</v>
      </c>
      <c r="V329" s="65">
        <v>57</v>
      </c>
      <c r="Y329" s="74" t="s">
        <v>44</v>
      </c>
      <c r="Z329" s="56" t="s">
        <v>1555</v>
      </c>
      <c r="AA329" s="249">
        <f>V329</f>
        <v>57</v>
      </c>
      <c r="AB329" s="65" t="s">
        <v>94</v>
      </c>
      <c r="AC329" s="74" t="s">
        <v>29</v>
      </c>
    </row>
    <row r="330" spans="1:30">
      <c r="A330" s="244" t="s">
        <v>1062</v>
      </c>
      <c r="B330" s="62" t="s">
        <v>913</v>
      </c>
      <c r="C330" s="57">
        <v>42726</v>
      </c>
      <c r="E330" s="65" t="s">
        <v>29</v>
      </c>
      <c r="F330" s="65" t="s">
        <v>29</v>
      </c>
      <c r="G330" s="58" t="s">
        <v>1443</v>
      </c>
      <c r="H330" s="58" t="s">
        <v>1456</v>
      </c>
      <c r="I330" s="60">
        <v>1</v>
      </c>
      <c r="J330" s="58" t="s">
        <v>94</v>
      </c>
      <c r="K330" s="58" t="s">
        <v>29</v>
      </c>
      <c r="L330" s="58" t="s">
        <v>29</v>
      </c>
      <c r="M330" s="58" t="s">
        <v>29</v>
      </c>
      <c r="N330" s="61" t="s">
        <v>2216</v>
      </c>
      <c r="O330" s="58" t="s">
        <v>2217</v>
      </c>
      <c r="P330" s="58" t="s">
        <v>1447</v>
      </c>
      <c r="Q330" s="63" t="str">
        <f>IF(V330&lt;&gt;"","Completed","")</f>
        <v>Completed</v>
      </c>
      <c r="R330" s="64">
        <v>42707</v>
      </c>
      <c r="S330" s="64" t="s">
        <v>149</v>
      </c>
      <c r="T330" s="65">
        <v>18</v>
      </c>
      <c r="U330" s="65">
        <v>34</v>
      </c>
      <c r="V330" s="65">
        <v>34</v>
      </c>
      <c r="Y330" s="74" t="s">
        <v>44</v>
      </c>
      <c r="Z330" s="56" t="s">
        <v>1624</v>
      </c>
      <c r="AA330" s="252"/>
      <c r="AB330" s="65" t="s">
        <v>94</v>
      </c>
      <c r="AC330" s="65" t="s">
        <v>29</v>
      </c>
    </row>
    <row r="331" spans="1:30">
      <c r="A331" s="75" t="s">
        <v>803</v>
      </c>
      <c r="B331" s="59"/>
      <c r="C331" s="57">
        <v>42761</v>
      </c>
      <c r="E331" s="65" t="s">
        <v>29</v>
      </c>
      <c r="F331" s="65" t="s">
        <v>29</v>
      </c>
      <c r="G331" s="58" t="s">
        <v>1443</v>
      </c>
      <c r="H331" s="58" t="s">
        <v>1456</v>
      </c>
      <c r="I331" s="60">
        <v>521</v>
      </c>
      <c r="J331" s="58" t="s">
        <v>94</v>
      </c>
      <c r="K331" s="58" t="s">
        <v>29</v>
      </c>
      <c r="L331" s="58" t="s">
        <v>94</v>
      </c>
      <c r="M331" s="58" t="s">
        <v>29</v>
      </c>
      <c r="N331" s="61" t="s">
        <v>2218</v>
      </c>
      <c r="O331" s="58" t="s">
        <v>2219</v>
      </c>
      <c r="P331" s="58" t="s">
        <v>1447</v>
      </c>
      <c r="Q331" s="63" t="str">
        <f>IF(V331&lt;&gt;"","Completed","")</f>
        <v>Completed</v>
      </c>
      <c r="R331" s="64">
        <v>42717</v>
      </c>
      <c r="S331" s="64" t="s">
        <v>43</v>
      </c>
      <c r="T331" s="65">
        <v>93</v>
      </c>
      <c r="U331" s="65">
        <v>186</v>
      </c>
      <c r="V331" s="65">
        <v>186</v>
      </c>
      <c r="Y331" s="74" t="s">
        <v>44</v>
      </c>
      <c r="Z331" s="56" t="s">
        <v>1472</v>
      </c>
      <c r="AA331" s="249"/>
      <c r="AB331" s="65" t="s">
        <v>94</v>
      </c>
      <c r="AC331" s="65" t="s">
        <v>94</v>
      </c>
    </row>
    <row r="332" spans="1:30">
      <c r="A332" s="331" t="s">
        <v>1206</v>
      </c>
      <c r="B332" s="59"/>
      <c r="C332" s="57">
        <v>42768</v>
      </c>
      <c r="E332" s="65" t="s">
        <v>29</v>
      </c>
      <c r="F332" s="65" t="s">
        <v>29</v>
      </c>
      <c r="G332" s="58" t="s">
        <v>1509</v>
      </c>
      <c r="H332" s="58" t="s">
        <v>1444</v>
      </c>
      <c r="I332" s="60">
        <v>9751</v>
      </c>
      <c r="J332" s="58" t="s">
        <v>94</v>
      </c>
      <c r="K332" s="58" t="s">
        <v>29</v>
      </c>
      <c r="L332" s="58" t="s">
        <v>94</v>
      </c>
      <c r="M332" s="58" t="s">
        <v>29</v>
      </c>
      <c r="N332" s="61" t="s">
        <v>2220</v>
      </c>
      <c r="O332" s="58" t="s">
        <v>2221</v>
      </c>
      <c r="P332" s="58" t="s">
        <v>1459</v>
      </c>
      <c r="Q332" s="63" t="str">
        <f>IF(V332&lt;&gt;"","Completed","")</f>
        <v>Completed</v>
      </c>
      <c r="R332" s="64">
        <v>42720</v>
      </c>
      <c r="S332" s="64" t="s">
        <v>57</v>
      </c>
      <c r="T332" s="65">
        <v>3</v>
      </c>
      <c r="U332" s="65">
        <v>6</v>
      </c>
      <c r="V332" s="65">
        <v>6</v>
      </c>
      <c r="Y332" s="74" t="s">
        <v>44</v>
      </c>
      <c r="Z332" s="56" t="s">
        <v>1912</v>
      </c>
      <c r="AA332" s="252"/>
      <c r="AB332" s="325" t="s">
        <v>94</v>
      </c>
      <c r="AC332" s="325" t="s">
        <v>29</v>
      </c>
    </row>
    <row r="333" spans="1:30">
      <c r="A333" s="331" t="s">
        <v>1206</v>
      </c>
      <c r="B333" s="59"/>
      <c r="C333" s="57">
        <v>42726</v>
      </c>
      <c r="E333" s="65" t="s">
        <v>29</v>
      </c>
      <c r="F333" s="65" t="s">
        <v>29</v>
      </c>
      <c r="G333" s="58" t="s">
        <v>1443</v>
      </c>
      <c r="H333" s="58" t="s">
        <v>1444</v>
      </c>
      <c r="I333" s="60">
        <v>208</v>
      </c>
      <c r="J333" s="58" t="s">
        <v>94</v>
      </c>
      <c r="K333" s="58" t="s">
        <v>29</v>
      </c>
      <c r="L333" s="58" t="s">
        <v>94</v>
      </c>
      <c r="M333" s="58" t="s">
        <v>29</v>
      </c>
      <c r="N333" s="61" t="s">
        <v>2222</v>
      </c>
      <c r="O333" s="58" t="s">
        <v>2223</v>
      </c>
      <c r="P333" s="58" t="s">
        <v>1459</v>
      </c>
      <c r="Q333" s="63" t="str">
        <f>IF(V333&lt;&gt;"","Completed","")</f>
        <v>Completed</v>
      </c>
      <c r="R333" s="64">
        <v>42667</v>
      </c>
      <c r="S333" s="64" t="s">
        <v>114</v>
      </c>
      <c r="T333" s="65">
        <v>9</v>
      </c>
      <c r="U333" s="65">
        <v>18</v>
      </c>
      <c r="V333" s="65">
        <v>18</v>
      </c>
      <c r="Y333" s="74" t="s">
        <v>44</v>
      </c>
      <c r="Z333" s="56" t="s">
        <v>2090</v>
      </c>
      <c r="AA333" s="252"/>
      <c r="AB333" s="325" t="s">
        <v>94</v>
      </c>
      <c r="AC333" s="325" t="s">
        <v>29</v>
      </c>
    </row>
    <row r="334" spans="1:30">
      <c r="A334" s="244" t="s">
        <v>614</v>
      </c>
      <c r="B334" s="62" t="s">
        <v>106</v>
      </c>
      <c r="C334" s="57">
        <v>42745</v>
      </c>
      <c r="D334" s="109" t="s">
        <v>2224</v>
      </c>
      <c r="E334" s="151" t="s">
        <v>94</v>
      </c>
      <c r="F334" s="151" t="s">
        <v>29</v>
      </c>
      <c r="G334" s="306" t="s">
        <v>1443</v>
      </c>
      <c r="H334" s="306" t="s">
        <v>1456</v>
      </c>
      <c r="I334" s="307">
        <v>27</v>
      </c>
      <c r="J334" s="306" t="s">
        <v>29</v>
      </c>
      <c r="K334" s="306" t="s">
        <v>94</v>
      </c>
      <c r="L334" s="306" t="s">
        <v>29</v>
      </c>
      <c r="M334" s="306" t="s">
        <v>29</v>
      </c>
      <c r="N334" s="308" t="s">
        <v>2225</v>
      </c>
      <c r="O334" s="306" t="s">
        <v>2226</v>
      </c>
      <c r="P334" s="306" t="s">
        <v>1447</v>
      </c>
      <c r="Q334" s="63" t="str">
        <f>IF(V334&lt;&gt;"","Completed","")</f>
        <v>Completed</v>
      </c>
      <c r="R334" s="64">
        <v>42719</v>
      </c>
      <c r="S334" s="64" t="s">
        <v>204</v>
      </c>
      <c r="T334" s="65">
        <v>22</v>
      </c>
      <c r="U334" s="65">
        <v>36</v>
      </c>
      <c r="V334" s="65">
        <v>36</v>
      </c>
      <c r="Y334" s="74" t="s">
        <v>44</v>
      </c>
      <c r="Z334" s="56" t="s">
        <v>1505</v>
      </c>
      <c r="AA334" s="249">
        <f>V334</f>
        <v>36</v>
      </c>
      <c r="AB334" s="65" t="s">
        <v>94</v>
      </c>
      <c r="AC334" s="74" t="s">
        <v>29</v>
      </c>
    </row>
    <row r="335" spans="1:30">
      <c r="A335" s="75" t="s">
        <v>1052</v>
      </c>
      <c r="B335" s="59"/>
      <c r="C335" s="57">
        <v>42744</v>
      </c>
      <c r="E335" s="65" t="s">
        <v>29</v>
      </c>
      <c r="F335" s="65" t="s">
        <v>29</v>
      </c>
      <c r="G335" s="58" t="s">
        <v>1443</v>
      </c>
      <c r="H335" s="58" t="s">
        <v>1449</v>
      </c>
      <c r="I335" s="60">
        <v>237</v>
      </c>
      <c r="J335" s="58" t="s">
        <v>94</v>
      </c>
      <c r="K335" s="58" t="s">
        <v>29</v>
      </c>
      <c r="L335" s="58" t="s">
        <v>29</v>
      </c>
      <c r="M335" s="58" t="s">
        <v>29</v>
      </c>
      <c r="N335" s="61" t="s">
        <v>2227</v>
      </c>
      <c r="O335" s="58" t="s">
        <v>2228</v>
      </c>
      <c r="P335" s="58" t="s">
        <v>1447</v>
      </c>
      <c r="Q335" s="63" t="str">
        <f>IF(V335&lt;&gt;"","Completed","")</f>
        <v>Completed</v>
      </c>
      <c r="R335" s="64">
        <v>42721</v>
      </c>
      <c r="S335" s="64" t="s">
        <v>149</v>
      </c>
      <c r="T335" s="65">
        <v>56</v>
      </c>
      <c r="U335" s="65">
        <v>112</v>
      </c>
      <c r="V335" s="65">
        <v>112</v>
      </c>
      <c r="Y335" s="74" t="s">
        <v>44</v>
      </c>
      <c r="Z335" s="56" t="s">
        <v>1505</v>
      </c>
      <c r="AA335" s="252"/>
      <c r="AB335" s="65" t="s">
        <v>94</v>
      </c>
      <c r="AC335" s="74" t="s">
        <v>29</v>
      </c>
    </row>
    <row r="336" spans="1:30">
      <c r="A336" s="75" t="s">
        <v>979</v>
      </c>
      <c r="B336" s="59"/>
      <c r="C336" s="57">
        <v>42726</v>
      </c>
      <c r="E336" s="65" t="s">
        <v>29</v>
      </c>
      <c r="F336" s="65" t="s">
        <v>29</v>
      </c>
      <c r="G336" s="58" t="s">
        <v>1443</v>
      </c>
      <c r="H336" s="58" t="s">
        <v>1456</v>
      </c>
      <c r="I336" s="60">
        <v>510</v>
      </c>
      <c r="J336" s="58" t="s">
        <v>94</v>
      </c>
      <c r="K336" s="58" t="s">
        <v>29</v>
      </c>
      <c r="L336" s="58" t="s">
        <v>94</v>
      </c>
      <c r="M336" s="58" t="s">
        <v>29</v>
      </c>
      <c r="N336" s="61" t="s">
        <v>2229</v>
      </c>
      <c r="O336" s="58" t="s">
        <v>2230</v>
      </c>
      <c r="P336" s="58" t="s">
        <v>1447</v>
      </c>
      <c r="Q336" s="63" t="str">
        <f>IF(V336&lt;&gt;"","Completed","")</f>
        <v>Completed</v>
      </c>
      <c r="R336" s="64">
        <v>42663</v>
      </c>
      <c r="S336" s="64" t="s">
        <v>43</v>
      </c>
      <c r="T336" s="65">
        <v>50</v>
      </c>
      <c r="U336" s="65">
        <v>94</v>
      </c>
      <c r="V336" s="65">
        <v>94</v>
      </c>
      <c r="Y336" s="74" t="s">
        <v>44</v>
      </c>
      <c r="Z336" s="56" t="s">
        <v>1546</v>
      </c>
      <c r="AA336" s="249"/>
      <c r="AB336" s="151" t="s">
        <v>94</v>
      </c>
      <c r="AC336" s="151" t="s">
        <v>94</v>
      </c>
    </row>
    <row r="337" spans="1:30">
      <c r="A337" s="332" t="s">
        <v>542</v>
      </c>
      <c r="B337" s="59"/>
      <c r="C337" s="57">
        <v>42654</v>
      </c>
      <c r="E337" s="65" t="s">
        <v>29</v>
      </c>
      <c r="F337" s="65" t="s">
        <v>29</v>
      </c>
      <c r="G337" s="58" t="s">
        <v>1443</v>
      </c>
      <c r="H337" s="58"/>
      <c r="I337" s="60"/>
      <c r="J337" s="58"/>
      <c r="K337" s="58"/>
      <c r="L337" s="58"/>
      <c r="M337" s="58"/>
      <c r="N337" s="375" t="s">
        <v>2231</v>
      </c>
      <c r="O337" s="373" t="s">
        <v>2232</v>
      </c>
      <c r="P337" s="58" t="s">
        <v>1459</v>
      </c>
      <c r="Q337" s="63" t="str">
        <f>IF(V337&lt;&gt;"","Completed","")</f>
        <v>Completed</v>
      </c>
      <c r="R337" s="64">
        <v>42630</v>
      </c>
      <c r="S337" s="64" t="s">
        <v>80</v>
      </c>
      <c r="T337" s="323">
        <v>2</v>
      </c>
      <c r="U337" s="242">
        <v>4</v>
      </c>
      <c r="V337" s="242">
        <v>4</v>
      </c>
      <c r="Y337" s="74" t="s">
        <v>44</v>
      </c>
      <c r="Z337" s="257" t="s">
        <v>1530</v>
      </c>
      <c r="AA337" s="252"/>
      <c r="AB337" s="242" t="s">
        <v>94</v>
      </c>
      <c r="AC337" s="242" t="s">
        <v>29</v>
      </c>
    </row>
    <row r="338" spans="1:30">
      <c r="A338" s="244" t="s">
        <v>764</v>
      </c>
      <c r="B338" s="62" t="s">
        <v>573</v>
      </c>
      <c r="C338" s="57">
        <v>42711</v>
      </c>
      <c r="E338" s="65" t="s">
        <v>29</v>
      </c>
      <c r="F338" s="65" t="s">
        <v>29</v>
      </c>
      <c r="G338" s="58" t="s">
        <v>1443</v>
      </c>
      <c r="H338" s="58" t="s">
        <v>1456</v>
      </c>
      <c r="I338" s="60">
        <v>202</v>
      </c>
      <c r="J338" s="58" t="s">
        <v>94</v>
      </c>
      <c r="K338" s="58" t="s">
        <v>29</v>
      </c>
      <c r="L338" s="58" t="s">
        <v>29</v>
      </c>
      <c r="M338" s="58" t="s">
        <v>29</v>
      </c>
      <c r="N338" s="61" t="s">
        <v>2233</v>
      </c>
      <c r="O338" s="58" t="s">
        <v>2234</v>
      </c>
      <c r="P338" s="58" t="s">
        <v>1459</v>
      </c>
      <c r="Q338" s="63" t="str">
        <f>IF(V338&lt;&gt;"","Completed","")</f>
        <v>Completed</v>
      </c>
      <c r="R338" s="64">
        <v>42690</v>
      </c>
      <c r="S338" s="64" t="s">
        <v>149</v>
      </c>
      <c r="T338" s="65">
        <v>30</v>
      </c>
      <c r="U338" s="65">
        <v>59</v>
      </c>
      <c r="V338" s="65">
        <v>59</v>
      </c>
      <c r="Y338" s="74" t="s">
        <v>44</v>
      </c>
      <c r="Z338" s="56" t="s">
        <v>1478</v>
      </c>
      <c r="AA338" s="252">
        <f>SUM(V337:V338)</f>
        <v>63</v>
      </c>
      <c r="AB338" s="65" t="s">
        <v>94</v>
      </c>
      <c r="AC338" s="65" t="s">
        <v>29</v>
      </c>
    </row>
    <row r="339" spans="1:30">
      <c r="A339" s="75" t="s">
        <v>870</v>
      </c>
      <c r="B339" s="59"/>
      <c r="C339" s="57">
        <v>42744</v>
      </c>
      <c r="E339" s="65" t="s">
        <v>29</v>
      </c>
      <c r="F339" s="65" t="s">
        <v>29</v>
      </c>
      <c r="G339" s="58" t="s">
        <v>1443</v>
      </c>
      <c r="H339" s="58" t="s">
        <v>1444</v>
      </c>
      <c r="I339" s="60">
        <v>373</v>
      </c>
      <c r="J339" s="58" t="s">
        <v>94</v>
      </c>
      <c r="K339" s="58" t="s">
        <v>29</v>
      </c>
      <c r="L339" s="58" t="s">
        <v>29</v>
      </c>
      <c r="M339" s="58" t="s">
        <v>29</v>
      </c>
      <c r="N339" s="61" t="s">
        <v>2235</v>
      </c>
      <c r="O339" s="58" t="s">
        <v>2236</v>
      </c>
      <c r="P339" s="58" t="s">
        <v>1447</v>
      </c>
      <c r="Q339" s="63" t="str">
        <f>IF(V339&lt;&gt;"","Completed","")</f>
        <v>Completed</v>
      </c>
      <c r="R339" s="64">
        <v>42682</v>
      </c>
      <c r="S339" s="64" t="s">
        <v>57</v>
      </c>
      <c r="T339" s="65">
        <v>12</v>
      </c>
      <c r="U339" s="65">
        <v>24</v>
      </c>
      <c r="V339" s="65">
        <v>24</v>
      </c>
      <c r="Y339" s="74" t="s">
        <v>44</v>
      </c>
      <c r="Z339" s="56" t="s">
        <v>1754</v>
      </c>
      <c r="AA339" s="249"/>
      <c r="AB339" s="65" t="s">
        <v>94</v>
      </c>
      <c r="AC339" s="65" t="s">
        <v>29</v>
      </c>
    </row>
    <row r="340" spans="1:30">
      <c r="A340" s="75" t="s">
        <v>773</v>
      </c>
      <c r="B340" s="59"/>
      <c r="C340" s="57">
        <v>42709</v>
      </c>
      <c r="D340" s="150"/>
      <c r="E340" s="65" t="s">
        <v>29</v>
      </c>
      <c r="F340" s="65" t="s">
        <v>29</v>
      </c>
      <c r="G340" s="58" t="s">
        <v>1443</v>
      </c>
      <c r="H340" s="58" t="s">
        <v>1444</v>
      </c>
      <c r="I340" s="60">
        <v>605</v>
      </c>
      <c r="J340" s="58" t="s">
        <v>94</v>
      </c>
      <c r="K340" s="58" t="s">
        <v>29</v>
      </c>
      <c r="L340" s="58" t="s">
        <v>94</v>
      </c>
      <c r="M340" s="58" t="s">
        <v>29</v>
      </c>
      <c r="N340" s="61" t="s">
        <v>2237</v>
      </c>
      <c r="O340" s="58" t="s">
        <v>2238</v>
      </c>
      <c r="P340" s="58" t="s">
        <v>1459</v>
      </c>
      <c r="Q340" s="63" t="str">
        <f>IF(V340&lt;&gt;"","Completed","")</f>
        <v>Completed</v>
      </c>
      <c r="R340" s="64">
        <v>42677</v>
      </c>
      <c r="S340" s="64" t="s">
        <v>433</v>
      </c>
      <c r="T340" s="65">
        <v>23</v>
      </c>
      <c r="U340" s="65">
        <v>46</v>
      </c>
      <c r="V340" s="65">
        <v>46</v>
      </c>
      <c r="Y340" s="74" t="s">
        <v>44</v>
      </c>
      <c r="Z340" s="56" t="s">
        <v>1558</v>
      </c>
      <c r="AA340" s="249"/>
      <c r="AB340" s="74" t="s">
        <v>94</v>
      </c>
      <c r="AC340" s="65" t="s">
        <v>29</v>
      </c>
    </row>
    <row r="341" spans="1:30">
      <c r="A341" s="75" t="s">
        <v>115</v>
      </c>
      <c r="B341" s="59"/>
      <c r="C341" s="57">
        <v>42741</v>
      </c>
      <c r="D341" s="65">
        <v>3014000</v>
      </c>
      <c r="E341" s="65" t="s">
        <v>29</v>
      </c>
      <c r="F341" s="65" t="s">
        <v>29</v>
      </c>
      <c r="G341" s="58" t="s">
        <v>1443</v>
      </c>
      <c r="H341" s="58" t="s">
        <v>1444</v>
      </c>
      <c r="I341" s="60">
        <v>625</v>
      </c>
      <c r="J341" s="58" t="s">
        <v>94</v>
      </c>
      <c r="K341" s="58" t="s">
        <v>29</v>
      </c>
      <c r="L341" s="58" t="s">
        <v>94</v>
      </c>
      <c r="M341" s="58" t="s">
        <v>29</v>
      </c>
      <c r="N341" s="61" t="s">
        <v>2239</v>
      </c>
      <c r="O341" s="58" t="s">
        <v>2240</v>
      </c>
      <c r="P341" s="58" t="s">
        <v>1459</v>
      </c>
      <c r="Q341" s="63" t="str">
        <f>IF(V341&lt;&gt;"","Completed","")</f>
        <v>Completed</v>
      </c>
      <c r="R341" s="64">
        <v>42668</v>
      </c>
      <c r="S341" s="64" t="s">
        <v>43</v>
      </c>
      <c r="T341" s="65">
        <v>40</v>
      </c>
      <c r="U341" s="65">
        <v>79</v>
      </c>
      <c r="V341" s="65">
        <v>79</v>
      </c>
      <c r="Y341" s="74" t="s">
        <v>44</v>
      </c>
      <c r="Z341" s="56" t="s">
        <v>1824</v>
      </c>
      <c r="AA341" s="249"/>
      <c r="AB341" s="65" t="s">
        <v>94</v>
      </c>
      <c r="AC341" s="65" t="s">
        <v>94</v>
      </c>
    </row>
    <row r="342" spans="1:30">
      <c r="A342" s="75" t="s">
        <v>487</v>
      </c>
      <c r="B342" s="59"/>
      <c r="C342" s="57">
        <v>42726</v>
      </c>
      <c r="E342" s="65" t="s">
        <v>29</v>
      </c>
      <c r="F342" s="65" t="s">
        <v>29</v>
      </c>
      <c r="G342" s="58" t="s">
        <v>1443</v>
      </c>
      <c r="H342" s="58" t="s">
        <v>1456</v>
      </c>
      <c r="I342" s="60">
        <v>426</v>
      </c>
      <c r="J342" s="58" t="s">
        <v>29</v>
      </c>
      <c r="K342" s="58" t="s">
        <v>29</v>
      </c>
      <c r="L342" s="58" t="s">
        <v>94</v>
      </c>
      <c r="M342" s="58" t="s">
        <v>29</v>
      </c>
      <c r="N342" s="61" t="s">
        <v>2241</v>
      </c>
      <c r="O342" s="58" t="s">
        <v>2242</v>
      </c>
      <c r="P342" s="58" t="s">
        <v>1447</v>
      </c>
      <c r="Q342" s="63" t="str">
        <f>IF(V342&lt;&gt;"","Completed","")</f>
        <v>Completed</v>
      </c>
      <c r="R342" s="64">
        <v>42672</v>
      </c>
      <c r="S342" s="64" t="s">
        <v>114</v>
      </c>
      <c r="T342" s="150">
        <v>25</v>
      </c>
      <c r="U342" s="65">
        <v>50</v>
      </c>
      <c r="V342" s="65">
        <v>50</v>
      </c>
      <c r="Y342" s="74" t="s">
        <v>44</v>
      </c>
      <c r="Z342" s="56" t="s">
        <v>1593</v>
      </c>
      <c r="AA342" s="252"/>
      <c r="AB342" s="325" t="s">
        <v>94</v>
      </c>
      <c r="AC342" s="325" t="s">
        <v>94</v>
      </c>
    </row>
    <row r="343" spans="1:30">
      <c r="A343" s="75" t="s">
        <v>664</v>
      </c>
      <c r="B343" s="59"/>
      <c r="C343" s="57"/>
      <c r="E343" s="65" t="s">
        <v>29</v>
      </c>
      <c r="F343" s="65" t="s">
        <v>29</v>
      </c>
      <c r="G343" s="58" t="s">
        <v>1443</v>
      </c>
      <c r="H343" s="58" t="s">
        <v>1456</v>
      </c>
      <c r="I343" s="60">
        <v>65</v>
      </c>
      <c r="J343" s="58" t="s">
        <v>94</v>
      </c>
      <c r="K343" s="58" t="s">
        <v>29</v>
      </c>
      <c r="L343" s="58" t="s">
        <v>94</v>
      </c>
      <c r="M343" s="58" t="s">
        <v>29</v>
      </c>
      <c r="N343" s="61" t="s">
        <v>2243</v>
      </c>
      <c r="O343" s="58" t="s">
        <v>2244</v>
      </c>
      <c r="P343" s="58" t="s">
        <v>1447</v>
      </c>
      <c r="Q343" s="63" t="str">
        <f>IF(V343&lt;&gt;"","Completed","")</f>
        <v>Completed</v>
      </c>
      <c r="R343" s="64">
        <v>42641</v>
      </c>
      <c r="S343" s="64" t="s">
        <v>222</v>
      </c>
      <c r="T343" s="65">
        <v>31</v>
      </c>
      <c r="U343" s="65">
        <v>62</v>
      </c>
      <c r="V343" s="65">
        <v>62</v>
      </c>
      <c r="Y343" s="74" t="s">
        <v>44</v>
      </c>
      <c r="Z343" s="56" t="s">
        <v>1663</v>
      </c>
      <c r="AA343" s="249"/>
      <c r="AB343" s="242" t="s">
        <v>94</v>
      </c>
    </row>
    <row r="344" spans="1:30">
      <c r="A344" s="332" t="s">
        <v>1022</v>
      </c>
      <c r="B344" s="59"/>
      <c r="C344" s="57">
        <v>42727</v>
      </c>
      <c r="E344" s="65" t="s">
        <v>29</v>
      </c>
      <c r="F344" s="65" t="s">
        <v>29</v>
      </c>
      <c r="G344" s="58" t="s">
        <v>1443</v>
      </c>
      <c r="H344" s="58" t="s">
        <v>1456</v>
      </c>
      <c r="I344" s="60">
        <v>0</v>
      </c>
      <c r="J344" s="58" t="s">
        <v>94</v>
      </c>
      <c r="K344" s="58" t="s">
        <v>29</v>
      </c>
      <c r="L344" s="58" t="s">
        <v>94</v>
      </c>
      <c r="M344" s="58" t="s">
        <v>29</v>
      </c>
      <c r="N344" s="61" t="s">
        <v>2245</v>
      </c>
      <c r="O344" s="58" t="s">
        <v>2246</v>
      </c>
      <c r="P344" s="58" t="s">
        <v>1459</v>
      </c>
      <c r="Q344" s="63" t="str">
        <f>IF(V344&lt;&gt;"","Completed","")</f>
        <v>Completed</v>
      </c>
      <c r="R344" s="319">
        <v>42697</v>
      </c>
      <c r="S344" s="64" t="s">
        <v>80</v>
      </c>
      <c r="T344" s="242">
        <v>45</v>
      </c>
      <c r="U344" s="242">
        <v>90</v>
      </c>
      <c r="V344" s="242">
        <v>90</v>
      </c>
      <c r="W344" s="242"/>
      <c r="X344" s="242"/>
      <c r="Y344" s="74" t="s">
        <v>44</v>
      </c>
      <c r="Z344" s="345" t="s">
        <v>1605</v>
      </c>
      <c r="AA344" s="249"/>
      <c r="AB344" s="74" t="s">
        <v>94</v>
      </c>
      <c r="AC344" s="65" t="s">
        <v>94</v>
      </c>
    </row>
    <row r="345" spans="1:30">
      <c r="A345" s="333" t="s">
        <v>124</v>
      </c>
      <c r="B345" s="59"/>
      <c r="C345" s="57">
        <v>42741</v>
      </c>
      <c r="D345" s="65">
        <v>4016000</v>
      </c>
      <c r="E345" s="65" t="s">
        <v>29</v>
      </c>
      <c r="F345" s="65" t="s">
        <v>29</v>
      </c>
      <c r="G345" s="58" t="s">
        <v>1443</v>
      </c>
      <c r="H345" s="58" t="s">
        <v>1444</v>
      </c>
      <c r="I345" s="60">
        <v>382</v>
      </c>
      <c r="J345" s="58" t="s">
        <v>94</v>
      </c>
      <c r="K345" s="58" t="s">
        <v>29</v>
      </c>
      <c r="L345" s="58" t="s">
        <v>94</v>
      </c>
      <c r="M345" s="58" t="s">
        <v>29</v>
      </c>
      <c r="N345" s="61" t="s">
        <v>2247</v>
      </c>
      <c r="O345" s="58" t="s">
        <v>2248</v>
      </c>
      <c r="P345" s="58" t="s">
        <v>1447</v>
      </c>
      <c r="Q345" s="63" t="str">
        <f>IF(V345&lt;&gt;"","Completed","")</f>
        <v>Completed</v>
      </c>
      <c r="R345" s="64">
        <v>42665</v>
      </c>
      <c r="S345" s="64" t="s">
        <v>57</v>
      </c>
      <c r="T345" s="65">
        <v>16</v>
      </c>
      <c r="U345" s="65">
        <v>30</v>
      </c>
      <c r="V345" s="65">
        <v>30</v>
      </c>
      <c r="Y345" s="74" t="s">
        <v>44</v>
      </c>
      <c r="Z345" s="56" t="s">
        <v>1596</v>
      </c>
      <c r="AA345" s="252"/>
      <c r="AB345" s="328" t="s">
        <v>94</v>
      </c>
      <c r="AC345" s="328" t="s">
        <v>29</v>
      </c>
      <c r="AD345" s="56"/>
    </row>
    <row r="346" spans="1:30">
      <c r="A346" s="332" t="s">
        <v>1022</v>
      </c>
      <c r="B346" s="59"/>
      <c r="C346" s="57">
        <v>42717</v>
      </c>
      <c r="E346" s="65" t="s">
        <v>29</v>
      </c>
      <c r="F346" s="65" t="s">
        <v>29</v>
      </c>
      <c r="G346" s="58" t="s">
        <v>1443</v>
      </c>
      <c r="H346" s="58" t="s">
        <v>1456</v>
      </c>
      <c r="I346" s="60">
        <v>301</v>
      </c>
      <c r="J346" s="58" t="s">
        <v>94</v>
      </c>
      <c r="K346" s="58" t="s">
        <v>29</v>
      </c>
      <c r="L346" s="58" t="s">
        <v>94</v>
      </c>
      <c r="M346" s="58" t="s">
        <v>29</v>
      </c>
      <c r="N346" s="61" t="s">
        <v>2249</v>
      </c>
      <c r="O346" s="58" t="s">
        <v>2250</v>
      </c>
      <c r="P346" s="58" t="s">
        <v>1459</v>
      </c>
      <c r="Q346" s="63" t="str">
        <f>IF(V346&lt;&gt;"","Completed","")</f>
        <v>Completed</v>
      </c>
      <c r="R346" s="319">
        <v>42697</v>
      </c>
      <c r="S346" s="64" t="s">
        <v>80</v>
      </c>
      <c r="T346" s="242">
        <v>15</v>
      </c>
      <c r="U346" s="242">
        <v>25</v>
      </c>
      <c r="V346" s="242">
        <v>25</v>
      </c>
      <c r="W346" s="242"/>
      <c r="X346" s="242"/>
      <c r="Y346" s="74" t="s">
        <v>44</v>
      </c>
      <c r="Z346" s="345" t="s">
        <v>1602</v>
      </c>
      <c r="AA346" s="249"/>
      <c r="AB346" s="74" t="s">
        <v>94</v>
      </c>
      <c r="AC346" s="65" t="s">
        <v>94</v>
      </c>
    </row>
    <row r="347" spans="1:30">
      <c r="A347" s="75" t="s">
        <v>905</v>
      </c>
      <c r="B347" s="59"/>
      <c r="C347" s="57">
        <v>42773</v>
      </c>
      <c r="E347" s="65" t="s">
        <v>29</v>
      </c>
      <c r="F347" s="65" t="s">
        <v>29</v>
      </c>
      <c r="G347" s="58" t="s">
        <v>1443</v>
      </c>
      <c r="H347" s="58" t="s">
        <v>1456</v>
      </c>
      <c r="I347" s="60">
        <v>298</v>
      </c>
      <c r="J347" s="58" t="s">
        <v>94</v>
      </c>
      <c r="K347" s="58" t="s">
        <v>29</v>
      </c>
      <c r="L347" s="58" t="s">
        <v>29</v>
      </c>
      <c r="M347" s="58" t="s">
        <v>29</v>
      </c>
      <c r="N347" s="61" t="s">
        <v>2251</v>
      </c>
      <c r="O347" s="58" t="s">
        <v>2252</v>
      </c>
      <c r="P347" s="58" t="s">
        <v>1447</v>
      </c>
      <c r="Q347" s="63" t="str">
        <f>IF(V347&lt;&gt;"","Completed","")</f>
        <v>Completed</v>
      </c>
      <c r="R347" s="64">
        <v>42725</v>
      </c>
      <c r="S347" s="64" t="s">
        <v>57</v>
      </c>
      <c r="T347" s="65">
        <v>43</v>
      </c>
      <c r="U347" s="65">
        <v>83</v>
      </c>
      <c r="V347" s="65">
        <v>83</v>
      </c>
      <c r="Y347" s="74" t="s">
        <v>44</v>
      </c>
      <c r="Z347" s="56" t="s">
        <v>1747</v>
      </c>
      <c r="AA347" s="252"/>
      <c r="AB347" s="65" t="s">
        <v>94</v>
      </c>
      <c r="AC347" s="65" t="s">
        <v>29</v>
      </c>
    </row>
    <row r="348" spans="1:30">
      <c r="A348" s="75" t="s">
        <v>616</v>
      </c>
      <c r="B348" s="59"/>
      <c r="C348" s="57">
        <v>42726</v>
      </c>
      <c r="E348" s="65" t="s">
        <v>29</v>
      </c>
      <c r="F348" s="65" t="s">
        <v>29</v>
      </c>
      <c r="G348" s="58"/>
      <c r="H348" s="58"/>
      <c r="I348" s="60"/>
      <c r="J348" s="58"/>
      <c r="K348" s="58"/>
      <c r="L348" s="58"/>
      <c r="M348" s="58"/>
      <c r="N348" s="61" t="s">
        <v>2253</v>
      </c>
      <c r="O348" s="58" t="s">
        <v>2254</v>
      </c>
      <c r="P348" s="58" t="s">
        <v>1447</v>
      </c>
      <c r="Q348" s="63" t="str">
        <f>IF(V348&lt;&gt;"","Completed","")</f>
        <v>Completed</v>
      </c>
      <c r="R348" s="64">
        <v>42665</v>
      </c>
      <c r="S348" s="64" t="s">
        <v>43</v>
      </c>
      <c r="T348" s="150">
        <v>35</v>
      </c>
      <c r="U348" s="150">
        <v>70</v>
      </c>
      <c r="V348" s="150">
        <v>70</v>
      </c>
      <c r="W348" s="150"/>
      <c r="X348" s="150"/>
      <c r="Y348" s="74" t="s">
        <v>44</v>
      </c>
      <c r="Z348" s="56" t="s">
        <v>1640</v>
      </c>
      <c r="AA348" s="252"/>
      <c r="AB348" s="151" t="s">
        <v>94</v>
      </c>
      <c r="AC348" s="151" t="s">
        <v>29</v>
      </c>
    </row>
    <row r="349" spans="1:30">
      <c r="A349" s="75" t="s">
        <v>624</v>
      </c>
      <c r="B349" s="59"/>
      <c r="C349" s="57">
        <v>42677</v>
      </c>
      <c r="E349" s="65" t="s">
        <v>29</v>
      </c>
      <c r="F349" s="65" t="s">
        <v>29</v>
      </c>
      <c r="G349" s="58" t="s">
        <v>1443</v>
      </c>
      <c r="H349" s="58"/>
      <c r="I349" s="60"/>
      <c r="J349" s="58"/>
      <c r="K349" s="58"/>
      <c r="L349" s="58"/>
      <c r="M349" s="58"/>
      <c r="N349" s="61" t="s">
        <v>2255</v>
      </c>
      <c r="O349" s="58" t="s">
        <v>2256</v>
      </c>
      <c r="P349" s="58" t="s">
        <v>1459</v>
      </c>
      <c r="Q349" s="63" t="str">
        <f>IF(V349&lt;&gt;"","Completed","")</f>
        <v>Completed</v>
      </c>
      <c r="R349" s="64">
        <v>42664</v>
      </c>
      <c r="S349" s="64" t="s">
        <v>80</v>
      </c>
      <c r="T349" s="150">
        <v>26</v>
      </c>
      <c r="U349" s="150">
        <v>52</v>
      </c>
      <c r="V349" s="150">
        <v>52</v>
      </c>
      <c r="W349" s="150"/>
      <c r="X349" s="150"/>
      <c r="Y349" s="74" t="s">
        <v>44</v>
      </c>
      <c r="Z349" s="56" t="s">
        <v>1596</v>
      </c>
      <c r="AA349" s="249"/>
      <c r="AB349" s="347" t="s">
        <v>94</v>
      </c>
      <c r="AC349" s="242" t="s">
        <v>94</v>
      </c>
    </row>
    <row r="350" spans="1:30">
      <c r="A350" s="332" t="s">
        <v>1022</v>
      </c>
      <c r="B350" s="59"/>
      <c r="C350" s="57">
        <v>42740</v>
      </c>
      <c r="E350" s="65" t="s">
        <v>29</v>
      </c>
      <c r="F350" s="65" t="s">
        <v>29</v>
      </c>
      <c r="G350" s="58" t="s">
        <v>1443</v>
      </c>
      <c r="H350" s="58" t="s">
        <v>1456</v>
      </c>
      <c r="I350" s="60">
        <v>383</v>
      </c>
      <c r="J350" s="58" t="s">
        <v>94</v>
      </c>
      <c r="K350" s="58" t="s">
        <v>29</v>
      </c>
      <c r="L350" s="58" t="s">
        <v>94</v>
      </c>
      <c r="M350" s="58" t="s">
        <v>29</v>
      </c>
      <c r="N350" s="61" t="s">
        <v>2257</v>
      </c>
      <c r="O350" s="58" t="s">
        <v>2258</v>
      </c>
      <c r="P350" s="58" t="s">
        <v>1459</v>
      </c>
      <c r="Q350" s="63" t="str">
        <f>IF(V350&lt;&gt;"","Completed","")</f>
        <v>Completed</v>
      </c>
      <c r="R350" s="319">
        <v>42693</v>
      </c>
      <c r="S350" s="64" t="s">
        <v>80</v>
      </c>
      <c r="T350" s="242">
        <v>30</v>
      </c>
      <c r="U350" s="242">
        <v>51</v>
      </c>
      <c r="V350" s="242">
        <v>51</v>
      </c>
      <c r="W350" s="242"/>
      <c r="X350" s="242"/>
      <c r="Y350" s="74" t="s">
        <v>44</v>
      </c>
      <c r="Z350" s="345" t="s">
        <v>1491</v>
      </c>
      <c r="AA350" s="249"/>
      <c r="AB350" s="65" t="s">
        <v>94</v>
      </c>
      <c r="AC350" s="65" t="s">
        <v>29</v>
      </c>
    </row>
    <row r="351" spans="1:30">
      <c r="A351" s="261" t="s">
        <v>710</v>
      </c>
      <c r="C351" s="57">
        <v>42765</v>
      </c>
      <c r="E351" s="65" t="s">
        <v>29</v>
      </c>
      <c r="F351" s="65" t="s">
        <v>29</v>
      </c>
      <c r="N351" s="68" t="s">
        <v>2259</v>
      </c>
      <c r="O351" s="90" t="s">
        <v>2260</v>
      </c>
      <c r="Q351" s="63" t="str">
        <f>IF(V351&lt;&gt;"","Completed","")</f>
        <v>Completed</v>
      </c>
      <c r="R351" s="64">
        <v>42770</v>
      </c>
      <c r="S351" s="64" t="s">
        <v>149</v>
      </c>
      <c r="T351" s="242">
        <v>41</v>
      </c>
      <c r="U351" s="242">
        <v>75</v>
      </c>
      <c r="V351" s="242">
        <v>75</v>
      </c>
      <c r="Y351" s="74" t="s">
        <v>44</v>
      </c>
      <c r="Z351" s="345" t="s">
        <v>1442</v>
      </c>
      <c r="AA351" s="92"/>
      <c r="AB351" s="242" t="s">
        <v>94</v>
      </c>
      <c r="AC351" s="242" t="s">
        <v>29</v>
      </c>
    </row>
    <row r="352" spans="1:30">
      <c r="A352" s="244" t="s">
        <v>320</v>
      </c>
      <c r="B352" s="62" t="s">
        <v>68</v>
      </c>
      <c r="C352" s="57">
        <v>42754</v>
      </c>
      <c r="E352" s="65" t="s">
        <v>29</v>
      </c>
      <c r="F352" s="65" t="s">
        <v>29</v>
      </c>
      <c r="G352" s="280" t="s">
        <v>1443</v>
      </c>
      <c r="H352" s="280" t="s">
        <v>1444</v>
      </c>
      <c r="I352" s="281">
        <v>0</v>
      </c>
      <c r="J352" s="280" t="s">
        <v>94</v>
      </c>
      <c r="K352" s="280" t="s">
        <v>29</v>
      </c>
      <c r="L352" s="280" t="s">
        <v>29</v>
      </c>
      <c r="M352" s="280" t="s">
        <v>29</v>
      </c>
      <c r="N352" s="61" t="s">
        <v>2261</v>
      </c>
      <c r="O352" s="58" t="s">
        <v>2262</v>
      </c>
      <c r="P352" s="58" t="s">
        <v>1447</v>
      </c>
      <c r="Q352" s="63" t="str">
        <f>IF(V352&lt;&gt;"","Completed","")</f>
        <v>Completed</v>
      </c>
      <c r="R352" s="64">
        <v>42727</v>
      </c>
      <c r="S352" s="64" t="s">
        <v>80</v>
      </c>
      <c r="T352" s="65">
        <v>67</v>
      </c>
      <c r="U352" s="65">
        <v>132</v>
      </c>
      <c r="V352" s="65">
        <v>132</v>
      </c>
      <c r="Y352" s="74" t="s">
        <v>44</v>
      </c>
      <c r="Z352" s="56" t="s">
        <v>1500</v>
      </c>
      <c r="AA352" s="92">
        <f>SUM(V351:V352)</f>
        <v>207</v>
      </c>
      <c r="AB352" s="65" t="s">
        <v>94</v>
      </c>
      <c r="AC352" s="65" t="s">
        <v>94</v>
      </c>
      <c r="AD352" s="349"/>
    </row>
    <row r="353" spans="1:30">
      <c r="A353" s="75" t="s">
        <v>632</v>
      </c>
      <c r="B353" s="59"/>
      <c r="C353" s="57">
        <v>42753</v>
      </c>
      <c r="E353" s="65" t="s">
        <v>29</v>
      </c>
      <c r="F353" s="65" t="s">
        <v>29</v>
      </c>
      <c r="G353" s="58" t="s">
        <v>1443</v>
      </c>
      <c r="H353" s="58" t="s">
        <v>1449</v>
      </c>
      <c r="I353" s="60">
        <v>0</v>
      </c>
      <c r="J353" s="58" t="s">
        <v>94</v>
      </c>
      <c r="K353" s="58" t="s">
        <v>29</v>
      </c>
      <c r="L353" s="58" t="s">
        <v>29</v>
      </c>
      <c r="M353" s="58" t="s">
        <v>29</v>
      </c>
      <c r="N353" s="61" t="s">
        <v>2263</v>
      </c>
      <c r="O353" s="58" t="s">
        <v>2264</v>
      </c>
      <c r="P353" s="58" t="s">
        <v>1447</v>
      </c>
      <c r="Q353" s="63" t="str">
        <f>IF(V353&lt;&gt;"","Completed","")</f>
        <v>Completed</v>
      </c>
      <c r="R353" s="64">
        <v>42719</v>
      </c>
      <c r="S353" s="64" t="s">
        <v>57</v>
      </c>
      <c r="T353" s="65">
        <v>20</v>
      </c>
      <c r="U353" s="65">
        <v>36</v>
      </c>
      <c r="V353" s="65">
        <v>36</v>
      </c>
      <c r="Y353" s="74" t="s">
        <v>44</v>
      </c>
      <c r="Z353" s="56" t="s">
        <v>1500</v>
      </c>
      <c r="AA353" s="118"/>
      <c r="AB353" s="65" t="s">
        <v>94</v>
      </c>
      <c r="AC353" s="65" t="s">
        <v>29</v>
      </c>
    </row>
    <row r="354" spans="1:30">
      <c r="A354" s="75" t="s">
        <v>1039</v>
      </c>
      <c r="B354" s="59"/>
      <c r="C354" s="57">
        <v>42768</v>
      </c>
      <c r="E354" s="65" t="s">
        <v>29</v>
      </c>
      <c r="F354" s="65" t="s">
        <v>29</v>
      </c>
      <c r="G354" s="58" t="s">
        <v>1443</v>
      </c>
      <c r="H354" s="58" t="s">
        <v>1456</v>
      </c>
      <c r="I354" s="60">
        <v>240</v>
      </c>
      <c r="J354" s="58" t="s">
        <v>94</v>
      </c>
      <c r="K354" s="58" t="s">
        <v>29</v>
      </c>
      <c r="L354" s="58" t="s">
        <v>94</v>
      </c>
      <c r="M354" s="58" t="s">
        <v>29</v>
      </c>
      <c r="N354" s="61" t="s">
        <v>2265</v>
      </c>
      <c r="O354" s="58" t="s">
        <v>2266</v>
      </c>
      <c r="P354" s="58" t="s">
        <v>1459</v>
      </c>
      <c r="Q354" s="63" t="str">
        <f>IF(V354&lt;&gt;"","Completed","")</f>
        <v>Completed</v>
      </c>
      <c r="R354" s="64">
        <v>42714</v>
      </c>
      <c r="S354" s="64" t="s">
        <v>57</v>
      </c>
      <c r="T354" s="65">
        <v>8</v>
      </c>
      <c r="U354" s="65">
        <v>16</v>
      </c>
      <c r="V354" s="65">
        <v>16</v>
      </c>
      <c r="Y354" s="74" t="s">
        <v>44</v>
      </c>
      <c r="Z354" s="56" t="s">
        <v>1912</v>
      </c>
      <c r="AA354" s="249"/>
      <c r="AB354" s="65" t="s">
        <v>94</v>
      </c>
      <c r="AC354" s="65" t="s">
        <v>29</v>
      </c>
    </row>
    <row r="355" spans="1:30">
      <c r="A355" s="75" t="s">
        <v>639</v>
      </c>
      <c r="B355" s="59"/>
      <c r="C355" s="57">
        <v>42766</v>
      </c>
      <c r="E355" s="65" t="s">
        <v>29</v>
      </c>
      <c r="F355" s="65" t="s">
        <v>29</v>
      </c>
      <c r="G355" s="58" t="s">
        <v>1443</v>
      </c>
      <c r="H355" s="58" t="s">
        <v>1444</v>
      </c>
      <c r="I355" s="60">
        <v>503</v>
      </c>
      <c r="J355" s="58" t="s">
        <v>29</v>
      </c>
      <c r="K355" s="58" t="s">
        <v>29</v>
      </c>
      <c r="L355" s="58" t="s">
        <v>29</v>
      </c>
      <c r="M355" s="58" t="s">
        <v>29</v>
      </c>
      <c r="N355" s="61" t="s">
        <v>2267</v>
      </c>
      <c r="O355" s="58" t="s">
        <v>2268</v>
      </c>
      <c r="P355" s="58" t="s">
        <v>1459</v>
      </c>
      <c r="Q355" s="63" t="str">
        <f>IF(V355&lt;&gt;"","Completed","")</f>
        <v>Completed</v>
      </c>
      <c r="R355" s="64">
        <v>42724</v>
      </c>
      <c r="S355" s="64" t="s">
        <v>43</v>
      </c>
      <c r="T355" s="65">
        <v>16</v>
      </c>
      <c r="U355" s="65">
        <v>27</v>
      </c>
      <c r="V355" s="65">
        <v>27</v>
      </c>
      <c r="Y355" s="74" t="s">
        <v>44</v>
      </c>
      <c r="Z355" s="56" t="s">
        <v>1780</v>
      </c>
      <c r="AA355" s="249"/>
      <c r="AB355" s="65" t="s">
        <v>94</v>
      </c>
      <c r="AC355" s="65" t="s">
        <v>29</v>
      </c>
    </row>
    <row r="356" spans="1:30">
      <c r="A356" s="75" t="s">
        <v>639</v>
      </c>
      <c r="B356" s="59"/>
      <c r="C356" s="57">
        <v>42767</v>
      </c>
      <c r="E356" s="65" t="s">
        <v>29</v>
      </c>
      <c r="F356" s="65" t="s">
        <v>29</v>
      </c>
      <c r="G356" s="58" t="s">
        <v>1443</v>
      </c>
      <c r="H356" s="58" t="s">
        <v>1444</v>
      </c>
      <c r="I356" s="60">
        <v>0</v>
      </c>
      <c r="J356" s="58" t="s">
        <v>29</v>
      </c>
      <c r="K356" s="58" t="s">
        <v>29</v>
      </c>
      <c r="L356" s="58" t="s">
        <v>29</v>
      </c>
      <c r="M356" s="58" t="s">
        <v>29</v>
      </c>
      <c r="N356" s="61" t="s">
        <v>2269</v>
      </c>
      <c r="O356" s="58" t="s">
        <v>2270</v>
      </c>
      <c r="P356" s="58" t="s">
        <v>1459</v>
      </c>
      <c r="Q356" s="63" t="str">
        <f>IF(V356&lt;&gt;"","Completed","")</f>
        <v>Completed</v>
      </c>
      <c r="R356" s="64">
        <v>42721</v>
      </c>
      <c r="S356" s="64" t="s">
        <v>43</v>
      </c>
      <c r="T356" s="65">
        <v>30</v>
      </c>
      <c r="U356" s="65">
        <v>48</v>
      </c>
      <c r="V356" s="65">
        <v>48</v>
      </c>
      <c r="Y356" s="74" t="s">
        <v>44</v>
      </c>
      <c r="Z356" s="56" t="s">
        <v>1571</v>
      </c>
      <c r="AA356" s="249"/>
      <c r="AB356" s="65" t="s">
        <v>94</v>
      </c>
      <c r="AC356" s="65" t="s">
        <v>29</v>
      </c>
    </row>
    <row r="357" spans="1:30">
      <c r="A357" s="75" t="s">
        <v>639</v>
      </c>
      <c r="B357" s="59"/>
      <c r="C357" s="57">
        <v>42767</v>
      </c>
      <c r="E357" s="65" t="s">
        <v>29</v>
      </c>
      <c r="F357" s="65" t="s">
        <v>29</v>
      </c>
      <c r="G357" s="58" t="s">
        <v>1443</v>
      </c>
      <c r="H357" s="58" t="s">
        <v>1444</v>
      </c>
      <c r="I357" s="60">
        <v>0</v>
      </c>
      <c r="J357" s="58" t="s">
        <v>94</v>
      </c>
      <c r="K357" s="58" t="s">
        <v>29</v>
      </c>
      <c r="L357" s="58" t="s">
        <v>29</v>
      </c>
      <c r="M357" s="58" t="s">
        <v>29</v>
      </c>
      <c r="N357" s="61" t="s">
        <v>2271</v>
      </c>
      <c r="O357" s="58" t="s">
        <v>2272</v>
      </c>
      <c r="P357" s="58" t="s">
        <v>1459</v>
      </c>
      <c r="Q357" s="63" t="str">
        <f>IF(V357&lt;&gt;"","Completed","")</f>
        <v>Completed</v>
      </c>
      <c r="R357" s="64">
        <v>42721</v>
      </c>
      <c r="S357" s="64" t="s">
        <v>43</v>
      </c>
      <c r="T357" s="65">
        <v>12</v>
      </c>
      <c r="U357" s="65">
        <v>24</v>
      </c>
      <c r="V357" s="65">
        <v>24</v>
      </c>
      <c r="Y357" s="74" t="s">
        <v>44</v>
      </c>
      <c r="Z357" s="56" t="s">
        <v>1571</v>
      </c>
      <c r="AA357" s="249">
        <f>SUM(V353:V357)</f>
        <v>151</v>
      </c>
      <c r="AB357" s="65" t="s">
        <v>94</v>
      </c>
      <c r="AC357" s="65" t="s">
        <v>29</v>
      </c>
    </row>
    <row r="358" spans="1:30">
      <c r="A358" s="75" t="s">
        <v>162</v>
      </c>
      <c r="B358" s="59"/>
      <c r="C358" s="247">
        <v>42740</v>
      </c>
      <c r="D358" s="65">
        <v>4020000</v>
      </c>
      <c r="E358" s="65" t="s">
        <v>29</v>
      </c>
      <c r="F358" s="65" t="s">
        <v>29</v>
      </c>
      <c r="G358" s="58" t="s">
        <v>1443</v>
      </c>
      <c r="H358" s="58" t="s">
        <v>1456</v>
      </c>
      <c r="I358" s="60">
        <v>250</v>
      </c>
      <c r="J358" s="58" t="s">
        <v>94</v>
      </c>
      <c r="K358" s="58" t="s">
        <v>29</v>
      </c>
      <c r="L358" s="58" t="s">
        <v>94</v>
      </c>
      <c r="M358" s="58" t="s">
        <v>29</v>
      </c>
      <c r="N358" s="61" t="s">
        <v>2273</v>
      </c>
      <c r="O358" s="292" t="s">
        <v>2274</v>
      </c>
      <c r="P358" s="58" t="s">
        <v>1459</v>
      </c>
      <c r="Q358" s="63" t="str">
        <f>IF(V358&lt;&gt;"","Completed","")</f>
        <v>Completed</v>
      </c>
      <c r="R358" s="64">
        <v>42712</v>
      </c>
      <c r="S358" s="233" t="s">
        <v>172</v>
      </c>
      <c r="T358" s="65">
        <v>14</v>
      </c>
      <c r="U358" s="65">
        <v>28</v>
      </c>
      <c r="V358" s="65">
        <v>28</v>
      </c>
      <c r="Y358" s="74" t="s">
        <v>44</v>
      </c>
      <c r="Z358" s="56" t="s">
        <v>1981</v>
      </c>
      <c r="AA358" s="249"/>
      <c r="AB358" s="65" t="s">
        <v>94</v>
      </c>
      <c r="AC358" s="65" t="s">
        <v>29</v>
      </c>
    </row>
    <row r="359" spans="1:30">
      <c r="A359" s="332" t="s">
        <v>945</v>
      </c>
      <c r="B359" s="59"/>
      <c r="C359" s="57">
        <v>42787</v>
      </c>
      <c r="E359" s="65" t="s">
        <v>29</v>
      </c>
      <c r="F359" s="65" t="s">
        <v>29</v>
      </c>
      <c r="G359" s="58" t="s">
        <v>1443</v>
      </c>
      <c r="H359" s="58" t="s">
        <v>1456</v>
      </c>
      <c r="I359" s="60">
        <v>221</v>
      </c>
      <c r="J359" s="58" t="s">
        <v>94</v>
      </c>
      <c r="K359" s="58" t="s">
        <v>29</v>
      </c>
      <c r="L359" s="58" t="s">
        <v>94</v>
      </c>
      <c r="M359" s="58" t="s">
        <v>29</v>
      </c>
      <c r="N359" s="61" t="s">
        <v>2275</v>
      </c>
      <c r="O359" s="58" t="s">
        <v>2276</v>
      </c>
      <c r="P359" s="58" t="s">
        <v>1447</v>
      </c>
      <c r="Q359" s="63" t="str">
        <f>IF(V359&lt;&gt;"","Completed","")</f>
        <v>Completed</v>
      </c>
      <c r="R359" s="319">
        <v>42742</v>
      </c>
      <c r="S359" s="319" t="s">
        <v>57</v>
      </c>
      <c r="T359" s="65">
        <v>17</v>
      </c>
      <c r="U359" s="65">
        <v>34</v>
      </c>
      <c r="V359" s="65">
        <v>34</v>
      </c>
      <c r="W359" s="242"/>
      <c r="X359" s="242"/>
      <c r="Y359" s="74" t="s">
        <v>44</v>
      </c>
      <c r="Z359" s="56" t="s">
        <v>1747</v>
      </c>
      <c r="AA359" s="252"/>
      <c r="AB359" s="74" t="s">
        <v>94</v>
      </c>
      <c r="AC359" s="65" t="s">
        <v>29</v>
      </c>
    </row>
    <row r="360" spans="1:30">
      <c r="A360" s="75" t="s">
        <v>1121</v>
      </c>
      <c r="B360" s="59"/>
      <c r="C360" s="311">
        <v>42723</v>
      </c>
      <c r="E360" s="65" t="s">
        <v>29</v>
      </c>
      <c r="F360" s="65" t="s">
        <v>94</v>
      </c>
      <c r="G360" s="58" t="s">
        <v>1443</v>
      </c>
      <c r="H360" s="58" t="s">
        <v>1456</v>
      </c>
      <c r="I360" s="60">
        <v>441</v>
      </c>
      <c r="J360" s="58" t="s">
        <v>94</v>
      </c>
      <c r="K360" s="58" t="s">
        <v>29</v>
      </c>
      <c r="L360" s="58" t="s">
        <v>94</v>
      </c>
      <c r="M360" s="58" t="s">
        <v>94</v>
      </c>
      <c r="N360" s="61" t="s">
        <v>2277</v>
      </c>
      <c r="O360" s="58" t="s">
        <v>2278</v>
      </c>
      <c r="P360" s="58" t="s">
        <v>1447</v>
      </c>
      <c r="Q360" s="63" t="str">
        <f>IF(V360&lt;&gt;"","Completed","")</f>
        <v>Completed</v>
      </c>
      <c r="R360" s="64">
        <v>42676</v>
      </c>
      <c r="S360" s="64" t="s">
        <v>104</v>
      </c>
      <c r="T360" s="65">
        <v>95</v>
      </c>
      <c r="V360" s="256">
        <v>149</v>
      </c>
      <c r="Y360" s="74" t="s">
        <v>44</v>
      </c>
      <c r="Z360" s="56" t="s">
        <v>1893</v>
      </c>
      <c r="AA360" s="249"/>
      <c r="AB360" s="324" t="s">
        <v>94</v>
      </c>
      <c r="AC360" s="324" t="s">
        <v>94</v>
      </c>
    </row>
    <row r="361" spans="1:30">
      <c r="A361" s="332" t="s">
        <v>647</v>
      </c>
      <c r="B361" s="59"/>
      <c r="C361" s="57">
        <v>42787</v>
      </c>
      <c r="E361" s="65" t="s">
        <v>29</v>
      </c>
      <c r="F361" s="65" t="s">
        <v>29</v>
      </c>
      <c r="G361" s="58" t="s">
        <v>1443</v>
      </c>
      <c r="H361" s="58" t="s">
        <v>1444</v>
      </c>
      <c r="I361" s="60">
        <v>0</v>
      </c>
      <c r="J361" s="58" t="s">
        <v>29</v>
      </c>
      <c r="K361" s="58" t="s">
        <v>29</v>
      </c>
      <c r="L361" s="58" t="s">
        <v>29</v>
      </c>
      <c r="M361" s="58" t="s">
        <v>29</v>
      </c>
      <c r="N361" s="61" t="s">
        <v>2279</v>
      </c>
      <c r="O361" s="58" t="s">
        <v>2280</v>
      </c>
      <c r="P361" s="58" t="s">
        <v>1459</v>
      </c>
      <c r="Q361" s="63" t="str">
        <f>IF(V361&lt;&gt;"","Completed","")</f>
        <v>Completed</v>
      </c>
      <c r="R361" s="319">
        <v>42742</v>
      </c>
      <c r="S361" s="319" t="s">
        <v>57</v>
      </c>
      <c r="T361" s="65">
        <v>27</v>
      </c>
      <c r="U361" s="65">
        <v>48</v>
      </c>
      <c r="V361" s="65">
        <v>48</v>
      </c>
      <c r="Y361" s="74" t="s">
        <v>44</v>
      </c>
      <c r="Z361" s="56" t="s">
        <v>1647</v>
      </c>
      <c r="AA361" s="252"/>
      <c r="AB361" s="65" t="s">
        <v>94</v>
      </c>
      <c r="AC361" s="65" t="s">
        <v>94</v>
      </c>
    </row>
    <row r="362" spans="1:30">
      <c r="A362" s="75" t="s">
        <v>655</v>
      </c>
      <c r="B362" s="59"/>
      <c r="C362" s="57">
        <v>42716</v>
      </c>
      <c r="E362" s="65" t="s">
        <v>29</v>
      </c>
      <c r="F362" s="65" t="s">
        <v>29</v>
      </c>
      <c r="G362" s="58" t="s">
        <v>1443</v>
      </c>
      <c r="H362" s="58" t="s">
        <v>1444</v>
      </c>
      <c r="I362" s="60">
        <v>0</v>
      </c>
      <c r="J362" s="58" t="s">
        <v>94</v>
      </c>
      <c r="K362" s="58" t="s">
        <v>29</v>
      </c>
      <c r="L362" s="58" t="s">
        <v>29</v>
      </c>
      <c r="M362" s="58" t="s">
        <v>29</v>
      </c>
      <c r="N362" s="61" t="s">
        <v>2281</v>
      </c>
      <c r="O362" s="58" t="s">
        <v>2282</v>
      </c>
      <c r="P362" s="58" t="s">
        <v>1447</v>
      </c>
      <c r="Q362" s="63" t="str">
        <f>IF(V362&lt;&gt;"","Completed","")</f>
        <v>Completed</v>
      </c>
      <c r="R362" s="64">
        <v>42656</v>
      </c>
      <c r="S362" s="64" t="s">
        <v>149</v>
      </c>
      <c r="T362" s="65">
        <v>61</v>
      </c>
      <c r="U362" s="65">
        <v>93</v>
      </c>
      <c r="V362" s="65">
        <v>93</v>
      </c>
      <c r="Y362" s="74" t="s">
        <v>44</v>
      </c>
      <c r="Z362" s="56" t="s">
        <v>1524</v>
      </c>
      <c r="AA362" s="249"/>
      <c r="AB362" s="151" t="s">
        <v>94</v>
      </c>
      <c r="AC362" s="151" t="s">
        <v>29</v>
      </c>
    </row>
    <row r="363" spans="1:30">
      <c r="A363" s="75" t="s">
        <v>273</v>
      </c>
      <c r="B363" s="59"/>
      <c r="C363" s="57">
        <v>42760</v>
      </c>
      <c r="D363" s="65">
        <v>4044000</v>
      </c>
      <c r="E363" s="65" t="s">
        <v>29</v>
      </c>
      <c r="F363" s="65" t="s">
        <v>29</v>
      </c>
      <c r="G363" s="58" t="s">
        <v>1443</v>
      </c>
      <c r="H363" s="58" t="s">
        <v>1456</v>
      </c>
      <c r="I363" s="60">
        <v>460</v>
      </c>
      <c r="J363" s="58" t="s">
        <v>94</v>
      </c>
      <c r="K363" s="58" t="s">
        <v>29</v>
      </c>
      <c r="L363" s="58" t="s">
        <v>94</v>
      </c>
      <c r="M363" s="58" t="s">
        <v>29</v>
      </c>
      <c r="N363" s="61" t="s">
        <v>2283</v>
      </c>
      <c r="O363" s="58" t="s">
        <v>2284</v>
      </c>
      <c r="P363" s="58" t="s">
        <v>1447</v>
      </c>
      <c r="Q363" s="63" t="str">
        <f>IF(V363&lt;&gt;"","Completed","")</f>
        <v>Completed</v>
      </c>
      <c r="R363" s="293">
        <v>42693</v>
      </c>
      <c r="S363" s="341" t="s">
        <v>43</v>
      </c>
      <c r="T363" s="65">
        <v>28</v>
      </c>
      <c r="U363" s="256">
        <v>48</v>
      </c>
      <c r="V363" s="256">
        <v>48</v>
      </c>
      <c r="Y363" s="74" t="s">
        <v>44</v>
      </c>
      <c r="Z363" s="257" t="s">
        <v>1472</v>
      </c>
      <c r="AA363" s="342"/>
      <c r="AB363" s="65" t="s">
        <v>94</v>
      </c>
    </row>
    <row r="364" spans="1:30">
      <c r="A364" s="75" t="s">
        <v>162</v>
      </c>
      <c r="B364" s="59"/>
      <c r="C364" s="57">
        <v>42712</v>
      </c>
      <c r="D364" s="65">
        <v>4020000</v>
      </c>
      <c r="E364" s="65" t="s">
        <v>29</v>
      </c>
      <c r="F364" s="65" t="s">
        <v>29</v>
      </c>
      <c r="G364" s="58" t="s">
        <v>1461</v>
      </c>
      <c r="H364" s="58" t="s">
        <v>1456</v>
      </c>
      <c r="I364" s="60">
        <v>0</v>
      </c>
      <c r="J364" s="58" t="s">
        <v>94</v>
      </c>
      <c r="K364" s="58" t="s">
        <v>29</v>
      </c>
      <c r="L364" s="58" t="s">
        <v>94</v>
      </c>
      <c r="M364" s="58" t="s">
        <v>29</v>
      </c>
      <c r="N364" s="61" t="s">
        <v>2285</v>
      </c>
      <c r="O364" s="58" t="s">
        <v>2286</v>
      </c>
      <c r="P364" s="58" t="s">
        <v>1459</v>
      </c>
      <c r="Q364" s="63" t="str">
        <f>IF(V364&lt;&gt;"","Completed","")</f>
        <v>Completed</v>
      </c>
      <c r="R364" s="64">
        <v>42692</v>
      </c>
      <c r="S364" s="233" t="s">
        <v>172</v>
      </c>
      <c r="T364" s="65">
        <v>53</v>
      </c>
      <c r="U364" s="65">
        <v>84</v>
      </c>
      <c r="V364" s="65">
        <v>84</v>
      </c>
      <c r="Y364" s="74" t="s">
        <v>44</v>
      </c>
      <c r="Z364" s="56" t="s">
        <v>1491</v>
      </c>
      <c r="AA364" s="249"/>
      <c r="AB364" s="242" t="s">
        <v>94</v>
      </c>
    </row>
    <row r="365" spans="1:30">
      <c r="A365" s="333" t="s">
        <v>124</v>
      </c>
      <c r="B365" s="59"/>
      <c r="C365" s="57">
        <v>42744</v>
      </c>
      <c r="D365" s="65">
        <v>4016000</v>
      </c>
      <c r="E365" s="65" t="s">
        <v>29</v>
      </c>
      <c r="F365" s="65" t="s">
        <v>29</v>
      </c>
      <c r="G365" s="58" t="s">
        <v>1443</v>
      </c>
      <c r="H365" s="58" t="s">
        <v>1444</v>
      </c>
      <c r="I365" s="60">
        <v>358</v>
      </c>
      <c r="J365" s="58" t="s">
        <v>94</v>
      </c>
      <c r="K365" s="58" t="s">
        <v>29</v>
      </c>
      <c r="L365" s="58" t="s">
        <v>94</v>
      </c>
      <c r="M365" s="58" t="s">
        <v>29</v>
      </c>
      <c r="N365" s="61" t="s">
        <v>2287</v>
      </c>
      <c r="O365" s="58" t="s">
        <v>2288</v>
      </c>
      <c r="P365" s="58" t="s">
        <v>1447</v>
      </c>
      <c r="Q365" s="63" t="str">
        <f>IF(V365&lt;&gt;"","Completed","")</f>
        <v>Completed</v>
      </c>
      <c r="R365" s="64">
        <v>42644</v>
      </c>
      <c r="S365" s="401" t="s">
        <v>57</v>
      </c>
      <c r="T365" s="65">
        <v>18</v>
      </c>
      <c r="U365" s="65">
        <v>34</v>
      </c>
      <c r="V365" s="65">
        <v>34</v>
      </c>
      <c r="Y365" s="74" t="s">
        <v>44</v>
      </c>
      <c r="Z365" s="56" t="s">
        <v>1448</v>
      </c>
      <c r="AA365" s="252"/>
      <c r="AB365" s="328" t="s">
        <v>94</v>
      </c>
      <c r="AC365" s="328" t="s">
        <v>94</v>
      </c>
      <c r="AD365" s="56"/>
    </row>
    <row r="366" spans="1:30">
      <c r="A366" s="332" t="s">
        <v>1022</v>
      </c>
      <c r="B366" s="59"/>
      <c r="C366" s="57">
        <v>42727</v>
      </c>
      <c r="E366" s="65" t="s">
        <v>29</v>
      </c>
      <c r="F366" s="65" t="s">
        <v>29</v>
      </c>
      <c r="G366" s="58" t="s">
        <v>1443</v>
      </c>
      <c r="H366" s="58" t="s">
        <v>1456</v>
      </c>
      <c r="I366" s="60">
        <v>507</v>
      </c>
      <c r="J366" s="58" t="s">
        <v>94</v>
      </c>
      <c r="K366" s="58" t="s">
        <v>29</v>
      </c>
      <c r="L366" s="58" t="s">
        <v>94</v>
      </c>
      <c r="M366" s="58" t="s">
        <v>29</v>
      </c>
      <c r="N366" s="61" t="s">
        <v>2289</v>
      </c>
      <c r="O366" s="58" t="s">
        <v>2290</v>
      </c>
      <c r="P366" s="58" t="s">
        <v>1459</v>
      </c>
      <c r="Q366" s="63" t="str">
        <f>IF(V366&lt;&gt;"","Completed","")</f>
        <v>Completed</v>
      </c>
      <c r="R366" s="319">
        <v>42707</v>
      </c>
      <c r="S366" s="401" t="s">
        <v>80</v>
      </c>
      <c r="T366" s="242">
        <v>95</v>
      </c>
      <c r="U366" s="242">
        <v>151</v>
      </c>
      <c r="V366" s="242">
        <v>151</v>
      </c>
      <c r="W366" s="242"/>
      <c r="X366" s="242"/>
      <c r="Y366" s="74" t="s">
        <v>44</v>
      </c>
      <c r="Z366" s="345" t="s">
        <v>1605</v>
      </c>
      <c r="AA366" s="249"/>
      <c r="AB366" s="242" t="s">
        <v>94</v>
      </c>
    </row>
    <row r="367" spans="1:30">
      <c r="A367" s="261" t="s">
        <v>710</v>
      </c>
      <c r="C367" s="57">
        <v>42782</v>
      </c>
      <c r="E367" s="65" t="s">
        <v>29</v>
      </c>
      <c r="F367" s="65" t="s">
        <v>29</v>
      </c>
      <c r="N367" s="68" t="s">
        <v>2291</v>
      </c>
      <c r="O367" s="90" t="s">
        <v>2292</v>
      </c>
      <c r="Q367" s="63" t="str">
        <f>IF(V367&lt;&gt;"","Completed","")</f>
        <v>Completed</v>
      </c>
      <c r="R367" s="64">
        <v>42770</v>
      </c>
      <c r="S367" s="401" t="s">
        <v>149</v>
      </c>
      <c r="T367" s="242">
        <v>53</v>
      </c>
      <c r="U367" s="242">
        <v>78</v>
      </c>
      <c r="V367" s="242">
        <v>78</v>
      </c>
      <c r="Y367" s="74" t="s">
        <v>44</v>
      </c>
      <c r="Z367" s="345" t="s">
        <v>1620</v>
      </c>
      <c r="AA367" s="92"/>
      <c r="AB367" s="242" t="s">
        <v>94</v>
      </c>
      <c r="AC367" s="242" t="s">
        <v>29</v>
      </c>
    </row>
    <row r="368" spans="1:30">
      <c r="A368" s="75" t="s">
        <v>870</v>
      </c>
      <c r="B368" s="59"/>
      <c r="C368" s="57">
        <v>42744</v>
      </c>
      <c r="D368" s="150"/>
      <c r="E368" s="65" t="s">
        <v>29</v>
      </c>
      <c r="F368" s="65" t="s">
        <v>29</v>
      </c>
      <c r="G368" s="58" t="s">
        <v>1443</v>
      </c>
      <c r="H368" s="58" t="s">
        <v>1444</v>
      </c>
      <c r="I368" s="60">
        <v>357</v>
      </c>
      <c r="J368" s="58" t="s">
        <v>94</v>
      </c>
      <c r="K368" s="58" t="s">
        <v>29</v>
      </c>
      <c r="L368" s="58" t="s">
        <v>29</v>
      </c>
      <c r="M368" s="58" t="s">
        <v>29</v>
      </c>
      <c r="N368" s="61" t="s">
        <v>2293</v>
      </c>
      <c r="O368" s="58" t="s">
        <v>2294</v>
      </c>
      <c r="P368" s="58" t="s">
        <v>1447</v>
      </c>
      <c r="Q368" s="63" t="str">
        <f>IF(V368&lt;&gt;"","Completed","")</f>
        <v>Completed</v>
      </c>
      <c r="R368" s="64">
        <v>42685</v>
      </c>
      <c r="S368" s="401" t="s">
        <v>57</v>
      </c>
      <c r="T368" s="65">
        <v>102</v>
      </c>
      <c r="U368" s="65">
        <v>164</v>
      </c>
      <c r="V368" s="65">
        <v>164</v>
      </c>
      <c r="Y368" s="74" t="s">
        <v>44</v>
      </c>
      <c r="Z368" s="56" t="s">
        <v>1558</v>
      </c>
      <c r="AA368" s="249"/>
      <c r="AB368" s="65" t="s">
        <v>94</v>
      </c>
      <c r="AC368" s="65" t="s">
        <v>29</v>
      </c>
    </row>
    <row r="369" spans="1:30">
      <c r="A369" s="75" t="s">
        <v>1159</v>
      </c>
      <c r="B369" s="59"/>
      <c r="C369" s="57">
        <v>42741</v>
      </c>
      <c r="E369" s="65" t="s">
        <v>29</v>
      </c>
      <c r="F369" s="65" t="s">
        <v>29</v>
      </c>
      <c r="G369" s="58" t="s">
        <v>1443</v>
      </c>
      <c r="H369" s="58" t="s">
        <v>1449</v>
      </c>
      <c r="I369" s="60">
        <v>330</v>
      </c>
      <c r="J369" s="58" t="s">
        <v>94</v>
      </c>
      <c r="K369" s="58" t="s">
        <v>29</v>
      </c>
      <c r="L369" s="58" t="s">
        <v>94</v>
      </c>
      <c r="M369" s="58" t="s">
        <v>94</v>
      </c>
      <c r="N369" s="61" t="s">
        <v>2295</v>
      </c>
      <c r="O369" s="58" t="s">
        <v>2296</v>
      </c>
      <c r="P369" s="58" t="s">
        <v>1447</v>
      </c>
      <c r="Q369" s="63" t="str">
        <f>IF(V369&lt;&gt;"","Completed","")</f>
        <v>Completed</v>
      </c>
      <c r="R369" s="64">
        <v>42650</v>
      </c>
      <c r="S369" s="401" t="s">
        <v>57</v>
      </c>
      <c r="T369" s="65">
        <v>68</v>
      </c>
      <c r="U369" s="65">
        <v>103</v>
      </c>
      <c r="V369" s="65">
        <v>103</v>
      </c>
      <c r="Y369" s="74" t="s">
        <v>44</v>
      </c>
      <c r="Z369" s="56" t="s">
        <v>1627</v>
      </c>
      <c r="AA369" s="252"/>
      <c r="AB369" s="329" t="s">
        <v>94</v>
      </c>
      <c r="AC369" s="330" t="s">
        <v>29</v>
      </c>
    </row>
    <row r="370" spans="1:30">
      <c r="A370" s="331" t="s">
        <v>179</v>
      </c>
      <c r="B370" s="59"/>
      <c r="C370" s="57">
        <v>42741</v>
      </c>
      <c r="D370" s="150">
        <v>1024000</v>
      </c>
      <c r="E370" s="65" t="s">
        <v>29</v>
      </c>
      <c r="F370" s="65" t="s">
        <v>29</v>
      </c>
      <c r="G370" s="58" t="s">
        <v>1443</v>
      </c>
      <c r="H370" s="58" t="s">
        <v>1456</v>
      </c>
      <c r="I370" s="60">
        <v>0</v>
      </c>
      <c r="J370" s="58" t="s">
        <v>94</v>
      </c>
      <c r="K370" s="58" t="s">
        <v>29</v>
      </c>
      <c r="L370" s="58" t="s">
        <v>29</v>
      </c>
      <c r="M370" s="58" t="s">
        <v>29</v>
      </c>
      <c r="N370" s="61" t="s">
        <v>2297</v>
      </c>
      <c r="O370" s="58" t="s">
        <v>2298</v>
      </c>
      <c r="P370" s="58" t="s">
        <v>1459</v>
      </c>
      <c r="Q370" s="63" t="str">
        <f>IF(V370&lt;&gt;"","Completed","")</f>
        <v>Completed</v>
      </c>
      <c r="R370" s="64">
        <v>42661</v>
      </c>
      <c r="S370" s="401" t="s">
        <v>57</v>
      </c>
      <c r="T370" s="65">
        <v>17</v>
      </c>
      <c r="U370" s="65">
        <v>34</v>
      </c>
      <c r="V370" s="65">
        <v>34</v>
      </c>
      <c r="Y370" s="74" t="s">
        <v>44</v>
      </c>
      <c r="Z370" s="56" t="s">
        <v>1596</v>
      </c>
      <c r="AA370" s="249"/>
      <c r="AB370" s="329" t="s">
        <v>94</v>
      </c>
      <c r="AC370" s="330" t="s">
        <v>29</v>
      </c>
    </row>
    <row r="371" spans="1:30">
      <c r="A371" s="331" t="s">
        <v>1206</v>
      </c>
      <c r="B371" s="59"/>
      <c r="C371" s="57">
        <v>42744</v>
      </c>
      <c r="E371" s="65" t="s">
        <v>29</v>
      </c>
      <c r="F371" s="65" t="s">
        <v>29</v>
      </c>
      <c r="G371" s="58" t="s">
        <v>1443</v>
      </c>
      <c r="H371" s="58" t="s">
        <v>1444</v>
      </c>
      <c r="I371" s="60">
        <v>300</v>
      </c>
      <c r="J371" s="58" t="s">
        <v>29</v>
      </c>
      <c r="K371" s="58" t="s">
        <v>29</v>
      </c>
      <c r="L371" s="58" t="s">
        <v>94</v>
      </c>
      <c r="M371" s="58" t="s">
        <v>29</v>
      </c>
      <c r="N371" s="61" t="s">
        <v>2299</v>
      </c>
      <c r="O371" s="58" t="s">
        <v>2300</v>
      </c>
      <c r="P371" s="58" t="s">
        <v>1459</v>
      </c>
      <c r="Q371" s="63" t="str">
        <f>IF(V371&lt;&gt;"","Completed","")</f>
        <v>Completed</v>
      </c>
      <c r="R371" s="64">
        <v>42706</v>
      </c>
      <c r="S371" s="401" t="s">
        <v>57</v>
      </c>
      <c r="T371" s="65">
        <v>21</v>
      </c>
      <c r="U371" s="65">
        <v>34</v>
      </c>
      <c r="V371" s="65">
        <v>34</v>
      </c>
      <c r="Y371" s="74" t="s">
        <v>44</v>
      </c>
      <c r="Z371" s="56" t="s">
        <v>1505</v>
      </c>
      <c r="AA371" s="252"/>
      <c r="AB371" s="248" t="s">
        <v>94</v>
      </c>
      <c r="AC371" s="248" t="s">
        <v>29</v>
      </c>
    </row>
    <row r="372" spans="1:30">
      <c r="A372" s="75" t="s">
        <v>803</v>
      </c>
      <c r="B372" s="59"/>
      <c r="C372" s="57">
        <v>42744</v>
      </c>
      <c r="E372" s="65" t="s">
        <v>29</v>
      </c>
      <c r="F372" s="65" t="s">
        <v>29</v>
      </c>
      <c r="G372" s="58" t="s">
        <v>1443</v>
      </c>
      <c r="H372" s="58" t="s">
        <v>1456</v>
      </c>
      <c r="I372" s="60">
        <v>324</v>
      </c>
      <c r="J372" s="58" t="s">
        <v>94</v>
      </c>
      <c r="K372" s="58" t="s">
        <v>29</v>
      </c>
      <c r="L372" s="58" t="s">
        <v>94</v>
      </c>
      <c r="M372" s="58" t="s">
        <v>29</v>
      </c>
      <c r="N372" s="61" t="s">
        <v>2301</v>
      </c>
      <c r="O372" s="58" t="s">
        <v>2302</v>
      </c>
      <c r="P372" s="58" t="s">
        <v>1447</v>
      </c>
      <c r="Q372" s="63" t="str">
        <f>IF(V372&lt;&gt;"","Completed","")</f>
        <v>Completed</v>
      </c>
      <c r="R372" s="64">
        <v>42682</v>
      </c>
      <c r="S372" s="64" t="s">
        <v>43</v>
      </c>
      <c r="T372" s="65">
        <v>16</v>
      </c>
      <c r="U372" s="65">
        <v>32</v>
      </c>
      <c r="V372" s="65">
        <v>32</v>
      </c>
      <c r="Y372" s="74" t="s">
        <v>44</v>
      </c>
      <c r="Z372" s="56" t="s">
        <v>1505</v>
      </c>
      <c r="AA372" s="249"/>
      <c r="AB372" s="65" t="s">
        <v>94</v>
      </c>
      <c r="AC372" s="65" t="s">
        <v>29</v>
      </c>
    </row>
    <row r="373" spans="1:30">
      <c r="A373" s="75" t="s">
        <v>664</v>
      </c>
      <c r="B373" s="59"/>
      <c r="C373" s="57">
        <v>42703</v>
      </c>
      <c r="E373" s="65" t="s">
        <v>29</v>
      </c>
      <c r="F373" s="65" t="s">
        <v>29</v>
      </c>
      <c r="G373" s="58" t="s">
        <v>1443</v>
      </c>
      <c r="H373" s="58" t="s">
        <v>1449</v>
      </c>
      <c r="I373" s="60">
        <v>190</v>
      </c>
      <c r="J373" s="58" t="s">
        <v>94</v>
      </c>
      <c r="K373" s="58" t="s">
        <v>29</v>
      </c>
      <c r="L373" s="58" t="s">
        <v>94</v>
      </c>
      <c r="M373" s="58" t="s">
        <v>29</v>
      </c>
      <c r="N373" s="61" t="s">
        <v>2303</v>
      </c>
      <c r="O373" s="58" t="s">
        <v>2304</v>
      </c>
      <c r="P373" s="58" t="s">
        <v>1447</v>
      </c>
      <c r="Q373" s="63" t="str">
        <f>IF(V373&lt;&gt;"","Completed","")</f>
        <v>Completed</v>
      </c>
      <c r="R373" s="64">
        <v>42635</v>
      </c>
      <c r="S373" s="64" t="s">
        <v>222</v>
      </c>
      <c r="T373" s="65">
        <v>43</v>
      </c>
      <c r="U373" s="65">
        <v>66</v>
      </c>
      <c r="V373" s="65">
        <v>66</v>
      </c>
      <c r="Y373" s="74" t="s">
        <v>44</v>
      </c>
      <c r="Z373" s="56" t="s">
        <v>2129</v>
      </c>
      <c r="AA373" s="249"/>
      <c r="AB373" s="242" t="s">
        <v>94</v>
      </c>
    </row>
    <row r="374" spans="1:30">
      <c r="A374" s="75" t="s">
        <v>1121</v>
      </c>
      <c r="B374" s="59"/>
      <c r="C374" s="311">
        <v>42723</v>
      </c>
      <c r="E374" s="65" t="s">
        <v>29</v>
      </c>
      <c r="F374" s="65" t="s">
        <v>94</v>
      </c>
      <c r="G374" s="58" t="s">
        <v>1443</v>
      </c>
      <c r="H374" s="58" t="s">
        <v>1456</v>
      </c>
      <c r="I374" s="60">
        <v>340</v>
      </c>
      <c r="J374" s="58" t="s">
        <v>94</v>
      </c>
      <c r="K374" s="58" t="s">
        <v>29</v>
      </c>
      <c r="L374" s="58" t="s">
        <v>94</v>
      </c>
      <c r="M374" s="58" t="s">
        <v>94</v>
      </c>
      <c r="N374" s="61" t="s">
        <v>2305</v>
      </c>
      <c r="O374" s="58" t="s">
        <v>2306</v>
      </c>
      <c r="P374" s="58" t="s">
        <v>1447</v>
      </c>
      <c r="Q374" s="63" t="str">
        <f>IF(V374&lt;&gt;"","Completed","")</f>
        <v>Completed</v>
      </c>
      <c r="R374" s="64">
        <v>42677</v>
      </c>
      <c r="S374" s="64" t="s">
        <v>104</v>
      </c>
      <c r="T374" s="65">
        <v>12</v>
      </c>
      <c r="V374" s="256">
        <v>22</v>
      </c>
      <c r="Y374" s="74" t="s">
        <v>44</v>
      </c>
      <c r="Z374" s="56" t="s">
        <v>1893</v>
      </c>
      <c r="AA374" s="249"/>
      <c r="AB374" s="151" t="s">
        <v>94</v>
      </c>
      <c r="AC374" s="324" t="s">
        <v>94</v>
      </c>
    </row>
    <row r="375" spans="1:30">
      <c r="A375" s="75" t="s">
        <v>487</v>
      </c>
      <c r="B375" s="59"/>
      <c r="C375" s="57">
        <v>42726</v>
      </c>
      <c r="E375" s="65" t="s">
        <v>29</v>
      </c>
      <c r="F375" s="65" t="s">
        <v>29</v>
      </c>
      <c r="G375" s="58" t="s">
        <v>1443</v>
      </c>
      <c r="H375" s="58" t="s">
        <v>1456</v>
      </c>
      <c r="I375" s="60">
        <v>256</v>
      </c>
      <c r="J375" s="58" t="s">
        <v>94</v>
      </c>
      <c r="K375" s="58" t="s">
        <v>29</v>
      </c>
      <c r="L375" s="58" t="s">
        <v>94</v>
      </c>
      <c r="M375" s="58" t="s">
        <v>29</v>
      </c>
      <c r="N375" s="61" t="s">
        <v>2307</v>
      </c>
      <c r="O375" s="58" t="s">
        <v>2308</v>
      </c>
      <c r="P375" s="58" t="s">
        <v>1447</v>
      </c>
      <c r="Q375" s="63" t="str">
        <f>IF(V375&lt;&gt;"","Completed","")</f>
        <v>Completed</v>
      </c>
      <c r="R375" s="64">
        <v>42672</v>
      </c>
      <c r="S375" s="64" t="s">
        <v>114</v>
      </c>
      <c r="T375" s="65">
        <v>1</v>
      </c>
      <c r="U375" s="65">
        <v>2</v>
      </c>
      <c r="V375" s="65">
        <v>2</v>
      </c>
      <c r="Y375" s="74" t="s">
        <v>44</v>
      </c>
      <c r="Z375" s="56" t="s">
        <v>2090</v>
      </c>
      <c r="AA375" s="252"/>
      <c r="AB375" s="325" t="s">
        <v>94</v>
      </c>
      <c r="AC375" s="325" t="s">
        <v>29</v>
      </c>
    </row>
    <row r="376" spans="1:30">
      <c r="A376" s="75" t="s">
        <v>938</v>
      </c>
      <c r="B376" s="59"/>
      <c r="C376" s="57">
        <v>42726</v>
      </c>
      <c r="E376" s="65" t="s">
        <v>29</v>
      </c>
      <c r="F376" s="65" t="s">
        <v>29</v>
      </c>
      <c r="G376" s="58" t="s">
        <v>1443</v>
      </c>
      <c r="H376" s="58" t="s">
        <v>1456</v>
      </c>
      <c r="I376" s="60">
        <v>194</v>
      </c>
      <c r="J376" s="58" t="s">
        <v>94</v>
      </c>
      <c r="K376" s="58" t="s">
        <v>29</v>
      </c>
      <c r="L376" s="58" t="s">
        <v>94</v>
      </c>
      <c r="M376" s="58" t="s">
        <v>29</v>
      </c>
      <c r="N376" s="61" t="s">
        <v>2309</v>
      </c>
      <c r="O376" s="58" t="s">
        <v>2310</v>
      </c>
      <c r="P376" s="58" t="s">
        <v>1447</v>
      </c>
      <c r="Q376" s="63" t="str">
        <f>IF(V376&lt;&gt;"","Completed","")</f>
        <v>Completed</v>
      </c>
      <c r="R376" s="64">
        <v>42634</v>
      </c>
      <c r="S376" s="64" t="s">
        <v>43</v>
      </c>
      <c r="T376" s="65">
        <v>4</v>
      </c>
      <c r="U376" s="65">
        <v>8</v>
      </c>
      <c r="V376" s="65">
        <v>8</v>
      </c>
      <c r="Y376" s="74" t="s">
        <v>44</v>
      </c>
      <c r="Z376" s="257" t="s">
        <v>2311</v>
      </c>
      <c r="AA376" s="252"/>
      <c r="AB376" s="74" t="s">
        <v>94</v>
      </c>
      <c r="AC376" s="65" t="s">
        <v>29</v>
      </c>
    </row>
    <row r="377" spans="1:30">
      <c r="A377" s="75" t="s">
        <v>973</v>
      </c>
      <c r="B377" s="59"/>
      <c r="C377" s="57">
        <v>42767</v>
      </c>
      <c r="E377" s="65" t="s">
        <v>29</v>
      </c>
      <c r="F377" s="65" t="s">
        <v>29</v>
      </c>
      <c r="G377" s="58" t="s">
        <v>1443</v>
      </c>
      <c r="H377" s="58" t="s">
        <v>1456</v>
      </c>
      <c r="I377" s="60">
        <v>346</v>
      </c>
      <c r="J377" s="58" t="s">
        <v>29</v>
      </c>
      <c r="K377" s="58" t="s">
        <v>29</v>
      </c>
      <c r="L377" s="58" t="s">
        <v>29</v>
      </c>
      <c r="M377" s="58" t="s">
        <v>29</v>
      </c>
      <c r="N377" s="61" t="s">
        <v>2312</v>
      </c>
      <c r="O377" s="58" t="s">
        <v>2313</v>
      </c>
      <c r="P377" s="58" t="s">
        <v>1447</v>
      </c>
      <c r="Q377" s="63" t="str">
        <f>IF(V377&lt;&gt;"","Completed","")</f>
        <v>Completed</v>
      </c>
      <c r="R377" s="64">
        <v>42724</v>
      </c>
      <c r="S377" s="64" t="s">
        <v>43</v>
      </c>
      <c r="T377" s="65">
        <v>60</v>
      </c>
      <c r="U377" s="65">
        <v>115</v>
      </c>
      <c r="V377" s="65">
        <v>115</v>
      </c>
      <c r="Y377" s="74" t="s">
        <v>44</v>
      </c>
      <c r="Z377" s="56" t="s">
        <v>1780</v>
      </c>
      <c r="AA377" s="252"/>
      <c r="AB377" s="65" t="s">
        <v>94</v>
      </c>
      <c r="AC377" s="65" t="s">
        <v>29</v>
      </c>
    </row>
    <row r="378" spans="1:30">
      <c r="A378" s="75" t="s">
        <v>803</v>
      </c>
      <c r="B378" s="59"/>
      <c r="C378" s="57">
        <v>42744</v>
      </c>
      <c r="E378" s="65" t="s">
        <v>29</v>
      </c>
      <c r="F378" s="65" t="s">
        <v>29</v>
      </c>
      <c r="G378" s="58" t="s">
        <v>1443</v>
      </c>
      <c r="H378" s="58" t="s">
        <v>1456</v>
      </c>
      <c r="I378" s="60">
        <v>194</v>
      </c>
      <c r="J378" s="58" t="s">
        <v>94</v>
      </c>
      <c r="K378" s="58" t="s">
        <v>29</v>
      </c>
      <c r="L378" s="58" t="s">
        <v>94</v>
      </c>
      <c r="M378" s="58" t="s">
        <v>29</v>
      </c>
      <c r="N378" s="61" t="s">
        <v>2314</v>
      </c>
      <c r="O378" s="58" t="s">
        <v>2315</v>
      </c>
      <c r="P378" s="58" t="s">
        <v>1447</v>
      </c>
      <c r="Q378" s="63" t="str">
        <f>IF(V378&lt;&gt;"","Completed","")</f>
        <v>Completed</v>
      </c>
      <c r="R378" s="64">
        <v>42676</v>
      </c>
      <c r="S378" s="64" t="s">
        <v>43</v>
      </c>
      <c r="T378" s="65">
        <v>18</v>
      </c>
      <c r="U378" s="65">
        <v>36</v>
      </c>
      <c r="V378" s="65">
        <v>36</v>
      </c>
      <c r="Y378" s="74" t="s">
        <v>44</v>
      </c>
      <c r="Z378" s="56" t="s">
        <v>1505</v>
      </c>
      <c r="AA378" s="249"/>
      <c r="AB378" s="74" t="s">
        <v>94</v>
      </c>
      <c r="AC378" s="74" t="s">
        <v>29</v>
      </c>
    </row>
    <row r="379" spans="1:30">
      <c r="A379" s="75" t="s">
        <v>803</v>
      </c>
      <c r="B379" s="59"/>
      <c r="C379" s="57">
        <v>42760</v>
      </c>
      <c r="E379" s="65" t="s">
        <v>29</v>
      </c>
      <c r="F379" s="65" t="s">
        <v>29</v>
      </c>
      <c r="G379" s="58" t="s">
        <v>1443</v>
      </c>
      <c r="H379" s="58" t="s">
        <v>1456</v>
      </c>
      <c r="I379" s="60">
        <v>211</v>
      </c>
      <c r="J379" s="58" t="s">
        <v>94</v>
      </c>
      <c r="K379" s="58" t="s">
        <v>29</v>
      </c>
      <c r="L379" s="58" t="s">
        <v>94</v>
      </c>
      <c r="M379" s="58" t="s">
        <v>29</v>
      </c>
      <c r="N379" s="61" t="s">
        <v>2316</v>
      </c>
      <c r="O379" s="58" t="s">
        <v>2317</v>
      </c>
      <c r="P379" s="58" t="s">
        <v>1447</v>
      </c>
      <c r="Q379" s="63" t="str">
        <f>IF(V379&lt;&gt;"","Completed","")</f>
        <v>Completed</v>
      </c>
      <c r="R379" s="64">
        <v>42685</v>
      </c>
      <c r="S379" s="64" t="s">
        <v>43</v>
      </c>
      <c r="T379" s="65">
        <v>52</v>
      </c>
      <c r="U379" s="65">
        <v>104</v>
      </c>
      <c r="V379" s="65">
        <v>104</v>
      </c>
      <c r="Y379" s="74" t="s">
        <v>44</v>
      </c>
      <c r="Z379" s="56" t="s">
        <v>1472</v>
      </c>
      <c r="AA379" s="249"/>
      <c r="AB379" s="65" t="s">
        <v>94</v>
      </c>
      <c r="AC379" s="74" t="s">
        <v>29</v>
      </c>
    </row>
    <row r="380" spans="1:30">
      <c r="A380" s="75" t="s">
        <v>1152</v>
      </c>
      <c r="B380" s="59"/>
      <c r="C380" s="57">
        <v>42690</v>
      </c>
      <c r="E380" s="65" t="s">
        <v>29</v>
      </c>
      <c r="F380" s="65" t="s">
        <v>29</v>
      </c>
      <c r="G380" s="58" t="s">
        <v>1443</v>
      </c>
      <c r="H380" s="58" t="s">
        <v>1449</v>
      </c>
      <c r="I380" s="60">
        <v>0</v>
      </c>
      <c r="J380" s="58" t="s">
        <v>94</v>
      </c>
      <c r="K380" s="58" t="s">
        <v>29</v>
      </c>
      <c r="L380" s="58" t="s">
        <v>94</v>
      </c>
      <c r="M380" s="58" t="s">
        <v>29</v>
      </c>
      <c r="N380" s="61" t="s">
        <v>2318</v>
      </c>
      <c r="O380" s="58" t="s">
        <v>2319</v>
      </c>
      <c r="P380" s="58" t="s">
        <v>1459</v>
      </c>
      <c r="Q380" s="63" t="str">
        <f>IF(V380&lt;&gt;"","Completed","")</f>
        <v>Completed</v>
      </c>
      <c r="R380" s="64">
        <v>42665</v>
      </c>
      <c r="S380" s="64" t="s">
        <v>80</v>
      </c>
      <c r="T380" s="65">
        <v>23</v>
      </c>
      <c r="U380" s="65">
        <v>44</v>
      </c>
      <c r="V380" s="65">
        <v>44</v>
      </c>
      <c r="Y380" s="74" t="s">
        <v>44</v>
      </c>
      <c r="Z380" s="56" t="s">
        <v>1681</v>
      </c>
      <c r="AA380" s="249"/>
      <c r="AB380" s="65" t="s">
        <v>94</v>
      </c>
      <c r="AC380" s="65" t="s">
        <v>29</v>
      </c>
    </row>
    <row r="381" spans="1:30">
      <c r="A381" s="75" t="s">
        <v>803</v>
      </c>
      <c r="B381" s="59"/>
      <c r="C381" s="57">
        <v>42713</v>
      </c>
      <c r="E381" s="65" t="s">
        <v>29</v>
      </c>
      <c r="F381" s="65" t="s">
        <v>29</v>
      </c>
      <c r="G381" s="58" t="s">
        <v>1443</v>
      </c>
      <c r="H381" s="58" t="s">
        <v>1456</v>
      </c>
      <c r="I381" s="60">
        <v>298</v>
      </c>
      <c r="J381" s="58" t="s">
        <v>94</v>
      </c>
      <c r="K381" s="58" t="s">
        <v>29</v>
      </c>
      <c r="L381" s="58" t="s">
        <v>94</v>
      </c>
      <c r="M381" s="58" t="s">
        <v>29</v>
      </c>
      <c r="N381" s="61" t="s">
        <v>2320</v>
      </c>
      <c r="O381" s="58" t="s">
        <v>2321</v>
      </c>
      <c r="P381" s="58" t="s">
        <v>1447</v>
      </c>
      <c r="Q381" s="63" t="str">
        <f>IF(V381&lt;&gt;"","Completed","")</f>
        <v>Completed</v>
      </c>
      <c r="R381" s="64">
        <v>42672</v>
      </c>
      <c r="S381" s="64" t="s">
        <v>43</v>
      </c>
      <c r="T381" s="65">
        <v>12</v>
      </c>
      <c r="U381" s="65">
        <v>27</v>
      </c>
      <c r="V381" s="65">
        <v>27</v>
      </c>
      <c r="Y381" s="74" t="s">
        <v>44</v>
      </c>
      <c r="Z381" s="56" t="s">
        <v>2322</v>
      </c>
      <c r="AA381" s="249"/>
      <c r="AB381" s="65" t="s">
        <v>94</v>
      </c>
      <c r="AC381" s="65" t="s">
        <v>2323</v>
      </c>
    </row>
    <row r="382" spans="1:30">
      <c r="A382" s="75" t="s">
        <v>748</v>
      </c>
      <c r="B382" s="59"/>
      <c r="C382" s="57">
        <v>42713</v>
      </c>
      <c r="E382" s="65" t="s">
        <v>29</v>
      </c>
      <c r="F382" s="65" t="s">
        <v>29</v>
      </c>
      <c r="G382" s="58" t="s">
        <v>1443</v>
      </c>
      <c r="H382" s="58" t="s">
        <v>1456</v>
      </c>
      <c r="I382" s="60">
        <v>156</v>
      </c>
      <c r="J382" s="58" t="s">
        <v>94</v>
      </c>
      <c r="K382" s="58" t="s">
        <v>29</v>
      </c>
      <c r="L382" s="58" t="s">
        <v>29</v>
      </c>
      <c r="M382" s="58" t="s">
        <v>29</v>
      </c>
      <c r="N382" s="61" t="s">
        <v>2324</v>
      </c>
      <c r="O382" s="58" t="s">
        <v>2325</v>
      </c>
      <c r="P382" s="58" t="s">
        <v>1447</v>
      </c>
      <c r="Q382" s="63" t="str">
        <f>IF(V382&lt;&gt;"","Completed","")</f>
        <v>Completed</v>
      </c>
      <c r="R382" s="64">
        <v>42665</v>
      </c>
      <c r="S382" s="64" t="s">
        <v>149</v>
      </c>
      <c r="T382" s="65">
        <v>42</v>
      </c>
      <c r="U382" s="65">
        <v>73</v>
      </c>
      <c r="V382" s="65">
        <v>73</v>
      </c>
      <c r="Y382" s="74" t="s">
        <v>44</v>
      </c>
      <c r="Z382" s="56" t="s">
        <v>1467</v>
      </c>
      <c r="AA382" s="249"/>
      <c r="AB382" s="65" t="s">
        <v>94</v>
      </c>
      <c r="AC382" s="65" t="s">
        <v>94</v>
      </c>
      <c r="AD382" s="56"/>
    </row>
    <row r="383" spans="1:30">
      <c r="A383" s="75" t="s">
        <v>894</v>
      </c>
      <c r="B383" s="59"/>
      <c r="C383" s="57">
        <v>42683</v>
      </c>
      <c r="E383" s="65" t="s">
        <v>29</v>
      </c>
      <c r="F383" s="65" t="s">
        <v>94</v>
      </c>
      <c r="G383" s="58" t="s">
        <v>1443</v>
      </c>
      <c r="H383" s="58" t="s">
        <v>1449</v>
      </c>
      <c r="I383" s="60">
        <v>249</v>
      </c>
      <c r="J383" s="58" t="s">
        <v>94</v>
      </c>
      <c r="K383" s="58" t="s">
        <v>29</v>
      </c>
      <c r="L383" s="58" t="s">
        <v>94</v>
      </c>
      <c r="M383" s="58" t="s">
        <v>94</v>
      </c>
      <c r="N383" s="61" t="s">
        <v>2326</v>
      </c>
      <c r="O383" s="58" t="s">
        <v>2327</v>
      </c>
      <c r="P383" s="58" t="s">
        <v>1447</v>
      </c>
      <c r="Q383" s="63" t="str">
        <f>IF(V383&lt;&gt;"","Completed","")</f>
        <v>Completed</v>
      </c>
      <c r="R383" s="64">
        <v>42655</v>
      </c>
      <c r="S383" s="64" t="s">
        <v>104</v>
      </c>
      <c r="T383" s="65">
        <v>46</v>
      </c>
      <c r="V383" s="256">
        <v>110</v>
      </c>
      <c r="Y383" s="74" t="s">
        <v>44</v>
      </c>
      <c r="Z383" s="56" t="s">
        <v>1481</v>
      </c>
      <c r="AA383" s="252"/>
      <c r="AB383" s="74" t="s">
        <v>94</v>
      </c>
      <c r="AC383" s="65" t="s">
        <v>29</v>
      </c>
    </row>
    <row r="384" spans="1:30">
      <c r="A384" s="75" t="s">
        <v>894</v>
      </c>
      <c r="B384" s="59"/>
      <c r="C384" s="57">
        <v>42683</v>
      </c>
      <c r="E384" s="65" t="s">
        <v>29</v>
      </c>
      <c r="F384" s="65" t="s">
        <v>94</v>
      </c>
      <c r="G384" s="58" t="s">
        <v>1443</v>
      </c>
      <c r="H384" s="58" t="s">
        <v>1449</v>
      </c>
      <c r="I384" s="60">
        <v>198</v>
      </c>
      <c r="J384" s="58" t="s">
        <v>94</v>
      </c>
      <c r="K384" s="58" t="s">
        <v>29</v>
      </c>
      <c r="L384" s="58" t="s">
        <v>94</v>
      </c>
      <c r="M384" s="58" t="s">
        <v>94</v>
      </c>
      <c r="N384" s="61" t="s">
        <v>2328</v>
      </c>
      <c r="O384" s="58" t="s">
        <v>2329</v>
      </c>
      <c r="P384" s="58" t="s">
        <v>1447</v>
      </c>
      <c r="Q384" s="63" t="str">
        <f>IF(V384&lt;&gt;"","Completed","")</f>
        <v>Completed</v>
      </c>
      <c r="R384" s="64">
        <v>42655</v>
      </c>
      <c r="S384" s="64" t="s">
        <v>104</v>
      </c>
      <c r="T384" s="65">
        <v>52</v>
      </c>
      <c r="V384" s="256">
        <v>114</v>
      </c>
      <c r="Y384" s="74" t="s">
        <v>44</v>
      </c>
      <c r="Z384" s="56" t="s">
        <v>1481</v>
      </c>
      <c r="AA384" s="252"/>
      <c r="AB384" s="242" t="s">
        <v>94</v>
      </c>
    </row>
    <row r="385" spans="1:30">
      <c r="A385" s="332" t="s">
        <v>1022</v>
      </c>
      <c r="B385" s="59"/>
      <c r="C385" s="57">
        <v>42727</v>
      </c>
      <c r="E385" s="65" t="s">
        <v>29</v>
      </c>
      <c r="F385" s="65" t="s">
        <v>29</v>
      </c>
      <c r="G385" s="58" t="s">
        <v>1443</v>
      </c>
      <c r="H385" s="58" t="s">
        <v>1456</v>
      </c>
      <c r="I385" s="60">
        <v>0</v>
      </c>
      <c r="J385" s="58" t="s">
        <v>94</v>
      </c>
      <c r="K385" s="58" t="s">
        <v>29</v>
      </c>
      <c r="L385" s="58" t="s">
        <v>94</v>
      </c>
      <c r="M385" s="58" t="s">
        <v>29</v>
      </c>
      <c r="N385" s="61" t="s">
        <v>2330</v>
      </c>
      <c r="O385" s="58" t="s">
        <v>2331</v>
      </c>
      <c r="P385" s="58" t="s">
        <v>1459</v>
      </c>
      <c r="Q385" s="63" t="str">
        <f>IF(V385&lt;&gt;"","Completed","")</f>
        <v>Completed</v>
      </c>
      <c r="R385" s="319">
        <v>42707</v>
      </c>
      <c r="S385" s="64" t="s">
        <v>80</v>
      </c>
      <c r="T385" s="242">
        <v>12</v>
      </c>
      <c r="U385" s="242">
        <v>24</v>
      </c>
      <c r="V385" s="242">
        <v>24</v>
      </c>
      <c r="W385" s="242"/>
      <c r="X385" s="242"/>
      <c r="Y385" s="74" t="s">
        <v>44</v>
      </c>
      <c r="Z385" s="345" t="s">
        <v>1605</v>
      </c>
      <c r="AA385" s="249"/>
      <c r="AB385" s="65" t="s">
        <v>94</v>
      </c>
      <c r="AC385" s="65" t="s">
        <v>29</v>
      </c>
    </row>
    <row r="386" spans="1:30">
      <c r="A386" s="75" t="s">
        <v>273</v>
      </c>
      <c r="B386" s="59"/>
      <c r="C386" s="57">
        <v>42765</v>
      </c>
      <c r="D386" s="65">
        <v>4044000</v>
      </c>
      <c r="E386" s="65" t="s">
        <v>29</v>
      </c>
      <c r="F386" s="65" t="s">
        <v>29</v>
      </c>
      <c r="G386" s="58" t="s">
        <v>1443</v>
      </c>
      <c r="H386" s="58" t="s">
        <v>1456</v>
      </c>
      <c r="I386" s="60">
        <v>527</v>
      </c>
      <c r="J386" s="58" t="s">
        <v>94</v>
      </c>
      <c r="K386" s="58" t="s">
        <v>29</v>
      </c>
      <c r="L386" s="58" t="s">
        <v>94</v>
      </c>
      <c r="M386" s="58" t="s">
        <v>29</v>
      </c>
      <c r="N386" s="61" t="s">
        <v>2332</v>
      </c>
      <c r="O386" s="58" t="s">
        <v>2333</v>
      </c>
      <c r="P386" s="58" t="s">
        <v>1447</v>
      </c>
      <c r="Q386" s="63" t="str">
        <f>IF(V386&lt;&gt;"","Completed","")</f>
        <v>Completed</v>
      </c>
      <c r="R386" s="293">
        <v>42707</v>
      </c>
      <c r="S386" s="341" t="s">
        <v>43</v>
      </c>
      <c r="T386" s="65">
        <v>53</v>
      </c>
      <c r="U386" s="256">
        <v>83</v>
      </c>
      <c r="V386" s="256">
        <v>83</v>
      </c>
      <c r="Y386" s="74" t="s">
        <v>44</v>
      </c>
      <c r="Z386" s="257" t="s">
        <v>1647</v>
      </c>
      <c r="AA386" s="342"/>
      <c r="AB386" s="65" t="s">
        <v>94</v>
      </c>
    </row>
    <row r="387" spans="1:30">
      <c r="A387" s="75" t="s">
        <v>1039</v>
      </c>
      <c r="B387" s="59"/>
      <c r="C387" s="57">
        <v>42765</v>
      </c>
      <c r="E387" s="65" t="s">
        <v>29</v>
      </c>
      <c r="F387" s="65" t="s">
        <v>29</v>
      </c>
      <c r="G387" s="58" t="s">
        <v>1443</v>
      </c>
      <c r="H387" s="58" t="s">
        <v>1456</v>
      </c>
      <c r="I387" s="60">
        <v>150</v>
      </c>
      <c r="J387" s="58" t="s">
        <v>29</v>
      </c>
      <c r="K387" s="58" t="s">
        <v>29</v>
      </c>
      <c r="L387" s="58" t="s">
        <v>94</v>
      </c>
      <c r="M387" s="58" t="s">
        <v>29</v>
      </c>
      <c r="N387" s="61" t="s">
        <v>2334</v>
      </c>
      <c r="O387" s="58" t="s">
        <v>2335</v>
      </c>
      <c r="P387" s="58" t="s">
        <v>1459</v>
      </c>
      <c r="Q387" s="63" t="str">
        <f>IF(V387&lt;&gt;"","Completed","")</f>
        <v>Completed</v>
      </c>
      <c r="R387" s="64">
        <v>42714</v>
      </c>
      <c r="S387" s="64" t="s">
        <v>57</v>
      </c>
      <c r="T387" s="65">
        <v>32</v>
      </c>
      <c r="U387" s="65">
        <v>57</v>
      </c>
      <c r="V387" s="65">
        <v>57</v>
      </c>
      <c r="Y387" s="74" t="s">
        <v>44</v>
      </c>
      <c r="Z387" s="56" t="s">
        <v>1647</v>
      </c>
      <c r="AA387" s="249"/>
      <c r="AB387" s="65" t="s">
        <v>94</v>
      </c>
      <c r="AC387" s="74" t="s">
        <v>29</v>
      </c>
    </row>
    <row r="388" spans="1:30">
      <c r="A388" s="75" t="s">
        <v>231</v>
      </c>
      <c r="B388" s="59"/>
      <c r="C388" s="57">
        <v>42752</v>
      </c>
      <c r="D388" s="65">
        <v>2032000</v>
      </c>
      <c r="E388" s="65" t="s">
        <v>29</v>
      </c>
      <c r="F388" s="65" t="s">
        <v>29</v>
      </c>
      <c r="G388" s="58" t="s">
        <v>1443</v>
      </c>
      <c r="H388" s="58" t="s">
        <v>1449</v>
      </c>
      <c r="I388" s="60">
        <v>191</v>
      </c>
      <c r="J388" s="58" t="s">
        <v>29</v>
      </c>
      <c r="K388" s="58" t="s">
        <v>29</v>
      </c>
      <c r="L388" s="58" t="s">
        <v>29</v>
      </c>
      <c r="M388" s="58" t="s">
        <v>29</v>
      </c>
      <c r="N388" s="61" t="s">
        <v>2336</v>
      </c>
      <c r="O388" s="58" t="s">
        <v>2337</v>
      </c>
      <c r="P388" s="58" t="s">
        <v>1447</v>
      </c>
      <c r="Q388" s="63" t="str">
        <f>IF(V388&lt;&gt;"","Completed","")</f>
        <v>Completed</v>
      </c>
      <c r="R388" s="64">
        <v>42650</v>
      </c>
      <c r="S388" s="64" t="s">
        <v>43</v>
      </c>
      <c r="T388" s="65">
        <v>53</v>
      </c>
      <c r="U388" s="65">
        <v>89</v>
      </c>
      <c r="V388" s="65">
        <v>89</v>
      </c>
      <c r="Y388" s="74" t="s">
        <v>44</v>
      </c>
      <c r="Z388" s="56" t="s">
        <v>1627</v>
      </c>
      <c r="AA388" s="252">
        <f>SUM(V385:V388)</f>
        <v>253</v>
      </c>
      <c r="AB388" s="151" t="s">
        <v>94</v>
      </c>
      <c r="AC388" s="151" t="s">
        <v>29</v>
      </c>
      <c r="AD388" s="56" t="s">
        <v>1454</v>
      </c>
    </row>
    <row r="389" spans="1:30">
      <c r="A389" s="332" t="s">
        <v>212</v>
      </c>
      <c r="B389" s="59"/>
      <c r="C389" s="57">
        <v>42709</v>
      </c>
      <c r="D389" s="65">
        <v>3031000</v>
      </c>
      <c r="E389" s="65" t="s">
        <v>29</v>
      </c>
      <c r="F389" s="65" t="s">
        <v>29</v>
      </c>
      <c r="G389" s="58" t="s">
        <v>1443</v>
      </c>
      <c r="H389" s="58" t="s">
        <v>1456</v>
      </c>
      <c r="I389" s="60">
        <v>335</v>
      </c>
      <c r="J389" s="58" t="s">
        <v>94</v>
      </c>
      <c r="K389" s="58" t="s">
        <v>29</v>
      </c>
      <c r="L389" s="58" t="s">
        <v>94</v>
      </c>
      <c r="M389" s="58" t="s">
        <v>29</v>
      </c>
      <c r="N389" s="61" t="s">
        <v>2338</v>
      </c>
      <c r="O389" s="58" t="s">
        <v>2339</v>
      </c>
      <c r="P389" s="58" t="s">
        <v>1459</v>
      </c>
      <c r="Q389" s="63" t="str">
        <f>IF(V389&lt;&gt;"","Completed","")</f>
        <v>Completed</v>
      </c>
      <c r="R389" s="64">
        <v>42637</v>
      </c>
      <c r="S389" s="64" t="s">
        <v>222</v>
      </c>
      <c r="T389" s="65">
        <v>10</v>
      </c>
      <c r="U389" s="65">
        <v>20</v>
      </c>
      <c r="V389" s="65">
        <v>20</v>
      </c>
      <c r="Y389" s="74" t="s">
        <v>44</v>
      </c>
      <c r="Z389" s="56" t="s">
        <v>1530</v>
      </c>
      <c r="AA389" s="249">
        <f>SUM(V386:V389)</f>
        <v>249</v>
      </c>
      <c r="AB389" s="242" t="s">
        <v>94</v>
      </c>
      <c r="AC389" s="242" t="s">
        <v>29</v>
      </c>
    </row>
    <row r="390" spans="1:30">
      <c r="A390" s="75" t="s">
        <v>290</v>
      </c>
      <c r="B390" s="59"/>
      <c r="C390" s="57">
        <v>42709</v>
      </c>
      <c r="D390" s="65">
        <v>4050000</v>
      </c>
      <c r="E390" s="65" t="s">
        <v>29</v>
      </c>
      <c r="F390" s="65" t="s">
        <v>94</v>
      </c>
      <c r="G390" s="58" t="s">
        <v>1443</v>
      </c>
      <c r="H390" s="58" t="s">
        <v>1444</v>
      </c>
      <c r="I390" s="60">
        <v>433</v>
      </c>
      <c r="J390" s="58" t="s">
        <v>94</v>
      </c>
      <c r="K390" s="58" t="s">
        <v>29</v>
      </c>
      <c r="L390" s="58" t="s">
        <v>94</v>
      </c>
      <c r="M390" s="58" t="s">
        <v>94</v>
      </c>
      <c r="N390" s="61" t="s">
        <v>2340</v>
      </c>
      <c r="O390" s="58" t="s">
        <v>2339</v>
      </c>
      <c r="P390" s="58" t="s">
        <v>1459</v>
      </c>
      <c r="Q390" s="63" t="str">
        <f>IF(V390&lt;&gt;"","Completed","")</f>
        <v>Completed</v>
      </c>
      <c r="R390" s="64">
        <v>42662</v>
      </c>
      <c r="S390" s="64" t="s">
        <v>104</v>
      </c>
      <c r="T390" s="151">
        <v>9</v>
      </c>
      <c r="U390" s="151"/>
      <c r="V390" s="256">
        <v>18</v>
      </c>
      <c r="W390" s="151"/>
      <c r="X390" s="151"/>
      <c r="Y390" s="74" t="s">
        <v>44</v>
      </c>
      <c r="Z390" s="56" t="s">
        <v>1754</v>
      </c>
      <c r="AA390" s="249"/>
      <c r="AB390" s="65" t="s">
        <v>94</v>
      </c>
      <c r="AC390" s="65" t="s">
        <v>29</v>
      </c>
    </row>
    <row r="391" spans="1:30">
      <c r="A391" s="75" t="s">
        <v>1052</v>
      </c>
      <c r="B391" s="59"/>
      <c r="C391" s="57">
        <v>42744</v>
      </c>
      <c r="E391" s="65" t="s">
        <v>29</v>
      </c>
      <c r="F391" s="65" t="s">
        <v>29</v>
      </c>
      <c r="G391" s="58" t="s">
        <v>1443</v>
      </c>
      <c r="H391" s="58" t="s">
        <v>1449</v>
      </c>
      <c r="I391" s="60">
        <v>264</v>
      </c>
      <c r="J391" s="58" t="s">
        <v>29</v>
      </c>
      <c r="K391" s="58" t="s">
        <v>29</v>
      </c>
      <c r="L391" s="58" t="s">
        <v>29</v>
      </c>
      <c r="M391" s="58" t="s">
        <v>29</v>
      </c>
      <c r="N391" s="61" t="s">
        <v>2341</v>
      </c>
      <c r="O391" s="58" t="s">
        <v>2342</v>
      </c>
      <c r="P391" s="58" t="s">
        <v>1447</v>
      </c>
      <c r="Q391" s="63" t="str">
        <f>IF(V391&lt;&gt;"","Completed","")</f>
        <v>Completed</v>
      </c>
      <c r="R391" s="64">
        <v>42721</v>
      </c>
      <c r="S391" s="64" t="s">
        <v>149</v>
      </c>
      <c r="T391" s="65">
        <v>82</v>
      </c>
      <c r="U391" s="65">
        <v>164</v>
      </c>
      <c r="V391" s="65">
        <v>164</v>
      </c>
      <c r="Y391" s="74" t="s">
        <v>44</v>
      </c>
      <c r="Z391" s="56" t="s">
        <v>1505</v>
      </c>
      <c r="AA391" s="252"/>
      <c r="AB391" s="65" t="s">
        <v>94</v>
      </c>
      <c r="AC391" s="74" t="s">
        <v>94</v>
      </c>
    </row>
    <row r="392" spans="1:30">
      <c r="A392" s="75" t="s">
        <v>599</v>
      </c>
      <c r="B392" s="59"/>
      <c r="C392" s="57">
        <v>42692</v>
      </c>
      <c r="E392" s="65" t="s">
        <v>29</v>
      </c>
      <c r="F392" s="65" t="s">
        <v>29</v>
      </c>
      <c r="G392" s="58" t="s">
        <v>1443</v>
      </c>
      <c r="H392" s="58" t="s">
        <v>1444</v>
      </c>
      <c r="I392" s="60">
        <v>1</v>
      </c>
      <c r="J392" s="58" t="s">
        <v>94</v>
      </c>
      <c r="K392" s="58" t="s">
        <v>29</v>
      </c>
      <c r="L392" s="58" t="s">
        <v>94</v>
      </c>
      <c r="M392" s="58" t="s">
        <v>29</v>
      </c>
      <c r="N392" s="61" t="s">
        <v>2343</v>
      </c>
      <c r="O392" s="58" t="s">
        <v>2344</v>
      </c>
      <c r="P392" s="58" t="s">
        <v>1447</v>
      </c>
      <c r="Q392" s="63" t="str">
        <f>IF(V392&lt;&gt;"","Completed","")</f>
        <v>Completed</v>
      </c>
      <c r="R392" s="64">
        <v>42672</v>
      </c>
      <c r="S392" s="64" t="s">
        <v>149</v>
      </c>
      <c r="T392" s="65">
        <v>43</v>
      </c>
      <c r="U392" s="65">
        <v>57</v>
      </c>
      <c r="V392" s="65">
        <v>57</v>
      </c>
      <c r="Y392" s="74" t="s">
        <v>44</v>
      </c>
      <c r="Z392" s="56" t="s">
        <v>1871</v>
      </c>
      <c r="AA392" s="252"/>
      <c r="AB392" s="316" t="s">
        <v>94</v>
      </c>
      <c r="AC392" s="317" t="s">
        <v>94</v>
      </c>
      <c r="AD392" s="349"/>
    </row>
    <row r="393" spans="1:30" s="23" customFormat="1">
      <c r="A393" s="75" t="s">
        <v>803</v>
      </c>
      <c r="B393" s="59"/>
      <c r="C393" s="57">
        <v>42761</v>
      </c>
      <c r="D393" s="65"/>
      <c r="E393" s="65" t="s">
        <v>29</v>
      </c>
      <c r="F393" s="65" t="s">
        <v>29</v>
      </c>
      <c r="G393" s="58" t="s">
        <v>1443</v>
      </c>
      <c r="H393" s="58" t="s">
        <v>1456</v>
      </c>
      <c r="I393" s="60">
        <v>0</v>
      </c>
      <c r="J393" s="58" t="s">
        <v>2345</v>
      </c>
      <c r="K393" s="58" t="s">
        <v>29</v>
      </c>
      <c r="L393" s="58" t="s">
        <v>94</v>
      </c>
      <c r="M393" s="58" t="s">
        <v>29</v>
      </c>
      <c r="N393" s="61" t="s">
        <v>2346</v>
      </c>
      <c r="O393" s="58" t="s">
        <v>2347</v>
      </c>
      <c r="P393" s="58" t="s">
        <v>1447</v>
      </c>
      <c r="Q393" s="63" t="str">
        <f>IF(V393&lt;&gt;"","Completed","")</f>
        <v>Completed</v>
      </c>
      <c r="R393" s="64">
        <v>42714</v>
      </c>
      <c r="S393" s="64" t="s">
        <v>43</v>
      </c>
      <c r="T393" s="65">
        <v>95</v>
      </c>
      <c r="U393" s="65">
        <v>186</v>
      </c>
      <c r="V393" s="65">
        <v>186</v>
      </c>
      <c r="W393" s="65"/>
      <c r="X393" s="65"/>
      <c r="Y393" s="74" t="s">
        <v>44</v>
      </c>
      <c r="Z393" s="56" t="s">
        <v>1472</v>
      </c>
      <c r="AA393" s="249"/>
      <c r="AB393" s="65" t="s">
        <v>94</v>
      </c>
      <c r="AC393" s="74" t="s">
        <v>29</v>
      </c>
      <c r="AD393" s="345"/>
    </row>
    <row r="394" spans="1:30" s="23" customFormat="1">
      <c r="A394" s="75" t="s">
        <v>487</v>
      </c>
      <c r="B394" s="59"/>
      <c r="C394" s="57">
        <v>42726</v>
      </c>
      <c r="D394" s="65"/>
      <c r="E394" s="65" t="s">
        <v>29</v>
      </c>
      <c r="F394" s="65" t="s">
        <v>29</v>
      </c>
      <c r="G394" s="58" t="s">
        <v>1443</v>
      </c>
      <c r="H394" s="58" t="s">
        <v>1456</v>
      </c>
      <c r="I394" s="60">
        <v>327</v>
      </c>
      <c r="J394" s="58" t="s">
        <v>29</v>
      </c>
      <c r="K394" s="58" t="s">
        <v>29</v>
      </c>
      <c r="L394" s="58" t="s">
        <v>94</v>
      </c>
      <c r="M394" s="58" t="s">
        <v>29</v>
      </c>
      <c r="N394" s="61" t="s">
        <v>2348</v>
      </c>
      <c r="O394" s="58" t="s">
        <v>2349</v>
      </c>
      <c r="P394" s="58" t="s">
        <v>1447</v>
      </c>
      <c r="Q394" s="63" t="str">
        <f>IF(V394&lt;&gt;"","Completed","")</f>
        <v>Completed</v>
      </c>
      <c r="R394" s="64">
        <v>42672</v>
      </c>
      <c r="S394" s="64" t="s">
        <v>114</v>
      </c>
      <c r="T394" s="65">
        <v>44</v>
      </c>
      <c r="U394" s="65">
        <v>80</v>
      </c>
      <c r="V394" s="65">
        <v>80</v>
      </c>
      <c r="W394" s="65"/>
      <c r="X394" s="65"/>
      <c r="Y394" s="74" t="s">
        <v>44</v>
      </c>
      <c r="Z394" s="56" t="s">
        <v>1656</v>
      </c>
      <c r="AA394" s="252"/>
      <c r="AB394" s="325" t="s">
        <v>94</v>
      </c>
      <c r="AC394" s="325" t="s">
        <v>29</v>
      </c>
      <c r="AD394" s="345"/>
    </row>
    <row r="395" spans="1:30">
      <c r="A395" s="332" t="s">
        <v>1022</v>
      </c>
      <c r="B395" s="59"/>
      <c r="C395" s="57">
        <v>42740</v>
      </c>
      <c r="E395" s="65" t="s">
        <v>29</v>
      </c>
      <c r="F395" s="65" t="s">
        <v>29</v>
      </c>
      <c r="G395" s="58" t="s">
        <v>1443</v>
      </c>
      <c r="H395" s="58" t="s">
        <v>1456</v>
      </c>
      <c r="I395" s="60">
        <v>0</v>
      </c>
      <c r="J395" s="58" t="s">
        <v>94</v>
      </c>
      <c r="K395" s="58" t="s">
        <v>29</v>
      </c>
      <c r="L395" s="58" t="s">
        <v>94</v>
      </c>
      <c r="M395" s="58" t="s">
        <v>29</v>
      </c>
      <c r="N395" s="61" t="s">
        <v>2350</v>
      </c>
      <c r="O395" s="58" t="s">
        <v>2351</v>
      </c>
      <c r="P395" s="58" t="s">
        <v>1459</v>
      </c>
      <c r="Q395" s="63" t="str">
        <f>IF(V395&lt;&gt;"","Completed","")</f>
        <v>Completed</v>
      </c>
      <c r="R395" s="319">
        <v>42693</v>
      </c>
      <c r="S395" s="64" t="s">
        <v>80</v>
      </c>
      <c r="T395" s="242">
        <v>26</v>
      </c>
      <c r="U395" s="242">
        <v>52</v>
      </c>
      <c r="V395" s="242">
        <v>52</v>
      </c>
      <c r="W395" s="242"/>
      <c r="X395" s="242"/>
      <c r="Y395" s="74" t="s">
        <v>44</v>
      </c>
      <c r="Z395" s="345" t="s">
        <v>1491</v>
      </c>
      <c r="AA395" s="249"/>
      <c r="AB395" s="65" t="s">
        <v>94</v>
      </c>
      <c r="AC395" s="74" t="s">
        <v>29</v>
      </c>
    </row>
    <row r="396" spans="1:30">
      <c r="A396" s="75" t="s">
        <v>664</v>
      </c>
      <c r="B396" s="59"/>
      <c r="C396" s="57"/>
      <c r="E396" s="65" t="s">
        <v>29</v>
      </c>
      <c r="F396" s="65" t="s">
        <v>29</v>
      </c>
      <c r="G396" s="58" t="s">
        <v>1443</v>
      </c>
      <c r="H396" s="58" t="s">
        <v>1456</v>
      </c>
      <c r="I396" s="60">
        <v>338</v>
      </c>
      <c r="J396" s="58" t="s">
        <v>94</v>
      </c>
      <c r="K396" s="58" t="s">
        <v>29</v>
      </c>
      <c r="L396" s="58" t="s">
        <v>94</v>
      </c>
      <c r="M396" s="58" t="s">
        <v>29</v>
      </c>
      <c r="N396" s="61" t="s">
        <v>2352</v>
      </c>
      <c r="O396" s="58" t="s">
        <v>2353</v>
      </c>
      <c r="P396" s="58" t="s">
        <v>1447</v>
      </c>
      <c r="Q396" s="63" t="str">
        <f>IF(V396&lt;&gt;"","Completed","")</f>
        <v>Completed</v>
      </c>
      <c r="R396" s="64">
        <v>42634</v>
      </c>
      <c r="S396" s="64" t="s">
        <v>222</v>
      </c>
      <c r="T396" s="65">
        <v>7</v>
      </c>
      <c r="U396" s="65">
        <v>14</v>
      </c>
      <c r="V396" s="65">
        <v>14</v>
      </c>
      <c r="Y396" s="74" t="s">
        <v>44</v>
      </c>
      <c r="Z396" s="56" t="s">
        <v>1494</v>
      </c>
      <c r="AA396" s="249"/>
      <c r="AB396" s="242" t="s">
        <v>94</v>
      </c>
    </row>
    <row r="397" spans="1:30">
      <c r="A397" s="75" t="s">
        <v>1152</v>
      </c>
      <c r="B397" s="59"/>
      <c r="C397" s="57">
        <v>42690</v>
      </c>
      <c r="E397" s="65" t="s">
        <v>29</v>
      </c>
      <c r="F397" s="65" t="s">
        <v>29</v>
      </c>
      <c r="G397" s="58" t="s">
        <v>1443</v>
      </c>
      <c r="H397" s="58" t="s">
        <v>1449</v>
      </c>
      <c r="I397" s="60">
        <v>436</v>
      </c>
      <c r="J397" s="58" t="s">
        <v>94</v>
      </c>
      <c r="K397" s="58" t="s">
        <v>29</v>
      </c>
      <c r="L397" s="58" t="s">
        <v>94</v>
      </c>
      <c r="M397" s="58" t="s">
        <v>29</v>
      </c>
      <c r="N397" s="61" t="s">
        <v>2354</v>
      </c>
      <c r="O397" s="58" t="s">
        <v>2355</v>
      </c>
      <c r="P397" s="58" t="s">
        <v>1459</v>
      </c>
      <c r="Q397" s="63" t="str">
        <f>IF(V397&lt;&gt;"","Completed","")</f>
        <v>Completed</v>
      </c>
      <c r="R397" s="64">
        <v>42665</v>
      </c>
      <c r="S397" s="64" t="s">
        <v>80</v>
      </c>
      <c r="T397" s="65">
        <v>35</v>
      </c>
      <c r="U397" s="65">
        <v>70</v>
      </c>
      <c r="V397" s="65">
        <v>70</v>
      </c>
      <c r="Y397" s="74" t="s">
        <v>44</v>
      </c>
      <c r="Z397" s="56" t="s">
        <v>1681</v>
      </c>
      <c r="AA397" s="249"/>
      <c r="AB397" s="65" t="s">
        <v>94</v>
      </c>
      <c r="AC397" s="65" t="s">
        <v>29</v>
      </c>
    </row>
    <row r="398" spans="1:30" s="66" customFormat="1">
      <c r="A398" s="75" t="s">
        <v>938</v>
      </c>
      <c r="B398" s="59"/>
      <c r="C398" s="57">
        <v>42748</v>
      </c>
      <c r="D398" s="65"/>
      <c r="E398" s="65" t="s">
        <v>29</v>
      </c>
      <c r="F398" s="65" t="s">
        <v>29</v>
      </c>
      <c r="G398" s="58" t="s">
        <v>1443</v>
      </c>
      <c r="H398" s="58" t="s">
        <v>1456</v>
      </c>
      <c r="I398" s="60">
        <v>168</v>
      </c>
      <c r="J398" s="58" t="s">
        <v>29</v>
      </c>
      <c r="K398" s="58" t="s">
        <v>29</v>
      </c>
      <c r="L398" s="58" t="s">
        <v>94</v>
      </c>
      <c r="M398" s="58" t="s">
        <v>29</v>
      </c>
      <c r="N398" s="61" t="s">
        <v>2356</v>
      </c>
      <c r="O398" s="58" t="s">
        <v>2357</v>
      </c>
      <c r="P398" s="58" t="s">
        <v>1447</v>
      </c>
      <c r="Q398" s="63" t="str">
        <f>IF(V398&lt;&gt;"","Completed","")</f>
        <v>Completed</v>
      </c>
      <c r="R398" s="64">
        <v>42634</v>
      </c>
      <c r="S398" s="64" t="s">
        <v>43</v>
      </c>
      <c r="T398" s="65">
        <v>11</v>
      </c>
      <c r="U398" s="65">
        <v>22</v>
      </c>
      <c r="V398" s="65">
        <v>22</v>
      </c>
      <c r="W398" s="65"/>
      <c r="X398" s="65"/>
      <c r="Y398" s="74" t="s">
        <v>44</v>
      </c>
      <c r="Z398" s="257" t="s">
        <v>2311</v>
      </c>
      <c r="AA398" s="252"/>
      <c r="AB398" s="74" t="s">
        <v>94</v>
      </c>
      <c r="AC398" s="65" t="s">
        <v>29</v>
      </c>
      <c r="AD398" s="345"/>
    </row>
    <row r="399" spans="1:30" s="66" customFormat="1">
      <c r="A399" s="75" t="s">
        <v>1052</v>
      </c>
      <c r="B399" s="59"/>
      <c r="C399" s="57">
        <v>42716</v>
      </c>
      <c r="D399" s="65"/>
      <c r="E399" s="65" t="s">
        <v>29</v>
      </c>
      <c r="F399" s="65" t="s">
        <v>29</v>
      </c>
      <c r="G399" s="58" t="s">
        <v>1443</v>
      </c>
      <c r="H399" s="58" t="s">
        <v>1449</v>
      </c>
      <c r="I399" s="60">
        <v>0</v>
      </c>
      <c r="J399" s="58" t="s">
        <v>29</v>
      </c>
      <c r="K399" s="58" t="s">
        <v>29</v>
      </c>
      <c r="L399" s="58" t="s">
        <v>29</v>
      </c>
      <c r="M399" s="58" t="s">
        <v>29</v>
      </c>
      <c r="N399" s="61" t="s">
        <v>2358</v>
      </c>
      <c r="O399" s="58" t="s">
        <v>2359</v>
      </c>
      <c r="P399" s="58" t="s">
        <v>1447</v>
      </c>
      <c r="Q399" s="63" t="str">
        <f>IF(V399&lt;&gt;"","Completed","")</f>
        <v>Completed</v>
      </c>
      <c r="R399" s="64">
        <v>42693</v>
      </c>
      <c r="S399" s="64" t="s">
        <v>149</v>
      </c>
      <c r="T399" s="65">
        <v>31</v>
      </c>
      <c r="U399" s="65">
        <v>62</v>
      </c>
      <c r="V399" s="65">
        <v>62</v>
      </c>
      <c r="W399" s="65"/>
      <c r="X399" s="65"/>
      <c r="Y399" s="74" t="s">
        <v>44</v>
      </c>
      <c r="Z399" s="56" t="s">
        <v>1966</v>
      </c>
      <c r="AA399" s="252"/>
      <c r="AB399" s="242" t="s">
        <v>94</v>
      </c>
      <c r="AC399" s="65"/>
      <c r="AD399" s="345"/>
    </row>
    <row r="400" spans="1:30" s="66" customFormat="1">
      <c r="A400" s="75" t="s">
        <v>1102</v>
      </c>
      <c r="B400" s="59"/>
      <c r="C400" s="57">
        <v>42755</v>
      </c>
      <c r="D400" s="65"/>
      <c r="E400" s="65" t="s">
        <v>29</v>
      </c>
      <c r="F400" s="65" t="s">
        <v>29</v>
      </c>
      <c r="G400" s="58" t="s">
        <v>1443</v>
      </c>
      <c r="H400" s="58" t="s">
        <v>1444</v>
      </c>
      <c r="I400" s="60">
        <v>783</v>
      </c>
      <c r="J400" s="58" t="s">
        <v>94</v>
      </c>
      <c r="K400" s="58" t="s">
        <v>29</v>
      </c>
      <c r="L400" s="58" t="s">
        <v>94</v>
      </c>
      <c r="M400" s="58" t="s">
        <v>29</v>
      </c>
      <c r="N400" s="61" t="s">
        <v>2360</v>
      </c>
      <c r="O400" s="58" t="s">
        <v>2361</v>
      </c>
      <c r="P400" s="58" t="s">
        <v>1447</v>
      </c>
      <c r="Q400" s="63" t="str">
        <f>IF(V400&lt;&gt;"","Completed","")</f>
        <v>Completed</v>
      </c>
      <c r="R400" s="64">
        <v>42725</v>
      </c>
      <c r="S400" s="64" t="s">
        <v>57</v>
      </c>
      <c r="T400" s="65">
        <v>32</v>
      </c>
      <c r="U400" s="65">
        <v>54</v>
      </c>
      <c r="V400" s="65">
        <v>54</v>
      </c>
      <c r="W400" s="65"/>
      <c r="X400" s="65"/>
      <c r="Y400" s="74" t="s">
        <v>44</v>
      </c>
      <c r="Z400" s="56" t="s">
        <v>1485</v>
      </c>
      <c r="AA400" s="252"/>
      <c r="AB400" s="65" t="s">
        <v>94</v>
      </c>
      <c r="AC400" s="65" t="s">
        <v>94</v>
      </c>
      <c r="AD400" s="345"/>
    </row>
    <row r="401" spans="1:30" s="66" customFormat="1">
      <c r="A401" s="75" t="s">
        <v>796</v>
      </c>
      <c r="B401" s="59"/>
      <c r="C401" s="57"/>
      <c r="D401" s="65"/>
      <c r="E401" s="65" t="s">
        <v>29</v>
      </c>
      <c r="F401" s="65" t="s">
        <v>94</v>
      </c>
      <c r="G401" s="58" t="s">
        <v>1443</v>
      </c>
      <c r="H401" s="58" t="s">
        <v>1444</v>
      </c>
      <c r="I401" s="60">
        <v>1</v>
      </c>
      <c r="J401" s="58" t="s">
        <v>94</v>
      </c>
      <c r="K401" s="58" t="s">
        <v>29</v>
      </c>
      <c r="L401" s="58" t="s">
        <v>29</v>
      </c>
      <c r="M401" s="58" t="s">
        <v>94</v>
      </c>
      <c r="N401" s="61" t="s">
        <v>2362</v>
      </c>
      <c r="O401" s="58" t="s">
        <v>2363</v>
      </c>
      <c r="P401" s="58" t="s">
        <v>1447</v>
      </c>
      <c r="Q401" s="63" t="str">
        <f>IF(V401&lt;&gt;"","Completed","")</f>
        <v>Completed</v>
      </c>
      <c r="R401" s="64">
        <v>42614</v>
      </c>
      <c r="S401" s="64" t="s">
        <v>222</v>
      </c>
      <c r="T401" s="65">
        <v>33</v>
      </c>
      <c r="U401" s="256">
        <v>46</v>
      </c>
      <c r="V401" s="256">
        <v>46</v>
      </c>
      <c r="W401" s="65"/>
      <c r="X401" s="65"/>
      <c r="Y401" s="74" t="s">
        <v>44</v>
      </c>
      <c r="Z401" s="56" t="s">
        <v>2364</v>
      </c>
      <c r="AA401" s="118">
        <f>V401</f>
        <v>46</v>
      </c>
      <c r="AB401" s="242" t="s">
        <v>94</v>
      </c>
      <c r="AC401" s="65"/>
      <c r="AD401" s="345"/>
    </row>
    <row r="402" spans="1:30" s="66" customFormat="1">
      <c r="A402" s="75" t="s">
        <v>824</v>
      </c>
      <c r="B402" s="59"/>
      <c r="C402" s="57">
        <v>42726</v>
      </c>
      <c r="D402" s="150"/>
      <c r="E402" s="65" t="s">
        <v>29</v>
      </c>
      <c r="F402" s="65" t="s">
        <v>29</v>
      </c>
      <c r="G402" s="58" t="s">
        <v>1482</v>
      </c>
      <c r="H402" s="58" t="s">
        <v>1449</v>
      </c>
      <c r="I402" s="60">
        <v>0</v>
      </c>
      <c r="J402" s="58" t="s">
        <v>94</v>
      </c>
      <c r="K402" s="58" t="s">
        <v>29</v>
      </c>
      <c r="L402" s="58" t="s">
        <v>94</v>
      </c>
      <c r="M402" s="58" t="s">
        <v>29</v>
      </c>
      <c r="N402" s="251" t="s">
        <v>2365</v>
      </c>
      <c r="O402" s="58" t="s">
        <v>2366</v>
      </c>
      <c r="P402" s="58" t="s">
        <v>1447</v>
      </c>
      <c r="Q402" s="63" t="str">
        <f>IF(V402&lt;&gt;"","Completed","")</f>
        <v>Completed</v>
      </c>
      <c r="R402" s="64">
        <v>42658</v>
      </c>
      <c r="S402" s="64" t="s">
        <v>43</v>
      </c>
      <c r="T402" s="65">
        <v>12</v>
      </c>
      <c r="U402" s="65">
        <v>23</v>
      </c>
      <c r="V402" s="65">
        <v>23</v>
      </c>
      <c r="W402" s="65"/>
      <c r="X402" s="65"/>
      <c r="Y402" s="74" t="s">
        <v>44</v>
      </c>
      <c r="Z402" s="56" t="s">
        <v>1558</v>
      </c>
      <c r="AA402" s="252">
        <f>SUM(V398:V402)</f>
        <v>207</v>
      </c>
      <c r="AB402" s="324" t="s">
        <v>94</v>
      </c>
      <c r="AC402" s="151" t="s">
        <v>29</v>
      </c>
      <c r="AD402" s="345"/>
    </row>
    <row r="403" spans="1:30" s="66" customFormat="1">
      <c r="A403" s="75" t="s">
        <v>1039</v>
      </c>
      <c r="B403" s="59"/>
      <c r="C403" s="57">
        <v>42768</v>
      </c>
      <c r="D403" s="65"/>
      <c r="E403" s="65" t="s">
        <v>29</v>
      </c>
      <c r="F403" s="65" t="s">
        <v>29</v>
      </c>
      <c r="G403" s="58" t="s">
        <v>1443</v>
      </c>
      <c r="H403" s="58" t="s">
        <v>1456</v>
      </c>
      <c r="I403" s="60">
        <v>500</v>
      </c>
      <c r="J403" s="58" t="s">
        <v>29</v>
      </c>
      <c r="K403" s="58" t="s">
        <v>29</v>
      </c>
      <c r="L403" s="58" t="s">
        <v>94</v>
      </c>
      <c r="M403" s="58" t="s">
        <v>29</v>
      </c>
      <c r="N403" s="61" t="s">
        <v>2367</v>
      </c>
      <c r="O403" s="58" t="s">
        <v>2368</v>
      </c>
      <c r="P403" s="58" t="s">
        <v>1459</v>
      </c>
      <c r="Q403" s="63" t="str">
        <f>IF(V403&lt;&gt;"","Completed","")</f>
        <v>Completed</v>
      </c>
      <c r="R403" s="64">
        <v>42714</v>
      </c>
      <c r="S403" s="64" t="s">
        <v>57</v>
      </c>
      <c r="T403" s="65">
        <v>85</v>
      </c>
      <c r="U403" s="65">
        <v>135</v>
      </c>
      <c r="V403" s="65">
        <v>135</v>
      </c>
      <c r="W403" s="65"/>
      <c r="X403" s="65"/>
      <c r="Y403" s="74" t="s">
        <v>44</v>
      </c>
      <c r="Z403" s="56" t="s">
        <v>1912</v>
      </c>
      <c r="AA403" s="249"/>
      <c r="AB403" s="65" t="s">
        <v>94</v>
      </c>
      <c r="AC403" s="74" t="s">
        <v>476</v>
      </c>
      <c r="AD403" s="345"/>
    </row>
    <row r="404" spans="1:30" s="66" customFormat="1">
      <c r="A404" s="75" t="s">
        <v>273</v>
      </c>
      <c r="B404" s="59"/>
      <c r="C404" s="57">
        <v>42776</v>
      </c>
      <c r="D404" s="65">
        <v>4044000</v>
      </c>
      <c r="E404" s="65" t="s">
        <v>29</v>
      </c>
      <c r="F404" s="65" t="s">
        <v>29</v>
      </c>
      <c r="G404" s="58" t="s">
        <v>1443</v>
      </c>
      <c r="H404" s="58" t="s">
        <v>1456</v>
      </c>
      <c r="I404" s="60">
        <v>0</v>
      </c>
      <c r="J404" s="58" t="s">
        <v>29</v>
      </c>
      <c r="K404" s="58" t="s">
        <v>29</v>
      </c>
      <c r="L404" s="58" t="s">
        <v>94</v>
      </c>
      <c r="M404" s="58" t="s">
        <v>29</v>
      </c>
      <c r="N404" s="61" t="s">
        <v>2369</v>
      </c>
      <c r="O404" s="58" t="s">
        <v>2370</v>
      </c>
      <c r="P404" s="58" t="s">
        <v>1447</v>
      </c>
      <c r="Q404" s="63" t="str">
        <f>IF(V404&lt;&gt;"","Completed","")</f>
        <v>Completed</v>
      </c>
      <c r="R404" s="293">
        <v>42693</v>
      </c>
      <c r="S404" s="341" t="s">
        <v>43</v>
      </c>
      <c r="T404" s="65">
        <v>122</v>
      </c>
      <c r="U404" s="256">
        <v>194</v>
      </c>
      <c r="V404" s="256">
        <v>194</v>
      </c>
      <c r="W404" s="65"/>
      <c r="X404" s="65"/>
      <c r="Y404" s="74" t="s">
        <v>44</v>
      </c>
      <c r="Z404" s="56" t="s">
        <v>1650</v>
      </c>
      <c r="AA404" s="252"/>
      <c r="AB404" s="65" t="s">
        <v>94</v>
      </c>
      <c r="AC404" s="242" t="s">
        <v>29</v>
      </c>
      <c r="AD404" s="345"/>
    </row>
    <row r="405" spans="1:30" s="66" customFormat="1">
      <c r="A405" s="75" t="s">
        <v>1039</v>
      </c>
      <c r="B405" s="59"/>
      <c r="C405" s="57">
        <v>42765</v>
      </c>
      <c r="D405" s="65"/>
      <c r="E405" s="65" t="s">
        <v>29</v>
      </c>
      <c r="F405" s="65" t="s">
        <v>29</v>
      </c>
      <c r="G405" s="58" t="s">
        <v>1443</v>
      </c>
      <c r="H405" s="58" t="s">
        <v>1456</v>
      </c>
      <c r="I405" s="60">
        <v>200</v>
      </c>
      <c r="J405" s="58" t="s">
        <v>94</v>
      </c>
      <c r="K405" s="58" t="s">
        <v>29</v>
      </c>
      <c r="L405" s="58" t="s">
        <v>94</v>
      </c>
      <c r="M405" s="58" t="s">
        <v>29</v>
      </c>
      <c r="N405" s="61" t="s">
        <v>2371</v>
      </c>
      <c r="O405" s="58" t="s">
        <v>2372</v>
      </c>
      <c r="P405" s="58" t="s">
        <v>1447</v>
      </c>
      <c r="Q405" s="63" t="str">
        <f>IF(V405&lt;&gt;"","Completed","")</f>
        <v>Completed</v>
      </c>
      <c r="R405" s="64">
        <v>42714</v>
      </c>
      <c r="S405" s="64" t="s">
        <v>57</v>
      </c>
      <c r="T405" s="65">
        <v>53</v>
      </c>
      <c r="U405" s="65">
        <v>106</v>
      </c>
      <c r="V405" s="65">
        <v>106</v>
      </c>
      <c r="W405" s="65"/>
      <c r="X405" s="65"/>
      <c r="Y405" s="74" t="s">
        <v>44</v>
      </c>
      <c r="Z405" s="56" t="s">
        <v>1647</v>
      </c>
      <c r="AA405" s="249"/>
      <c r="AB405" s="65" t="s">
        <v>94</v>
      </c>
      <c r="AC405" s="74" t="s">
        <v>29</v>
      </c>
      <c r="AD405" s="345"/>
    </row>
    <row r="406" spans="1:30" s="66" customFormat="1">
      <c r="A406" s="75" t="s">
        <v>624</v>
      </c>
      <c r="B406" s="59"/>
      <c r="C406" s="57">
        <v>42677</v>
      </c>
      <c r="D406" s="65"/>
      <c r="E406" s="65" t="s">
        <v>29</v>
      </c>
      <c r="F406" s="65" t="s">
        <v>29</v>
      </c>
      <c r="G406" s="58"/>
      <c r="H406" s="58"/>
      <c r="I406" s="60"/>
      <c r="J406" s="58"/>
      <c r="K406" s="58"/>
      <c r="L406" s="58"/>
      <c r="M406" s="58"/>
      <c r="N406" s="61" t="s">
        <v>2373</v>
      </c>
      <c r="O406" s="58" t="s">
        <v>2374</v>
      </c>
      <c r="P406" s="58" t="s">
        <v>1447</v>
      </c>
      <c r="Q406" s="63" t="str">
        <f>IF(V406&lt;&gt;"","Completed","")</f>
        <v>Completed</v>
      </c>
      <c r="R406" s="64">
        <v>42664</v>
      </c>
      <c r="S406" s="64" t="s">
        <v>80</v>
      </c>
      <c r="T406" s="150">
        <v>21</v>
      </c>
      <c r="U406" s="150">
        <v>42</v>
      </c>
      <c r="V406" s="150">
        <v>42</v>
      </c>
      <c r="W406" s="150"/>
      <c r="X406" s="150"/>
      <c r="Y406" s="74" t="s">
        <v>44</v>
      </c>
      <c r="Z406" s="56" t="s">
        <v>1596</v>
      </c>
      <c r="AA406" s="249"/>
      <c r="AB406" s="242" t="s">
        <v>94</v>
      </c>
      <c r="AC406" s="242" t="s">
        <v>94</v>
      </c>
      <c r="AD406" s="345"/>
    </row>
    <row r="407" spans="1:30" s="66" customFormat="1">
      <c r="A407" s="75" t="s">
        <v>535</v>
      </c>
      <c r="B407" s="59"/>
      <c r="C407" s="57">
        <v>42739</v>
      </c>
      <c r="D407" s="65"/>
      <c r="E407" s="65" t="s">
        <v>29</v>
      </c>
      <c r="F407" s="65" t="s">
        <v>94</v>
      </c>
      <c r="G407" s="58" t="s">
        <v>1443</v>
      </c>
      <c r="H407" s="58" t="s">
        <v>1449</v>
      </c>
      <c r="I407" s="60">
        <v>0</v>
      </c>
      <c r="J407" s="58" t="s">
        <v>94</v>
      </c>
      <c r="K407" s="58" t="s">
        <v>29</v>
      </c>
      <c r="L407" s="58" t="s">
        <v>94</v>
      </c>
      <c r="M407" s="58" t="s">
        <v>94</v>
      </c>
      <c r="N407" s="61" t="s">
        <v>2375</v>
      </c>
      <c r="O407" s="294" t="s">
        <v>2376</v>
      </c>
      <c r="P407" s="58" t="s">
        <v>1447</v>
      </c>
      <c r="Q407" s="63" t="str">
        <f>IF(V407&lt;&gt;"","Completed","")</f>
        <v>Completed</v>
      </c>
      <c r="R407" s="64">
        <v>42655</v>
      </c>
      <c r="S407" s="64" t="s">
        <v>104</v>
      </c>
      <c r="T407" s="65">
        <v>88</v>
      </c>
      <c r="U407" s="65"/>
      <c r="V407" s="256">
        <v>195</v>
      </c>
      <c r="W407" s="65"/>
      <c r="X407" s="65"/>
      <c r="Y407" s="74" t="s">
        <v>44</v>
      </c>
      <c r="Z407" s="56" t="s">
        <v>1481</v>
      </c>
      <c r="AA407" s="363">
        <f>V407</f>
        <v>195</v>
      </c>
      <c r="AB407" s="65" t="s">
        <v>94</v>
      </c>
      <c r="AC407" s="65" t="s">
        <v>94</v>
      </c>
      <c r="AD407" s="345" t="s">
        <v>2377</v>
      </c>
    </row>
    <row r="408" spans="1:30" s="66" customFormat="1">
      <c r="A408" s="332" t="s">
        <v>845</v>
      </c>
      <c r="B408" s="59"/>
      <c r="C408" s="57">
        <v>42688</v>
      </c>
      <c r="D408" s="65"/>
      <c r="E408" s="65" t="s">
        <v>29</v>
      </c>
      <c r="F408" s="65" t="s">
        <v>29</v>
      </c>
      <c r="G408" s="58" t="s">
        <v>1443</v>
      </c>
      <c r="H408" s="58" t="s">
        <v>1444</v>
      </c>
      <c r="I408" s="60">
        <v>605</v>
      </c>
      <c r="J408" s="58" t="s">
        <v>94</v>
      </c>
      <c r="K408" s="58" t="s">
        <v>29</v>
      </c>
      <c r="L408" s="58" t="s">
        <v>94</v>
      </c>
      <c r="M408" s="58" t="s">
        <v>29</v>
      </c>
      <c r="N408" s="61" t="s">
        <v>2378</v>
      </c>
      <c r="O408" s="58" t="s">
        <v>2379</v>
      </c>
      <c r="P408" s="58" t="s">
        <v>1459</v>
      </c>
      <c r="Q408" s="63" t="str">
        <f>IF(V408&lt;&gt;"","Completed","")</f>
        <v>Completed</v>
      </c>
      <c r="R408" s="64">
        <v>42651</v>
      </c>
      <c r="S408" s="386" t="s">
        <v>397</v>
      </c>
      <c r="T408" s="65">
        <v>54</v>
      </c>
      <c r="U408" s="65">
        <v>98</v>
      </c>
      <c r="V408" s="65">
        <v>98</v>
      </c>
      <c r="W408" s="65"/>
      <c r="X408" s="65"/>
      <c r="Y408" s="74" t="s">
        <v>44</v>
      </c>
      <c r="Z408" s="56" t="s">
        <v>2063</v>
      </c>
      <c r="AA408" s="249"/>
      <c r="AB408" s="242" t="s">
        <v>94</v>
      </c>
      <c r="AC408" s="242" t="s">
        <v>29</v>
      </c>
      <c r="AD408" s="345"/>
    </row>
    <row r="409" spans="1:30" s="66" customFormat="1">
      <c r="A409" s="261" t="s">
        <v>710</v>
      </c>
      <c r="B409" s="56"/>
      <c r="C409" s="57">
        <v>42762</v>
      </c>
      <c r="D409" s="65"/>
      <c r="E409" s="65" t="s">
        <v>29</v>
      </c>
      <c r="F409" s="65" t="s">
        <v>29</v>
      </c>
      <c r="G409" s="63"/>
      <c r="H409" s="63"/>
      <c r="I409" s="63"/>
      <c r="J409" s="63"/>
      <c r="K409" s="63"/>
      <c r="L409" s="63"/>
      <c r="M409" s="63"/>
      <c r="N409" s="68" t="s">
        <v>2380</v>
      </c>
      <c r="O409" s="90" t="s">
        <v>2381</v>
      </c>
      <c r="P409" s="63"/>
      <c r="Q409" s="63" t="str">
        <f>IF(V409&lt;&gt;"","Completed","")</f>
        <v>Completed</v>
      </c>
      <c r="R409" s="64">
        <v>42770</v>
      </c>
      <c r="S409" s="64" t="s">
        <v>149</v>
      </c>
      <c r="T409" s="242">
        <v>18</v>
      </c>
      <c r="U409" s="242">
        <v>36</v>
      </c>
      <c r="V409" s="242">
        <v>36</v>
      </c>
      <c r="W409" s="65"/>
      <c r="X409" s="65"/>
      <c r="Y409" s="74" t="s">
        <v>44</v>
      </c>
      <c r="Z409" s="345" t="s">
        <v>1442</v>
      </c>
      <c r="AA409" s="92"/>
      <c r="AB409" s="242" t="s">
        <v>94</v>
      </c>
      <c r="AC409" s="242" t="s">
        <v>29</v>
      </c>
      <c r="AD409" s="345"/>
    </row>
    <row r="410" spans="1:30" s="66" customFormat="1">
      <c r="A410" s="75" t="s">
        <v>408</v>
      </c>
      <c r="B410" s="59"/>
      <c r="C410" s="57">
        <v>42716</v>
      </c>
      <c r="D410" s="65"/>
      <c r="E410" s="65" t="s">
        <v>29</v>
      </c>
      <c r="F410" s="65" t="s">
        <v>29</v>
      </c>
      <c r="G410" s="58" t="s">
        <v>1443</v>
      </c>
      <c r="H410" s="58" t="s">
        <v>1444</v>
      </c>
      <c r="I410" s="60">
        <v>0</v>
      </c>
      <c r="J410" s="58" t="s">
        <v>29</v>
      </c>
      <c r="K410" s="58" t="s">
        <v>29</v>
      </c>
      <c r="L410" s="58" t="s">
        <v>94</v>
      </c>
      <c r="M410" s="58" t="s">
        <v>29</v>
      </c>
      <c r="N410" s="61" t="s">
        <v>2382</v>
      </c>
      <c r="O410" s="58" t="s">
        <v>2383</v>
      </c>
      <c r="P410" s="58" t="s">
        <v>1447</v>
      </c>
      <c r="Q410" s="63" t="str">
        <f>IF(V410&lt;&gt;"","Completed","")</f>
        <v>Completed</v>
      </c>
      <c r="R410" s="64">
        <v>42703</v>
      </c>
      <c r="S410" s="64" t="s">
        <v>149</v>
      </c>
      <c r="T410" s="65">
        <v>22</v>
      </c>
      <c r="U410" s="65">
        <v>37</v>
      </c>
      <c r="V410" s="65">
        <v>37</v>
      </c>
      <c r="W410" s="65"/>
      <c r="X410" s="65"/>
      <c r="Y410" s="74" t="s">
        <v>44</v>
      </c>
      <c r="Z410" s="56" t="s">
        <v>1966</v>
      </c>
      <c r="AA410" s="249">
        <f>V410</f>
        <v>37</v>
      </c>
      <c r="AB410" s="74" t="s">
        <v>94</v>
      </c>
      <c r="AC410" s="65" t="s">
        <v>29</v>
      </c>
      <c r="AD410" s="345"/>
    </row>
    <row r="411" spans="1:30" s="66" customFormat="1">
      <c r="A411" s="75" t="s">
        <v>803</v>
      </c>
      <c r="B411" s="59"/>
      <c r="C411" s="57">
        <v>42760</v>
      </c>
      <c r="D411" s="65"/>
      <c r="E411" s="65" t="s">
        <v>29</v>
      </c>
      <c r="F411" s="65" t="s">
        <v>29</v>
      </c>
      <c r="G411" s="58" t="s">
        <v>1443</v>
      </c>
      <c r="H411" s="58" t="s">
        <v>1456</v>
      </c>
      <c r="I411" s="60">
        <v>0</v>
      </c>
      <c r="J411" s="58" t="s">
        <v>2345</v>
      </c>
      <c r="K411" s="58" t="s">
        <v>29</v>
      </c>
      <c r="L411" s="58" t="s">
        <v>94</v>
      </c>
      <c r="M411" s="58" t="s">
        <v>29</v>
      </c>
      <c r="N411" s="61" t="s">
        <v>2384</v>
      </c>
      <c r="O411" s="58" t="s">
        <v>2385</v>
      </c>
      <c r="P411" s="58" t="s">
        <v>1447</v>
      </c>
      <c r="Q411" s="63" t="str">
        <f>IF(V411&lt;&gt;"","Completed","")</f>
        <v>Completed</v>
      </c>
      <c r="R411" s="64">
        <v>42706</v>
      </c>
      <c r="S411" s="64" t="s">
        <v>43</v>
      </c>
      <c r="T411" s="65">
        <v>39</v>
      </c>
      <c r="U411" s="65">
        <v>78</v>
      </c>
      <c r="V411" s="65">
        <v>78</v>
      </c>
      <c r="W411" s="65"/>
      <c r="X411" s="65"/>
      <c r="Y411" s="74" t="s">
        <v>44</v>
      </c>
      <c r="Z411" s="56" t="s">
        <v>1472</v>
      </c>
      <c r="AA411" s="249"/>
      <c r="AB411" s="65" t="s">
        <v>94</v>
      </c>
      <c r="AC411" s="74" t="s">
        <v>29</v>
      </c>
      <c r="AD411" s="345"/>
    </row>
    <row r="412" spans="1:30" s="66" customFormat="1">
      <c r="A412" s="75" t="s">
        <v>624</v>
      </c>
      <c r="B412" s="59"/>
      <c r="C412" s="57">
        <v>42677</v>
      </c>
      <c r="D412" s="65"/>
      <c r="E412" s="65" t="s">
        <v>29</v>
      </c>
      <c r="F412" s="65" t="s">
        <v>29</v>
      </c>
      <c r="G412" s="58"/>
      <c r="H412" s="58"/>
      <c r="I412" s="60"/>
      <c r="J412" s="58"/>
      <c r="K412" s="58"/>
      <c r="L412" s="58"/>
      <c r="M412" s="58"/>
      <c r="N412" s="61" t="s">
        <v>2386</v>
      </c>
      <c r="O412" s="58" t="s">
        <v>2387</v>
      </c>
      <c r="P412" s="58" t="s">
        <v>1459</v>
      </c>
      <c r="Q412" s="63" t="str">
        <f>IF(V412&lt;&gt;"","Completed","")</f>
        <v>Completed</v>
      </c>
      <c r="R412" s="64">
        <v>42655</v>
      </c>
      <c r="S412" s="64" t="s">
        <v>80</v>
      </c>
      <c r="T412" s="150">
        <v>87</v>
      </c>
      <c r="U412" s="150">
        <v>112</v>
      </c>
      <c r="V412" s="150">
        <v>112</v>
      </c>
      <c r="W412" s="150"/>
      <c r="X412" s="150"/>
      <c r="Y412" s="74" t="s">
        <v>44</v>
      </c>
      <c r="Z412" s="56" t="s">
        <v>1596</v>
      </c>
      <c r="AA412" s="249"/>
      <c r="AB412" s="242" t="s">
        <v>94</v>
      </c>
      <c r="AC412" s="242" t="s">
        <v>94</v>
      </c>
      <c r="AD412" s="345"/>
    </row>
    <row r="413" spans="1:30" s="66" customFormat="1">
      <c r="A413" s="332" t="s">
        <v>1022</v>
      </c>
      <c r="B413" s="59"/>
      <c r="C413" s="57">
        <v>42740</v>
      </c>
      <c r="D413" s="65"/>
      <c r="E413" s="65" t="s">
        <v>29</v>
      </c>
      <c r="F413" s="65" t="s">
        <v>29</v>
      </c>
      <c r="G413" s="58" t="s">
        <v>1443</v>
      </c>
      <c r="H413" s="58" t="s">
        <v>1456</v>
      </c>
      <c r="I413" s="60">
        <v>299</v>
      </c>
      <c r="J413" s="58" t="s">
        <v>94</v>
      </c>
      <c r="K413" s="58" t="s">
        <v>29</v>
      </c>
      <c r="L413" s="58" t="s">
        <v>94</v>
      </c>
      <c r="M413" s="58" t="s">
        <v>29</v>
      </c>
      <c r="N413" s="61" t="s">
        <v>2388</v>
      </c>
      <c r="O413" s="58" t="s">
        <v>2389</v>
      </c>
      <c r="P413" s="58" t="s">
        <v>1459</v>
      </c>
      <c r="Q413" s="63" t="str">
        <f>IF(V413&lt;&gt;"","Completed","")</f>
        <v>Completed</v>
      </c>
      <c r="R413" s="319">
        <v>42679</v>
      </c>
      <c r="S413" s="64" t="s">
        <v>80</v>
      </c>
      <c r="T413" s="242">
        <v>25</v>
      </c>
      <c r="U413" s="242">
        <v>36</v>
      </c>
      <c r="V413" s="242">
        <v>36</v>
      </c>
      <c r="W413" s="242"/>
      <c r="X413" s="242"/>
      <c r="Y413" s="74" t="s">
        <v>44</v>
      </c>
      <c r="Z413" s="345" t="s">
        <v>1491</v>
      </c>
      <c r="AA413" s="249"/>
      <c r="AB413" s="65" t="s">
        <v>94</v>
      </c>
      <c r="AC413" s="74" t="s">
        <v>29</v>
      </c>
      <c r="AD413" s="345"/>
    </row>
    <row r="414" spans="1:30" s="66" customFormat="1">
      <c r="A414" s="75" t="s">
        <v>838</v>
      </c>
      <c r="B414" s="59"/>
      <c r="C414" s="57">
        <v>42648</v>
      </c>
      <c r="D414" s="65"/>
      <c r="E414" s="65" t="s">
        <v>29</v>
      </c>
      <c r="F414" s="65" t="s">
        <v>29</v>
      </c>
      <c r="G414" s="58" t="s">
        <v>1443</v>
      </c>
      <c r="H414" s="58" t="s">
        <v>1456</v>
      </c>
      <c r="I414" s="60">
        <v>256</v>
      </c>
      <c r="J414" s="58" t="s">
        <v>94</v>
      </c>
      <c r="K414" s="58" t="s">
        <v>29</v>
      </c>
      <c r="L414" s="58" t="s">
        <v>94</v>
      </c>
      <c r="M414" s="58" t="s">
        <v>29</v>
      </c>
      <c r="N414" s="61" t="s">
        <v>2390</v>
      </c>
      <c r="O414" s="58" t="s">
        <v>2391</v>
      </c>
      <c r="P414" s="58" t="s">
        <v>1459</v>
      </c>
      <c r="Q414" s="63" t="str">
        <f>IF(V414&lt;&gt;"","Completed","")</f>
        <v>Completed</v>
      </c>
      <c r="R414" s="64">
        <v>42633</v>
      </c>
      <c r="S414" s="64" t="s">
        <v>222</v>
      </c>
      <c r="T414" s="65">
        <v>9</v>
      </c>
      <c r="U414" s="65">
        <v>18</v>
      </c>
      <c r="V414" s="65">
        <v>18</v>
      </c>
      <c r="W414" s="65"/>
      <c r="X414" s="65"/>
      <c r="Y414" s="74" t="s">
        <v>44</v>
      </c>
      <c r="Z414" s="56" t="s">
        <v>1533</v>
      </c>
      <c r="AA414" s="252"/>
      <c r="AB414" s="242" t="s">
        <v>94</v>
      </c>
      <c r="AC414" s="65"/>
      <c r="AD414" s="345"/>
    </row>
    <row r="415" spans="1:30">
      <c r="A415" s="75" t="s">
        <v>870</v>
      </c>
      <c r="B415" s="59"/>
      <c r="C415" s="57">
        <v>42744</v>
      </c>
      <c r="E415" s="65" t="s">
        <v>29</v>
      </c>
      <c r="F415" s="65" t="s">
        <v>29</v>
      </c>
      <c r="G415" s="58" t="s">
        <v>1443</v>
      </c>
      <c r="H415" s="58" t="s">
        <v>1444</v>
      </c>
      <c r="I415" s="60">
        <v>250</v>
      </c>
      <c r="J415" s="58" t="s">
        <v>94</v>
      </c>
      <c r="K415" s="58" t="s">
        <v>29</v>
      </c>
      <c r="L415" s="58" t="s">
        <v>29</v>
      </c>
      <c r="M415" s="58" t="s">
        <v>29</v>
      </c>
      <c r="N415" s="61" t="s">
        <v>2392</v>
      </c>
      <c r="O415" s="58" t="s">
        <v>2393</v>
      </c>
      <c r="P415" s="58" t="s">
        <v>1447</v>
      </c>
      <c r="Q415" s="63" t="str">
        <f>IF(V415&lt;&gt;"","Completed","")</f>
        <v>Completed</v>
      </c>
      <c r="R415" s="64">
        <v>42675</v>
      </c>
      <c r="S415" s="64" t="s">
        <v>57</v>
      </c>
      <c r="T415" s="65">
        <v>56</v>
      </c>
      <c r="U415" s="65">
        <v>89</v>
      </c>
      <c r="V415" s="65">
        <v>89</v>
      </c>
      <c r="Y415" s="74" t="s">
        <v>44</v>
      </c>
      <c r="Z415" s="56" t="s">
        <v>1754</v>
      </c>
      <c r="AA415" s="249"/>
      <c r="AB415" s="65" t="s">
        <v>94</v>
      </c>
      <c r="AC415" s="65" t="s">
        <v>29</v>
      </c>
    </row>
    <row r="416" spans="1:30">
      <c r="A416" s="75" t="s">
        <v>1052</v>
      </c>
      <c r="B416" s="59"/>
      <c r="C416" s="57">
        <v>42768</v>
      </c>
      <c r="E416" s="65" t="s">
        <v>29</v>
      </c>
      <c r="F416" s="65" t="s">
        <v>29</v>
      </c>
      <c r="G416" s="58" t="s">
        <v>1443</v>
      </c>
      <c r="H416" s="58" t="s">
        <v>1449</v>
      </c>
      <c r="I416" s="60">
        <v>259</v>
      </c>
      <c r="J416" s="58" t="s">
        <v>94</v>
      </c>
      <c r="K416" s="58" t="s">
        <v>29</v>
      </c>
      <c r="L416" s="58" t="s">
        <v>29</v>
      </c>
      <c r="M416" s="58" t="s">
        <v>29</v>
      </c>
      <c r="N416" s="61" t="s">
        <v>2394</v>
      </c>
      <c r="O416" s="58" t="s">
        <v>2395</v>
      </c>
      <c r="P416" s="58" t="s">
        <v>1447</v>
      </c>
      <c r="Q416" s="63" t="str">
        <f>IF(V416&lt;&gt;"","Completed","")</f>
        <v>Completed</v>
      </c>
      <c r="R416" s="64">
        <v>42742</v>
      </c>
      <c r="S416" s="64" t="s">
        <v>149</v>
      </c>
      <c r="T416" s="65">
        <v>72</v>
      </c>
      <c r="U416" s="65">
        <v>144</v>
      </c>
      <c r="V416" s="65">
        <v>144</v>
      </c>
      <c r="Y416" s="74" t="s">
        <v>44</v>
      </c>
      <c r="Z416" s="56" t="s">
        <v>1912</v>
      </c>
      <c r="AA416" s="252"/>
      <c r="AB416" s="242" t="s">
        <v>94</v>
      </c>
    </row>
    <row r="417" spans="1:30">
      <c r="A417" s="331" t="s">
        <v>1206</v>
      </c>
      <c r="B417" s="59"/>
      <c r="C417" s="57">
        <v>42726</v>
      </c>
      <c r="E417" s="65" t="s">
        <v>29</v>
      </c>
      <c r="F417" s="65" t="s">
        <v>29</v>
      </c>
      <c r="G417" s="58" t="s">
        <v>1443</v>
      </c>
      <c r="H417" s="58" t="s">
        <v>1444</v>
      </c>
      <c r="I417" s="60">
        <v>213</v>
      </c>
      <c r="J417" s="58" t="s">
        <v>94</v>
      </c>
      <c r="K417" s="58" t="s">
        <v>29</v>
      </c>
      <c r="L417" s="58" t="s">
        <v>94</v>
      </c>
      <c r="M417" s="58" t="s">
        <v>29</v>
      </c>
      <c r="N417" s="61" t="s">
        <v>2396</v>
      </c>
      <c r="O417" s="58" t="s">
        <v>2397</v>
      </c>
      <c r="P417" s="58" t="s">
        <v>1459</v>
      </c>
      <c r="Q417" s="63" t="str">
        <f>IF(V417&lt;&gt;"","Completed","")</f>
        <v>Completed</v>
      </c>
      <c r="R417" s="64">
        <v>42665</v>
      </c>
      <c r="S417" s="64" t="s">
        <v>114</v>
      </c>
      <c r="T417" s="65">
        <v>10</v>
      </c>
      <c r="U417" s="65">
        <v>20</v>
      </c>
      <c r="V417" s="65">
        <v>20</v>
      </c>
      <c r="Y417" s="74" t="s">
        <v>44</v>
      </c>
      <c r="Z417" s="56" t="s">
        <v>1632</v>
      </c>
      <c r="AA417" s="252"/>
      <c r="AB417" s="325" t="s">
        <v>94</v>
      </c>
      <c r="AC417" s="325" t="s">
        <v>29</v>
      </c>
    </row>
    <row r="418" spans="1:30">
      <c r="A418" s="75" t="s">
        <v>331</v>
      </c>
      <c r="B418" s="59"/>
      <c r="C418" s="57">
        <v>42720</v>
      </c>
      <c r="D418" s="65">
        <v>1061000</v>
      </c>
      <c r="E418" s="65" t="s">
        <v>29</v>
      </c>
      <c r="F418" s="65" t="s">
        <v>94</v>
      </c>
      <c r="G418" s="58" t="s">
        <v>1443</v>
      </c>
      <c r="H418" s="58" t="s">
        <v>1456</v>
      </c>
      <c r="I418" s="60">
        <v>250</v>
      </c>
      <c r="J418" s="58" t="s">
        <v>94</v>
      </c>
      <c r="K418" s="58" t="s">
        <v>29</v>
      </c>
      <c r="L418" s="58" t="s">
        <v>94</v>
      </c>
      <c r="M418" s="58" t="s">
        <v>94</v>
      </c>
      <c r="N418" s="61" t="s">
        <v>2398</v>
      </c>
      <c r="O418" s="58" t="s">
        <v>2399</v>
      </c>
      <c r="P418" s="58" t="s">
        <v>1459</v>
      </c>
      <c r="Q418" s="63" t="str">
        <f>IF(V418&lt;&gt;"","Completed","")</f>
        <v>Completed</v>
      </c>
      <c r="R418" s="64">
        <v>42649</v>
      </c>
      <c r="S418" s="64" t="s">
        <v>104</v>
      </c>
      <c r="T418" s="65">
        <v>9</v>
      </c>
      <c r="V418" s="256">
        <v>16</v>
      </c>
      <c r="Y418" s="74" t="s">
        <v>44</v>
      </c>
      <c r="Z418" s="56" t="s">
        <v>1481</v>
      </c>
      <c r="AA418" s="249"/>
      <c r="AB418" s="151" t="s">
        <v>94</v>
      </c>
      <c r="AC418" s="324" t="s">
        <v>29</v>
      </c>
      <c r="AD418" s="349"/>
    </row>
    <row r="419" spans="1:30">
      <c r="A419" s="75" t="s">
        <v>664</v>
      </c>
      <c r="B419" s="59"/>
      <c r="C419" s="57"/>
      <c r="E419" s="65" t="s">
        <v>29</v>
      </c>
      <c r="F419" s="65" t="s">
        <v>29</v>
      </c>
      <c r="G419" s="58" t="s">
        <v>1443</v>
      </c>
      <c r="H419" s="58" t="s">
        <v>1456</v>
      </c>
      <c r="I419" s="60">
        <v>0</v>
      </c>
      <c r="J419" s="58" t="s">
        <v>94</v>
      </c>
      <c r="K419" s="58" t="s">
        <v>29</v>
      </c>
      <c r="L419" s="58" t="s">
        <v>94</v>
      </c>
      <c r="M419" s="58" t="s">
        <v>29</v>
      </c>
      <c r="N419" s="61" t="s">
        <v>2400</v>
      </c>
      <c r="O419" s="58" t="s">
        <v>2401</v>
      </c>
      <c r="P419" s="58" t="s">
        <v>1447</v>
      </c>
      <c r="Q419" s="63" t="str">
        <f>IF(V419&lt;&gt;"","Completed","")</f>
        <v>Completed</v>
      </c>
      <c r="R419" s="64">
        <v>42634</v>
      </c>
      <c r="S419" s="64" t="s">
        <v>222</v>
      </c>
      <c r="T419" s="65">
        <v>3</v>
      </c>
      <c r="U419" s="65">
        <v>6</v>
      </c>
      <c r="V419" s="65">
        <v>6</v>
      </c>
      <c r="Y419" s="74" t="s">
        <v>44</v>
      </c>
      <c r="Z419" s="56" t="s">
        <v>1494</v>
      </c>
      <c r="AA419" s="249"/>
      <c r="AB419" s="242" t="s">
        <v>94</v>
      </c>
    </row>
    <row r="420" spans="1:30">
      <c r="A420" s="75" t="s">
        <v>664</v>
      </c>
      <c r="B420" s="59"/>
      <c r="C420" s="57"/>
      <c r="E420" s="65" t="s">
        <v>29</v>
      </c>
      <c r="F420" s="65" t="s">
        <v>29</v>
      </c>
      <c r="G420" s="58" t="s">
        <v>1443</v>
      </c>
      <c r="H420" s="58" t="s">
        <v>1456</v>
      </c>
      <c r="I420" s="60">
        <v>0</v>
      </c>
      <c r="J420" s="58" t="s">
        <v>94</v>
      </c>
      <c r="K420" s="58" t="s">
        <v>29</v>
      </c>
      <c r="L420" s="58" t="s">
        <v>94</v>
      </c>
      <c r="M420" s="58" t="s">
        <v>29</v>
      </c>
      <c r="N420" s="61" t="s">
        <v>2402</v>
      </c>
      <c r="O420" s="58" t="s">
        <v>2403</v>
      </c>
      <c r="P420" s="58" t="s">
        <v>1447</v>
      </c>
      <c r="Q420" s="63" t="str">
        <f>IF(V420&lt;&gt;"","Completed","")</f>
        <v>Completed</v>
      </c>
      <c r="R420" s="64">
        <v>42635</v>
      </c>
      <c r="S420" s="64" t="s">
        <v>222</v>
      </c>
      <c r="T420" s="65">
        <v>8</v>
      </c>
      <c r="U420" s="65">
        <v>16</v>
      </c>
      <c r="V420" s="65">
        <v>16</v>
      </c>
      <c r="Y420" s="74" t="s">
        <v>44</v>
      </c>
      <c r="Z420" s="56" t="s">
        <v>1494</v>
      </c>
      <c r="AA420" s="249"/>
      <c r="AB420" s="242" t="s">
        <v>94</v>
      </c>
    </row>
    <row r="421" spans="1:30">
      <c r="A421" s="75" t="s">
        <v>624</v>
      </c>
      <c r="B421" s="59"/>
      <c r="C421" s="57">
        <v>42677</v>
      </c>
      <c r="E421" s="65" t="s">
        <v>29</v>
      </c>
      <c r="F421" s="65" t="s">
        <v>29</v>
      </c>
      <c r="G421" s="58"/>
      <c r="H421" s="58"/>
      <c r="I421" s="60"/>
      <c r="J421" s="58"/>
      <c r="K421" s="58"/>
      <c r="L421" s="58"/>
      <c r="M421" s="58"/>
      <c r="N421" s="61" t="s">
        <v>2404</v>
      </c>
      <c r="O421" s="58" t="s">
        <v>2405</v>
      </c>
      <c r="P421" s="58" t="s">
        <v>1447</v>
      </c>
      <c r="Q421" s="63" t="str">
        <f>IF(V421&lt;&gt;"","Completed","")</f>
        <v>Completed</v>
      </c>
      <c r="R421" s="64">
        <v>42658</v>
      </c>
      <c r="S421" s="64" t="s">
        <v>80</v>
      </c>
      <c r="T421" s="150">
        <v>70</v>
      </c>
      <c r="U421" s="150">
        <v>94</v>
      </c>
      <c r="V421" s="150">
        <v>94</v>
      </c>
      <c r="W421" s="150"/>
      <c r="X421" s="150"/>
      <c r="Y421" s="74" t="s">
        <v>44</v>
      </c>
      <c r="Z421" s="56" t="s">
        <v>1596</v>
      </c>
      <c r="AA421" s="249"/>
      <c r="AB421" s="242" t="s">
        <v>94</v>
      </c>
      <c r="AC421" s="242" t="s">
        <v>29</v>
      </c>
    </row>
    <row r="422" spans="1:30">
      <c r="A422" s="75" t="s">
        <v>672</v>
      </c>
      <c r="B422" s="59"/>
      <c r="C422" s="57">
        <v>42710</v>
      </c>
      <c r="E422" s="65" t="s">
        <v>29</v>
      </c>
      <c r="F422" s="65" t="s">
        <v>29</v>
      </c>
      <c r="G422" s="58" t="s">
        <v>1443</v>
      </c>
      <c r="H422" s="58" t="s">
        <v>1456</v>
      </c>
      <c r="I422" s="60">
        <v>0</v>
      </c>
      <c r="J422" s="58" t="s">
        <v>29</v>
      </c>
      <c r="K422" s="58" t="s">
        <v>29</v>
      </c>
      <c r="L422" s="58" t="s">
        <v>94</v>
      </c>
      <c r="M422" s="58" t="s">
        <v>29</v>
      </c>
      <c r="N422" s="61" t="s">
        <v>2406</v>
      </c>
      <c r="O422" s="58" t="s">
        <v>2407</v>
      </c>
      <c r="P422" s="58" t="s">
        <v>1459</v>
      </c>
      <c r="Q422" s="63" t="str">
        <f>IF(V422&lt;&gt;"","Completed","")</f>
        <v>Completed</v>
      </c>
      <c r="R422" s="64">
        <v>42650</v>
      </c>
      <c r="S422" s="64" t="s">
        <v>114</v>
      </c>
      <c r="T422" s="65">
        <v>35</v>
      </c>
      <c r="U422" s="65">
        <v>51</v>
      </c>
      <c r="V422" s="65">
        <v>51</v>
      </c>
      <c r="Y422" s="74" t="s">
        <v>44</v>
      </c>
      <c r="Z422" s="56" t="s">
        <v>1627</v>
      </c>
      <c r="AA422" s="252"/>
      <c r="AB422" s="65" t="s">
        <v>94</v>
      </c>
      <c r="AC422" s="65" t="s">
        <v>94</v>
      </c>
    </row>
    <row r="423" spans="1:30">
      <c r="A423" s="75" t="s">
        <v>672</v>
      </c>
      <c r="B423" s="59"/>
      <c r="C423" s="57">
        <v>42671</v>
      </c>
      <c r="E423" s="65" t="s">
        <v>29</v>
      </c>
      <c r="F423" s="65" t="s">
        <v>29</v>
      </c>
      <c r="G423" s="58" t="s">
        <v>1443</v>
      </c>
      <c r="H423" s="58" t="s">
        <v>1456</v>
      </c>
      <c r="I423" s="60">
        <v>399</v>
      </c>
      <c r="J423" s="58" t="s">
        <v>94</v>
      </c>
      <c r="K423" s="58" t="s">
        <v>29</v>
      </c>
      <c r="L423" s="58" t="s">
        <v>94</v>
      </c>
      <c r="M423" s="58" t="s">
        <v>29</v>
      </c>
      <c r="N423" s="61" t="s">
        <v>2408</v>
      </c>
      <c r="O423" s="58" t="s">
        <v>2409</v>
      </c>
      <c r="P423" s="58" t="s">
        <v>1459</v>
      </c>
      <c r="Q423" s="63" t="str">
        <f>IF(V423&lt;&gt;"","Completed","")</f>
        <v>Completed</v>
      </c>
      <c r="R423" s="64">
        <v>42650</v>
      </c>
      <c r="S423" s="64" t="s">
        <v>114</v>
      </c>
      <c r="T423" s="65">
        <v>17</v>
      </c>
      <c r="U423" s="65">
        <v>24</v>
      </c>
      <c r="V423" s="65">
        <v>24</v>
      </c>
      <c r="Y423" s="74" t="s">
        <v>44</v>
      </c>
      <c r="Z423" s="56" t="s">
        <v>1627</v>
      </c>
      <c r="AA423" s="252"/>
      <c r="AB423" s="65" t="s">
        <v>94</v>
      </c>
      <c r="AC423" s="242" t="s">
        <v>29</v>
      </c>
    </row>
    <row r="424" spans="1:30">
      <c r="A424" s="75" t="s">
        <v>672</v>
      </c>
      <c r="B424" s="59"/>
      <c r="C424" s="57">
        <v>42710</v>
      </c>
      <c r="E424" s="65" t="s">
        <v>29</v>
      </c>
      <c r="F424" s="65" t="s">
        <v>29</v>
      </c>
      <c r="G424" s="58" t="s">
        <v>1443</v>
      </c>
      <c r="H424" s="58" t="s">
        <v>1456</v>
      </c>
      <c r="I424" s="60">
        <v>0</v>
      </c>
      <c r="J424" s="58" t="s">
        <v>94</v>
      </c>
      <c r="K424" s="58" t="s">
        <v>29</v>
      </c>
      <c r="L424" s="58" t="s">
        <v>94</v>
      </c>
      <c r="M424" s="58" t="s">
        <v>29</v>
      </c>
      <c r="N424" s="61" t="s">
        <v>2410</v>
      </c>
      <c r="O424" s="58" t="s">
        <v>2411</v>
      </c>
      <c r="P424" s="58" t="s">
        <v>1459</v>
      </c>
      <c r="Q424" s="63" t="str">
        <f>IF(V424&lt;&gt;"","Completed","")</f>
        <v>Completed</v>
      </c>
      <c r="R424" s="64">
        <v>42650</v>
      </c>
      <c r="S424" s="64" t="s">
        <v>114</v>
      </c>
      <c r="T424" s="65">
        <v>17</v>
      </c>
      <c r="U424" s="65">
        <v>33</v>
      </c>
      <c r="V424" s="65">
        <v>33</v>
      </c>
      <c r="Y424" s="74" t="s">
        <v>44</v>
      </c>
      <c r="Z424" s="56" t="s">
        <v>1627</v>
      </c>
      <c r="AA424" s="252"/>
      <c r="AB424" s="65" t="s">
        <v>94</v>
      </c>
      <c r="AC424" s="65" t="s">
        <v>29</v>
      </c>
      <c r="AD424" s="56" t="s">
        <v>2412</v>
      </c>
    </row>
    <row r="425" spans="1:30">
      <c r="A425" s="75" t="s">
        <v>672</v>
      </c>
      <c r="B425" s="59"/>
      <c r="C425" s="57">
        <v>42710</v>
      </c>
      <c r="E425" s="65" t="s">
        <v>29</v>
      </c>
      <c r="F425" s="65" t="s">
        <v>29</v>
      </c>
      <c r="G425" s="58" t="s">
        <v>1443</v>
      </c>
      <c r="H425" s="58" t="s">
        <v>1456</v>
      </c>
      <c r="I425" s="60">
        <v>1</v>
      </c>
      <c r="J425" s="58" t="s">
        <v>94</v>
      </c>
      <c r="K425" s="58" t="s">
        <v>29</v>
      </c>
      <c r="L425" s="58" t="s">
        <v>94</v>
      </c>
      <c r="M425" s="58" t="s">
        <v>29</v>
      </c>
      <c r="N425" s="61" t="s">
        <v>2413</v>
      </c>
      <c r="O425" s="58" t="s">
        <v>2414</v>
      </c>
      <c r="P425" s="58" t="s">
        <v>1459</v>
      </c>
      <c r="Q425" s="63" t="str">
        <f>IF(V425&lt;&gt;"","Completed","")</f>
        <v>Completed</v>
      </c>
      <c r="R425" s="64">
        <v>42650</v>
      </c>
      <c r="S425" s="64" t="s">
        <v>114</v>
      </c>
      <c r="T425" s="65">
        <v>61</v>
      </c>
      <c r="U425" s="65">
        <v>95</v>
      </c>
      <c r="V425" s="65">
        <v>95</v>
      </c>
      <c r="Y425" s="74" t="s">
        <v>44</v>
      </c>
      <c r="Z425" s="56" t="s">
        <v>1627</v>
      </c>
      <c r="AA425" s="252">
        <f>SUM(V422:V425)</f>
        <v>203</v>
      </c>
      <c r="AB425" s="65" t="s">
        <v>94</v>
      </c>
      <c r="AC425" s="65" t="s">
        <v>94</v>
      </c>
    </row>
    <row r="426" spans="1:30">
      <c r="A426" s="75" t="s">
        <v>487</v>
      </c>
      <c r="B426" s="59"/>
      <c r="C426" s="57">
        <v>42726</v>
      </c>
      <c r="E426" s="65" t="s">
        <v>29</v>
      </c>
      <c r="F426" s="65" t="s">
        <v>29</v>
      </c>
      <c r="G426" s="58" t="s">
        <v>1443</v>
      </c>
      <c r="H426" s="58" t="s">
        <v>1456</v>
      </c>
      <c r="I426" s="60">
        <v>478</v>
      </c>
      <c r="J426" s="58" t="s">
        <v>29</v>
      </c>
      <c r="K426" s="58" t="s">
        <v>29</v>
      </c>
      <c r="L426" s="58" t="s">
        <v>94</v>
      </c>
      <c r="M426" s="58" t="s">
        <v>29</v>
      </c>
      <c r="N426" s="61" t="s">
        <v>2415</v>
      </c>
      <c r="O426" s="58" t="s">
        <v>2416</v>
      </c>
      <c r="P426" s="58" t="s">
        <v>1447</v>
      </c>
      <c r="Q426" s="63" t="str">
        <f>IF(V426&lt;&gt;"","Completed","")</f>
        <v>Completed</v>
      </c>
      <c r="R426" s="64">
        <v>42672</v>
      </c>
      <c r="S426" s="64" t="s">
        <v>114</v>
      </c>
      <c r="T426" s="150">
        <v>86</v>
      </c>
      <c r="U426" s="65">
        <v>132</v>
      </c>
      <c r="V426" s="65">
        <v>132</v>
      </c>
      <c r="Y426" s="74" t="s">
        <v>44</v>
      </c>
      <c r="Z426" s="56" t="s">
        <v>1656</v>
      </c>
      <c r="AA426" s="252"/>
      <c r="AB426" s="325" t="s">
        <v>94</v>
      </c>
      <c r="AC426" s="325" t="s">
        <v>94</v>
      </c>
    </row>
    <row r="427" spans="1:30">
      <c r="A427" s="332" t="s">
        <v>1022</v>
      </c>
      <c r="B427" s="59"/>
      <c r="C427" s="57">
        <v>42727</v>
      </c>
      <c r="E427" s="65" t="s">
        <v>29</v>
      </c>
      <c r="F427" s="65" t="s">
        <v>29</v>
      </c>
      <c r="G427" s="58" t="s">
        <v>1443</v>
      </c>
      <c r="H427" s="58" t="s">
        <v>1456</v>
      </c>
      <c r="I427" s="60">
        <v>0</v>
      </c>
      <c r="J427" s="58" t="s">
        <v>94</v>
      </c>
      <c r="K427" s="58" t="s">
        <v>29</v>
      </c>
      <c r="L427" s="58" t="s">
        <v>94</v>
      </c>
      <c r="M427" s="58" t="s">
        <v>29</v>
      </c>
      <c r="N427" s="61" t="s">
        <v>2417</v>
      </c>
      <c r="O427" s="58" t="s">
        <v>2418</v>
      </c>
      <c r="P427" s="58" t="s">
        <v>1447</v>
      </c>
      <c r="Q427" s="63" t="str">
        <f>IF(V427&lt;&gt;"","Completed","")</f>
        <v>Completed</v>
      </c>
      <c r="R427" s="319">
        <v>42706</v>
      </c>
      <c r="S427" s="64" t="s">
        <v>80</v>
      </c>
      <c r="T427" s="242">
        <v>4</v>
      </c>
      <c r="U427" s="242">
        <v>8</v>
      </c>
      <c r="V427" s="242">
        <v>8</v>
      </c>
      <c r="W427" s="242"/>
      <c r="X427" s="242"/>
      <c r="Y427" s="74" t="s">
        <v>44</v>
      </c>
      <c r="Z427" s="345" t="s">
        <v>1605</v>
      </c>
      <c r="AA427" s="249"/>
      <c r="AB427" s="65" t="s">
        <v>94</v>
      </c>
      <c r="AC427" s="65" t="s">
        <v>29</v>
      </c>
    </row>
    <row r="428" spans="1:30">
      <c r="A428" s="75" t="s">
        <v>1022</v>
      </c>
      <c r="B428" s="59"/>
      <c r="C428" s="57">
        <v>42717</v>
      </c>
      <c r="E428" s="65" t="s">
        <v>29</v>
      </c>
      <c r="F428" s="65" t="s">
        <v>29</v>
      </c>
      <c r="G428" s="58" t="s">
        <v>1443</v>
      </c>
      <c r="H428" s="58" t="s">
        <v>1456</v>
      </c>
      <c r="I428" s="60">
        <v>235</v>
      </c>
      <c r="J428" s="58" t="s">
        <v>94</v>
      </c>
      <c r="K428" s="58" t="s">
        <v>29</v>
      </c>
      <c r="L428" s="58" t="s">
        <v>94</v>
      </c>
      <c r="M428" s="58" t="s">
        <v>29</v>
      </c>
      <c r="N428" s="61" t="s">
        <v>2419</v>
      </c>
      <c r="O428" s="58" t="s">
        <v>2420</v>
      </c>
      <c r="P428" s="58" t="s">
        <v>1447</v>
      </c>
      <c r="Q428" s="63" t="str">
        <f>IF(V428&lt;&gt;"","Completed","")</f>
        <v>Completed</v>
      </c>
      <c r="R428" s="64">
        <v>42682</v>
      </c>
      <c r="S428" s="64" t="s">
        <v>80</v>
      </c>
      <c r="T428" s="65">
        <v>22</v>
      </c>
      <c r="U428" s="65">
        <v>44</v>
      </c>
      <c r="V428" s="65">
        <v>44</v>
      </c>
      <c r="Y428" s="74" t="s">
        <v>44</v>
      </c>
      <c r="Z428" s="56" t="s">
        <v>1602</v>
      </c>
      <c r="AA428" s="249"/>
      <c r="AB428" s="65" t="s">
        <v>94</v>
      </c>
      <c r="AC428" s="65" t="s">
        <v>29</v>
      </c>
    </row>
    <row r="429" spans="1:30">
      <c r="A429" s="75" t="s">
        <v>655</v>
      </c>
      <c r="B429" s="59"/>
      <c r="C429" s="57">
        <v>42716</v>
      </c>
      <c r="E429" s="65" t="s">
        <v>29</v>
      </c>
      <c r="F429" s="65" t="s">
        <v>29</v>
      </c>
      <c r="G429" s="58" t="s">
        <v>1443</v>
      </c>
      <c r="H429" s="58" t="s">
        <v>1444</v>
      </c>
      <c r="I429" s="60">
        <v>324</v>
      </c>
      <c r="J429" s="58" t="s">
        <v>94</v>
      </c>
      <c r="K429" s="58" t="s">
        <v>29</v>
      </c>
      <c r="L429" s="58" t="s">
        <v>29</v>
      </c>
      <c r="M429" s="58" t="s">
        <v>29</v>
      </c>
      <c r="N429" s="61" t="s">
        <v>2421</v>
      </c>
      <c r="O429" s="58" t="s">
        <v>2422</v>
      </c>
      <c r="P429" s="58" t="s">
        <v>1447</v>
      </c>
      <c r="Q429" s="63" t="str">
        <f>IF(V429&lt;&gt;"","Completed","")</f>
        <v>Completed</v>
      </c>
      <c r="R429" s="64">
        <v>42647</v>
      </c>
      <c r="S429" s="64" t="s">
        <v>149</v>
      </c>
      <c r="T429" s="65">
        <v>108</v>
      </c>
      <c r="U429" s="65">
        <v>174</v>
      </c>
      <c r="V429" s="65">
        <v>174</v>
      </c>
      <c r="Y429" s="74" t="s">
        <v>44</v>
      </c>
      <c r="Z429" s="56" t="s">
        <v>1777</v>
      </c>
      <c r="AA429" s="249"/>
      <c r="AB429" s="151" t="s">
        <v>94</v>
      </c>
      <c r="AC429" s="151" t="s">
        <v>29</v>
      </c>
    </row>
    <row r="430" spans="1:30">
      <c r="A430" s="75" t="s">
        <v>703</v>
      </c>
      <c r="B430" s="59"/>
      <c r="C430" s="57">
        <v>42677</v>
      </c>
      <c r="E430" s="65" t="s">
        <v>29</v>
      </c>
      <c r="F430" s="65" t="s">
        <v>29</v>
      </c>
      <c r="G430" s="58" t="s">
        <v>1443</v>
      </c>
      <c r="H430" s="58"/>
      <c r="I430" s="60"/>
      <c r="J430" s="58"/>
      <c r="K430" s="58"/>
      <c r="L430" s="58"/>
      <c r="M430" s="58"/>
      <c r="N430" s="61" t="s">
        <v>2423</v>
      </c>
      <c r="O430" s="58" t="s">
        <v>2424</v>
      </c>
      <c r="P430" s="58"/>
      <c r="Q430" s="63" t="str">
        <f>IF(V430&lt;&gt;"","Completed","")</f>
        <v>Completed</v>
      </c>
      <c r="R430" s="64">
        <v>42651</v>
      </c>
      <c r="S430" s="64" t="s">
        <v>222</v>
      </c>
      <c r="T430" s="65">
        <v>95</v>
      </c>
      <c r="U430" s="65">
        <v>154</v>
      </c>
      <c r="V430" s="65">
        <v>154</v>
      </c>
      <c r="Y430" s="74" t="s">
        <v>44</v>
      </c>
      <c r="Z430" s="56" t="s">
        <v>1596</v>
      </c>
      <c r="AA430" s="249"/>
      <c r="AB430" s="242" t="s">
        <v>94</v>
      </c>
    </row>
    <row r="431" spans="1:30">
      <c r="A431" s="332" t="s">
        <v>679</v>
      </c>
      <c r="B431" s="59"/>
      <c r="C431" s="57">
        <v>42768</v>
      </c>
      <c r="E431" s="65" t="s">
        <v>29</v>
      </c>
      <c r="F431" s="65" t="s">
        <v>94</v>
      </c>
      <c r="G431" s="58" t="s">
        <v>1482</v>
      </c>
      <c r="H431" s="58" t="s">
        <v>1456</v>
      </c>
      <c r="I431" s="60">
        <v>0</v>
      </c>
      <c r="J431" s="58" t="s">
        <v>94</v>
      </c>
      <c r="K431" s="58" t="s">
        <v>29</v>
      </c>
      <c r="L431" s="58" t="s">
        <v>94</v>
      </c>
      <c r="M431" s="58" t="s">
        <v>94</v>
      </c>
      <c r="N431" s="251" t="s">
        <v>2425</v>
      </c>
      <c r="O431" s="58" t="s">
        <v>2426</v>
      </c>
      <c r="P431" s="58" t="s">
        <v>1447</v>
      </c>
      <c r="Q431" s="63" t="str">
        <f>IF(V431&lt;&gt;"","Completed","")</f>
        <v>Completed</v>
      </c>
      <c r="R431" s="64">
        <v>42755</v>
      </c>
      <c r="S431" s="64" t="s">
        <v>104</v>
      </c>
      <c r="T431" s="65">
        <v>3</v>
      </c>
      <c r="V431" s="256">
        <v>5</v>
      </c>
      <c r="Y431" s="74" t="s">
        <v>44</v>
      </c>
      <c r="Z431" s="345" t="s">
        <v>1940</v>
      </c>
      <c r="AA431" s="249"/>
      <c r="AB431" s="65" t="s">
        <v>94</v>
      </c>
      <c r="AC431" s="65" t="s">
        <v>29</v>
      </c>
    </row>
    <row r="432" spans="1:30">
      <c r="A432" s="75" t="s">
        <v>1022</v>
      </c>
      <c r="B432" s="59"/>
      <c r="C432" s="57">
        <v>42740</v>
      </c>
      <c r="E432" s="65" t="s">
        <v>29</v>
      </c>
      <c r="F432" s="65" t="s">
        <v>29</v>
      </c>
      <c r="G432" s="58" t="s">
        <v>1443</v>
      </c>
      <c r="H432" s="58" t="s">
        <v>1456</v>
      </c>
      <c r="I432" s="60">
        <v>404</v>
      </c>
      <c r="J432" s="58" t="s">
        <v>94</v>
      </c>
      <c r="K432" s="58" t="s">
        <v>29</v>
      </c>
      <c r="L432" s="58" t="s">
        <v>94</v>
      </c>
      <c r="M432" s="58" t="s">
        <v>29</v>
      </c>
      <c r="N432" s="61" t="s">
        <v>2427</v>
      </c>
      <c r="O432" s="58" t="s">
        <v>2428</v>
      </c>
      <c r="P432" s="58" t="s">
        <v>1447</v>
      </c>
      <c r="Q432" s="63" t="str">
        <f>IF(V432&lt;&gt;"","Completed","")</f>
        <v>Completed</v>
      </c>
      <c r="R432" s="64">
        <v>42679</v>
      </c>
      <c r="S432" s="64" t="s">
        <v>80</v>
      </c>
      <c r="T432" s="65">
        <v>29</v>
      </c>
      <c r="U432" s="65">
        <v>55</v>
      </c>
      <c r="V432" s="65">
        <v>55</v>
      </c>
      <c r="Y432" s="74" t="s">
        <v>44</v>
      </c>
      <c r="Z432" s="56" t="s">
        <v>1491</v>
      </c>
      <c r="AA432" s="249"/>
      <c r="AB432" s="65" t="s">
        <v>94</v>
      </c>
      <c r="AC432" s="65" t="s">
        <v>29</v>
      </c>
    </row>
    <row r="433" spans="1:30">
      <c r="A433" s="75" t="s">
        <v>756</v>
      </c>
      <c r="B433" s="59"/>
      <c r="C433" s="57">
        <v>42780</v>
      </c>
      <c r="E433" s="65" t="s">
        <v>29</v>
      </c>
      <c r="F433" s="65" t="s">
        <v>94</v>
      </c>
      <c r="G433" s="58" t="s">
        <v>1443</v>
      </c>
      <c r="H433" s="58" t="s">
        <v>1456</v>
      </c>
      <c r="I433" s="60">
        <v>320</v>
      </c>
      <c r="J433" s="58" t="s">
        <v>94</v>
      </c>
      <c r="K433" s="58" t="s">
        <v>29</v>
      </c>
      <c r="L433" s="58" t="s">
        <v>94</v>
      </c>
      <c r="M433" s="58" t="s">
        <v>94</v>
      </c>
      <c r="N433" s="61" t="s">
        <v>2429</v>
      </c>
      <c r="O433" s="58" t="s">
        <v>2428</v>
      </c>
      <c r="P433" s="58" t="s">
        <v>1459</v>
      </c>
      <c r="Q433" s="63" t="str">
        <f>IF(V433&lt;&gt;"","Completed","")</f>
        <v>Completed</v>
      </c>
      <c r="R433" s="64">
        <v>42745</v>
      </c>
      <c r="S433" s="64" t="s">
        <v>104</v>
      </c>
      <c r="T433" s="65">
        <v>57</v>
      </c>
      <c r="V433" s="256">
        <v>88</v>
      </c>
      <c r="Y433" s="74" t="s">
        <v>44</v>
      </c>
      <c r="Z433" s="56" t="s">
        <v>2430</v>
      </c>
      <c r="AA433" s="252"/>
      <c r="AB433" s="74" t="s">
        <v>94</v>
      </c>
      <c r="AC433" s="65" t="s">
        <v>94</v>
      </c>
    </row>
    <row r="434" spans="1:30">
      <c r="A434" s="331" t="s">
        <v>1206</v>
      </c>
      <c r="B434" s="59"/>
      <c r="C434" s="57">
        <v>42726</v>
      </c>
      <c r="E434" s="65" t="s">
        <v>29</v>
      </c>
      <c r="F434" s="65" t="s">
        <v>29</v>
      </c>
      <c r="G434" s="58" t="s">
        <v>1443</v>
      </c>
      <c r="H434" s="58" t="s">
        <v>1444</v>
      </c>
      <c r="I434" s="60">
        <v>177</v>
      </c>
      <c r="J434" s="58" t="s">
        <v>94</v>
      </c>
      <c r="K434" s="58" t="s">
        <v>29</v>
      </c>
      <c r="L434" s="58" t="s">
        <v>94</v>
      </c>
      <c r="M434" s="58" t="s">
        <v>29</v>
      </c>
      <c r="N434" s="61" t="s">
        <v>2431</v>
      </c>
      <c r="O434" s="58" t="s">
        <v>2432</v>
      </c>
      <c r="P434" s="58" t="s">
        <v>1459</v>
      </c>
      <c r="Q434" s="63" t="str">
        <f>IF(V434&lt;&gt;"","Completed","")</f>
        <v>Completed</v>
      </c>
      <c r="R434" s="64">
        <v>42665</v>
      </c>
      <c r="S434" s="64" t="s">
        <v>114</v>
      </c>
      <c r="T434" s="65">
        <v>8</v>
      </c>
      <c r="U434" s="65">
        <v>16</v>
      </c>
      <c r="V434" s="65">
        <v>16</v>
      </c>
      <c r="Y434" s="74" t="s">
        <v>44</v>
      </c>
      <c r="Z434" s="56" t="s">
        <v>1754</v>
      </c>
      <c r="AA434" s="252"/>
      <c r="AB434" s="325" t="s">
        <v>94</v>
      </c>
      <c r="AC434" s="325" t="s">
        <v>29</v>
      </c>
    </row>
    <row r="435" spans="1:30">
      <c r="A435" s="75" t="s">
        <v>929</v>
      </c>
      <c r="B435" s="59"/>
      <c r="C435" s="57">
        <v>42790</v>
      </c>
      <c r="E435" s="65" t="s">
        <v>29</v>
      </c>
      <c r="F435" s="65" t="s">
        <v>94</v>
      </c>
      <c r="G435" s="58" t="s">
        <v>1443</v>
      </c>
      <c r="H435" s="58" t="s">
        <v>1444</v>
      </c>
      <c r="I435" s="60">
        <v>372</v>
      </c>
      <c r="J435" s="58" t="s">
        <v>94</v>
      </c>
      <c r="K435" s="58" t="s">
        <v>29</v>
      </c>
      <c r="L435" s="58" t="s">
        <v>94</v>
      </c>
      <c r="M435" s="58" t="s">
        <v>94</v>
      </c>
      <c r="N435" s="61" t="s">
        <v>2433</v>
      </c>
      <c r="O435" s="58" t="s">
        <v>2434</v>
      </c>
      <c r="P435" s="58" t="s">
        <v>1447</v>
      </c>
      <c r="Q435" s="63" t="str">
        <f>IF(V435&lt;&gt;"","Completed","")</f>
        <v>Completed</v>
      </c>
      <c r="R435" s="64">
        <v>42648</v>
      </c>
      <c r="S435" s="386" t="s">
        <v>172</v>
      </c>
      <c r="T435" s="65">
        <v>48</v>
      </c>
      <c r="U435" s="256">
        <v>84</v>
      </c>
      <c r="V435" s="256">
        <v>84</v>
      </c>
      <c r="Y435" s="74" t="s">
        <v>44</v>
      </c>
      <c r="Z435" s="56" t="s">
        <v>1488</v>
      </c>
      <c r="AA435" s="249"/>
      <c r="AB435" s="65" t="s">
        <v>94</v>
      </c>
      <c r="AC435" s="65" t="s">
        <v>29</v>
      </c>
    </row>
    <row r="436" spans="1:30">
      <c r="A436" s="75" t="s">
        <v>1031</v>
      </c>
      <c r="B436" s="59"/>
      <c r="C436" s="57">
        <v>42748</v>
      </c>
      <c r="E436" s="65" t="s">
        <v>29</v>
      </c>
      <c r="F436" s="65" t="s">
        <v>29</v>
      </c>
      <c r="G436" s="58" t="s">
        <v>1443</v>
      </c>
      <c r="H436" s="58" t="s">
        <v>1456</v>
      </c>
      <c r="I436" s="60">
        <v>0</v>
      </c>
      <c r="J436" s="58" t="s">
        <v>29</v>
      </c>
      <c r="K436" s="58" t="s">
        <v>29</v>
      </c>
      <c r="L436" s="58" t="s">
        <v>29</v>
      </c>
      <c r="M436" s="58" t="s">
        <v>29</v>
      </c>
      <c r="N436" s="61" t="s">
        <v>2435</v>
      </c>
      <c r="O436" s="58" t="s">
        <v>2436</v>
      </c>
      <c r="P436" s="58" t="s">
        <v>1459</v>
      </c>
      <c r="Q436" s="63" t="str">
        <f>IF(V436&lt;&gt;"","Completed","")</f>
        <v>Completed</v>
      </c>
      <c r="R436" s="64">
        <v>42641</v>
      </c>
      <c r="S436" s="64" t="s">
        <v>57</v>
      </c>
      <c r="T436" s="65">
        <v>67</v>
      </c>
      <c r="U436" s="65">
        <v>130</v>
      </c>
      <c r="V436" s="65">
        <v>130</v>
      </c>
      <c r="Y436" s="74" t="s">
        <v>44</v>
      </c>
      <c r="Z436" s="56" t="s">
        <v>1530</v>
      </c>
      <c r="AA436" s="249">
        <f>V436</f>
        <v>130</v>
      </c>
      <c r="AB436" s="65" t="s">
        <v>94</v>
      </c>
      <c r="AC436" s="65" t="s">
        <v>94</v>
      </c>
    </row>
    <row r="437" spans="1:30">
      <c r="A437" s="261" t="s">
        <v>710</v>
      </c>
      <c r="C437" s="57">
        <v>42762</v>
      </c>
      <c r="E437" s="65" t="s">
        <v>29</v>
      </c>
      <c r="F437" s="65" t="s">
        <v>29</v>
      </c>
      <c r="N437" s="68" t="s">
        <v>2437</v>
      </c>
      <c r="O437" s="90" t="s">
        <v>2438</v>
      </c>
      <c r="Q437" s="63" t="str">
        <f>IF(V437&lt;&gt;"","Completed","")</f>
        <v>Completed</v>
      </c>
      <c r="R437" s="64">
        <v>42770</v>
      </c>
      <c r="S437" s="64" t="s">
        <v>149</v>
      </c>
      <c r="T437" s="242">
        <v>9</v>
      </c>
      <c r="U437" s="242">
        <v>15</v>
      </c>
      <c r="V437" s="242">
        <v>15</v>
      </c>
      <c r="Y437" s="74" t="s">
        <v>44</v>
      </c>
      <c r="Z437" s="345" t="s">
        <v>1442</v>
      </c>
      <c r="AA437" s="92"/>
      <c r="AB437" s="242" t="s">
        <v>94</v>
      </c>
      <c r="AC437" s="242" t="s">
        <v>29</v>
      </c>
    </row>
    <row r="438" spans="1:30">
      <c r="A438" s="332" t="s">
        <v>689</v>
      </c>
      <c r="B438" s="59"/>
      <c r="C438" s="57">
        <v>42677</v>
      </c>
      <c r="E438" s="65" t="s">
        <v>29</v>
      </c>
      <c r="F438" s="65" t="s">
        <v>29</v>
      </c>
      <c r="G438" s="58" t="s">
        <v>1443</v>
      </c>
      <c r="H438" s="58" t="s">
        <v>1449</v>
      </c>
      <c r="I438" s="60">
        <v>0</v>
      </c>
      <c r="J438" s="58" t="s">
        <v>29</v>
      </c>
      <c r="K438" s="58" t="s">
        <v>29</v>
      </c>
      <c r="L438" s="58" t="s">
        <v>29</v>
      </c>
      <c r="M438" s="58" t="s">
        <v>29</v>
      </c>
      <c r="N438" s="61" t="s">
        <v>2439</v>
      </c>
      <c r="O438" s="58" t="s">
        <v>2440</v>
      </c>
      <c r="P438" s="58" t="s">
        <v>1447</v>
      </c>
      <c r="Q438" s="63" t="str">
        <f>IF(V438&lt;&gt;"","Completed","")</f>
        <v>Completed</v>
      </c>
      <c r="R438" s="64">
        <v>42655</v>
      </c>
      <c r="S438" s="64" t="s">
        <v>222</v>
      </c>
      <c r="T438" s="65">
        <v>17</v>
      </c>
      <c r="U438" s="65">
        <v>23</v>
      </c>
      <c r="V438" s="65">
        <v>23</v>
      </c>
      <c r="Y438" s="74" t="s">
        <v>44</v>
      </c>
      <c r="Z438" s="56" t="s">
        <v>1596</v>
      </c>
      <c r="AA438" s="249"/>
      <c r="AB438" s="242" t="s">
        <v>94</v>
      </c>
      <c r="AC438" s="242" t="s">
        <v>29</v>
      </c>
    </row>
    <row r="439" spans="1:30">
      <c r="A439" s="332" t="s">
        <v>689</v>
      </c>
      <c r="B439" s="59"/>
      <c r="C439" s="57">
        <v>42677</v>
      </c>
      <c r="E439" s="65" t="s">
        <v>29</v>
      </c>
      <c r="F439" s="65" t="s">
        <v>29</v>
      </c>
      <c r="G439" s="58" t="s">
        <v>1443</v>
      </c>
      <c r="H439" s="58" t="s">
        <v>1449</v>
      </c>
      <c r="I439" s="60">
        <v>0</v>
      </c>
      <c r="J439" s="58" t="s">
        <v>29</v>
      </c>
      <c r="K439" s="58" t="s">
        <v>29</v>
      </c>
      <c r="L439" s="58" t="s">
        <v>29</v>
      </c>
      <c r="M439" s="58" t="s">
        <v>29</v>
      </c>
      <c r="N439" s="61" t="s">
        <v>2441</v>
      </c>
      <c r="O439" s="58" t="s">
        <v>2442</v>
      </c>
      <c r="P439" s="58" t="s">
        <v>1447</v>
      </c>
      <c r="Q439" s="63" t="str">
        <f>IF(V439&lt;&gt;"","Completed","")</f>
        <v>Completed</v>
      </c>
      <c r="R439" s="64">
        <v>42655</v>
      </c>
      <c r="S439" s="64" t="s">
        <v>222</v>
      </c>
      <c r="T439" s="65">
        <v>23</v>
      </c>
      <c r="U439" s="65">
        <v>45</v>
      </c>
      <c r="V439" s="65">
        <v>45</v>
      </c>
      <c r="Y439" s="74" t="s">
        <v>44</v>
      </c>
      <c r="Z439" s="56" t="s">
        <v>1596</v>
      </c>
      <c r="AA439" s="249"/>
      <c r="AB439" s="242" t="s">
        <v>94</v>
      </c>
      <c r="AC439" s="242" t="s">
        <v>29</v>
      </c>
    </row>
    <row r="440" spans="1:30">
      <c r="A440" s="331" t="s">
        <v>1128</v>
      </c>
      <c r="B440" s="59"/>
      <c r="C440" s="57">
        <v>42747</v>
      </c>
      <c r="E440" s="65" t="s">
        <v>29</v>
      </c>
      <c r="F440" s="65" t="s">
        <v>29</v>
      </c>
      <c r="G440" s="58" t="s">
        <v>1443</v>
      </c>
      <c r="H440" s="58" t="s">
        <v>1456</v>
      </c>
      <c r="I440" s="60">
        <v>222</v>
      </c>
      <c r="J440" s="58" t="s">
        <v>94</v>
      </c>
      <c r="K440" s="58" t="s">
        <v>29</v>
      </c>
      <c r="L440" s="58" t="s">
        <v>29</v>
      </c>
      <c r="M440" s="58" t="s">
        <v>29</v>
      </c>
      <c r="N440" s="61" t="s">
        <v>2443</v>
      </c>
      <c r="O440" s="58" t="s">
        <v>2444</v>
      </c>
      <c r="P440" s="58" t="s">
        <v>1459</v>
      </c>
      <c r="Q440" s="63" t="str">
        <f>IF(V440&lt;&gt;"","Completed","")</f>
        <v>Completed</v>
      </c>
      <c r="R440" s="64">
        <v>42714</v>
      </c>
      <c r="S440" s="64" t="s">
        <v>57</v>
      </c>
      <c r="T440" s="65">
        <v>41</v>
      </c>
      <c r="U440" s="65">
        <v>70</v>
      </c>
      <c r="V440" s="65">
        <v>70</v>
      </c>
      <c r="Y440" s="74" t="s">
        <v>44</v>
      </c>
      <c r="Z440" s="56" t="s">
        <v>1838</v>
      </c>
      <c r="AA440" s="252"/>
      <c r="AB440" s="329" t="s">
        <v>94</v>
      </c>
      <c r="AC440" s="329" t="s">
        <v>94</v>
      </c>
    </row>
    <row r="441" spans="1:30">
      <c r="A441" s="338" t="s">
        <v>694</v>
      </c>
      <c r="B441" s="305"/>
      <c r="C441" s="57">
        <v>42661</v>
      </c>
      <c r="E441" s="65" t="s">
        <v>29</v>
      </c>
      <c r="F441" s="65" t="s">
        <v>29</v>
      </c>
      <c r="G441" s="58" t="s">
        <v>1443</v>
      </c>
      <c r="H441" s="58" t="s">
        <v>1456</v>
      </c>
      <c r="I441" s="60">
        <v>0</v>
      </c>
      <c r="J441" s="58" t="s">
        <v>29</v>
      </c>
      <c r="K441" s="58" t="s">
        <v>29</v>
      </c>
      <c r="L441" s="58" t="s">
        <v>29</v>
      </c>
      <c r="M441" s="58" t="s">
        <v>29</v>
      </c>
      <c r="N441" s="375" t="s">
        <v>2445</v>
      </c>
      <c r="O441" s="373" t="s">
        <v>2446</v>
      </c>
      <c r="P441" s="58" t="s">
        <v>1459</v>
      </c>
      <c r="Q441" s="63" t="str">
        <f>IF(V441&lt;&gt;"","Completed","")</f>
        <v>Completed</v>
      </c>
      <c r="R441" s="64">
        <v>42655</v>
      </c>
      <c r="S441" s="64" t="s">
        <v>80</v>
      </c>
      <c r="T441" s="242">
        <v>39</v>
      </c>
      <c r="U441" s="242">
        <v>78</v>
      </c>
      <c r="V441" s="242">
        <v>78</v>
      </c>
      <c r="Y441" s="74" t="s">
        <v>44</v>
      </c>
      <c r="Z441" s="56" t="s">
        <v>1582</v>
      </c>
      <c r="AA441" s="252"/>
      <c r="AB441" s="242" t="s">
        <v>94</v>
      </c>
      <c r="AC441" s="347" t="s">
        <v>29</v>
      </c>
    </row>
    <row r="442" spans="1:30">
      <c r="A442" s="75" t="s">
        <v>273</v>
      </c>
      <c r="B442" s="59"/>
      <c r="C442" s="57">
        <v>42765</v>
      </c>
      <c r="D442" s="65">
        <v>4044000</v>
      </c>
      <c r="E442" s="65" t="s">
        <v>29</v>
      </c>
      <c r="F442" s="65" t="s">
        <v>29</v>
      </c>
      <c r="G442" s="58" t="s">
        <v>1443</v>
      </c>
      <c r="H442" s="58" t="s">
        <v>1456</v>
      </c>
      <c r="I442" s="60">
        <v>746</v>
      </c>
      <c r="J442" s="58" t="s">
        <v>29</v>
      </c>
      <c r="K442" s="58" t="s">
        <v>29</v>
      </c>
      <c r="L442" s="58" t="s">
        <v>94</v>
      </c>
      <c r="M442" s="58" t="s">
        <v>29</v>
      </c>
      <c r="N442" s="61" t="s">
        <v>2447</v>
      </c>
      <c r="O442" s="58" t="s">
        <v>2448</v>
      </c>
      <c r="P442" s="58" t="s">
        <v>1447</v>
      </c>
      <c r="Q442" s="63" t="str">
        <f>IF(V442&lt;&gt;"","Completed","")</f>
        <v>Completed</v>
      </c>
      <c r="R442" s="293">
        <v>42693</v>
      </c>
      <c r="S442" s="341" t="s">
        <v>43</v>
      </c>
      <c r="T442" s="65">
        <v>113</v>
      </c>
      <c r="U442" s="256">
        <v>185</v>
      </c>
      <c r="V442" s="256">
        <v>185</v>
      </c>
      <c r="Y442" s="74" t="s">
        <v>44</v>
      </c>
      <c r="Z442" s="56" t="s">
        <v>1647</v>
      </c>
      <c r="AA442" s="252"/>
      <c r="AB442" s="65" t="s">
        <v>94</v>
      </c>
    </row>
    <row r="443" spans="1:30">
      <c r="A443" s="75" t="s">
        <v>1052</v>
      </c>
      <c r="B443" s="59"/>
      <c r="C443" s="57">
        <v>42716</v>
      </c>
      <c r="E443" s="65" t="s">
        <v>29</v>
      </c>
      <c r="F443" s="65" t="s">
        <v>29</v>
      </c>
      <c r="G443" s="58" t="s">
        <v>1443</v>
      </c>
      <c r="H443" s="58" t="s">
        <v>1449</v>
      </c>
      <c r="I443" s="60">
        <v>235</v>
      </c>
      <c r="J443" s="58" t="s">
        <v>94</v>
      </c>
      <c r="K443" s="58" t="s">
        <v>29</v>
      </c>
      <c r="L443" s="58" t="s">
        <v>29</v>
      </c>
      <c r="M443" s="58" t="s">
        <v>29</v>
      </c>
      <c r="N443" s="61" t="s">
        <v>2449</v>
      </c>
      <c r="O443" s="58" t="s">
        <v>2450</v>
      </c>
      <c r="P443" s="58" t="s">
        <v>1447</v>
      </c>
      <c r="Q443" s="63" t="str">
        <f>IF(V443&lt;&gt;"","Completed","")</f>
        <v>Completed</v>
      </c>
      <c r="R443" s="64">
        <v>42693</v>
      </c>
      <c r="S443" s="64" t="s">
        <v>149</v>
      </c>
      <c r="T443" s="65">
        <v>31</v>
      </c>
      <c r="U443" s="65">
        <v>62</v>
      </c>
      <c r="V443" s="65">
        <v>62</v>
      </c>
      <c r="Y443" s="74" t="s">
        <v>44</v>
      </c>
      <c r="Z443" s="56" t="s">
        <v>1966</v>
      </c>
      <c r="AA443" s="252"/>
      <c r="AB443" s="65" t="s">
        <v>94</v>
      </c>
      <c r="AC443" s="74" t="s">
        <v>29</v>
      </c>
    </row>
    <row r="444" spans="1:30">
      <c r="A444" s="75" t="s">
        <v>290</v>
      </c>
      <c r="B444" s="59"/>
      <c r="C444" s="57">
        <v>42709</v>
      </c>
      <c r="D444" s="65">
        <v>4050000</v>
      </c>
      <c r="E444" s="65" t="s">
        <v>29</v>
      </c>
      <c r="F444" s="65" t="s">
        <v>94</v>
      </c>
      <c r="G444" s="58" t="s">
        <v>1443</v>
      </c>
      <c r="H444" s="58" t="s">
        <v>1444</v>
      </c>
      <c r="I444" s="60">
        <v>409</v>
      </c>
      <c r="J444" s="58" t="s">
        <v>94</v>
      </c>
      <c r="K444" s="58" t="s">
        <v>29</v>
      </c>
      <c r="L444" s="58" t="s">
        <v>94</v>
      </c>
      <c r="M444" s="58" t="s">
        <v>94</v>
      </c>
      <c r="N444" s="61" t="s">
        <v>2451</v>
      </c>
      <c r="O444" s="58" t="s">
        <v>2452</v>
      </c>
      <c r="P444" s="58" t="s">
        <v>1459</v>
      </c>
      <c r="Q444" s="63" t="str">
        <f>IF(V444&lt;&gt;"","Completed","")</f>
        <v>Completed</v>
      </c>
      <c r="R444" s="64">
        <v>42661</v>
      </c>
      <c r="S444" s="64" t="s">
        <v>104</v>
      </c>
      <c r="T444" s="151">
        <v>11</v>
      </c>
      <c r="U444" s="151"/>
      <c r="V444" s="256">
        <v>23</v>
      </c>
      <c r="W444" s="151"/>
      <c r="X444" s="151"/>
      <c r="Y444" s="74" t="s">
        <v>44</v>
      </c>
      <c r="Z444" s="56" t="s">
        <v>1754</v>
      </c>
      <c r="AA444" s="249"/>
      <c r="AB444" s="65" t="s">
        <v>94</v>
      </c>
      <c r="AC444" s="65" t="s">
        <v>29</v>
      </c>
    </row>
    <row r="445" spans="1:30">
      <c r="A445" s="245" t="s">
        <v>991</v>
      </c>
      <c r="B445" s="62" t="s">
        <v>151</v>
      </c>
      <c r="C445" s="57">
        <v>42726</v>
      </c>
      <c r="E445" s="65" t="s">
        <v>29</v>
      </c>
      <c r="F445" s="65" t="s">
        <v>29</v>
      </c>
      <c r="G445" s="58" t="s">
        <v>1443</v>
      </c>
      <c r="H445" s="58" t="s">
        <v>1456</v>
      </c>
      <c r="I445" s="60">
        <v>318</v>
      </c>
      <c r="J445" s="58" t="s">
        <v>94</v>
      </c>
      <c r="K445" s="58" t="s">
        <v>29</v>
      </c>
      <c r="L445" s="58" t="s">
        <v>94</v>
      </c>
      <c r="M445" s="58" t="s">
        <v>29</v>
      </c>
      <c r="N445" s="61" t="s">
        <v>2453</v>
      </c>
      <c r="O445" s="58" t="s">
        <v>2454</v>
      </c>
      <c r="P445" s="58" t="s">
        <v>1447</v>
      </c>
      <c r="Q445" s="63" t="str">
        <f>IF(V445&lt;&gt;"","Completed","")</f>
        <v>Completed</v>
      </c>
      <c r="R445" s="64">
        <v>42678</v>
      </c>
      <c r="S445" s="64" t="s">
        <v>149</v>
      </c>
      <c r="T445" s="65">
        <v>51</v>
      </c>
      <c r="U445" s="65">
        <v>84</v>
      </c>
      <c r="V445" s="65">
        <v>84</v>
      </c>
      <c r="Y445" s="74" t="s">
        <v>44</v>
      </c>
      <c r="Z445" s="56" t="s">
        <v>1590</v>
      </c>
      <c r="AA445" s="249">
        <f>V445</f>
        <v>84</v>
      </c>
      <c r="AB445" s="65" t="s">
        <v>94</v>
      </c>
      <c r="AC445" s="74" t="s">
        <v>29</v>
      </c>
    </row>
    <row r="446" spans="1:30">
      <c r="A446" s="63" t="s">
        <v>45</v>
      </c>
      <c r="B446" s="63" t="s">
        <v>46</v>
      </c>
      <c r="C446" s="112">
        <v>42746</v>
      </c>
      <c r="D446" s="315">
        <v>2002000</v>
      </c>
      <c r="E446" s="57" t="s">
        <v>29</v>
      </c>
      <c r="F446" s="65" t="s">
        <v>29</v>
      </c>
      <c r="G446" s="63" t="s">
        <v>1443</v>
      </c>
      <c r="H446" s="63" t="s">
        <v>1444</v>
      </c>
      <c r="I446" s="58">
        <v>300</v>
      </c>
      <c r="J446" s="58" t="s">
        <v>94</v>
      </c>
      <c r="K446" s="60" t="s">
        <v>29</v>
      </c>
      <c r="L446" s="58" t="s">
        <v>94</v>
      </c>
      <c r="M446" s="58" t="s">
        <v>29</v>
      </c>
      <c r="N446" s="58" t="s">
        <v>2455</v>
      </c>
      <c r="O446" s="58" t="s">
        <v>2456</v>
      </c>
      <c r="P446" s="61" t="s">
        <v>1459</v>
      </c>
      <c r="Q446" s="63" t="str">
        <f>IF(V446&lt;&gt;"","Completed","")</f>
        <v>Completed</v>
      </c>
      <c r="R446" s="57">
        <v>42685</v>
      </c>
      <c r="S446" s="57" t="s">
        <v>57</v>
      </c>
      <c r="T446" s="65">
        <v>53</v>
      </c>
      <c r="U446" s="273">
        <v>81</v>
      </c>
      <c r="V446" s="273">
        <v>81</v>
      </c>
      <c r="W446" s="273"/>
      <c r="X446" s="273"/>
      <c r="Y446" s="74" t="s">
        <v>44</v>
      </c>
      <c r="Z446" s="56" t="s">
        <v>1632</v>
      </c>
      <c r="AA446" s="104"/>
      <c r="AB446" s="65" t="s">
        <v>94</v>
      </c>
      <c r="AC446" s="65" t="s">
        <v>94</v>
      </c>
      <c r="AD446" s="56"/>
    </row>
    <row r="447" spans="1:30">
      <c r="A447" s="261" t="s">
        <v>710</v>
      </c>
      <c r="C447" s="57">
        <v>42765</v>
      </c>
      <c r="E447" s="65" t="s">
        <v>29</v>
      </c>
      <c r="F447" s="65" t="s">
        <v>29</v>
      </c>
      <c r="N447" s="68" t="s">
        <v>2457</v>
      </c>
      <c r="O447" s="90" t="s">
        <v>2458</v>
      </c>
      <c r="Q447" s="63" t="str">
        <f>IF(V447&lt;&gt;"","Completed","")</f>
        <v>Completed</v>
      </c>
      <c r="R447" s="64">
        <v>42770</v>
      </c>
      <c r="S447" s="64" t="s">
        <v>149</v>
      </c>
      <c r="T447" s="242">
        <v>33</v>
      </c>
      <c r="U447" s="242">
        <v>66</v>
      </c>
      <c r="V447" s="242">
        <v>66</v>
      </c>
      <c r="Y447" s="74" t="s">
        <v>44</v>
      </c>
      <c r="Z447" s="345" t="s">
        <v>1442</v>
      </c>
      <c r="AA447" s="92"/>
      <c r="AB447" s="242" t="s">
        <v>94</v>
      </c>
      <c r="AC447" s="242" t="s">
        <v>29</v>
      </c>
    </row>
    <row r="448" spans="1:30">
      <c r="A448" s="261" t="s">
        <v>710</v>
      </c>
      <c r="C448" s="57">
        <v>42762</v>
      </c>
      <c r="E448" s="65" t="s">
        <v>29</v>
      </c>
      <c r="F448" s="65" t="s">
        <v>29</v>
      </c>
      <c r="N448" s="68" t="s">
        <v>2459</v>
      </c>
      <c r="O448" s="76" t="s">
        <v>2460</v>
      </c>
      <c r="Q448" s="63" t="str">
        <f>IF(V448&lt;&gt;"","Completed","")</f>
        <v>Completed</v>
      </c>
      <c r="R448" s="64">
        <v>42770</v>
      </c>
      <c r="S448" s="64" t="s">
        <v>149</v>
      </c>
      <c r="T448" s="242">
        <v>65</v>
      </c>
      <c r="U448" s="242">
        <v>127</v>
      </c>
      <c r="V448" s="242">
        <v>127</v>
      </c>
      <c r="Y448" s="74" t="s">
        <v>44</v>
      </c>
      <c r="Z448" s="345" t="s">
        <v>1442</v>
      </c>
      <c r="AA448" s="92"/>
      <c r="AB448" s="242" t="s">
        <v>94</v>
      </c>
      <c r="AC448" s="242" t="s">
        <v>29</v>
      </c>
    </row>
    <row r="449" spans="1:29">
      <c r="A449" s="261" t="s">
        <v>710</v>
      </c>
      <c r="C449" s="57">
        <v>42782</v>
      </c>
      <c r="E449" s="65" t="s">
        <v>29</v>
      </c>
      <c r="F449" s="65" t="s">
        <v>29</v>
      </c>
      <c r="N449" s="68" t="s">
        <v>2461</v>
      </c>
      <c r="O449" s="90" t="s">
        <v>2462</v>
      </c>
      <c r="Q449" s="63" t="str">
        <f>IF(V449&lt;&gt;"","Completed","")</f>
        <v>Completed</v>
      </c>
      <c r="R449" s="64">
        <v>42770</v>
      </c>
      <c r="S449" s="64" t="s">
        <v>149</v>
      </c>
      <c r="T449" s="242">
        <v>9</v>
      </c>
      <c r="U449" s="242">
        <v>18</v>
      </c>
      <c r="V449" s="242">
        <v>18</v>
      </c>
      <c r="Y449" s="74" t="s">
        <v>44</v>
      </c>
      <c r="Z449" s="345" t="s">
        <v>1620</v>
      </c>
      <c r="AA449" s="92"/>
      <c r="AB449" s="242" t="s">
        <v>94</v>
      </c>
      <c r="AC449" s="242" t="s">
        <v>29</v>
      </c>
    </row>
    <row r="450" spans="1:29">
      <c r="A450" s="75" t="s">
        <v>965</v>
      </c>
      <c r="B450" s="59"/>
      <c r="C450" s="57">
        <v>42716</v>
      </c>
      <c r="E450" s="65" t="s">
        <v>29</v>
      </c>
      <c r="F450" s="65" t="s">
        <v>94</v>
      </c>
      <c r="G450" s="58" t="s">
        <v>1443</v>
      </c>
      <c r="H450" s="58" t="s">
        <v>1456</v>
      </c>
      <c r="I450" s="60">
        <v>258</v>
      </c>
      <c r="J450" s="58" t="s">
        <v>94</v>
      </c>
      <c r="K450" s="58" t="s">
        <v>29</v>
      </c>
      <c r="L450" s="58" t="s">
        <v>94</v>
      </c>
      <c r="M450" s="58" t="s">
        <v>94</v>
      </c>
      <c r="N450" s="61" t="s">
        <v>2463</v>
      </c>
      <c r="O450" s="58" t="s">
        <v>2464</v>
      </c>
      <c r="P450" s="58" t="s">
        <v>1447</v>
      </c>
      <c r="Q450" s="63" t="str">
        <f>IF(V450&lt;&gt;"","Completed","")</f>
        <v>Completed</v>
      </c>
      <c r="R450" s="64">
        <v>42668</v>
      </c>
      <c r="S450" s="64" t="s">
        <v>104</v>
      </c>
      <c r="T450" s="65">
        <v>31</v>
      </c>
      <c r="V450" s="256">
        <v>53</v>
      </c>
      <c r="Y450" s="74" t="s">
        <v>44</v>
      </c>
      <c r="Z450" s="56" t="s">
        <v>1599</v>
      </c>
      <c r="AA450" s="249"/>
      <c r="AB450" s="151" t="s">
        <v>94</v>
      </c>
      <c r="AC450" s="151" t="s">
        <v>29</v>
      </c>
    </row>
    <row r="451" spans="1:29">
      <c r="A451" s="75" t="s">
        <v>1022</v>
      </c>
      <c r="B451" s="59"/>
      <c r="C451" s="57">
        <v>42740</v>
      </c>
      <c r="E451" s="65" t="s">
        <v>29</v>
      </c>
      <c r="F451" s="65" t="s">
        <v>29</v>
      </c>
      <c r="G451" s="58" t="s">
        <v>1443</v>
      </c>
      <c r="H451" s="58" t="s">
        <v>1456</v>
      </c>
      <c r="I451" s="60">
        <v>0</v>
      </c>
      <c r="J451" s="58" t="s">
        <v>94</v>
      </c>
      <c r="K451" s="58" t="s">
        <v>29</v>
      </c>
      <c r="L451" s="58" t="s">
        <v>94</v>
      </c>
      <c r="M451" s="58" t="s">
        <v>29</v>
      </c>
      <c r="N451" s="61" t="s">
        <v>2465</v>
      </c>
      <c r="O451" s="58" t="s">
        <v>2466</v>
      </c>
      <c r="P451" s="58" t="s">
        <v>1459</v>
      </c>
      <c r="Q451" s="63" t="str">
        <f>IF(V451&lt;&gt;"","Completed","")</f>
        <v>Completed</v>
      </c>
      <c r="R451" s="64">
        <v>42679</v>
      </c>
      <c r="S451" s="64" t="s">
        <v>80</v>
      </c>
      <c r="T451" s="65">
        <v>28</v>
      </c>
      <c r="U451" s="65">
        <v>54</v>
      </c>
      <c r="V451" s="65">
        <v>54</v>
      </c>
      <c r="Y451" s="74" t="s">
        <v>44</v>
      </c>
      <c r="Z451" s="56" t="s">
        <v>1491</v>
      </c>
      <c r="AA451" s="249"/>
      <c r="AB451" s="74" t="s">
        <v>94</v>
      </c>
      <c r="AC451" s="65" t="s">
        <v>29</v>
      </c>
    </row>
    <row r="452" spans="1:29">
      <c r="A452" s="244" t="s">
        <v>717</v>
      </c>
      <c r="B452" s="62" t="s">
        <v>479</v>
      </c>
      <c r="C452" s="57">
        <v>42663</v>
      </c>
      <c r="E452" s="65" t="s">
        <v>29</v>
      </c>
      <c r="F452" s="65" t="s">
        <v>29</v>
      </c>
      <c r="G452" s="58" t="s">
        <v>1443</v>
      </c>
      <c r="H452" s="58" t="s">
        <v>1449</v>
      </c>
      <c r="I452" s="60">
        <v>0</v>
      </c>
      <c r="J452" s="58" t="s">
        <v>29</v>
      </c>
      <c r="K452" s="58" t="s">
        <v>29</v>
      </c>
      <c r="L452" s="58" t="s">
        <v>29</v>
      </c>
      <c r="M452" s="58" t="s">
        <v>29</v>
      </c>
      <c r="N452" s="61" t="s">
        <v>2467</v>
      </c>
      <c r="O452" s="58" t="s">
        <v>2468</v>
      </c>
      <c r="P452" s="58" t="s">
        <v>1447</v>
      </c>
      <c r="Q452" s="63" t="str">
        <f>IF(V452&lt;&gt;"","Completed","")</f>
        <v>Completed</v>
      </c>
      <c r="R452" s="64">
        <v>42647</v>
      </c>
      <c r="S452" s="64" t="s">
        <v>222</v>
      </c>
      <c r="T452" s="65">
        <v>35</v>
      </c>
      <c r="U452" s="65">
        <v>59</v>
      </c>
      <c r="V452" s="65">
        <v>59</v>
      </c>
      <c r="Y452" s="74" t="s">
        <v>44</v>
      </c>
      <c r="Z452" s="56" t="s">
        <v>1515</v>
      </c>
      <c r="AA452" s="252"/>
      <c r="AB452" s="242" t="s">
        <v>94</v>
      </c>
      <c r="AC452" s="74"/>
    </row>
    <row r="453" spans="1:29">
      <c r="A453" s="244" t="s">
        <v>717</v>
      </c>
      <c r="B453" s="62" t="s">
        <v>479</v>
      </c>
      <c r="C453" s="57">
        <v>42663</v>
      </c>
      <c r="E453" s="65" t="s">
        <v>29</v>
      </c>
      <c r="F453" s="65" t="s">
        <v>29</v>
      </c>
      <c r="G453" s="58" t="s">
        <v>1443</v>
      </c>
      <c r="H453" s="58" t="s">
        <v>1449</v>
      </c>
      <c r="I453" s="60">
        <v>331</v>
      </c>
      <c r="J453" s="58" t="s">
        <v>94</v>
      </c>
      <c r="K453" s="58" t="s">
        <v>29</v>
      </c>
      <c r="L453" s="58" t="s">
        <v>29</v>
      </c>
      <c r="M453" s="58" t="s">
        <v>29</v>
      </c>
      <c r="N453" s="61" t="s">
        <v>2469</v>
      </c>
      <c r="O453" s="58" t="s">
        <v>2470</v>
      </c>
      <c r="P453" s="58" t="s">
        <v>1447</v>
      </c>
      <c r="Q453" s="63" t="str">
        <f>IF(V453&lt;&gt;"","Completed","")</f>
        <v>Completed</v>
      </c>
      <c r="R453" s="64">
        <v>42647</v>
      </c>
      <c r="S453" s="64" t="s">
        <v>222</v>
      </c>
      <c r="T453" s="65">
        <v>40</v>
      </c>
      <c r="U453" s="65">
        <v>75</v>
      </c>
      <c r="V453" s="65">
        <v>75</v>
      </c>
      <c r="Y453" s="74" t="s">
        <v>44</v>
      </c>
      <c r="Z453" s="56" t="s">
        <v>1515</v>
      </c>
      <c r="AA453" s="252">
        <f>SUM(V452:V453)</f>
        <v>134</v>
      </c>
      <c r="AB453" s="242" t="s">
        <v>94</v>
      </c>
      <c r="AC453" s="74"/>
    </row>
    <row r="454" spans="1:29">
      <c r="A454" s="75" t="s">
        <v>273</v>
      </c>
      <c r="B454" s="59"/>
      <c r="C454" s="57">
        <v>42765</v>
      </c>
      <c r="E454" s="65" t="s">
        <v>29</v>
      </c>
      <c r="F454" s="65" t="s">
        <v>29</v>
      </c>
      <c r="G454" s="58" t="s">
        <v>1443</v>
      </c>
      <c r="H454" s="58"/>
      <c r="I454" s="60"/>
      <c r="J454" s="58"/>
      <c r="K454" s="58"/>
      <c r="L454" s="58"/>
      <c r="M454" s="58"/>
      <c r="N454" s="70" t="s">
        <v>2471</v>
      </c>
      <c r="O454" s="291" t="s">
        <v>2472</v>
      </c>
      <c r="P454" s="58"/>
      <c r="Q454" s="63" t="str">
        <f>IF(V454&lt;&gt;"","Completed","")</f>
        <v>Completed</v>
      </c>
      <c r="R454" s="293">
        <v>42693</v>
      </c>
      <c r="S454" s="341" t="s">
        <v>43</v>
      </c>
      <c r="T454" s="65">
        <v>123</v>
      </c>
      <c r="U454" s="256">
        <v>194</v>
      </c>
      <c r="V454" s="256">
        <v>194</v>
      </c>
      <c r="Y454" s="74" t="s">
        <v>44</v>
      </c>
      <c r="Z454" s="56" t="s">
        <v>1647</v>
      </c>
      <c r="AA454" s="252"/>
      <c r="AB454" s="65" t="s">
        <v>94</v>
      </c>
    </row>
    <row r="455" spans="1:29">
      <c r="A455" s="332" t="s">
        <v>444</v>
      </c>
      <c r="B455" s="59"/>
      <c r="C455" s="57">
        <v>42724</v>
      </c>
      <c r="E455" s="65" t="s">
        <v>29</v>
      </c>
      <c r="F455" s="65" t="s">
        <v>29</v>
      </c>
      <c r="G455" s="58" t="s">
        <v>1443</v>
      </c>
      <c r="H455" s="58" t="s">
        <v>1456</v>
      </c>
      <c r="I455" s="60">
        <v>183</v>
      </c>
      <c r="J455" s="58" t="s">
        <v>94</v>
      </c>
      <c r="K455" s="58" t="s">
        <v>29</v>
      </c>
      <c r="L455" s="58" t="s">
        <v>94</v>
      </c>
      <c r="M455" s="58" t="s">
        <v>29</v>
      </c>
      <c r="N455" s="375" t="s">
        <v>2473</v>
      </c>
      <c r="O455" s="373" t="s">
        <v>2474</v>
      </c>
      <c r="P455" s="58" t="s">
        <v>1459</v>
      </c>
      <c r="Q455" s="63" t="str">
        <f>IF(V455&lt;&gt;"","Completed","")</f>
        <v>Completed</v>
      </c>
      <c r="R455" s="64">
        <v>42650</v>
      </c>
      <c r="S455" s="64" t="s">
        <v>80</v>
      </c>
      <c r="T455" s="242">
        <v>23</v>
      </c>
      <c r="U455" s="242">
        <v>44</v>
      </c>
      <c r="V455" s="242">
        <v>44</v>
      </c>
      <c r="Y455" s="74" t="s">
        <v>44</v>
      </c>
      <c r="Z455" s="56" t="s">
        <v>1777</v>
      </c>
      <c r="AA455" s="249"/>
      <c r="AB455" s="242" t="s">
        <v>94</v>
      </c>
      <c r="AC455" s="242" t="s">
        <v>29</v>
      </c>
    </row>
    <row r="456" spans="1:29">
      <c r="A456" s="332" t="s">
        <v>435</v>
      </c>
      <c r="B456" s="59"/>
      <c r="C456" s="57">
        <v>42655</v>
      </c>
      <c r="E456" s="65" t="s">
        <v>29</v>
      </c>
      <c r="F456" s="65" t="s">
        <v>29</v>
      </c>
      <c r="G456" s="58" t="s">
        <v>1443</v>
      </c>
      <c r="H456" s="58" t="s">
        <v>1444</v>
      </c>
      <c r="I456" s="60">
        <v>279</v>
      </c>
      <c r="J456" s="58" t="s">
        <v>94</v>
      </c>
      <c r="K456" s="58" t="s">
        <v>29</v>
      </c>
      <c r="L456" s="58" t="s">
        <v>29</v>
      </c>
      <c r="M456" s="58" t="s">
        <v>29</v>
      </c>
      <c r="N456" s="375" t="s">
        <v>2475</v>
      </c>
      <c r="O456" s="373" t="s">
        <v>2476</v>
      </c>
      <c r="P456" s="58" t="s">
        <v>1459</v>
      </c>
      <c r="Q456" s="63" t="str">
        <f>IF(V456&lt;&gt;"","Completed","")</f>
        <v>Completed</v>
      </c>
      <c r="R456" s="64">
        <v>42630</v>
      </c>
      <c r="S456" s="64" t="s">
        <v>80</v>
      </c>
      <c r="T456" s="323">
        <v>47</v>
      </c>
      <c r="U456" s="323">
        <v>74</v>
      </c>
      <c r="V456" s="323">
        <v>74</v>
      </c>
      <c r="W456" s="150"/>
      <c r="X456" s="150"/>
      <c r="Y456" s="74" t="s">
        <v>44</v>
      </c>
      <c r="Z456" s="56" t="s">
        <v>1663</v>
      </c>
      <c r="AA456" s="252"/>
      <c r="AB456" s="347" t="s">
        <v>94</v>
      </c>
      <c r="AC456" s="242" t="s">
        <v>29</v>
      </c>
    </row>
    <row r="457" spans="1:29">
      <c r="A457" s="244" t="s">
        <v>1006</v>
      </c>
      <c r="B457" s="62" t="s">
        <v>1007</v>
      </c>
      <c r="C457" s="57">
        <v>42716</v>
      </c>
      <c r="E457" s="65" t="s">
        <v>29</v>
      </c>
      <c r="F457" s="65" t="s">
        <v>94</v>
      </c>
      <c r="G457" s="58" t="s">
        <v>1443</v>
      </c>
      <c r="H457" s="58" t="s">
        <v>1444</v>
      </c>
      <c r="I457" s="60">
        <v>296</v>
      </c>
      <c r="J457" s="58" t="s">
        <v>94</v>
      </c>
      <c r="K457" s="58" t="s">
        <v>29</v>
      </c>
      <c r="L457" s="58" t="s">
        <v>29</v>
      </c>
      <c r="M457" s="58" t="s">
        <v>94</v>
      </c>
      <c r="N457" s="61" t="s">
        <v>2477</v>
      </c>
      <c r="O457" s="58" t="s">
        <v>2478</v>
      </c>
      <c r="P457" s="58" t="s">
        <v>1459</v>
      </c>
      <c r="Q457" s="63" t="str">
        <f>IF(V457&lt;&gt;"","Completed","")</f>
        <v>Completed</v>
      </c>
      <c r="R457" s="64">
        <v>42669</v>
      </c>
      <c r="S457" s="64" t="s">
        <v>104</v>
      </c>
      <c r="T457" s="65">
        <v>56</v>
      </c>
      <c r="V457" s="256">
        <v>95</v>
      </c>
      <c r="Y457" s="74" t="s">
        <v>44</v>
      </c>
      <c r="Z457" s="56" t="s">
        <v>1491</v>
      </c>
      <c r="AA457" s="249"/>
      <c r="AB457" s="65" t="s">
        <v>94</v>
      </c>
      <c r="AC457" s="65" t="s">
        <v>94</v>
      </c>
    </row>
    <row r="458" spans="1:29">
      <c r="A458" s="332" t="s">
        <v>1022</v>
      </c>
      <c r="B458" s="377"/>
      <c r="C458" s="320">
        <v>42717</v>
      </c>
      <c r="D458" s="242"/>
      <c r="E458" s="242" t="s">
        <v>29</v>
      </c>
      <c r="F458" s="242" t="s">
        <v>29</v>
      </c>
      <c r="G458" s="373" t="s">
        <v>1443</v>
      </c>
      <c r="H458" s="373" t="s">
        <v>1456</v>
      </c>
      <c r="I458" s="374">
        <v>38</v>
      </c>
      <c r="J458" s="373" t="s">
        <v>94</v>
      </c>
      <c r="K458" s="373" t="s">
        <v>29</v>
      </c>
      <c r="L458" s="373" t="s">
        <v>94</v>
      </c>
      <c r="M458" s="373" t="s">
        <v>29</v>
      </c>
      <c r="N458" s="375" t="s">
        <v>2479</v>
      </c>
      <c r="O458" s="373" t="s">
        <v>2480</v>
      </c>
      <c r="P458" s="58" t="s">
        <v>1459</v>
      </c>
      <c r="Q458" s="63" t="str">
        <f>IF(V458&lt;&gt;"","Completed","")</f>
        <v>Completed</v>
      </c>
      <c r="R458" s="64">
        <v>42693</v>
      </c>
      <c r="S458" s="64" t="s">
        <v>80</v>
      </c>
      <c r="T458" s="65">
        <v>40</v>
      </c>
      <c r="U458" s="65">
        <v>66</v>
      </c>
      <c r="V458" s="65">
        <v>66</v>
      </c>
      <c r="Y458" s="74" t="s">
        <v>44</v>
      </c>
      <c r="Z458" s="56" t="s">
        <v>1602</v>
      </c>
      <c r="AA458" s="249"/>
      <c r="AB458" s="347" t="s">
        <v>94</v>
      </c>
      <c r="AC458" s="242" t="s">
        <v>29</v>
      </c>
    </row>
    <row r="459" spans="1:29">
      <c r="A459" s="244" t="s">
        <v>1228</v>
      </c>
      <c r="B459" s="62" t="s">
        <v>371</v>
      </c>
      <c r="C459" s="57">
        <v>42760</v>
      </c>
      <c r="E459" s="65" t="s">
        <v>29</v>
      </c>
      <c r="F459" s="65" t="s">
        <v>29</v>
      </c>
      <c r="G459" s="58" t="s">
        <v>1443</v>
      </c>
      <c r="H459" s="58" t="s">
        <v>1456</v>
      </c>
      <c r="I459" s="60">
        <v>233</v>
      </c>
      <c r="J459" s="58" t="s">
        <v>94</v>
      </c>
      <c r="K459" s="58" t="s">
        <v>29</v>
      </c>
      <c r="L459" s="58" t="s">
        <v>94</v>
      </c>
      <c r="M459" s="58" t="s">
        <v>29</v>
      </c>
      <c r="N459" s="61" t="s">
        <v>2481</v>
      </c>
      <c r="O459" s="58" t="s">
        <v>2482</v>
      </c>
      <c r="P459" s="58" t="s">
        <v>1459</v>
      </c>
      <c r="Q459" s="63" t="str">
        <f>IF(V459&lt;&gt;"","Completed","")</f>
        <v>Completed</v>
      </c>
      <c r="R459" s="64">
        <v>42672</v>
      </c>
      <c r="S459" s="67" t="s">
        <v>43</v>
      </c>
      <c r="T459" s="65">
        <v>51</v>
      </c>
      <c r="U459" s="65">
        <v>84</v>
      </c>
      <c r="V459" s="65">
        <v>84</v>
      </c>
      <c r="Y459" s="74" t="s">
        <v>44</v>
      </c>
      <c r="Z459" s="56" t="s">
        <v>1472</v>
      </c>
      <c r="AA459" s="252"/>
      <c r="AB459" s="151" t="s">
        <v>94</v>
      </c>
      <c r="AC459" s="151" t="s">
        <v>94</v>
      </c>
    </row>
    <row r="460" spans="1:29">
      <c r="A460" s="245" t="s">
        <v>766</v>
      </c>
      <c r="B460" s="62"/>
      <c r="C460" s="57">
        <v>42787</v>
      </c>
      <c r="E460" s="65" t="s">
        <v>29</v>
      </c>
      <c r="F460" s="65" t="s">
        <v>29</v>
      </c>
      <c r="G460" s="58"/>
      <c r="H460" s="58"/>
      <c r="I460" s="60"/>
      <c r="J460" s="58"/>
      <c r="K460" s="58"/>
      <c r="L460" s="58"/>
      <c r="M460" s="58"/>
      <c r="N460" s="61" t="s">
        <v>2483</v>
      </c>
      <c r="O460" s="277" t="s">
        <v>2484</v>
      </c>
      <c r="P460" s="58"/>
      <c r="Q460" s="63" t="str">
        <f>IF(V460&lt;&gt;"","Completed","")</f>
        <v>Completed</v>
      </c>
      <c r="R460" s="64">
        <v>42749</v>
      </c>
      <c r="S460" s="64" t="s">
        <v>57</v>
      </c>
      <c r="T460" s="242">
        <v>107</v>
      </c>
      <c r="U460" s="65">
        <v>198</v>
      </c>
      <c r="V460" s="65">
        <v>198</v>
      </c>
      <c r="Y460" s="74" t="s">
        <v>44</v>
      </c>
      <c r="Z460" s="345" t="s">
        <v>1868</v>
      </c>
      <c r="AA460" s="92"/>
      <c r="AB460" s="65" t="s">
        <v>94</v>
      </c>
      <c r="AC460" s="65" t="s">
        <v>94</v>
      </c>
    </row>
    <row r="461" spans="1:29">
      <c r="A461" s="75" t="s">
        <v>736</v>
      </c>
      <c r="B461" s="59"/>
      <c r="C461" s="57">
        <v>42724</v>
      </c>
      <c r="E461" s="65" t="s">
        <v>29</v>
      </c>
      <c r="F461" s="65" t="s">
        <v>29</v>
      </c>
      <c r="G461" s="58" t="s">
        <v>1443</v>
      </c>
      <c r="H461" s="58" t="s">
        <v>1444</v>
      </c>
      <c r="I461" s="60">
        <v>0</v>
      </c>
      <c r="J461" s="58" t="s">
        <v>29</v>
      </c>
      <c r="K461" s="58" t="s">
        <v>29</v>
      </c>
      <c r="L461" s="58" t="s">
        <v>29</v>
      </c>
      <c r="M461" s="58" t="s">
        <v>29</v>
      </c>
      <c r="N461" s="61" t="s">
        <v>2485</v>
      </c>
      <c r="O461" s="58" t="s">
        <v>2486</v>
      </c>
      <c r="P461" s="58" t="s">
        <v>1447</v>
      </c>
      <c r="Q461" s="63" t="str">
        <f>IF(V461&lt;&gt;"","Completed","")</f>
        <v>Completed</v>
      </c>
      <c r="R461" s="64">
        <v>42682</v>
      </c>
      <c r="S461" s="64" t="s">
        <v>433</v>
      </c>
      <c r="T461" s="65">
        <v>46</v>
      </c>
      <c r="U461" s="65">
        <v>92</v>
      </c>
      <c r="V461" s="65">
        <v>92</v>
      </c>
      <c r="Y461" s="74" t="s">
        <v>44</v>
      </c>
      <c r="Z461" s="56" t="s">
        <v>1893</v>
      </c>
      <c r="AA461" s="249"/>
      <c r="AB461" s="74" t="s">
        <v>94</v>
      </c>
      <c r="AC461" s="65" t="s">
        <v>29</v>
      </c>
    </row>
    <row r="462" spans="1:29">
      <c r="A462" s="245" t="s">
        <v>885</v>
      </c>
      <c r="B462" s="62" t="s">
        <v>462</v>
      </c>
      <c r="C462" s="57">
        <v>42748</v>
      </c>
      <c r="E462" s="65" t="s">
        <v>29</v>
      </c>
      <c r="F462" s="65" t="s">
        <v>29</v>
      </c>
      <c r="G462" s="58" t="s">
        <v>1443</v>
      </c>
      <c r="H462" s="58" t="s">
        <v>1456</v>
      </c>
      <c r="I462" s="60">
        <v>0</v>
      </c>
      <c r="J462" s="58" t="s">
        <v>94</v>
      </c>
      <c r="K462" s="58" t="s">
        <v>29</v>
      </c>
      <c r="L462" s="58" t="s">
        <v>94</v>
      </c>
      <c r="M462" s="58" t="s">
        <v>29</v>
      </c>
      <c r="N462" s="61" t="s">
        <v>2487</v>
      </c>
      <c r="O462" s="58" t="s">
        <v>2488</v>
      </c>
      <c r="P462" s="58" t="s">
        <v>1447</v>
      </c>
      <c r="Q462" s="63" t="str">
        <f>IF(V462&lt;&gt;"","Completed","")</f>
        <v>Completed</v>
      </c>
      <c r="R462" s="319">
        <v>42697</v>
      </c>
      <c r="S462" s="319" t="s">
        <v>57</v>
      </c>
      <c r="T462" s="242">
        <v>27</v>
      </c>
      <c r="U462" s="242">
        <v>76</v>
      </c>
      <c r="V462" s="242">
        <v>76</v>
      </c>
      <c r="W462" s="242"/>
      <c r="X462" s="242"/>
      <c r="Y462" s="74" t="s">
        <v>44</v>
      </c>
      <c r="Z462" s="345" t="s">
        <v>1508</v>
      </c>
      <c r="AA462" s="249"/>
      <c r="AB462" s="65" t="s">
        <v>94</v>
      </c>
      <c r="AC462" s="74" t="s">
        <v>29</v>
      </c>
    </row>
    <row r="463" spans="1:29">
      <c r="A463" s="75" t="s">
        <v>736</v>
      </c>
      <c r="B463" s="59"/>
      <c r="C463" s="57">
        <v>42741</v>
      </c>
      <c r="E463" s="65" t="s">
        <v>29</v>
      </c>
      <c r="F463" s="65" t="s">
        <v>29</v>
      </c>
      <c r="G463" s="58" t="s">
        <v>1443</v>
      </c>
      <c r="H463" s="58" t="s">
        <v>1444</v>
      </c>
      <c r="I463" s="60">
        <v>364</v>
      </c>
      <c r="J463" s="58" t="s">
        <v>94</v>
      </c>
      <c r="K463" s="58" t="s">
        <v>29</v>
      </c>
      <c r="L463" s="58" t="s">
        <v>29</v>
      </c>
      <c r="M463" s="58" t="s">
        <v>29</v>
      </c>
      <c r="N463" s="61" t="s">
        <v>2489</v>
      </c>
      <c r="O463" s="58" t="s">
        <v>2490</v>
      </c>
      <c r="P463" s="58" t="s">
        <v>1447</v>
      </c>
      <c r="Q463" s="63" t="str">
        <f>IF(V463&lt;&gt;"","Completed","")</f>
        <v>Completed</v>
      </c>
      <c r="R463" s="64">
        <v>42682</v>
      </c>
      <c r="S463" s="64" t="s">
        <v>433</v>
      </c>
      <c r="T463" s="65">
        <v>83</v>
      </c>
      <c r="U463" s="65">
        <v>128</v>
      </c>
      <c r="V463" s="65">
        <v>128</v>
      </c>
      <c r="Y463" s="74" t="s">
        <v>44</v>
      </c>
      <c r="Z463" s="56" t="s">
        <v>1791</v>
      </c>
      <c r="AA463" s="249"/>
      <c r="AB463" s="74" t="s">
        <v>94</v>
      </c>
      <c r="AC463" s="65" t="s">
        <v>29</v>
      </c>
    </row>
    <row r="464" spans="1:29">
      <c r="A464" s="332" t="s">
        <v>1022</v>
      </c>
      <c r="B464" s="377"/>
      <c r="C464" s="320">
        <v>42717</v>
      </c>
      <c r="D464" s="242"/>
      <c r="E464" s="242" t="s">
        <v>29</v>
      </c>
      <c r="F464" s="242" t="s">
        <v>29</v>
      </c>
      <c r="G464" s="373" t="s">
        <v>1443</v>
      </c>
      <c r="H464" s="373" t="s">
        <v>1456</v>
      </c>
      <c r="I464" s="374">
        <v>236</v>
      </c>
      <c r="J464" s="373" t="s">
        <v>94</v>
      </c>
      <c r="K464" s="373" t="s">
        <v>29</v>
      </c>
      <c r="L464" s="373" t="s">
        <v>94</v>
      </c>
      <c r="M464" s="373" t="s">
        <v>29</v>
      </c>
      <c r="N464" s="375" t="s">
        <v>2491</v>
      </c>
      <c r="O464" s="373" t="s">
        <v>2492</v>
      </c>
      <c r="P464" s="58" t="s">
        <v>1459</v>
      </c>
      <c r="Q464" s="63" t="str">
        <f>IF(V464&lt;&gt;"","Completed","")</f>
        <v>Completed</v>
      </c>
      <c r="R464" s="64">
        <v>42693</v>
      </c>
      <c r="S464" s="64" t="s">
        <v>80</v>
      </c>
      <c r="T464" s="65">
        <v>48</v>
      </c>
      <c r="U464" s="65">
        <v>76</v>
      </c>
      <c r="V464" s="65">
        <v>76</v>
      </c>
      <c r="Y464" s="74" t="s">
        <v>44</v>
      </c>
      <c r="Z464" s="56" t="s">
        <v>1602</v>
      </c>
      <c r="AA464" s="249"/>
      <c r="AB464" s="347" t="s">
        <v>94</v>
      </c>
      <c r="AC464" s="242" t="s">
        <v>94</v>
      </c>
    </row>
    <row r="465" spans="1:30">
      <c r="A465" s="75" t="s">
        <v>273</v>
      </c>
      <c r="B465" s="59"/>
      <c r="C465" s="57">
        <v>42753</v>
      </c>
      <c r="D465" s="65">
        <v>4044000</v>
      </c>
      <c r="E465" s="65" t="s">
        <v>29</v>
      </c>
      <c r="F465" s="65" t="s">
        <v>29</v>
      </c>
      <c r="G465" s="58" t="s">
        <v>1443</v>
      </c>
      <c r="H465" s="58"/>
      <c r="I465" s="60"/>
      <c r="J465" s="58"/>
      <c r="K465" s="58"/>
      <c r="L465" s="58"/>
      <c r="M465" s="58"/>
      <c r="N465" s="69" t="s">
        <v>2493</v>
      </c>
      <c r="O465" s="262" t="s">
        <v>2494</v>
      </c>
      <c r="P465" s="58"/>
      <c r="Q465" s="63" t="str">
        <f>IF(V465&lt;&gt;"","Completed","")</f>
        <v>Completed</v>
      </c>
      <c r="R465" s="293">
        <v>42679</v>
      </c>
      <c r="S465" s="341" t="s">
        <v>43</v>
      </c>
      <c r="T465" s="65">
        <v>126</v>
      </c>
      <c r="U465" s="256">
        <v>199</v>
      </c>
      <c r="V465" s="256">
        <v>199</v>
      </c>
      <c r="Y465" s="74" t="s">
        <v>44</v>
      </c>
      <c r="Z465" s="56" t="s">
        <v>1500</v>
      </c>
      <c r="AA465" s="252"/>
      <c r="AB465" s="65" t="s">
        <v>94</v>
      </c>
      <c r="AC465" s="65" t="s">
        <v>29</v>
      </c>
    </row>
    <row r="466" spans="1:30">
      <c r="A466" s="244" t="s">
        <v>1006</v>
      </c>
      <c r="B466" s="62" t="s">
        <v>1007</v>
      </c>
      <c r="C466" s="57">
        <v>42716</v>
      </c>
      <c r="E466" s="65" t="s">
        <v>29</v>
      </c>
      <c r="F466" s="65" t="s">
        <v>94</v>
      </c>
      <c r="G466" s="58" t="s">
        <v>1443</v>
      </c>
      <c r="H466" s="58" t="s">
        <v>1444</v>
      </c>
      <c r="I466" s="60">
        <v>122</v>
      </c>
      <c r="J466" s="58" t="s">
        <v>94</v>
      </c>
      <c r="K466" s="58" t="s">
        <v>29</v>
      </c>
      <c r="L466" s="58" t="s">
        <v>29</v>
      </c>
      <c r="M466" s="58" t="s">
        <v>94</v>
      </c>
      <c r="N466" s="61" t="s">
        <v>2495</v>
      </c>
      <c r="O466" s="58" t="s">
        <v>2496</v>
      </c>
      <c r="P466" s="58" t="s">
        <v>1459</v>
      </c>
      <c r="Q466" s="63" t="str">
        <f>IF(V466&lt;&gt;"","Completed","")</f>
        <v>Completed</v>
      </c>
      <c r="R466" s="64">
        <v>42670</v>
      </c>
      <c r="S466" s="64" t="s">
        <v>104</v>
      </c>
      <c r="T466" s="65">
        <v>84</v>
      </c>
      <c r="V466" s="256">
        <v>147</v>
      </c>
      <c r="Y466" s="74" t="s">
        <v>44</v>
      </c>
      <c r="Z466" s="56" t="s">
        <v>1491</v>
      </c>
      <c r="AA466" s="249"/>
      <c r="AB466" s="65" t="s">
        <v>94</v>
      </c>
      <c r="AC466" s="65" t="s">
        <v>29</v>
      </c>
    </row>
    <row r="467" spans="1:30">
      <c r="A467" s="75" t="s">
        <v>487</v>
      </c>
      <c r="B467" s="59"/>
      <c r="C467" s="57">
        <v>42726</v>
      </c>
      <c r="E467" s="65" t="s">
        <v>29</v>
      </c>
      <c r="F467" s="65" t="s">
        <v>29</v>
      </c>
      <c r="G467" s="58" t="s">
        <v>1443</v>
      </c>
      <c r="H467" s="58" t="s">
        <v>1456</v>
      </c>
      <c r="I467" s="60">
        <v>619</v>
      </c>
      <c r="J467" s="58" t="s">
        <v>29</v>
      </c>
      <c r="K467" s="58" t="s">
        <v>29</v>
      </c>
      <c r="L467" s="58" t="s">
        <v>94</v>
      </c>
      <c r="M467" s="58" t="s">
        <v>29</v>
      </c>
      <c r="N467" s="61" t="s">
        <v>2497</v>
      </c>
      <c r="O467" s="58" t="s">
        <v>2498</v>
      </c>
      <c r="P467" s="58" t="s">
        <v>1447</v>
      </c>
      <c r="Q467" s="63" t="str">
        <f>IF(V467&lt;&gt;"","Completed","")</f>
        <v>Completed</v>
      </c>
      <c r="R467" s="64">
        <v>42672</v>
      </c>
      <c r="S467" s="64" t="s">
        <v>114</v>
      </c>
      <c r="T467" s="65">
        <v>70</v>
      </c>
      <c r="U467" s="65">
        <v>110</v>
      </c>
      <c r="V467" s="65">
        <v>110</v>
      </c>
      <c r="Y467" s="74" t="s">
        <v>44</v>
      </c>
      <c r="Z467" s="56" t="s">
        <v>1602</v>
      </c>
      <c r="AA467" s="252"/>
      <c r="AB467" s="325" t="s">
        <v>94</v>
      </c>
      <c r="AC467" s="325" t="s">
        <v>94</v>
      </c>
      <c r="AD467" s="202" t="s">
        <v>2499</v>
      </c>
    </row>
    <row r="468" spans="1:30">
      <c r="A468" s="75" t="s">
        <v>773</v>
      </c>
      <c r="B468" s="59"/>
      <c r="C468" s="57">
        <v>42709</v>
      </c>
      <c r="D468" s="150"/>
      <c r="E468" s="65" t="s">
        <v>29</v>
      </c>
      <c r="F468" s="65" t="s">
        <v>29</v>
      </c>
      <c r="G468" s="58" t="s">
        <v>1443</v>
      </c>
      <c r="H468" s="58" t="s">
        <v>1444</v>
      </c>
      <c r="I468" s="60">
        <v>582</v>
      </c>
      <c r="J468" s="58" t="s">
        <v>94</v>
      </c>
      <c r="K468" s="58" t="s">
        <v>29</v>
      </c>
      <c r="L468" s="58" t="s">
        <v>94</v>
      </c>
      <c r="M468" s="58" t="s">
        <v>29</v>
      </c>
      <c r="N468" s="61" t="s">
        <v>2500</v>
      </c>
      <c r="O468" s="58" t="s">
        <v>2501</v>
      </c>
      <c r="P468" s="58" t="s">
        <v>1459</v>
      </c>
      <c r="Q468" s="63" t="str">
        <f>IF(V468&lt;&gt;"","Completed","")</f>
        <v>Completed</v>
      </c>
      <c r="R468" s="64">
        <v>42677</v>
      </c>
      <c r="S468" s="64" t="s">
        <v>433</v>
      </c>
      <c r="T468" s="65">
        <v>8</v>
      </c>
      <c r="U468" s="65">
        <v>16</v>
      </c>
      <c r="V468" s="65">
        <v>16</v>
      </c>
      <c r="Y468" s="74" t="s">
        <v>44</v>
      </c>
      <c r="Z468" s="56" t="s">
        <v>1558</v>
      </c>
      <c r="AA468" s="249"/>
      <c r="AB468" s="74" t="s">
        <v>94</v>
      </c>
      <c r="AC468" s="65" t="s">
        <v>29</v>
      </c>
    </row>
    <row r="469" spans="1:30">
      <c r="A469" s="75" t="s">
        <v>187</v>
      </c>
      <c r="B469" s="59"/>
      <c r="C469" s="57">
        <v>42725</v>
      </c>
      <c r="D469" s="65">
        <v>3026000</v>
      </c>
      <c r="E469" s="65" t="s">
        <v>29</v>
      </c>
      <c r="F469" s="65" t="s">
        <v>94</v>
      </c>
      <c r="G469" s="58" t="s">
        <v>1443</v>
      </c>
      <c r="H469" s="58" t="s">
        <v>1456</v>
      </c>
      <c r="I469" s="60">
        <v>286</v>
      </c>
      <c r="J469" s="58" t="s">
        <v>94</v>
      </c>
      <c r="K469" s="58" t="s">
        <v>29</v>
      </c>
      <c r="L469" s="58" t="s">
        <v>94</v>
      </c>
      <c r="M469" s="58" t="s">
        <v>94</v>
      </c>
      <c r="N469" s="61" t="s">
        <v>2502</v>
      </c>
      <c r="O469" s="58" t="s">
        <v>2503</v>
      </c>
      <c r="P469" s="58" t="s">
        <v>1447</v>
      </c>
      <c r="Q469" s="63" t="str">
        <f>IF(V469&lt;&gt;"","Completed","")</f>
        <v>Completed</v>
      </c>
      <c r="R469" s="64">
        <v>42682</v>
      </c>
      <c r="S469" s="64" t="s">
        <v>104</v>
      </c>
      <c r="T469" s="65">
        <v>26</v>
      </c>
      <c r="V469" s="256">
        <v>52</v>
      </c>
      <c r="Y469" s="74" t="s">
        <v>44</v>
      </c>
      <c r="Z469" s="56" t="s">
        <v>1640</v>
      </c>
      <c r="AA469" s="252"/>
      <c r="AB469" s="151" t="s">
        <v>94</v>
      </c>
      <c r="AC469" s="151" t="s">
        <v>29</v>
      </c>
    </row>
    <row r="470" spans="1:30">
      <c r="A470" s="75" t="s">
        <v>1022</v>
      </c>
      <c r="B470" s="59"/>
      <c r="C470" s="57">
        <v>42713</v>
      </c>
      <c r="E470" s="65" t="s">
        <v>29</v>
      </c>
      <c r="F470" s="65" t="s">
        <v>29</v>
      </c>
      <c r="G470" s="58" t="s">
        <v>1443</v>
      </c>
      <c r="H470" s="58" t="s">
        <v>1456</v>
      </c>
      <c r="I470" s="60">
        <v>211</v>
      </c>
      <c r="J470" s="58" t="s">
        <v>94</v>
      </c>
      <c r="K470" s="58" t="s">
        <v>29</v>
      </c>
      <c r="L470" s="58" t="s">
        <v>94</v>
      </c>
      <c r="M470" s="58" t="s">
        <v>29</v>
      </c>
      <c r="N470" s="61" t="s">
        <v>2504</v>
      </c>
      <c r="O470" s="58" t="s">
        <v>2505</v>
      </c>
      <c r="P470" s="58" t="s">
        <v>1447</v>
      </c>
      <c r="Q470" s="63" t="str">
        <f>IF(V470&lt;&gt;"","Completed","")</f>
        <v>Completed</v>
      </c>
      <c r="R470" s="64">
        <v>42693</v>
      </c>
      <c r="S470" s="64" t="s">
        <v>80</v>
      </c>
      <c r="T470" s="65">
        <v>33</v>
      </c>
      <c r="U470" s="65">
        <v>55</v>
      </c>
      <c r="V470" s="65">
        <v>55</v>
      </c>
      <c r="Y470" s="74" t="s">
        <v>44</v>
      </c>
      <c r="Z470" s="56" t="s">
        <v>1491</v>
      </c>
      <c r="AA470" s="249"/>
      <c r="AB470" s="65" t="s">
        <v>94</v>
      </c>
      <c r="AC470" s="65" t="s">
        <v>29</v>
      </c>
    </row>
    <row r="471" spans="1:30">
      <c r="A471" s="75" t="s">
        <v>1022</v>
      </c>
      <c r="B471" s="59"/>
      <c r="C471" s="57">
        <v>42724</v>
      </c>
      <c r="E471" s="65" t="s">
        <v>29</v>
      </c>
      <c r="F471" s="65" t="s">
        <v>29</v>
      </c>
      <c r="G471" s="58" t="s">
        <v>1443</v>
      </c>
      <c r="H471" s="58" t="s">
        <v>1456</v>
      </c>
      <c r="I471" s="60">
        <v>255</v>
      </c>
      <c r="J471" s="58" t="s">
        <v>94</v>
      </c>
      <c r="K471" s="58" t="s">
        <v>29</v>
      </c>
      <c r="L471" s="58" t="s">
        <v>94</v>
      </c>
      <c r="M471" s="58" t="s">
        <v>29</v>
      </c>
      <c r="N471" s="61" t="s">
        <v>2506</v>
      </c>
      <c r="O471" s="58" t="s">
        <v>2507</v>
      </c>
      <c r="P471" s="58" t="s">
        <v>1447</v>
      </c>
      <c r="Q471" s="63" t="str">
        <f>IF(V471&lt;&gt;"","Completed","")</f>
        <v>Completed</v>
      </c>
      <c r="R471" s="64">
        <v>42693</v>
      </c>
      <c r="S471" s="64" t="s">
        <v>80</v>
      </c>
      <c r="T471" s="65">
        <v>33</v>
      </c>
      <c r="U471" s="65">
        <v>55</v>
      </c>
      <c r="V471" s="65">
        <v>55</v>
      </c>
      <c r="Y471" s="74" t="s">
        <v>44</v>
      </c>
      <c r="Z471" s="56" t="s">
        <v>1491</v>
      </c>
      <c r="AA471" s="249"/>
      <c r="AB471" s="74" t="s">
        <v>94</v>
      </c>
      <c r="AC471" s="74" t="s">
        <v>29</v>
      </c>
    </row>
    <row r="472" spans="1:30">
      <c r="A472" s="75" t="s">
        <v>1022</v>
      </c>
      <c r="B472" s="59"/>
      <c r="C472" s="57">
        <v>42740</v>
      </c>
      <c r="E472" s="65" t="s">
        <v>29</v>
      </c>
      <c r="F472" s="65" t="s">
        <v>29</v>
      </c>
      <c r="G472" s="58" t="s">
        <v>1443</v>
      </c>
      <c r="H472" s="58" t="s">
        <v>1456</v>
      </c>
      <c r="I472" s="60">
        <v>363</v>
      </c>
      <c r="J472" s="58" t="s">
        <v>94</v>
      </c>
      <c r="K472" s="58" t="s">
        <v>29</v>
      </c>
      <c r="L472" s="58" t="s">
        <v>94</v>
      </c>
      <c r="M472" s="58" t="s">
        <v>29</v>
      </c>
      <c r="N472" s="61" t="s">
        <v>2508</v>
      </c>
      <c r="O472" s="58" t="s">
        <v>2509</v>
      </c>
      <c r="P472" s="58" t="s">
        <v>1447</v>
      </c>
      <c r="Q472" s="63" t="str">
        <f>IF(V472&lt;&gt;"","Completed","")</f>
        <v>Completed</v>
      </c>
      <c r="R472" s="64">
        <v>42672</v>
      </c>
      <c r="S472" s="64" t="s">
        <v>80</v>
      </c>
      <c r="T472" s="65">
        <v>52</v>
      </c>
      <c r="U472" s="65">
        <v>82</v>
      </c>
      <c r="V472" s="65">
        <v>82</v>
      </c>
      <c r="Y472" s="74" t="s">
        <v>44</v>
      </c>
      <c r="Z472" s="56" t="s">
        <v>1497</v>
      </c>
      <c r="AA472" s="249"/>
      <c r="AB472" s="65" t="s">
        <v>94</v>
      </c>
      <c r="AC472" s="65" t="s">
        <v>29</v>
      </c>
    </row>
    <row r="473" spans="1:30">
      <c r="A473" s="245" t="s">
        <v>1228</v>
      </c>
      <c r="B473" s="62" t="s">
        <v>371</v>
      </c>
      <c r="C473" s="57">
        <v>42733</v>
      </c>
      <c r="E473" s="65" t="s">
        <v>29</v>
      </c>
      <c r="F473" s="65" t="s">
        <v>29</v>
      </c>
      <c r="G473" s="58" t="s">
        <v>1443</v>
      </c>
      <c r="H473" s="58" t="s">
        <v>1456</v>
      </c>
      <c r="I473" s="60">
        <v>0</v>
      </c>
      <c r="J473" s="58" t="s">
        <v>94</v>
      </c>
      <c r="K473" s="58" t="s">
        <v>29</v>
      </c>
      <c r="L473" s="58" t="s">
        <v>94</v>
      </c>
      <c r="M473" s="58" t="s">
        <v>29</v>
      </c>
      <c r="N473" s="61" t="s">
        <v>2510</v>
      </c>
      <c r="O473" s="58" t="s">
        <v>2511</v>
      </c>
      <c r="P473" s="58" t="s">
        <v>1459</v>
      </c>
      <c r="Q473" s="63" t="str">
        <f>IF(V473&lt;&gt;"","Completed","")</f>
        <v>Completed</v>
      </c>
      <c r="R473" s="64">
        <v>42665</v>
      </c>
      <c r="S473" s="67" t="s">
        <v>43</v>
      </c>
      <c r="T473" s="242">
        <v>75</v>
      </c>
      <c r="U473" s="242">
        <v>119</v>
      </c>
      <c r="V473" s="242">
        <v>119</v>
      </c>
      <c r="W473" s="242"/>
      <c r="X473" s="242"/>
      <c r="Y473" s="74" t="s">
        <v>44</v>
      </c>
      <c r="Z473" s="345" t="s">
        <v>2512</v>
      </c>
      <c r="AA473" s="252"/>
      <c r="AB473" s="151" t="s">
        <v>94</v>
      </c>
      <c r="AC473" s="151" t="s">
        <v>94</v>
      </c>
    </row>
    <row r="474" spans="1:30">
      <c r="A474" s="75" t="s">
        <v>487</v>
      </c>
      <c r="B474" s="59"/>
      <c r="C474" s="57">
        <v>42726</v>
      </c>
      <c r="E474" s="65" t="s">
        <v>29</v>
      </c>
      <c r="F474" s="65" t="s">
        <v>29</v>
      </c>
      <c r="G474" s="58" t="s">
        <v>1443</v>
      </c>
      <c r="H474" s="58" t="s">
        <v>1456</v>
      </c>
      <c r="I474" s="60">
        <v>0</v>
      </c>
      <c r="J474" s="58" t="s">
        <v>29</v>
      </c>
      <c r="K474" s="58" t="s">
        <v>29</v>
      </c>
      <c r="L474" s="58" t="s">
        <v>94</v>
      </c>
      <c r="M474" s="58" t="s">
        <v>29</v>
      </c>
      <c r="N474" s="61" t="s">
        <v>2513</v>
      </c>
      <c r="O474" s="58" t="s">
        <v>2514</v>
      </c>
      <c r="P474" s="58" t="s">
        <v>1447</v>
      </c>
      <c r="Q474" s="63" t="str">
        <f>IF(V474&lt;&gt;"","Completed","")</f>
        <v>Completed</v>
      </c>
      <c r="R474" s="64">
        <v>42672</v>
      </c>
      <c r="S474" s="64" t="s">
        <v>114</v>
      </c>
      <c r="T474" s="65">
        <v>38</v>
      </c>
      <c r="U474" s="65">
        <v>76</v>
      </c>
      <c r="V474" s="65">
        <v>76</v>
      </c>
      <c r="Y474" s="74" t="s">
        <v>44</v>
      </c>
      <c r="Z474" s="56" t="s">
        <v>1640</v>
      </c>
      <c r="AA474" s="252"/>
      <c r="AB474" s="325" t="s">
        <v>94</v>
      </c>
      <c r="AC474" s="325" t="s">
        <v>94</v>
      </c>
    </row>
    <row r="475" spans="1:30">
      <c r="A475" s="331" t="s">
        <v>1206</v>
      </c>
      <c r="B475" s="59"/>
      <c r="C475" s="57">
        <v>42667</v>
      </c>
      <c r="E475" s="65" t="s">
        <v>29</v>
      </c>
      <c r="F475" s="65" t="s">
        <v>29</v>
      </c>
      <c r="G475" s="58" t="s">
        <v>1443</v>
      </c>
      <c r="H475" s="58" t="s">
        <v>1444</v>
      </c>
      <c r="I475" s="60">
        <v>234</v>
      </c>
      <c r="J475" s="58" t="s">
        <v>94</v>
      </c>
      <c r="K475" s="58" t="s">
        <v>29</v>
      </c>
      <c r="L475" s="58" t="s">
        <v>94</v>
      </c>
      <c r="M475" s="58" t="s">
        <v>29</v>
      </c>
      <c r="N475" s="61" t="s">
        <v>2515</v>
      </c>
      <c r="O475" s="58" t="s">
        <v>2516</v>
      </c>
      <c r="P475" s="58" t="s">
        <v>1459</v>
      </c>
      <c r="Q475" s="63" t="str">
        <f>IF(V475&lt;&gt;"","Completed","")</f>
        <v>Completed</v>
      </c>
      <c r="R475" s="64">
        <v>42665</v>
      </c>
      <c r="S475" s="64" t="s">
        <v>114</v>
      </c>
      <c r="T475" s="65">
        <v>8</v>
      </c>
      <c r="U475" s="65">
        <v>16</v>
      </c>
      <c r="V475" s="65">
        <v>16</v>
      </c>
      <c r="Y475" s="74" t="s">
        <v>44</v>
      </c>
      <c r="Z475" s="56" t="s">
        <v>1558</v>
      </c>
      <c r="AA475" s="252"/>
      <c r="AB475" s="103" t="s">
        <v>94</v>
      </c>
      <c r="AC475" s="385" t="s">
        <v>29</v>
      </c>
    </row>
    <row r="476" spans="1:30">
      <c r="A476" s="75" t="s">
        <v>703</v>
      </c>
      <c r="B476" s="59"/>
      <c r="C476" s="57">
        <v>42677</v>
      </c>
      <c r="E476" s="65" t="s">
        <v>29</v>
      </c>
      <c r="F476" s="65" t="s">
        <v>29</v>
      </c>
      <c r="G476" s="58" t="s">
        <v>1443</v>
      </c>
      <c r="H476" s="58"/>
      <c r="I476" s="60"/>
      <c r="J476" s="58"/>
      <c r="K476" s="58"/>
      <c r="L476" s="58"/>
      <c r="M476" s="58"/>
      <c r="N476" s="61" t="s">
        <v>2517</v>
      </c>
      <c r="O476" s="58" t="s">
        <v>2518</v>
      </c>
      <c r="P476" s="58"/>
      <c r="Q476" s="63" t="str">
        <f>IF(V476&lt;&gt;"","Completed","")</f>
        <v>Completed</v>
      </c>
      <c r="R476" s="64">
        <v>42658</v>
      </c>
      <c r="S476" s="64" t="s">
        <v>222</v>
      </c>
      <c r="T476" s="65">
        <v>105</v>
      </c>
      <c r="U476" s="65">
        <v>163</v>
      </c>
      <c r="V476" s="65">
        <v>163</v>
      </c>
      <c r="Y476" s="74" t="s">
        <v>44</v>
      </c>
      <c r="Z476" s="56" t="s">
        <v>1596</v>
      </c>
      <c r="AA476" s="249"/>
      <c r="AB476" s="242" t="s">
        <v>94</v>
      </c>
    </row>
    <row r="477" spans="1:30">
      <c r="A477" s="75" t="s">
        <v>703</v>
      </c>
      <c r="B477" s="59"/>
      <c r="C477" s="57">
        <v>42678</v>
      </c>
      <c r="E477" s="65" t="s">
        <v>29</v>
      </c>
      <c r="F477" s="65" t="s">
        <v>29</v>
      </c>
      <c r="G477" s="58" t="s">
        <v>1443</v>
      </c>
      <c r="H477" s="58"/>
      <c r="I477" s="60"/>
      <c r="J477" s="58"/>
      <c r="K477" s="58"/>
      <c r="L477" s="58"/>
      <c r="M477" s="58"/>
      <c r="N477" s="61" t="s">
        <v>2519</v>
      </c>
      <c r="O477" s="271" t="s">
        <v>2520</v>
      </c>
      <c r="P477" s="58"/>
      <c r="Q477" s="63" t="str">
        <f>IF(V477&lt;&gt;"","Completed","")</f>
        <v>Completed</v>
      </c>
      <c r="R477" s="64">
        <v>42658</v>
      </c>
      <c r="S477" s="64" t="s">
        <v>222</v>
      </c>
      <c r="T477" s="65">
        <v>89</v>
      </c>
      <c r="U477" s="65">
        <v>158</v>
      </c>
      <c r="V477" s="65">
        <v>158</v>
      </c>
      <c r="Y477" s="74" t="s">
        <v>44</v>
      </c>
      <c r="Z477" s="56" t="s">
        <v>1817</v>
      </c>
      <c r="AA477" s="249"/>
      <c r="AB477" s="242" t="s">
        <v>94</v>
      </c>
    </row>
    <row r="478" spans="1:30">
      <c r="A478" s="75" t="s">
        <v>313</v>
      </c>
      <c r="B478" s="59"/>
      <c r="C478" s="57">
        <v>42709</v>
      </c>
      <c r="D478" s="65">
        <v>3056000</v>
      </c>
      <c r="E478" s="65" t="s">
        <v>29</v>
      </c>
      <c r="F478" s="65" t="s">
        <v>29</v>
      </c>
      <c r="G478" s="58" t="s">
        <v>1443</v>
      </c>
      <c r="H478" s="58" t="s">
        <v>1456</v>
      </c>
      <c r="I478" s="60">
        <v>214</v>
      </c>
      <c r="J478" s="58" t="s">
        <v>94</v>
      </c>
      <c r="K478" s="58" t="s">
        <v>29</v>
      </c>
      <c r="L478" s="58" t="s">
        <v>94</v>
      </c>
      <c r="M478" s="58" t="s">
        <v>29</v>
      </c>
      <c r="N478" s="61" t="s">
        <v>2521</v>
      </c>
      <c r="O478" s="58" t="s">
        <v>2522</v>
      </c>
      <c r="P478" s="58" t="s">
        <v>1459</v>
      </c>
      <c r="Q478" s="63" t="str">
        <f>IF(V478&lt;&gt;"","Completed","")</f>
        <v>Completed</v>
      </c>
      <c r="R478" s="64">
        <v>42679</v>
      </c>
      <c r="S478" s="64" t="s">
        <v>149</v>
      </c>
      <c r="T478" s="65">
        <v>35</v>
      </c>
      <c r="U478" s="65">
        <v>68</v>
      </c>
      <c r="V478" s="65">
        <v>68</v>
      </c>
      <c r="Y478" s="74" t="s">
        <v>44</v>
      </c>
      <c r="Z478" s="56" t="s">
        <v>2063</v>
      </c>
      <c r="AA478" s="249"/>
      <c r="AB478" s="65" t="s">
        <v>94</v>
      </c>
      <c r="AC478" s="65" t="s">
        <v>94</v>
      </c>
      <c r="AD478" s="349"/>
    </row>
    <row r="479" spans="1:30">
      <c r="A479" s="63" t="s">
        <v>45</v>
      </c>
      <c r="B479" s="63" t="s">
        <v>46</v>
      </c>
      <c r="C479" s="112">
        <v>42746</v>
      </c>
      <c r="D479" s="315">
        <v>2002000</v>
      </c>
      <c r="E479" s="57" t="s">
        <v>29</v>
      </c>
      <c r="F479" s="65" t="s">
        <v>29</v>
      </c>
      <c r="G479" s="63" t="s">
        <v>1443</v>
      </c>
      <c r="H479" s="63" t="s">
        <v>1444</v>
      </c>
      <c r="I479" s="58">
        <v>300</v>
      </c>
      <c r="J479" s="58" t="s">
        <v>29</v>
      </c>
      <c r="K479" s="60" t="s">
        <v>29</v>
      </c>
      <c r="L479" s="58" t="s">
        <v>94</v>
      </c>
      <c r="M479" s="58" t="s">
        <v>29</v>
      </c>
      <c r="N479" s="58" t="s">
        <v>2523</v>
      </c>
      <c r="O479" s="58" t="s">
        <v>2524</v>
      </c>
      <c r="P479" s="61" t="s">
        <v>1447</v>
      </c>
      <c r="Q479" s="63" t="str">
        <f>IF(V479&lt;&gt;"","Completed","")</f>
        <v>Completed</v>
      </c>
      <c r="R479" s="57">
        <v>42685</v>
      </c>
      <c r="S479" s="57" t="s">
        <v>57</v>
      </c>
      <c r="T479" s="65">
        <v>129</v>
      </c>
      <c r="U479" s="273">
        <v>198</v>
      </c>
      <c r="V479" s="273">
        <v>198</v>
      </c>
      <c r="W479" s="273"/>
      <c r="X479" s="273"/>
      <c r="Y479" s="74" t="s">
        <v>44</v>
      </c>
      <c r="Z479" s="56" t="s">
        <v>1590</v>
      </c>
      <c r="AA479" s="104"/>
      <c r="AB479" s="65" t="s">
        <v>94</v>
      </c>
      <c r="AC479" s="65" t="s">
        <v>94</v>
      </c>
      <c r="AD479" s="56"/>
    </row>
    <row r="480" spans="1:30">
      <c r="A480" s="75" t="s">
        <v>1080</v>
      </c>
      <c r="B480" s="59"/>
      <c r="C480" s="57">
        <v>42716</v>
      </c>
      <c r="E480" s="65" t="s">
        <v>29</v>
      </c>
      <c r="F480" s="65" t="s">
        <v>29</v>
      </c>
      <c r="G480" s="58" t="s">
        <v>1443</v>
      </c>
      <c r="H480" s="58" t="s">
        <v>1449</v>
      </c>
      <c r="I480" s="60">
        <v>0</v>
      </c>
      <c r="J480" s="58" t="s">
        <v>94</v>
      </c>
      <c r="K480" s="58" t="s">
        <v>29</v>
      </c>
      <c r="L480" s="58" t="s">
        <v>29</v>
      </c>
      <c r="M480" s="58" t="s">
        <v>29</v>
      </c>
      <c r="N480" s="61" t="s">
        <v>2525</v>
      </c>
      <c r="O480" s="58" t="s">
        <v>2526</v>
      </c>
      <c r="P480" s="58" t="s">
        <v>1447</v>
      </c>
      <c r="Q480" s="63" t="str">
        <f>IF(V480&lt;&gt;"","Completed","")</f>
        <v>Completed</v>
      </c>
      <c r="R480" s="64">
        <v>42672</v>
      </c>
      <c r="S480" s="64" t="s">
        <v>433</v>
      </c>
      <c r="T480" s="65">
        <v>16</v>
      </c>
      <c r="U480" s="65">
        <v>31</v>
      </c>
      <c r="V480" s="65">
        <v>31</v>
      </c>
      <c r="Y480" s="74" t="s">
        <v>44</v>
      </c>
      <c r="Z480" s="56" t="s">
        <v>1590</v>
      </c>
      <c r="AA480" s="252"/>
      <c r="AB480" s="324" t="s">
        <v>94</v>
      </c>
      <c r="AC480" s="151" t="s">
        <v>29</v>
      </c>
    </row>
    <row r="481" spans="1:30">
      <c r="A481" s="75" t="s">
        <v>502</v>
      </c>
      <c r="B481" s="59"/>
      <c r="C481" s="57">
        <v>42794</v>
      </c>
      <c r="E481" s="65" t="s">
        <v>29</v>
      </c>
      <c r="F481" s="65" t="s">
        <v>29</v>
      </c>
      <c r="G481" s="58"/>
      <c r="H481" s="58"/>
      <c r="I481" s="60"/>
      <c r="J481" s="58"/>
      <c r="K481" s="58"/>
      <c r="L481" s="58"/>
      <c r="M481" s="58"/>
      <c r="N481" s="251" t="s">
        <v>2527</v>
      </c>
      <c r="O481" s="58" t="s">
        <v>2528</v>
      </c>
      <c r="P481" s="58"/>
      <c r="Q481" s="63" t="str">
        <f>IF(V481&lt;&gt;"","Completed","")</f>
        <v>Completed</v>
      </c>
      <c r="R481" s="64">
        <v>42748</v>
      </c>
      <c r="S481" s="64" t="s">
        <v>57</v>
      </c>
      <c r="T481" s="65">
        <v>60</v>
      </c>
      <c r="U481" s="65">
        <v>102</v>
      </c>
      <c r="V481" s="65">
        <v>102</v>
      </c>
      <c r="Y481" s="74" t="s">
        <v>44</v>
      </c>
      <c r="Z481" s="56" t="s">
        <v>1541</v>
      </c>
      <c r="AA481" s="249"/>
      <c r="AB481" s="65" t="s">
        <v>94</v>
      </c>
      <c r="AC481" s="65" t="s">
        <v>29</v>
      </c>
      <c r="AD481" s="56"/>
    </row>
    <row r="482" spans="1:30">
      <c r="A482" s="75" t="s">
        <v>205</v>
      </c>
      <c r="B482" s="59"/>
      <c r="C482" s="57">
        <v>42747</v>
      </c>
      <c r="D482" s="65">
        <v>3030000</v>
      </c>
      <c r="E482" s="65" t="s">
        <v>29</v>
      </c>
      <c r="F482" s="65" t="s">
        <v>29</v>
      </c>
      <c r="G482" s="58" t="s">
        <v>1443</v>
      </c>
      <c r="H482" s="58" t="s">
        <v>1456</v>
      </c>
      <c r="I482" s="60">
        <v>0</v>
      </c>
      <c r="J482" s="58" t="s">
        <v>29</v>
      </c>
      <c r="K482" s="58" t="s">
        <v>29</v>
      </c>
      <c r="L482" s="58" t="s">
        <v>94</v>
      </c>
      <c r="M482" s="58" t="s">
        <v>29</v>
      </c>
      <c r="N482" s="61" t="s">
        <v>2529</v>
      </c>
      <c r="O482" s="58" t="s">
        <v>2530</v>
      </c>
      <c r="P482" s="58" t="s">
        <v>1447</v>
      </c>
      <c r="Q482" s="63" t="str">
        <f>IF(V482&lt;&gt;"","Completed","")</f>
        <v>Completed</v>
      </c>
      <c r="R482" s="64">
        <v>42720</v>
      </c>
      <c r="S482" s="64" t="s">
        <v>149</v>
      </c>
      <c r="T482" s="65">
        <v>40</v>
      </c>
      <c r="U482" s="65">
        <v>67</v>
      </c>
      <c r="V482" s="65">
        <v>67</v>
      </c>
      <c r="Y482" s="74" t="s">
        <v>44</v>
      </c>
      <c r="Z482" s="56" t="s">
        <v>1549</v>
      </c>
      <c r="AA482" s="252"/>
      <c r="AB482" s="65" t="s">
        <v>94</v>
      </c>
      <c r="AC482" s="65" t="s">
        <v>94</v>
      </c>
    </row>
    <row r="483" spans="1:30">
      <c r="A483" s="75" t="s">
        <v>624</v>
      </c>
      <c r="B483" s="59"/>
      <c r="C483" s="57">
        <v>42677</v>
      </c>
      <c r="E483" s="65" t="s">
        <v>29</v>
      </c>
      <c r="F483" s="65" t="s">
        <v>29</v>
      </c>
      <c r="G483" s="58" t="s">
        <v>1443</v>
      </c>
      <c r="H483" s="58"/>
      <c r="I483" s="60"/>
      <c r="J483" s="58"/>
      <c r="K483" s="58"/>
      <c r="L483" s="58"/>
      <c r="M483" s="58"/>
      <c r="N483" s="61" t="s">
        <v>2531</v>
      </c>
      <c r="O483" s="58" t="s">
        <v>2532</v>
      </c>
      <c r="P483" s="58" t="s">
        <v>1459</v>
      </c>
      <c r="Q483" s="63" t="str">
        <f>IF(V483&lt;&gt;"","Completed","")</f>
        <v>Completed</v>
      </c>
      <c r="R483" s="64">
        <v>42657</v>
      </c>
      <c r="S483" s="64" t="s">
        <v>80</v>
      </c>
      <c r="T483" s="150">
        <v>49</v>
      </c>
      <c r="U483" s="150">
        <v>71</v>
      </c>
      <c r="V483" s="150">
        <v>71</v>
      </c>
      <c r="W483" s="150"/>
      <c r="X483" s="150"/>
      <c r="Y483" s="74" t="s">
        <v>44</v>
      </c>
      <c r="Z483" s="56" t="s">
        <v>1596</v>
      </c>
      <c r="AA483" s="249"/>
      <c r="AB483" s="242" t="s">
        <v>94</v>
      </c>
      <c r="AC483" s="242" t="s">
        <v>94</v>
      </c>
    </row>
    <row r="484" spans="1:30">
      <c r="A484" s="332" t="s">
        <v>435</v>
      </c>
      <c r="B484" s="59"/>
      <c r="C484" s="57">
        <v>42655</v>
      </c>
      <c r="E484" s="65" t="s">
        <v>29</v>
      </c>
      <c r="F484" s="65" t="s">
        <v>29</v>
      </c>
      <c r="G484" s="58" t="s">
        <v>1443</v>
      </c>
      <c r="H484" s="58" t="s">
        <v>1444</v>
      </c>
      <c r="I484" s="60">
        <v>363</v>
      </c>
      <c r="J484" s="58" t="s">
        <v>94</v>
      </c>
      <c r="K484" s="58" t="s">
        <v>29</v>
      </c>
      <c r="L484" s="58" t="s">
        <v>29</v>
      </c>
      <c r="M484" s="58" t="s">
        <v>29</v>
      </c>
      <c r="N484" s="375" t="s">
        <v>2533</v>
      </c>
      <c r="O484" s="373" t="s">
        <v>2534</v>
      </c>
      <c r="P484" s="58" t="s">
        <v>1459</v>
      </c>
      <c r="Q484" s="63" t="str">
        <f>IF(V484&lt;&gt;"","Completed","")</f>
        <v>Completed</v>
      </c>
      <c r="R484" s="64">
        <v>42630</v>
      </c>
      <c r="S484" s="64" t="s">
        <v>80</v>
      </c>
      <c r="T484" s="242">
        <v>74</v>
      </c>
      <c r="U484" s="242">
        <v>112</v>
      </c>
      <c r="V484" s="242">
        <v>112</v>
      </c>
      <c r="Y484" s="74" t="s">
        <v>44</v>
      </c>
      <c r="Z484" s="56" t="s">
        <v>1663</v>
      </c>
      <c r="AA484" s="252"/>
      <c r="AB484" s="347" t="s">
        <v>94</v>
      </c>
      <c r="AC484" s="242" t="s">
        <v>29</v>
      </c>
    </row>
    <row r="485" spans="1:30">
      <c r="A485" s="75" t="s">
        <v>748</v>
      </c>
      <c r="B485" s="59"/>
      <c r="C485" s="57">
        <v>42713</v>
      </c>
      <c r="E485" s="65" t="s">
        <v>29</v>
      </c>
      <c r="F485" s="65" t="s">
        <v>29</v>
      </c>
      <c r="G485" s="58" t="s">
        <v>1443</v>
      </c>
      <c r="H485" s="58" t="s">
        <v>1456</v>
      </c>
      <c r="I485" s="60">
        <v>0</v>
      </c>
      <c r="J485" s="58" t="s">
        <v>29</v>
      </c>
      <c r="K485" s="58" t="s">
        <v>29</v>
      </c>
      <c r="L485" s="58" t="s">
        <v>29</v>
      </c>
      <c r="M485" s="58" t="s">
        <v>29</v>
      </c>
      <c r="N485" s="61" t="s">
        <v>2535</v>
      </c>
      <c r="O485" s="58" t="s">
        <v>2536</v>
      </c>
      <c r="P485" s="58" t="s">
        <v>1447</v>
      </c>
      <c r="Q485" s="63" t="str">
        <f>IF(V485&lt;&gt;"","Completed","")</f>
        <v>Completed</v>
      </c>
      <c r="R485" s="64">
        <v>42665</v>
      </c>
      <c r="S485" s="64" t="s">
        <v>149</v>
      </c>
      <c r="T485" s="65">
        <v>55</v>
      </c>
      <c r="U485" s="65">
        <f>(57*2)-2</f>
        <v>112</v>
      </c>
      <c r="V485" s="65">
        <f>(57*2)-2</f>
        <v>112</v>
      </c>
      <c r="Y485" s="74" t="s">
        <v>44</v>
      </c>
      <c r="Z485" s="56" t="s">
        <v>1488</v>
      </c>
      <c r="AA485" s="249"/>
      <c r="AB485" s="65" t="s">
        <v>94</v>
      </c>
      <c r="AC485" s="65" t="s">
        <v>94</v>
      </c>
      <c r="AD485" s="56"/>
    </row>
    <row r="486" spans="1:30">
      <c r="A486" s="75" t="s">
        <v>748</v>
      </c>
      <c r="B486" s="59"/>
      <c r="C486" s="57">
        <v>42719</v>
      </c>
      <c r="E486" s="65" t="s">
        <v>29</v>
      </c>
      <c r="F486" s="65" t="s">
        <v>29</v>
      </c>
      <c r="G486" s="58" t="s">
        <v>1443</v>
      </c>
      <c r="H486" s="58" t="s">
        <v>1456</v>
      </c>
      <c r="I486" s="60">
        <v>175</v>
      </c>
      <c r="J486" s="58" t="s">
        <v>94</v>
      </c>
      <c r="K486" s="58" t="s">
        <v>29</v>
      </c>
      <c r="L486" s="58" t="s">
        <v>29</v>
      </c>
      <c r="M486" s="58" t="s">
        <v>29</v>
      </c>
      <c r="N486" s="61" t="s">
        <v>2537</v>
      </c>
      <c r="O486" s="58" t="s">
        <v>2538</v>
      </c>
      <c r="P486" s="58" t="s">
        <v>1447</v>
      </c>
      <c r="Q486" s="63" t="str">
        <f>IF(V486&lt;&gt;"","Completed","")</f>
        <v>Completed</v>
      </c>
      <c r="R486" s="64">
        <v>42665</v>
      </c>
      <c r="S486" s="64" t="s">
        <v>149</v>
      </c>
      <c r="T486" s="65">
        <v>50</v>
      </c>
      <c r="U486" s="65">
        <v>99</v>
      </c>
      <c r="V486" s="65">
        <v>99</v>
      </c>
      <c r="Y486" s="74" t="s">
        <v>44</v>
      </c>
      <c r="Z486" s="56" t="s">
        <v>1590</v>
      </c>
      <c r="AA486" s="249">
        <f>SUM(V483:V486)</f>
        <v>394</v>
      </c>
      <c r="AB486" s="65" t="s">
        <v>94</v>
      </c>
      <c r="AC486" s="65" t="s">
        <v>94</v>
      </c>
      <c r="AD486" s="56" t="s">
        <v>1733</v>
      </c>
    </row>
    <row r="487" spans="1:30">
      <c r="A487" s="75" t="s">
        <v>756</v>
      </c>
      <c r="B487" s="59"/>
      <c r="C487" s="57">
        <v>42780</v>
      </c>
      <c r="E487" s="65" t="s">
        <v>29</v>
      </c>
      <c r="F487" s="65" t="s">
        <v>94</v>
      </c>
      <c r="G487" s="58" t="s">
        <v>1443</v>
      </c>
      <c r="H487" s="58" t="s">
        <v>1456</v>
      </c>
      <c r="I487" s="60">
        <v>0</v>
      </c>
      <c r="J487" s="58" t="s">
        <v>94</v>
      </c>
      <c r="K487" s="58" t="s">
        <v>29</v>
      </c>
      <c r="L487" s="58" t="s">
        <v>94</v>
      </c>
      <c r="M487" s="58" t="s">
        <v>94</v>
      </c>
      <c r="N487" s="61" t="s">
        <v>2539</v>
      </c>
      <c r="O487" s="58" t="s">
        <v>2540</v>
      </c>
      <c r="P487" s="58" t="s">
        <v>1459</v>
      </c>
      <c r="Q487" s="63" t="str">
        <f>IF(V487&lt;&gt;"","Completed","")</f>
        <v>Completed</v>
      </c>
      <c r="R487" s="64">
        <v>42748</v>
      </c>
      <c r="S487" s="64" t="s">
        <v>104</v>
      </c>
      <c r="T487" s="65">
        <v>25</v>
      </c>
      <c r="V487" s="256">
        <v>44</v>
      </c>
      <c r="Y487" s="74" t="s">
        <v>44</v>
      </c>
      <c r="Z487" s="56" t="s">
        <v>2430</v>
      </c>
      <c r="AA487" s="252"/>
      <c r="AB487" s="74" t="s">
        <v>94</v>
      </c>
      <c r="AC487" s="65" t="s">
        <v>29</v>
      </c>
    </row>
    <row r="488" spans="1:30">
      <c r="A488" s="332" t="s">
        <v>773</v>
      </c>
      <c r="B488" s="59"/>
      <c r="C488" s="57">
        <v>42748</v>
      </c>
      <c r="E488" s="65" t="s">
        <v>29</v>
      </c>
      <c r="F488" s="65" t="s">
        <v>29</v>
      </c>
      <c r="G488" s="58"/>
      <c r="H488" s="58"/>
      <c r="I488" s="60"/>
      <c r="J488" s="58"/>
      <c r="K488" s="58"/>
      <c r="L488" s="58"/>
      <c r="M488" s="58"/>
      <c r="N488" s="61" t="s">
        <v>2541</v>
      </c>
      <c r="O488" s="58" t="s">
        <v>2542</v>
      </c>
      <c r="P488" s="58"/>
      <c r="Q488" s="63" t="str">
        <f>IF(V488&lt;&gt;"","Completed","")</f>
        <v>Completed</v>
      </c>
      <c r="R488" s="64">
        <v>42682</v>
      </c>
      <c r="S488" s="64" t="s">
        <v>433</v>
      </c>
      <c r="T488" s="65">
        <v>32</v>
      </c>
      <c r="U488" s="242">
        <v>60</v>
      </c>
      <c r="V488" s="242">
        <v>60</v>
      </c>
      <c r="W488" s="242"/>
      <c r="X488" s="242"/>
      <c r="Y488" s="74" t="s">
        <v>44</v>
      </c>
      <c r="Z488" s="345" t="s">
        <v>2512</v>
      </c>
      <c r="AA488" s="249"/>
      <c r="AB488" s="74" t="s">
        <v>94</v>
      </c>
      <c r="AC488" s="65" t="s">
        <v>29</v>
      </c>
    </row>
    <row r="489" spans="1:30">
      <c r="A489" s="75" t="s">
        <v>502</v>
      </c>
      <c r="B489" s="59"/>
      <c r="C489" s="57">
        <v>42794</v>
      </c>
      <c r="E489" s="65" t="s">
        <v>29</v>
      </c>
      <c r="F489" s="65" t="s">
        <v>29</v>
      </c>
      <c r="G489" s="58"/>
      <c r="H489" s="58"/>
      <c r="I489" s="60"/>
      <c r="J489" s="58"/>
      <c r="K489" s="58"/>
      <c r="L489" s="58"/>
      <c r="M489" s="58"/>
      <c r="N489" s="251" t="s">
        <v>2543</v>
      </c>
      <c r="O489" s="58" t="s">
        <v>2544</v>
      </c>
      <c r="P489" s="58"/>
      <c r="Q489" s="63" t="str">
        <f>IF(V489&lt;&gt;"","Completed","")</f>
        <v>Completed</v>
      </c>
      <c r="R489" s="64">
        <v>42756</v>
      </c>
      <c r="S489" s="64" t="s">
        <v>57</v>
      </c>
      <c r="T489" s="65">
        <v>31</v>
      </c>
      <c r="U489" s="65">
        <v>60</v>
      </c>
      <c r="V489" s="65">
        <v>60</v>
      </c>
      <c r="Y489" s="74" t="s">
        <v>44</v>
      </c>
      <c r="Z489" s="56" t="s">
        <v>1541</v>
      </c>
      <c r="AA489" s="249"/>
      <c r="AB489" s="65" t="s">
        <v>94</v>
      </c>
      <c r="AC489" s="65" t="s">
        <v>29</v>
      </c>
      <c r="AD489" s="56" t="s">
        <v>2545</v>
      </c>
    </row>
    <row r="490" spans="1:30">
      <c r="A490" s="75" t="s">
        <v>655</v>
      </c>
      <c r="B490" s="59"/>
      <c r="C490" s="57">
        <v>42713</v>
      </c>
      <c r="E490" s="65" t="s">
        <v>29</v>
      </c>
      <c r="F490" s="65" t="s">
        <v>29</v>
      </c>
      <c r="G490" s="58" t="s">
        <v>1443</v>
      </c>
      <c r="H490" s="58" t="s">
        <v>1444</v>
      </c>
      <c r="I490" s="60">
        <v>0</v>
      </c>
      <c r="J490" s="58" t="s">
        <v>94</v>
      </c>
      <c r="K490" s="58" t="s">
        <v>29</v>
      </c>
      <c r="L490" s="58" t="s">
        <v>29</v>
      </c>
      <c r="M490" s="58" t="s">
        <v>29</v>
      </c>
      <c r="N490" s="61" t="s">
        <v>2546</v>
      </c>
      <c r="O490" s="58" t="s">
        <v>2547</v>
      </c>
      <c r="P490" s="58" t="s">
        <v>1447</v>
      </c>
      <c r="Q490" s="63" t="str">
        <f>IF(V490&lt;&gt;"","Completed","")</f>
        <v>Completed</v>
      </c>
      <c r="R490" s="64">
        <v>42649</v>
      </c>
      <c r="S490" s="64" t="s">
        <v>149</v>
      </c>
      <c r="T490" s="65">
        <v>44</v>
      </c>
      <c r="U490" s="65">
        <v>74</v>
      </c>
      <c r="V490" s="65">
        <v>74</v>
      </c>
      <c r="Y490" s="74" t="s">
        <v>44</v>
      </c>
      <c r="Z490" s="56" t="s">
        <v>1777</v>
      </c>
      <c r="AA490" s="249">
        <f>SUM(V488:V490)</f>
        <v>194</v>
      </c>
      <c r="AB490" s="65" t="s">
        <v>94</v>
      </c>
      <c r="AC490" s="65" t="s">
        <v>29</v>
      </c>
    </row>
    <row r="491" spans="1:30">
      <c r="A491" s="75" t="s">
        <v>938</v>
      </c>
      <c r="B491" s="59"/>
      <c r="C491" s="57">
        <v>42726</v>
      </c>
      <c r="E491" s="65" t="s">
        <v>29</v>
      </c>
      <c r="F491" s="65" t="s">
        <v>29</v>
      </c>
      <c r="G491" s="58" t="s">
        <v>1443</v>
      </c>
      <c r="H491" s="58" t="s">
        <v>1456</v>
      </c>
      <c r="I491" s="60">
        <v>219</v>
      </c>
      <c r="J491" s="58" t="s">
        <v>94</v>
      </c>
      <c r="K491" s="58" t="s">
        <v>29</v>
      </c>
      <c r="L491" s="58" t="s">
        <v>94</v>
      </c>
      <c r="M491" s="58" t="s">
        <v>29</v>
      </c>
      <c r="N491" s="61" t="s">
        <v>2548</v>
      </c>
      <c r="O491" s="58" t="s">
        <v>2549</v>
      </c>
      <c r="P491" s="58" t="s">
        <v>1447</v>
      </c>
      <c r="Q491" s="63" t="str">
        <f>IF(V491&lt;&gt;"","Completed","")</f>
        <v>Completed</v>
      </c>
      <c r="R491" s="64">
        <v>42634</v>
      </c>
      <c r="S491" s="64" t="s">
        <v>43</v>
      </c>
      <c r="T491" s="65">
        <v>3</v>
      </c>
      <c r="U491" s="65">
        <v>6</v>
      </c>
      <c r="V491" s="65">
        <v>6</v>
      </c>
      <c r="Y491" s="74" t="s">
        <v>44</v>
      </c>
      <c r="Z491" s="257" t="s">
        <v>2311</v>
      </c>
      <c r="AA491" s="252"/>
      <c r="AB491" s="74" t="s">
        <v>94</v>
      </c>
      <c r="AC491" s="65" t="s">
        <v>29</v>
      </c>
    </row>
    <row r="492" spans="1:30">
      <c r="A492" s="75" t="s">
        <v>632</v>
      </c>
      <c r="B492" s="59"/>
      <c r="C492" s="57">
        <v>42755</v>
      </c>
      <c r="E492" s="65" t="s">
        <v>29</v>
      </c>
      <c r="F492" s="65" t="s">
        <v>29</v>
      </c>
      <c r="G492" s="58" t="s">
        <v>1443</v>
      </c>
      <c r="H492" s="58" t="s">
        <v>1449</v>
      </c>
      <c r="I492" s="60">
        <v>581</v>
      </c>
      <c r="J492" s="58" t="s">
        <v>94</v>
      </c>
      <c r="K492" s="58" t="s">
        <v>29</v>
      </c>
      <c r="L492" s="58" t="s">
        <v>29</v>
      </c>
      <c r="M492" s="58" t="s">
        <v>29</v>
      </c>
      <c r="N492" s="61" t="s">
        <v>2550</v>
      </c>
      <c r="O492" s="58" t="s">
        <v>2551</v>
      </c>
      <c r="P492" s="58" t="s">
        <v>1447</v>
      </c>
      <c r="Q492" s="63" t="str">
        <f>IF(V492&lt;&gt;"","Completed","")</f>
        <v>Completed</v>
      </c>
      <c r="R492" s="64">
        <v>42718</v>
      </c>
      <c r="S492" s="64" t="s">
        <v>57</v>
      </c>
      <c r="T492" s="65">
        <v>38</v>
      </c>
      <c r="U492" s="65">
        <v>75</v>
      </c>
      <c r="V492" s="65">
        <v>75</v>
      </c>
      <c r="Y492" s="74" t="s">
        <v>44</v>
      </c>
      <c r="Z492" s="56" t="s">
        <v>1485</v>
      </c>
      <c r="AA492" s="118">
        <f>SUM(V490:V492)</f>
        <v>155</v>
      </c>
      <c r="AB492" s="65" t="s">
        <v>94</v>
      </c>
      <c r="AC492" s="65" t="s">
        <v>94</v>
      </c>
    </row>
    <row r="493" spans="1:30">
      <c r="A493" s="75" t="s">
        <v>1152</v>
      </c>
      <c r="B493" s="59"/>
      <c r="C493" s="57">
        <v>42690</v>
      </c>
      <c r="E493" s="65" t="s">
        <v>29</v>
      </c>
      <c r="F493" s="65" t="s">
        <v>29</v>
      </c>
      <c r="G493" s="58" t="s">
        <v>1443</v>
      </c>
      <c r="H493" s="58" t="s">
        <v>1449</v>
      </c>
      <c r="I493" s="60">
        <v>213</v>
      </c>
      <c r="J493" s="58" t="s">
        <v>94</v>
      </c>
      <c r="K493" s="58" t="s">
        <v>29</v>
      </c>
      <c r="L493" s="58" t="s">
        <v>94</v>
      </c>
      <c r="M493" s="58" t="s">
        <v>29</v>
      </c>
      <c r="N493" s="61" t="s">
        <v>2552</v>
      </c>
      <c r="O493" s="58" t="s">
        <v>2551</v>
      </c>
      <c r="P493" s="58" t="s">
        <v>1459</v>
      </c>
      <c r="Q493" s="63" t="str">
        <f>IF(V493&lt;&gt;"","Completed","")</f>
        <v>Completed</v>
      </c>
      <c r="R493" s="64">
        <v>42665</v>
      </c>
      <c r="S493" s="64" t="s">
        <v>80</v>
      </c>
      <c r="T493" s="65">
        <v>22</v>
      </c>
      <c r="U493" s="65">
        <v>44</v>
      </c>
      <c r="V493" s="65">
        <v>44</v>
      </c>
      <c r="Y493" s="74" t="s">
        <v>44</v>
      </c>
      <c r="Z493" s="56" t="s">
        <v>1681</v>
      </c>
      <c r="AA493" s="249"/>
      <c r="AB493" s="65" t="s">
        <v>94</v>
      </c>
      <c r="AC493" s="65" t="s">
        <v>29</v>
      </c>
    </row>
    <row r="494" spans="1:30">
      <c r="A494" s="332" t="s">
        <v>1190</v>
      </c>
      <c r="B494" s="59"/>
      <c r="C494" s="57">
        <v>42727</v>
      </c>
      <c r="E494" s="65" t="s">
        <v>29</v>
      </c>
      <c r="F494" s="65" t="s">
        <v>29</v>
      </c>
      <c r="G494" s="58" t="s">
        <v>1443</v>
      </c>
      <c r="H494" s="58" t="s">
        <v>1456</v>
      </c>
      <c r="I494" s="60">
        <v>189</v>
      </c>
      <c r="J494" s="58" t="s">
        <v>94</v>
      </c>
      <c r="K494" s="58" t="s">
        <v>29</v>
      </c>
      <c r="L494" s="58" t="s">
        <v>94</v>
      </c>
      <c r="M494" s="58" t="s">
        <v>29</v>
      </c>
      <c r="N494" s="61" t="s">
        <v>2553</v>
      </c>
      <c r="O494" s="58" t="s">
        <v>2551</v>
      </c>
      <c r="P494" s="58" t="s">
        <v>1459</v>
      </c>
      <c r="Q494" s="63" t="str">
        <f>IF(V494&lt;&gt;"","Completed","")</f>
        <v>Completed</v>
      </c>
      <c r="R494" s="67">
        <v>42718</v>
      </c>
      <c r="S494" s="67" t="s">
        <v>149</v>
      </c>
      <c r="T494" s="242">
        <v>34</v>
      </c>
      <c r="U494" s="242">
        <v>58</v>
      </c>
      <c r="V494" s="242">
        <v>58</v>
      </c>
      <c r="W494" s="242"/>
      <c r="X494" s="242"/>
      <c r="Y494" s="74" t="s">
        <v>44</v>
      </c>
      <c r="Z494" s="345" t="s">
        <v>1605</v>
      </c>
      <c r="AA494" s="252"/>
      <c r="AB494" s="74" t="s">
        <v>94</v>
      </c>
      <c r="AC494" s="65" t="s">
        <v>29</v>
      </c>
    </row>
    <row r="495" spans="1:30" ht="14.25" customHeight="1">
      <c r="A495" s="63" t="s">
        <v>45</v>
      </c>
      <c r="B495" s="63" t="s">
        <v>46</v>
      </c>
      <c r="C495" s="112">
        <v>42746</v>
      </c>
      <c r="D495" s="315">
        <v>2002000</v>
      </c>
      <c r="E495" s="57" t="s">
        <v>29</v>
      </c>
      <c r="F495" s="65" t="s">
        <v>29</v>
      </c>
      <c r="G495" s="63" t="s">
        <v>1443</v>
      </c>
      <c r="H495" s="63" t="s">
        <v>1444</v>
      </c>
      <c r="I495" s="58">
        <v>300</v>
      </c>
      <c r="J495" s="58" t="s">
        <v>29</v>
      </c>
      <c r="K495" s="60" t="s">
        <v>29</v>
      </c>
      <c r="L495" s="58" t="s">
        <v>94</v>
      </c>
      <c r="M495" s="58" t="s">
        <v>29</v>
      </c>
      <c r="N495" s="58" t="s">
        <v>2554</v>
      </c>
      <c r="O495" s="58" t="s">
        <v>2555</v>
      </c>
      <c r="P495" s="61" t="s">
        <v>1447</v>
      </c>
      <c r="Q495" s="63" t="str">
        <f>IF(V495&lt;&gt;"","Completed","")</f>
        <v>Completed</v>
      </c>
      <c r="R495" s="57">
        <v>42685</v>
      </c>
      <c r="S495" s="57" t="s">
        <v>57</v>
      </c>
      <c r="T495" s="65">
        <v>32</v>
      </c>
      <c r="U495" s="273">
        <v>46</v>
      </c>
      <c r="V495" s="273">
        <v>46</v>
      </c>
      <c r="W495" s="273"/>
      <c r="X495" s="273"/>
      <c r="Y495" s="74" t="s">
        <v>44</v>
      </c>
      <c r="Z495" s="145" t="s">
        <v>1478</v>
      </c>
      <c r="AA495" s="104"/>
      <c r="AB495" s="65" t="s">
        <v>94</v>
      </c>
      <c r="AC495" s="65" t="s">
        <v>29</v>
      </c>
      <c r="AD495" s="56"/>
    </row>
    <row r="496" spans="1:30">
      <c r="A496" s="75" t="s">
        <v>929</v>
      </c>
      <c r="B496" s="59"/>
      <c r="C496" s="57">
        <v>42790</v>
      </c>
      <c r="E496" s="65" t="s">
        <v>29</v>
      </c>
      <c r="F496" s="65" t="s">
        <v>94</v>
      </c>
      <c r="G496" s="58" t="s">
        <v>1443</v>
      </c>
      <c r="H496" s="58" t="s">
        <v>1444</v>
      </c>
      <c r="I496" s="60">
        <v>300</v>
      </c>
      <c r="J496" s="58" t="s">
        <v>94</v>
      </c>
      <c r="K496" s="58" t="s">
        <v>29</v>
      </c>
      <c r="L496" s="58" t="s">
        <v>94</v>
      </c>
      <c r="M496" s="58" t="s">
        <v>94</v>
      </c>
      <c r="N496" s="61" t="s">
        <v>2556</v>
      </c>
      <c r="O496" s="58" t="s">
        <v>2557</v>
      </c>
      <c r="P496" s="58" t="s">
        <v>1447</v>
      </c>
      <c r="Q496" s="63" t="str">
        <f>IF(V496&lt;&gt;"","Completed","")</f>
        <v>Completed</v>
      </c>
      <c r="R496" s="64">
        <v>42640</v>
      </c>
      <c r="S496" s="386" t="s">
        <v>172</v>
      </c>
      <c r="T496" s="65">
        <v>24</v>
      </c>
      <c r="U496" s="256">
        <v>44</v>
      </c>
      <c r="V496" s="256">
        <v>44</v>
      </c>
      <c r="Y496" s="74" t="s">
        <v>44</v>
      </c>
      <c r="Z496" s="56" t="s">
        <v>2558</v>
      </c>
      <c r="AA496" s="249"/>
      <c r="AB496" s="65" t="s">
        <v>94</v>
      </c>
      <c r="AC496" s="65" t="s">
        <v>29</v>
      </c>
    </row>
    <row r="497" spans="1:30">
      <c r="A497" s="245" t="s">
        <v>766</v>
      </c>
      <c r="B497" s="62"/>
      <c r="C497" s="57">
        <v>42787</v>
      </c>
      <c r="E497" s="65" t="s">
        <v>29</v>
      </c>
      <c r="F497" s="65" t="s">
        <v>29</v>
      </c>
      <c r="G497" s="58"/>
      <c r="H497" s="58"/>
      <c r="I497" s="60"/>
      <c r="J497" s="58"/>
      <c r="K497" s="58"/>
      <c r="L497" s="58"/>
      <c r="M497" s="58"/>
      <c r="N497" s="61" t="s">
        <v>2559</v>
      </c>
      <c r="O497" s="277" t="s">
        <v>2560</v>
      </c>
      <c r="P497" s="58"/>
      <c r="Q497" s="63" t="str">
        <f>IF(V497&lt;&gt;"","Completed","")</f>
        <v>Completed</v>
      </c>
      <c r="R497" s="64">
        <v>42749</v>
      </c>
      <c r="S497" s="64" t="s">
        <v>57</v>
      </c>
      <c r="T497" s="242">
        <v>75</v>
      </c>
      <c r="U497" s="65">
        <v>124</v>
      </c>
      <c r="V497" s="65">
        <v>124</v>
      </c>
      <c r="Y497" s="74" t="s">
        <v>44</v>
      </c>
      <c r="Z497" s="345" t="s">
        <v>1868</v>
      </c>
      <c r="AA497" s="92"/>
      <c r="AB497" s="65" t="s">
        <v>94</v>
      </c>
      <c r="AC497" s="65" t="s">
        <v>94</v>
      </c>
    </row>
    <row r="498" spans="1:30">
      <c r="A498" s="75" t="s">
        <v>773</v>
      </c>
      <c r="B498" s="59"/>
      <c r="C498" s="57">
        <v>42745</v>
      </c>
      <c r="E498" s="65" t="s">
        <v>29</v>
      </c>
      <c r="F498" s="65" t="s">
        <v>29</v>
      </c>
      <c r="G498" s="58" t="s">
        <v>1443</v>
      </c>
      <c r="H498" s="58" t="s">
        <v>1444</v>
      </c>
      <c r="I498" s="60">
        <v>0</v>
      </c>
      <c r="J498" s="58" t="s">
        <v>94</v>
      </c>
      <c r="K498" s="58" t="s">
        <v>29</v>
      </c>
      <c r="L498" s="58" t="s">
        <v>94</v>
      </c>
      <c r="M498" s="58" t="s">
        <v>29</v>
      </c>
      <c r="N498" s="61" t="s">
        <v>2561</v>
      </c>
      <c r="O498" s="58" t="s">
        <v>2562</v>
      </c>
      <c r="P498" s="58" t="s">
        <v>1459</v>
      </c>
      <c r="Q498" s="63" t="str">
        <f>IF(V498&lt;&gt;"","Completed","")</f>
        <v>Completed</v>
      </c>
      <c r="R498" s="64">
        <v>42693</v>
      </c>
      <c r="S498" s="64" t="s">
        <v>433</v>
      </c>
      <c r="T498" s="65">
        <v>30</v>
      </c>
      <c r="U498" s="65">
        <v>58</v>
      </c>
      <c r="V498" s="65">
        <v>58</v>
      </c>
      <c r="Y498" s="74" t="s">
        <v>44</v>
      </c>
      <c r="Z498" s="56" t="s">
        <v>1791</v>
      </c>
      <c r="AA498" s="249"/>
      <c r="AB498" s="65" t="s">
        <v>94</v>
      </c>
      <c r="AC498" s="65" t="s">
        <v>94</v>
      </c>
    </row>
    <row r="499" spans="1:30">
      <c r="A499" s="331" t="s">
        <v>1206</v>
      </c>
      <c r="B499" s="59"/>
      <c r="C499" s="57">
        <v>42726</v>
      </c>
      <c r="E499" s="65" t="s">
        <v>29</v>
      </c>
      <c r="F499" s="65" t="s">
        <v>29</v>
      </c>
      <c r="G499" s="58" t="s">
        <v>1443</v>
      </c>
      <c r="H499" s="58" t="s">
        <v>1444</v>
      </c>
      <c r="I499" s="60">
        <v>165</v>
      </c>
      <c r="J499" s="58" t="s">
        <v>94</v>
      </c>
      <c r="K499" s="58" t="s">
        <v>29</v>
      </c>
      <c r="L499" s="58" t="s">
        <v>94</v>
      </c>
      <c r="M499" s="58" t="s">
        <v>29</v>
      </c>
      <c r="N499" s="61" t="s">
        <v>2563</v>
      </c>
      <c r="O499" s="58" t="s">
        <v>2564</v>
      </c>
      <c r="P499" s="58" t="s">
        <v>1459</v>
      </c>
      <c r="Q499" s="63" t="str">
        <f>IF(V499&lt;&gt;"","Completed","")</f>
        <v>Completed</v>
      </c>
      <c r="R499" s="64">
        <v>42665</v>
      </c>
      <c r="S499" s="64" t="s">
        <v>114</v>
      </c>
      <c r="T499" s="65">
        <v>5</v>
      </c>
      <c r="U499" s="65">
        <v>10</v>
      </c>
      <c r="V499" s="65">
        <v>10</v>
      </c>
      <c r="Y499" s="74" t="s">
        <v>44</v>
      </c>
      <c r="Z499" s="56" t="s">
        <v>1754</v>
      </c>
      <c r="AA499" s="252"/>
      <c r="AB499" s="325" t="s">
        <v>94</v>
      </c>
      <c r="AC499" s="325" t="s">
        <v>29</v>
      </c>
    </row>
    <row r="500" spans="1:30">
      <c r="A500" s="75" t="s">
        <v>1179</v>
      </c>
      <c r="B500" s="59" t="s">
        <v>1180</v>
      </c>
      <c r="C500" s="57">
        <v>42773</v>
      </c>
      <c r="E500" s="65" t="s">
        <v>29</v>
      </c>
      <c r="F500" s="65" t="s">
        <v>94</v>
      </c>
      <c r="G500" s="254" t="s">
        <v>1443</v>
      </c>
      <c r="H500" s="254" t="s">
        <v>1449</v>
      </c>
      <c r="I500" s="255">
        <v>135</v>
      </c>
      <c r="J500" s="254" t="s">
        <v>94</v>
      </c>
      <c r="K500" s="254" t="s">
        <v>29</v>
      </c>
      <c r="L500" s="254" t="s">
        <v>94</v>
      </c>
      <c r="M500" s="254" t="s">
        <v>94</v>
      </c>
      <c r="N500" s="61" t="s">
        <v>2565</v>
      </c>
      <c r="O500" s="58" t="s">
        <v>2566</v>
      </c>
      <c r="P500" s="58" t="s">
        <v>1447</v>
      </c>
      <c r="Q500" s="63" t="str">
        <f>IF(V500&lt;&gt;"","Completed","")</f>
        <v>Completed</v>
      </c>
      <c r="R500" s="64">
        <v>42714</v>
      </c>
      <c r="S500" s="64" t="s">
        <v>104</v>
      </c>
      <c r="T500" s="65">
        <v>33</v>
      </c>
      <c r="V500" s="256">
        <v>66</v>
      </c>
      <c r="Y500" s="74" t="s">
        <v>44</v>
      </c>
      <c r="Z500" s="56" t="s">
        <v>1536</v>
      </c>
      <c r="AA500" s="92"/>
      <c r="AB500" s="65" t="s">
        <v>94</v>
      </c>
      <c r="AC500" s="74" t="s">
        <v>29</v>
      </c>
      <c r="AD500" s="345" t="s">
        <v>296</v>
      </c>
    </row>
    <row r="501" spans="1:30">
      <c r="A501" s="246" t="s">
        <v>581</v>
      </c>
      <c r="B501" s="148" t="s">
        <v>582</v>
      </c>
      <c r="C501" s="57">
        <v>42738</v>
      </c>
      <c r="E501" s="65" t="s">
        <v>29</v>
      </c>
      <c r="F501" s="65" t="s">
        <v>29</v>
      </c>
      <c r="G501" s="58" t="s">
        <v>1443</v>
      </c>
      <c r="H501" s="58" t="s">
        <v>1444</v>
      </c>
      <c r="I501" s="60">
        <v>0</v>
      </c>
      <c r="J501" s="58" t="s">
        <v>29</v>
      </c>
      <c r="K501" s="58" t="s">
        <v>29</v>
      </c>
      <c r="L501" s="58" t="s">
        <v>29</v>
      </c>
      <c r="M501" s="58" t="s">
        <v>29</v>
      </c>
      <c r="N501" s="61" t="s">
        <v>2567</v>
      </c>
      <c r="O501" s="58" t="s">
        <v>2568</v>
      </c>
      <c r="P501" s="58" t="s">
        <v>1447</v>
      </c>
      <c r="Q501" s="63" t="str">
        <f>IF(V501&lt;&gt;"","Completed","")</f>
        <v>Completed</v>
      </c>
      <c r="R501" s="64">
        <v>42697</v>
      </c>
      <c r="S501" s="64" t="s">
        <v>149</v>
      </c>
      <c r="T501" s="65">
        <v>22</v>
      </c>
      <c r="U501" s="65">
        <v>40</v>
      </c>
      <c r="V501" s="65">
        <v>40</v>
      </c>
      <c r="Y501" s="74" t="s">
        <v>44</v>
      </c>
      <c r="Z501" s="56" t="s">
        <v>1656</v>
      </c>
      <c r="AA501" s="252"/>
      <c r="AB501" s="65" t="s">
        <v>94</v>
      </c>
      <c r="AC501" s="74" t="s">
        <v>94</v>
      </c>
    </row>
    <row r="502" spans="1:30">
      <c r="A502" s="75" t="s">
        <v>1159</v>
      </c>
      <c r="B502" s="59"/>
      <c r="C502" s="57">
        <v>42741</v>
      </c>
      <c r="E502" s="65" t="s">
        <v>29</v>
      </c>
      <c r="F502" s="65" t="s">
        <v>29</v>
      </c>
      <c r="G502" s="58" t="s">
        <v>1443</v>
      </c>
      <c r="H502" s="58" t="s">
        <v>1449</v>
      </c>
      <c r="I502" s="60">
        <v>880</v>
      </c>
      <c r="J502" s="58" t="s">
        <v>29</v>
      </c>
      <c r="K502" s="58" t="s">
        <v>29</v>
      </c>
      <c r="L502" s="58" t="s">
        <v>94</v>
      </c>
      <c r="M502" s="58" t="s">
        <v>94</v>
      </c>
      <c r="N502" s="61" t="s">
        <v>2569</v>
      </c>
      <c r="O502" s="58" t="s">
        <v>2570</v>
      </c>
      <c r="P502" s="58" t="s">
        <v>1447</v>
      </c>
      <c r="Q502" s="63" t="str">
        <f>IF(V502&lt;&gt;"","Completed","")</f>
        <v>Completed</v>
      </c>
      <c r="R502" s="64">
        <v>42643</v>
      </c>
      <c r="S502" s="64" t="s">
        <v>57</v>
      </c>
      <c r="T502" s="65">
        <v>31</v>
      </c>
      <c r="U502" s="65">
        <v>60</v>
      </c>
      <c r="V502" s="65">
        <v>60</v>
      </c>
      <c r="Y502" s="74" t="s">
        <v>44</v>
      </c>
      <c r="Z502" s="56" t="s">
        <v>1561</v>
      </c>
      <c r="AA502" s="252"/>
      <c r="AB502" s="329" t="s">
        <v>94</v>
      </c>
      <c r="AC502" s="329" t="s">
        <v>94</v>
      </c>
    </row>
    <row r="503" spans="1:30">
      <c r="A503" s="331" t="s">
        <v>1206</v>
      </c>
      <c r="B503" s="59"/>
      <c r="C503" s="57">
        <v>42768</v>
      </c>
      <c r="E503" s="65" t="s">
        <v>29</v>
      </c>
      <c r="F503" s="65" t="s">
        <v>29</v>
      </c>
      <c r="G503" s="58" t="s">
        <v>1482</v>
      </c>
      <c r="H503" s="58"/>
      <c r="I503" s="60"/>
      <c r="J503" s="58"/>
      <c r="K503" s="58"/>
      <c r="L503" s="58"/>
      <c r="M503" s="58"/>
      <c r="N503" s="399" t="s">
        <v>2571</v>
      </c>
      <c r="O503" s="58" t="s">
        <v>2572</v>
      </c>
      <c r="P503" s="58"/>
      <c r="Q503" s="63" t="str">
        <f>IF(V503&lt;&gt;"","Completed","")</f>
        <v>Completed</v>
      </c>
      <c r="R503" s="64">
        <v>42665</v>
      </c>
      <c r="S503" s="64" t="s">
        <v>114</v>
      </c>
      <c r="T503" s="65">
        <v>18</v>
      </c>
      <c r="U503" s="65">
        <v>36</v>
      </c>
      <c r="V503" s="65">
        <v>36</v>
      </c>
      <c r="Y503" s="74" t="s">
        <v>44</v>
      </c>
      <c r="Z503" s="56" t="s">
        <v>1902</v>
      </c>
      <c r="AA503" s="252"/>
      <c r="AB503" s="325" t="s">
        <v>94</v>
      </c>
      <c r="AC503" s="325" t="s">
        <v>2573</v>
      </c>
      <c r="AD503" s="345" t="s">
        <v>2574</v>
      </c>
    </row>
    <row r="504" spans="1:30">
      <c r="A504" s="75" t="s">
        <v>780</v>
      </c>
      <c r="B504" s="59"/>
      <c r="C504" s="57">
        <v>42745</v>
      </c>
      <c r="E504" s="65" t="s">
        <v>29</v>
      </c>
      <c r="F504" s="65" t="s">
        <v>29</v>
      </c>
      <c r="G504" s="58" t="s">
        <v>1443</v>
      </c>
      <c r="H504" s="58" t="s">
        <v>1456</v>
      </c>
      <c r="I504" s="60">
        <v>0</v>
      </c>
      <c r="J504" s="58" t="s">
        <v>94</v>
      </c>
      <c r="K504" s="58" t="s">
        <v>29</v>
      </c>
      <c r="L504" s="58" t="s">
        <v>94</v>
      </c>
      <c r="M504" s="58" t="s">
        <v>29</v>
      </c>
      <c r="N504" s="61" t="s">
        <v>2575</v>
      </c>
      <c r="O504" s="58" t="s">
        <v>2576</v>
      </c>
      <c r="P504" s="58" t="s">
        <v>1447</v>
      </c>
      <c r="Q504" s="63" t="str">
        <f>IF(V504&lt;&gt;"","Completed","")</f>
        <v>Completed</v>
      </c>
      <c r="R504" s="64">
        <v>42711</v>
      </c>
      <c r="S504" s="64" t="s">
        <v>57</v>
      </c>
      <c r="T504" s="65">
        <v>32</v>
      </c>
      <c r="U504" s="65">
        <v>54</v>
      </c>
      <c r="V504" s="65">
        <v>54</v>
      </c>
      <c r="Y504" s="74" t="s">
        <v>44</v>
      </c>
      <c r="Z504" s="56" t="s">
        <v>1505</v>
      </c>
      <c r="AA504" s="252"/>
      <c r="AB504" s="65" t="s">
        <v>94</v>
      </c>
      <c r="AC504" s="65" t="s">
        <v>94</v>
      </c>
    </row>
    <row r="505" spans="1:30">
      <c r="A505" s="331" t="s">
        <v>1206</v>
      </c>
      <c r="B505" s="59"/>
      <c r="C505" s="57">
        <v>42755</v>
      </c>
      <c r="E505" s="65" t="s">
        <v>29</v>
      </c>
      <c r="F505" s="65" t="s">
        <v>29</v>
      </c>
      <c r="G505" s="58" t="s">
        <v>1482</v>
      </c>
      <c r="H505" s="58"/>
      <c r="I505" s="60"/>
      <c r="J505" s="58"/>
      <c r="K505" s="58"/>
      <c r="L505" s="58"/>
      <c r="M505" s="58"/>
      <c r="N505" s="61" t="s">
        <v>2577</v>
      </c>
      <c r="O505" s="58" t="s">
        <v>2578</v>
      </c>
      <c r="P505" s="58"/>
      <c r="Q505" s="63" t="str">
        <f>IF(V505&lt;&gt;"","Completed","")</f>
        <v>Completed</v>
      </c>
      <c r="R505" s="64">
        <v>42711</v>
      </c>
      <c r="S505" s="64" t="s">
        <v>57</v>
      </c>
      <c r="T505" s="65">
        <v>3</v>
      </c>
      <c r="U505" s="65">
        <v>6</v>
      </c>
      <c r="V505" s="65">
        <v>6</v>
      </c>
      <c r="Y505" s="74" t="s">
        <v>44</v>
      </c>
      <c r="Z505" s="56" t="s">
        <v>1485</v>
      </c>
      <c r="AA505" s="252"/>
      <c r="AB505" s="248" t="s">
        <v>94</v>
      </c>
      <c r="AC505" s="248" t="s">
        <v>29</v>
      </c>
    </row>
    <row r="506" spans="1:30">
      <c r="A506" s="75" t="s">
        <v>616</v>
      </c>
      <c r="B506" s="59"/>
      <c r="C506" s="57">
        <v>42726</v>
      </c>
      <c r="E506" s="65" t="s">
        <v>29</v>
      </c>
      <c r="F506" s="65" t="s">
        <v>29</v>
      </c>
      <c r="G506" s="58" t="s">
        <v>1443</v>
      </c>
      <c r="H506" s="58" t="s">
        <v>1456</v>
      </c>
      <c r="I506" s="60">
        <v>662</v>
      </c>
      <c r="J506" s="58" t="s">
        <v>29</v>
      </c>
      <c r="K506" s="58" t="s">
        <v>29</v>
      </c>
      <c r="L506" s="58" t="s">
        <v>29</v>
      </c>
      <c r="M506" s="58" t="s">
        <v>29</v>
      </c>
      <c r="N506" s="61" t="s">
        <v>2579</v>
      </c>
      <c r="O506" s="58" t="s">
        <v>2580</v>
      </c>
      <c r="P506" s="58" t="s">
        <v>1447</v>
      </c>
      <c r="Q506" s="63" t="str">
        <f>IF(V506&lt;&gt;"","Completed","")</f>
        <v>Completed</v>
      </c>
      <c r="R506" s="64">
        <v>42665</v>
      </c>
      <c r="S506" s="64" t="s">
        <v>43</v>
      </c>
      <c r="T506" s="150">
        <v>101</v>
      </c>
      <c r="U506" s="150">
        <v>158</v>
      </c>
      <c r="V506" s="150">
        <v>158</v>
      </c>
      <c r="W506" s="150"/>
      <c r="X506" s="150"/>
      <c r="Y506" s="74" t="s">
        <v>44</v>
      </c>
      <c r="Z506" s="56" t="s">
        <v>1640</v>
      </c>
      <c r="AA506" s="252"/>
      <c r="AB506" s="151" t="s">
        <v>94</v>
      </c>
      <c r="AC506" s="151" t="s">
        <v>94</v>
      </c>
    </row>
    <row r="507" spans="1:30">
      <c r="A507" s="75" t="s">
        <v>1022</v>
      </c>
      <c r="B507" s="59"/>
      <c r="C507" s="57">
        <v>42740</v>
      </c>
      <c r="E507" s="65" t="s">
        <v>29</v>
      </c>
      <c r="F507" s="65" t="s">
        <v>29</v>
      </c>
      <c r="G507" s="58" t="s">
        <v>1443</v>
      </c>
      <c r="H507" s="58" t="s">
        <v>1456</v>
      </c>
      <c r="I507" s="60">
        <v>420</v>
      </c>
      <c r="J507" s="58" t="s">
        <v>94</v>
      </c>
      <c r="K507" s="58" t="s">
        <v>29</v>
      </c>
      <c r="L507" s="58" t="s">
        <v>94</v>
      </c>
      <c r="M507" s="58" t="s">
        <v>29</v>
      </c>
      <c r="N507" s="61" t="s">
        <v>2581</v>
      </c>
      <c r="O507" s="58" t="s">
        <v>2582</v>
      </c>
      <c r="P507" s="58" t="s">
        <v>1447</v>
      </c>
      <c r="Q507" s="63" t="str">
        <f>IF(V507&lt;&gt;"","Completed","")</f>
        <v>Completed</v>
      </c>
      <c r="R507" s="64">
        <v>42672</v>
      </c>
      <c r="S507" s="64" t="s">
        <v>80</v>
      </c>
      <c r="T507" s="65">
        <v>97</v>
      </c>
      <c r="U507" s="65">
        <v>148</v>
      </c>
      <c r="V507" s="65">
        <v>148</v>
      </c>
      <c r="Y507" s="74" t="s">
        <v>44</v>
      </c>
      <c r="Z507" s="56" t="s">
        <v>1497</v>
      </c>
      <c r="AA507" s="249"/>
      <c r="AB507" s="74" t="s">
        <v>94</v>
      </c>
      <c r="AC507" s="74" t="s">
        <v>94</v>
      </c>
    </row>
    <row r="508" spans="1:30">
      <c r="A508" s="75" t="s">
        <v>1179</v>
      </c>
      <c r="B508" s="59" t="s">
        <v>1180</v>
      </c>
      <c r="C508" s="57">
        <v>42773</v>
      </c>
      <c r="E508" s="65" t="s">
        <v>29</v>
      </c>
      <c r="F508" s="65" t="s">
        <v>94</v>
      </c>
      <c r="G508" s="254" t="s">
        <v>1443</v>
      </c>
      <c r="H508" s="254" t="s">
        <v>1449</v>
      </c>
      <c r="I508" s="255">
        <v>0</v>
      </c>
      <c r="J508" s="254" t="s">
        <v>29</v>
      </c>
      <c r="K508" s="254" t="s">
        <v>29</v>
      </c>
      <c r="L508" s="254" t="s">
        <v>94</v>
      </c>
      <c r="M508" s="254" t="s">
        <v>94</v>
      </c>
      <c r="N508" s="61" t="s">
        <v>2583</v>
      </c>
      <c r="O508" s="58" t="s">
        <v>2584</v>
      </c>
      <c r="P508" s="58" t="s">
        <v>1447</v>
      </c>
      <c r="Q508" s="63" t="str">
        <f>IF(V508&lt;&gt;"","Completed","")</f>
        <v>Completed</v>
      </c>
      <c r="R508" s="64">
        <v>42749</v>
      </c>
      <c r="S508" s="64" t="s">
        <v>104</v>
      </c>
      <c r="T508" s="65">
        <v>54</v>
      </c>
      <c r="V508" s="256">
        <v>102</v>
      </c>
      <c r="Y508" s="74" t="s">
        <v>44</v>
      </c>
      <c r="Z508" s="56" t="s">
        <v>1536</v>
      </c>
      <c r="AA508" s="92"/>
      <c r="AB508" s="242" t="s">
        <v>94</v>
      </c>
      <c r="AC508" s="74"/>
    </row>
    <row r="509" spans="1:30">
      <c r="A509" s="75" t="s">
        <v>1102</v>
      </c>
      <c r="B509" s="59"/>
      <c r="C509" s="57">
        <v>42755</v>
      </c>
      <c r="E509" s="65" t="s">
        <v>29</v>
      </c>
      <c r="F509" s="65" t="s">
        <v>29</v>
      </c>
      <c r="G509" s="58" t="s">
        <v>1443</v>
      </c>
      <c r="H509" s="58" t="s">
        <v>1444</v>
      </c>
      <c r="I509" s="60">
        <v>486</v>
      </c>
      <c r="J509" s="58" t="s">
        <v>94</v>
      </c>
      <c r="K509" s="58" t="s">
        <v>29</v>
      </c>
      <c r="L509" s="58" t="s">
        <v>94</v>
      </c>
      <c r="M509" s="58" t="s">
        <v>29</v>
      </c>
      <c r="N509" s="61" t="s">
        <v>2585</v>
      </c>
      <c r="O509" s="58" t="s">
        <v>2586</v>
      </c>
      <c r="P509" s="58" t="s">
        <v>1447</v>
      </c>
      <c r="Q509" s="63" t="str">
        <f>IF(V509&lt;&gt;"","Completed","")</f>
        <v>Completed</v>
      </c>
      <c r="R509" s="64">
        <v>42734</v>
      </c>
      <c r="S509" s="64" t="s">
        <v>57</v>
      </c>
      <c r="T509" s="65">
        <v>36</v>
      </c>
      <c r="U509" s="65">
        <v>56</v>
      </c>
      <c r="V509" s="65">
        <v>56</v>
      </c>
      <c r="Y509" s="74" t="s">
        <v>44</v>
      </c>
      <c r="Z509" s="56" t="s">
        <v>1485</v>
      </c>
      <c r="AA509" s="252"/>
      <c r="AB509" s="65" t="s">
        <v>94</v>
      </c>
      <c r="AC509" s="65" t="s">
        <v>94</v>
      </c>
    </row>
    <row r="510" spans="1:30">
      <c r="A510" s="75" t="s">
        <v>679</v>
      </c>
      <c r="B510" s="59"/>
      <c r="C510" s="57">
        <v>42768</v>
      </c>
      <c r="E510" s="65" t="s">
        <v>29</v>
      </c>
      <c r="F510" s="65" t="s">
        <v>94</v>
      </c>
      <c r="G510" s="58" t="s">
        <v>1443</v>
      </c>
      <c r="H510" s="58" t="s">
        <v>1456</v>
      </c>
      <c r="I510" s="60">
        <v>0</v>
      </c>
      <c r="J510" s="58" t="s">
        <v>94</v>
      </c>
      <c r="K510" s="58" t="s">
        <v>29</v>
      </c>
      <c r="L510" s="58" t="s">
        <v>94</v>
      </c>
      <c r="M510" s="58" t="s">
        <v>94</v>
      </c>
      <c r="N510" s="61" t="s">
        <v>2587</v>
      </c>
      <c r="O510" s="294" t="s">
        <v>2588</v>
      </c>
      <c r="P510" s="58" t="s">
        <v>1447</v>
      </c>
      <c r="Q510" s="63" t="str">
        <f>IF(V510&lt;&gt;"","Completed","")</f>
        <v>Completed</v>
      </c>
      <c r="R510" s="64">
        <v>42754</v>
      </c>
      <c r="S510" s="64" t="s">
        <v>104</v>
      </c>
      <c r="T510" s="242">
        <v>57</v>
      </c>
      <c r="V510" s="369">
        <v>118</v>
      </c>
      <c r="Y510" s="74" t="s">
        <v>44</v>
      </c>
      <c r="Z510" s="345" t="s">
        <v>1940</v>
      </c>
      <c r="AA510" s="363">
        <f>SUM(V509:V510)</f>
        <v>174</v>
      </c>
      <c r="AB510" s="65" t="s">
        <v>94</v>
      </c>
      <c r="AC510" s="65" t="s">
        <v>94</v>
      </c>
    </row>
    <row r="511" spans="1:30" s="66" customFormat="1">
      <c r="A511" s="75" t="s">
        <v>1152</v>
      </c>
      <c r="B511" s="59"/>
      <c r="C511" s="57">
        <v>42690</v>
      </c>
      <c r="D511" s="65"/>
      <c r="E511" s="65" t="s">
        <v>29</v>
      </c>
      <c r="F511" s="65" t="s">
        <v>29</v>
      </c>
      <c r="G511" s="58" t="s">
        <v>1443</v>
      </c>
      <c r="H511" s="58" t="s">
        <v>1449</v>
      </c>
      <c r="I511" s="60">
        <v>153</v>
      </c>
      <c r="J511" s="58" t="s">
        <v>94</v>
      </c>
      <c r="K511" s="58" t="s">
        <v>29</v>
      </c>
      <c r="L511" s="58" t="s">
        <v>94</v>
      </c>
      <c r="M511" s="58" t="s">
        <v>29</v>
      </c>
      <c r="N511" s="61" t="s">
        <v>2589</v>
      </c>
      <c r="O511" s="58" t="s">
        <v>2590</v>
      </c>
      <c r="P511" s="58" t="s">
        <v>1459</v>
      </c>
      <c r="Q511" s="63" t="str">
        <f>IF(V511&lt;&gt;"","Completed","")</f>
        <v>Completed</v>
      </c>
      <c r="R511" s="64">
        <v>42665</v>
      </c>
      <c r="S511" s="64" t="s">
        <v>80</v>
      </c>
      <c r="T511" s="65">
        <v>14</v>
      </c>
      <c r="U511" s="65">
        <v>28</v>
      </c>
      <c r="V511" s="65">
        <v>28</v>
      </c>
      <c r="W511" s="65"/>
      <c r="X511" s="65"/>
      <c r="Y511" s="74" t="s">
        <v>44</v>
      </c>
      <c r="Z511" s="56" t="s">
        <v>1681</v>
      </c>
      <c r="AA511" s="249"/>
      <c r="AB511" s="65" t="s">
        <v>94</v>
      </c>
      <c r="AC511" s="65" t="s">
        <v>29</v>
      </c>
      <c r="AD511" s="345"/>
    </row>
    <row r="512" spans="1:30" s="66" customFormat="1">
      <c r="A512" s="244" t="s">
        <v>989</v>
      </c>
      <c r="B512" s="62" t="s">
        <v>106</v>
      </c>
      <c r="C512" s="57">
        <v>42753</v>
      </c>
      <c r="D512" s="65"/>
      <c r="E512" s="65" t="s">
        <v>29</v>
      </c>
      <c r="F512" s="65" t="s">
        <v>29</v>
      </c>
      <c r="G512" s="58"/>
      <c r="H512" s="58"/>
      <c r="I512" s="60"/>
      <c r="J512" s="58"/>
      <c r="K512" s="58"/>
      <c r="L512" s="58"/>
      <c r="M512" s="58"/>
      <c r="N512" s="61" t="s">
        <v>2591</v>
      </c>
      <c r="O512" s="58" t="s">
        <v>2592</v>
      </c>
      <c r="P512" s="58"/>
      <c r="Q512" s="63" t="str">
        <f>IF(V512&lt;&gt;"","Completed","")</f>
        <v>Completed</v>
      </c>
      <c r="R512" s="64">
        <v>42714</v>
      </c>
      <c r="S512" s="64" t="s">
        <v>114</v>
      </c>
      <c r="T512" s="65">
        <v>79</v>
      </c>
      <c r="U512" s="65">
        <v>139</v>
      </c>
      <c r="V512" s="65">
        <v>139</v>
      </c>
      <c r="W512" s="65"/>
      <c r="X512" s="65"/>
      <c r="Y512" s="74" t="s">
        <v>44</v>
      </c>
      <c r="Z512" s="56" t="s">
        <v>1512</v>
      </c>
      <c r="AA512" s="252">
        <f>SUM(V511:V512)</f>
        <v>167</v>
      </c>
      <c r="AB512" s="65" t="s">
        <v>94</v>
      </c>
      <c r="AC512" s="74" t="s">
        <v>29</v>
      </c>
      <c r="AD512" s="345"/>
    </row>
    <row r="513" spans="1:30" s="66" customFormat="1">
      <c r="A513" s="75" t="s">
        <v>789</v>
      </c>
      <c r="B513" s="59"/>
      <c r="C513" s="57">
        <v>42753</v>
      </c>
      <c r="D513" s="65"/>
      <c r="E513" s="65" t="s">
        <v>29</v>
      </c>
      <c r="F513" s="65" t="s">
        <v>29</v>
      </c>
      <c r="G513" s="58" t="s">
        <v>1443</v>
      </c>
      <c r="H513" s="58" t="s">
        <v>1449</v>
      </c>
      <c r="I513" s="60">
        <v>0</v>
      </c>
      <c r="J513" s="58" t="s">
        <v>29</v>
      </c>
      <c r="K513" s="58" t="s">
        <v>29</v>
      </c>
      <c r="L513" s="58" t="s">
        <v>94</v>
      </c>
      <c r="M513" s="58" t="s">
        <v>29</v>
      </c>
      <c r="N513" s="61" t="s">
        <v>2593</v>
      </c>
      <c r="O513" s="58" t="s">
        <v>2594</v>
      </c>
      <c r="P513" s="58" t="s">
        <v>1459</v>
      </c>
      <c r="Q513" s="63" t="str">
        <f>IF(V513&lt;&gt;"","Completed","")</f>
        <v>Completed</v>
      </c>
      <c r="R513" s="64">
        <v>42714</v>
      </c>
      <c r="S513" s="64" t="s">
        <v>80</v>
      </c>
      <c r="T513" s="65">
        <v>28</v>
      </c>
      <c r="U513" s="65">
        <v>56</v>
      </c>
      <c r="V513" s="65">
        <v>56</v>
      </c>
      <c r="W513" s="65"/>
      <c r="X513" s="65"/>
      <c r="Y513" s="74" t="s">
        <v>44</v>
      </c>
      <c r="Z513" s="56" t="s">
        <v>1500</v>
      </c>
      <c r="AA513" s="249"/>
      <c r="AB513" s="65" t="s">
        <v>94</v>
      </c>
      <c r="AC513" s="65" t="s">
        <v>29</v>
      </c>
      <c r="AD513" s="345"/>
    </row>
    <row r="514" spans="1:30" s="66" customFormat="1">
      <c r="A514" s="332" t="s">
        <v>515</v>
      </c>
      <c r="B514" s="56"/>
      <c r="C514" s="67">
        <v>42772</v>
      </c>
      <c r="D514" s="65"/>
      <c r="E514" s="151" t="s">
        <v>29</v>
      </c>
      <c r="F514" s="151" t="s">
        <v>29</v>
      </c>
      <c r="G514" s="63"/>
      <c r="H514" s="63"/>
      <c r="I514" s="63"/>
      <c r="J514" s="63"/>
      <c r="K514" s="63"/>
      <c r="L514" s="63"/>
      <c r="M514" s="63"/>
      <c r="N514" s="85" t="s">
        <v>2595</v>
      </c>
      <c r="O514" s="117" t="s">
        <v>2596</v>
      </c>
      <c r="P514" s="63"/>
      <c r="Q514" s="63" t="str">
        <f>IF(V514&lt;&gt;"","Completed","")</f>
        <v>Completed</v>
      </c>
      <c r="R514" s="64">
        <v>42721</v>
      </c>
      <c r="S514" s="64" t="s">
        <v>57</v>
      </c>
      <c r="T514" s="65">
        <v>51</v>
      </c>
      <c r="U514" s="65">
        <v>97</v>
      </c>
      <c r="V514" s="65">
        <v>97</v>
      </c>
      <c r="W514" s="65"/>
      <c r="X514" s="65"/>
      <c r="Y514" s="74" t="s">
        <v>44</v>
      </c>
      <c r="Z514" s="56" t="s">
        <v>1536</v>
      </c>
      <c r="AA514" s="92">
        <f>V514</f>
        <v>97</v>
      </c>
      <c r="AB514" s="242" t="s">
        <v>94</v>
      </c>
      <c r="AC514" s="242" t="s">
        <v>29</v>
      </c>
      <c r="AD514" s="345"/>
    </row>
    <row r="515" spans="1:30" s="66" customFormat="1">
      <c r="A515" s="75" t="s">
        <v>929</v>
      </c>
      <c r="B515" s="59"/>
      <c r="C515" s="57">
        <v>42790</v>
      </c>
      <c r="D515" s="65"/>
      <c r="E515" s="65" t="s">
        <v>29</v>
      </c>
      <c r="F515" s="65" t="s">
        <v>94</v>
      </c>
      <c r="G515" s="58" t="s">
        <v>1443</v>
      </c>
      <c r="H515" s="58" t="s">
        <v>1444</v>
      </c>
      <c r="I515" s="60">
        <v>341</v>
      </c>
      <c r="J515" s="58" t="s">
        <v>94</v>
      </c>
      <c r="K515" s="58" t="s">
        <v>29</v>
      </c>
      <c r="L515" s="58" t="s">
        <v>94</v>
      </c>
      <c r="M515" s="58" t="s">
        <v>94</v>
      </c>
      <c r="N515" s="61" t="s">
        <v>2597</v>
      </c>
      <c r="O515" s="58" t="s">
        <v>2598</v>
      </c>
      <c r="P515" s="58" t="s">
        <v>1447</v>
      </c>
      <c r="Q515" s="63" t="str">
        <f>IF(V515&lt;&gt;"","Completed","")</f>
        <v>Completed</v>
      </c>
      <c r="R515" s="64">
        <v>42634</v>
      </c>
      <c r="S515" s="386" t="s">
        <v>172</v>
      </c>
      <c r="T515" s="65">
        <v>17</v>
      </c>
      <c r="U515" s="256">
        <v>34</v>
      </c>
      <c r="V515" s="256">
        <v>34</v>
      </c>
      <c r="W515" s="65"/>
      <c r="X515" s="65"/>
      <c r="Y515" s="74" t="s">
        <v>44</v>
      </c>
      <c r="Z515" s="56" t="s">
        <v>1533</v>
      </c>
      <c r="AA515" s="249"/>
      <c r="AB515" s="65" t="s">
        <v>94</v>
      </c>
      <c r="AC515" s="65" t="s">
        <v>94</v>
      </c>
      <c r="AD515" s="345"/>
    </row>
    <row r="516" spans="1:30" s="66" customFormat="1">
      <c r="A516" s="75" t="s">
        <v>599</v>
      </c>
      <c r="B516" s="59"/>
      <c r="C516" s="57">
        <v>42669</v>
      </c>
      <c r="D516" s="65"/>
      <c r="E516" s="65" t="s">
        <v>29</v>
      </c>
      <c r="F516" s="65" t="s">
        <v>29</v>
      </c>
      <c r="G516" s="58" t="s">
        <v>1443</v>
      </c>
      <c r="H516" s="58" t="s">
        <v>1444</v>
      </c>
      <c r="I516" s="60">
        <v>0</v>
      </c>
      <c r="J516" s="58" t="s">
        <v>94</v>
      </c>
      <c r="K516" s="58" t="s">
        <v>29</v>
      </c>
      <c r="L516" s="58" t="s">
        <v>94</v>
      </c>
      <c r="M516" s="58" t="s">
        <v>29</v>
      </c>
      <c r="N516" s="61" t="s">
        <v>2599</v>
      </c>
      <c r="O516" s="58" t="s">
        <v>2600</v>
      </c>
      <c r="P516" s="58" t="s">
        <v>1447</v>
      </c>
      <c r="Q516" s="63" t="str">
        <f>IF(V516&lt;&gt;"","Completed","")</f>
        <v>Completed</v>
      </c>
      <c r="R516" s="64">
        <v>42669</v>
      </c>
      <c r="S516" s="64" t="s">
        <v>149</v>
      </c>
      <c r="T516" s="65">
        <v>5</v>
      </c>
      <c r="U516" s="65">
        <v>10</v>
      </c>
      <c r="V516" s="65">
        <v>10</v>
      </c>
      <c r="W516" s="65"/>
      <c r="X516" s="65"/>
      <c r="Y516" s="74" t="s">
        <v>44</v>
      </c>
      <c r="Z516" s="56" t="s">
        <v>1467</v>
      </c>
      <c r="AA516" s="252"/>
      <c r="AB516" s="316" t="s">
        <v>94</v>
      </c>
      <c r="AC516" s="317" t="s">
        <v>29</v>
      </c>
      <c r="AD516" s="349"/>
    </row>
    <row r="517" spans="1:30" s="66" customFormat="1">
      <c r="A517" s="75" t="s">
        <v>452</v>
      </c>
      <c r="B517" s="59"/>
      <c r="C517" s="57">
        <v>42713</v>
      </c>
      <c r="D517" s="65"/>
      <c r="E517" s="65" t="s">
        <v>29</v>
      </c>
      <c r="F517" s="65" t="s">
        <v>29</v>
      </c>
      <c r="G517" s="58" t="s">
        <v>1443</v>
      </c>
      <c r="H517" s="58" t="s">
        <v>1456</v>
      </c>
      <c r="I517" s="60">
        <v>1</v>
      </c>
      <c r="J517" s="58" t="s">
        <v>94</v>
      </c>
      <c r="K517" s="58" t="s">
        <v>29</v>
      </c>
      <c r="L517" s="58" t="s">
        <v>94</v>
      </c>
      <c r="M517" s="58" t="s">
        <v>29</v>
      </c>
      <c r="N517" s="61" t="s">
        <v>2601</v>
      </c>
      <c r="O517" s="58" t="s">
        <v>2602</v>
      </c>
      <c r="P517" s="58" t="s">
        <v>1459</v>
      </c>
      <c r="Q517" s="63" t="str">
        <f>IF(V517&lt;&gt;"","Completed","")</f>
        <v>Completed</v>
      </c>
      <c r="R517" s="64">
        <v>42658</v>
      </c>
      <c r="S517" s="64" t="s">
        <v>433</v>
      </c>
      <c r="T517" s="65">
        <v>12</v>
      </c>
      <c r="U517" s="65">
        <v>41</v>
      </c>
      <c r="V517" s="65">
        <v>41</v>
      </c>
      <c r="W517" s="65"/>
      <c r="X517" s="65"/>
      <c r="Y517" s="74" t="s">
        <v>44</v>
      </c>
      <c r="Z517" s="56" t="s">
        <v>1488</v>
      </c>
      <c r="AA517" s="252"/>
      <c r="AB517" s="151" t="s">
        <v>94</v>
      </c>
      <c r="AC517" s="346" t="s">
        <v>29</v>
      </c>
      <c r="AD517" s="345"/>
    </row>
    <row r="518" spans="1:30" s="66" customFormat="1">
      <c r="A518" s="75" t="s">
        <v>703</v>
      </c>
      <c r="B518" s="59"/>
      <c r="C518" s="57">
        <v>42678</v>
      </c>
      <c r="D518" s="65"/>
      <c r="E518" s="65" t="s">
        <v>29</v>
      </c>
      <c r="F518" s="65" t="s">
        <v>29</v>
      </c>
      <c r="G518" s="58" t="s">
        <v>1443</v>
      </c>
      <c r="H518" s="58"/>
      <c r="I518" s="60"/>
      <c r="J518" s="58"/>
      <c r="K518" s="58"/>
      <c r="L518" s="58"/>
      <c r="M518" s="58"/>
      <c r="N518" s="61" t="s">
        <v>2603</v>
      </c>
      <c r="O518" s="58" t="s">
        <v>2604</v>
      </c>
      <c r="P518" s="58"/>
      <c r="Q518" s="63" t="str">
        <f>IF(V518&lt;&gt;"","Completed","")</f>
        <v>Completed</v>
      </c>
      <c r="R518" s="64">
        <v>42658</v>
      </c>
      <c r="S518" s="64" t="s">
        <v>222</v>
      </c>
      <c r="T518" s="65">
        <v>58</v>
      </c>
      <c r="U518" s="65">
        <v>110</v>
      </c>
      <c r="V518" s="65">
        <v>110</v>
      </c>
      <c r="W518" s="65"/>
      <c r="X518" s="65"/>
      <c r="Y518" s="74" t="s">
        <v>44</v>
      </c>
      <c r="Z518" s="56" t="s">
        <v>1817</v>
      </c>
      <c r="AA518" s="249"/>
      <c r="AB518" s="242" t="s">
        <v>94</v>
      </c>
      <c r="AC518" s="65"/>
      <c r="AD518" s="345"/>
    </row>
    <row r="519" spans="1:30" s="66" customFormat="1">
      <c r="A519" s="75" t="s">
        <v>624</v>
      </c>
      <c r="B519" s="59"/>
      <c r="C519" s="57">
        <v>42684</v>
      </c>
      <c r="D519" s="65"/>
      <c r="E519" s="65" t="s">
        <v>29</v>
      </c>
      <c r="F519" s="65" t="s">
        <v>29</v>
      </c>
      <c r="G519" s="58"/>
      <c r="H519" s="58"/>
      <c r="I519" s="60"/>
      <c r="J519" s="58"/>
      <c r="K519" s="58"/>
      <c r="L519" s="58"/>
      <c r="M519" s="58"/>
      <c r="N519" s="61" t="s">
        <v>2605</v>
      </c>
      <c r="O519" s="58" t="s">
        <v>2606</v>
      </c>
      <c r="P519" s="58" t="s">
        <v>1459</v>
      </c>
      <c r="Q519" s="63" t="str">
        <f>IF(V519&lt;&gt;"","Completed","")</f>
        <v>Completed</v>
      </c>
      <c r="R519" s="64">
        <v>42663</v>
      </c>
      <c r="S519" s="64" t="s">
        <v>80</v>
      </c>
      <c r="T519" s="150">
        <v>49</v>
      </c>
      <c r="U519" s="150">
        <v>79</v>
      </c>
      <c r="V519" s="150">
        <v>79</v>
      </c>
      <c r="W519" s="150"/>
      <c r="X519" s="150"/>
      <c r="Y519" s="74" t="s">
        <v>44</v>
      </c>
      <c r="Z519" s="56" t="s">
        <v>1481</v>
      </c>
      <c r="AA519" s="249"/>
      <c r="AB519" s="242" t="s">
        <v>94</v>
      </c>
      <c r="AC519" s="242" t="s">
        <v>94</v>
      </c>
      <c r="AD519" s="345"/>
    </row>
    <row r="520" spans="1:30" s="66" customFormat="1">
      <c r="A520" s="75" t="s">
        <v>487</v>
      </c>
      <c r="B520" s="59"/>
      <c r="C520" s="57">
        <v>42746</v>
      </c>
      <c r="D520" s="65"/>
      <c r="E520" s="65" t="s">
        <v>29</v>
      </c>
      <c r="F520" s="65" t="s">
        <v>29</v>
      </c>
      <c r="G520" s="58" t="s">
        <v>1443</v>
      </c>
      <c r="H520" s="58"/>
      <c r="I520" s="60"/>
      <c r="J520" s="58"/>
      <c r="K520" s="58"/>
      <c r="L520" s="58"/>
      <c r="M520" s="58"/>
      <c r="N520" s="61" t="s">
        <v>2607</v>
      </c>
      <c r="O520" s="58" t="s">
        <v>2608</v>
      </c>
      <c r="P520" s="58" t="s">
        <v>1447</v>
      </c>
      <c r="Q520" s="63" t="str">
        <f>IF(V520&lt;&gt;"","Completed","")</f>
        <v>Completed</v>
      </c>
      <c r="R520" s="64">
        <v>42672</v>
      </c>
      <c r="S520" s="64" t="s">
        <v>114</v>
      </c>
      <c r="T520" s="150">
        <v>33</v>
      </c>
      <c r="U520" s="65">
        <v>58</v>
      </c>
      <c r="V520" s="65">
        <v>58</v>
      </c>
      <c r="W520" s="65"/>
      <c r="X520" s="65"/>
      <c r="Y520" s="74" t="s">
        <v>44</v>
      </c>
      <c r="Z520" s="56" t="s">
        <v>1933</v>
      </c>
      <c r="AA520" s="252"/>
      <c r="AB520" s="325" t="s">
        <v>94</v>
      </c>
      <c r="AC520" s="325" t="s">
        <v>94</v>
      </c>
      <c r="AD520" s="345"/>
    </row>
    <row r="521" spans="1:30" s="66" customFormat="1">
      <c r="A521" s="332" t="s">
        <v>435</v>
      </c>
      <c r="B521" s="59"/>
      <c r="C521" s="57">
        <v>42655</v>
      </c>
      <c r="D521" s="65"/>
      <c r="E521" s="65" t="s">
        <v>29</v>
      </c>
      <c r="F521" s="65" t="s">
        <v>29</v>
      </c>
      <c r="G521" s="58" t="s">
        <v>1443</v>
      </c>
      <c r="H521" s="58" t="s">
        <v>1444</v>
      </c>
      <c r="I521" s="60">
        <v>307</v>
      </c>
      <c r="J521" s="58" t="s">
        <v>94</v>
      </c>
      <c r="K521" s="58" t="s">
        <v>29</v>
      </c>
      <c r="L521" s="58" t="s">
        <v>29</v>
      </c>
      <c r="M521" s="58" t="s">
        <v>29</v>
      </c>
      <c r="N521" s="375" t="s">
        <v>2609</v>
      </c>
      <c r="O521" s="373" t="s">
        <v>2610</v>
      </c>
      <c r="P521" s="58" t="s">
        <v>1459</v>
      </c>
      <c r="Q521" s="63" t="str">
        <f>IF(V521&lt;&gt;"","Completed","")</f>
        <v>Completed</v>
      </c>
      <c r="R521" s="64">
        <v>42630</v>
      </c>
      <c r="S521" s="64" t="s">
        <v>80</v>
      </c>
      <c r="T521" s="323">
        <v>44</v>
      </c>
      <c r="U521" s="323">
        <v>74</v>
      </c>
      <c r="V521" s="323">
        <v>74</v>
      </c>
      <c r="W521" s="150"/>
      <c r="X521" s="150"/>
      <c r="Y521" s="74" t="s">
        <v>44</v>
      </c>
      <c r="Z521" s="56" t="s">
        <v>1663</v>
      </c>
      <c r="AA521" s="252">
        <f>SUM(V517:V521)</f>
        <v>362</v>
      </c>
      <c r="AB521" s="347" t="s">
        <v>94</v>
      </c>
      <c r="AC521" s="242" t="s">
        <v>29</v>
      </c>
      <c r="AD521" s="345"/>
    </row>
    <row r="522" spans="1:30" s="66" customFormat="1">
      <c r="A522" s="75" t="s">
        <v>1039</v>
      </c>
      <c r="B522" s="59"/>
      <c r="C522" s="57">
        <v>42765</v>
      </c>
      <c r="D522" s="65"/>
      <c r="E522" s="65" t="s">
        <v>29</v>
      </c>
      <c r="F522" s="65" t="s">
        <v>29</v>
      </c>
      <c r="G522" s="58" t="s">
        <v>1443</v>
      </c>
      <c r="H522" s="58" t="s">
        <v>1456</v>
      </c>
      <c r="I522" s="60">
        <v>500</v>
      </c>
      <c r="J522" s="58" t="s">
        <v>94</v>
      </c>
      <c r="K522" s="58" t="s">
        <v>29</v>
      </c>
      <c r="L522" s="58" t="s">
        <v>94</v>
      </c>
      <c r="M522" s="58" t="s">
        <v>29</v>
      </c>
      <c r="N522" s="61" t="s">
        <v>2611</v>
      </c>
      <c r="O522" s="58" t="s">
        <v>2612</v>
      </c>
      <c r="P522" s="58" t="s">
        <v>1459</v>
      </c>
      <c r="Q522" s="63" t="str">
        <f>IF(V522&lt;&gt;"","Completed","")</f>
        <v>Completed</v>
      </c>
      <c r="R522" s="64">
        <v>42714</v>
      </c>
      <c r="S522" s="64" t="s">
        <v>57</v>
      </c>
      <c r="T522" s="65">
        <v>31</v>
      </c>
      <c r="U522" s="65">
        <v>60</v>
      </c>
      <c r="V522" s="65">
        <v>60</v>
      </c>
      <c r="W522" s="65"/>
      <c r="X522" s="65"/>
      <c r="Y522" s="74" t="s">
        <v>44</v>
      </c>
      <c r="Z522" s="56" t="s">
        <v>2007</v>
      </c>
      <c r="AA522" s="249"/>
      <c r="AB522" s="65" t="s">
        <v>94</v>
      </c>
      <c r="AC522" s="74" t="s">
        <v>29</v>
      </c>
      <c r="AD522" s="345"/>
    </row>
    <row r="523" spans="1:30" s="66" customFormat="1">
      <c r="A523" s="332" t="s">
        <v>647</v>
      </c>
      <c r="B523" s="59"/>
      <c r="C523" s="57">
        <v>42787</v>
      </c>
      <c r="D523" s="65"/>
      <c r="E523" s="65" t="s">
        <v>29</v>
      </c>
      <c r="F523" s="65" t="s">
        <v>29</v>
      </c>
      <c r="G523" s="58" t="s">
        <v>1443</v>
      </c>
      <c r="H523" s="58" t="s">
        <v>1444</v>
      </c>
      <c r="I523" s="60">
        <v>262</v>
      </c>
      <c r="J523" s="58" t="s">
        <v>94</v>
      </c>
      <c r="K523" s="58" t="s">
        <v>29</v>
      </c>
      <c r="L523" s="58" t="s">
        <v>29</v>
      </c>
      <c r="M523" s="58" t="s">
        <v>29</v>
      </c>
      <c r="N523" s="61" t="s">
        <v>2613</v>
      </c>
      <c r="O523" s="58" t="s">
        <v>2614</v>
      </c>
      <c r="P523" s="58" t="s">
        <v>1459</v>
      </c>
      <c r="Q523" s="63" t="str">
        <f>IF(V523&lt;&gt;"","Completed","")</f>
        <v>Completed</v>
      </c>
      <c r="R523" s="319">
        <v>42742</v>
      </c>
      <c r="S523" s="319" t="s">
        <v>57</v>
      </c>
      <c r="T523" s="65">
        <v>29</v>
      </c>
      <c r="U523" s="65">
        <v>47</v>
      </c>
      <c r="V523" s="65">
        <v>47</v>
      </c>
      <c r="W523" s="65"/>
      <c r="X523" s="65"/>
      <c r="Y523" s="74" t="s">
        <v>44</v>
      </c>
      <c r="Z523" s="56" t="s">
        <v>1536</v>
      </c>
      <c r="AA523" s="252">
        <f>SUM(V519:V523)</f>
        <v>318</v>
      </c>
      <c r="AB523" s="65" t="s">
        <v>94</v>
      </c>
      <c r="AC523" s="65" t="s">
        <v>94</v>
      </c>
      <c r="AD523" s="345"/>
    </row>
    <row r="524" spans="1:30" s="66" customFormat="1">
      <c r="A524" s="75" t="s">
        <v>1190</v>
      </c>
      <c r="B524" s="59"/>
      <c r="C524" s="57">
        <v>42794</v>
      </c>
      <c r="D524" s="65"/>
      <c r="E524" s="65" t="s">
        <v>29</v>
      </c>
      <c r="F524" s="65" t="s">
        <v>29</v>
      </c>
      <c r="G524" s="58" t="s">
        <v>1443</v>
      </c>
      <c r="H524" s="58" t="s">
        <v>1456</v>
      </c>
      <c r="I524" s="60">
        <v>0</v>
      </c>
      <c r="J524" s="58" t="s">
        <v>29</v>
      </c>
      <c r="K524" s="58" t="s">
        <v>29</v>
      </c>
      <c r="L524" s="58" t="s">
        <v>94</v>
      </c>
      <c r="M524" s="58" t="s">
        <v>29</v>
      </c>
      <c r="N524" s="61" t="s">
        <v>2615</v>
      </c>
      <c r="O524" s="58" t="s">
        <v>2616</v>
      </c>
      <c r="P524" s="58" t="s">
        <v>1459</v>
      </c>
      <c r="Q524" s="63" t="str">
        <f>IF(V524&lt;&gt;"","Completed","")</f>
        <v>Completed</v>
      </c>
      <c r="R524" s="67">
        <v>42718</v>
      </c>
      <c r="S524" s="67" t="s">
        <v>149</v>
      </c>
      <c r="T524" s="355" t="s">
        <v>1757</v>
      </c>
      <c r="U524" s="355" t="s">
        <v>1757</v>
      </c>
      <c r="V524" s="355" t="s">
        <v>1757</v>
      </c>
      <c r="W524" s="242"/>
      <c r="X524" s="242"/>
      <c r="Y524" s="74" t="s">
        <v>44</v>
      </c>
      <c r="Z524" s="345" t="s">
        <v>1508</v>
      </c>
      <c r="AA524" s="252"/>
      <c r="AB524" s="74" t="s">
        <v>94</v>
      </c>
      <c r="AC524" s="65" t="s">
        <v>29</v>
      </c>
      <c r="AD524" s="345" t="s">
        <v>2617</v>
      </c>
    </row>
    <row r="525" spans="1:30" s="66" customFormat="1">
      <c r="A525" s="332" t="s">
        <v>1190</v>
      </c>
      <c r="B525" s="59"/>
      <c r="C525" s="57">
        <v>42726</v>
      </c>
      <c r="D525" s="65"/>
      <c r="E525" s="65" t="s">
        <v>29</v>
      </c>
      <c r="F525" s="65" t="s">
        <v>29</v>
      </c>
      <c r="G525" s="58" t="s">
        <v>1443</v>
      </c>
      <c r="H525" s="58" t="s">
        <v>1456</v>
      </c>
      <c r="I525" s="60">
        <v>0</v>
      </c>
      <c r="J525" s="58" t="s">
        <v>29</v>
      </c>
      <c r="K525" s="58" t="s">
        <v>29</v>
      </c>
      <c r="L525" s="58" t="s">
        <v>94</v>
      </c>
      <c r="M525" s="58" t="s">
        <v>29</v>
      </c>
      <c r="N525" s="61" t="s">
        <v>2618</v>
      </c>
      <c r="O525" s="58" t="s">
        <v>2619</v>
      </c>
      <c r="P525" s="58" t="s">
        <v>1459</v>
      </c>
      <c r="Q525" s="63" t="str">
        <f>IF(V525&lt;&gt;"","Completed","")</f>
        <v>Completed</v>
      </c>
      <c r="R525" s="67">
        <v>42717</v>
      </c>
      <c r="S525" s="67" t="s">
        <v>149</v>
      </c>
      <c r="T525" s="242">
        <v>18</v>
      </c>
      <c r="U525" s="242">
        <v>36</v>
      </c>
      <c r="V525" s="242">
        <v>36</v>
      </c>
      <c r="W525" s="242"/>
      <c r="X525" s="242"/>
      <c r="Y525" s="74" t="s">
        <v>44</v>
      </c>
      <c r="Z525" s="345" t="s">
        <v>1508</v>
      </c>
      <c r="AA525" s="252"/>
      <c r="AB525" s="74" t="s">
        <v>94</v>
      </c>
      <c r="AC525" s="74" t="s">
        <v>29</v>
      </c>
      <c r="AD525" s="345"/>
    </row>
    <row r="526" spans="1:30">
      <c r="A526" s="332" t="s">
        <v>1190</v>
      </c>
      <c r="B526" s="59"/>
      <c r="C526" s="57">
        <v>42727</v>
      </c>
      <c r="E526" s="65" t="s">
        <v>29</v>
      </c>
      <c r="F526" s="65" t="s">
        <v>29</v>
      </c>
      <c r="G526" s="58" t="s">
        <v>1443</v>
      </c>
      <c r="H526" s="58" t="s">
        <v>1456</v>
      </c>
      <c r="I526" s="60">
        <v>0</v>
      </c>
      <c r="J526" s="58" t="s">
        <v>29</v>
      </c>
      <c r="K526" s="58" t="s">
        <v>29</v>
      </c>
      <c r="L526" s="58" t="s">
        <v>94</v>
      </c>
      <c r="M526" s="58" t="s">
        <v>29</v>
      </c>
      <c r="N526" s="61" t="s">
        <v>2620</v>
      </c>
      <c r="O526" s="58" t="s">
        <v>2621</v>
      </c>
      <c r="P526" s="58" t="s">
        <v>1447</v>
      </c>
      <c r="Q526" s="63" t="str">
        <f>IF(V526&lt;&gt;"","Completed","")</f>
        <v>Completed</v>
      </c>
      <c r="R526" s="67">
        <v>42717</v>
      </c>
      <c r="S526" s="67" t="s">
        <v>149</v>
      </c>
      <c r="T526" s="242">
        <v>13</v>
      </c>
      <c r="U526" s="242">
        <v>26</v>
      </c>
      <c r="V526" s="242">
        <v>26</v>
      </c>
      <c r="W526" s="242"/>
      <c r="X526" s="242"/>
      <c r="Y526" s="74" t="s">
        <v>44</v>
      </c>
      <c r="Z526" s="345" t="s">
        <v>1605</v>
      </c>
      <c r="AA526" s="252"/>
      <c r="AB526" s="74" t="s">
        <v>94</v>
      </c>
      <c r="AC526" s="74" t="s">
        <v>29</v>
      </c>
    </row>
    <row r="527" spans="1:30">
      <c r="A527" s="75" t="s">
        <v>703</v>
      </c>
      <c r="B527" s="59"/>
      <c r="C527" s="57">
        <v>42677</v>
      </c>
      <c r="E527" s="65" t="s">
        <v>29</v>
      </c>
      <c r="F527" s="65" t="s">
        <v>29</v>
      </c>
      <c r="G527" s="58" t="s">
        <v>1443</v>
      </c>
      <c r="H527" s="58"/>
      <c r="I527" s="60"/>
      <c r="J527" s="58"/>
      <c r="K527" s="58"/>
      <c r="L527" s="58"/>
      <c r="M527" s="58"/>
      <c r="N527" s="61" t="s">
        <v>2622</v>
      </c>
      <c r="O527" s="58" t="s">
        <v>2623</v>
      </c>
      <c r="P527" s="58"/>
      <c r="Q527" s="63" t="str">
        <f>IF(V527&lt;&gt;"","Completed","")</f>
        <v>Completed</v>
      </c>
      <c r="R527" s="64">
        <v>42651</v>
      </c>
      <c r="S527" s="64" t="s">
        <v>222</v>
      </c>
      <c r="T527" s="65">
        <v>96</v>
      </c>
      <c r="U527" s="65">
        <v>154</v>
      </c>
      <c r="V527" s="65">
        <v>154</v>
      </c>
      <c r="Y527" s="74" t="s">
        <v>44</v>
      </c>
      <c r="Z527" s="56" t="s">
        <v>1596</v>
      </c>
      <c r="AA527" s="249"/>
      <c r="AB527" s="242" t="s">
        <v>94</v>
      </c>
    </row>
    <row r="528" spans="1:30">
      <c r="A528" s="245" t="s">
        <v>370</v>
      </c>
      <c r="B528" s="62" t="s">
        <v>371</v>
      </c>
      <c r="C528" s="57">
        <v>42733</v>
      </c>
      <c r="E528" s="65" t="s">
        <v>29</v>
      </c>
      <c r="F528" s="65" t="s">
        <v>29</v>
      </c>
      <c r="G528" s="58" t="s">
        <v>1443</v>
      </c>
      <c r="H528" s="58" t="s">
        <v>1456</v>
      </c>
      <c r="I528" s="60">
        <v>478</v>
      </c>
      <c r="J528" s="58" t="s">
        <v>94</v>
      </c>
      <c r="K528" s="58" t="s">
        <v>29</v>
      </c>
      <c r="L528" s="58" t="s">
        <v>94</v>
      </c>
      <c r="M528" s="58" t="s">
        <v>29</v>
      </c>
      <c r="N528" s="61" t="s">
        <v>2624</v>
      </c>
      <c r="O528" s="58" t="s">
        <v>2625</v>
      </c>
      <c r="P528" s="58" t="s">
        <v>1459</v>
      </c>
      <c r="Q528" s="63" t="str">
        <f>IF(V528&lt;&gt;"","Completed","")</f>
        <v>Completed</v>
      </c>
      <c r="R528" s="64">
        <v>42665</v>
      </c>
      <c r="S528" s="64" t="s">
        <v>43</v>
      </c>
      <c r="T528" s="242">
        <v>28</v>
      </c>
      <c r="U528" s="242">
        <v>56</v>
      </c>
      <c r="V528" s="242">
        <v>56</v>
      </c>
      <c r="W528" s="242"/>
      <c r="X528" s="242"/>
      <c r="Y528" s="74" t="s">
        <v>44</v>
      </c>
      <c r="Z528" s="345" t="s">
        <v>2512</v>
      </c>
      <c r="AA528" s="249">
        <f>SUM(V527:V528)</f>
        <v>210</v>
      </c>
      <c r="AB528" s="151" t="s">
        <v>94</v>
      </c>
      <c r="AC528" s="151" t="s">
        <v>94</v>
      </c>
    </row>
    <row r="529" spans="1:30">
      <c r="A529" s="332" t="s">
        <v>945</v>
      </c>
      <c r="B529" s="59"/>
      <c r="C529" s="57">
        <v>42788</v>
      </c>
      <c r="E529" s="65" t="s">
        <v>29</v>
      </c>
      <c r="F529" s="65" t="s">
        <v>29</v>
      </c>
      <c r="G529" s="58" t="s">
        <v>1443</v>
      </c>
      <c r="H529" s="58" t="s">
        <v>1456</v>
      </c>
      <c r="I529" s="60">
        <v>321</v>
      </c>
      <c r="J529" s="58" t="s">
        <v>29</v>
      </c>
      <c r="K529" s="58" t="s">
        <v>29</v>
      </c>
      <c r="L529" s="58" t="s">
        <v>94</v>
      </c>
      <c r="M529" s="58" t="s">
        <v>29</v>
      </c>
      <c r="N529" s="61" t="s">
        <v>2626</v>
      </c>
      <c r="O529" s="58" t="s">
        <v>2627</v>
      </c>
      <c r="P529" s="58" t="s">
        <v>1447</v>
      </c>
      <c r="Q529" s="63" t="str">
        <f>IF(V529&lt;&gt;"","Completed","")</f>
        <v>Completed</v>
      </c>
      <c r="R529" s="319">
        <v>42742</v>
      </c>
      <c r="S529" s="319" t="s">
        <v>57</v>
      </c>
      <c r="T529" s="65">
        <v>91</v>
      </c>
      <c r="U529" s="65">
        <v>182</v>
      </c>
      <c r="V529" s="65">
        <v>182</v>
      </c>
      <c r="W529" s="242"/>
      <c r="X529" s="242"/>
      <c r="Y529" s="74" t="s">
        <v>44</v>
      </c>
      <c r="Z529" s="56" t="s">
        <v>2628</v>
      </c>
      <c r="AA529" s="252"/>
      <c r="AB529" s="74" t="s">
        <v>94</v>
      </c>
      <c r="AC529" s="65" t="s">
        <v>29</v>
      </c>
    </row>
    <row r="530" spans="1:30">
      <c r="A530" s="332" t="s">
        <v>444</v>
      </c>
      <c r="B530" s="59"/>
      <c r="C530" s="57">
        <v>42674</v>
      </c>
      <c r="E530" s="65" t="s">
        <v>29</v>
      </c>
      <c r="F530" s="65" t="s">
        <v>29</v>
      </c>
      <c r="G530" s="58" t="s">
        <v>1443</v>
      </c>
      <c r="H530" s="58" t="s">
        <v>1456</v>
      </c>
      <c r="I530" s="60">
        <v>150</v>
      </c>
      <c r="J530" s="58" t="s">
        <v>94</v>
      </c>
      <c r="K530" s="58" t="s">
        <v>29</v>
      </c>
      <c r="L530" s="58" t="s">
        <v>94</v>
      </c>
      <c r="M530" s="58" t="s">
        <v>29</v>
      </c>
      <c r="N530" s="375" t="s">
        <v>2629</v>
      </c>
      <c r="O530" s="373" t="s">
        <v>2630</v>
      </c>
      <c r="P530" s="58" t="s">
        <v>1459</v>
      </c>
      <c r="Q530" s="63" t="str">
        <f>IF(V530&lt;&gt;"","Completed","")</f>
        <v>Completed</v>
      </c>
      <c r="R530" s="64">
        <v>42649</v>
      </c>
      <c r="S530" s="64" t="s">
        <v>80</v>
      </c>
      <c r="T530" s="242">
        <v>14</v>
      </c>
      <c r="U530" s="242">
        <v>28</v>
      </c>
      <c r="V530" s="242">
        <v>28</v>
      </c>
      <c r="Y530" s="74" t="s">
        <v>44</v>
      </c>
      <c r="Z530" s="56" t="s">
        <v>1777</v>
      </c>
      <c r="AA530" s="249"/>
      <c r="AB530" s="347" t="s">
        <v>94</v>
      </c>
      <c r="AC530" s="242" t="s">
        <v>29</v>
      </c>
    </row>
    <row r="531" spans="1:30">
      <c r="A531" s="331" t="s">
        <v>1206</v>
      </c>
      <c r="B531" s="59"/>
      <c r="C531" s="57">
        <v>42753</v>
      </c>
      <c r="E531" s="65" t="s">
        <v>29</v>
      </c>
      <c r="F531" s="65" t="s">
        <v>29</v>
      </c>
      <c r="G531" s="58" t="s">
        <v>1443</v>
      </c>
      <c r="H531" s="58" t="s">
        <v>1444</v>
      </c>
      <c r="I531" s="60">
        <v>341</v>
      </c>
      <c r="J531" s="58" t="s">
        <v>94</v>
      </c>
      <c r="K531" s="58" t="s">
        <v>29</v>
      </c>
      <c r="L531" s="58" t="s">
        <v>94</v>
      </c>
      <c r="M531" s="58" t="s">
        <v>29</v>
      </c>
      <c r="N531" s="61" t="s">
        <v>2631</v>
      </c>
      <c r="O531" s="58" t="s">
        <v>2632</v>
      </c>
      <c r="P531" s="58" t="s">
        <v>1459</v>
      </c>
      <c r="Q531" s="63" t="str">
        <f>IF(V531&lt;&gt;"","Completed","")</f>
        <v>Completed</v>
      </c>
      <c r="R531" s="64">
        <v>42712</v>
      </c>
      <c r="S531" s="64" t="s">
        <v>57</v>
      </c>
      <c r="T531" s="65">
        <v>14</v>
      </c>
      <c r="U531" s="65">
        <v>26</v>
      </c>
      <c r="V531" s="65">
        <v>26</v>
      </c>
      <c r="Y531" s="74" t="s">
        <v>44</v>
      </c>
      <c r="Z531" s="56" t="s">
        <v>1512</v>
      </c>
      <c r="AA531" s="252"/>
      <c r="AB531" s="248" t="s">
        <v>94</v>
      </c>
      <c r="AC531" s="248" t="s">
        <v>94</v>
      </c>
    </row>
    <row r="532" spans="1:30">
      <c r="A532" s="75" t="s">
        <v>803</v>
      </c>
      <c r="B532" s="59"/>
      <c r="C532" s="57">
        <v>42760</v>
      </c>
      <c r="E532" s="65" t="s">
        <v>29</v>
      </c>
      <c r="F532" s="65" t="s">
        <v>29</v>
      </c>
      <c r="G532" s="58" t="s">
        <v>1443</v>
      </c>
      <c r="H532" s="58" t="s">
        <v>1456</v>
      </c>
      <c r="I532" s="60">
        <v>0</v>
      </c>
      <c r="J532" s="58" t="s">
        <v>94</v>
      </c>
      <c r="K532" s="58" t="s">
        <v>29</v>
      </c>
      <c r="L532" s="58" t="s">
        <v>94</v>
      </c>
      <c r="M532" s="58" t="s">
        <v>29</v>
      </c>
      <c r="N532" s="61" t="s">
        <v>2633</v>
      </c>
      <c r="O532" s="58" t="s">
        <v>2634</v>
      </c>
      <c r="P532" s="58" t="s">
        <v>1447</v>
      </c>
      <c r="Q532" s="63" t="str">
        <f>IF(V532&lt;&gt;"","Completed","")</f>
        <v>Completed</v>
      </c>
      <c r="R532" s="64">
        <v>42721</v>
      </c>
      <c r="S532" s="64" t="s">
        <v>43</v>
      </c>
      <c r="T532" s="65">
        <v>65</v>
      </c>
      <c r="U532" s="65">
        <v>129</v>
      </c>
      <c r="V532" s="65">
        <v>129</v>
      </c>
      <c r="Y532" s="74" t="s">
        <v>44</v>
      </c>
      <c r="Z532" s="56" t="s">
        <v>1472</v>
      </c>
      <c r="AA532" s="249"/>
      <c r="AB532" s="65" t="s">
        <v>94</v>
      </c>
      <c r="AC532" s="65" t="s">
        <v>94</v>
      </c>
    </row>
    <row r="533" spans="1:30">
      <c r="A533" s="331" t="s">
        <v>1206</v>
      </c>
      <c r="B533" s="59"/>
      <c r="C533" s="57">
        <v>42753</v>
      </c>
      <c r="E533" s="65" t="s">
        <v>29</v>
      </c>
      <c r="F533" s="65" t="s">
        <v>29</v>
      </c>
      <c r="G533" s="58" t="s">
        <v>1509</v>
      </c>
      <c r="H533" s="58" t="s">
        <v>1444</v>
      </c>
      <c r="I533" s="60">
        <v>40</v>
      </c>
      <c r="J533" s="58" t="s">
        <v>94</v>
      </c>
      <c r="K533" s="58" t="s">
        <v>29</v>
      </c>
      <c r="L533" s="58" t="s">
        <v>94</v>
      </c>
      <c r="M533" s="58" t="s">
        <v>29</v>
      </c>
      <c r="N533" s="61" t="s">
        <v>2635</v>
      </c>
      <c r="O533" s="58" t="s">
        <v>2636</v>
      </c>
      <c r="P533" s="58" t="s">
        <v>1447</v>
      </c>
      <c r="Q533" s="63" t="str">
        <f>IF(V533&lt;&gt;"","Completed","")</f>
        <v>Completed</v>
      </c>
      <c r="R533" s="64">
        <v>42717</v>
      </c>
      <c r="S533" s="64" t="s">
        <v>57</v>
      </c>
      <c r="T533" s="65">
        <v>12</v>
      </c>
      <c r="U533" s="65">
        <v>21</v>
      </c>
      <c r="V533" s="65">
        <v>21</v>
      </c>
      <c r="Y533" s="74" t="s">
        <v>44</v>
      </c>
      <c r="Z533" s="345" t="s">
        <v>1512</v>
      </c>
      <c r="AA533" s="252"/>
      <c r="AB533" s="248" t="s">
        <v>94</v>
      </c>
      <c r="AC533" s="248" t="s">
        <v>29</v>
      </c>
    </row>
    <row r="534" spans="1:30">
      <c r="A534" s="244" t="s">
        <v>323</v>
      </c>
      <c r="B534" s="62" t="s">
        <v>324</v>
      </c>
      <c r="C534" s="311">
        <v>42747</v>
      </c>
      <c r="D534" s="109" t="s">
        <v>2637</v>
      </c>
      <c r="E534" s="151" t="s">
        <v>94</v>
      </c>
      <c r="F534" s="151" t="s">
        <v>29</v>
      </c>
      <c r="G534" s="306" t="s">
        <v>1443</v>
      </c>
      <c r="H534" s="306" t="s">
        <v>1444</v>
      </c>
      <c r="I534" s="307">
        <v>95</v>
      </c>
      <c r="J534" s="306" t="s">
        <v>29</v>
      </c>
      <c r="K534" s="306" t="s">
        <v>94</v>
      </c>
      <c r="L534" s="306" t="s">
        <v>29</v>
      </c>
      <c r="M534" s="306" t="s">
        <v>29</v>
      </c>
      <c r="N534" s="308" t="s">
        <v>2638</v>
      </c>
      <c r="O534" s="309" t="s">
        <v>2639</v>
      </c>
      <c r="P534" s="309" t="s">
        <v>1447</v>
      </c>
      <c r="Q534" s="63" t="str">
        <f>IF(V534&lt;&gt;"","Completed","")</f>
        <v>Completed</v>
      </c>
      <c r="R534" s="310">
        <v>42719</v>
      </c>
      <c r="S534" s="310" t="s">
        <v>204</v>
      </c>
      <c r="T534" s="65">
        <v>32</v>
      </c>
      <c r="U534" s="65">
        <v>52</v>
      </c>
      <c r="V534" s="65">
        <v>52</v>
      </c>
      <c r="Y534" s="74" t="s">
        <v>44</v>
      </c>
      <c r="Z534" s="56" t="s">
        <v>1549</v>
      </c>
      <c r="AA534" s="252">
        <f>V534</f>
        <v>52</v>
      </c>
      <c r="AB534" s="65" t="s">
        <v>94</v>
      </c>
      <c r="AC534" s="65" t="s">
        <v>29</v>
      </c>
      <c r="AD534" s="349"/>
    </row>
    <row r="535" spans="1:30">
      <c r="A535" s="332" t="s">
        <v>945</v>
      </c>
      <c r="B535" s="59"/>
      <c r="C535" s="57">
        <v>42787</v>
      </c>
      <c r="E535" s="65" t="s">
        <v>29</v>
      </c>
      <c r="F535" s="65" t="s">
        <v>29</v>
      </c>
      <c r="G535" s="58" t="s">
        <v>1461</v>
      </c>
      <c r="H535" s="58" t="s">
        <v>1456</v>
      </c>
      <c r="I535" s="60">
        <v>0</v>
      </c>
      <c r="J535" s="58" t="s">
        <v>94</v>
      </c>
      <c r="K535" s="58" t="s">
        <v>29</v>
      </c>
      <c r="L535" s="58" t="s">
        <v>94</v>
      </c>
      <c r="M535" s="58" t="s">
        <v>29</v>
      </c>
      <c r="N535" s="61" t="s">
        <v>2640</v>
      </c>
      <c r="O535" s="58" t="s">
        <v>2641</v>
      </c>
      <c r="P535" s="58" t="s">
        <v>1447</v>
      </c>
      <c r="Q535" s="63" t="str">
        <f>IF(V535&lt;&gt;"","Completed","")</f>
        <v>Completed</v>
      </c>
      <c r="R535" s="319">
        <v>42742</v>
      </c>
      <c r="S535" s="319" t="s">
        <v>57</v>
      </c>
      <c r="T535" s="65">
        <v>4</v>
      </c>
      <c r="U535" s="65">
        <v>6</v>
      </c>
      <c r="V535" s="65">
        <v>6</v>
      </c>
      <c r="W535" s="242"/>
      <c r="X535" s="242"/>
      <c r="Y535" s="74" t="s">
        <v>44</v>
      </c>
      <c r="Z535" s="56" t="s">
        <v>1747</v>
      </c>
      <c r="AA535" s="252"/>
      <c r="AB535" s="74" t="s">
        <v>94</v>
      </c>
      <c r="AC535" s="65" t="s">
        <v>29</v>
      </c>
    </row>
    <row r="536" spans="1:30">
      <c r="A536" s="333" t="s">
        <v>559</v>
      </c>
      <c r="B536" s="305"/>
      <c r="C536" s="57">
        <v>42793</v>
      </c>
      <c r="D536" s="109"/>
      <c r="E536" s="151" t="s">
        <v>29</v>
      </c>
      <c r="F536" s="151" t="s">
        <v>29</v>
      </c>
      <c r="G536" s="306"/>
      <c r="H536" s="306"/>
      <c r="I536" s="307"/>
      <c r="J536" s="306"/>
      <c r="K536" s="306"/>
      <c r="L536" s="306"/>
      <c r="M536" s="306"/>
      <c r="N536" s="77" t="s">
        <v>2642</v>
      </c>
      <c r="O536" s="78" t="s">
        <v>2643</v>
      </c>
      <c r="P536" s="306"/>
      <c r="Q536" s="63" t="str">
        <f>IF(V536&lt;&gt;"","Completed","")</f>
        <v>Completed</v>
      </c>
      <c r="R536" s="64">
        <v>42756</v>
      </c>
      <c r="S536" s="319" t="s">
        <v>2176</v>
      </c>
      <c r="T536" s="65">
        <v>42</v>
      </c>
      <c r="U536" s="65">
        <v>69</v>
      </c>
      <c r="V536" s="65">
        <v>69</v>
      </c>
      <c r="Y536" s="74" t="s">
        <v>44</v>
      </c>
      <c r="Z536" s="56" t="s">
        <v>1668</v>
      </c>
      <c r="AA536" s="252"/>
      <c r="AB536" s="65" t="s">
        <v>94</v>
      </c>
      <c r="AC536" s="74" t="s">
        <v>29</v>
      </c>
      <c r="AD536" s="56"/>
    </row>
    <row r="537" spans="1:30">
      <c r="A537" s="75" t="s">
        <v>773</v>
      </c>
      <c r="B537" s="59"/>
      <c r="C537" s="57">
        <v>42745</v>
      </c>
      <c r="E537" s="65" t="s">
        <v>29</v>
      </c>
      <c r="F537" s="65" t="s">
        <v>29</v>
      </c>
      <c r="G537" s="58" t="s">
        <v>1443</v>
      </c>
      <c r="H537" s="58" t="s">
        <v>1444</v>
      </c>
      <c r="I537" s="60">
        <v>0</v>
      </c>
      <c r="J537" s="58" t="s">
        <v>29</v>
      </c>
      <c r="K537" s="58" t="s">
        <v>29</v>
      </c>
      <c r="L537" s="58" t="s">
        <v>94</v>
      </c>
      <c r="M537" s="58" t="s">
        <v>29</v>
      </c>
      <c r="N537" s="61" t="s">
        <v>2644</v>
      </c>
      <c r="O537" s="58" t="s">
        <v>2645</v>
      </c>
      <c r="P537" s="58" t="s">
        <v>1459</v>
      </c>
      <c r="Q537" s="63" t="str">
        <f>IF(V537&lt;&gt;"","Completed","")</f>
        <v>Completed</v>
      </c>
      <c r="R537" s="64">
        <v>42691</v>
      </c>
      <c r="S537" s="64" t="s">
        <v>433</v>
      </c>
      <c r="T537" s="65">
        <v>18</v>
      </c>
      <c r="U537" s="65">
        <v>30</v>
      </c>
      <c r="V537" s="65">
        <v>30</v>
      </c>
      <c r="Y537" s="74" t="s">
        <v>44</v>
      </c>
      <c r="Z537" s="56" t="s">
        <v>1791</v>
      </c>
      <c r="AA537" s="249">
        <f>SUM(V533:V537)</f>
        <v>178</v>
      </c>
      <c r="AB537" s="65" t="s">
        <v>94</v>
      </c>
      <c r="AC537" s="65" t="s">
        <v>29</v>
      </c>
    </row>
    <row r="538" spans="1:30">
      <c r="A538" s="244" t="s">
        <v>912</v>
      </c>
      <c r="B538" s="62" t="s">
        <v>913</v>
      </c>
      <c r="C538" s="57">
        <v>42725</v>
      </c>
      <c r="E538" s="65" t="s">
        <v>29</v>
      </c>
      <c r="F538" s="65" t="s">
        <v>29</v>
      </c>
      <c r="G538" s="58" t="s">
        <v>1443</v>
      </c>
      <c r="H538" s="58" t="s">
        <v>1456</v>
      </c>
      <c r="I538" s="60">
        <v>1</v>
      </c>
      <c r="J538" s="58" t="s">
        <v>29</v>
      </c>
      <c r="K538" s="58" t="s">
        <v>29</v>
      </c>
      <c r="L538" s="58" t="s">
        <v>29</v>
      </c>
      <c r="M538" s="58" t="s">
        <v>29</v>
      </c>
      <c r="N538" s="61" t="s">
        <v>2646</v>
      </c>
      <c r="O538" s="58" t="s">
        <v>2647</v>
      </c>
      <c r="P538" s="58" t="s">
        <v>1447</v>
      </c>
      <c r="Q538" s="63" t="str">
        <f>IF(V538&lt;&gt;"","Completed","")</f>
        <v>Completed</v>
      </c>
      <c r="R538" s="64">
        <v>42707</v>
      </c>
      <c r="S538" s="64" t="s">
        <v>149</v>
      </c>
      <c r="T538" s="65">
        <v>28</v>
      </c>
      <c r="U538" s="65">
        <v>49</v>
      </c>
      <c r="V538" s="65">
        <v>49</v>
      </c>
      <c r="Y538" s="74" t="s">
        <v>44</v>
      </c>
      <c r="Z538" s="56" t="s">
        <v>1640</v>
      </c>
      <c r="AA538" s="249"/>
      <c r="AB538" s="65" t="s">
        <v>94</v>
      </c>
      <c r="AC538" s="65" t="s">
        <v>29</v>
      </c>
    </row>
    <row r="539" spans="1:30">
      <c r="A539" s="75" t="s">
        <v>803</v>
      </c>
      <c r="B539" s="59"/>
      <c r="C539" s="57">
        <v>42761</v>
      </c>
      <c r="E539" s="65" t="s">
        <v>29</v>
      </c>
      <c r="F539" s="65" t="s">
        <v>29</v>
      </c>
      <c r="G539" s="58" t="s">
        <v>1443</v>
      </c>
      <c r="H539" s="58" t="s">
        <v>1456</v>
      </c>
      <c r="I539" s="60">
        <v>0</v>
      </c>
      <c r="J539" s="58" t="s">
        <v>2345</v>
      </c>
      <c r="K539" s="58" t="s">
        <v>29</v>
      </c>
      <c r="L539" s="58" t="s">
        <v>94</v>
      </c>
      <c r="M539" s="58" t="s">
        <v>29</v>
      </c>
      <c r="N539" s="61" t="s">
        <v>2648</v>
      </c>
      <c r="O539" s="58" t="s">
        <v>2649</v>
      </c>
      <c r="P539" s="58" t="s">
        <v>1447</v>
      </c>
      <c r="Q539" s="63" t="str">
        <f>IF(V539&lt;&gt;"","Completed","")</f>
        <v>Completed</v>
      </c>
      <c r="R539" s="64">
        <v>42704</v>
      </c>
      <c r="S539" s="64" t="s">
        <v>43</v>
      </c>
      <c r="T539" s="65">
        <v>51</v>
      </c>
      <c r="U539" s="65">
        <v>102</v>
      </c>
      <c r="V539" s="65">
        <v>102</v>
      </c>
      <c r="Y539" s="74" t="s">
        <v>44</v>
      </c>
      <c r="Z539" s="56" t="s">
        <v>1896</v>
      </c>
      <c r="AA539" s="249"/>
      <c r="AB539" s="65" t="s">
        <v>94</v>
      </c>
      <c r="AC539" s="65" t="s">
        <v>94</v>
      </c>
    </row>
    <row r="540" spans="1:30">
      <c r="A540" s="331" t="s">
        <v>1206</v>
      </c>
      <c r="B540" s="59"/>
      <c r="C540" s="57">
        <v>42724</v>
      </c>
      <c r="E540" s="65" t="s">
        <v>29</v>
      </c>
      <c r="F540" s="65" t="s">
        <v>29</v>
      </c>
      <c r="G540" s="58" t="s">
        <v>1443</v>
      </c>
      <c r="H540" s="58" t="s">
        <v>1444</v>
      </c>
      <c r="I540" s="60">
        <v>374</v>
      </c>
      <c r="J540" s="58" t="s">
        <v>29</v>
      </c>
      <c r="K540" s="58" t="s">
        <v>29</v>
      </c>
      <c r="L540" s="58" t="s">
        <v>94</v>
      </c>
      <c r="M540" s="58" t="s">
        <v>29</v>
      </c>
      <c r="N540" s="61" t="s">
        <v>2650</v>
      </c>
      <c r="O540" s="58" t="s">
        <v>2651</v>
      </c>
      <c r="P540" s="58" t="s">
        <v>1459</v>
      </c>
      <c r="Q540" s="63" t="str">
        <f>IF(V540&lt;&gt;"","Completed","")</f>
        <v>Completed</v>
      </c>
      <c r="R540" s="64">
        <v>42692</v>
      </c>
      <c r="S540" s="64" t="s">
        <v>57</v>
      </c>
      <c r="T540" s="65">
        <v>59</v>
      </c>
      <c r="U540" s="65">
        <v>113</v>
      </c>
      <c r="V540" s="65">
        <v>113</v>
      </c>
      <c r="Y540" s="74" t="s">
        <v>44</v>
      </c>
      <c r="Z540" s="56" t="s">
        <v>1966</v>
      </c>
      <c r="AA540" s="252"/>
      <c r="AB540" s="65" t="s">
        <v>94</v>
      </c>
      <c r="AC540" s="65" t="s">
        <v>29</v>
      </c>
    </row>
    <row r="541" spans="1:30">
      <c r="A541" s="75" t="s">
        <v>838</v>
      </c>
      <c r="B541" s="59"/>
      <c r="C541" s="57">
        <v>42655</v>
      </c>
      <c r="E541" s="65" t="s">
        <v>29</v>
      </c>
      <c r="F541" s="65" t="s">
        <v>29</v>
      </c>
      <c r="G541" s="58" t="s">
        <v>1443</v>
      </c>
      <c r="H541" s="58" t="s">
        <v>1456</v>
      </c>
      <c r="I541" s="60">
        <v>0</v>
      </c>
      <c r="J541" s="58" t="s">
        <v>29</v>
      </c>
      <c r="K541" s="58" t="s">
        <v>29</v>
      </c>
      <c r="L541" s="58" t="s">
        <v>94</v>
      </c>
      <c r="M541" s="58" t="s">
        <v>29</v>
      </c>
      <c r="N541" s="61" t="s">
        <v>2652</v>
      </c>
      <c r="O541" s="58" t="s">
        <v>2653</v>
      </c>
      <c r="P541" s="58" t="s">
        <v>1459</v>
      </c>
      <c r="Q541" s="63" t="str">
        <f>IF(V541&lt;&gt;"","Completed","")</f>
        <v>Completed</v>
      </c>
      <c r="R541" s="64">
        <v>42642</v>
      </c>
      <c r="S541" s="64" t="s">
        <v>222</v>
      </c>
      <c r="T541" s="65">
        <v>25</v>
      </c>
      <c r="U541" s="65">
        <v>50</v>
      </c>
      <c r="V541" s="65">
        <v>50</v>
      </c>
      <c r="Y541" s="74" t="s">
        <v>44</v>
      </c>
      <c r="Z541" s="56" t="s">
        <v>1663</v>
      </c>
      <c r="AA541" s="252"/>
      <c r="AB541" s="242" t="s">
        <v>94</v>
      </c>
      <c r="AC541" s="74"/>
    </row>
    <row r="542" spans="1:30">
      <c r="A542" s="75" t="s">
        <v>838</v>
      </c>
      <c r="B542" s="59"/>
      <c r="C542" s="57">
        <v>42655</v>
      </c>
      <c r="E542" s="65" t="s">
        <v>29</v>
      </c>
      <c r="F542" s="65" t="s">
        <v>29</v>
      </c>
      <c r="G542" s="58" t="s">
        <v>1443</v>
      </c>
      <c r="H542" s="58" t="s">
        <v>1456</v>
      </c>
      <c r="I542" s="60">
        <v>0</v>
      </c>
      <c r="J542" s="58" t="s">
        <v>94</v>
      </c>
      <c r="K542" s="58" t="s">
        <v>29</v>
      </c>
      <c r="L542" s="58" t="s">
        <v>94</v>
      </c>
      <c r="M542" s="58" t="s">
        <v>29</v>
      </c>
      <c r="N542" s="61" t="s">
        <v>2654</v>
      </c>
      <c r="O542" s="58" t="s">
        <v>2655</v>
      </c>
      <c r="P542" s="58" t="s">
        <v>1459</v>
      </c>
      <c r="Q542" s="63" t="str">
        <f>IF(V542&lt;&gt;"","Completed","")</f>
        <v>Completed</v>
      </c>
      <c r="R542" s="64">
        <v>42641</v>
      </c>
      <c r="S542" s="64" t="s">
        <v>222</v>
      </c>
      <c r="T542" s="65">
        <v>26</v>
      </c>
      <c r="U542" s="65">
        <v>52</v>
      </c>
      <c r="V542" s="65">
        <v>52</v>
      </c>
      <c r="Y542" s="74" t="s">
        <v>44</v>
      </c>
      <c r="Z542" s="56" t="s">
        <v>1663</v>
      </c>
      <c r="AA542" s="252"/>
      <c r="AB542" s="242" t="s">
        <v>94</v>
      </c>
      <c r="AC542" s="74"/>
    </row>
    <row r="543" spans="1:30">
      <c r="A543" s="332" t="s">
        <v>845</v>
      </c>
      <c r="B543" s="59"/>
      <c r="C543" s="57">
        <v>42675</v>
      </c>
      <c r="E543" s="65" t="s">
        <v>29</v>
      </c>
      <c r="F543" s="65" t="s">
        <v>29</v>
      </c>
      <c r="G543" s="58" t="s">
        <v>1443</v>
      </c>
      <c r="H543" s="58" t="s">
        <v>1444</v>
      </c>
      <c r="I543" s="60">
        <v>0</v>
      </c>
      <c r="J543" s="58" t="s">
        <v>94</v>
      </c>
      <c r="K543" s="58" t="s">
        <v>29</v>
      </c>
      <c r="L543" s="58" t="s">
        <v>94</v>
      </c>
      <c r="M543" s="58" t="s">
        <v>29</v>
      </c>
      <c r="N543" s="61" t="s">
        <v>2656</v>
      </c>
      <c r="O543" s="58" t="s">
        <v>2657</v>
      </c>
      <c r="P543" s="58" t="s">
        <v>1459</v>
      </c>
      <c r="Q543" s="63" t="str">
        <f>IF(V543&lt;&gt;"","Completed","")</f>
        <v>Completed</v>
      </c>
      <c r="R543" s="64">
        <v>42658</v>
      </c>
      <c r="S543" s="386" t="s">
        <v>397</v>
      </c>
      <c r="T543" s="65">
        <v>29</v>
      </c>
      <c r="U543" s="65">
        <v>57</v>
      </c>
      <c r="V543" s="65">
        <v>57</v>
      </c>
      <c r="Y543" s="74" t="s">
        <v>44</v>
      </c>
      <c r="Z543" s="56" t="s">
        <v>1582</v>
      </c>
      <c r="AA543" s="249"/>
      <c r="AB543" s="65" t="s">
        <v>94</v>
      </c>
      <c r="AC543" s="65" t="s">
        <v>29</v>
      </c>
    </row>
    <row r="544" spans="1:30">
      <c r="A544" s="332" t="s">
        <v>845</v>
      </c>
      <c r="B544" s="59"/>
      <c r="C544" s="57">
        <v>42688</v>
      </c>
      <c r="E544" s="65" t="s">
        <v>29</v>
      </c>
      <c r="F544" s="65" t="s">
        <v>29</v>
      </c>
      <c r="G544" s="58" t="s">
        <v>1443</v>
      </c>
      <c r="H544" s="58" t="s">
        <v>1444</v>
      </c>
      <c r="I544" s="60">
        <v>0</v>
      </c>
      <c r="J544" s="58" t="s">
        <v>94</v>
      </c>
      <c r="K544" s="58" t="s">
        <v>29</v>
      </c>
      <c r="L544" s="58" t="s">
        <v>94</v>
      </c>
      <c r="M544" s="58" t="s">
        <v>29</v>
      </c>
      <c r="N544" s="61" t="s">
        <v>2658</v>
      </c>
      <c r="O544" s="58" t="s">
        <v>2659</v>
      </c>
      <c r="P544" s="58" t="s">
        <v>1459</v>
      </c>
      <c r="Q544" s="63" t="str">
        <f>IF(V544&lt;&gt;"","Completed","")</f>
        <v>Completed</v>
      </c>
      <c r="R544" s="64">
        <v>42658</v>
      </c>
      <c r="S544" s="386" t="s">
        <v>397</v>
      </c>
      <c r="T544" s="65">
        <v>11</v>
      </c>
      <c r="U544" s="65">
        <v>22</v>
      </c>
      <c r="V544" s="65">
        <v>22</v>
      </c>
      <c r="Y544" s="74" t="s">
        <v>44</v>
      </c>
      <c r="Z544" s="56" t="s">
        <v>2063</v>
      </c>
      <c r="AA544" s="249"/>
      <c r="AB544" s="242" t="s">
        <v>94</v>
      </c>
      <c r="AC544" s="242" t="s">
        <v>29</v>
      </c>
    </row>
    <row r="545" spans="1:30">
      <c r="A545" s="332" t="s">
        <v>845</v>
      </c>
      <c r="B545" s="59"/>
      <c r="C545" s="57">
        <v>42675</v>
      </c>
      <c r="E545" s="65" t="s">
        <v>29</v>
      </c>
      <c r="F545" s="65" t="s">
        <v>29</v>
      </c>
      <c r="G545" s="58" t="s">
        <v>1443</v>
      </c>
      <c r="H545" s="58" t="s">
        <v>1444</v>
      </c>
      <c r="I545" s="60">
        <v>0</v>
      </c>
      <c r="J545" s="58" t="s">
        <v>29</v>
      </c>
      <c r="K545" s="58" t="s">
        <v>29</v>
      </c>
      <c r="L545" s="58" t="s">
        <v>94</v>
      </c>
      <c r="M545" s="58" t="s">
        <v>29</v>
      </c>
      <c r="N545" s="61" t="s">
        <v>2660</v>
      </c>
      <c r="O545" s="58" t="s">
        <v>2661</v>
      </c>
      <c r="P545" s="58" t="s">
        <v>1459</v>
      </c>
      <c r="Q545" s="63" t="str">
        <f>IF(V545&lt;&gt;"","Completed","")</f>
        <v>Completed</v>
      </c>
      <c r="R545" s="64">
        <v>42651</v>
      </c>
      <c r="S545" s="386" t="s">
        <v>397</v>
      </c>
      <c r="T545" s="65">
        <v>42</v>
      </c>
      <c r="U545" s="65">
        <v>83</v>
      </c>
      <c r="V545" s="65">
        <v>83</v>
      </c>
      <c r="Y545" s="74" t="s">
        <v>44</v>
      </c>
      <c r="Z545" s="56" t="s">
        <v>1582</v>
      </c>
      <c r="AA545" s="249"/>
      <c r="AB545" s="242" t="s">
        <v>94</v>
      </c>
      <c r="AC545" s="242" t="s">
        <v>29</v>
      </c>
      <c r="AD545" s="345" t="s">
        <v>2662</v>
      </c>
    </row>
    <row r="546" spans="1:30">
      <c r="A546" s="75" t="s">
        <v>205</v>
      </c>
      <c r="B546" s="59"/>
      <c r="C546" s="57">
        <v>42747</v>
      </c>
      <c r="D546" s="65">
        <v>3030000</v>
      </c>
      <c r="E546" s="65" t="s">
        <v>29</v>
      </c>
      <c r="F546" s="65" t="s">
        <v>29</v>
      </c>
      <c r="G546" s="58" t="s">
        <v>1443</v>
      </c>
      <c r="H546" s="58" t="s">
        <v>1456</v>
      </c>
      <c r="I546" s="60">
        <v>332</v>
      </c>
      <c r="J546" s="58" t="s">
        <v>94</v>
      </c>
      <c r="K546" s="58" t="s">
        <v>29</v>
      </c>
      <c r="L546" s="58" t="s">
        <v>94</v>
      </c>
      <c r="M546" s="58" t="s">
        <v>29</v>
      </c>
      <c r="N546" s="61" t="s">
        <v>2663</v>
      </c>
      <c r="O546" s="58" t="s">
        <v>2664</v>
      </c>
      <c r="P546" s="58" t="s">
        <v>1447</v>
      </c>
      <c r="Q546" s="63" t="str">
        <f>IF(V546&lt;&gt;"","Completed","")</f>
        <v>Completed</v>
      </c>
      <c r="R546" s="64">
        <v>42725</v>
      </c>
      <c r="S546" s="64" t="s">
        <v>149</v>
      </c>
      <c r="T546" s="65">
        <v>57</v>
      </c>
      <c r="U546" s="65">
        <v>89</v>
      </c>
      <c r="V546" s="65">
        <v>89</v>
      </c>
      <c r="Y546" s="74" t="s">
        <v>44</v>
      </c>
      <c r="Z546" s="56" t="s">
        <v>1549</v>
      </c>
      <c r="AA546" s="252">
        <f>SUM(U539:U546)</f>
        <v>568</v>
      </c>
      <c r="AB546" s="65" t="s">
        <v>94</v>
      </c>
      <c r="AC546" s="65" t="s">
        <v>94</v>
      </c>
    </row>
    <row r="547" spans="1:30">
      <c r="A547" s="332" t="s">
        <v>853</v>
      </c>
      <c r="B547" s="59"/>
      <c r="C547" s="57">
        <v>42668</v>
      </c>
      <c r="E547" s="65" t="s">
        <v>29</v>
      </c>
      <c r="F547" s="65" t="s">
        <v>29</v>
      </c>
      <c r="G547" s="58" t="s">
        <v>1443</v>
      </c>
      <c r="H547" s="58" t="s">
        <v>1444</v>
      </c>
      <c r="I547" s="60">
        <v>279</v>
      </c>
      <c r="J547" s="58" t="s">
        <v>94</v>
      </c>
      <c r="K547" s="58" t="s">
        <v>29</v>
      </c>
      <c r="L547" s="58" t="s">
        <v>94</v>
      </c>
      <c r="M547" s="58" t="s">
        <v>29</v>
      </c>
      <c r="N547" s="375" t="s">
        <v>2665</v>
      </c>
      <c r="O547" s="373" t="s">
        <v>2666</v>
      </c>
      <c r="P547" s="58" t="s">
        <v>1447</v>
      </c>
      <c r="Q547" s="63" t="str">
        <f>IF(V547&lt;&gt;"","Completed","")</f>
        <v>Completed</v>
      </c>
      <c r="R547" s="64">
        <v>42614</v>
      </c>
      <c r="S547" s="156" t="s">
        <v>80</v>
      </c>
      <c r="T547" s="323">
        <v>62</v>
      </c>
      <c r="U547" s="65">
        <v>93</v>
      </c>
      <c r="V547" s="65">
        <v>93</v>
      </c>
      <c r="Y547" s="74" t="s">
        <v>44</v>
      </c>
      <c r="Z547" s="56" t="s">
        <v>2085</v>
      </c>
      <c r="AA547" s="252"/>
      <c r="AB547" s="242" t="s">
        <v>94</v>
      </c>
      <c r="AC547" s="347" t="s">
        <v>94</v>
      </c>
    </row>
    <row r="548" spans="1:30" s="65" customFormat="1">
      <c r="A548" s="332" t="s">
        <v>853</v>
      </c>
      <c r="B548" s="59"/>
      <c r="C548" s="57">
        <v>42668</v>
      </c>
      <c r="E548" s="65" t="s">
        <v>29</v>
      </c>
      <c r="F548" s="65" t="s">
        <v>29</v>
      </c>
      <c r="G548" s="58" t="s">
        <v>1443</v>
      </c>
      <c r="H548" s="58" t="s">
        <v>1444</v>
      </c>
      <c r="I548" s="60">
        <v>0</v>
      </c>
      <c r="J548" s="58" t="s">
        <v>29</v>
      </c>
      <c r="K548" s="58" t="s">
        <v>29</v>
      </c>
      <c r="L548" s="58" t="s">
        <v>94</v>
      </c>
      <c r="M548" s="58" t="s">
        <v>29</v>
      </c>
      <c r="N548" s="375" t="s">
        <v>2667</v>
      </c>
      <c r="O548" s="373" t="s">
        <v>2668</v>
      </c>
      <c r="P548" s="58" t="s">
        <v>1447</v>
      </c>
      <c r="Q548" s="63" t="str">
        <f>IF(V548&lt;&gt;"","Completed","")</f>
        <v>Completed</v>
      </c>
      <c r="R548" s="64">
        <v>42614</v>
      </c>
      <c r="S548" s="156" t="s">
        <v>80</v>
      </c>
      <c r="T548" s="150">
        <v>19</v>
      </c>
      <c r="U548" s="65">
        <v>37</v>
      </c>
      <c r="V548" s="65">
        <v>37</v>
      </c>
      <c r="Y548" s="74" t="s">
        <v>44</v>
      </c>
      <c r="Z548" s="56" t="s">
        <v>2669</v>
      </c>
      <c r="AA548" s="252">
        <f>SUM(V547:V548)</f>
        <v>130</v>
      </c>
      <c r="AB548" s="242" t="s">
        <v>94</v>
      </c>
      <c r="AC548" s="347" t="s">
        <v>29</v>
      </c>
      <c r="AD548" s="345"/>
    </row>
    <row r="549" spans="1:30" s="65" customFormat="1">
      <c r="A549" s="332" t="s">
        <v>508</v>
      </c>
      <c r="B549" s="59"/>
      <c r="C549" s="57">
        <v>42662</v>
      </c>
      <c r="E549" s="65" t="s">
        <v>29</v>
      </c>
      <c r="F549" s="65" t="s">
        <v>29</v>
      </c>
      <c r="G549" s="58" t="s">
        <v>1461</v>
      </c>
      <c r="H549" s="58" t="s">
        <v>1456</v>
      </c>
      <c r="I549" s="60">
        <v>0</v>
      </c>
      <c r="J549" s="58" t="s">
        <v>29</v>
      </c>
      <c r="K549" s="58" t="s">
        <v>29</v>
      </c>
      <c r="L549" s="58" t="s">
        <v>94</v>
      </c>
      <c r="M549" s="58" t="s">
        <v>29</v>
      </c>
      <c r="N549" s="61" t="s">
        <v>2670</v>
      </c>
      <c r="O549" s="292" t="s">
        <v>2671</v>
      </c>
      <c r="P549" s="58" t="s">
        <v>1459</v>
      </c>
      <c r="Q549" s="63" t="str">
        <f>IF(V549&lt;&gt;"","Completed","")</f>
        <v>Completed</v>
      </c>
      <c r="R549" s="64">
        <v>42649</v>
      </c>
      <c r="S549" s="64" t="s">
        <v>222</v>
      </c>
      <c r="T549" s="65">
        <v>18</v>
      </c>
      <c r="U549" s="65">
        <v>36</v>
      </c>
      <c r="V549" s="65">
        <v>36</v>
      </c>
      <c r="Y549" s="74" t="s">
        <v>44</v>
      </c>
      <c r="Z549" s="56" t="s">
        <v>1671</v>
      </c>
      <c r="AA549" s="252">
        <f>V549</f>
        <v>36</v>
      </c>
      <c r="AB549" s="242" t="s">
        <v>94</v>
      </c>
      <c r="AC549" s="242" t="s">
        <v>29</v>
      </c>
      <c r="AD549" s="345"/>
    </row>
    <row r="550" spans="1:30" s="65" customFormat="1">
      <c r="A550" s="75" t="s">
        <v>996</v>
      </c>
      <c r="B550" s="59"/>
      <c r="C550" s="57">
        <v>42663</v>
      </c>
      <c r="E550" s="65" t="s">
        <v>29</v>
      </c>
      <c r="F550" s="65" t="s">
        <v>29</v>
      </c>
      <c r="G550" s="58" t="s">
        <v>1443</v>
      </c>
      <c r="H550" s="58" t="s">
        <v>1444</v>
      </c>
      <c r="I550" s="60">
        <v>432</v>
      </c>
      <c r="J550" s="58" t="s">
        <v>94</v>
      </c>
      <c r="K550" s="58" t="s">
        <v>29</v>
      </c>
      <c r="L550" s="58" t="s">
        <v>29</v>
      </c>
      <c r="M550" s="58" t="s">
        <v>29</v>
      </c>
      <c r="N550" s="61" t="s">
        <v>2672</v>
      </c>
      <c r="O550" s="58" t="s">
        <v>2673</v>
      </c>
      <c r="P550" s="58" t="s">
        <v>1447</v>
      </c>
      <c r="Q550" s="63" t="str">
        <f>IF(V550&lt;&gt;"","Completed","")</f>
        <v>Completed</v>
      </c>
      <c r="R550" s="64">
        <v>42648</v>
      </c>
      <c r="S550" s="386" t="s">
        <v>397</v>
      </c>
      <c r="T550" s="65">
        <v>38</v>
      </c>
      <c r="U550" s="65">
        <v>76</v>
      </c>
      <c r="V550" s="65">
        <v>76</v>
      </c>
      <c r="Y550" s="74" t="s">
        <v>44</v>
      </c>
      <c r="Z550" s="56" t="s">
        <v>1515</v>
      </c>
      <c r="AA550" s="252"/>
      <c r="AB550" s="242" t="s">
        <v>94</v>
      </c>
      <c r="AC550" s="74"/>
      <c r="AD550" s="345"/>
    </row>
    <row r="551" spans="1:30" s="65" customFormat="1">
      <c r="A551" s="331" t="s">
        <v>1206</v>
      </c>
      <c r="B551" s="59"/>
      <c r="C551" s="57">
        <v>42744</v>
      </c>
      <c r="E551" s="65" t="s">
        <v>29</v>
      </c>
      <c r="F551" s="65" t="s">
        <v>29</v>
      </c>
      <c r="G551" s="58" t="s">
        <v>1443</v>
      </c>
      <c r="H551" s="58" t="s">
        <v>1444</v>
      </c>
      <c r="I551" s="60">
        <v>0</v>
      </c>
      <c r="J551" s="58" t="s">
        <v>29</v>
      </c>
      <c r="K551" s="58" t="s">
        <v>29</v>
      </c>
      <c r="L551" s="58" t="s">
        <v>94</v>
      </c>
      <c r="M551" s="58" t="s">
        <v>29</v>
      </c>
      <c r="N551" s="61" t="s">
        <v>2674</v>
      </c>
      <c r="O551" s="58" t="s">
        <v>2675</v>
      </c>
      <c r="P551" s="58" t="s">
        <v>1459</v>
      </c>
      <c r="Q551" s="63" t="str">
        <f>IF(V551&lt;&gt;"","Completed","")</f>
        <v>Completed</v>
      </c>
      <c r="R551" s="64">
        <v>42697</v>
      </c>
      <c r="S551" s="64" t="s">
        <v>57</v>
      </c>
      <c r="T551" s="242">
        <v>35</v>
      </c>
      <c r="U551" s="242">
        <v>65</v>
      </c>
      <c r="V551" s="242">
        <v>65</v>
      </c>
      <c r="W551" s="242"/>
      <c r="X551" s="242"/>
      <c r="Y551" s="74" t="s">
        <v>44</v>
      </c>
      <c r="Z551" s="345" t="s">
        <v>1508</v>
      </c>
      <c r="AA551" s="252"/>
      <c r="AB551" s="248" t="s">
        <v>94</v>
      </c>
      <c r="AC551" s="248" t="s">
        <v>29</v>
      </c>
      <c r="AD551" s="345"/>
    </row>
    <row r="552" spans="1:30" s="65" customFormat="1">
      <c r="A552" s="75" t="s">
        <v>1182</v>
      </c>
      <c r="B552" s="59"/>
      <c r="C552" s="57"/>
      <c r="E552" s="65" t="s">
        <v>29</v>
      </c>
      <c r="F552" s="65" t="s">
        <v>94</v>
      </c>
      <c r="G552" s="58" t="s">
        <v>1443</v>
      </c>
      <c r="H552" s="58" t="s">
        <v>1444</v>
      </c>
      <c r="I552" s="60">
        <v>279</v>
      </c>
      <c r="J552" s="58" t="s">
        <v>94</v>
      </c>
      <c r="K552" s="58" t="s">
        <v>29</v>
      </c>
      <c r="L552" s="58" t="s">
        <v>29</v>
      </c>
      <c r="M552" s="58" t="s">
        <v>94</v>
      </c>
      <c r="N552" s="61" t="s">
        <v>2676</v>
      </c>
      <c r="O552" s="58" t="s">
        <v>2677</v>
      </c>
      <c r="P552" s="58" t="s">
        <v>1459</v>
      </c>
      <c r="Q552" s="63" t="str">
        <f>IF(V552&lt;&gt;"","Completed","")</f>
        <v>Completed</v>
      </c>
      <c r="R552" s="301">
        <v>42622</v>
      </c>
      <c r="S552" s="301" t="s">
        <v>222</v>
      </c>
      <c r="T552" s="273">
        <v>12</v>
      </c>
      <c r="U552" s="150">
        <v>24</v>
      </c>
      <c r="V552" s="150">
        <v>24</v>
      </c>
      <c r="W552" s="150"/>
      <c r="X552" s="150"/>
      <c r="Y552" s="74" t="s">
        <v>44</v>
      </c>
      <c r="Z552" s="56" t="s">
        <v>2085</v>
      </c>
      <c r="AA552" s="249"/>
      <c r="AB552" s="242" t="s">
        <v>94</v>
      </c>
      <c r="AD552" s="345"/>
    </row>
    <row r="553" spans="1:30" s="65" customFormat="1">
      <c r="A553" s="75" t="s">
        <v>273</v>
      </c>
      <c r="B553" s="59"/>
      <c r="C553" s="57">
        <v>42765</v>
      </c>
      <c r="D553" s="65">
        <v>4044000</v>
      </c>
      <c r="E553" s="65" t="s">
        <v>29</v>
      </c>
      <c r="F553" s="65" t="s">
        <v>29</v>
      </c>
      <c r="G553" s="58" t="s">
        <v>1443</v>
      </c>
      <c r="H553" s="58" t="s">
        <v>1456</v>
      </c>
      <c r="I553" s="60">
        <v>0</v>
      </c>
      <c r="J553" s="58" t="s">
        <v>94</v>
      </c>
      <c r="K553" s="58" t="s">
        <v>29</v>
      </c>
      <c r="L553" s="58" t="s">
        <v>94</v>
      </c>
      <c r="M553" s="58" t="s">
        <v>29</v>
      </c>
      <c r="N553" s="61" t="s">
        <v>2678</v>
      </c>
      <c r="O553" s="58" t="s">
        <v>2679</v>
      </c>
      <c r="P553" s="58" t="s">
        <v>1447</v>
      </c>
      <c r="Q553" s="63" t="str">
        <f>IF(V553&lt;&gt;"","Completed","")</f>
        <v>Completed</v>
      </c>
      <c r="R553" s="293">
        <v>42707</v>
      </c>
      <c r="S553" s="341" t="s">
        <v>43</v>
      </c>
      <c r="T553" s="65">
        <v>23</v>
      </c>
      <c r="U553" s="256">
        <v>44</v>
      </c>
      <c r="V553" s="256">
        <v>44</v>
      </c>
      <c r="Y553" s="74" t="s">
        <v>44</v>
      </c>
      <c r="Z553" s="56" t="s">
        <v>1647</v>
      </c>
      <c r="AA553" s="252"/>
      <c r="AB553" s="65" t="s">
        <v>94</v>
      </c>
      <c r="AD553" s="345"/>
    </row>
    <row r="554" spans="1:30" s="65" customFormat="1">
      <c r="A554" s="75" t="s">
        <v>905</v>
      </c>
      <c r="B554" s="59"/>
      <c r="C554" s="57">
        <v>42776</v>
      </c>
      <c r="E554" s="65" t="s">
        <v>29</v>
      </c>
      <c r="F554" s="65" t="s">
        <v>29</v>
      </c>
      <c r="G554" s="58" t="s">
        <v>1443</v>
      </c>
      <c r="H554" s="58" t="s">
        <v>1456</v>
      </c>
      <c r="I554" s="60">
        <v>401</v>
      </c>
      <c r="J554" s="58" t="s">
        <v>94</v>
      </c>
      <c r="K554" s="58" t="s">
        <v>29</v>
      </c>
      <c r="L554" s="58" t="s">
        <v>29</v>
      </c>
      <c r="M554" s="58" t="s">
        <v>29</v>
      </c>
      <c r="N554" s="61" t="s">
        <v>2680</v>
      </c>
      <c r="O554" s="58" t="s">
        <v>2681</v>
      </c>
      <c r="P554" s="58" t="s">
        <v>1447</v>
      </c>
      <c r="Q554" s="63" t="str">
        <f>IF(V554&lt;&gt;"","Completed","")</f>
        <v>Completed</v>
      </c>
      <c r="R554" s="64">
        <v>42724</v>
      </c>
      <c r="S554" s="64" t="s">
        <v>57</v>
      </c>
      <c r="T554" s="65">
        <v>117</v>
      </c>
      <c r="U554" s="65">
        <v>183</v>
      </c>
      <c r="V554" s="65">
        <v>183</v>
      </c>
      <c r="Y554" s="74" t="s">
        <v>44</v>
      </c>
      <c r="Z554" s="56" t="s">
        <v>1650</v>
      </c>
      <c r="AA554" s="252"/>
      <c r="AB554" s="65" t="s">
        <v>94</v>
      </c>
      <c r="AC554" s="65" t="s">
        <v>29</v>
      </c>
      <c r="AD554" s="345"/>
    </row>
    <row r="555" spans="1:30" s="65" customFormat="1">
      <c r="A555" s="75" t="s">
        <v>929</v>
      </c>
      <c r="B555" s="59"/>
      <c r="C555" s="57">
        <v>42790</v>
      </c>
      <c r="E555" s="65" t="s">
        <v>29</v>
      </c>
      <c r="F555" s="65" t="s">
        <v>94</v>
      </c>
      <c r="G555" s="58" t="s">
        <v>1443</v>
      </c>
      <c r="H555" s="58" t="s">
        <v>1444</v>
      </c>
      <c r="I555" s="60">
        <v>0</v>
      </c>
      <c r="J555" s="58" t="s">
        <v>94</v>
      </c>
      <c r="K555" s="58" t="s">
        <v>29</v>
      </c>
      <c r="L555" s="58" t="s">
        <v>94</v>
      </c>
      <c r="M555" s="58" t="s">
        <v>94</v>
      </c>
      <c r="N555" s="61" t="s">
        <v>2682</v>
      </c>
      <c r="O555" s="58" t="s">
        <v>2683</v>
      </c>
      <c r="P555" s="58" t="s">
        <v>1447</v>
      </c>
      <c r="Q555" s="63" t="str">
        <f>IF(V555&lt;&gt;"","Completed","")</f>
        <v>Completed</v>
      </c>
      <c r="R555" s="64">
        <v>42644</v>
      </c>
      <c r="S555" s="386" t="s">
        <v>172</v>
      </c>
      <c r="T555" s="65">
        <v>43</v>
      </c>
      <c r="U555" s="256">
        <v>82</v>
      </c>
      <c r="V555" s="256">
        <v>82</v>
      </c>
      <c r="Y555" s="74" t="s">
        <v>44</v>
      </c>
      <c r="Z555" s="56" t="s">
        <v>1481</v>
      </c>
      <c r="AA555" s="249"/>
      <c r="AB555" s="65" t="s">
        <v>94</v>
      </c>
      <c r="AC555" s="65" t="s">
        <v>29</v>
      </c>
      <c r="AD555" s="345"/>
    </row>
    <row r="556" spans="1:30" s="65" customFormat="1">
      <c r="A556" s="75" t="s">
        <v>1052</v>
      </c>
      <c r="B556" s="59"/>
      <c r="C556" s="57">
        <v>42716</v>
      </c>
      <c r="E556" s="65" t="s">
        <v>29</v>
      </c>
      <c r="F556" s="65" t="s">
        <v>29</v>
      </c>
      <c r="G556" s="58" t="s">
        <v>1443</v>
      </c>
      <c r="H556" s="58" t="s">
        <v>1449</v>
      </c>
      <c r="I556" s="60">
        <v>285</v>
      </c>
      <c r="J556" s="58" t="s">
        <v>94</v>
      </c>
      <c r="K556" s="58" t="s">
        <v>29</v>
      </c>
      <c r="L556" s="58" t="s">
        <v>29</v>
      </c>
      <c r="M556" s="58" t="s">
        <v>29</v>
      </c>
      <c r="N556" s="61" t="s">
        <v>2684</v>
      </c>
      <c r="O556" s="58" t="s">
        <v>2685</v>
      </c>
      <c r="P556" s="58" t="s">
        <v>1447</v>
      </c>
      <c r="Q556" s="63" t="str">
        <f>IF(V556&lt;&gt;"","Completed","")</f>
        <v>Completed</v>
      </c>
      <c r="R556" s="64">
        <v>42693</v>
      </c>
      <c r="S556" s="64" t="s">
        <v>149</v>
      </c>
      <c r="T556" s="65">
        <v>24</v>
      </c>
      <c r="U556" s="65">
        <v>48</v>
      </c>
      <c r="V556" s="65">
        <v>48</v>
      </c>
      <c r="Y556" s="74" t="s">
        <v>44</v>
      </c>
      <c r="Z556" s="56" t="s">
        <v>1966</v>
      </c>
      <c r="AA556" s="252"/>
      <c r="AB556" s="65" t="s">
        <v>94</v>
      </c>
      <c r="AC556" s="74" t="s">
        <v>29</v>
      </c>
      <c r="AD556" s="345"/>
    </row>
    <row r="557" spans="1:30" s="65" customFormat="1">
      <c r="A557" s="332" t="s">
        <v>860</v>
      </c>
      <c r="B557" s="59"/>
      <c r="C557" s="57"/>
      <c r="E557" s="65" t="s">
        <v>29</v>
      </c>
      <c r="F557" s="65" t="s">
        <v>29</v>
      </c>
      <c r="G557" s="58" t="s">
        <v>1443</v>
      </c>
      <c r="H557" s="58" t="s">
        <v>1444</v>
      </c>
      <c r="I557" s="60">
        <v>100</v>
      </c>
      <c r="J557" s="58" t="s">
        <v>94</v>
      </c>
      <c r="K557" s="58" t="s">
        <v>29</v>
      </c>
      <c r="L557" s="58" t="s">
        <v>29</v>
      </c>
      <c r="M557" s="58" t="s">
        <v>29</v>
      </c>
      <c r="N557" s="61" t="s">
        <v>2686</v>
      </c>
      <c r="O557" s="63" t="s">
        <v>2687</v>
      </c>
      <c r="P557" s="58" t="s">
        <v>1459</v>
      </c>
      <c r="Q557" s="63" t="str">
        <f>IF(V557&lt;&gt;"","Completed","")</f>
        <v>Completed</v>
      </c>
      <c r="R557" s="64">
        <v>42537</v>
      </c>
      <c r="S557" s="319" t="s">
        <v>222</v>
      </c>
      <c r="T557" s="150">
        <v>15</v>
      </c>
      <c r="U557" s="65">
        <v>30</v>
      </c>
      <c r="V557" s="65">
        <v>30</v>
      </c>
      <c r="Y557" s="74" t="s">
        <v>44</v>
      </c>
      <c r="Z557" s="56" t="s">
        <v>220</v>
      </c>
      <c r="AA557" s="249"/>
      <c r="AB557" s="242" t="s">
        <v>94</v>
      </c>
      <c r="AC557" s="242" t="s">
        <v>94</v>
      </c>
      <c r="AD557" s="349" t="s">
        <v>2688</v>
      </c>
    </row>
    <row r="558" spans="1:30" s="65" customFormat="1">
      <c r="A558" s="332" t="s">
        <v>860</v>
      </c>
      <c r="B558" s="59"/>
      <c r="C558" s="247">
        <v>42740</v>
      </c>
      <c r="E558" s="65" t="s">
        <v>29</v>
      </c>
      <c r="F558" s="65" t="s">
        <v>29</v>
      </c>
      <c r="G558" s="58" t="s">
        <v>1443</v>
      </c>
      <c r="H558" s="58" t="s">
        <v>1444</v>
      </c>
      <c r="I558" s="60">
        <v>0</v>
      </c>
      <c r="J558" s="58" t="s">
        <v>29</v>
      </c>
      <c r="K558" s="58" t="s">
        <v>29</v>
      </c>
      <c r="L558" s="58" t="s">
        <v>29</v>
      </c>
      <c r="M558" s="58" t="s">
        <v>29</v>
      </c>
      <c r="N558" s="61" t="s">
        <v>2689</v>
      </c>
      <c r="O558" s="58" t="s">
        <v>2690</v>
      </c>
      <c r="P558" s="58" t="s">
        <v>1459</v>
      </c>
      <c r="Q558" s="63" t="str">
        <f>IF(V558&lt;&gt;"","Completed","")</f>
        <v>Completed</v>
      </c>
      <c r="R558" s="64">
        <v>42725</v>
      </c>
      <c r="S558" s="319" t="s">
        <v>222</v>
      </c>
      <c r="T558" s="65">
        <v>27</v>
      </c>
      <c r="U558" s="65">
        <v>47</v>
      </c>
      <c r="V558" s="65">
        <v>47</v>
      </c>
      <c r="Y558" s="74" t="s">
        <v>44</v>
      </c>
      <c r="Z558" s="56" t="s">
        <v>1555</v>
      </c>
      <c r="AA558" s="249"/>
      <c r="AB558" s="242" t="s">
        <v>94</v>
      </c>
      <c r="AC558" s="242" t="s">
        <v>29</v>
      </c>
      <c r="AD558" s="345"/>
    </row>
    <row r="559" spans="1:30" s="65" customFormat="1">
      <c r="A559" s="332" t="s">
        <v>860</v>
      </c>
      <c r="B559" s="59"/>
      <c r="C559" s="57"/>
      <c r="E559" s="65" t="s">
        <v>29</v>
      </c>
      <c r="F559" s="65" t="s">
        <v>29</v>
      </c>
      <c r="G559" s="58" t="s">
        <v>1443</v>
      </c>
      <c r="H559" s="58" t="s">
        <v>1444</v>
      </c>
      <c r="I559" s="60">
        <v>600</v>
      </c>
      <c r="J559" s="58" t="s">
        <v>94</v>
      </c>
      <c r="K559" s="58" t="s">
        <v>29</v>
      </c>
      <c r="L559" s="58" t="s">
        <v>29</v>
      </c>
      <c r="M559" s="58" t="s">
        <v>29</v>
      </c>
      <c r="N559" s="61" t="s">
        <v>2691</v>
      </c>
      <c r="O559" s="58" t="s">
        <v>2692</v>
      </c>
      <c r="P559" s="58" t="s">
        <v>1459</v>
      </c>
      <c r="Q559" s="63" t="str">
        <f>IF(V559&lt;&gt;"","Completed","")</f>
        <v>Completed</v>
      </c>
      <c r="R559" s="64">
        <v>42537</v>
      </c>
      <c r="S559" s="319" t="s">
        <v>222</v>
      </c>
      <c r="T559" s="150">
        <v>14</v>
      </c>
      <c r="U559" s="242">
        <v>21</v>
      </c>
      <c r="V559" s="242">
        <v>21</v>
      </c>
      <c r="Y559" s="74" t="s">
        <v>44</v>
      </c>
      <c r="Z559" s="56" t="s">
        <v>220</v>
      </c>
      <c r="AA559" s="249"/>
      <c r="AB559" s="242" t="s">
        <v>94</v>
      </c>
      <c r="AC559" s="347" t="s">
        <v>29</v>
      </c>
      <c r="AD559" s="345"/>
    </row>
    <row r="560" spans="1:30" s="65" customFormat="1">
      <c r="A560" s="244" t="s">
        <v>868</v>
      </c>
      <c r="B560" s="62" t="s">
        <v>196</v>
      </c>
      <c r="C560" s="311">
        <v>42755</v>
      </c>
      <c r="D560" s="109"/>
      <c r="E560" s="151" t="s">
        <v>29</v>
      </c>
      <c r="F560" s="151" t="s">
        <v>29</v>
      </c>
      <c r="G560" s="306"/>
      <c r="H560" s="306"/>
      <c r="I560" s="307"/>
      <c r="J560" s="306"/>
      <c r="K560" s="306"/>
      <c r="L560" s="306"/>
      <c r="M560" s="306"/>
      <c r="N560" s="308" t="s">
        <v>2693</v>
      </c>
      <c r="O560" s="306" t="s">
        <v>2694</v>
      </c>
      <c r="P560" s="306"/>
      <c r="Q560" s="63" t="str">
        <f>IF(V560&lt;&gt;"","Completed","")</f>
        <v>Completed</v>
      </c>
      <c r="R560" s="310">
        <v>42724</v>
      </c>
      <c r="S560" s="310" t="s">
        <v>204</v>
      </c>
      <c r="T560" s="65">
        <v>22</v>
      </c>
      <c r="U560" s="65">
        <v>41</v>
      </c>
      <c r="V560" s="65">
        <v>41</v>
      </c>
      <c r="Y560" s="74" t="s">
        <v>44</v>
      </c>
      <c r="Z560" s="56" t="s">
        <v>1475</v>
      </c>
      <c r="AA560" s="92"/>
      <c r="AB560" s="65" t="s">
        <v>94</v>
      </c>
      <c r="AC560" s="65" t="s">
        <v>29</v>
      </c>
      <c r="AD560" s="345"/>
    </row>
    <row r="561" spans="1:30" s="65" customFormat="1">
      <c r="A561" s="75" t="s">
        <v>870</v>
      </c>
      <c r="B561" s="59"/>
      <c r="C561" s="57">
        <v>42744</v>
      </c>
      <c r="E561" s="65" t="s">
        <v>29</v>
      </c>
      <c r="F561" s="65" t="s">
        <v>29</v>
      </c>
      <c r="G561" s="58" t="s">
        <v>1443</v>
      </c>
      <c r="H561" s="58" t="s">
        <v>1444</v>
      </c>
      <c r="I561" s="60">
        <v>0</v>
      </c>
      <c r="J561" s="58" t="s">
        <v>94</v>
      </c>
      <c r="K561" s="58" t="s">
        <v>29</v>
      </c>
      <c r="L561" s="58" t="s">
        <v>29</v>
      </c>
      <c r="M561" s="58" t="s">
        <v>29</v>
      </c>
      <c r="N561" s="61" t="s">
        <v>2695</v>
      </c>
      <c r="O561" s="58" t="s">
        <v>2696</v>
      </c>
      <c r="P561" s="58" t="s">
        <v>1447</v>
      </c>
      <c r="Q561" s="63" t="str">
        <f>IF(V561&lt;&gt;"","Completed","")</f>
        <v>Completed</v>
      </c>
      <c r="R561" s="64">
        <v>42686</v>
      </c>
      <c r="S561" s="64" t="s">
        <v>57</v>
      </c>
      <c r="T561" s="65">
        <v>48</v>
      </c>
      <c r="U561" s="65">
        <v>86</v>
      </c>
      <c r="V561" s="65">
        <v>86</v>
      </c>
      <c r="Y561" s="74" t="s">
        <v>44</v>
      </c>
      <c r="Z561" s="56" t="s">
        <v>1754</v>
      </c>
      <c r="AA561" s="249"/>
      <c r="AB561" s="65" t="s">
        <v>94</v>
      </c>
      <c r="AC561" s="65" t="s">
        <v>29</v>
      </c>
      <c r="AD561" s="345"/>
    </row>
    <row r="562" spans="1:30" s="65" customFormat="1">
      <c r="A562" s="332" t="s">
        <v>870</v>
      </c>
      <c r="B562" s="59"/>
      <c r="C562" s="57">
        <v>42769</v>
      </c>
      <c r="E562" s="65" t="s">
        <v>29</v>
      </c>
      <c r="F562" s="65" t="s">
        <v>29</v>
      </c>
      <c r="G562" s="58" t="s">
        <v>1443</v>
      </c>
      <c r="H562" s="58" t="s">
        <v>1444</v>
      </c>
      <c r="I562" s="60">
        <v>0</v>
      </c>
      <c r="J562" s="58" t="s">
        <v>29</v>
      </c>
      <c r="K562" s="58" t="s">
        <v>29</v>
      </c>
      <c r="L562" s="58" t="s">
        <v>29</v>
      </c>
      <c r="M562" s="58" t="s">
        <v>29</v>
      </c>
      <c r="N562" s="61" t="s">
        <v>2697</v>
      </c>
      <c r="O562" s="58" t="s">
        <v>2698</v>
      </c>
      <c r="P562" s="58" t="s">
        <v>1447</v>
      </c>
      <c r="Q562" s="63" t="str">
        <f>IF(V562&lt;&gt;"","Completed","")</f>
        <v>Completed</v>
      </c>
      <c r="R562" s="64">
        <v>42699</v>
      </c>
      <c r="S562" s="64" t="s">
        <v>57</v>
      </c>
      <c r="T562" s="65">
        <v>110</v>
      </c>
      <c r="U562" s="242">
        <v>179</v>
      </c>
      <c r="V562" s="242">
        <v>179</v>
      </c>
      <c r="W562" s="242"/>
      <c r="X562" s="242"/>
      <c r="Y562" s="74" t="s">
        <v>44</v>
      </c>
      <c r="Z562" s="345" t="s">
        <v>1508</v>
      </c>
      <c r="AA562" s="249">
        <f>SUM(V558:V562)</f>
        <v>374</v>
      </c>
      <c r="AB562" s="65" t="s">
        <v>94</v>
      </c>
      <c r="AC562" s="65" t="s">
        <v>29</v>
      </c>
      <c r="AD562" s="345"/>
    </row>
    <row r="563" spans="1:30" s="65" customFormat="1">
      <c r="A563" s="75" t="s">
        <v>877</v>
      </c>
      <c r="B563" s="59"/>
      <c r="C563" s="57">
        <v>42744</v>
      </c>
      <c r="E563" s="65" t="s">
        <v>29</v>
      </c>
      <c r="F563" s="65" t="s">
        <v>29</v>
      </c>
      <c r="G563" s="58" t="s">
        <v>1443</v>
      </c>
      <c r="H563" s="58" t="s">
        <v>1449</v>
      </c>
      <c r="I563" s="60">
        <v>0</v>
      </c>
      <c r="J563" s="58" t="s">
        <v>94</v>
      </c>
      <c r="K563" s="58" t="s">
        <v>29</v>
      </c>
      <c r="L563" s="58" t="s">
        <v>29</v>
      </c>
      <c r="M563" s="58" t="s">
        <v>29</v>
      </c>
      <c r="N563" s="61" t="s">
        <v>2699</v>
      </c>
      <c r="O563" s="58" t="s">
        <v>2700</v>
      </c>
      <c r="P563" s="58" t="s">
        <v>1447</v>
      </c>
      <c r="Q563" s="63" t="str">
        <f>IF(V563&lt;&gt;"","Completed","")</f>
        <v>Completed</v>
      </c>
      <c r="R563" s="64">
        <v>42664</v>
      </c>
      <c r="S563" s="64" t="s">
        <v>57</v>
      </c>
      <c r="T563" s="65">
        <v>32</v>
      </c>
      <c r="U563" s="65">
        <v>64</v>
      </c>
      <c r="V563" s="65">
        <v>64</v>
      </c>
      <c r="Y563" s="74" t="s">
        <v>44</v>
      </c>
      <c r="Z563" s="56" t="s">
        <v>1817</v>
      </c>
      <c r="AA563" s="252"/>
      <c r="AB563" s="248" t="s">
        <v>94</v>
      </c>
      <c r="AC563" s="248" t="s">
        <v>29</v>
      </c>
      <c r="AD563" s="345"/>
    </row>
    <row r="564" spans="1:30">
      <c r="A564" s="75" t="s">
        <v>877</v>
      </c>
      <c r="B564" s="59"/>
      <c r="C564" s="57">
        <v>42744</v>
      </c>
      <c r="E564" s="65" t="s">
        <v>29</v>
      </c>
      <c r="F564" s="65" t="s">
        <v>29</v>
      </c>
      <c r="G564" s="58" t="s">
        <v>1443</v>
      </c>
      <c r="H564" s="58" t="s">
        <v>1449</v>
      </c>
      <c r="I564" s="60">
        <v>0</v>
      </c>
      <c r="J564" s="58" t="s">
        <v>29</v>
      </c>
      <c r="K564" s="58" t="s">
        <v>29</v>
      </c>
      <c r="L564" s="58" t="s">
        <v>29</v>
      </c>
      <c r="M564" s="58" t="s">
        <v>29</v>
      </c>
      <c r="N564" s="61" t="s">
        <v>2701</v>
      </c>
      <c r="O564" s="58" t="s">
        <v>2702</v>
      </c>
      <c r="P564" s="58" t="s">
        <v>1447</v>
      </c>
      <c r="Q564" s="63" t="str">
        <f>IF(V564&lt;&gt;"","Completed","")</f>
        <v>Completed</v>
      </c>
      <c r="R564" s="64">
        <v>42664</v>
      </c>
      <c r="S564" s="64" t="s">
        <v>57</v>
      </c>
      <c r="T564" s="65">
        <v>44</v>
      </c>
      <c r="U564" s="65">
        <v>88</v>
      </c>
      <c r="V564" s="65">
        <v>88</v>
      </c>
      <c r="Y564" s="74" t="s">
        <v>44</v>
      </c>
      <c r="Z564" s="56" t="s">
        <v>1817</v>
      </c>
      <c r="AA564" s="252"/>
      <c r="AB564" s="248" t="s">
        <v>94</v>
      </c>
      <c r="AC564" s="248" t="s">
        <v>29</v>
      </c>
    </row>
    <row r="565" spans="1:30">
      <c r="A565" s="244" t="s">
        <v>885</v>
      </c>
      <c r="B565" s="62" t="s">
        <v>462</v>
      </c>
      <c r="C565" s="57">
        <v>42753</v>
      </c>
      <c r="E565" s="65" t="s">
        <v>29</v>
      </c>
      <c r="F565" s="65" t="s">
        <v>29</v>
      </c>
      <c r="G565" s="58" t="s">
        <v>1443</v>
      </c>
      <c r="H565" s="58" t="s">
        <v>1449</v>
      </c>
      <c r="I565" s="60">
        <v>254</v>
      </c>
      <c r="J565" s="58" t="s">
        <v>29</v>
      </c>
      <c r="K565" s="58" t="s">
        <v>29</v>
      </c>
      <c r="L565" s="58" t="s">
        <v>94</v>
      </c>
      <c r="M565" s="58" t="s">
        <v>29</v>
      </c>
      <c r="N565" s="61" t="s">
        <v>2703</v>
      </c>
      <c r="O565" s="58" t="s">
        <v>2704</v>
      </c>
      <c r="P565" s="58" t="s">
        <v>1447</v>
      </c>
      <c r="Q565" s="63" t="str">
        <f>IF(V565&lt;&gt;"","Completed","")</f>
        <v>Completed</v>
      </c>
      <c r="R565" s="64">
        <v>42707</v>
      </c>
      <c r="S565" s="319" t="s">
        <v>57</v>
      </c>
      <c r="T565" s="65">
        <v>44</v>
      </c>
      <c r="U565" s="65">
        <v>87</v>
      </c>
      <c r="V565" s="65">
        <v>87</v>
      </c>
      <c r="Y565" s="74" t="s">
        <v>44</v>
      </c>
      <c r="Z565" s="56" t="s">
        <v>1512</v>
      </c>
      <c r="AA565" s="249">
        <f>SUM(V564:V565)</f>
        <v>175</v>
      </c>
      <c r="AB565" s="65" t="s">
        <v>94</v>
      </c>
      <c r="AC565" s="74" t="s">
        <v>94</v>
      </c>
    </row>
    <row r="566" spans="1:30">
      <c r="A566" s="75" t="s">
        <v>959</v>
      </c>
      <c r="B566" s="59"/>
      <c r="C566" s="57">
        <v>42741</v>
      </c>
      <c r="E566" s="65" t="s">
        <v>29</v>
      </c>
      <c r="F566" s="65" t="s">
        <v>29</v>
      </c>
      <c r="G566" s="58"/>
      <c r="H566" s="58"/>
      <c r="I566" s="60"/>
      <c r="J566" s="58"/>
      <c r="K566" s="58"/>
      <c r="L566" s="58"/>
      <c r="M566" s="58"/>
      <c r="N566" s="295" t="s">
        <v>2705</v>
      </c>
      <c r="O566" s="58" t="s">
        <v>2706</v>
      </c>
      <c r="P566" s="58" t="s">
        <v>1447</v>
      </c>
      <c r="Q566" s="63" t="str">
        <f>IF(V566&lt;&gt;"","Completed","")</f>
        <v>Completed</v>
      </c>
      <c r="R566" s="64">
        <v>42711</v>
      </c>
      <c r="S566" s="64" t="s">
        <v>57</v>
      </c>
      <c r="T566" s="65">
        <v>45</v>
      </c>
      <c r="U566" s="65">
        <v>84</v>
      </c>
      <c r="V566" s="65">
        <v>84</v>
      </c>
      <c r="Y566" s="74" t="s">
        <v>44</v>
      </c>
      <c r="Z566" s="56" t="s">
        <v>1824</v>
      </c>
      <c r="AA566" s="252"/>
      <c r="AB566" s="74" t="s">
        <v>94</v>
      </c>
      <c r="AC566" s="65" t="s">
        <v>29</v>
      </c>
    </row>
    <row r="567" spans="1:30">
      <c r="A567" s="75" t="s">
        <v>359</v>
      </c>
      <c r="B567" s="59"/>
      <c r="C567" s="57">
        <v>42720</v>
      </c>
      <c r="E567" s="65" t="s">
        <v>29</v>
      </c>
      <c r="F567" s="65" t="s">
        <v>94</v>
      </c>
      <c r="G567" s="58" t="s">
        <v>1443</v>
      </c>
      <c r="H567" s="58" t="s">
        <v>1456</v>
      </c>
      <c r="I567" s="60">
        <v>279</v>
      </c>
      <c r="J567" s="58" t="s">
        <v>94</v>
      </c>
      <c r="K567" s="58" t="s">
        <v>29</v>
      </c>
      <c r="L567" s="58" t="s">
        <v>94</v>
      </c>
      <c r="M567" s="58" t="s">
        <v>94</v>
      </c>
      <c r="N567" s="61" t="s">
        <v>2707</v>
      </c>
      <c r="O567" s="58" t="s">
        <v>2708</v>
      </c>
      <c r="P567" s="58" t="s">
        <v>1459</v>
      </c>
      <c r="Q567" s="63" t="str">
        <f>IF(V567&lt;&gt;"","Completed","")</f>
        <v>Completed</v>
      </c>
      <c r="R567" s="64">
        <v>42658</v>
      </c>
      <c r="S567" s="64" t="s">
        <v>104</v>
      </c>
      <c r="T567" s="65">
        <v>8</v>
      </c>
      <c r="V567" s="256">
        <v>14</v>
      </c>
      <c r="Y567" s="74" t="s">
        <v>44</v>
      </c>
      <c r="Z567" s="56" t="s">
        <v>1481</v>
      </c>
      <c r="AA567" s="249"/>
      <c r="AB567" s="151" t="s">
        <v>94</v>
      </c>
      <c r="AC567" s="151" t="s">
        <v>29</v>
      </c>
    </row>
    <row r="568" spans="1:30">
      <c r="A568" s="75" t="s">
        <v>965</v>
      </c>
      <c r="B568" s="59"/>
      <c r="C568" s="57">
        <v>42716</v>
      </c>
      <c r="E568" s="65" t="s">
        <v>29</v>
      </c>
      <c r="F568" s="65" t="s">
        <v>94</v>
      </c>
      <c r="G568" s="58" t="s">
        <v>1443</v>
      </c>
      <c r="H568" s="58" t="s">
        <v>1456</v>
      </c>
      <c r="I568" s="60">
        <v>237</v>
      </c>
      <c r="J568" s="58" t="s">
        <v>94</v>
      </c>
      <c r="K568" s="58" t="s">
        <v>29</v>
      </c>
      <c r="L568" s="58" t="s">
        <v>94</v>
      </c>
      <c r="M568" s="58" t="s">
        <v>94</v>
      </c>
      <c r="N568" s="61" t="s">
        <v>2709</v>
      </c>
      <c r="O568" s="58" t="s">
        <v>2710</v>
      </c>
      <c r="P568" s="58" t="s">
        <v>1447</v>
      </c>
      <c r="Q568" s="63" t="str">
        <f>IF(V568&lt;&gt;"","Completed","")</f>
        <v>Completed</v>
      </c>
      <c r="R568" s="64">
        <v>42670</v>
      </c>
      <c r="S568" s="64" t="s">
        <v>104</v>
      </c>
      <c r="T568" s="65">
        <v>24</v>
      </c>
      <c r="V568" s="256">
        <v>45</v>
      </c>
      <c r="Y568" s="74" t="s">
        <v>44</v>
      </c>
      <c r="Z568" s="56" t="s">
        <v>1599</v>
      </c>
      <c r="AA568" s="249"/>
      <c r="AB568" s="242" t="s">
        <v>94</v>
      </c>
      <c r="AC568" s="151"/>
    </row>
    <row r="569" spans="1:30">
      <c r="A569" s="333" t="s">
        <v>124</v>
      </c>
      <c r="B569" s="59"/>
      <c r="C569" s="57">
        <v>42741</v>
      </c>
      <c r="D569" s="65">
        <v>4016000</v>
      </c>
      <c r="E569" s="65" t="s">
        <v>29</v>
      </c>
      <c r="F569" s="65" t="s">
        <v>29</v>
      </c>
      <c r="G569" s="58"/>
      <c r="H569" s="58"/>
      <c r="I569" s="60"/>
      <c r="J569" s="58"/>
      <c r="K569" s="58"/>
      <c r="L569" s="58"/>
      <c r="M569" s="58"/>
      <c r="N569" s="262" t="s">
        <v>2711</v>
      </c>
      <c r="O569" s="58" t="s">
        <v>2712</v>
      </c>
      <c r="P569" s="58"/>
      <c r="Q569" s="63" t="str">
        <f>IF(V569&lt;&gt;"","Completed","")</f>
        <v>Completed</v>
      </c>
      <c r="R569" s="64">
        <v>42672</v>
      </c>
      <c r="S569" s="64" t="s">
        <v>57</v>
      </c>
      <c r="T569" s="65">
        <v>11</v>
      </c>
      <c r="U569" s="65">
        <v>22</v>
      </c>
      <c r="V569" s="65">
        <v>22</v>
      </c>
      <c r="Y569" s="74" t="s">
        <v>44</v>
      </c>
      <c r="Z569" s="56" t="s">
        <v>1481</v>
      </c>
      <c r="AA569" s="252"/>
      <c r="AB569" s="328" t="s">
        <v>94</v>
      </c>
      <c r="AC569" s="328" t="s">
        <v>29</v>
      </c>
      <c r="AD569" s="56"/>
    </row>
    <row r="570" spans="1:30">
      <c r="A570" s="244" t="s">
        <v>744</v>
      </c>
      <c r="B570" s="62" t="s">
        <v>722</v>
      </c>
      <c r="C570" s="57">
        <v>42711</v>
      </c>
      <c r="E570" s="65" t="s">
        <v>29</v>
      </c>
      <c r="F570" s="65" t="s">
        <v>29</v>
      </c>
      <c r="G570" s="58" t="s">
        <v>1443</v>
      </c>
      <c r="H570" s="58" t="s">
        <v>1456</v>
      </c>
      <c r="I570" s="60">
        <v>145</v>
      </c>
      <c r="J570" s="58" t="s">
        <v>94</v>
      </c>
      <c r="K570" s="58" t="s">
        <v>29</v>
      </c>
      <c r="L570" s="58" t="s">
        <v>94</v>
      </c>
      <c r="M570" s="58" t="s">
        <v>29</v>
      </c>
      <c r="N570" s="61" t="s">
        <v>2713</v>
      </c>
      <c r="O570" s="58" t="s">
        <v>2714</v>
      </c>
      <c r="P570" s="58" t="s">
        <v>1447</v>
      </c>
      <c r="Q570" s="63" t="str">
        <f>IF(V570&lt;&gt;"","Completed","")</f>
        <v>Completed</v>
      </c>
      <c r="R570" s="64">
        <v>42670</v>
      </c>
      <c r="S570" s="64" t="s">
        <v>433</v>
      </c>
      <c r="T570" s="65">
        <v>23</v>
      </c>
      <c r="U570" s="65">
        <v>24</v>
      </c>
      <c r="V570" s="65">
        <v>24</v>
      </c>
      <c r="Y570" s="74" t="s">
        <v>44</v>
      </c>
      <c r="Z570" s="56" t="s">
        <v>1478</v>
      </c>
      <c r="AA570" s="252"/>
      <c r="AB570" s="242" t="s">
        <v>94</v>
      </c>
    </row>
    <row r="571" spans="1:30">
      <c r="A571" s="244" t="s">
        <v>744</v>
      </c>
      <c r="B571" s="62" t="s">
        <v>722</v>
      </c>
      <c r="C571" s="57">
        <v>42726</v>
      </c>
      <c r="E571" s="65" t="s">
        <v>29</v>
      </c>
      <c r="F571" s="65" t="s">
        <v>29</v>
      </c>
      <c r="G571" s="58" t="s">
        <v>1443</v>
      </c>
      <c r="H571" s="58" t="s">
        <v>1456</v>
      </c>
      <c r="I571" s="60">
        <v>0</v>
      </c>
      <c r="J571" s="58" t="s">
        <v>94</v>
      </c>
      <c r="K571" s="58" t="s">
        <v>29</v>
      </c>
      <c r="L571" s="58" t="s">
        <v>94</v>
      </c>
      <c r="M571" s="58" t="s">
        <v>29</v>
      </c>
      <c r="N571" s="61" t="s">
        <v>2715</v>
      </c>
      <c r="O571" s="63" t="s">
        <v>2716</v>
      </c>
      <c r="P571" s="58" t="s">
        <v>1447</v>
      </c>
      <c r="Q571" s="63" t="str">
        <f>IF(V571&lt;&gt;"","Completed","")</f>
        <v>Completed</v>
      </c>
      <c r="R571" s="64">
        <v>42670</v>
      </c>
      <c r="S571" s="64" t="s">
        <v>433</v>
      </c>
      <c r="T571" s="65">
        <v>38</v>
      </c>
      <c r="U571" s="65">
        <v>38</v>
      </c>
      <c r="V571" s="65">
        <v>38</v>
      </c>
      <c r="Y571" s="74" t="s">
        <v>44</v>
      </c>
      <c r="Z571" s="56" t="s">
        <v>1478</v>
      </c>
      <c r="AA571" s="252"/>
      <c r="AB571" s="74" t="s">
        <v>94</v>
      </c>
      <c r="AC571" s="65" t="s">
        <v>29</v>
      </c>
    </row>
    <row r="572" spans="1:30">
      <c r="A572" s="244" t="s">
        <v>744</v>
      </c>
      <c r="B572" s="62" t="s">
        <v>722</v>
      </c>
      <c r="C572" s="57">
        <v>42711</v>
      </c>
      <c r="E572" s="65" t="s">
        <v>29</v>
      </c>
      <c r="F572" s="65" t="s">
        <v>29</v>
      </c>
      <c r="G572" s="58" t="s">
        <v>1443</v>
      </c>
      <c r="H572" s="58" t="s">
        <v>1456</v>
      </c>
      <c r="I572" s="60">
        <v>0</v>
      </c>
      <c r="J572" s="58" t="s">
        <v>94</v>
      </c>
      <c r="K572" s="58" t="s">
        <v>29</v>
      </c>
      <c r="L572" s="58" t="s">
        <v>94</v>
      </c>
      <c r="M572" s="58" t="s">
        <v>29</v>
      </c>
      <c r="N572" s="61" t="s">
        <v>2717</v>
      </c>
      <c r="O572" s="58" t="s">
        <v>2718</v>
      </c>
      <c r="P572" s="58" t="s">
        <v>1447</v>
      </c>
      <c r="Q572" s="63" t="str">
        <f>IF(V572&lt;&gt;"","Completed","")</f>
        <v>Completed</v>
      </c>
      <c r="R572" s="64">
        <v>42670</v>
      </c>
      <c r="S572" s="64" t="s">
        <v>433</v>
      </c>
      <c r="T572" s="65">
        <v>32</v>
      </c>
      <c r="U572" s="65">
        <v>32</v>
      </c>
      <c r="V572" s="65">
        <v>32</v>
      </c>
      <c r="Y572" s="74" t="s">
        <v>44</v>
      </c>
      <c r="Z572" s="56" t="s">
        <v>1478</v>
      </c>
      <c r="AA572" s="252">
        <f>SUM(V569:V572)</f>
        <v>116</v>
      </c>
      <c r="AB572" s="65" t="s">
        <v>94</v>
      </c>
      <c r="AC572" s="65" t="s">
        <v>29</v>
      </c>
    </row>
    <row r="573" spans="1:30">
      <c r="A573" s="75" t="s">
        <v>452</v>
      </c>
      <c r="B573" s="59"/>
      <c r="C573" s="57">
        <v>42720</v>
      </c>
      <c r="E573" s="65" t="s">
        <v>29</v>
      </c>
      <c r="F573" s="65" t="s">
        <v>29</v>
      </c>
      <c r="G573" s="58" t="s">
        <v>1443</v>
      </c>
      <c r="H573" s="58" t="s">
        <v>1456</v>
      </c>
      <c r="I573" s="60">
        <v>0</v>
      </c>
      <c r="J573" s="58" t="s">
        <v>29</v>
      </c>
      <c r="K573" s="58" t="s">
        <v>29</v>
      </c>
      <c r="L573" s="58" t="s">
        <v>94</v>
      </c>
      <c r="M573" s="58" t="s">
        <v>29</v>
      </c>
      <c r="N573" s="61" t="s">
        <v>2719</v>
      </c>
      <c r="O573" s="58" t="s">
        <v>2720</v>
      </c>
      <c r="P573" s="58" t="s">
        <v>1459</v>
      </c>
      <c r="Q573" s="63" t="str">
        <f>IF(V573&lt;&gt;"","Completed","")</f>
        <v>Completed</v>
      </c>
      <c r="R573" s="64">
        <v>42672</v>
      </c>
      <c r="S573" s="64" t="s">
        <v>433</v>
      </c>
      <c r="T573" s="65">
        <v>60</v>
      </c>
      <c r="U573" s="65">
        <v>118</v>
      </c>
      <c r="V573" s="65">
        <v>118</v>
      </c>
      <c r="Y573" s="74" t="s">
        <v>44</v>
      </c>
      <c r="Z573" s="56" t="s">
        <v>1546</v>
      </c>
      <c r="AA573" s="252"/>
      <c r="AB573" s="151" t="s">
        <v>94</v>
      </c>
      <c r="AC573" s="151" t="s">
        <v>94</v>
      </c>
    </row>
    <row r="574" spans="1:30">
      <c r="A574" s="75" t="s">
        <v>664</v>
      </c>
      <c r="B574" s="59"/>
      <c r="C574" s="57"/>
      <c r="E574" s="65" t="s">
        <v>29</v>
      </c>
      <c r="F574" s="65" t="s">
        <v>29</v>
      </c>
      <c r="G574" s="58" t="s">
        <v>1443</v>
      </c>
      <c r="H574" s="58" t="s">
        <v>1456</v>
      </c>
      <c r="I574" s="60">
        <v>510</v>
      </c>
      <c r="J574" s="58" t="s">
        <v>94</v>
      </c>
      <c r="K574" s="58" t="s">
        <v>29</v>
      </c>
      <c r="L574" s="58" t="s">
        <v>94</v>
      </c>
      <c r="M574" s="58" t="s">
        <v>29</v>
      </c>
      <c r="N574" s="61" t="s">
        <v>2721</v>
      </c>
      <c r="O574" s="58" t="s">
        <v>2722</v>
      </c>
      <c r="P574" s="58" t="s">
        <v>1447</v>
      </c>
      <c r="Q574" s="63" t="str">
        <f>IF(V574&lt;&gt;"","Completed","")</f>
        <v>Completed</v>
      </c>
      <c r="R574" s="64">
        <v>42634</v>
      </c>
      <c r="S574" s="64" t="s">
        <v>222</v>
      </c>
      <c r="T574" s="65">
        <v>6</v>
      </c>
      <c r="U574" s="65">
        <v>11</v>
      </c>
      <c r="V574" s="65">
        <v>11</v>
      </c>
      <c r="Y574" s="74" t="s">
        <v>44</v>
      </c>
      <c r="Z574" s="56" t="s">
        <v>1494</v>
      </c>
      <c r="AA574" s="249"/>
      <c r="AB574" s="242" t="s">
        <v>94</v>
      </c>
    </row>
    <row r="575" spans="1:30">
      <c r="A575" s="75" t="s">
        <v>273</v>
      </c>
      <c r="B575" s="59"/>
      <c r="C575" s="57">
        <v>42760</v>
      </c>
      <c r="D575" s="65">
        <v>4044000</v>
      </c>
      <c r="E575" s="65" t="s">
        <v>29</v>
      </c>
      <c r="F575" s="65" t="s">
        <v>29</v>
      </c>
      <c r="G575" s="58" t="s">
        <v>1443</v>
      </c>
      <c r="H575" s="58" t="s">
        <v>1456</v>
      </c>
      <c r="I575" s="60">
        <v>663</v>
      </c>
      <c r="J575" s="58" t="s">
        <v>94</v>
      </c>
      <c r="K575" s="58" t="s">
        <v>29</v>
      </c>
      <c r="L575" s="58" t="s">
        <v>94</v>
      </c>
      <c r="M575" s="58" t="s">
        <v>29</v>
      </c>
      <c r="N575" s="61" t="s">
        <v>2723</v>
      </c>
      <c r="O575" s="58" t="s">
        <v>2724</v>
      </c>
      <c r="P575" s="58" t="s">
        <v>1447</v>
      </c>
      <c r="Q575" s="63" t="str">
        <f>IF(V575&lt;&gt;"","Completed","")</f>
        <v>Completed</v>
      </c>
      <c r="R575" s="293">
        <v>42693</v>
      </c>
      <c r="S575" s="341" t="s">
        <v>43</v>
      </c>
      <c r="T575" s="65">
        <v>35</v>
      </c>
      <c r="U575" s="256">
        <v>61</v>
      </c>
      <c r="V575" s="256">
        <v>61</v>
      </c>
      <c r="Y575" s="74" t="s">
        <v>44</v>
      </c>
      <c r="Z575" s="257" t="s">
        <v>1472</v>
      </c>
      <c r="AA575" s="342"/>
      <c r="AB575" s="65" t="s">
        <v>94</v>
      </c>
    </row>
    <row r="576" spans="1:30">
      <c r="A576" s="244" t="s">
        <v>1006</v>
      </c>
      <c r="B576" s="62" t="s">
        <v>1007</v>
      </c>
      <c r="C576" s="57">
        <v>42713</v>
      </c>
      <c r="E576" s="65" t="s">
        <v>29</v>
      </c>
      <c r="F576" s="65" t="s">
        <v>94</v>
      </c>
      <c r="G576" s="58" t="s">
        <v>1443</v>
      </c>
      <c r="H576" s="58" t="s">
        <v>1444</v>
      </c>
      <c r="I576" s="60">
        <v>0</v>
      </c>
      <c r="J576" s="58" t="s">
        <v>29</v>
      </c>
      <c r="K576" s="58" t="s">
        <v>29</v>
      </c>
      <c r="L576" s="58" t="s">
        <v>29</v>
      </c>
      <c r="M576" s="58" t="s">
        <v>94</v>
      </c>
      <c r="N576" s="61" t="s">
        <v>2725</v>
      </c>
      <c r="O576" s="58" t="s">
        <v>2726</v>
      </c>
      <c r="P576" s="58" t="s">
        <v>1459</v>
      </c>
      <c r="Q576" s="63" t="str">
        <f>IF(V576&lt;&gt;"","Completed","")</f>
        <v>Completed</v>
      </c>
      <c r="R576" s="64">
        <v>42668</v>
      </c>
      <c r="S576" s="64" t="s">
        <v>104</v>
      </c>
      <c r="T576" s="65">
        <v>95</v>
      </c>
      <c r="V576" s="256">
        <v>227</v>
      </c>
      <c r="Y576" s="74" t="s">
        <v>44</v>
      </c>
      <c r="Z576" s="56" t="s">
        <v>1491</v>
      </c>
      <c r="AA576" s="363">
        <f>SUM(V573:V576)</f>
        <v>417</v>
      </c>
      <c r="AB576" s="74" t="s">
        <v>94</v>
      </c>
      <c r="AC576" s="65" t="s">
        <v>94</v>
      </c>
    </row>
    <row r="577" spans="1:30">
      <c r="A577" s="235" t="s">
        <v>150</v>
      </c>
      <c r="B577" s="296" t="s">
        <v>151</v>
      </c>
      <c r="C577" s="57">
        <v>42768</v>
      </c>
      <c r="D577" s="65">
        <v>2019000</v>
      </c>
      <c r="E577" s="65" t="s">
        <v>29</v>
      </c>
      <c r="F577" s="65" t="s">
        <v>29</v>
      </c>
      <c r="G577" s="58" t="s">
        <v>1443</v>
      </c>
      <c r="H577" s="58" t="s">
        <v>1456</v>
      </c>
      <c r="I577" s="60">
        <v>386</v>
      </c>
      <c r="J577" s="58" t="s">
        <v>94</v>
      </c>
      <c r="K577" s="58" t="s">
        <v>29</v>
      </c>
      <c r="L577" s="58" t="s">
        <v>94</v>
      </c>
      <c r="M577" s="58" t="s">
        <v>29</v>
      </c>
      <c r="N577" s="61" t="s">
        <v>2727</v>
      </c>
      <c r="O577" s="58" t="s">
        <v>2728</v>
      </c>
      <c r="P577" s="58" t="s">
        <v>1447</v>
      </c>
      <c r="Q577" s="63" t="str">
        <f>IF(V577&lt;&gt;"","Completed","")</f>
        <v>Completed</v>
      </c>
      <c r="R577" s="64">
        <v>42703</v>
      </c>
      <c r="S577" s="64" t="s">
        <v>57</v>
      </c>
      <c r="T577" s="65">
        <v>105</v>
      </c>
      <c r="U577" s="65">
        <v>166</v>
      </c>
      <c r="V577" s="65">
        <v>166</v>
      </c>
      <c r="Y577" s="74" t="s">
        <v>44</v>
      </c>
      <c r="Z577" s="56" t="s">
        <v>1791</v>
      </c>
      <c r="AA577" s="252">
        <f>SUM(V575:V577)</f>
        <v>454</v>
      </c>
      <c r="AB577" s="65" t="s">
        <v>94</v>
      </c>
      <c r="AC577" s="65" t="s">
        <v>94</v>
      </c>
    </row>
    <row r="578" spans="1:30">
      <c r="A578" s="75" t="s">
        <v>273</v>
      </c>
      <c r="B578" s="59"/>
      <c r="C578" s="57">
        <v>42759</v>
      </c>
      <c r="E578" s="65" t="s">
        <v>29</v>
      </c>
      <c r="F578" s="65" t="s">
        <v>29</v>
      </c>
      <c r="G578" s="58"/>
      <c r="H578" s="58"/>
      <c r="I578" s="60"/>
      <c r="J578" s="58"/>
      <c r="K578" s="58"/>
      <c r="L578" s="58"/>
      <c r="M578" s="58"/>
      <c r="N578" s="291" t="s">
        <v>2729</v>
      </c>
      <c r="O578" s="291" t="s">
        <v>2730</v>
      </c>
      <c r="P578" s="58"/>
      <c r="Q578" s="63" t="str">
        <f>IF(V578&lt;&gt;"","Completed","")</f>
        <v>Completed</v>
      </c>
      <c r="R578" s="293">
        <v>42707</v>
      </c>
      <c r="S578" s="341" t="s">
        <v>43</v>
      </c>
      <c r="T578" s="65">
        <v>14</v>
      </c>
      <c r="U578" s="256">
        <v>15</v>
      </c>
      <c r="V578" s="256">
        <v>15</v>
      </c>
      <c r="Y578" s="74" t="s">
        <v>44</v>
      </c>
      <c r="Z578" s="257" t="s">
        <v>1464</v>
      </c>
      <c r="AA578" s="342"/>
      <c r="AB578" s="65" t="s">
        <v>94</v>
      </c>
      <c r="AC578" s="65" t="s">
        <v>29</v>
      </c>
    </row>
    <row r="579" spans="1:30">
      <c r="A579" s="382" t="s">
        <v>135</v>
      </c>
      <c r="B579" s="59"/>
      <c r="C579" s="57">
        <v>42755</v>
      </c>
      <c r="D579" s="65">
        <v>2017000</v>
      </c>
      <c r="E579" s="65" t="s">
        <v>29</v>
      </c>
      <c r="F579" s="65" t="s">
        <v>29</v>
      </c>
      <c r="G579" s="58" t="s">
        <v>1443</v>
      </c>
      <c r="H579" s="58"/>
      <c r="I579" s="60"/>
      <c r="J579" s="58"/>
      <c r="K579" s="58"/>
      <c r="L579" s="58"/>
      <c r="M579" s="58"/>
      <c r="N579" s="84" t="s">
        <v>2731</v>
      </c>
      <c r="O579" s="58" t="s">
        <v>2732</v>
      </c>
      <c r="P579" s="58"/>
      <c r="Q579" s="63" t="str">
        <f>IF(V579&lt;&gt;"","Completed","")</f>
        <v>Completed</v>
      </c>
      <c r="R579" s="64">
        <v>42719</v>
      </c>
      <c r="S579" s="64" t="s">
        <v>57</v>
      </c>
      <c r="T579" s="65">
        <v>22</v>
      </c>
      <c r="U579" s="65">
        <v>36</v>
      </c>
      <c r="V579" s="65">
        <v>36</v>
      </c>
      <c r="Y579" s="74" t="s">
        <v>44</v>
      </c>
      <c r="Z579" s="56" t="s">
        <v>1475</v>
      </c>
      <c r="AA579" s="92"/>
      <c r="AB579" s="383" t="s">
        <v>94</v>
      </c>
      <c r="AC579" s="330"/>
    </row>
    <row r="580" spans="1:30">
      <c r="A580" s="75" t="s">
        <v>1135</v>
      </c>
      <c r="B580" s="59"/>
      <c r="C580" s="57">
        <v>42676</v>
      </c>
      <c r="E580" s="65" t="s">
        <v>29</v>
      </c>
      <c r="F580" s="65" t="s">
        <v>29</v>
      </c>
      <c r="G580" s="58" t="s">
        <v>1443</v>
      </c>
      <c r="H580" s="58" t="s">
        <v>1449</v>
      </c>
      <c r="I580" s="60">
        <v>1</v>
      </c>
      <c r="J580" s="58" t="s">
        <v>29</v>
      </c>
      <c r="K580" s="58" t="s">
        <v>29</v>
      </c>
      <c r="L580" s="58" t="s">
        <v>94</v>
      </c>
      <c r="M580" s="58" t="s">
        <v>29</v>
      </c>
      <c r="N580" s="61" t="s">
        <v>2733</v>
      </c>
      <c r="O580" s="58" t="s">
        <v>2734</v>
      </c>
      <c r="P580" s="58" t="s">
        <v>1447</v>
      </c>
      <c r="Q580" s="63" t="str">
        <f>IF(V580&lt;&gt;"","Completed","")</f>
        <v>Completed</v>
      </c>
      <c r="R580" s="64">
        <v>42644</v>
      </c>
      <c r="S580" s="64" t="s">
        <v>1143</v>
      </c>
      <c r="T580" s="300">
        <v>88</v>
      </c>
      <c r="U580" s="300">
        <v>150</v>
      </c>
      <c r="V580" s="300">
        <v>150</v>
      </c>
      <c r="W580" s="300"/>
      <c r="X580" s="300"/>
      <c r="Y580" s="74" t="s">
        <v>44</v>
      </c>
      <c r="Z580" s="56" t="s">
        <v>1467</v>
      </c>
      <c r="AA580" s="249"/>
      <c r="AB580" s="242" t="s">
        <v>94</v>
      </c>
    </row>
    <row r="581" spans="1:30" s="66" customFormat="1">
      <c r="A581" s="75" t="s">
        <v>452</v>
      </c>
      <c r="B581" s="59"/>
      <c r="C581" s="57">
        <v>42720</v>
      </c>
      <c r="D581" s="65"/>
      <c r="E581" s="65" t="s">
        <v>29</v>
      </c>
      <c r="F581" s="65" t="s">
        <v>29</v>
      </c>
      <c r="G581" s="58" t="s">
        <v>1443</v>
      </c>
      <c r="H581" s="58" t="s">
        <v>1456</v>
      </c>
      <c r="I581" s="60">
        <v>1</v>
      </c>
      <c r="J581" s="58" t="s">
        <v>94</v>
      </c>
      <c r="K581" s="58" t="s">
        <v>29</v>
      </c>
      <c r="L581" s="58" t="s">
        <v>94</v>
      </c>
      <c r="M581" s="58" t="s">
        <v>29</v>
      </c>
      <c r="N581" s="61" t="s">
        <v>2735</v>
      </c>
      <c r="O581" s="58" t="s">
        <v>2736</v>
      </c>
      <c r="P581" s="58" t="s">
        <v>1459</v>
      </c>
      <c r="Q581" s="63" t="str">
        <f>IF(V581&lt;&gt;"","Completed","")</f>
        <v>Completed</v>
      </c>
      <c r="R581" s="64">
        <v>42658</v>
      </c>
      <c r="S581" s="64" t="s">
        <v>433</v>
      </c>
      <c r="T581" s="65">
        <v>30</v>
      </c>
      <c r="U581" s="65">
        <v>60</v>
      </c>
      <c r="V581" s="65">
        <v>60</v>
      </c>
      <c r="W581" s="65"/>
      <c r="X581" s="65"/>
      <c r="Y581" s="74" t="s">
        <v>44</v>
      </c>
      <c r="Z581" s="56" t="s">
        <v>1488</v>
      </c>
      <c r="AA581" s="252"/>
      <c r="AB581" s="151" t="s">
        <v>94</v>
      </c>
      <c r="AC581" s="151" t="s">
        <v>29</v>
      </c>
      <c r="AD581" s="345"/>
    </row>
    <row r="582" spans="1:30" s="66" customFormat="1">
      <c r="A582" s="75" t="s">
        <v>331</v>
      </c>
      <c r="B582" s="59"/>
      <c r="C582" s="57">
        <v>42720</v>
      </c>
      <c r="D582" s="65">
        <v>1061000</v>
      </c>
      <c r="E582" s="65" t="s">
        <v>29</v>
      </c>
      <c r="F582" s="65" t="s">
        <v>94</v>
      </c>
      <c r="G582" s="58" t="s">
        <v>1443</v>
      </c>
      <c r="H582" s="58" t="s">
        <v>1456</v>
      </c>
      <c r="I582" s="60">
        <v>343</v>
      </c>
      <c r="J582" s="58" t="s">
        <v>94</v>
      </c>
      <c r="K582" s="58" t="s">
        <v>29</v>
      </c>
      <c r="L582" s="58" t="s">
        <v>94</v>
      </c>
      <c r="M582" s="58" t="s">
        <v>94</v>
      </c>
      <c r="N582" s="61" t="s">
        <v>2737</v>
      </c>
      <c r="O582" s="58" t="s">
        <v>2738</v>
      </c>
      <c r="P582" s="58" t="s">
        <v>1459</v>
      </c>
      <c r="Q582" s="63" t="str">
        <f>IF(V582&lt;&gt;"","Completed","")</f>
        <v>Completed</v>
      </c>
      <c r="R582" s="64">
        <v>42656</v>
      </c>
      <c r="S582" s="64" t="s">
        <v>104</v>
      </c>
      <c r="T582" s="65">
        <v>13</v>
      </c>
      <c r="U582" s="65"/>
      <c r="V582" s="256">
        <v>26</v>
      </c>
      <c r="W582" s="65"/>
      <c r="X582" s="65"/>
      <c r="Y582" s="74" t="s">
        <v>44</v>
      </c>
      <c r="Z582" s="56" t="s">
        <v>1527</v>
      </c>
      <c r="AA582" s="249"/>
      <c r="AB582" s="151" t="s">
        <v>94</v>
      </c>
      <c r="AC582" s="324" t="s">
        <v>29</v>
      </c>
      <c r="AD582" s="349"/>
    </row>
    <row r="583" spans="1:30" s="66" customFormat="1">
      <c r="A583" s="63" t="s">
        <v>45</v>
      </c>
      <c r="B583" s="63" t="s">
        <v>46</v>
      </c>
      <c r="C583" s="112">
        <v>42767</v>
      </c>
      <c r="D583" s="315">
        <v>2002000</v>
      </c>
      <c r="E583" s="57" t="s">
        <v>29</v>
      </c>
      <c r="F583" s="65" t="s">
        <v>29</v>
      </c>
      <c r="G583" s="63" t="s">
        <v>1443</v>
      </c>
      <c r="H583" s="63" t="s">
        <v>1444</v>
      </c>
      <c r="I583" s="58">
        <v>300</v>
      </c>
      <c r="J583" s="58" t="s">
        <v>94</v>
      </c>
      <c r="K583" s="60" t="s">
        <v>29</v>
      </c>
      <c r="L583" s="58" t="s">
        <v>94</v>
      </c>
      <c r="M583" s="58" t="s">
        <v>29</v>
      </c>
      <c r="N583" s="58" t="s">
        <v>2739</v>
      </c>
      <c r="O583" s="58" t="s">
        <v>2740</v>
      </c>
      <c r="P583" s="61" t="s">
        <v>1447</v>
      </c>
      <c r="Q583" s="63" t="str">
        <f>IF(V583&lt;&gt;"","Completed","")</f>
        <v>Completed</v>
      </c>
      <c r="R583" s="57">
        <v>42685</v>
      </c>
      <c r="S583" s="57" t="s">
        <v>57</v>
      </c>
      <c r="T583" s="65">
        <v>49</v>
      </c>
      <c r="U583" s="273">
        <v>78</v>
      </c>
      <c r="V583" s="273">
        <v>78</v>
      </c>
      <c r="W583" s="273"/>
      <c r="X583" s="273"/>
      <c r="Y583" s="74" t="s">
        <v>44</v>
      </c>
      <c r="Z583" s="56" t="s">
        <v>1571</v>
      </c>
      <c r="AA583" s="104"/>
      <c r="AB583" s="65" t="s">
        <v>94</v>
      </c>
      <c r="AC583" s="65" t="s">
        <v>94</v>
      </c>
      <c r="AD583" s="56"/>
    </row>
    <row r="584" spans="1:30" s="66" customFormat="1">
      <c r="A584" s="75" t="s">
        <v>894</v>
      </c>
      <c r="B584" s="59"/>
      <c r="C584" s="57">
        <v>42772</v>
      </c>
      <c r="D584" s="65"/>
      <c r="E584" s="65" t="s">
        <v>29</v>
      </c>
      <c r="F584" s="65" t="s">
        <v>94</v>
      </c>
      <c r="G584" s="58" t="s">
        <v>1443</v>
      </c>
      <c r="H584" s="58" t="s">
        <v>1449</v>
      </c>
      <c r="I584" s="60">
        <v>0</v>
      </c>
      <c r="J584" s="58" t="s">
        <v>94</v>
      </c>
      <c r="K584" s="58" t="s">
        <v>29</v>
      </c>
      <c r="L584" s="58" t="s">
        <v>94</v>
      </c>
      <c r="M584" s="58" t="s">
        <v>94</v>
      </c>
      <c r="N584" s="61" t="s">
        <v>2741</v>
      </c>
      <c r="O584" s="58" t="s">
        <v>2742</v>
      </c>
      <c r="P584" s="58" t="s">
        <v>1459</v>
      </c>
      <c r="Q584" s="63" t="str">
        <f>IF(V584&lt;&gt;"","Completed","")</f>
        <v>Completed</v>
      </c>
      <c r="R584" s="64">
        <v>42742</v>
      </c>
      <c r="S584" s="64" t="s">
        <v>104</v>
      </c>
      <c r="T584" s="65">
        <v>78</v>
      </c>
      <c r="U584" s="65"/>
      <c r="V584" s="256">
        <v>155</v>
      </c>
      <c r="W584" s="65"/>
      <c r="X584" s="65"/>
      <c r="Y584" s="74" t="s">
        <v>44</v>
      </c>
      <c r="Z584" s="56" t="s">
        <v>1536</v>
      </c>
      <c r="AA584" s="252"/>
      <c r="AB584" s="74" t="s">
        <v>94</v>
      </c>
      <c r="AC584" s="65" t="s">
        <v>94</v>
      </c>
      <c r="AD584" s="345"/>
    </row>
    <row r="585" spans="1:30" s="66" customFormat="1">
      <c r="A585" s="244" t="s">
        <v>687</v>
      </c>
      <c r="B585" s="62" t="s">
        <v>196</v>
      </c>
      <c r="C585" s="311">
        <v>42744</v>
      </c>
      <c r="D585" s="109" t="s">
        <v>2743</v>
      </c>
      <c r="E585" s="151" t="s">
        <v>94</v>
      </c>
      <c r="F585" s="151" t="s">
        <v>29</v>
      </c>
      <c r="G585" s="306" t="s">
        <v>1443</v>
      </c>
      <c r="H585" s="306" t="s">
        <v>1456</v>
      </c>
      <c r="I585" s="307">
        <v>26</v>
      </c>
      <c r="J585" s="306" t="s">
        <v>29</v>
      </c>
      <c r="K585" s="306" t="s">
        <v>94</v>
      </c>
      <c r="L585" s="306" t="s">
        <v>29</v>
      </c>
      <c r="M585" s="306" t="s">
        <v>29</v>
      </c>
      <c r="N585" s="308" t="s">
        <v>2744</v>
      </c>
      <c r="O585" s="306" t="s">
        <v>2745</v>
      </c>
      <c r="P585" s="306" t="s">
        <v>1447</v>
      </c>
      <c r="Q585" s="63" t="str">
        <f>IF(V585&lt;&gt;"","Completed","")</f>
        <v>Completed</v>
      </c>
      <c r="R585" s="310">
        <v>42712</v>
      </c>
      <c r="S585" s="310" t="s">
        <v>204</v>
      </c>
      <c r="T585" s="65">
        <v>5</v>
      </c>
      <c r="U585" s="65">
        <v>10</v>
      </c>
      <c r="V585" s="65">
        <v>10</v>
      </c>
      <c r="W585" s="65"/>
      <c r="X585" s="65"/>
      <c r="Y585" s="74" t="s">
        <v>44</v>
      </c>
      <c r="Z585" s="56" t="s">
        <v>1791</v>
      </c>
      <c r="AA585" s="252">
        <f>V585</f>
        <v>10</v>
      </c>
      <c r="AB585" s="151" t="s">
        <v>94</v>
      </c>
      <c r="AC585" s="151" t="s">
        <v>29</v>
      </c>
      <c r="AD585" s="345"/>
    </row>
    <row r="586" spans="1:30" s="66" customFormat="1">
      <c r="A586" s="75" t="s">
        <v>624</v>
      </c>
      <c r="B586" s="59"/>
      <c r="C586" s="57">
        <v>42677</v>
      </c>
      <c r="D586" s="65"/>
      <c r="E586" s="65" t="s">
        <v>29</v>
      </c>
      <c r="F586" s="65" t="s">
        <v>29</v>
      </c>
      <c r="G586" s="58"/>
      <c r="H586" s="58"/>
      <c r="I586" s="60"/>
      <c r="J586" s="58"/>
      <c r="K586" s="58"/>
      <c r="L586" s="58"/>
      <c r="M586" s="58"/>
      <c r="N586" s="61" t="s">
        <v>2746</v>
      </c>
      <c r="O586" s="58" t="s">
        <v>2747</v>
      </c>
      <c r="P586" s="58" t="s">
        <v>1459</v>
      </c>
      <c r="Q586" s="63" t="str">
        <f>IF(V586&lt;&gt;"","Completed","")</f>
        <v>Completed</v>
      </c>
      <c r="R586" s="64">
        <v>42662</v>
      </c>
      <c r="S586" s="64" t="s">
        <v>80</v>
      </c>
      <c r="T586" s="150">
        <v>27</v>
      </c>
      <c r="U586" s="150">
        <v>52</v>
      </c>
      <c r="V586" s="150">
        <v>52</v>
      </c>
      <c r="W586" s="150"/>
      <c r="X586" s="150"/>
      <c r="Y586" s="74" t="s">
        <v>44</v>
      </c>
      <c r="Z586" s="56" t="s">
        <v>1596</v>
      </c>
      <c r="AA586" s="249"/>
      <c r="AB586" s="242" t="s">
        <v>94</v>
      </c>
      <c r="AC586" s="242" t="s">
        <v>29</v>
      </c>
      <c r="AD586" s="345"/>
    </row>
    <row r="587" spans="1:30" s="66" customFormat="1">
      <c r="A587" s="75" t="s">
        <v>265</v>
      </c>
      <c r="B587" s="59"/>
      <c r="C587" s="57">
        <v>42794</v>
      </c>
      <c r="D587" s="65">
        <v>4036001</v>
      </c>
      <c r="E587" s="65" t="s">
        <v>29</v>
      </c>
      <c r="F587" s="65" t="s">
        <v>29</v>
      </c>
      <c r="G587" s="58" t="s">
        <v>1443</v>
      </c>
      <c r="H587" s="58" t="s">
        <v>1444</v>
      </c>
      <c r="I587" s="60">
        <v>300</v>
      </c>
      <c r="J587" s="58" t="s">
        <v>94</v>
      </c>
      <c r="K587" s="58" t="s">
        <v>29</v>
      </c>
      <c r="L587" s="58" t="s">
        <v>29</v>
      </c>
      <c r="M587" s="58" t="s">
        <v>29</v>
      </c>
      <c r="N587" s="61" t="s">
        <v>2748</v>
      </c>
      <c r="O587" s="58" t="s">
        <v>2749</v>
      </c>
      <c r="P587" s="58" t="s">
        <v>1459</v>
      </c>
      <c r="Q587" s="63" t="str">
        <f>IF(V587&lt;&gt;"","Completed","")</f>
        <v>Completed</v>
      </c>
      <c r="R587" s="64">
        <v>42690</v>
      </c>
      <c r="S587" s="386" t="s">
        <v>172</v>
      </c>
      <c r="T587" s="65">
        <v>32</v>
      </c>
      <c r="U587" s="65">
        <v>64</v>
      </c>
      <c r="V587" s="256">
        <v>64</v>
      </c>
      <c r="W587" s="65"/>
      <c r="X587" s="65"/>
      <c r="Y587" s="74" t="s">
        <v>44</v>
      </c>
      <c r="Z587" s="56" t="s">
        <v>1558</v>
      </c>
      <c r="AA587" s="363">
        <f>SUM(V584:V587)</f>
        <v>281</v>
      </c>
      <c r="AB587" s="65" t="s">
        <v>94</v>
      </c>
      <c r="AC587" s="65" t="s">
        <v>29</v>
      </c>
      <c r="AD587" s="257"/>
    </row>
    <row r="588" spans="1:30" s="66" customFormat="1">
      <c r="A588" s="245" t="s">
        <v>901</v>
      </c>
      <c r="B588" s="372" t="s">
        <v>82</v>
      </c>
      <c r="C588" s="320"/>
      <c r="D588" s="242"/>
      <c r="E588" s="242" t="s">
        <v>29</v>
      </c>
      <c r="F588" s="242" t="s">
        <v>29</v>
      </c>
      <c r="G588" s="373" t="s">
        <v>1443</v>
      </c>
      <c r="H588" s="373" t="s">
        <v>1456</v>
      </c>
      <c r="I588" s="374">
        <v>120</v>
      </c>
      <c r="J588" s="373" t="s">
        <v>29</v>
      </c>
      <c r="K588" s="373" t="s">
        <v>29</v>
      </c>
      <c r="L588" s="373" t="s">
        <v>29</v>
      </c>
      <c r="M588" s="373" t="s">
        <v>29</v>
      </c>
      <c r="N588" s="375" t="s">
        <v>2750</v>
      </c>
      <c r="O588" s="373" t="s">
        <v>2751</v>
      </c>
      <c r="P588" s="373" t="s">
        <v>1447</v>
      </c>
      <c r="Q588" s="261" t="str">
        <f>IF(V588&lt;&gt;"","Completed","")</f>
        <v>Completed</v>
      </c>
      <c r="R588" s="319">
        <v>42622</v>
      </c>
      <c r="S588" s="319" t="s">
        <v>80</v>
      </c>
      <c r="T588" s="323">
        <v>29</v>
      </c>
      <c r="U588" s="242">
        <v>48</v>
      </c>
      <c r="V588" s="65">
        <v>48</v>
      </c>
      <c r="W588" s="65"/>
      <c r="X588" s="65"/>
      <c r="Y588" s="74" t="s">
        <v>44</v>
      </c>
      <c r="Z588" s="56" t="s">
        <v>2669</v>
      </c>
      <c r="AA588" s="249">
        <f>V588</f>
        <v>48</v>
      </c>
      <c r="AB588" s="242" t="s">
        <v>94</v>
      </c>
      <c r="AC588" s="242" t="s">
        <v>94</v>
      </c>
      <c r="AD588" s="345"/>
    </row>
    <row r="589" spans="1:30" s="66" customFormat="1">
      <c r="A589" s="75" t="s">
        <v>905</v>
      </c>
      <c r="B589" s="59"/>
      <c r="C589" s="57">
        <v>42776</v>
      </c>
      <c r="D589" s="65"/>
      <c r="E589" s="65" t="s">
        <v>29</v>
      </c>
      <c r="F589" s="65" t="s">
        <v>29</v>
      </c>
      <c r="G589" s="58" t="s">
        <v>1443</v>
      </c>
      <c r="H589" s="58" t="s">
        <v>1456</v>
      </c>
      <c r="I589" s="60">
        <v>0</v>
      </c>
      <c r="J589" s="58" t="s">
        <v>94</v>
      </c>
      <c r="K589" s="58" t="s">
        <v>29</v>
      </c>
      <c r="L589" s="58" t="s">
        <v>29</v>
      </c>
      <c r="M589" s="58" t="s">
        <v>29</v>
      </c>
      <c r="N589" s="61" t="s">
        <v>2752</v>
      </c>
      <c r="O589" s="58" t="s">
        <v>2753</v>
      </c>
      <c r="P589" s="58" t="s">
        <v>1447</v>
      </c>
      <c r="Q589" s="63" t="str">
        <f>IF(V589&lt;&gt;"","Completed","")</f>
        <v>Completed</v>
      </c>
      <c r="R589" s="64">
        <v>42725</v>
      </c>
      <c r="S589" s="64" t="s">
        <v>57</v>
      </c>
      <c r="T589" s="65">
        <v>29</v>
      </c>
      <c r="U589" s="65">
        <v>55</v>
      </c>
      <c r="V589" s="65">
        <v>55</v>
      </c>
      <c r="W589" s="65"/>
      <c r="X589" s="65"/>
      <c r="Y589" s="74" t="s">
        <v>44</v>
      </c>
      <c r="Z589" s="56" t="s">
        <v>1650</v>
      </c>
      <c r="AA589" s="252"/>
      <c r="AB589" s="65" t="s">
        <v>94</v>
      </c>
      <c r="AC589" s="65" t="s">
        <v>29</v>
      </c>
      <c r="AD589" s="345"/>
    </row>
    <row r="590" spans="1:30" s="66" customFormat="1">
      <c r="A590" s="75" t="s">
        <v>905</v>
      </c>
      <c r="B590" s="59"/>
      <c r="C590" s="57">
        <v>42773</v>
      </c>
      <c r="D590" s="65"/>
      <c r="E590" s="65" t="s">
        <v>29</v>
      </c>
      <c r="F590" s="65" t="s">
        <v>29</v>
      </c>
      <c r="G590" s="58" t="s">
        <v>1443</v>
      </c>
      <c r="H590" s="58" t="s">
        <v>1456</v>
      </c>
      <c r="I590" s="60">
        <v>0</v>
      </c>
      <c r="J590" s="58" t="s">
        <v>94</v>
      </c>
      <c r="K590" s="58" t="s">
        <v>29</v>
      </c>
      <c r="L590" s="58" t="s">
        <v>29</v>
      </c>
      <c r="M590" s="58" t="s">
        <v>29</v>
      </c>
      <c r="N590" s="61" t="s">
        <v>2754</v>
      </c>
      <c r="O590" s="58" t="s">
        <v>2755</v>
      </c>
      <c r="P590" s="58" t="s">
        <v>1447</v>
      </c>
      <c r="Q590" s="63" t="str">
        <f>IF(V590&lt;&gt;"","Completed","")</f>
        <v>Completed</v>
      </c>
      <c r="R590" s="64">
        <v>42720</v>
      </c>
      <c r="S590" s="64" t="s">
        <v>57</v>
      </c>
      <c r="T590" s="65">
        <v>36</v>
      </c>
      <c r="U590" s="65">
        <v>63</v>
      </c>
      <c r="V590" s="65">
        <v>63</v>
      </c>
      <c r="W590" s="65"/>
      <c r="X590" s="65"/>
      <c r="Y590" s="74" t="s">
        <v>44</v>
      </c>
      <c r="Z590" s="56" t="s">
        <v>1747</v>
      </c>
      <c r="AA590" s="252">
        <f>SUM(V586:V590)</f>
        <v>282</v>
      </c>
      <c r="AB590" s="65" t="s">
        <v>94</v>
      </c>
      <c r="AC590" s="65" t="s">
        <v>29</v>
      </c>
      <c r="AD590" s="345"/>
    </row>
    <row r="591" spans="1:30" s="66" customFormat="1">
      <c r="A591" s="75" t="s">
        <v>599</v>
      </c>
      <c r="B591" s="59"/>
      <c r="C591" s="57">
        <v>42695</v>
      </c>
      <c r="D591" s="65"/>
      <c r="E591" s="65" t="s">
        <v>29</v>
      </c>
      <c r="F591" s="65" t="s">
        <v>29</v>
      </c>
      <c r="G591" s="58" t="s">
        <v>1443</v>
      </c>
      <c r="H591" s="58" t="s">
        <v>1444</v>
      </c>
      <c r="I591" s="60">
        <v>512</v>
      </c>
      <c r="J591" s="58" t="s">
        <v>29</v>
      </c>
      <c r="K591" s="58" t="s">
        <v>29</v>
      </c>
      <c r="L591" s="58" t="s">
        <v>94</v>
      </c>
      <c r="M591" s="58" t="s">
        <v>29</v>
      </c>
      <c r="N591" s="61" t="s">
        <v>2756</v>
      </c>
      <c r="O591" s="58" t="s">
        <v>2757</v>
      </c>
      <c r="P591" s="58" t="s">
        <v>1447</v>
      </c>
      <c r="Q591" s="63" t="str">
        <f>IF(V591&lt;&gt;"","Completed","")</f>
        <v>Completed</v>
      </c>
      <c r="R591" s="64">
        <v>42678</v>
      </c>
      <c r="S591" s="64" t="s">
        <v>149</v>
      </c>
      <c r="T591" s="65">
        <v>65</v>
      </c>
      <c r="U591" s="65">
        <v>100</v>
      </c>
      <c r="V591" s="65">
        <v>100</v>
      </c>
      <c r="W591" s="65"/>
      <c r="X591" s="65"/>
      <c r="Y591" s="74" t="s">
        <v>44</v>
      </c>
      <c r="Z591" s="56" t="s">
        <v>1961</v>
      </c>
      <c r="AA591" s="252"/>
      <c r="AB591" s="316" t="s">
        <v>94</v>
      </c>
      <c r="AC591" s="317" t="s">
        <v>94</v>
      </c>
      <c r="AD591" s="349"/>
    </row>
    <row r="592" spans="1:30" s="66" customFormat="1">
      <c r="A592" s="244" t="s">
        <v>1150</v>
      </c>
      <c r="B592" s="62" t="s">
        <v>573</v>
      </c>
      <c r="C592" s="57">
        <v>42716</v>
      </c>
      <c r="D592" s="65"/>
      <c r="E592" s="65" t="s">
        <v>29</v>
      </c>
      <c r="F592" s="65" t="s">
        <v>29</v>
      </c>
      <c r="G592" s="58" t="s">
        <v>1443</v>
      </c>
      <c r="H592" s="58" t="s">
        <v>1456</v>
      </c>
      <c r="I592" s="60">
        <v>0</v>
      </c>
      <c r="J592" s="58" t="s">
        <v>94</v>
      </c>
      <c r="K592" s="58" t="s">
        <v>29</v>
      </c>
      <c r="L592" s="58" t="s">
        <v>29</v>
      </c>
      <c r="M592" s="58" t="s">
        <v>29</v>
      </c>
      <c r="N592" s="61" t="s">
        <v>2758</v>
      </c>
      <c r="O592" s="58" t="s">
        <v>2759</v>
      </c>
      <c r="P592" s="58" t="s">
        <v>1459</v>
      </c>
      <c r="Q592" s="63" t="str">
        <f>IF(V592&lt;&gt;"","Completed","")</f>
        <v>Completed</v>
      </c>
      <c r="R592" s="64">
        <v>42696</v>
      </c>
      <c r="S592" s="64" t="s">
        <v>149</v>
      </c>
      <c r="T592" s="65">
        <v>22</v>
      </c>
      <c r="U592" s="65">
        <v>43</v>
      </c>
      <c r="V592" s="65">
        <v>43</v>
      </c>
      <c r="W592" s="65"/>
      <c r="X592" s="65"/>
      <c r="Y592" s="74" t="s">
        <v>44</v>
      </c>
      <c r="Z592" s="56" t="s">
        <v>1966</v>
      </c>
      <c r="AA592" s="252"/>
      <c r="AB592" s="65" t="s">
        <v>94</v>
      </c>
      <c r="AC592" s="74" t="s">
        <v>94</v>
      </c>
      <c r="AD592" s="345"/>
    </row>
    <row r="593" spans="1:30" s="66" customFormat="1">
      <c r="A593" s="244" t="s">
        <v>1150</v>
      </c>
      <c r="B593" s="62" t="s">
        <v>573</v>
      </c>
      <c r="C593" s="57">
        <v>42716</v>
      </c>
      <c r="D593" s="65"/>
      <c r="E593" s="65" t="s">
        <v>29</v>
      </c>
      <c r="F593" s="65" t="s">
        <v>29</v>
      </c>
      <c r="G593" s="58" t="s">
        <v>1443</v>
      </c>
      <c r="H593" s="58" t="s">
        <v>1456</v>
      </c>
      <c r="I593" s="60">
        <v>0</v>
      </c>
      <c r="J593" s="58" t="s">
        <v>94</v>
      </c>
      <c r="K593" s="58" t="s">
        <v>29</v>
      </c>
      <c r="L593" s="58" t="s">
        <v>29</v>
      </c>
      <c r="M593" s="58" t="s">
        <v>29</v>
      </c>
      <c r="N593" s="61" t="s">
        <v>2760</v>
      </c>
      <c r="O593" s="58" t="s">
        <v>2761</v>
      </c>
      <c r="P593" s="58" t="s">
        <v>1459</v>
      </c>
      <c r="Q593" s="63" t="str">
        <f>IF(V593&lt;&gt;"","Completed","")</f>
        <v>Completed</v>
      </c>
      <c r="R593" s="64">
        <v>42692</v>
      </c>
      <c r="S593" s="64" t="s">
        <v>149</v>
      </c>
      <c r="T593" s="65">
        <v>25</v>
      </c>
      <c r="U593" s="65">
        <v>48</v>
      </c>
      <c r="V593" s="65">
        <v>48</v>
      </c>
      <c r="W593" s="65"/>
      <c r="X593" s="65"/>
      <c r="Y593" s="74" t="s">
        <v>44</v>
      </c>
      <c r="Z593" s="56" t="s">
        <v>1966</v>
      </c>
      <c r="AA593" s="252">
        <f>SUM(V591:V593)</f>
        <v>191</v>
      </c>
      <c r="AB593" s="65" t="s">
        <v>94</v>
      </c>
      <c r="AC593" s="74" t="s">
        <v>94</v>
      </c>
      <c r="AD593" s="345"/>
    </row>
    <row r="594" spans="1:30" s="66" customFormat="1">
      <c r="A594" s="75" t="s">
        <v>124</v>
      </c>
      <c r="B594" s="59"/>
      <c r="C594" s="247">
        <v>42780</v>
      </c>
      <c r="D594" s="65">
        <v>4016000</v>
      </c>
      <c r="E594" s="65" t="s">
        <v>29</v>
      </c>
      <c r="F594" s="65" t="s">
        <v>29</v>
      </c>
      <c r="G594" s="58" t="s">
        <v>1443</v>
      </c>
      <c r="H594" s="58" t="s">
        <v>1444</v>
      </c>
      <c r="I594" s="60">
        <v>339</v>
      </c>
      <c r="J594" s="58" t="s">
        <v>94</v>
      </c>
      <c r="K594" s="58" t="s">
        <v>29</v>
      </c>
      <c r="L594" s="58" t="s">
        <v>94</v>
      </c>
      <c r="M594" s="58" t="s">
        <v>29</v>
      </c>
      <c r="N594" s="61" t="s">
        <v>2762</v>
      </c>
      <c r="O594" s="58" t="s">
        <v>2763</v>
      </c>
      <c r="P594" s="58" t="s">
        <v>1447</v>
      </c>
      <c r="Q594" s="63" t="str">
        <f>IF(V594&lt;&gt;"","Completed","")</f>
        <v>Completed</v>
      </c>
      <c r="R594" s="64">
        <v>42707</v>
      </c>
      <c r="S594" s="64" t="s">
        <v>57</v>
      </c>
      <c r="T594" s="150">
        <v>85</v>
      </c>
      <c r="U594" s="150">
        <v>135</v>
      </c>
      <c r="V594" s="150">
        <v>135</v>
      </c>
      <c r="W594" s="150"/>
      <c r="X594" s="150"/>
      <c r="Y594" s="74" t="s">
        <v>44</v>
      </c>
      <c r="Z594" s="56" t="s">
        <v>1555</v>
      </c>
      <c r="AA594" s="252"/>
      <c r="AB594" s="65" t="s">
        <v>94</v>
      </c>
      <c r="AC594" s="65" t="s">
        <v>94</v>
      </c>
      <c r="AD594" s="63" t="s">
        <v>2764</v>
      </c>
    </row>
    <row r="595" spans="1:30" s="66" customFormat="1">
      <c r="A595" s="75" t="s">
        <v>1152</v>
      </c>
      <c r="B595" s="59"/>
      <c r="C595" s="57">
        <v>42691</v>
      </c>
      <c r="D595" s="65"/>
      <c r="E595" s="65" t="s">
        <v>29</v>
      </c>
      <c r="F595" s="65" t="s">
        <v>29</v>
      </c>
      <c r="G595" s="58" t="s">
        <v>1443</v>
      </c>
      <c r="H595" s="58" t="s">
        <v>1449</v>
      </c>
      <c r="I595" s="60">
        <v>434</v>
      </c>
      <c r="J595" s="58" t="s">
        <v>94</v>
      </c>
      <c r="K595" s="58" t="s">
        <v>29</v>
      </c>
      <c r="L595" s="58" t="s">
        <v>94</v>
      </c>
      <c r="M595" s="58" t="s">
        <v>29</v>
      </c>
      <c r="N595" s="61" t="s">
        <v>2765</v>
      </c>
      <c r="O595" s="58" t="s">
        <v>2766</v>
      </c>
      <c r="P595" s="58" t="s">
        <v>1459</v>
      </c>
      <c r="Q595" s="63" t="str">
        <f>IF(V595&lt;&gt;"","Completed","")</f>
        <v>Completed</v>
      </c>
      <c r="R595" s="64">
        <v>42668</v>
      </c>
      <c r="S595" s="64" t="s">
        <v>80</v>
      </c>
      <c r="T595" s="65">
        <v>23</v>
      </c>
      <c r="U595" s="65">
        <v>46</v>
      </c>
      <c r="V595" s="65">
        <v>46</v>
      </c>
      <c r="W595" s="65"/>
      <c r="X595" s="65"/>
      <c r="Y595" s="74" t="s">
        <v>44</v>
      </c>
      <c r="Z595" s="56" t="s">
        <v>1681</v>
      </c>
      <c r="AA595" s="249"/>
      <c r="AB595" s="65" t="s">
        <v>94</v>
      </c>
      <c r="AC595" s="65" t="s">
        <v>29</v>
      </c>
      <c r="AD595" s="345"/>
    </row>
    <row r="596" spans="1:30" s="66" customFormat="1">
      <c r="A596" s="75" t="s">
        <v>1121</v>
      </c>
      <c r="B596" s="59"/>
      <c r="C596" s="311">
        <v>42724</v>
      </c>
      <c r="D596" s="65"/>
      <c r="E596" s="65" t="s">
        <v>29</v>
      </c>
      <c r="F596" s="65" t="s">
        <v>94</v>
      </c>
      <c r="G596" s="58"/>
      <c r="H596" s="58"/>
      <c r="I596" s="60"/>
      <c r="J596" s="58"/>
      <c r="K596" s="58"/>
      <c r="L596" s="58"/>
      <c r="M596" s="58"/>
      <c r="N596" s="61" t="s">
        <v>2767</v>
      </c>
      <c r="O596" s="58" t="s">
        <v>2768</v>
      </c>
      <c r="P596" s="58"/>
      <c r="Q596" s="63" t="str">
        <f>IF(V596&lt;&gt;"","Completed","")</f>
        <v>Completed</v>
      </c>
      <c r="R596" s="64">
        <v>42678</v>
      </c>
      <c r="S596" s="64" t="s">
        <v>104</v>
      </c>
      <c r="T596" s="65">
        <v>8</v>
      </c>
      <c r="U596" s="65"/>
      <c r="V596" s="256">
        <v>33</v>
      </c>
      <c r="W596" s="65"/>
      <c r="X596" s="65"/>
      <c r="Y596" s="74" t="s">
        <v>44</v>
      </c>
      <c r="Z596" s="56" t="s">
        <v>1893</v>
      </c>
      <c r="AA596" s="249"/>
      <c r="AB596" s="242" t="s">
        <v>94</v>
      </c>
      <c r="AC596" s="324"/>
      <c r="AD596" s="345"/>
    </row>
    <row r="597" spans="1:30">
      <c r="A597" s="261" t="s">
        <v>710</v>
      </c>
      <c r="C597" s="57">
        <v>42766</v>
      </c>
      <c r="E597" s="65" t="s">
        <v>29</v>
      </c>
      <c r="F597" s="65" t="s">
        <v>29</v>
      </c>
      <c r="N597" s="68" t="s">
        <v>2769</v>
      </c>
      <c r="O597" s="90" t="s">
        <v>2770</v>
      </c>
      <c r="Q597" s="63" t="str">
        <f>IF(V597&lt;&gt;"","Completed","")</f>
        <v>Completed</v>
      </c>
      <c r="R597" s="64">
        <v>42773</v>
      </c>
      <c r="S597" s="64" t="s">
        <v>149</v>
      </c>
      <c r="T597" s="242">
        <v>11</v>
      </c>
      <c r="U597" s="242">
        <v>22</v>
      </c>
      <c r="V597" s="242">
        <v>22</v>
      </c>
      <c r="W597" s="65">
        <f>SUM(V575:V597)</f>
        <v>1693</v>
      </c>
      <c r="Y597" s="74" t="s">
        <v>44</v>
      </c>
      <c r="Z597" s="345" t="s">
        <v>1442</v>
      </c>
      <c r="AA597" s="92"/>
      <c r="AB597" s="242" t="s">
        <v>94</v>
      </c>
      <c r="AC597" s="242" t="s">
        <v>29</v>
      </c>
      <c r="AD597" s="345" t="s">
        <v>2771</v>
      </c>
    </row>
    <row r="598" spans="1:30">
      <c r="A598" s="244" t="s">
        <v>868</v>
      </c>
      <c r="B598" s="62" t="s">
        <v>196</v>
      </c>
      <c r="C598" s="311">
        <v>42747</v>
      </c>
      <c r="D598" s="109" t="s">
        <v>2772</v>
      </c>
      <c r="E598" s="151" t="s">
        <v>94</v>
      </c>
      <c r="F598" s="151" t="s">
        <v>29</v>
      </c>
      <c r="G598" s="306" t="s">
        <v>1443</v>
      </c>
      <c r="H598" s="306" t="s">
        <v>1456</v>
      </c>
      <c r="I598" s="307">
        <v>0</v>
      </c>
      <c r="J598" s="306" t="s">
        <v>29</v>
      </c>
      <c r="K598" s="306" t="s">
        <v>94</v>
      </c>
      <c r="L598" s="306" t="s">
        <v>29</v>
      </c>
      <c r="M598" s="306" t="s">
        <v>29</v>
      </c>
      <c r="N598" s="308" t="s">
        <v>2773</v>
      </c>
      <c r="O598" s="306" t="s">
        <v>2774</v>
      </c>
      <c r="P598" s="306" t="s">
        <v>1447</v>
      </c>
      <c r="Q598" s="63" t="str">
        <f>IF(V598&lt;&gt;"","Completed","")</f>
        <v>Completed</v>
      </c>
      <c r="R598" s="310">
        <v>42706</v>
      </c>
      <c r="S598" s="310" t="s">
        <v>204</v>
      </c>
      <c r="T598" s="65">
        <v>49</v>
      </c>
      <c r="U598" s="65">
        <v>94</v>
      </c>
      <c r="V598" s="65">
        <v>94</v>
      </c>
      <c r="Y598" s="74" t="s">
        <v>44</v>
      </c>
      <c r="Z598" s="56" t="s">
        <v>1838</v>
      </c>
      <c r="AA598" s="92">
        <f>SUM(V597:V598)</f>
        <v>116</v>
      </c>
      <c r="AB598" s="74" t="s">
        <v>94</v>
      </c>
      <c r="AC598" s="65" t="s">
        <v>94</v>
      </c>
    </row>
    <row r="599" spans="1:30">
      <c r="A599" s="332" t="s">
        <v>616</v>
      </c>
      <c r="B599" s="59"/>
      <c r="C599" s="57">
        <v>42727</v>
      </c>
      <c r="E599" s="65" t="s">
        <v>29</v>
      </c>
      <c r="F599" s="65" t="s">
        <v>29</v>
      </c>
      <c r="G599" s="58" t="s">
        <v>1443</v>
      </c>
      <c r="H599" s="58" t="s">
        <v>1456</v>
      </c>
      <c r="I599" s="60">
        <v>433</v>
      </c>
      <c r="J599" s="58" t="s">
        <v>29</v>
      </c>
      <c r="K599" s="58" t="s">
        <v>29</v>
      </c>
      <c r="L599" s="58" t="s">
        <v>29</v>
      </c>
      <c r="M599" s="58" t="s">
        <v>29</v>
      </c>
      <c r="N599" s="61" t="s">
        <v>2775</v>
      </c>
      <c r="O599" s="58" t="s">
        <v>2776</v>
      </c>
      <c r="P599" s="58" t="s">
        <v>1447</v>
      </c>
      <c r="Q599" s="63" t="str">
        <f>IF(V599&lt;&gt;"","Completed","")</f>
        <v>Completed</v>
      </c>
      <c r="R599" s="64">
        <v>42665</v>
      </c>
      <c r="S599" s="64" t="s">
        <v>43</v>
      </c>
      <c r="T599" s="323">
        <v>107</v>
      </c>
      <c r="U599" s="323">
        <v>163</v>
      </c>
      <c r="V599" s="323">
        <v>163</v>
      </c>
      <c r="W599" s="323"/>
      <c r="X599" s="323"/>
      <c r="Y599" s="74" t="s">
        <v>44</v>
      </c>
      <c r="Z599" s="345" t="s">
        <v>1605</v>
      </c>
      <c r="AA599" s="252"/>
      <c r="AB599" s="151" t="s">
        <v>94</v>
      </c>
      <c r="AC599" s="151" t="s">
        <v>29</v>
      </c>
    </row>
    <row r="600" spans="1:30">
      <c r="A600" s="332" t="s">
        <v>550</v>
      </c>
      <c r="B600" s="59"/>
      <c r="C600" s="57">
        <v>42727</v>
      </c>
      <c r="E600" s="65" t="s">
        <v>29</v>
      </c>
      <c r="F600" s="65" t="s">
        <v>29</v>
      </c>
      <c r="G600" s="58" t="s">
        <v>1443</v>
      </c>
      <c r="H600" s="58" t="s">
        <v>1449</v>
      </c>
      <c r="I600" s="60">
        <v>207</v>
      </c>
      <c r="J600" s="58" t="s">
        <v>94</v>
      </c>
      <c r="K600" s="58" t="s">
        <v>29</v>
      </c>
      <c r="L600" s="58" t="s">
        <v>94</v>
      </c>
      <c r="M600" s="58" t="s">
        <v>29</v>
      </c>
      <c r="N600" s="61" t="s">
        <v>2777</v>
      </c>
      <c r="O600" s="58" t="s">
        <v>2778</v>
      </c>
      <c r="P600" s="58" t="s">
        <v>1447</v>
      </c>
      <c r="Q600" s="63" t="str">
        <f>IF(V600&lt;&gt;"","Completed","")</f>
        <v>Completed</v>
      </c>
      <c r="R600" s="64">
        <v>42682</v>
      </c>
      <c r="S600" s="24" t="s">
        <v>558</v>
      </c>
      <c r="T600" s="242">
        <v>31</v>
      </c>
      <c r="U600" s="242">
        <v>50</v>
      </c>
      <c r="V600" s="242">
        <v>50</v>
      </c>
      <c r="W600" s="242"/>
      <c r="X600" s="242"/>
      <c r="Y600" s="74" t="s">
        <v>44</v>
      </c>
      <c r="Z600" s="345" t="s">
        <v>1605</v>
      </c>
      <c r="AA600" s="249"/>
      <c r="AB600" s="65" t="s">
        <v>94</v>
      </c>
      <c r="AC600" s="65" t="s">
        <v>29</v>
      </c>
    </row>
    <row r="601" spans="1:30">
      <c r="A601" s="63" t="s">
        <v>67</v>
      </c>
      <c r="B601" s="63" t="s">
        <v>68</v>
      </c>
      <c r="C601" s="111">
        <v>42787</v>
      </c>
      <c r="D601" s="315">
        <v>1004000</v>
      </c>
      <c r="E601" s="57" t="s">
        <v>29</v>
      </c>
      <c r="F601" s="65" t="s">
        <v>29</v>
      </c>
      <c r="G601" s="63" t="s">
        <v>1443</v>
      </c>
      <c r="I601" s="58"/>
      <c r="J601" s="58"/>
      <c r="K601" s="60"/>
      <c r="L601" s="58"/>
      <c r="M601" s="58"/>
      <c r="N601" s="58" t="s">
        <v>2779</v>
      </c>
      <c r="O601" s="58" t="s">
        <v>2780</v>
      </c>
      <c r="P601" s="288"/>
      <c r="Q601" s="63" t="str">
        <f>IF(V601&lt;&gt;"","Completed","")</f>
        <v>Completed</v>
      </c>
      <c r="R601" s="57">
        <v>42726</v>
      </c>
      <c r="S601" s="57" t="s">
        <v>80</v>
      </c>
      <c r="T601" s="65">
        <v>94</v>
      </c>
      <c r="U601" s="273">
        <v>146</v>
      </c>
      <c r="V601" s="273">
        <v>146</v>
      </c>
      <c r="W601" s="273"/>
      <c r="X601" s="273"/>
      <c r="Y601" s="74" t="s">
        <v>44</v>
      </c>
      <c r="Z601" s="56" t="s">
        <v>1500</v>
      </c>
      <c r="AA601" s="362">
        <f>V601</f>
        <v>146</v>
      </c>
      <c r="AB601" s="65" t="s">
        <v>94</v>
      </c>
      <c r="AC601" s="65" t="s">
        <v>94</v>
      </c>
      <c r="AD601" s="56"/>
    </row>
    <row r="602" spans="1:30">
      <c r="A602" s="75" t="s">
        <v>929</v>
      </c>
      <c r="B602" s="59"/>
      <c r="C602" s="57">
        <v>42790</v>
      </c>
      <c r="E602" s="65" t="s">
        <v>29</v>
      </c>
      <c r="F602" s="65" t="s">
        <v>94</v>
      </c>
      <c r="G602" s="58" t="s">
        <v>1443</v>
      </c>
      <c r="H602" s="58" t="s">
        <v>1444</v>
      </c>
      <c r="I602" s="60">
        <v>0</v>
      </c>
      <c r="J602" s="58" t="s">
        <v>94</v>
      </c>
      <c r="K602" s="58" t="s">
        <v>29</v>
      </c>
      <c r="L602" s="58" t="s">
        <v>94</v>
      </c>
      <c r="M602" s="58" t="s">
        <v>94</v>
      </c>
      <c r="N602" s="61" t="s">
        <v>2781</v>
      </c>
      <c r="O602" s="58" t="s">
        <v>2782</v>
      </c>
      <c r="P602" s="58" t="s">
        <v>1447</v>
      </c>
      <c r="Q602" s="63" t="str">
        <f>IF(V602&lt;&gt;"","Completed","")</f>
        <v>Completed</v>
      </c>
      <c r="R602" s="64">
        <v>42640</v>
      </c>
      <c r="S602" s="386" t="s">
        <v>172</v>
      </c>
      <c r="T602" s="65">
        <v>16</v>
      </c>
      <c r="U602" s="256">
        <v>32</v>
      </c>
      <c r="V602" s="256">
        <v>32</v>
      </c>
      <c r="Y602" s="74" t="s">
        <v>44</v>
      </c>
      <c r="Z602" s="56" t="s">
        <v>1627</v>
      </c>
      <c r="AA602" s="249"/>
      <c r="AB602" s="65" t="s">
        <v>94</v>
      </c>
      <c r="AC602" s="65" t="s">
        <v>29</v>
      </c>
    </row>
    <row r="603" spans="1:30">
      <c r="A603" s="75" t="s">
        <v>1087</v>
      </c>
      <c r="B603" s="59"/>
      <c r="C603" s="57">
        <v>42794</v>
      </c>
      <c r="E603" s="65" t="s">
        <v>29</v>
      </c>
      <c r="F603" s="65" t="s">
        <v>94</v>
      </c>
      <c r="G603" s="58"/>
      <c r="H603" s="58"/>
      <c r="I603" s="60"/>
      <c r="J603" s="58"/>
      <c r="K603" s="58"/>
      <c r="L603" s="58"/>
      <c r="M603" s="58"/>
      <c r="N603" s="73"/>
      <c r="O603" s="72" t="s">
        <v>2783</v>
      </c>
      <c r="P603" s="58"/>
      <c r="Q603" s="63" t="str">
        <f>IF(V603&lt;&gt;"","Completed","")</f>
        <v>Completed</v>
      </c>
      <c r="R603" s="64">
        <v>42749</v>
      </c>
      <c r="S603" s="64" t="s">
        <v>104</v>
      </c>
      <c r="T603" s="370" t="s">
        <v>1757</v>
      </c>
      <c r="U603" s="370" t="s">
        <v>1757</v>
      </c>
      <c r="V603" s="370" t="s">
        <v>1757</v>
      </c>
      <c r="W603" s="242"/>
      <c r="X603" s="242"/>
      <c r="Y603" s="347" t="s">
        <v>44</v>
      </c>
      <c r="Z603" s="261"/>
      <c r="AA603" s="92"/>
      <c r="AB603" s="65" t="s">
        <v>94</v>
      </c>
      <c r="AC603" s="65" t="s">
        <v>29</v>
      </c>
      <c r="AD603" s="257" t="s">
        <v>2784</v>
      </c>
    </row>
    <row r="604" spans="1:30">
      <c r="A604" s="332" t="s">
        <v>1015</v>
      </c>
      <c r="B604" s="59"/>
      <c r="C604" s="57"/>
      <c r="E604" s="65" t="s">
        <v>29</v>
      </c>
      <c r="F604" s="65" t="s">
        <v>29</v>
      </c>
      <c r="G604" s="58" t="s">
        <v>1443</v>
      </c>
      <c r="H604" s="58" t="s">
        <v>1456</v>
      </c>
      <c r="I604" s="60">
        <v>325</v>
      </c>
      <c r="J604" s="58" t="s">
        <v>94</v>
      </c>
      <c r="K604" s="58" t="s">
        <v>29</v>
      </c>
      <c r="L604" s="58" t="s">
        <v>29</v>
      </c>
      <c r="M604" s="58" t="s">
        <v>29</v>
      </c>
      <c r="N604" s="375" t="s">
        <v>2785</v>
      </c>
      <c r="O604" s="373" t="s">
        <v>2786</v>
      </c>
      <c r="P604" s="58" t="s">
        <v>1459</v>
      </c>
      <c r="Q604" s="63" t="str">
        <f>IF(V604&lt;&gt;"","Completed","")</f>
        <v>Completed</v>
      </c>
      <c r="R604" s="64">
        <v>42621</v>
      </c>
      <c r="S604" s="64" t="s">
        <v>80</v>
      </c>
      <c r="T604" s="242">
        <v>59</v>
      </c>
      <c r="U604" s="242">
        <v>107</v>
      </c>
      <c r="V604" s="242">
        <v>107</v>
      </c>
      <c r="Y604" s="74" t="s">
        <v>44</v>
      </c>
      <c r="Z604" s="56" t="s">
        <v>1521</v>
      </c>
      <c r="AA604" s="252"/>
      <c r="AB604" s="242" t="s">
        <v>94</v>
      </c>
      <c r="AC604" s="242" t="s">
        <v>94</v>
      </c>
    </row>
    <row r="605" spans="1:30">
      <c r="A605" s="261" t="s">
        <v>81</v>
      </c>
      <c r="B605" s="62" t="s">
        <v>82</v>
      </c>
      <c r="C605" s="57">
        <v>42709</v>
      </c>
      <c r="D605" s="65">
        <v>1008000</v>
      </c>
      <c r="E605" s="65" t="s">
        <v>29</v>
      </c>
      <c r="F605" s="65" t="s">
        <v>29</v>
      </c>
      <c r="G605" s="58" t="s">
        <v>1482</v>
      </c>
      <c r="H605" s="58" t="s">
        <v>1456</v>
      </c>
      <c r="I605" s="60">
        <v>0</v>
      </c>
      <c r="J605" s="58" t="s">
        <v>29</v>
      </c>
      <c r="K605" s="58" t="s">
        <v>29</v>
      </c>
      <c r="L605" s="58" t="s">
        <v>94</v>
      </c>
      <c r="M605" s="58" t="s">
        <v>29</v>
      </c>
      <c r="N605" s="375" t="s">
        <v>2787</v>
      </c>
      <c r="O605" s="261" t="s">
        <v>2788</v>
      </c>
      <c r="P605" s="58" t="s">
        <v>1447</v>
      </c>
      <c r="Q605" s="63" t="str">
        <f>IF(V605&lt;&gt;"","Completed","")</f>
        <v>Completed</v>
      </c>
      <c r="R605" s="64">
        <v>42628</v>
      </c>
      <c r="S605" s="57" t="s">
        <v>80</v>
      </c>
      <c r="T605" s="65">
        <v>9</v>
      </c>
      <c r="U605" s="65">
        <v>18</v>
      </c>
      <c r="V605" s="65">
        <v>18</v>
      </c>
      <c r="Y605" s="74" t="s">
        <v>44</v>
      </c>
      <c r="Z605" s="56" t="s">
        <v>1530</v>
      </c>
      <c r="AA605" s="249"/>
      <c r="AB605" s="242" t="s">
        <v>94</v>
      </c>
      <c r="AC605" s="242"/>
    </row>
    <row r="606" spans="1:30">
      <c r="A606" s="75" t="s">
        <v>281</v>
      </c>
      <c r="B606" s="59"/>
      <c r="C606" s="57">
        <v>42765</v>
      </c>
      <c r="D606" s="65">
        <v>3049000</v>
      </c>
      <c r="E606" s="65" t="s">
        <v>29</v>
      </c>
      <c r="F606" s="65" t="s">
        <v>94</v>
      </c>
      <c r="G606" s="58" t="s">
        <v>1461</v>
      </c>
      <c r="H606" s="58" t="s">
        <v>1444</v>
      </c>
      <c r="I606" s="60">
        <v>288</v>
      </c>
      <c r="J606" s="58" t="s">
        <v>94</v>
      </c>
      <c r="K606" s="58" t="s">
        <v>29</v>
      </c>
      <c r="L606" s="58" t="s">
        <v>94</v>
      </c>
      <c r="M606" s="58" t="s">
        <v>94</v>
      </c>
      <c r="N606" s="61" t="s">
        <v>2789</v>
      </c>
      <c r="O606" s="292" t="s">
        <v>2790</v>
      </c>
      <c r="P606" s="58" t="s">
        <v>1447</v>
      </c>
      <c r="Q606" s="63" t="str">
        <f>IF(V606&lt;&gt;"","Completed","")</f>
        <v>Completed</v>
      </c>
      <c r="R606" s="64">
        <v>42724</v>
      </c>
      <c r="S606" s="64" t="s">
        <v>57</v>
      </c>
      <c r="T606" s="150">
        <v>14</v>
      </c>
      <c r="U606" s="256">
        <v>28</v>
      </c>
      <c r="V606" s="256">
        <v>28</v>
      </c>
      <c r="Y606" s="74" t="s">
        <v>44</v>
      </c>
      <c r="Z606" s="56" t="s">
        <v>2007</v>
      </c>
      <c r="AA606" s="118">
        <f>V606</f>
        <v>28</v>
      </c>
      <c r="AB606" s="65" t="s">
        <v>94</v>
      </c>
      <c r="AC606" s="65" t="s">
        <v>29</v>
      </c>
    </row>
    <row r="607" spans="1:30">
      <c r="A607" s="75" t="s">
        <v>920</v>
      </c>
      <c r="B607" s="59"/>
      <c r="C607" s="57">
        <v>42794</v>
      </c>
      <c r="E607" s="65" t="s">
        <v>29</v>
      </c>
      <c r="F607" s="65" t="s">
        <v>29</v>
      </c>
      <c r="G607" s="58" t="s">
        <v>1443</v>
      </c>
      <c r="H607" s="58" t="s">
        <v>1449</v>
      </c>
      <c r="I607" s="60">
        <v>0</v>
      </c>
      <c r="J607" s="58" t="s">
        <v>94</v>
      </c>
      <c r="K607" s="58" t="s">
        <v>29</v>
      </c>
      <c r="L607" s="58" t="s">
        <v>94</v>
      </c>
      <c r="M607" s="58" t="s">
        <v>29</v>
      </c>
      <c r="N607" s="61" t="s">
        <v>2791</v>
      </c>
      <c r="O607" s="58" t="s">
        <v>2792</v>
      </c>
      <c r="P607" s="58" t="s">
        <v>1447</v>
      </c>
      <c r="Q607" s="63" t="str">
        <f>IF(V607&lt;&gt;"","Completed","")</f>
        <v>Completed</v>
      </c>
      <c r="R607" s="64">
        <v>42689</v>
      </c>
      <c r="S607" s="386" t="s">
        <v>172</v>
      </c>
      <c r="T607" s="65" t="s">
        <v>1757</v>
      </c>
      <c r="U607" s="65" t="s">
        <v>1757</v>
      </c>
      <c r="V607" s="65" t="s">
        <v>1757</v>
      </c>
      <c r="Y607" s="74" t="s">
        <v>44</v>
      </c>
      <c r="Z607" s="56" t="s">
        <v>1650</v>
      </c>
      <c r="AA607" s="252"/>
      <c r="AB607" s="65" t="s">
        <v>94</v>
      </c>
      <c r="AC607" s="65" t="s">
        <v>94</v>
      </c>
      <c r="AD607" s="345" t="s">
        <v>2793</v>
      </c>
    </row>
    <row r="608" spans="1:30">
      <c r="A608" s="75" t="s">
        <v>920</v>
      </c>
      <c r="B608" s="59"/>
      <c r="C608" s="57">
        <v>42776</v>
      </c>
      <c r="E608" s="65" t="s">
        <v>29</v>
      </c>
      <c r="F608" s="65" t="s">
        <v>29</v>
      </c>
      <c r="G608" s="58" t="s">
        <v>1443</v>
      </c>
      <c r="H608" s="58" t="s">
        <v>1449</v>
      </c>
      <c r="I608" s="60">
        <v>53</v>
      </c>
      <c r="J608" s="58" t="s">
        <v>94</v>
      </c>
      <c r="K608" s="58" t="s">
        <v>29</v>
      </c>
      <c r="L608" s="58" t="s">
        <v>94</v>
      </c>
      <c r="M608" s="58" t="s">
        <v>29</v>
      </c>
      <c r="N608" s="61" t="s">
        <v>2791</v>
      </c>
      <c r="O608" s="58" t="s">
        <v>2794</v>
      </c>
      <c r="P608" s="58" t="s">
        <v>1447</v>
      </c>
      <c r="Q608" s="63" t="str">
        <f>IF(V608&lt;&gt;"","Completed","")</f>
        <v>Completed</v>
      </c>
      <c r="R608" s="64">
        <v>42689</v>
      </c>
      <c r="S608" s="386" t="s">
        <v>172</v>
      </c>
      <c r="T608" s="65">
        <v>21</v>
      </c>
      <c r="U608" s="65">
        <v>36</v>
      </c>
      <c r="V608" s="65">
        <v>36</v>
      </c>
      <c r="Y608" s="74" t="s">
        <v>44</v>
      </c>
      <c r="Z608" s="56" t="s">
        <v>1650</v>
      </c>
      <c r="AA608" s="252">
        <f>SUM(V607:V608)</f>
        <v>36</v>
      </c>
      <c r="AB608" s="65" t="s">
        <v>94</v>
      </c>
      <c r="AC608" s="65" t="s">
        <v>94</v>
      </c>
    </row>
    <row r="609" spans="1:30">
      <c r="A609" s="75" t="s">
        <v>703</v>
      </c>
      <c r="B609" s="59"/>
      <c r="C609" s="57">
        <v>42661</v>
      </c>
      <c r="E609" s="65" t="s">
        <v>29</v>
      </c>
      <c r="F609" s="65" t="s">
        <v>29</v>
      </c>
      <c r="G609" s="58" t="s">
        <v>1443</v>
      </c>
      <c r="H609" s="58"/>
      <c r="I609" s="60"/>
      <c r="J609" s="58"/>
      <c r="K609" s="58"/>
      <c r="L609" s="58"/>
      <c r="M609" s="58"/>
      <c r="N609" s="61" t="s">
        <v>2795</v>
      </c>
      <c r="O609" s="58" t="s">
        <v>2796</v>
      </c>
      <c r="P609" s="58"/>
      <c r="Q609" s="63" t="str">
        <f>IF(V609&lt;&gt;"","Completed","")</f>
        <v>Completed</v>
      </c>
      <c r="R609" s="64">
        <v>42644</v>
      </c>
      <c r="S609" s="64" t="s">
        <v>222</v>
      </c>
      <c r="T609" s="65">
        <v>123</v>
      </c>
      <c r="U609" s="65">
        <v>246</v>
      </c>
      <c r="V609" s="65">
        <v>246</v>
      </c>
      <c r="Y609" s="74" t="s">
        <v>44</v>
      </c>
      <c r="Z609" s="56" t="s">
        <v>1561</v>
      </c>
      <c r="AA609" s="249"/>
      <c r="AB609" s="242" t="s">
        <v>94</v>
      </c>
    </row>
    <row r="610" spans="1:30">
      <c r="A610" s="378" t="s">
        <v>1109</v>
      </c>
      <c r="B610" s="62" t="s">
        <v>1110</v>
      </c>
      <c r="C610" s="57">
        <v>42681</v>
      </c>
      <c r="E610" s="65" t="s">
        <v>29</v>
      </c>
      <c r="F610" s="65" t="s">
        <v>29</v>
      </c>
      <c r="G610" s="58" t="s">
        <v>1443</v>
      </c>
      <c r="H610" s="58" t="s">
        <v>1444</v>
      </c>
      <c r="I610" s="60">
        <v>0</v>
      </c>
      <c r="J610" s="58" t="s">
        <v>94</v>
      </c>
      <c r="K610" s="58" t="s">
        <v>29</v>
      </c>
      <c r="L610" s="58" t="s">
        <v>94</v>
      </c>
      <c r="M610" s="58" t="s">
        <v>29</v>
      </c>
      <c r="N610" s="375" t="s">
        <v>2797</v>
      </c>
      <c r="O610" s="373" t="s">
        <v>2798</v>
      </c>
      <c r="P610" s="58" t="s">
        <v>1447</v>
      </c>
      <c r="Q610" s="63" t="str">
        <f>IF(V610&lt;&gt;"","Completed","")</f>
        <v>Completed</v>
      </c>
      <c r="R610" s="64">
        <v>42658</v>
      </c>
      <c r="S610" s="64" t="s">
        <v>80</v>
      </c>
      <c r="T610" s="65">
        <v>37</v>
      </c>
      <c r="U610" s="65">
        <v>74</v>
      </c>
      <c r="V610" s="65">
        <v>74</v>
      </c>
      <c r="Y610" s="74" t="s">
        <v>44</v>
      </c>
      <c r="Z610" s="56" t="s">
        <v>1817</v>
      </c>
      <c r="AA610" s="249"/>
      <c r="AB610" s="242" t="s">
        <v>94</v>
      </c>
      <c r="AC610" s="242" t="s">
        <v>29</v>
      </c>
    </row>
    <row r="611" spans="1:30">
      <c r="A611" s="371" t="s">
        <v>1109</v>
      </c>
      <c r="B611" s="372" t="s">
        <v>1110</v>
      </c>
      <c r="C611" s="320">
        <v>42681</v>
      </c>
      <c r="D611" s="242"/>
      <c r="E611" s="242" t="s">
        <v>29</v>
      </c>
      <c r="F611" s="242" t="s">
        <v>29</v>
      </c>
      <c r="G611" s="373" t="s">
        <v>1443</v>
      </c>
      <c r="H611" s="373" t="s">
        <v>1444</v>
      </c>
      <c r="I611" s="374">
        <v>0</v>
      </c>
      <c r="J611" s="373" t="s">
        <v>94</v>
      </c>
      <c r="K611" s="373" t="s">
        <v>29</v>
      </c>
      <c r="L611" s="373" t="s">
        <v>94</v>
      </c>
      <c r="M611" s="373" t="s">
        <v>29</v>
      </c>
      <c r="N611" s="375" t="s">
        <v>2799</v>
      </c>
      <c r="O611" s="373" t="s">
        <v>2800</v>
      </c>
      <c r="P611" s="373" t="s">
        <v>1447</v>
      </c>
      <c r="Q611" s="261" t="s">
        <v>1459</v>
      </c>
      <c r="R611" s="319">
        <v>42658</v>
      </c>
      <c r="S611" s="64" t="s">
        <v>80</v>
      </c>
      <c r="T611" s="242"/>
      <c r="U611" s="242"/>
      <c r="V611" s="242"/>
      <c r="W611" s="242"/>
      <c r="X611" s="242"/>
      <c r="Y611" s="347" t="s">
        <v>44</v>
      </c>
      <c r="Z611" s="345" t="s">
        <v>1817</v>
      </c>
      <c r="AA611" s="261"/>
      <c r="AB611" s="242" t="s">
        <v>94</v>
      </c>
      <c r="AC611" s="242" t="s">
        <v>94</v>
      </c>
      <c r="AD611" s="345" t="s">
        <v>2801</v>
      </c>
    </row>
    <row r="612" spans="1:30">
      <c r="A612" s="75" t="s">
        <v>789</v>
      </c>
      <c r="B612" s="59"/>
      <c r="C612" s="57">
        <v>42753</v>
      </c>
      <c r="E612" s="65" t="s">
        <v>29</v>
      </c>
      <c r="F612" s="65" t="s">
        <v>29</v>
      </c>
      <c r="G612" s="58" t="s">
        <v>1443</v>
      </c>
      <c r="H612" s="58" t="s">
        <v>1449</v>
      </c>
      <c r="I612" s="60">
        <v>200</v>
      </c>
      <c r="J612" s="58" t="s">
        <v>29</v>
      </c>
      <c r="K612" s="58" t="s">
        <v>29</v>
      </c>
      <c r="L612" s="58" t="s">
        <v>94</v>
      </c>
      <c r="M612" s="58" t="s">
        <v>29</v>
      </c>
      <c r="N612" s="61" t="s">
        <v>2802</v>
      </c>
      <c r="O612" s="58" t="s">
        <v>2803</v>
      </c>
      <c r="P612" s="58" t="s">
        <v>1459</v>
      </c>
      <c r="Q612" s="63" t="str">
        <f>IF(V612&lt;&gt;"","Completed","")</f>
        <v>Completed</v>
      </c>
      <c r="R612" s="64">
        <v>42704</v>
      </c>
      <c r="S612" s="64" t="s">
        <v>80</v>
      </c>
      <c r="T612" s="65">
        <v>79</v>
      </c>
      <c r="U612" s="65">
        <v>146</v>
      </c>
      <c r="V612" s="65">
        <v>146</v>
      </c>
      <c r="Y612" s="74" t="s">
        <v>44</v>
      </c>
      <c r="Z612" s="56" t="s">
        <v>1500</v>
      </c>
      <c r="AA612" s="249">
        <f>SUM(V610:V612)</f>
        <v>220</v>
      </c>
      <c r="AB612" s="65" t="s">
        <v>94</v>
      </c>
      <c r="AC612" s="65" t="s">
        <v>29</v>
      </c>
    </row>
    <row r="613" spans="1:30">
      <c r="A613" s="75" t="s">
        <v>929</v>
      </c>
      <c r="B613" s="59"/>
      <c r="C613" s="57">
        <v>42790</v>
      </c>
      <c r="E613" s="65" t="s">
        <v>29</v>
      </c>
      <c r="F613" s="65" t="s">
        <v>94</v>
      </c>
      <c r="G613" s="58" t="s">
        <v>1443</v>
      </c>
      <c r="H613" s="58" t="s">
        <v>1444</v>
      </c>
      <c r="I613" s="60">
        <v>0</v>
      </c>
      <c r="J613" s="58" t="s">
        <v>29</v>
      </c>
      <c r="K613" s="58" t="s">
        <v>29</v>
      </c>
      <c r="L613" s="58" t="s">
        <v>94</v>
      </c>
      <c r="M613" s="58" t="s">
        <v>94</v>
      </c>
      <c r="N613" s="61" t="s">
        <v>2804</v>
      </c>
      <c r="O613" s="58" t="s">
        <v>2805</v>
      </c>
      <c r="P613" s="58" t="s">
        <v>1447</v>
      </c>
      <c r="Q613" s="63" t="str">
        <f>IF(V613&lt;&gt;"","Completed","")</f>
        <v>Completed</v>
      </c>
      <c r="R613" s="64">
        <v>42661</v>
      </c>
      <c r="S613" s="386" t="s">
        <v>172</v>
      </c>
      <c r="T613" s="65">
        <v>62</v>
      </c>
      <c r="U613" s="256">
        <v>118</v>
      </c>
      <c r="V613" s="256">
        <v>118</v>
      </c>
      <c r="Y613" s="74" t="s">
        <v>44</v>
      </c>
      <c r="Z613" s="56" t="s">
        <v>1488</v>
      </c>
      <c r="AA613" s="249"/>
      <c r="AB613" s="65" t="s">
        <v>94</v>
      </c>
      <c r="AC613" s="65" t="s">
        <v>29</v>
      </c>
    </row>
    <row r="614" spans="1:30">
      <c r="A614" s="331" t="s">
        <v>1206</v>
      </c>
      <c r="B614" s="59"/>
      <c r="C614" s="57">
        <v>42726</v>
      </c>
      <c r="E614" s="65" t="s">
        <v>29</v>
      </c>
      <c r="F614" s="65" t="s">
        <v>29</v>
      </c>
      <c r="G614" s="58" t="s">
        <v>1443</v>
      </c>
      <c r="H614" s="58" t="s">
        <v>1444</v>
      </c>
      <c r="I614" s="60">
        <v>565</v>
      </c>
      <c r="J614" s="58" t="s">
        <v>29</v>
      </c>
      <c r="K614" s="58" t="s">
        <v>29</v>
      </c>
      <c r="L614" s="58" t="s">
        <v>94</v>
      </c>
      <c r="M614" s="58" t="s">
        <v>29</v>
      </c>
      <c r="N614" s="61" t="s">
        <v>2806</v>
      </c>
      <c r="O614" s="58" t="s">
        <v>2807</v>
      </c>
      <c r="P614" s="58" t="s">
        <v>1459</v>
      </c>
      <c r="Q614" s="63" t="str">
        <f>IF(V614&lt;&gt;"","Completed","")</f>
        <v>Completed</v>
      </c>
      <c r="R614" s="64">
        <v>42705</v>
      </c>
      <c r="S614" s="64" t="s">
        <v>57</v>
      </c>
      <c r="T614" s="242">
        <v>57</v>
      </c>
      <c r="U614" s="242">
        <v>114</v>
      </c>
      <c r="V614" s="242">
        <v>114</v>
      </c>
      <c r="W614" s="242"/>
      <c r="X614" s="242"/>
      <c r="Y614" s="74" t="s">
        <v>44</v>
      </c>
      <c r="Z614" s="345" t="s">
        <v>1508</v>
      </c>
      <c r="AA614" s="252"/>
      <c r="AB614" s="248" t="s">
        <v>94</v>
      </c>
      <c r="AC614" s="248" t="s">
        <v>94</v>
      </c>
    </row>
    <row r="615" spans="1:30">
      <c r="A615" s="75" t="s">
        <v>938</v>
      </c>
      <c r="B615" s="59"/>
      <c r="C615" s="57">
        <v>42726</v>
      </c>
      <c r="E615" s="65" t="s">
        <v>29</v>
      </c>
      <c r="F615" s="65" t="s">
        <v>29</v>
      </c>
      <c r="G615" s="58" t="s">
        <v>1443</v>
      </c>
      <c r="H615" s="58" t="s">
        <v>1456</v>
      </c>
      <c r="I615" s="60">
        <v>314</v>
      </c>
      <c r="J615" s="58" t="s">
        <v>94</v>
      </c>
      <c r="K615" s="58" t="s">
        <v>29</v>
      </c>
      <c r="L615" s="58" t="s">
        <v>94</v>
      </c>
      <c r="M615" s="58" t="s">
        <v>29</v>
      </c>
      <c r="N615" s="61" t="s">
        <v>2808</v>
      </c>
      <c r="O615" s="58" t="s">
        <v>2809</v>
      </c>
      <c r="P615" s="58" t="s">
        <v>1447</v>
      </c>
      <c r="Q615" s="63" t="str">
        <f>IF(V615&lt;&gt;"","Completed","")</f>
        <v>Completed</v>
      </c>
      <c r="R615" s="64">
        <v>42634</v>
      </c>
      <c r="S615" s="64" t="s">
        <v>43</v>
      </c>
      <c r="T615" s="65">
        <v>3</v>
      </c>
      <c r="U615" s="65">
        <v>6</v>
      </c>
      <c r="V615" s="65">
        <v>6</v>
      </c>
      <c r="Y615" s="74" t="s">
        <v>44</v>
      </c>
      <c r="Z615" s="257" t="s">
        <v>2311</v>
      </c>
      <c r="AA615" s="252"/>
      <c r="AB615" s="74" t="s">
        <v>94</v>
      </c>
      <c r="AC615" s="65" t="s">
        <v>29</v>
      </c>
    </row>
    <row r="616" spans="1:30">
      <c r="A616" s="244" t="s">
        <v>1221</v>
      </c>
      <c r="B616" s="62" t="s">
        <v>324</v>
      </c>
      <c r="C616" s="57">
        <v>42747</v>
      </c>
      <c r="E616" s="65" t="s">
        <v>29</v>
      </c>
      <c r="F616" s="65" t="s">
        <v>29</v>
      </c>
      <c r="G616" s="58"/>
      <c r="H616" s="58"/>
      <c r="I616" s="60"/>
      <c r="J616" s="58"/>
      <c r="K616" s="58"/>
      <c r="L616" s="58"/>
      <c r="M616" s="58"/>
      <c r="N616" s="61" t="s">
        <v>2810</v>
      </c>
      <c r="O616" s="275" t="s">
        <v>2811</v>
      </c>
      <c r="P616" s="58"/>
      <c r="Q616" s="63" t="str">
        <f>IF(V616&lt;&gt;"","Completed","")</f>
        <v>Completed</v>
      </c>
      <c r="R616" s="64">
        <v>42718</v>
      </c>
      <c r="S616" s="64" t="s">
        <v>204</v>
      </c>
      <c r="T616" s="65">
        <v>19</v>
      </c>
      <c r="U616" s="65">
        <v>31</v>
      </c>
      <c r="V616" s="65">
        <v>31</v>
      </c>
      <c r="Y616" s="74" t="s">
        <v>44</v>
      </c>
      <c r="Z616" s="56" t="s">
        <v>1549</v>
      </c>
      <c r="AA616" s="249">
        <f>V616</f>
        <v>31</v>
      </c>
      <c r="AB616" s="325" t="s">
        <v>94</v>
      </c>
      <c r="AC616" s="325" t="s">
        <v>29</v>
      </c>
    </row>
    <row r="617" spans="1:30">
      <c r="A617" s="332" t="s">
        <v>550</v>
      </c>
      <c r="B617" s="59"/>
      <c r="C617" s="57">
        <v>42725</v>
      </c>
      <c r="E617" s="65" t="s">
        <v>29</v>
      </c>
      <c r="F617" s="65" t="s">
        <v>29</v>
      </c>
      <c r="G617" s="58" t="s">
        <v>1443</v>
      </c>
      <c r="H617" s="58" t="s">
        <v>1449</v>
      </c>
      <c r="I617" s="60">
        <v>0</v>
      </c>
      <c r="J617" s="58" t="s">
        <v>94</v>
      </c>
      <c r="K617" s="58" t="s">
        <v>29</v>
      </c>
      <c r="L617" s="58" t="s">
        <v>94</v>
      </c>
      <c r="M617" s="58" t="s">
        <v>29</v>
      </c>
      <c r="N617" s="61" t="s">
        <v>2812</v>
      </c>
      <c r="O617" s="58" t="s">
        <v>2813</v>
      </c>
      <c r="P617" s="58" t="s">
        <v>1447</v>
      </c>
      <c r="Q617" s="63" t="str">
        <f>IF(V617&lt;&gt;"","Completed","")</f>
        <v>Completed</v>
      </c>
      <c r="R617" s="64">
        <v>42682</v>
      </c>
      <c r="S617" s="24" t="s">
        <v>558</v>
      </c>
      <c r="T617" s="65">
        <v>29</v>
      </c>
      <c r="U617" s="65">
        <v>53</v>
      </c>
      <c r="V617" s="65">
        <v>53</v>
      </c>
      <c r="Y617" s="74" t="s">
        <v>44</v>
      </c>
      <c r="Z617" s="56" t="s">
        <v>1640</v>
      </c>
      <c r="AA617" s="249"/>
      <c r="AB617" s="65" t="s">
        <v>94</v>
      </c>
      <c r="AC617" s="65" t="s">
        <v>29</v>
      </c>
    </row>
    <row r="618" spans="1:30">
      <c r="A618" s="75" t="s">
        <v>142</v>
      </c>
      <c r="B618" s="59"/>
      <c r="C618" s="57">
        <v>42709</v>
      </c>
      <c r="D618" s="151">
        <v>4018000</v>
      </c>
      <c r="E618" s="65" t="s">
        <v>29</v>
      </c>
      <c r="F618" s="65" t="s">
        <v>29</v>
      </c>
      <c r="G618" s="58" t="s">
        <v>1443</v>
      </c>
      <c r="H618" s="58" t="s">
        <v>1444</v>
      </c>
      <c r="I618" s="60">
        <v>278</v>
      </c>
      <c r="J618" s="58" t="s">
        <v>94</v>
      </c>
      <c r="K618" s="58" t="s">
        <v>29</v>
      </c>
      <c r="L618" s="58" t="s">
        <v>29</v>
      </c>
      <c r="M618" s="58" t="s">
        <v>29</v>
      </c>
      <c r="N618" s="61" t="s">
        <v>2814</v>
      </c>
      <c r="O618" s="58" t="s">
        <v>2815</v>
      </c>
      <c r="P618" s="58" t="s">
        <v>1447</v>
      </c>
      <c r="Q618" s="63" t="str">
        <f>IF(V618&lt;&gt;"","Completed","")</f>
        <v>Completed</v>
      </c>
      <c r="R618" s="64">
        <v>42656</v>
      </c>
      <c r="S618" s="64" t="s">
        <v>149</v>
      </c>
      <c r="T618" s="65">
        <v>7</v>
      </c>
      <c r="U618" s="65">
        <v>14</v>
      </c>
      <c r="V618" s="65">
        <v>14</v>
      </c>
      <c r="Y618" s="74" t="s">
        <v>44</v>
      </c>
      <c r="Z618" s="56" t="s">
        <v>1742</v>
      </c>
      <c r="AA618" s="249">
        <f>SUM(U617:U618)</f>
        <v>67</v>
      </c>
      <c r="AB618" s="65" t="s">
        <v>94</v>
      </c>
      <c r="AC618" s="65" t="s">
        <v>29</v>
      </c>
    </row>
    <row r="619" spans="1:30">
      <c r="A619" s="75" t="s">
        <v>780</v>
      </c>
      <c r="B619" s="59"/>
      <c r="C619" s="57">
        <v>42745</v>
      </c>
      <c r="E619" s="65" t="s">
        <v>29</v>
      </c>
      <c r="F619" s="65" t="s">
        <v>29</v>
      </c>
      <c r="G619" s="58" t="s">
        <v>1443</v>
      </c>
      <c r="H619" s="58" t="s">
        <v>1456</v>
      </c>
      <c r="I619" s="60">
        <v>281</v>
      </c>
      <c r="J619" s="58" t="s">
        <v>94</v>
      </c>
      <c r="K619" s="58" t="s">
        <v>29</v>
      </c>
      <c r="L619" s="58" t="s">
        <v>94</v>
      </c>
      <c r="M619" s="58" t="s">
        <v>29</v>
      </c>
      <c r="N619" s="61" t="s">
        <v>2816</v>
      </c>
      <c r="O619" s="58" t="s">
        <v>2817</v>
      </c>
      <c r="P619" s="58" t="s">
        <v>1447</v>
      </c>
      <c r="Q619" s="63" t="str">
        <f>IF(V619&lt;&gt;"","Completed","")</f>
        <v>Completed</v>
      </c>
      <c r="R619" s="64">
        <v>42711</v>
      </c>
      <c r="S619" s="64" t="s">
        <v>57</v>
      </c>
      <c r="T619" s="65">
        <v>17</v>
      </c>
      <c r="U619" s="65">
        <v>30</v>
      </c>
      <c r="V619" s="65">
        <v>30</v>
      </c>
      <c r="Y619" s="74" t="s">
        <v>44</v>
      </c>
      <c r="Z619" s="56" t="s">
        <v>1505</v>
      </c>
      <c r="AA619" s="252">
        <f>SUM(V617:V619)</f>
        <v>97</v>
      </c>
      <c r="AB619" s="65" t="s">
        <v>94</v>
      </c>
      <c r="AC619" s="65" t="s">
        <v>94</v>
      </c>
    </row>
    <row r="620" spans="1:30">
      <c r="A620" s="63" t="s">
        <v>45</v>
      </c>
      <c r="B620" s="63" t="s">
        <v>46</v>
      </c>
      <c r="C620" s="112">
        <v>42746</v>
      </c>
      <c r="D620" s="315">
        <v>2002000</v>
      </c>
      <c r="E620" s="57" t="s">
        <v>29</v>
      </c>
      <c r="F620" s="65" t="s">
        <v>29</v>
      </c>
      <c r="G620" s="63" t="s">
        <v>1443</v>
      </c>
      <c r="H620" s="63" t="s">
        <v>1444</v>
      </c>
      <c r="I620" s="58">
        <v>0</v>
      </c>
      <c r="J620" s="58" t="s">
        <v>94</v>
      </c>
      <c r="K620" s="60" t="s">
        <v>29</v>
      </c>
      <c r="L620" s="58" t="s">
        <v>94</v>
      </c>
      <c r="M620" s="58" t="s">
        <v>29</v>
      </c>
      <c r="N620" s="58" t="s">
        <v>2818</v>
      </c>
      <c r="O620" s="58" t="s">
        <v>2819</v>
      </c>
      <c r="P620" s="61" t="s">
        <v>1447</v>
      </c>
      <c r="Q620" s="63" t="str">
        <f>IF(V620&lt;&gt;"","Completed","")</f>
        <v>Completed</v>
      </c>
      <c r="R620" s="57">
        <v>42685</v>
      </c>
      <c r="S620" s="57" t="s">
        <v>57</v>
      </c>
      <c r="T620" s="65">
        <v>27</v>
      </c>
      <c r="U620" s="273">
        <v>43</v>
      </c>
      <c r="V620" s="273">
        <v>43</v>
      </c>
      <c r="W620" s="273"/>
      <c r="X620" s="273"/>
      <c r="Y620" s="74" t="s">
        <v>44</v>
      </c>
      <c r="Z620" s="56" t="s">
        <v>1558</v>
      </c>
      <c r="AA620" s="366">
        <f>SUM(V614:V620)</f>
        <v>291</v>
      </c>
      <c r="AB620" s="65" t="s">
        <v>94</v>
      </c>
      <c r="AC620" s="256" t="s">
        <v>29</v>
      </c>
      <c r="AD620" s="56"/>
    </row>
    <row r="621" spans="1:30">
      <c r="A621" s="75" t="s">
        <v>929</v>
      </c>
      <c r="B621" s="59"/>
      <c r="C621" s="57">
        <v>42790</v>
      </c>
      <c r="E621" s="65" t="s">
        <v>29</v>
      </c>
      <c r="F621" s="65" t="s">
        <v>94</v>
      </c>
      <c r="G621" s="58" t="s">
        <v>1443</v>
      </c>
      <c r="H621" s="58" t="s">
        <v>1444</v>
      </c>
      <c r="I621" s="60">
        <v>70</v>
      </c>
      <c r="J621" s="58" t="s">
        <v>94</v>
      </c>
      <c r="K621" s="58" t="s">
        <v>29</v>
      </c>
      <c r="L621" s="58" t="s">
        <v>94</v>
      </c>
      <c r="M621" s="58" t="s">
        <v>94</v>
      </c>
      <c r="N621" s="61" t="s">
        <v>2820</v>
      </c>
      <c r="O621" s="58" t="s">
        <v>2821</v>
      </c>
      <c r="P621" s="58" t="s">
        <v>1447</v>
      </c>
      <c r="Q621" s="63" t="str">
        <f>IF(V621&lt;&gt;"","Completed","")</f>
        <v>Completed</v>
      </c>
      <c r="R621" s="64">
        <v>42634</v>
      </c>
      <c r="S621" s="386" t="s">
        <v>172</v>
      </c>
      <c r="T621" s="65">
        <v>25</v>
      </c>
      <c r="U621" s="256">
        <v>48</v>
      </c>
      <c r="V621" s="256">
        <v>48</v>
      </c>
      <c r="Y621" s="74" t="s">
        <v>44</v>
      </c>
      <c r="Z621" s="56" t="s">
        <v>1800</v>
      </c>
      <c r="AA621" s="249"/>
      <c r="AB621" s="65" t="s">
        <v>94</v>
      </c>
      <c r="AC621" s="65" t="s">
        <v>29</v>
      </c>
    </row>
    <row r="622" spans="1:30">
      <c r="A622" s="75" t="s">
        <v>1022</v>
      </c>
      <c r="B622" s="59"/>
      <c r="C622" s="57">
        <v>42740</v>
      </c>
      <c r="E622" s="65" t="s">
        <v>29</v>
      </c>
      <c r="F622" s="65" t="s">
        <v>29</v>
      </c>
      <c r="G622" s="58" t="s">
        <v>1443</v>
      </c>
      <c r="H622" s="58" t="s">
        <v>1456</v>
      </c>
      <c r="I622" s="60">
        <v>59</v>
      </c>
      <c r="J622" s="58" t="s">
        <v>29</v>
      </c>
      <c r="K622" s="58" t="s">
        <v>29</v>
      </c>
      <c r="L622" s="58" t="s">
        <v>94</v>
      </c>
      <c r="M622" s="58" t="s">
        <v>29</v>
      </c>
      <c r="N622" s="61" t="s">
        <v>2822</v>
      </c>
      <c r="O622" s="58" t="s">
        <v>2823</v>
      </c>
      <c r="P622" s="58" t="s">
        <v>1447</v>
      </c>
      <c r="Q622" s="63" t="str">
        <f>IF(V622&lt;&gt;"","Completed","")</f>
        <v>Completed</v>
      </c>
      <c r="R622" s="64">
        <v>42693</v>
      </c>
      <c r="S622" s="64" t="s">
        <v>80</v>
      </c>
      <c r="T622" s="65">
        <v>70</v>
      </c>
      <c r="U622" s="65">
        <v>123</v>
      </c>
      <c r="V622" s="65">
        <v>123</v>
      </c>
      <c r="Y622" s="74" t="s">
        <v>44</v>
      </c>
      <c r="Z622" s="56" t="s">
        <v>1491</v>
      </c>
      <c r="AA622" s="249"/>
      <c r="AB622" s="74" t="s">
        <v>94</v>
      </c>
      <c r="AC622" s="74" t="s">
        <v>94</v>
      </c>
    </row>
    <row r="623" spans="1:30">
      <c r="A623" s="332" t="s">
        <v>502</v>
      </c>
      <c r="B623" s="59"/>
      <c r="C623" s="57">
        <v>42794</v>
      </c>
      <c r="E623" s="65" t="s">
        <v>29</v>
      </c>
      <c r="F623" s="65" t="s">
        <v>29</v>
      </c>
      <c r="G623" s="58"/>
      <c r="H623" s="58"/>
      <c r="I623" s="60"/>
      <c r="J623" s="58"/>
      <c r="K623" s="58"/>
      <c r="L623" s="58"/>
      <c r="M623" s="58"/>
      <c r="N623" s="251" t="s">
        <v>2824</v>
      </c>
      <c r="O623" s="58" t="s">
        <v>2825</v>
      </c>
      <c r="P623" s="58"/>
      <c r="Q623" s="63" t="str">
        <f>IF(V623&lt;&gt;"","Completed","")</f>
        <v>Completed</v>
      </c>
      <c r="R623" s="64">
        <v>42756</v>
      </c>
      <c r="S623" s="64" t="s">
        <v>57</v>
      </c>
      <c r="T623" s="65">
        <v>67</v>
      </c>
      <c r="U623" s="65">
        <v>107</v>
      </c>
      <c r="V623" s="65">
        <v>107</v>
      </c>
      <c r="Y623" s="74" t="s">
        <v>44</v>
      </c>
      <c r="Z623" s="56" t="s">
        <v>1541</v>
      </c>
      <c r="AA623" s="249"/>
      <c r="AB623" s="65" t="s">
        <v>94</v>
      </c>
      <c r="AC623" s="65" t="s">
        <v>29</v>
      </c>
      <c r="AD623" s="56"/>
    </row>
    <row r="624" spans="1:30">
      <c r="A624" s="75" t="s">
        <v>803</v>
      </c>
      <c r="B624" s="59"/>
      <c r="C624" s="57">
        <v>42794</v>
      </c>
      <c r="E624" s="65" t="s">
        <v>29</v>
      </c>
      <c r="F624" s="65" t="s">
        <v>29</v>
      </c>
      <c r="G624" s="58" t="s">
        <v>1443</v>
      </c>
      <c r="H624" s="58" t="s">
        <v>1456</v>
      </c>
      <c r="I624" s="60">
        <v>158</v>
      </c>
      <c r="J624" s="58" t="s">
        <v>94</v>
      </c>
      <c r="K624" s="58" t="s">
        <v>29</v>
      </c>
      <c r="L624" s="58" t="s">
        <v>94</v>
      </c>
      <c r="M624" s="58" t="s">
        <v>29</v>
      </c>
      <c r="N624" s="61" t="s">
        <v>2826</v>
      </c>
      <c r="O624" s="58" t="s">
        <v>2827</v>
      </c>
      <c r="P624" s="58"/>
      <c r="Q624" s="63" t="str">
        <f>IF(V624&lt;&gt;"","Completed","")</f>
        <v>Completed</v>
      </c>
      <c r="R624" s="67">
        <v>42693</v>
      </c>
      <c r="S624" s="64" t="s">
        <v>43</v>
      </c>
      <c r="T624" s="355" t="s">
        <v>1757</v>
      </c>
      <c r="U624" s="355" t="s">
        <v>1757</v>
      </c>
      <c r="V624" s="355" t="s">
        <v>1757</v>
      </c>
      <c r="Y624" s="74" t="s">
        <v>44</v>
      </c>
      <c r="Z624" s="56" t="s">
        <v>1500</v>
      </c>
      <c r="AA624" s="249"/>
      <c r="AB624" s="74" t="s">
        <v>94</v>
      </c>
      <c r="AC624" s="74" t="s">
        <v>94</v>
      </c>
      <c r="AD624" s="204" t="s">
        <v>2828</v>
      </c>
    </row>
    <row r="625" spans="1:30">
      <c r="A625" s="75" t="s">
        <v>1022</v>
      </c>
      <c r="B625" s="296"/>
      <c r="C625" s="57">
        <v>42717</v>
      </c>
      <c r="E625" s="65" t="s">
        <v>29</v>
      </c>
      <c r="F625" s="65" t="s">
        <v>29</v>
      </c>
      <c r="G625" s="58" t="s">
        <v>1443</v>
      </c>
      <c r="H625" s="297"/>
      <c r="I625" s="298"/>
      <c r="J625" s="297"/>
      <c r="K625" s="297"/>
      <c r="L625" s="297"/>
      <c r="M625" s="297"/>
      <c r="N625" s="56">
        <v>2810205</v>
      </c>
      <c r="O625" s="59" t="s">
        <v>2829</v>
      </c>
      <c r="P625" s="297"/>
      <c r="Q625" s="63" t="str">
        <f>IF(V625&lt;&gt;"","Completed","")</f>
        <v>Completed</v>
      </c>
      <c r="R625" s="67">
        <v>42697</v>
      </c>
      <c r="S625" s="64" t="s">
        <v>80</v>
      </c>
      <c r="T625" s="65">
        <v>62</v>
      </c>
      <c r="U625" s="65">
        <v>124</v>
      </c>
      <c r="V625" s="65">
        <v>124</v>
      </c>
      <c r="Y625" s="74" t="s">
        <v>44</v>
      </c>
      <c r="Z625" s="56" t="s">
        <v>1602</v>
      </c>
      <c r="AA625" s="119"/>
      <c r="AB625" s="65" t="s">
        <v>94</v>
      </c>
      <c r="AC625" s="65" t="s">
        <v>29</v>
      </c>
    </row>
    <row r="626" spans="1:30">
      <c r="A626" s="75" t="s">
        <v>487</v>
      </c>
      <c r="B626" s="59"/>
      <c r="C626" s="57">
        <v>42794</v>
      </c>
      <c r="E626" s="65" t="s">
        <v>29</v>
      </c>
      <c r="F626" s="65" t="s">
        <v>29</v>
      </c>
      <c r="G626" s="58" t="s">
        <v>1443</v>
      </c>
      <c r="H626" s="58" t="s">
        <v>1456</v>
      </c>
      <c r="I626" s="60">
        <v>0</v>
      </c>
      <c r="J626" s="58" t="s">
        <v>94</v>
      </c>
      <c r="K626" s="58" t="s">
        <v>29</v>
      </c>
      <c r="L626" s="58" t="s">
        <v>94</v>
      </c>
      <c r="M626" s="58" t="s">
        <v>29</v>
      </c>
      <c r="N626" s="61" t="s">
        <v>2830</v>
      </c>
      <c r="O626" s="58" t="s">
        <v>2831</v>
      </c>
      <c r="P626" s="58" t="s">
        <v>1447</v>
      </c>
      <c r="Q626" s="63" t="str">
        <f>IF(V626&lt;&gt;"","Completed","")</f>
        <v>Completed</v>
      </c>
      <c r="R626" s="64">
        <v>42672</v>
      </c>
      <c r="S626" s="64" t="s">
        <v>114</v>
      </c>
      <c r="T626" s="65" t="s">
        <v>1757</v>
      </c>
      <c r="U626" s="65" t="s">
        <v>1757</v>
      </c>
      <c r="V626" s="65" t="s">
        <v>1757</v>
      </c>
      <c r="Y626" s="74" t="s">
        <v>44</v>
      </c>
      <c r="Z626" s="56" t="s">
        <v>1602</v>
      </c>
      <c r="AA626" s="252"/>
      <c r="AB626" s="325" t="s">
        <v>94</v>
      </c>
      <c r="AC626" s="325" t="s">
        <v>94</v>
      </c>
      <c r="AD626" s="345" t="s">
        <v>2832</v>
      </c>
    </row>
    <row r="627" spans="1:30">
      <c r="A627" s="75" t="s">
        <v>487</v>
      </c>
      <c r="B627" s="59"/>
      <c r="C627" s="57">
        <v>42726</v>
      </c>
      <c r="E627" s="65" t="s">
        <v>29</v>
      </c>
      <c r="F627" s="65" t="s">
        <v>29</v>
      </c>
      <c r="G627" s="58" t="s">
        <v>1443</v>
      </c>
      <c r="H627" s="58"/>
      <c r="I627" s="60"/>
      <c r="J627" s="58"/>
      <c r="K627" s="58"/>
      <c r="L627" s="58"/>
      <c r="M627" s="58"/>
      <c r="N627" s="61" t="s">
        <v>2833</v>
      </c>
      <c r="O627" s="58" t="s">
        <v>2834</v>
      </c>
      <c r="P627" s="58" t="s">
        <v>1447</v>
      </c>
      <c r="Q627" s="63" t="str">
        <f>IF(V627&lt;&gt;"","Completed","")</f>
        <v>Completed</v>
      </c>
      <c r="R627" s="64">
        <v>42672</v>
      </c>
      <c r="S627" s="64" t="s">
        <v>114</v>
      </c>
      <c r="T627" s="65">
        <v>9</v>
      </c>
      <c r="U627" s="65">
        <v>18</v>
      </c>
      <c r="V627" s="65">
        <v>18</v>
      </c>
      <c r="Y627" s="74" t="s">
        <v>44</v>
      </c>
      <c r="Z627" s="56" t="s">
        <v>1602</v>
      </c>
      <c r="AA627" s="252"/>
      <c r="AB627" s="325" t="s">
        <v>94</v>
      </c>
      <c r="AC627" s="325" t="s">
        <v>94</v>
      </c>
    </row>
    <row r="628" spans="1:30">
      <c r="A628" s="331" t="s">
        <v>1206</v>
      </c>
      <c r="B628" s="59"/>
      <c r="C628" s="57">
        <v>42726</v>
      </c>
      <c r="E628" s="65" t="s">
        <v>29</v>
      </c>
      <c r="F628" s="65" t="s">
        <v>29</v>
      </c>
      <c r="G628" s="58" t="s">
        <v>1443</v>
      </c>
      <c r="H628" s="58" t="s">
        <v>1444</v>
      </c>
      <c r="I628" s="60">
        <v>318</v>
      </c>
      <c r="J628" s="58" t="s">
        <v>94</v>
      </c>
      <c r="K628" s="58" t="s">
        <v>29</v>
      </c>
      <c r="L628" s="58" t="s">
        <v>94</v>
      </c>
      <c r="M628" s="58" t="s">
        <v>29</v>
      </c>
      <c r="N628" s="61" t="s">
        <v>2835</v>
      </c>
      <c r="O628" s="58" t="s">
        <v>2836</v>
      </c>
      <c r="P628" s="58" t="s">
        <v>1447</v>
      </c>
      <c r="Q628" s="63" t="str">
        <f>IF(V628&lt;&gt;"","Completed","")</f>
        <v>Completed</v>
      </c>
      <c r="R628" s="64">
        <v>42665</v>
      </c>
      <c r="S628" s="64" t="s">
        <v>114</v>
      </c>
      <c r="T628" s="65">
        <v>6</v>
      </c>
      <c r="U628" s="65">
        <v>12</v>
      </c>
      <c r="V628" s="65">
        <v>12</v>
      </c>
      <c r="Y628" s="74" t="s">
        <v>44</v>
      </c>
      <c r="Z628" s="56" t="s">
        <v>1558</v>
      </c>
      <c r="AA628" s="252"/>
      <c r="AB628" s="248" t="s">
        <v>94</v>
      </c>
      <c r="AC628" s="248" t="s">
        <v>29</v>
      </c>
    </row>
    <row r="629" spans="1:30">
      <c r="A629" s="75" t="s">
        <v>452</v>
      </c>
      <c r="B629" s="59"/>
      <c r="C629" s="57">
        <v>42720</v>
      </c>
      <c r="E629" s="65" t="s">
        <v>29</v>
      </c>
      <c r="F629" s="65" t="s">
        <v>29</v>
      </c>
      <c r="G629" s="58" t="s">
        <v>1443</v>
      </c>
      <c r="H629" s="58" t="s">
        <v>1456</v>
      </c>
      <c r="I629" s="60">
        <v>861</v>
      </c>
      <c r="J629" s="58" t="s">
        <v>29</v>
      </c>
      <c r="K629" s="58" t="s">
        <v>29</v>
      </c>
      <c r="L629" s="58" t="s">
        <v>94</v>
      </c>
      <c r="M629" s="58" t="s">
        <v>29</v>
      </c>
      <c r="N629" s="61" t="s">
        <v>2837</v>
      </c>
      <c r="O629" s="58" t="s">
        <v>2838</v>
      </c>
      <c r="P629" s="58" t="s">
        <v>1459</v>
      </c>
      <c r="Q629" s="63" t="str">
        <f>IF(V629&lt;&gt;"","Completed","")</f>
        <v>Completed</v>
      </c>
      <c r="R629" s="64">
        <v>42658</v>
      </c>
      <c r="S629" s="64" t="s">
        <v>433</v>
      </c>
      <c r="T629" s="65">
        <v>36</v>
      </c>
      <c r="U629" s="65">
        <v>61</v>
      </c>
      <c r="V629" s="65">
        <v>61</v>
      </c>
      <c r="Y629" s="74" t="s">
        <v>44</v>
      </c>
      <c r="Z629" s="56" t="s">
        <v>2063</v>
      </c>
      <c r="AA629" s="252">
        <f>SUM(V624:V629)</f>
        <v>215</v>
      </c>
      <c r="AB629" s="151" t="s">
        <v>94</v>
      </c>
      <c r="AC629" s="151" t="s">
        <v>29</v>
      </c>
    </row>
    <row r="630" spans="1:30">
      <c r="A630" s="75" t="s">
        <v>359</v>
      </c>
      <c r="B630" s="59"/>
      <c r="C630" s="57">
        <v>42733</v>
      </c>
      <c r="E630" s="65" t="s">
        <v>29</v>
      </c>
      <c r="F630" s="65" t="s">
        <v>94</v>
      </c>
      <c r="G630" s="58" t="s">
        <v>1443</v>
      </c>
      <c r="H630" s="58" t="s">
        <v>1456</v>
      </c>
      <c r="I630" s="60">
        <v>183</v>
      </c>
      <c r="J630" s="58" t="s">
        <v>94</v>
      </c>
      <c r="K630" s="58" t="s">
        <v>29</v>
      </c>
      <c r="L630" s="58" t="s">
        <v>94</v>
      </c>
      <c r="M630" s="58" t="s">
        <v>94</v>
      </c>
      <c r="N630" s="61" t="s">
        <v>2839</v>
      </c>
      <c r="O630" s="58" t="s">
        <v>2840</v>
      </c>
      <c r="P630" s="58" t="s">
        <v>1459</v>
      </c>
      <c r="Q630" s="63" t="str">
        <f>IF(V630&lt;&gt;"","Completed","")</f>
        <v>Completed</v>
      </c>
      <c r="R630" s="64">
        <v>42658</v>
      </c>
      <c r="S630" s="64" t="s">
        <v>104</v>
      </c>
      <c r="T630" s="65">
        <v>8</v>
      </c>
      <c r="V630" s="256">
        <v>13</v>
      </c>
      <c r="Y630" s="74" t="s">
        <v>44</v>
      </c>
      <c r="Z630" s="56" t="s">
        <v>1481</v>
      </c>
      <c r="AA630" s="363">
        <f>SUM(V624:V630)</f>
        <v>228</v>
      </c>
      <c r="AB630" s="65" t="s">
        <v>94</v>
      </c>
      <c r="AC630" s="65" t="s">
        <v>29</v>
      </c>
      <c r="AD630" s="56" t="s">
        <v>2841</v>
      </c>
    </row>
    <row r="631" spans="1:30">
      <c r="A631" s="75" t="s">
        <v>616</v>
      </c>
      <c r="B631" s="59"/>
      <c r="C631" s="57">
        <v>42746</v>
      </c>
      <c r="E631" s="65" t="s">
        <v>29</v>
      </c>
      <c r="F631" s="65" t="s">
        <v>29</v>
      </c>
      <c r="G631" s="58"/>
      <c r="H631" s="58"/>
      <c r="I631" s="60"/>
      <c r="J631" s="58"/>
      <c r="K631" s="58"/>
      <c r="L631" s="58"/>
      <c r="M631" s="58"/>
      <c r="N631" s="61" t="s">
        <v>2842</v>
      </c>
      <c r="O631" s="58" t="s">
        <v>2843</v>
      </c>
      <c r="P631" s="58" t="s">
        <v>1447</v>
      </c>
      <c r="Q631" s="63" t="str">
        <f>IF(V631&lt;&gt;"","Completed","")</f>
        <v>Completed</v>
      </c>
      <c r="R631" s="64">
        <v>42665</v>
      </c>
      <c r="S631" s="64" t="s">
        <v>43</v>
      </c>
      <c r="T631" s="150">
        <v>19</v>
      </c>
      <c r="U631" s="150">
        <v>38</v>
      </c>
      <c r="V631" s="150">
        <v>38</v>
      </c>
      <c r="W631" s="150"/>
      <c r="X631" s="150"/>
      <c r="Y631" s="74" t="s">
        <v>44</v>
      </c>
      <c r="Z631" s="56" t="s">
        <v>1933</v>
      </c>
      <c r="AA631" s="252">
        <f>SUM(V628:V631)</f>
        <v>124</v>
      </c>
      <c r="AB631" s="151" t="s">
        <v>94</v>
      </c>
      <c r="AC631" s="151" t="s">
        <v>29</v>
      </c>
    </row>
    <row r="632" spans="1:30">
      <c r="A632" s="75" t="s">
        <v>124</v>
      </c>
      <c r="B632" s="59"/>
      <c r="C632" s="247">
        <v>42769</v>
      </c>
      <c r="D632" s="65">
        <v>4016000</v>
      </c>
      <c r="E632" s="65" t="s">
        <v>29</v>
      </c>
      <c r="F632" s="65" t="s">
        <v>29</v>
      </c>
      <c r="G632" s="58" t="s">
        <v>1443</v>
      </c>
      <c r="H632" s="58" t="s">
        <v>1444</v>
      </c>
      <c r="I632" s="60">
        <v>145</v>
      </c>
      <c r="J632" s="58" t="s">
        <v>94</v>
      </c>
      <c r="K632" s="58" t="s">
        <v>29</v>
      </c>
      <c r="L632" s="58" t="s">
        <v>94</v>
      </c>
      <c r="M632" s="58" t="s">
        <v>29</v>
      </c>
      <c r="N632" s="61" t="s">
        <v>2844</v>
      </c>
      <c r="O632" s="58" t="s">
        <v>2845</v>
      </c>
      <c r="P632" s="58" t="s">
        <v>1447</v>
      </c>
      <c r="Q632" s="63" t="str">
        <f>IF(V632&lt;&gt;"","Completed","")</f>
        <v>Completed</v>
      </c>
      <c r="R632" s="64">
        <v>42658</v>
      </c>
      <c r="S632" s="64" t="s">
        <v>57</v>
      </c>
      <c r="T632" s="65">
        <v>77</v>
      </c>
      <c r="U632" s="65">
        <v>122</v>
      </c>
      <c r="V632" s="65">
        <v>122</v>
      </c>
      <c r="Y632" s="74" t="s">
        <v>44</v>
      </c>
      <c r="Z632" s="56" t="s">
        <v>1467</v>
      </c>
      <c r="AA632" s="252"/>
      <c r="AB632" s="65" t="s">
        <v>94</v>
      </c>
      <c r="AC632" s="65" t="s">
        <v>94</v>
      </c>
      <c r="AD632" s="63" t="s">
        <v>2846</v>
      </c>
    </row>
    <row r="633" spans="1:30">
      <c r="A633" s="261" t="s">
        <v>710</v>
      </c>
      <c r="C633" s="57">
        <v>42765</v>
      </c>
      <c r="E633" s="65" t="s">
        <v>29</v>
      </c>
      <c r="F633" s="65" t="s">
        <v>29</v>
      </c>
      <c r="N633" s="68" t="s">
        <v>2847</v>
      </c>
      <c r="O633" s="90" t="s">
        <v>2848</v>
      </c>
      <c r="Q633" s="63" t="str">
        <f>IF(V633&lt;&gt;"","Completed","")</f>
        <v>Completed</v>
      </c>
      <c r="R633" s="64">
        <v>42770</v>
      </c>
      <c r="S633" s="64" t="s">
        <v>149</v>
      </c>
      <c r="T633" s="242">
        <v>11</v>
      </c>
      <c r="U633" s="242">
        <v>22</v>
      </c>
      <c r="V633" s="242">
        <v>22</v>
      </c>
      <c r="Y633" s="74" t="s">
        <v>44</v>
      </c>
      <c r="Z633" s="345" t="s">
        <v>1442</v>
      </c>
      <c r="AA633" s="92"/>
      <c r="AB633" s="242" t="s">
        <v>94</v>
      </c>
      <c r="AC633" s="242" t="s">
        <v>29</v>
      </c>
    </row>
    <row r="634" spans="1:30">
      <c r="A634" s="75" t="s">
        <v>938</v>
      </c>
      <c r="B634" s="59"/>
      <c r="C634" s="57">
        <v>42752</v>
      </c>
      <c r="E634" s="65" t="s">
        <v>29</v>
      </c>
      <c r="F634" s="65" t="s">
        <v>29</v>
      </c>
      <c r="G634" s="58" t="s">
        <v>1443</v>
      </c>
      <c r="H634" s="58" t="s">
        <v>1456</v>
      </c>
      <c r="I634" s="60">
        <v>0</v>
      </c>
      <c r="J634" s="58" t="s">
        <v>94</v>
      </c>
      <c r="K634" s="58" t="s">
        <v>29</v>
      </c>
      <c r="L634" s="58" t="s">
        <v>94</v>
      </c>
      <c r="M634" s="58" t="s">
        <v>29</v>
      </c>
      <c r="N634" s="61" t="s">
        <v>2849</v>
      </c>
      <c r="O634" s="58" t="s">
        <v>2850</v>
      </c>
      <c r="P634" s="58" t="s">
        <v>1447</v>
      </c>
      <c r="Q634" s="63" t="str">
        <f>IF(V634&lt;&gt;"","Completed","")</f>
        <v>Completed</v>
      </c>
      <c r="R634" s="64">
        <v>42634</v>
      </c>
      <c r="S634" s="64" t="s">
        <v>43</v>
      </c>
      <c r="T634" s="65">
        <v>12</v>
      </c>
      <c r="U634" s="65">
        <v>24</v>
      </c>
      <c r="V634" s="65">
        <v>24</v>
      </c>
      <c r="Y634" s="74" t="s">
        <v>44</v>
      </c>
      <c r="Z634" s="257" t="s">
        <v>2311</v>
      </c>
      <c r="AA634" s="252">
        <f>SUM(V630:V634)</f>
        <v>219</v>
      </c>
      <c r="AB634" s="74" t="s">
        <v>94</v>
      </c>
      <c r="AC634" s="65" t="s">
        <v>29</v>
      </c>
    </row>
    <row r="635" spans="1:30">
      <c r="A635" s="75" t="s">
        <v>290</v>
      </c>
      <c r="B635" s="59"/>
      <c r="C635" s="57">
        <v>42709</v>
      </c>
      <c r="D635" s="65">
        <v>4050000</v>
      </c>
      <c r="E635" s="65" t="s">
        <v>29</v>
      </c>
      <c r="F635" s="65" t="s">
        <v>94</v>
      </c>
      <c r="G635" s="58" t="s">
        <v>1443</v>
      </c>
      <c r="H635" s="58" t="s">
        <v>1444</v>
      </c>
      <c r="I635" s="60">
        <v>0</v>
      </c>
      <c r="J635" s="58" t="s">
        <v>94</v>
      </c>
      <c r="K635" s="58" t="s">
        <v>29</v>
      </c>
      <c r="L635" s="58" t="s">
        <v>94</v>
      </c>
      <c r="M635" s="58" t="s">
        <v>94</v>
      </c>
      <c r="N635" s="61" t="s">
        <v>2851</v>
      </c>
      <c r="O635" s="58" t="s">
        <v>2852</v>
      </c>
      <c r="P635" s="58" t="s">
        <v>1459</v>
      </c>
      <c r="Q635" s="63" t="str">
        <f>IF(V635&lt;&gt;"","Completed","")</f>
        <v>Completed</v>
      </c>
      <c r="R635" s="64">
        <v>42661</v>
      </c>
      <c r="S635" s="64" t="s">
        <v>104</v>
      </c>
      <c r="T635" s="151">
        <v>7</v>
      </c>
      <c r="U635" s="151"/>
      <c r="V635" s="256">
        <v>14</v>
      </c>
      <c r="W635" s="151"/>
      <c r="X635" s="151"/>
      <c r="Y635" s="74" t="s">
        <v>44</v>
      </c>
      <c r="Z635" s="56" t="s">
        <v>1754</v>
      </c>
      <c r="AA635" s="249"/>
      <c r="AB635" s="65" t="s">
        <v>94</v>
      </c>
      <c r="AC635" s="65" t="s">
        <v>29</v>
      </c>
    </row>
    <row r="636" spans="1:30">
      <c r="A636" s="75" t="s">
        <v>187</v>
      </c>
      <c r="B636" s="59"/>
      <c r="C636" s="57">
        <v>42725</v>
      </c>
      <c r="D636" s="65">
        <v>3026000</v>
      </c>
      <c r="E636" s="65" t="s">
        <v>29</v>
      </c>
      <c r="F636" s="65" t="s">
        <v>94</v>
      </c>
      <c r="G636" s="58" t="s">
        <v>1443</v>
      </c>
      <c r="H636" s="58" t="s">
        <v>1456</v>
      </c>
      <c r="I636" s="60">
        <v>472</v>
      </c>
      <c r="J636" s="58" t="s">
        <v>29</v>
      </c>
      <c r="K636" s="58" t="s">
        <v>29</v>
      </c>
      <c r="L636" s="58" t="s">
        <v>94</v>
      </c>
      <c r="M636" s="58" t="s">
        <v>94</v>
      </c>
      <c r="N636" s="61" t="s">
        <v>2853</v>
      </c>
      <c r="O636" s="58" t="s">
        <v>2854</v>
      </c>
      <c r="P636" s="58" t="s">
        <v>1447</v>
      </c>
      <c r="Q636" s="63" t="str">
        <f>IF(V636&lt;&gt;"","Completed","")</f>
        <v>Completed</v>
      </c>
      <c r="R636" s="64">
        <v>42685</v>
      </c>
      <c r="S636" s="64" t="s">
        <v>104</v>
      </c>
      <c r="T636" s="65">
        <v>36</v>
      </c>
      <c r="V636" s="256">
        <v>72</v>
      </c>
      <c r="Y636" s="74" t="s">
        <v>44</v>
      </c>
      <c r="Z636" s="56" t="s">
        <v>1640</v>
      </c>
      <c r="AA636" s="252"/>
      <c r="AB636" s="151" t="s">
        <v>94</v>
      </c>
      <c r="AC636" s="151" t="s">
        <v>29</v>
      </c>
    </row>
    <row r="637" spans="1:30">
      <c r="A637" s="75" t="s">
        <v>1022</v>
      </c>
      <c r="B637" s="59"/>
      <c r="C637" s="57">
        <v>42740</v>
      </c>
      <c r="E637" s="65" t="s">
        <v>29</v>
      </c>
      <c r="F637" s="65" t="s">
        <v>29</v>
      </c>
      <c r="G637" s="58" t="s">
        <v>1443</v>
      </c>
      <c r="H637" s="58" t="s">
        <v>1456</v>
      </c>
      <c r="I637" s="60">
        <v>0</v>
      </c>
      <c r="J637" s="58" t="s">
        <v>29</v>
      </c>
      <c r="K637" s="58" t="s">
        <v>29</v>
      </c>
      <c r="L637" s="58" t="s">
        <v>94</v>
      </c>
      <c r="M637" s="58" t="s">
        <v>29</v>
      </c>
      <c r="N637" s="61" t="s">
        <v>2855</v>
      </c>
      <c r="O637" s="294" t="s">
        <v>2856</v>
      </c>
      <c r="P637" s="58" t="s">
        <v>1447</v>
      </c>
      <c r="Q637" s="63" t="str">
        <f>IF(V637&lt;&gt;"","Completed","")</f>
        <v>Completed</v>
      </c>
      <c r="R637" s="64">
        <v>42685</v>
      </c>
      <c r="S637" s="64" t="s">
        <v>80</v>
      </c>
      <c r="T637" s="65">
        <v>63</v>
      </c>
      <c r="U637" s="150">
        <v>124</v>
      </c>
      <c r="V637" s="150">
        <v>124</v>
      </c>
      <c r="W637" s="150"/>
      <c r="X637" s="150"/>
      <c r="Y637" s="74" t="s">
        <v>44</v>
      </c>
      <c r="Z637" s="56" t="s">
        <v>1491</v>
      </c>
      <c r="AA637" s="249"/>
      <c r="AB637" s="74" t="s">
        <v>94</v>
      </c>
      <c r="AC637" s="74" t="s">
        <v>94</v>
      </c>
    </row>
    <row r="638" spans="1:30">
      <c r="A638" s="75" t="s">
        <v>664</v>
      </c>
      <c r="B638" s="59"/>
      <c r="C638" s="57"/>
      <c r="E638" s="65" t="s">
        <v>29</v>
      </c>
      <c r="F638" s="65" t="s">
        <v>29</v>
      </c>
      <c r="G638" s="58" t="s">
        <v>1443</v>
      </c>
      <c r="H638" s="58" t="s">
        <v>1456</v>
      </c>
      <c r="I638" s="60">
        <v>0</v>
      </c>
      <c r="J638" s="58" t="s">
        <v>94</v>
      </c>
      <c r="K638" s="58" t="s">
        <v>29</v>
      </c>
      <c r="L638" s="58" t="s">
        <v>94</v>
      </c>
      <c r="M638" s="58" t="s">
        <v>29</v>
      </c>
      <c r="N638" s="61" t="s">
        <v>2857</v>
      </c>
      <c r="O638" s="58" t="s">
        <v>2858</v>
      </c>
      <c r="P638" s="58" t="s">
        <v>1447</v>
      </c>
      <c r="Q638" s="63" t="str">
        <f>IF(V638&lt;&gt;"","Completed","")</f>
        <v>Completed</v>
      </c>
      <c r="R638" s="64">
        <v>42634</v>
      </c>
      <c r="S638" s="64" t="s">
        <v>222</v>
      </c>
      <c r="T638" s="65">
        <v>8</v>
      </c>
      <c r="U638" s="65">
        <v>14</v>
      </c>
      <c r="V638" s="65">
        <v>14</v>
      </c>
      <c r="Y638" s="74" t="s">
        <v>44</v>
      </c>
      <c r="Z638" s="56" t="s">
        <v>1494</v>
      </c>
      <c r="AA638" s="249"/>
      <c r="AB638" s="242" t="s">
        <v>94</v>
      </c>
    </row>
    <row r="639" spans="1:30">
      <c r="A639" s="332" t="s">
        <v>845</v>
      </c>
      <c r="B639" s="59"/>
      <c r="C639" s="57">
        <v>42688</v>
      </c>
      <c r="E639" s="65" t="s">
        <v>29</v>
      </c>
      <c r="F639" s="65" t="s">
        <v>29</v>
      </c>
      <c r="G639" s="58" t="s">
        <v>1443</v>
      </c>
      <c r="H639" s="58" t="s">
        <v>1444</v>
      </c>
      <c r="I639" s="60">
        <v>237</v>
      </c>
      <c r="J639" s="58" t="s">
        <v>94</v>
      </c>
      <c r="K639" s="58" t="s">
        <v>29</v>
      </c>
      <c r="L639" s="58" t="s">
        <v>94</v>
      </c>
      <c r="M639" s="58" t="s">
        <v>29</v>
      </c>
      <c r="N639" s="61" t="s">
        <v>2859</v>
      </c>
      <c r="O639" s="58" t="s">
        <v>2860</v>
      </c>
      <c r="P639" s="58" t="s">
        <v>1459</v>
      </c>
      <c r="Q639" s="63" t="str">
        <f>IF(V639&lt;&gt;"","Completed","")</f>
        <v>Completed</v>
      </c>
      <c r="R639" s="64">
        <v>42651</v>
      </c>
      <c r="S639" s="386" t="s">
        <v>397</v>
      </c>
      <c r="T639" s="65">
        <v>33</v>
      </c>
      <c r="U639" s="65">
        <v>57</v>
      </c>
      <c r="V639" s="65">
        <v>57</v>
      </c>
      <c r="Y639" s="74" t="s">
        <v>44</v>
      </c>
      <c r="Z639" s="56" t="s">
        <v>2063</v>
      </c>
      <c r="AA639" s="249">
        <f>SUM(V631:V639)</f>
        <v>487</v>
      </c>
      <c r="AB639" s="242" t="s">
        <v>94</v>
      </c>
      <c r="AC639" s="242" t="s">
        <v>2861</v>
      </c>
      <c r="AD639" s="345" t="s">
        <v>2862</v>
      </c>
    </row>
    <row r="640" spans="1:30">
      <c r="A640" s="75" t="s">
        <v>803</v>
      </c>
      <c r="B640" s="59"/>
      <c r="C640" s="57">
        <v>42760</v>
      </c>
      <c r="E640" s="65" t="s">
        <v>29</v>
      </c>
      <c r="F640" s="65" t="s">
        <v>29</v>
      </c>
      <c r="G640" s="58" t="s">
        <v>1443</v>
      </c>
      <c r="H640" s="58" t="s">
        <v>1456</v>
      </c>
      <c r="I640" s="60">
        <v>0</v>
      </c>
      <c r="J640" s="58" t="s">
        <v>29</v>
      </c>
      <c r="K640" s="58" t="s">
        <v>29</v>
      </c>
      <c r="L640" s="58" t="s">
        <v>94</v>
      </c>
      <c r="M640" s="58" t="s">
        <v>29</v>
      </c>
      <c r="N640" s="61" t="s">
        <v>2863</v>
      </c>
      <c r="O640" s="58" t="s">
        <v>2864</v>
      </c>
      <c r="P640" s="58" t="s">
        <v>1447</v>
      </c>
      <c r="Q640" s="63" t="str">
        <f>IF(V640&lt;&gt;"","Completed","")</f>
        <v>Completed</v>
      </c>
      <c r="R640" s="64">
        <v>42714</v>
      </c>
      <c r="S640" s="64" t="s">
        <v>43</v>
      </c>
      <c r="T640" s="65">
        <v>20</v>
      </c>
      <c r="U640" s="65">
        <v>40</v>
      </c>
      <c r="V640" s="65">
        <v>40</v>
      </c>
      <c r="Y640" s="74" t="s">
        <v>44</v>
      </c>
      <c r="Z640" s="56" t="s">
        <v>1472</v>
      </c>
      <c r="AA640" s="249"/>
      <c r="AB640" s="65" t="s">
        <v>94</v>
      </c>
      <c r="AC640" s="74" t="s">
        <v>29</v>
      </c>
    </row>
    <row r="641" spans="1:30">
      <c r="A641" s="331" t="s">
        <v>1206</v>
      </c>
      <c r="B641" s="59"/>
      <c r="C641" s="57">
        <v>42744</v>
      </c>
      <c r="E641" s="65" t="s">
        <v>29</v>
      </c>
      <c r="F641" s="65" t="s">
        <v>29</v>
      </c>
      <c r="G641" s="58" t="s">
        <v>1443</v>
      </c>
      <c r="H641" s="58" t="s">
        <v>1444</v>
      </c>
      <c r="I641" s="60">
        <v>448</v>
      </c>
      <c r="J641" s="58" t="s">
        <v>29</v>
      </c>
      <c r="K641" s="58" t="s">
        <v>29</v>
      </c>
      <c r="L641" s="58" t="s">
        <v>94</v>
      </c>
      <c r="M641" s="58" t="s">
        <v>29</v>
      </c>
      <c r="N641" s="61" t="s">
        <v>2865</v>
      </c>
      <c r="O641" s="58" t="s">
        <v>2866</v>
      </c>
      <c r="P641" s="58" t="s">
        <v>1459</v>
      </c>
      <c r="Q641" s="63" t="str">
        <f>IF(V641&lt;&gt;"","Completed","")</f>
        <v>Completed</v>
      </c>
      <c r="R641" s="64">
        <v>42705</v>
      </c>
      <c r="S641" s="64" t="s">
        <v>57</v>
      </c>
      <c r="T641" s="242">
        <v>61</v>
      </c>
      <c r="U641" s="242">
        <v>118</v>
      </c>
      <c r="V641" s="242">
        <v>118</v>
      </c>
      <c r="W641" s="242"/>
      <c r="X641" s="242"/>
      <c r="Y641" s="74" t="s">
        <v>44</v>
      </c>
      <c r="Z641" s="345" t="s">
        <v>2512</v>
      </c>
      <c r="AA641" s="252"/>
      <c r="AB641" s="248" t="s">
        <v>94</v>
      </c>
      <c r="AC641" s="248" t="s">
        <v>29</v>
      </c>
    </row>
    <row r="642" spans="1:30">
      <c r="A642" s="75" t="s">
        <v>756</v>
      </c>
      <c r="B642" s="59"/>
      <c r="C642" s="57">
        <v>42780</v>
      </c>
      <c r="E642" s="65" t="s">
        <v>29</v>
      </c>
      <c r="F642" s="65" t="s">
        <v>94</v>
      </c>
      <c r="G642" s="58" t="s">
        <v>1443</v>
      </c>
      <c r="H642" s="58" t="s">
        <v>1456</v>
      </c>
      <c r="I642" s="60">
        <v>319</v>
      </c>
      <c r="J642" s="58" t="s">
        <v>29</v>
      </c>
      <c r="K642" s="58" t="s">
        <v>29</v>
      </c>
      <c r="L642" s="58" t="s">
        <v>94</v>
      </c>
      <c r="M642" s="58" t="s">
        <v>94</v>
      </c>
      <c r="N642" s="61" t="s">
        <v>2867</v>
      </c>
      <c r="O642" s="58" t="s">
        <v>2866</v>
      </c>
      <c r="P642" s="58" t="s">
        <v>1459</v>
      </c>
      <c r="Q642" s="63" t="str">
        <f>IF(V642&lt;&gt;"","Completed","")</f>
        <v>Completed</v>
      </c>
      <c r="R642" s="64">
        <v>42746</v>
      </c>
      <c r="S642" s="64" t="s">
        <v>104</v>
      </c>
      <c r="T642" s="65">
        <v>58</v>
      </c>
      <c r="V642" s="256">
        <v>89</v>
      </c>
      <c r="Y642" s="74" t="s">
        <v>44</v>
      </c>
      <c r="Z642" s="56" t="s">
        <v>2430</v>
      </c>
      <c r="AA642" s="118">
        <f>SUM(V639:V642)</f>
        <v>304</v>
      </c>
      <c r="AB642" s="74" t="s">
        <v>94</v>
      </c>
      <c r="AC642" s="65" t="s">
        <v>94</v>
      </c>
    </row>
    <row r="643" spans="1:30">
      <c r="A643" s="332" t="s">
        <v>689</v>
      </c>
      <c r="B643" s="59"/>
      <c r="C643" s="57">
        <v>42677</v>
      </c>
      <c r="E643" s="65" t="s">
        <v>29</v>
      </c>
      <c r="F643" s="65" t="s">
        <v>29</v>
      </c>
      <c r="G643" s="58" t="s">
        <v>1443</v>
      </c>
      <c r="H643" s="58" t="s">
        <v>1449</v>
      </c>
      <c r="I643" s="60">
        <v>430</v>
      </c>
      <c r="J643" s="58" t="s">
        <v>94</v>
      </c>
      <c r="K643" s="58" t="s">
        <v>29</v>
      </c>
      <c r="L643" s="58" t="s">
        <v>29</v>
      </c>
      <c r="M643" s="58" t="s">
        <v>29</v>
      </c>
      <c r="N643" s="61" t="s">
        <v>2868</v>
      </c>
      <c r="O643" s="58" t="s">
        <v>2869</v>
      </c>
      <c r="P643" s="58" t="s">
        <v>1447</v>
      </c>
      <c r="Q643" s="63" t="str">
        <f>IF(V643&lt;&gt;"","Completed","")</f>
        <v>Completed</v>
      </c>
      <c r="R643" s="64">
        <v>42655</v>
      </c>
      <c r="S643" s="64" t="s">
        <v>222</v>
      </c>
      <c r="T643" s="65">
        <v>27</v>
      </c>
      <c r="U643" s="65">
        <v>51</v>
      </c>
      <c r="V643" s="65">
        <v>51</v>
      </c>
      <c r="Y643" s="74" t="s">
        <v>44</v>
      </c>
      <c r="Z643" s="56" t="s">
        <v>1596</v>
      </c>
      <c r="AA643" s="249"/>
      <c r="AB643" s="242" t="s">
        <v>94</v>
      </c>
      <c r="AC643" s="347" t="s">
        <v>29</v>
      </c>
    </row>
    <row r="644" spans="1:30">
      <c r="A644" s="332" t="s">
        <v>953</v>
      </c>
      <c r="B644" s="59"/>
      <c r="C644" s="57">
        <v>42732</v>
      </c>
      <c r="E644" s="65" t="s">
        <v>29</v>
      </c>
      <c r="F644" s="65" t="s">
        <v>29</v>
      </c>
      <c r="G644" s="58" t="s">
        <v>1461</v>
      </c>
      <c r="H644" s="58" t="s">
        <v>1456</v>
      </c>
      <c r="I644" s="60">
        <v>0</v>
      </c>
      <c r="J644" s="58" t="s">
        <v>94</v>
      </c>
      <c r="K644" s="58" t="s">
        <v>29</v>
      </c>
      <c r="L644" s="58" t="s">
        <v>94</v>
      </c>
      <c r="M644" s="58" t="s">
        <v>29</v>
      </c>
      <c r="N644" s="61" t="s">
        <v>2870</v>
      </c>
      <c r="O644" s="292" t="s">
        <v>2871</v>
      </c>
      <c r="P644" s="58" t="s">
        <v>1447</v>
      </c>
      <c r="Q644" s="63" t="str">
        <f>IF(V644&lt;&gt;"","Completed","")</f>
        <v>Completed</v>
      </c>
      <c r="R644" s="319">
        <v>42712</v>
      </c>
      <c r="S644" s="387" t="s">
        <v>558</v>
      </c>
      <c r="T644" s="242">
        <v>10</v>
      </c>
      <c r="U644" s="242">
        <v>17</v>
      </c>
      <c r="V644" s="242">
        <v>17</v>
      </c>
      <c r="W644" s="242"/>
      <c r="X644" s="242"/>
      <c r="Y644" s="74" t="s">
        <v>44</v>
      </c>
      <c r="Z644" s="345" t="s">
        <v>1608</v>
      </c>
      <c r="AA644" s="249">
        <f>V644</f>
        <v>17</v>
      </c>
      <c r="AB644" s="242" t="s">
        <v>94</v>
      </c>
    </row>
    <row r="645" spans="1:30">
      <c r="A645" s="332" t="s">
        <v>945</v>
      </c>
      <c r="B645" s="59"/>
      <c r="C645" s="57">
        <v>42787</v>
      </c>
      <c r="E645" s="65" t="s">
        <v>29</v>
      </c>
      <c r="F645" s="65" t="s">
        <v>29</v>
      </c>
      <c r="G645" s="58" t="s">
        <v>1443</v>
      </c>
      <c r="H645" s="58" t="s">
        <v>1456</v>
      </c>
      <c r="I645" s="60">
        <v>0</v>
      </c>
      <c r="J645" s="58" t="s">
        <v>29</v>
      </c>
      <c r="K645" s="58" t="s">
        <v>29</v>
      </c>
      <c r="L645" s="58" t="s">
        <v>94</v>
      </c>
      <c r="M645" s="58" t="s">
        <v>29</v>
      </c>
      <c r="N645" s="61" t="s">
        <v>2872</v>
      </c>
      <c r="O645" s="58" t="s">
        <v>2873</v>
      </c>
      <c r="P645" s="58" t="s">
        <v>1447</v>
      </c>
      <c r="Q645" s="63" t="str">
        <f>IF(V645&lt;&gt;"","Completed","")</f>
        <v>Completed</v>
      </c>
      <c r="R645" s="319">
        <v>42742</v>
      </c>
      <c r="S645" s="319" t="s">
        <v>57</v>
      </c>
      <c r="T645" s="65">
        <v>14</v>
      </c>
      <c r="U645" s="65">
        <v>28</v>
      </c>
      <c r="V645" s="65">
        <v>28</v>
      </c>
      <c r="W645" s="242"/>
      <c r="X645" s="242"/>
      <c r="Y645" s="74" t="s">
        <v>44</v>
      </c>
      <c r="Z645" s="56" t="s">
        <v>1620</v>
      </c>
      <c r="AA645" s="252"/>
      <c r="AB645" s="74" t="s">
        <v>94</v>
      </c>
      <c r="AC645" s="65" t="s">
        <v>29</v>
      </c>
      <c r="AD645" s="356"/>
    </row>
    <row r="646" spans="1:30">
      <c r="A646" s="332" t="s">
        <v>945</v>
      </c>
      <c r="B646" s="59"/>
      <c r="C646" s="57">
        <v>42787</v>
      </c>
      <c r="E646" s="65" t="s">
        <v>29</v>
      </c>
      <c r="F646" s="65" t="s">
        <v>29</v>
      </c>
      <c r="G646" s="58" t="s">
        <v>1443</v>
      </c>
      <c r="H646" s="58" t="s">
        <v>1456</v>
      </c>
      <c r="I646" s="60">
        <v>0</v>
      </c>
      <c r="J646" s="58" t="s">
        <v>94</v>
      </c>
      <c r="K646" s="58" t="s">
        <v>29</v>
      </c>
      <c r="L646" s="58" t="s">
        <v>94</v>
      </c>
      <c r="M646" s="58" t="s">
        <v>29</v>
      </c>
      <c r="N646" s="61" t="s">
        <v>2874</v>
      </c>
      <c r="O646" s="58" t="s">
        <v>2875</v>
      </c>
      <c r="P646" s="58" t="s">
        <v>1447</v>
      </c>
      <c r="Q646" s="63" t="str">
        <f>IF(V646&lt;&gt;"","Completed","")</f>
        <v>Completed</v>
      </c>
      <c r="R646" s="319">
        <v>42742</v>
      </c>
      <c r="S646" s="407" t="s">
        <v>57</v>
      </c>
      <c r="T646" s="242">
        <v>151</v>
      </c>
      <c r="U646" s="242">
        <v>299</v>
      </c>
      <c r="V646" s="242">
        <v>299</v>
      </c>
      <c r="W646" s="242"/>
      <c r="X646" s="242"/>
      <c r="Y646" s="74" t="s">
        <v>44</v>
      </c>
      <c r="Z646" s="345" t="s">
        <v>1868</v>
      </c>
      <c r="AA646" s="252"/>
      <c r="AB646" s="65" t="s">
        <v>94</v>
      </c>
      <c r="AC646" s="65" t="s">
        <v>94</v>
      </c>
    </row>
    <row r="647" spans="1:30" s="66" customFormat="1">
      <c r="A647" s="332" t="s">
        <v>945</v>
      </c>
      <c r="B647" s="59"/>
      <c r="C647" s="57">
        <v>42787</v>
      </c>
      <c r="D647" s="65"/>
      <c r="E647" s="65" t="s">
        <v>29</v>
      </c>
      <c r="F647" s="65" t="s">
        <v>29</v>
      </c>
      <c r="G647" s="58" t="s">
        <v>1443</v>
      </c>
      <c r="H647" s="58" t="s">
        <v>1444</v>
      </c>
      <c r="I647" s="60">
        <v>0</v>
      </c>
      <c r="J647" s="58" t="s">
        <v>94</v>
      </c>
      <c r="K647" s="58" t="s">
        <v>29</v>
      </c>
      <c r="L647" s="58" t="s">
        <v>94</v>
      </c>
      <c r="M647" s="58" t="s">
        <v>29</v>
      </c>
      <c r="N647" s="61" t="s">
        <v>2876</v>
      </c>
      <c r="O647" s="58" t="s">
        <v>2877</v>
      </c>
      <c r="P647" s="58" t="s">
        <v>1447</v>
      </c>
      <c r="Q647" s="63" t="str">
        <f>IF(V647&lt;&gt;"","Completed","")</f>
        <v>Completed</v>
      </c>
      <c r="R647" s="319">
        <v>42742</v>
      </c>
      <c r="S647" s="407" t="s">
        <v>57</v>
      </c>
      <c r="T647" s="65">
        <v>1</v>
      </c>
      <c r="U647" s="65">
        <v>2</v>
      </c>
      <c r="V647" s="65">
        <v>2</v>
      </c>
      <c r="W647" s="242"/>
      <c r="X647" s="242"/>
      <c r="Y647" s="74" t="s">
        <v>44</v>
      </c>
      <c r="Z647" s="345" t="s">
        <v>1849</v>
      </c>
      <c r="AA647" s="252"/>
      <c r="AB647" s="65" t="s">
        <v>94</v>
      </c>
      <c r="AC647" s="65" t="s">
        <v>29</v>
      </c>
      <c r="AD647" s="345"/>
    </row>
    <row r="648" spans="1:30" s="66" customFormat="1">
      <c r="A648" s="332" t="s">
        <v>945</v>
      </c>
      <c r="B648" s="59"/>
      <c r="C648" s="57">
        <v>42787</v>
      </c>
      <c r="D648" s="65"/>
      <c r="E648" s="65" t="s">
        <v>29</v>
      </c>
      <c r="F648" s="65" t="s">
        <v>29</v>
      </c>
      <c r="G648" s="58" t="s">
        <v>1443</v>
      </c>
      <c r="H648" s="58" t="s">
        <v>1456</v>
      </c>
      <c r="I648" s="60">
        <v>212</v>
      </c>
      <c r="J648" s="58" t="s">
        <v>94</v>
      </c>
      <c r="K648" s="58" t="s">
        <v>29</v>
      </c>
      <c r="L648" s="58" t="s">
        <v>94</v>
      </c>
      <c r="M648" s="58" t="s">
        <v>29</v>
      </c>
      <c r="N648" s="61" t="s">
        <v>2878</v>
      </c>
      <c r="O648" s="58" t="s">
        <v>2879</v>
      </c>
      <c r="P648" s="58" t="s">
        <v>1447</v>
      </c>
      <c r="Q648" s="63" t="str">
        <f>IF(V648&lt;&gt;"","Completed","")</f>
        <v>Completed</v>
      </c>
      <c r="R648" s="319">
        <v>42742</v>
      </c>
      <c r="S648" s="319" t="s">
        <v>57</v>
      </c>
      <c r="T648" s="65">
        <v>49</v>
      </c>
      <c r="U648" s="65">
        <v>92</v>
      </c>
      <c r="V648" s="65">
        <v>92</v>
      </c>
      <c r="W648" s="242"/>
      <c r="X648" s="242"/>
      <c r="Y648" s="74" t="s">
        <v>44</v>
      </c>
      <c r="Z648" s="345" t="s">
        <v>2880</v>
      </c>
      <c r="AA648" s="252"/>
      <c r="AB648" s="74" t="s">
        <v>94</v>
      </c>
      <c r="AC648" s="65" t="s">
        <v>94</v>
      </c>
      <c r="AD648" s="345"/>
    </row>
    <row r="649" spans="1:30" s="66" customFormat="1">
      <c r="A649" s="75" t="s">
        <v>1022</v>
      </c>
      <c r="B649" s="59"/>
      <c r="C649" s="57">
        <v>42740</v>
      </c>
      <c r="D649" s="65"/>
      <c r="E649" s="65" t="s">
        <v>29</v>
      </c>
      <c r="F649" s="65" t="s">
        <v>29</v>
      </c>
      <c r="G649" s="58" t="s">
        <v>1443</v>
      </c>
      <c r="H649" s="58" t="s">
        <v>1456</v>
      </c>
      <c r="I649" s="60">
        <v>274</v>
      </c>
      <c r="J649" s="58" t="s">
        <v>94</v>
      </c>
      <c r="K649" s="58" t="s">
        <v>29</v>
      </c>
      <c r="L649" s="58" t="s">
        <v>94</v>
      </c>
      <c r="M649" s="58" t="s">
        <v>29</v>
      </c>
      <c r="N649" s="61" t="s">
        <v>2881</v>
      </c>
      <c r="O649" s="58" t="s">
        <v>2882</v>
      </c>
      <c r="P649" s="58" t="s">
        <v>1447</v>
      </c>
      <c r="Q649" s="63" t="str">
        <f>IF(V649&lt;&gt;"","Completed","")</f>
        <v>Completed</v>
      </c>
      <c r="R649" s="64">
        <v>42679</v>
      </c>
      <c r="S649" s="64" t="s">
        <v>80</v>
      </c>
      <c r="T649" s="65">
        <v>29</v>
      </c>
      <c r="U649" s="65">
        <v>49</v>
      </c>
      <c r="V649" s="65">
        <v>49</v>
      </c>
      <c r="W649" s="65"/>
      <c r="X649" s="65"/>
      <c r="Y649" s="74" t="s">
        <v>44</v>
      </c>
      <c r="Z649" s="56" t="s">
        <v>1491</v>
      </c>
      <c r="AA649" s="249"/>
      <c r="AB649" s="74" t="s">
        <v>94</v>
      </c>
      <c r="AC649" s="74" t="s">
        <v>29</v>
      </c>
      <c r="AD649" s="345"/>
    </row>
    <row r="650" spans="1:30" s="66" customFormat="1">
      <c r="A650" s="75" t="s">
        <v>487</v>
      </c>
      <c r="B650" s="59"/>
      <c r="C650" s="57">
        <v>42726</v>
      </c>
      <c r="D650" s="65"/>
      <c r="E650" s="65" t="s">
        <v>29</v>
      </c>
      <c r="F650" s="65" t="s">
        <v>29</v>
      </c>
      <c r="G650" s="58" t="s">
        <v>1443</v>
      </c>
      <c r="H650" s="58" t="s">
        <v>1456</v>
      </c>
      <c r="I650" s="60">
        <v>205</v>
      </c>
      <c r="J650" s="58" t="s">
        <v>94</v>
      </c>
      <c r="K650" s="58" t="s">
        <v>29</v>
      </c>
      <c r="L650" s="58" t="s">
        <v>94</v>
      </c>
      <c r="M650" s="58" t="s">
        <v>29</v>
      </c>
      <c r="N650" s="61" t="s">
        <v>2883</v>
      </c>
      <c r="O650" s="58" t="s">
        <v>2884</v>
      </c>
      <c r="P650" s="58" t="s">
        <v>1447</v>
      </c>
      <c r="Q650" s="63" t="str">
        <f>IF(V650&lt;&gt;"","Completed","")</f>
        <v>Completed</v>
      </c>
      <c r="R650" s="64">
        <v>42672</v>
      </c>
      <c r="S650" s="64" t="s">
        <v>114</v>
      </c>
      <c r="T650" s="65">
        <v>8</v>
      </c>
      <c r="U650" s="65">
        <v>15</v>
      </c>
      <c r="V650" s="65">
        <v>15</v>
      </c>
      <c r="W650" s="65"/>
      <c r="X650" s="65"/>
      <c r="Y650" s="74" t="s">
        <v>44</v>
      </c>
      <c r="Z650" s="56" t="s">
        <v>2090</v>
      </c>
      <c r="AA650" s="252"/>
      <c r="AB650" s="325" t="s">
        <v>94</v>
      </c>
      <c r="AC650" s="325" t="s">
        <v>29</v>
      </c>
      <c r="AD650" s="345"/>
    </row>
    <row r="651" spans="1:30" s="66" customFormat="1">
      <c r="A651" s="244" t="s">
        <v>105</v>
      </c>
      <c r="B651" s="62" t="s">
        <v>106</v>
      </c>
      <c r="C651" s="57">
        <v>42745</v>
      </c>
      <c r="D651" s="304">
        <v>1013001</v>
      </c>
      <c r="E651" s="65" t="s">
        <v>94</v>
      </c>
      <c r="F651" s="65" t="s">
        <v>29</v>
      </c>
      <c r="G651" s="306" t="s">
        <v>1443</v>
      </c>
      <c r="H651" s="58"/>
      <c r="I651" s="60"/>
      <c r="J651" s="58"/>
      <c r="K651" s="58"/>
      <c r="L651" s="58"/>
      <c r="M651" s="58"/>
      <c r="N651" s="259" t="s">
        <v>2885</v>
      </c>
      <c r="O651" s="58" t="s">
        <v>2886</v>
      </c>
      <c r="P651" s="58"/>
      <c r="Q651" s="63" t="str">
        <f>IF(V651&lt;&gt;"","Completed","")</f>
        <v>Completed</v>
      </c>
      <c r="R651" s="64">
        <v>42714</v>
      </c>
      <c r="S651" s="64" t="s">
        <v>114</v>
      </c>
      <c r="T651" s="65">
        <v>44</v>
      </c>
      <c r="U651" s="65">
        <v>71</v>
      </c>
      <c r="V651" s="65">
        <v>71</v>
      </c>
      <c r="W651" s="65"/>
      <c r="X651" s="65"/>
      <c r="Y651" s="74" t="s">
        <v>44</v>
      </c>
      <c r="Z651" s="56" t="s">
        <v>1505</v>
      </c>
      <c r="AA651" s="252">
        <f>V651</f>
        <v>71</v>
      </c>
      <c r="AB651" s="65" t="s">
        <v>94</v>
      </c>
      <c r="AC651" s="74" t="s">
        <v>29</v>
      </c>
      <c r="AD651" s="345"/>
    </row>
    <row r="652" spans="1:30" s="66" customFormat="1">
      <c r="A652" s="75" t="s">
        <v>959</v>
      </c>
      <c r="B652" s="59"/>
      <c r="C652" s="57">
        <v>42772</v>
      </c>
      <c r="D652" s="65"/>
      <c r="E652" s="65" t="s">
        <v>29</v>
      </c>
      <c r="F652" s="65" t="s">
        <v>29</v>
      </c>
      <c r="G652" s="58"/>
      <c r="H652" s="58"/>
      <c r="I652" s="60"/>
      <c r="J652" s="58"/>
      <c r="K652" s="58"/>
      <c r="L652" s="58"/>
      <c r="M652" s="58"/>
      <c r="N652" s="59">
        <v>2610505</v>
      </c>
      <c r="O652" s="58" t="s">
        <v>2887</v>
      </c>
      <c r="P652" s="58" t="s">
        <v>1447</v>
      </c>
      <c r="Q652" s="63" t="str">
        <f>IF(V652&lt;&gt;"","Completed","")</f>
        <v>Completed</v>
      </c>
      <c r="R652" s="64">
        <v>42725</v>
      </c>
      <c r="S652" s="64" t="s">
        <v>57</v>
      </c>
      <c r="T652" s="65">
        <v>42</v>
      </c>
      <c r="U652" s="65">
        <v>78</v>
      </c>
      <c r="V652" s="65">
        <v>78</v>
      </c>
      <c r="W652" s="65"/>
      <c r="X652" s="65"/>
      <c r="Y652" s="74" t="s">
        <v>44</v>
      </c>
      <c r="Z652" s="56" t="s">
        <v>1536</v>
      </c>
      <c r="AA652" s="252"/>
      <c r="AB652" s="74" t="s">
        <v>94</v>
      </c>
      <c r="AC652" s="65" t="s">
        <v>29</v>
      </c>
      <c r="AD652" s="345"/>
    </row>
    <row r="653" spans="1:30" s="66" customFormat="1">
      <c r="A653" s="75" t="s">
        <v>959</v>
      </c>
      <c r="B653" s="59"/>
      <c r="C653" s="57">
        <v>42768</v>
      </c>
      <c r="D653" s="65"/>
      <c r="E653" s="65" t="s">
        <v>29</v>
      </c>
      <c r="F653" s="65" t="s">
        <v>29</v>
      </c>
      <c r="G653" s="58"/>
      <c r="H653" s="58"/>
      <c r="I653" s="60"/>
      <c r="J653" s="58"/>
      <c r="K653" s="58"/>
      <c r="L653" s="58"/>
      <c r="M653" s="58"/>
      <c r="N653" s="59">
        <v>2610305</v>
      </c>
      <c r="O653" s="58" t="s">
        <v>2888</v>
      </c>
      <c r="P653" s="58" t="s">
        <v>1447</v>
      </c>
      <c r="Q653" s="63" t="str">
        <f>IF(V653&lt;&gt;"","Completed","")</f>
        <v>Completed</v>
      </c>
      <c r="R653" s="64">
        <v>42724</v>
      </c>
      <c r="S653" s="64" t="s">
        <v>57</v>
      </c>
      <c r="T653" s="65">
        <v>16</v>
      </c>
      <c r="U653" s="65">
        <v>31</v>
      </c>
      <c r="V653" s="65">
        <v>31</v>
      </c>
      <c r="W653" s="65"/>
      <c r="X653" s="65"/>
      <c r="Y653" s="74" t="s">
        <v>44</v>
      </c>
      <c r="Z653" s="56" t="s">
        <v>1912</v>
      </c>
      <c r="AA653" s="252">
        <f>SUM(V650:V653)</f>
        <v>195</v>
      </c>
      <c r="AB653" s="74" t="s">
        <v>94</v>
      </c>
      <c r="AC653" s="65" t="s">
        <v>94</v>
      </c>
      <c r="AD653" s="345"/>
    </row>
    <row r="654" spans="1:30" s="66" customFormat="1">
      <c r="A654" s="75" t="s">
        <v>965</v>
      </c>
      <c r="B654" s="59"/>
      <c r="C654" s="57">
        <v>42712</v>
      </c>
      <c r="D654" s="65"/>
      <c r="E654" s="65" t="s">
        <v>29</v>
      </c>
      <c r="F654" s="65" t="s">
        <v>94</v>
      </c>
      <c r="G654" s="58" t="s">
        <v>1443</v>
      </c>
      <c r="H654" s="58" t="s">
        <v>1456</v>
      </c>
      <c r="I654" s="60">
        <v>0</v>
      </c>
      <c r="J654" s="58" t="s">
        <v>94</v>
      </c>
      <c r="K654" s="58" t="s">
        <v>29</v>
      </c>
      <c r="L654" s="58" t="s">
        <v>94</v>
      </c>
      <c r="M654" s="58" t="s">
        <v>94</v>
      </c>
      <c r="N654" s="61" t="s">
        <v>2889</v>
      </c>
      <c r="O654" s="58" t="s">
        <v>2890</v>
      </c>
      <c r="P654" s="58" t="s">
        <v>1447</v>
      </c>
      <c r="Q654" s="63" t="str">
        <f>IF(V654&lt;&gt;"","Completed","")</f>
        <v>Completed</v>
      </c>
      <c r="R654" s="64">
        <v>42675</v>
      </c>
      <c r="S654" s="64" t="s">
        <v>104</v>
      </c>
      <c r="T654" s="65">
        <v>14</v>
      </c>
      <c r="U654" s="65"/>
      <c r="V654" s="256">
        <v>30</v>
      </c>
      <c r="W654" s="65"/>
      <c r="X654" s="65"/>
      <c r="Y654" s="74" t="s">
        <v>44</v>
      </c>
      <c r="Z654" s="56" t="s">
        <v>1599</v>
      </c>
      <c r="AA654" s="249"/>
      <c r="AB654" s="151" t="s">
        <v>94</v>
      </c>
      <c r="AC654" s="151" t="s">
        <v>94</v>
      </c>
      <c r="AD654" s="345"/>
    </row>
    <row r="655" spans="1:30" s="66" customFormat="1">
      <c r="A655" s="75" t="s">
        <v>664</v>
      </c>
      <c r="B655" s="59"/>
      <c r="C655" s="57"/>
      <c r="D655" s="65"/>
      <c r="E655" s="65" t="s">
        <v>29</v>
      </c>
      <c r="F655" s="65" t="s">
        <v>29</v>
      </c>
      <c r="G655" s="58" t="s">
        <v>1509</v>
      </c>
      <c r="H655" s="58" t="s">
        <v>1456</v>
      </c>
      <c r="I655" s="60">
        <v>65</v>
      </c>
      <c r="J655" s="58" t="s">
        <v>94</v>
      </c>
      <c r="K655" s="58" t="s">
        <v>29</v>
      </c>
      <c r="L655" s="58" t="s">
        <v>94</v>
      </c>
      <c r="M655" s="58" t="s">
        <v>29</v>
      </c>
      <c r="N655" s="61" t="s">
        <v>2891</v>
      </c>
      <c r="O655" s="58" t="s">
        <v>2892</v>
      </c>
      <c r="P655" s="58" t="s">
        <v>1447</v>
      </c>
      <c r="Q655" s="63" t="str">
        <f>IF(V655&lt;&gt;"","Completed","")</f>
        <v>Completed</v>
      </c>
      <c r="R655" s="64">
        <v>42635</v>
      </c>
      <c r="S655" s="64" t="s">
        <v>222</v>
      </c>
      <c r="T655" s="65">
        <v>3</v>
      </c>
      <c r="U655" s="65">
        <v>6</v>
      </c>
      <c r="V655" s="65">
        <v>6</v>
      </c>
      <c r="W655" s="65"/>
      <c r="X655" s="65"/>
      <c r="Y655" s="74" t="s">
        <v>44</v>
      </c>
      <c r="Z655" s="56" t="s">
        <v>1494</v>
      </c>
      <c r="AA655" s="249"/>
      <c r="AB655" s="242" t="s">
        <v>94</v>
      </c>
      <c r="AC655" s="65"/>
      <c r="AD655" s="345"/>
    </row>
    <row r="656" spans="1:30" s="66" customFormat="1">
      <c r="A656" s="75" t="s">
        <v>973</v>
      </c>
      <c r="B656" s="59"/>
      <c r="C656" s="57">
        <v>42767</v>
      </c>
      <c r="D656" s="65"/>
      <c r="E656" s="65" t="s">
        <v>29</v>
      </c>
      <c r="F656" s="65" t="s">
        <v>29</v>
      </c>
      <c r="G656" s="58" t="s">
        <v>1443</v>
      </c>
      <c r="H656" s="58" t="s">
        <v>1456</v>
      </c>
      <c r="I656" s="60">
        <v>0</v>
      </c>
      <c r="J656" s="58" t="s">
        <v>94</v>
      </c>
      <c r="K656" s="58" t="s">
        <v>29</v>
      </c>
      <c r="L656" s="58" t="s">
        <v>29</v>
      </c>
      <c r="M656" s="58" t="s">
        <v>29</v>
      </c>
      <c r="N656" s="61" t="s">
        <v>2893</v>
      </c>
      <c r="O656" s="58" t="s">
        <v>2894</v>
      </c>
      <c r="P656" s="58" t="s">
        <v>1447</v>
      </c>
      <c r="Q656" s="63" t="str">
        <f>IF(V656&lt;&gt;"","Completed","")</f>
        <v>Completed</v>
      </c>
      <c r="R656" s="64">
        <v>42717</v>
      </c>
      <c r="S656" s="64" t="s">
        <v>43</v>
      </c>
      <c r="T656" s="65">
        <v>33</v>
      </c>
      <c r="U656" s="65">
        <v>65</v>
      </c>
      <c r="V656" s="65">
        <v>65</v>
      </c>
      <c r="W656" s="65"/>
      <c r="X656" s="65"/>
      <c r="Y656" s="74" t="s">
        <v>44</v>
      </c>
      <c r="Z656" s="56" t="s">
        <v>1780</v>
      </c>
      <c r="AA656" s="252"/>
      <c r="AB656" s="65" t="s">
        <v>94</v>
      </c>
      <c r="AC656" s="65" t="s">
        <v>29</v>
      </c>
      <c r="AD656" s="345"/>
    </row>
    <row r="657" spans="1:30" s="66" customFormat="1">
      <c r="A657" s="261" t="s">
        <v>710</v>
      </c>
      <c r="B657" s="56"/>
      <c r="C657" s="57">
        <v>42782</v>
      </c>
      <c r="D657" s="65"/>
      <c r="E657" s="65" t="s">
        <v>29</v>
      </c>
      <c r="F657" s="65" t="s">
        <v>29</v>
      </c>
      <c r="G657" s="63"/>
      <c r="H657" s="63"/>
      <c r="I657" s="63"/>
      <c r="J657" s="63"/>
      <c r="K657" s="63"/>
      <c r="L657" s="63"/>
      <c r="M657" s="63"/>
      <c r="N657" s="68" t="s">
        <v>2895</v>
      </c>
      <c r="O657" s="90" t="s">
        <v>2896</v>
      </c>
      <c r="P657" s="63"/>
      <c r="Q657" s="63" t="str">
        <f>IF(V657&lt;&gt;"","Completed","")</f>
        <v>Completed</v>
      </c>
      <c r="R657" s="64">
        <v>42770</v>
      </c>
      <c r="S657" s="64" t="s">
        <v>149</v>
      </c>
      <c r="T657" s="242">
        <v>21</v>
      </c>
      <c r="U657" s="242">
        <v>40</v>
      </c>
      <c r="V657" s="242">
        <v>40</v>
      </c>
      <c r="W657" s="65"/>
      <c r="X657" s="65"/>
      <c r="Y657" s="74" t="s">
        <v>44</v>
      </c>
      <c r="Z657" s="345" t="s">
        <v>1620</v>
      </c>
      <c r="AA657" s="92"/>
      <c r="AB657" s="242" t="s">
        <v>94</v>
      </c>
      <c r="AC657" s="242" t="s">
        <v>29</v>
      </c>
      <c r="AD657" s="345"/>
    </row>
    <row r="658" spans="1:30" s="66" customFormat="1">
      <c r="A658" s="75" t="s">
        <v>331</v>
      </c>
      <c r="B658" s="59"/>
      <c r="C658" s="57">
        <v>42720</v>
      </c>
      <c r="D658" s="65">
        <v>1061000</v>
      </c>
      <c r="E658" s="65" t="s">
        <v>29</v>
      </c>
      <c r="F658" s="65" t="s">
        <v>94</v>
      </c>
      <c r="G658" s="58" t="s">
        <v>1443</v>
      </c>
      <c r="H658" s="58" t="s">
        <v>1456</v>
      </c>
      <c r="I658" s="60">
        <v>370</v>
      </c>
      <c r="J658" s="58" t="s">
        <v>94</v>
      </c>
      <c r="K658" s="58" t="s">
        <v>29</v>
      </c>
      <c r="L658" s="58" t="s">
        <v>94</v>
      </c>
      <c r="M658" s="58" t="s">
        <v>94</v>
      </c>
      <c r="N658" s="61" t="s">
        <v>2897</v>
      </c>
      <c r="O658" s="58" t="s">
        <v>2898</v>
      </c>
      <c r="P658" s="58" t="s">
        <v>1459</v>
      </c>
      <c r="Q658" s="63" t="str">
        <f>IF(V658&lt;&gt;"","Completed","")</f>
        <v>Completed</v>
      </c>
      <c r="R658" s="64">
        <v>42655</v>
      </c>
      <c r="S658" s="64" t="s">
        <v>104</v>
      </c>
      <c r="T658" s="65">
        <v>13</v>
      </c>
      <c r="U658" s="65"/>
      <c r="V658" s="256">
        <v>28</v>
      </c>
      <c r="W658" s="65"/>
      <c r="X658" s="65"/>
      <c r="Y658" s="74" t="s">
        <v>44</v>
      </c>
      <c r="Z658" s="56" t="s">
        <v>1527</v>
      </c>
      <c r="AA658" s="249"/>
      <c r="AB658" s="151" t="s">
        <v>94</v>
      </c>
      <c r="AC658" s="324" t="s">
        <v>29</v>
      </c>
      <c r="AD658" s="349"/>
    </row>
    <row r="659" spans="1:30" s="66" customFormat="1">
      <c r="A659" s="75" t="s">
        <v>803</v>
      </c>
      <c r="B659" s="59"/>
      <c r="C659" s="57">
        <v>42754</v>
      </c>
      <c r="D659" s="65"/>
      <c r="E659" s="65" t="s">
        <v>29</v>
      </c>
      <c r="F659" s="65" t="s">
        <v>29</v>
      </c>
      <c r="G659" s="58" t="s">
        <v>1443</v>
      </c>
      <c r="H659" s="58" t="s">
        <v>1456</v>
      </c>
      <c r="I659" s="60">
        <v>602</v>
      </c>
      <c r="J659" s="58" t="s">
        <v>94</v>
      </c>
      <c r="K659" s="58" t="s">
        <v>29</v>
      </c>
      <c r="L659" s="58" t="s">
        <v>94</v>
      </c>
      <c r="M659" s="58" t="s">
        <v>29</v>
      </c>
      <c r="N659" s="61" t="s">
        <v>2899</v>
      </c>
      <c r="O659" s="58" t="s">
        <v>2900</v>
      </c>
      <c r="P659" s="58" t="s">
        <v>1447</v>
      </c>
      <c r="Q659" s="63" t="str">
        <f>IF(V659&lt;&gt;"","Completed","")</f>
        <v>Completed</v>
      </c>
      <c r="R659" s="64">
        <v>42693</v>
      </c>
      <c r="S659" s="64" t="s">
        <v>43</v>
      </c>
      <c r="T659" s="65">
        <v>79</v>
      </c>
      <c r="U659" s="74">
        <v>135</v>
      </c>
      <c r="V659" s="74">
        <v>135</v>
      </c>
      <c r="W659" s="74"/>
      <c r="X659" s="74"/>
      <c r="Y659" s="74" t="s">
        <v>44</v>
      </c>
      <c r="Z659" s="56" t="s">
        <v>1500</v>
      </c>
      <c r="AA659" s="249"/>
      <c r="AB659" s="65" t="s">
        <v>94</v>
      </c>
      <c r="AC659" s="65" t="s">
        <v>94</v>
      </c>
      <c r="AD659" s="345"/>
    </row>
    <row r="660" spans="1:30" s="66" customFormat="1">
      <c r="A660" s="332" t="s">
        <v>689</v>
      </c>
      <c r="B660" s="59"/>
      <c r="C660" s="57">
        <v>42677</v>
      </c>
      <c r="D660" s="65"/>
      <c r="E660" s="65" t="s">
        <v>29</v>
      </c>
      <c r="F660" s="65" t="s">
        <v>29</v>
      </c>
      <c r="G660" s="58" t="s">
        <v>1443</v>
      </c>
      <c r="H660" s="58" t="s">
        <v>1449</v>
      </c>
      <c r="I660" s="60">
        <v>450</v>
      </c>
      <c r="J660" s="58" t="s">
        <v>94</v>
      </c>
      <c r="K660" s="58" t="s">
        <v>29</v>
      </c>
      <c r="L660" s="58" t="s">
        <v>29</v>
      </c>
      <c r="M660" s="58" t="s">
        <v>29</v>
      </c>
      <c r="N660" s="61" t="s">
        <v>2901</v>
      </c>
      <c r="O660" s="58" t="s">
        <v>2902</v>
      </c>
      <c r="P660" s="58" t="s">
        <v>1447</v>
      </c>
      <c r="Q660" s="63" t="str">
        <f>IF(V660&lt;&gt;"","Completed","")</f>
        <v>Completed</v>
      </c>
      <c r="R660" s="64">
        <v>42655</v>
      </c>
      <c r="S660" s="64" t="s">
        <v>222</v>
      </c>
      <c r="T660" s="65">
        <v>64</v>
      </c>
      <c r="U660" s="65">
        <v>100</v>
      </c>
      <c r="V660" s="65">
        <v>100</v>
      </c>
      <c r="W660" s="65"/>
      <c r="X660" s="65"/>
      <c r="Y660" s="74" t="s">
        <v>44</v>
      </c>
      <c r="Z660" s="56" t="s">
        <v>1596</v>
      </c>
      <c r="AA660" s="249">
        <f>SUM(U657:U660)</f>
        <v>275</v>
      </c>
      <c r="AB660" s="242" t="s">
        <v>94</v>
      </c>
      <c r="AC660" s="347" t="s">
        <v>29</v>
      </c>
      <c r="AD660" s="345"/>
    </row>
    <row r="661" spans="1:30" s="66" customFormat="1">
      <c r="A661" s="75" t="s">
        <v>979</v>
      </c>
      <c r="B661" s="59"/>
      <c r="C661" s="57">
        <v>42726</v>
      </c>
      <c r="D661" s="65"/>
      <c r="E661" s="65" t="s">
        <v>29</v>
      </c>
      <c r="F661" s="65" t="s">
        <v>29</v>
      </c>
      <c r="G661" s="58" t="s">
        <v>1443</v>
      </c>
      <c r="H661" s="58" t="s">
        <v>1456</v>
      </c>
      <c r="I661" s="60">
        <v>0</v>
      </c>
      <c r="J661" s="58" t="s">
        <v>94</v>
      </c>
      <c r="K661" s="58" t="s">
        <v>29</v>
      </c>
      <c r="L661" s="58" t="s">
        <v>94</v>
      </c>
      <c r="M661" s="58" t="s">
        <v>29</v>
      </c>
      <c r="N661" s="61" t="s">
        <v>2903</v>
      </c>
      <c r="O661" s="58" t="s">
        <v>2904</v>
      </c>
      <c r="P661" s="58" t="s">
        <v>1447</v>
      </c>
      <c r="Q661" s="63" t="str">
        <f>IF(V661&lt;&gt;"","Completed","")</f>
        <v>Completed</v>
      </c>
      <c r="R661" s="64">
        <v>42662</v>
      </c>
      <c r="S661" s="64" t="s">
        <v>43</v>
      </c>
      <c r="T661" s="65">
        <v>40</v>
      </c>
      <c r="U661" s="65">
        <v>67</v>
      </c>
      <c r="V661" s="65">
        <v>67</v>
      </c>
      <c r="W661" s="65"/>
      <c r="X661" s="65"/>
      <c r="Y661" s="74" t="s">
        <v>44</v>
      </c>
      <c r="Z661" s="56" t="s">
        <v>1681</v>
      </c>
      <c r="AA661" s="249"/>
      <c r="AB661" s="151" t="s">
        <v>94</v>
      </c>
      <c r="AC661" s="324" t="s">
        <v>94</v>
      </c>
      <c r="AD661" s="345"/>
    </row>
    <row r="662" spans="1:30" s="66" customFormat="1">
      <c r="A662" s="75" t="s">
        <v>979</v>
      </c>
      <c r="B662" s="59"/>
      <c r="C662" s="57">
        <v>42726</v>
      </c>
      <c r="D662" s="65"/>
      <c r="E662" s="65" t="s">
        <v>29</v>
      </c>
      <c r="F662" s="65" t="s">
        <v>29</v>
      </c>
      <c r="G662" s="58"/>
      <c r="H662" s="58"/>
      <c r="I662" s="60"/>
      <c r="J662" s="58"/>
      <c r="K662" s="58"/>
      <c r="L662" s="58"/>
      <c r="M662" s="58"/>
      <c r="N662" s="61" t="s">
        <v>2905</v>
      </c>
      <c r="O662" s="58" t="s">
        <v>2906</v>
      </c>
      <c r="P662" s="58"/>
      <c r="Q662" s="63" t="str">
        <f>IF(V662&lt;&gt;"","Completed","")</f>
        <v>Completed</v>
      </c>
      <c r="R662" s="64">
        <v>42658</v>
      </c>
      <c r="S662" s="64" t="s">
        <v>43</v>
      </c>
      <c r="T662" s="65">
        <v>89</v>
      </c>
      <c r="U662" s="65">
        <v>151</v>
      </c>
      <c r="V662" s="65">
        <v>151</v>
      </c>
      <c r="W662" s="65"/>
      <c r="X662" s="65"/>
      <c r="Y662" s="74" t="s">
        <v>44</v>
      </c>
      <c r="Z662" s="56" t="s">
        <v>1546</v>
      </c>
      <c r="AA662" s="249">
        <f>SUM(V658:V662)</f>
        <v>481</v>
      </c>
      <c r="AB662" s="151" t="s">
        <v>94</v>
      </c>
      <c r="AC662" s="324" t="s">
        <v>94</v>
      </c>
      <c r="AD662" s="345"/>
    </row>
    <row r="663" spans="1:30">
      <c r="A663" s="75" t="s">
        <v>703</v>
      </c>
      <c r="B663" s="59"/>
      <c r="C663" s="57">
        <v>42677</v>
      </c>
      <c r="E663" s="65" t="s">
        <v>29</v>
      </c>
      <c r="F663" s="65" t="s">
        <v>29</v>
      </c>
      <c r="G663" s="58" t="s">
        <v>1443</v>
      </c>
      <c r="H663" s="58"/>
      <c r="I663" s="60"/>
      <c r="J663" s="58"/>
      <c r="K663" s="58"/>
      <c r="L663" s="58"/>
      <c r="M663" s="58"/>
      <c r="N663" s="61" t="s">
        <v>2907</v>
      </c>
      <c r="O663" s="58" t="s">
        <v>2908</v>
      </c>
      <c r="P663" s="58"/>
      <c r="Q663" s="63" t="str">
        <f>IF(V663&lt;&gt;"","Completed","")</f>
        <v>Completed</v>
      </c>
      <c r="R663" s="64">
        <v>42651</v>
      </c>
      <c r="S663" s="64" t="s">
        <v>222</v>
      </c>
      <c r="T663" s="65">
        <v>94</v>
      </c>
      <c r="U663" s="65">
        <v>149</v>
      </c>
      <c r="V663" s="65">
        <v>149</v>
      </c>
      <c r="Y663" s="74" t="s">
        <v>44</v>
      </c>
      <c r="Z663" s="56" t="s">
        <v>1596</v>
      </c>
      <c r="AA663" s="249"/>
      <c r="AB663" s="242" t="s">
        <v>94</v>
      </c>
    </row>
    <row r="664" spans="1:30">
      <c r="A664" s="75" t="s">
        <v>1182</v>
      </c>
      <c r="B664" s="59"/>
      <c r="C664" s="57"/>
      <c r="E664" s="65" t="s">
        <v>29</v>
      </c>
      <c r="F664" s="65" t="s">
        <v>94</v>
      </c>
      <c r="G664" s="58" t="s">
        <v>1443</v>
      </c>
      <c r="H664" s="58" t="s">
        <v>1444</v>
      </c>
      <c r="I664" s="60">
        <v>349</v>
      </c>
      <c r="J664" s="58" t="s">
        <v>94</v>
      </c>
      <c r="K664" s="58" t="s">
        <v>29</v>
      </c>
      <c r="L664" s="58" t="s">
        <v>29</v>
      </c>
      <c r="M664" s="58" t="s">
        <v>94</v>
      </c>
      <c r="N664" s="61" t="s">
        <v>2909</v>
      </c>
      <c r="O664" s="58" t="s">
        <v>2910</v>
      </c>
      <c r="P664" s="58" t="s">
        <v>1459</v>
      </c>
      <c r="Q664" s="63" t="str">
        <f>IF(V664&lt;&gt;"","Completed","")</f>
        <v>Completed</v>
      </c>
      <c r="R664" s="301">
        <v>42622</v>
      </c>
      <c r="S664" s="301" t="s">
        <v>222</v>
      </c>
      <c r="T664" s="150">
        <v>14</v>
      </c>
      <c r="U664" s="150">
        <v>28</v>
      </c>
      <c r="V664" s="150">
        <v>28</v>
      </c>
      <c r="W664" s="150"/>
      <c r="X664" s="150"/>
      <c r="Y664" s="74" t="s">
        <v>44</v>
      </c>
      <c r="Z664" s="56" t="s">
        <v>1691</v>
      </c>
      <c r="AA664" s="249"/>
      <c r="AB664" s="242" t="s">
        <v>94</v>
      </c>
    </row>
    <row r="665" spans="1:30">
      <c r="A665" s="75" t="s">
        <v>599</v>
      </c>
      <c r="B665" s="59"/>
      <c r="C665" s="57">
        <v>42692</v>
      </c>
      <c r="E665" s="65" t="s">
        <v>29</v>
      </c>
      <c r="F665" s="65" t="s">
        <v>29</v>
      </c>
      <c r="G665" s="58" t="s">
        <v>1461</v>
      </c>
      <c r="H665" s="58" t="s">
        <v>1444</v>
      </c>
      <c r="I665" s="60">
        <v>1</v>
      </c>
      <c r="J665" s="58" t="s">
        <v>29</v>
      </c>
      <c r="K665" s="58" t="s">
        <v>29</v>
      </c>
      <c r="L665" s="58" t="s">
        <v>94</v>
      </c>
      <c r="M665" s="58" t="s">
        <v>29</v>
      </c>
      <c r="N665" s="61" t="s">
        <v>2911</v>
      </c>
      <c r="O665" s="292" t="s">
        <v>2912</v>
      </c>
      <c r="P665" s="58" t="s">
        <v>1447</v>
      </c>
      <c r="Q665" s="63" t="str">
        <f>IF(V665&lt;&gt;"","Completed","")</f>
        <v>Completed</v>
      </c>
      <c r="R665" s="64">
        <v>42672</v>
      </c>
      <c r="S665" s="64" t="s">
        <v>149</v>
      </c>
      <c r="T665" s="65">
        <v>69</v>
      </c>
      <c r="U665" s="65">
        <v>110</v>
      </c>
      <c r="V665" s="65">
        <v>110</v>
      </c>
      <c r="Y665" s="74" t="s">
        <v>44</v>
      </c>
      <c r="Z665" s="56" t="s">
        <v>1871</v>
      </c>
      <c r="AA665" s="252"/>
      <c r="AB665" s="316" t="s">
        <v>94</v>
      </c>
      <c r="AC665" s="317" t="s">
        <v>94</v>
      </c>
      <c r="AD665" s="349"/>
    </row>
    <row r="666" spans="1:30">
      <c r="A666" s="244" t="s">
        <v>721</v>
      </c>
      <c r="B666" s="62" t="s">
        <v>722</v>
      </c>
      <c r="C666" s="57">
        <v>42726</v>
      </c>
      <c r="E666" s="65" t="s">
        <v>29</v>
      </c>
      <c r="F666" s="65" t="s">
        <v>29</v>
      </c>
      <c r="G666" s="58" t="s">
        <v>1443</v>
      </c>
      <c r="H666" s="58" t="s">
        <v>1449</v>
      </c>
      <c r="I666" s="60">
        <v>283</v>
      </c>
      <c r="J666" s="58" t="s">
        <v>94</v>
      </c>
      <c r="K666" s="58" t="s">
        <v>29</v>
      </c>
      <c r="L666" s="58" t="s">
        <v>29</v>
      </c>
      <c r="M666" s="58" t="s">
        <v>29</v>
      </c>
      <c r="N666" s="61" t="s">
        <v>2913</v>
      </c>
      <c r="O666" s="63" t="s">
        <v>2914</v>
      </c>
      <c r="P666" s="58" t="s">
        <v>1447</v>
      </c>
      <c r="Q666" s="63" t="str">
        <f>IF(V666&lt;&gt;"","Completed","")</f>
        <v>Completed</v>
      </c>
      <c r="R666" s="64">
        <v>42670</v>
      </c>
      <c r="S666" s="64" t="s">
        <v>433</v>
      </c>
      <c r="T666" s="65">
        <v>57</v>
      </c>
      <c r="U666" s="65">
        <v>57</v>
      </c>
      <c r="V666" s="65">
        <v>57</v>
      </c>
      <c r="Y666" s="74" t="s">
        <v>44</v>
      </c>
      <c r="Z666" s="56" t="s">
        <v>1599</v>
      </c>
      <c r="AA666" s="249">
        <f>U666</f>
        <v>57</v>
      </c>
      <c r="AB666" s="74" t="s">
        <v>94</v>
      </c>
      <c r="AC666" s="65" t="s">
        <v>29</v>
      </c>
    </row>
    <row r="667" spans="1:30">
      <c r="A667" s="75" t="s">
        <v>929</v>
      </c>
      <c r="B667" s="59"/>
      <c r="C667" s="57">
        <v>42790</v>
      </c>
      <c r="E667" s="65" t="s">
        <v>29</v>
      </c>
      <c r="F667" s="65" t="s">
        <v>94</v>
      </c>
      <c r="G667" s="58" t="s">
        <v>1443</v>
      </c>
      <c r="H667" s="58" t="s">
        <v>1444</v>
      </c>
      <c r="I667" s="60">
        <v>260</v>
      </c>
      <c r="J667" s="58" t="s">
        <v>94</v>
      </c>
      <c r="K667" s="58" t="s">
        <v>29</v>
      </c>
      <c r="L667" s="58" t="s">
        <v>94</v>
      </c>
      <c r="M667" s="58" t="s">
        <v>94</v>
      </c>
      <c r="N667" s="61" t="s">
        <v>2915</v>
      </c>
      <c r="O667" s="58" t="s">
        <v>2916</v>
      </c>
      <c r="P667" s="58" t="s">
        <v>1447</v>
      </c>
      <c r="Q667" s="63" t="str">
        <f>IF(V667&lt;&gt;"","Completed","")</f>
        <v>Completed</v>
      </c>
      <c r="R667" s="64">
        <v>42637</v>
      </c>
      <c r="S667" s="386" t="s">
        <v>172</v>
      </c>
      <c r="T667" s="65">
        <v>45</v>
      </c>
      <c r="U667" s="256">
        <v>90</v>
      </c>
      <c r="V667" s="256">
        <v>90</v>
      </c>
      <c r="Y667" s="74" t="s">
        <v>44</v>
      </c>
      <c r="Z667" s="56" t="s">
        <v>1627</v>
      </c>
      <c r="AA667" s="249"/>
      <c r="AB667" s="65" t="s">
        <v>94</v>
      </c>
      <c r="AC667" s="65" t="s">
        <v>29</v>
      </c>
    </row>
    <row r="668" spans="1:30">
      <c r="A668" s="75" t="s">
        <v>996</v>
      </c>
      <c r="B668" s="59"/>
      <c r="C668" s="57">
        <v>42657</v>
      </c>
      <c r="E668" s="65" t="s">
        <v>29</v>
      </c>
      <c r="F668" s="65" t="s">
        <v>29</v>
      </c>
      <c r="G668" s="58" t="s">
        <v>1443</v>
      </c>
      <c r="H668" s="58" t="s">
        <v>1444</v>
      </c>
      <c r="I668" s="60">
        <v>0</v>
      </c>
      <c r="J668" s="58" t="s">
        <v>29</v>
      </c>
      <c r="K668" s="58" t="s">
        <v>29</v>
      </c>
      <c r="L668" s="58" t="s">
        <v>29</v>
      </c>
      <c r="M668" s="58" t="s">
        <v>29</v>
      </c>
      <c r="N668" s="61" t="s">
        <v>2917</v>
      </c>
      <c r="O668" s="58" t="s">
        <v>2918</v>
      </c>
      <c r="P668" s="58" t="s">
        <v>1447</v>
      </c>
      <c r="Q668" s="63" t="str">
        <f>IF(V668&lt;&gt;"","Completed","")</f>
        <v>Completed</v>
      </c>
      <c r="R668" s="64">
        <v>42654</v>
      </c>
      <c r="S668" s="386" t="s">
        <v>397</v>
      </c>
      <c r="T668" s="65">
        <v>30</v>
      </c>
      <c r="U668" s="65">
        <v>60</v>
      </c>
      <c r="V668" s="65">
        <v>60</v>
      </c>
      <c r="Y668" s="74" t="s">
        <v>44</v>
      </c>
      <c r="Z668" s="56" t="s">
        <v>1627</v>
      </c>
      <c r="AA668" s="252"/>
      <c r="AB668" s="242" t="s">
        <v>94</v>
      </c>
      <c r="AC668" s="74"/>
    </row>
    <row r="669" spans="1:30">
      <c r="A669" s="75" t="s">
        <v>996</v>
      </c>
      <c r="B669" s="59"/>
      <c r="C669" s="57">
        <v>42663</v>
      </c>
      <c r="E669" s="65" t="s">
        <v>29</v>
      </c>
      <c r="F669" s="65" t="s">
        <v>29</v>
      </c>
      <c r="G669" s="58" t="s">
        <v>1443</v>
      </c>
      <c r="H669" s="58" t="s">
        <v>1444</v>
      </c>
      <c r="I669" s="60">
        <v>0</v>
      </c>
      <c r="J669" s="58" t="s">
        <v>94</v>
      </c>
      <c r="K669" s="58" t="s">
        <v>29</v>
      </c>
      <c r="L669" s="58" t="s">
        <v>29</v>
      </c>
      <c r="M669" s="58" t="s">
        <v>29</v>
      </c>
      <c r="N669" s="61" t="s">
        <v>2919</v>
      </c>
      <c r="O669" s="58" t="s">
        <v>2920</v>
      </c>
      <c r="P669" s="58" t="s">
        <v>1447</v>
      </c>
      <c r="Q669" s="63" t="str">
        <f>IF(V669&lt;&gt;"","Completed","")</f>
        <v>Completed</v>
      </c>
      <c r="R669" s="64">
        <v>42649</v>
      </c>
      <c r="S669" s="386" t="s">
        <v>397</v>
      </c>
      <c r="T669" s="65">
        <v>13</v>
      </c>
      <c r="U669" s="65">
        <v>26</v>
      </c>
      <c r="V669" s="65">
        <v>26</v>
      </c>
      <c r="Y669" s="74" t="s">
        <v>44</v>
      </c>
      <c r="Z669" s="56" t="s">
        <v>1515</v>
      </c>
      <c r="AA669" s="252"/>
      <c r="AB669" s="242" t="s">
        <v>94</v>
      </c>
      <c r="AC669" s="74"/>
    </row>
    <row r="670" spans="1:30">
      <c r="A670" s="75" t="s">
        <v>1179</v>
      </c>
      <c r="B670" s="59" t="s">
        <v>1180</v>
      </c>
      <c r="C670" s="57">
        <v>42773</v>
      </c>
      <c r="E670" s="65" t="s">
        <v>29</v>
      </c>
      <c r="F670" s="65" t="s">
        <v>94</v>
      </c>
      <c r="G670" s="254" t="s">
        <v>1443</v>
      </c>
      <c r="H670" s="254" t="s">
        <v>1449</v>
      </c>
      <c r="I670" s="255">
        <v>341</v>
      </c>
      <c r="J670" s="254" t="s">
        <v>94</v>
      </c>
      <c r="K670" s="254" t="s">
        <v>29</v>
      </c>
      <c r="L670" s="254" t="s">
        <v>94</v>
      </c>
      <c r="M670" s="254" t="s">
        <v>94</v>
      </c>
      <c r="N670" s="61" t="s">
        <v>2921</v>
      </c>
      <c r="O670" s="58" t="s">
        <v>2922</v>
      </c>
      <c r="P670" s="58" t="s">
        <v>1447</v>
      </c>
      <c r="Q670" s="63" t="str">
        <f>IF(V670&lt;&gt;"","Completed","")</f>
        <v>Completed</v>
      </c>
      <c r="R670" s="64">
        <v>42714</v>
      </c>
      <c r="S670" s="64" t="s">
        <v>104</v>
      </c>
      <c r="T670" s="65">
        <v>43</v>
      </c>
      <c r="V670" s="256">
        <v>82</v>
      </c>
      <c r="Y670" s="74" t="s">
        <v>44</v>
      </c>
      <c r="Z670" s="56" t="s">
        <v>1536</v>
      </c>
      <c r="AA670" s="92"/>
      <c r="AB670" s="65" t="s">
        <v>94</v>
      </c>
      <c r="AC670" s="74" t="s">
        <v>29</v>
      </c>
    </row>
    <row r="671" spans="1:30">
      <c r="A671" s="245" t="s">
        <v>81</v>
      </c>
      <c r="B671" s="62" t="s">
        <v>82</v>
      </c>
      <c r="C671" s="57"/>
      <c r="D671" s="65">
        <v>1008000</v>
      </c>
      <c r="E671" s="65" t="s">
        <v>29</v>
      </c>
      <c r="F671" s="65" t="s">
        <v>29</v>
      </c>
      <c r="G671" s="58" t="s">
        <v>1509</v>
      </c>
      <c r="H671" s="58" t="s">
        <v>1456</v>
      </c>
      <c r="I671" s="60">
        <v>0</v>
      </c>
      <c r="J671" s="58" t="s">
        <v>94</v>
      </c>
      <c r="K671" s="58" t="s">
        <v>29</v>
      </c>
      <c r="L671" s="58" t="s">
        <v>94</v>
      </c>
      <c r="M671" s="58" t="s">
        <v>29</v>
      </c>
      <c r="N671" s="375" t="s">
        <v>2923</v>
      </c>
      <c r="O671" s="373" t="s">
        <v>2924</v>
      </c>
      <c r="P671" s="58" t="s">
        <v>1447</v>
      </c>
      <c r="Q671" s="63" t="str">
        <f>IF(V671&lt;&gt;"","Completed","")</f>
        <v>Completed</v>
      </c>
      <c r="R671" s="64">
        <v>42622</v>
      </c>
      <c r="S671" s="57" t="s">
        <v>80</v>
      </c>
      <c r="T671" s="150">
        <v>6</v>
      </c>
      <c r="U671" s="150">
        <v>11</v>
      </c>
      <c r="V671" s="150">
        <v>11</v>
      </c>
      <c r="W671" s="150"/>
      <c r="X671" s="150"/>
      <c r="Y671" s="74" t="s">
        <v>44</v>
      </c>
      <c r="Z671" s="56" t="s">
        <v>2925</v>
      </c>
      <c r="AA671" s="249"/>
      <c r="AB671" s="242" t="s">
        <v>94</v>
      </c>
      <c r="AC671" s="242" t="s">
        <v>29</v>
      </c>
    </row>
    <row r="672" spans="1:30">
      <c r="A672" s="75" t="s">
        <v>1022</v>
      </c>
      <c r="B672" s="59"/>
      <c r="C672" s="57">
        <v>42740</v>
      </c>
      <c r="E672" s="65" t="s">
        <v>29</v>
      </c>
      <c r="F672" s="65" t="s">
        <v>29</v>
      </c>
      <c r="G672" s="58" t="s">
        <v>1443</v>
      </c>
      <c r="H672" s="58" t="s">
        <v>1456</v>
      </c>
      <c r="I672" s="60">
        <v>0</v>
      </c>
      <c r="J672" s="58" t="s">
        <v>94</v>
      </c>
      <c r="K672" s="58" t="s">
        <v>29</v>
      </c>
      <c r="L672" s="58" t="s">
        <v>94</v>
      </c>
      <c r="M672" s="58" t="s">
        <v>29</v>
      </c>
      <c r="N672" s="61" t="s">
        <v>2926</v>
      </c>
      <c r="O672" s="58" t="s">
        <v>2927</v>
      </c>
      <c r="P672" s="58" t="s">
        <v>1447</v>
      </c>
      <c r="Q672" s="63" t="str">
        <f>IF(V672&lt;&gt;"","Completed","")</f>
        <v>Completed</v>
      </c>
      <c r="R672" s="64">
        <v>42672</v>
      </c>
      <c r="S672" s="64" t="s">
        <v>80</v>
      </c>
      <c r="T672" s="65">
        <v>10</v>
      </c>
      <c r="U672" s="65">
        <v>20</v>
      </c>
      <c r="V672" s="65">
        <v>20</v>
      </c>
      <c r="Y672" s="74" t="s">
        <v>44</v>
      </c>
      <c r="Z672" s="56" t="s">
        <v>1497</v>
      </c>
      <c r="AA672" s="249"/>
      <c r="AB672" s="74" t="s">
        <v>94</v>
      </c>
      <c r="AC672" s="74" t="s">
        <v>29</v>
      </c>
    </row>
    <row r="673" spans="1:30">
      <c r="A673" s="331" t="s">
        <v>1206</v>
      </c>
      <c r="B673" s="59"/>
      <c r="C673" s="57">
        <v>42724</v>
      </c>
      <c r="E673" s="65" t="s">
        <v>29</v>
      </c>
      <c r="F673" s="65" t="s">
        <v>29</v>
      </c>
      <c r="G673" s="58" t="s">
        <v>1443</v>
      </c>
      <c r="H673" s="58" t="s">
        <v>1444</v>
      </c>
      <c r="I673" s="60">
        <v>0</v>
      </c>
      <c r="J673" s="58" t="s">
        <v>94</v>
      </c>
      <c r="K673" s="58" t="s">
        <v>29</v>
      </c>
      <c r="L673" s="58" t="s">
        <v>94</v>
      </c>
      <c r="M673" s="58" t="s">
        <v>29</v>
      </c>
      <c r="N673" s="61" t="s">
        <v>2928</v>
      </c>
      <c r="O673" s="58" t="s">
        <v>2929</v>
      </c>
      <c r="P673" s="58" t="s">
        <v>1459</v>
      </c>
      <c r="Q673" s="63" t="str">
        <f>IF(V673&lt;&gt;"","Completed","")</f>
        <v>Completed</v>
      </c>
      <c r="R673" s="64">
        <v>42692</v>
      </c>
      <c r="S673" s="64" t="s">
        <v>57</v>
      </c>
      <c r="T673" s="65">
        <v>22</v>
      </c>
      <c r="U673" s="65">
        <v>43</v>
      </c>
      <c r="V673" s="65">
        <v>43</v>
      </c>
      <c r="Y673" s="74" t="s">
        <v>44</v>
      </c>
      <c r="Z673" s="56" t="s">
        <v>1590</v>
      </c>
      <c r="AA673" s="252"/>
      <c r="AB673" s="65" t="s">
        <v>94</v>
      </c>
      <c r="AC673" s="65" t="s">
        <v>29</v>
      </c>
    </row>
    <row r="674" spans="1:30">
      <c r="A674" s="75" t="s">
        <v>664</v>
      </c>
      <c r="B674" s="59"/>
      <c r="C674" s="57">
        <v>42703</v>
      </c>
      <c r="E674" s="65" t="s">
        <v>29</v>
      </c>
      <c r="F674" s="65" t="s">
        <v>29</v>
      </c>
      <c r="G674" s="58" t="s">
        <v>1443</v>
      </c>
      <c r="H674" s="58" t="s">
        <v>1456</v>
      </c>
      <c r="I674" s="60">
        <v>714</v>
      </c>
      <c r="J674" s="58" t="s">
        <v>94</v>
      </c>
      <c r="K674" s="58" t="s">
        <v>29</v>
      </c>
      <c r="L674" s="58" t="s">
        <v>94</v>
      </c>
      <c r="M674" s="58" t="s">
        <v>29</v>
      </c>
      <c r="N674" s="61" t="s">
        <v>2930</v>
      </c>
      <c r="O674" s="58" t="s">
        <v>2931</v>
      </c>
      <c r="P674" s="58" t="s">
        <v>1447</v>
      </c>
      <c r="Q674" s="63" t="str">
        <f>IF(V674&lt;&gt;"","Completed","")</f>
        <v>Completed</v>
      </c>
      <c r="R674" s="64">
        <v>42636</v>
      </c>
      <c r="S674" s="64" t="s">
        <v>222</v>
      </c>
      <c r="T674" s="65">
        <v>43</v>
      </c>
      <c r="U674" s="65">
        <v>127</v>
      </c>
      <c r="V674" s="65">
        <v>127</v>
      </c>
      <c r="Y674" s="74" t="s">
        <v>44</v>
      </c>
      <c r="Z674" s="56" t="s">
        <v>2129</v>
      </c>
      <c r="AA674" s="249">
        <f>SUM(V661:V674)</f>
        <v>1021</v>
      </c>
      <c r="AB674" s="242" t="s">
        <v>94</v>
      </c>
    </row>
    <row r="675" spans="1:30">
      <c r="A675" s="75" t="s">
        <v>894</v>
      </c>
      <c r="B675" s="59"/>
      <c r="C675" s="57">
        <v>42712</v>
      </c>
      <c r="E675" s="65" t="s">
        <v>29</v>
      </c>
      <c r="F675" s="65" t="s">
        <v>94</v>
      </c>
      <c r="G675" s="58" t="s">
        <v>1443</v>
      </c>
      <c r="H675" s="58" t="s">
        <v>1449</v>
      </c>
      <c r="I675" s="60">
        <v>317</v>
      </c>
      <c r="J675" s="58" t="s">
        <v>94</v>
      </c>
      <c r="K675" s="58" t="s">
        <v>29</v>
      </c>
      <c r="L675" s="58" t="s">
        <v>94</v>
      </c>
      <c r="M675" s="58" t="s">
        <v>94</v>
      </c>
      <c r="N675" s="61" t="s">
        <v>2932</v>
      </c>
      <c r="O675" s="58" t="s">
        <v>2933</v>
      </c>
      <c r="P675" s="58" t="s">
        <v>1447</v>
      </c>
      <c r="Q675" s="63" t="str">
        <f>IF(V675&lt;&gt;"","Completed","")</f>
        <v>Completed</v>
      </c>
      <c r="R675" s="64">
        <v>42673</v>
      </c>
      <c r="S675" s="64" t="s">
        <v>104</v>
      </c>
      <c r="T675" s="65">
        <v>26</v>
      </c>
      <c r="V675" s="256">
        <v>54</v>
      </c>
      <c r="Y675" s="74" t="s">
        <v>44</v>
      </c>
      <c r="Z675" s="56" t="s">
        <v>1599</v>
      </c>
      <c r="AA675" s="252"/>
      <c r="AB675" s="74" t="s">
        <v>94</v>
      </c>
      <c r="AC675" s="65" t="s">
        <v>29</v>
      </c>
    </row>
    <row r="676" spans="1:30">
      <c r="A676" s="75" t="s">
        <v>273</v>
      </c>
      <c r="B676" s="59"/>
      <c r="C676" s="57">
        <v>42765</v>
      </c>
      <c r="D676" s="65">
        <v>4044000</v>
      </c>
      <c r="E676" s="65" t="s">
        <v>29</v>
      </c>
      <c r="F676" s="65" t="s">
        <v>29</v>
      </c>
      <c r="G676" s="58" t="s">
        <v>1443</v>
      </c>
      <c r="H676" s="58" t="s">
        <v>1456</v>
      </c>
      <c r="I676" s="60">
        <v>0</v>
      </c>
      <c r="J676" s="58" t="s">
        <v>94</v>
      </c>
      <c r="K676" s="58" t="s">
        <v>29</v>
      </c>
      <c r="L676" s="58" t="s">
        <v>94</v>
      </c>
      <c r="M676" s="58" t="s">
        <v>29</v>
      </c>
      <c r="N676" s="61" t="s">
        <v>2934</v>
      </c>
      <c r="O676" s="58" t="s">
        <v>2935</v>
      </c>
      <c r="P676" s="58" t="s">
        <v>1447</v>
      </c>
      <c r="Q676" s="63" t="str">
        <f>IF(V676&lt;&gt;"","Completed","")</f>
        <v>Completed</v>
      </c>
      <c r="R676" s="293">
        <v>42707</v>
      </c>
      <c r="S676" s="341" t="s">
        <v>43</v>
      </c>
      <c r="T676" s="65">
        <v>21</v>
      </c>
      <c r="U676" s="256">
        <v>36</v>
      </c>
      <c r="V676" s="256">
        <v>36</v>
      </c>
      <c r="Y676" s="74" t="s">
        <v>44</v>
      </c>
      <c r="Z676" s="56" t="s">
        <v>1647</v>
      </c>
      <c r="AA676" s="252"/>
      <c r="AB676" s="65" t="s">
        <v>94</v>
      </c>
    </row>
    <row r="677" spans="1:30">
      <c r="A677" s="332" t="s">
        <v>736</v>
      </c>
      <c r="B677" s="59"/>
      <c r="C677" s="57">
        <v>42716</v>
      </c>
      <c r="E677" s="65" t="s">
        <v>29</v>
      </c>
      <c r="F677" s="65" t="s">
        <v>29</v>
      </c>
      <c r="G677" s="58" t="s">
        <v>1443</v>
      </c>
      <c r="H677" s="58" t="s">
        <v>1444</v>
      </c>
      <c r="I677" s="60">
        <v>315</v>
      </c>
      <c r="J677" s="58" t="s">
        <v>94</v>
      </c>
      <c r="K677" s="58" t="s">
        <v>29</v>
      </c>
      <c r="L677" s="58" t="s">
        <v>29</v>
      </c>
      <c r="M677" s="58" t="s">
        <v>29</v>
      </c>
      <c r="N677" s="61" t="s">
        <v>2936</v>
      </c>
      <c r="O677" s="58" t="s">
        <v>2937</v>
      </c>
      <c r="P677" s="58" t="s">
        <v>1447</v>
      </c>
      <c r="Q677" s="63" t="str">
        <f>IF(V677&lt;&gt;"","Completed","")</f>
        <v>Completed</v>
      </c>
      <c r="R677" s="64">
        <v>42682</v>
      </c>
      <c r="S677" s="64" t="s">
        <v>433</v>
      </c>
      <c r="T677" s="65">
        <v>60</v>
      </c>
      <c r="U677" s="65">
        <v>98</v>
      </c>
      <c r="V677" s="65">
        <v>98</v>
      </c>
      <c r="Y677" s="74" t="s">
        <v>44</v>
      </c>
      <c r="Z677" s="345" t="s">
        <v>1508</v>
      </c>
      <c r="AA677" s="249">
        <f>SUM(V671:V677)</f>
        <v>389</v>
      </c>
      <c r="AB677" s="74" t="s">
        <v>94</v>
      </c>
      <c r="AC677" s="65" t="s">
        <v>29</v>
      </c>
    </row>
    <row r="678" spans="1:30">
      <c r="A678" s="75" t="s">
        <v>313</v>
      </c>
      <c r="B678" s="59"/>
      <c r="C678" s="57">
        <v>42709</v>
      </c>
      <c r="D678" s="65">
        <v>3056000</v>
      </c>
      <c r="E678" s="65" t="s">
        <v>29</v>
      </c>
      <c r="F678" s="65" t="s">
        <v>29</v>
      </c>
      <c r="G678" s="58" t="s">
        <v>1443</v>
      </c>
      <c r="H678" s="58" t="s">
        <v>1456</v>
      </c>
      <c r="I678" s="60">
        <v>309</v>
      </c>
      <c r="J678" s="58" t="s">
        <v>94</v>
      </c>
      <c r="K678" s="58" t="s">
        <v>29</v>
      </c>
      <c r="L678" s="58" t="s">
        <v>94</v>
      </c>
      <c r="M678" s="58" t="s">
        <v>29</v>
      </c>
      <c r="N678" s="61" t="s">
        <v>2938</v>
      </c>
      <c r="O678" s="58" t="s">
        <v>2939</v>
      </c>
      <c r="P678" s="58" t="s">
        <v>1459</v>
      </c>
      <c r="Q678" s="63" t="str">
        <f>IF(V678&lt;&gt;"","Completed","")</f>
        <v>Completed</v>
      </c>
      <c r="R678" s="64">
        <v>42679</v>
      </c>
      <c r="S678" s="64" t="s">
        <v>149</v>
      </c>
      <c r="T678" s="65">
        <v>55</v>
      </c>
      <c r="U678" s="65">
        <v>87</v>
      </c>
      <c r="V678" s="65">
        <v>87</v>
      </c>
      <c r="Y678" s="74" t="s">
        <v>44</v>
      </c>
      <c r="Z678" s="56" t="s">
        <v>1961</v>
      </c>
      <c r="AA678" s="249">
        <f>SUM(V671:V678)</f>
        <v>476</v>
      </c>
      <c r="AB678" s="65" t="s">
        <v>94</v>
      </c>
      <c r="AC678" s="65" t="s">
        <v>94</v>
      </c>
      <c r="AD678" s="349"/>
    </row>
    <row r="679" spans="1:30">
      <c r="A679" s="75" t="s">
        <v>996</v>
      </c>
      <c r="B679" s="59"/>
      <c r="C679" s="57">
        <v>42663</v>
      </c>
      <c r="E679" s="65" t="s">
        <v>29</v>
      </c>
      <c r="F679" s="65" t="s">
        <v>29</v>
      </c>
      <c r="G679" s="58" t="s">
        <v>1443</v>
      </c>
      <c r="H679" s="58" t="s">
        <v>1444</v>
      </c>
      <c r="I679" s="60">
        <v>225</v>
      </c>
      <c r="J679" s="58" t="s">
        <v>94</v>
      </c>
      <c r="K679" s="58" t="s">
        <v>29</v>
      </c>
      <c r="L679" s="58" t="s">
        <v>29</v>
      </c>
      <c r="M679" s="58" t="s">
        <v>29</v>
      </c>
      <c r="N679" s="61" t="s">
        <v>2940</v>
      </c>
      <c r="O679" s="58" t="s">
        <v>2941</v>
      </c>
      <c r="P679" s="58" t="s">
        <v>1447</v>
      </c>
      <c r="Q679" s="63" t="str">
        <f>IF(V679&lt;&gt;"","Completed","")</f>
        <v>Completed</v>
      </c>
      <c r="R679" s="64">
        <v>42649</v>
      </c>
      <c r="S679" s="386" t="s">
        <v>397</v>
      </c>
      <c r="T679" s="65">
        <v>5</v>
      </c>
      <c r="U679" s="65">
        <v>10</v>
      </c>
      <c r="V679" s="65">
        <v>10</v>
      </c>
      <c r="Y679" s="74" t="s">
        <v>44</v>
      </c>
      <c r="Z679" s="56" t="s">
        <v>1515</v>
      </c>
      <c r="AA679" s="252">
        <f>SUM(V675:V679)</f>
        <v>285</v>
      </c>
      <c r="AB679" s="242" t="s">
        <v>94</v>
      </c>
      <c r="AC679" s="74"/>
    </row>
    <row r="680" spans="1:30">
      <c r="A680" s="75" t="s">
        <v>502</v>
      </c>
      <c r="B680" s="59"/>
      <c r="C680" s="57">
        <v>42794</v>
      </c>
      <c r="E680" s="65" t="s">
        <v>29</v>
      </c>
      <c r="F680" s="65" t="s">
        <v>29</v>
      </c>
      <c r="G680" s="58"/>
      <c r="H680" s="58"/>
      <c r="I680" s="60"/>
      <c r="J680" s="58"/>
      <c r="K680" s="58"/>
      <c r="L680" s="58"/>
      <c r="M680" s="58"/>
      <c r="N680" s="251" t="s">
        <v>2942</v>
      </c>
      <c r="O680" s="58" t="s">
        <v>2943</v>
      </c>
      <c r="P680" s="58"/>
      <c r="Q680" s="63" t="str">
        <f>IF(V680&lt;&gt;"","Completed","")</f>
        <v>Completed</v>
      </c>
      <c r="R680" s="64">
        <v>42756</v>
      </c>
      <c r="S680" s="64" t="s">
        <v>57</v>
      </c>
      <c r="T680" s="65">
        <v>37</v>
      </c>
      <c r="U680" s="65">
        <v>70</v>
      </c>
      <c r="V680" s="65">
        <v>70</v>
      </c>
      <c r="Y680" s="74" t="s">
        <v>44</v>
      </c>
      <c r="Z680" s="56" t="s">
        <v>1884</v>
      </c>
      <c r="AA680" s="249">
        <f>SUM(V673:V680)</f>
        <v>525</v>
      </c>
      <c r="AB680" s="65" t="s">
        <v>94</v>
      </c>
      <c r="AC680" s="242" t="s">
        <v>29</v>
      </c>
    </row>
    <row r="681" spans="1:30">
      <c r="A681" s="332" t="s">
        <v>1015</v>
      </c>
      <c r="B681" s="59"/>
      <c r="C681" s="57"/>
      <c r="E681" s="65" t="s">
        <v>29</v>
      </c>
      <c r="F681" s="65" t="s">
        <v>29</v>
      </c>
      <c r="G681" s="58" t="s">
        <v>1443</v>
      </c>
      <c r="H681" s="58" t="s">
        <v>1456</v>
      </c>
      <c r="I681" s="60">
        <v>0</v>
      </c>
      <c r="J681" s="58" t="s">
        <v>94</v>
      </c>
      <c r="K681" s="58" t="s">
        <v>29</v>
      </c>
      <c r="L681" s="58" t="s">
        <v>29</v>
      </c>
      <c r="M681" s="58" t="s">
        <v>29</v>
      </c>
      <c r="N681" s="375" t="s">
        <v>2944</v>
      </c>
      <c r="O681" s="373" t="s">
        <v>2945</v>
      </c>
      <c r="P681" s="58" t="s">
        <v>1459</v>
      </c>
      <c r="Q681" s="63" t="str">
        <f>IF(V681&lt;&gt;"","Completed","")</f>
        <v>Completed</v>
      </c>
      <c r="R681" s="64">
        <v>42622</v>
      </c>
      <c r="S681" s="64" t="s">
        <v>80</v>
      </c>
      <c r="T681" s="242">
        <v>56</v>
      </c>
      <c r="U681" s="242">
        <v>95</v>
      </c>
      <c r="V681" s="242">
        <v>95</v>
      </c>
      <c r="Y681" s="74" t="s">
        <v>44</v>
      </c>
      <c r="Z681" s="56" t="s">
        <v>1521</v>
      </c>
      <c r="AA681" s="252"/>
      <c r="AB681" s="242" t="s">
        <v>94</v>
      </c>
      <c r="AC681" s="242" t="s">
        <v>94</v>
      </c>
    </row>
    <row r="682" spans="1:30">
      <c r="A682" s="244" t="s">
        <v>1062</v>
      </c>
      <c r="B682" s="62" t="s">
        <v>913</v>
      </c>
      <c r="C682" s="57">
        <v>42725</v>
      </c>
      <c r="E682" s="65" t="s">
        <v>29</v>
      </c>
      <c r="F682" s="65" t="s">
        <v>29</v>
      </c>
      <c r="G682" s="58" t="s">
        <v>1443</v>
      </c>
      <c r="H682" s="58" t="s">
        <v>1456</v>
      </c>
      <c r="I682" s="60">
        <v>455</v>
      </c>
      <c r="J682" s="58" t="s">
        <v>94</v>
      </c>
      <c r="K682" s="58" t="s">
        <v>29</v>
      </c>
      <c r="L682" s="58" t="s">
        <v>29</v>
      </c>
      <c r="M682" s="58" t="s">
        <v>29</v>
      </c>
      <c r="N682" s="61" t="s">
        <v>2946</v>
      </c>
      <c r="O682" s="58" t="s">
        <v>2947</v>
      </c>
      <c r="P682" s="58" t="s">
        <v>1447</v>
      </c>
      <c r="Q682" s="63" t="str">
        <f>IF(V682&lt;&gt;"","Completed","")</f>
        <v>Completed</v>
      </c>
      <c r="R682" s="64">
        <v>42707</v>
      </c>
      <c r="S682" s="64" t="s">
        <v>149</v>
      </c>
      <c r="T682" s="65">
        <v>70</v>
      </c>
      <c r="U682" s="65">
        <v>110</v>
      </c>
      <c r="V682" s="65">
        <v>110</v>
      </c>
      <c r="Y682" s="74" t="s">
        <v>44</v>
      </c>
      <c r="Z682" s="56" t="s">
        <v>1640</v>
      </c>
      <c r="AA682" s="252">
        <f>SUM(V680:V682)</f>
        <v>275</v>
      </c>
      <c r="AB682" s="65" t="s">
        <v>94</v>
      </c>
      <c r="AC682" s="65" t="s">
        <v>29</v>
      </c>
    </row>
    <row r="683" spans="1:30">
      <c r="A683" s="75" t="s">
        <v>487</v>
      </c>
      <c r="B683" s="59"/>
      <c r="C683" s="57">
        <v>42726</v>
      </c>
      <c r="E683" s="65" t="s">
        <v>29</v>
      </c>
      <c r="F683" s="65" t="s">
        <v>29</v>
      </c>
      <c r="G683" s="58" t="s">
        <v>1443</v>
      </c>
      <c r="H683" s="58" t="s">
        <v>1456</v>
      </c>
      <c r="I683" s="60">
        <v>450</v>
      </c>
      <c r="J683" s="58" t="s">
        <v>29</v>
      </c>
      <c r="K683" s="58" t="s">
        <v>29</v>
      </c>
      <c r="L683" s="58" t="s">
        <v>94</v>
      </c>
      <c r="M683" s="58" t="s">
        <v>29</v>
      </c>
      <c r="N683" s="61" t="s">
        <v>2948</v>
      </c>
      <c r="O683" s="58" t="s">
        <v>2949</v>
      </c>
      <c r="P683" s="58" t="s">
        <v>1447</v>
      </c>
      <c r="Q683" s="63" t="str">
        <f>IF(V683&lt;&gt;"","Completed","")</f>
        <v>Completed</v>
      </c>
      <c r="R683" s="64">
        <v>42672</v>
      </c>
      <c r="S683" s="64" t="s">
        <v>114</v>
      </c>
      <c r="T683" s="65">
        <v>74</v>
      </c>
      <c r="U683" s="65">
        <v>115</v>
      </c>
      <c r="V683" s="65">
        <v>115</v>
      </c>
      <c r="Y683" s="74" t="s">
        <v>44</v>
      </c>
      <c r="Z683" s="56" t="s">
        <v>1893</v>
      </c>
      <c r="AA683" s="252"/>
      <c r="AB683" s="325" t="s">
        <v>94</v>
      </c>
      <c r="AC683" s="325" t="s">
        <v>94</v>
      </c>
    </row>
    <row r="684" spans="1:30">
      <c r="A684" s="75" t="s">
        <v>1022</v>
      </c>
      <c r="B684" s="59"/>
      <c r="C684" s="57">
        <v>42740</v>
      </c>
      <c r="E684" s="65" t="s">
        <v>29</v>
      </c>
      <c r="F684" s="65" t="s">
        <v>29</v>
      </c>
      <c r="G684" s="58" t="s">
        <v>1443</v>
      </c>
      <c r="H684" s="58" t="s">
        <v>1456</v>
      </c>
      <c r="I684" s="60">
        <v>0</v>
      </c>
      <c r="J684" s="58" t="s">
        <v>29</v>
      </c>
      <c r="K684" s="58" t="s">
        <v>29</v>
      </c>
      <c r="L684" s="58" t="s">
        <v>94</v>
      </c>
      <c r="M684" s="58" t="s">
        <v>29</v>
      </c>
      <c r="N684" s="61" t="s">
        <v>2950</v>
      </c>
      <c r="O684" s="58" t="s">
        <v>2951</v>
      </c>
      <c r="P684" s="58" t="s">
        <v>1459</v>
      </c>
      <c r="Q684" s="63" t="str">
        <f>IF(V684&lt;&gt;"","Completed","")</f>
        <v>Completed</v>
      </c>
      <c r="R684" s="64">
        <v>42685</v>
      </c>
      <c r="S684" s="64" t="s">
        <v>80</v>
      </c>
      <c r="T684" s="65">
        <v>58</v>
      </c>
      <c r="U684" s="65">
        <v>113</v>
      </c>
      <c r="V684" s="65">
        <v>113</v>
      </c>
      <c r="Y684" s="74" t="s">
        <v>44</v>
      </c>
      <c r="Z684" s="56" t="s">
        <v>1491</v>
      </c>
      <c r="AA684" s="249"/>
      <c r="AB684" s="65" t="s">
        <v>94</v>
      </c>
      <c r="AC684" s="74" t="s">
        <v>94</v>
      </c>
    </row>
    <row r="685" spans="1:30">
      <c r="A685" s="332" t="s">
        <v>1022</v>
      </c>
      <c r="B685" s="59"/>
      <c r="C685" s="57">
        <v>42727</v>
      </c>
      <c r="E685" s="65" t="s">
        <v>29</v>
      </c>
      <c r="F685" s="65" t="s">
        <v>29</v>
      </c>
      <c r="G685" s="58" t="s">
        <v>1443</v>
      </c>
      <c r="H685" s="58" t="s">
        <v>1456</v>
      </c>
      <c r="I685" s="60">
        <v>0</v>
      </c>
      <c r="J685" s="58" t="s">
        <v>94</v>
      </c>
      <c r="K685" s="58" t="s">
        <v>29</v>
      </c>
      <c r="L685" s="58" t="s">
        <v>94</v>
      </c>
      <c r="M685" s="58" t="s">
        <v>29</v>
      </c>
      <c r="N685" s="61" t="s">
        <v>2952</v>
      </c>
      <c r="O685" s="58" t="s">
        <v>2953</v>
      </c>
      <c r="P685" s="58" t="s">
        <v>1447</v>
      </c>
      <c r="Q685" s="63" t="str">
        <f>IF(V685&lt;&gt;"","Completed","")</f>
        <v>Completed</v>
      </c>
      <c r="R685" s="319">
        <v>42705</v>
      </c>
      <c r="S685" s="64" t="s">
        <v>80</v>
      </c>
      <c r="T685" s="242">
        <v>4</v>
      </c>
      <c r="U685" s="242">
        <v>7</v>
      </c>
      <c r="V685" s="242">
        <v>7</v>
      </c>
      <c r="W685" s="242"/>
      <c r="X685" s="242"/>
      <c r="Y685" s="74" t="s">
        <v>44</v>
      </c>
      <c r="Z685" s="345" t="s">
        <v>1605</v>
      </c>
      <c r="AA685" s="249"/>
      <c r="AB685" s="65" t="s">
        <v>94</v>
      </c>
      <c r="AC685" s="74" t="s">
        <v>29</v>
      </c>
    </row>
    <row r="686" spans="1:30">
      <c r="A686" s="332" t="s">
        <v>1022</v>
      </c>
      <c r="B686" s="59"/>
      <c r="C686" s="57">
        <v>42727</v>
      </c>
      <c r="E686" s="65" t="s">
        <v>29</v>
      </c>
      <c r="F686" s="65" t="s">
        <v>29</v>
      </c>
      <c r="G686" s="58" t="s">
        <v>1443</v>
      </c>
      <c r="H686" s="58" t="s">
        <v>1456</v>
      </c>
      <c r="I686" s="60">
        <v>0</v>
      </c>
      <c r="J686" s="58" t="s">
        <v>94</v>
      </c>
      <c r="K686" s="58" t="s">
        <v>29</v>
      </c>
      <c r="L686" s="58" t="s">
        <v>94</v>
      </c>
      <c r="M686" s="58" t="s">
        <v>29</v>
      </c>
      <c r="N686" s="61" t="s">
        <v>2952</v>
      </c>
      <c r="O686" s="58" t="s">
        <v>2954</v>
      </c>
      <c r="P686" s="58" t="s">
        <v>1447</v>
      </c>
      <c r="Q686" s="63" t="str">
        <f>IF(V686&lt;&gt;"","Completed","")</f>
        <v>Completed</v>
      </c>
      <c r="R686" s="319">
        <v>42705</v>
      </c>
      <c r="S686" s="64" t="s">
        <v>80</v>
      </c>
      <c r="T686" s="242">
        <v>4</v>
      </c>
      <c r="U686" s="242">
        <v>8</v>
      </c>
      <c r="V686" s="242">
        <v>8</v>
      </c>
      <c r="W686" s="242"/>
      <c r="X686" s="242"/>
      <c r="Y686" s="74" t="s">
        <v>44</v>
      </c>
      <c r="Z686" s="345" t="s">
        <v>1605</v>
      </c>
      <c r="AA686" s="249"/>
      <c r="AB686" s="65" t="s">
        <v>94</v>
      </c>
      <c r="AC686" s="74" t="s">
        <v>29</v>
      </c>
    </row>
    <row r="687" spans="1:30">
      <c r="A687" s="332" t="s">
        <v>1022</v>
      </c>
      <c r="B687" s="59"/>
      <c r="C687" s="57">
        <v>42717</v>
      </c>
      <c r="E687" s="65" t="s">
        <v>29</v>
      </c>
      <c r="F687" s="65" t="s">
        <v>29</v>
      </c>
      <c r="G687" s="58" t="s">
        <v>1443</v>
      </c>
      <c r="H687" s="58" t="s">
        <v>1456</v>
      </c>
      <c r="I687" s="60">
        <v>0</v>
      </c>
      <c r="J687" s="58" t="s">
        <v>94</v>
      </c>
      <c r="K687" s="58" t="s">
        <v>29</v>
      </c>
      <c r="L687" s="58" t="s">
        <v>94</v>
      </c>
      <c r="M687" s="58" t="s">
        <v>29</v>
      </c>
      <c r="N687" s="61" t="s">
        <v>2955</v>
      </c>
      <c r="O687" s="58" t="s">
        <v>2956</v>
      </c>
      <c r="P687" s="58" t="s">
        <v>1447</v>
      </c>
      <c r="Q687" s="63" t="str">
        <f>IF(V687&lt;&gt;"","Completed","")</f>
        <v>Completed</v>
      </c>
      <c r="R687" s="319">
        <v>42697</v>
      </c>
      <c r="S687" s="64" t="s">
        <v>80</v>
      </c>
      <c r="T687" s="242">
        <v>43</v>
      </c>
      <c r="U687" s="242">
        <v>78</v>
      </c>
      <c r="V687" s="242">
        <v>78</v>
      </c>
      <c r="W687" s="242"/>
      <c r="X687" s="242"/>
      <c r="Y687" s="74" t="s">
        <v>44</v>
      </c>
      <c r="Z687" s="345" t="s">
        <v>1602</v>
      </c>
      <c r="AA687" s="249"/>
      <c r="AB687" s="74" t="s">
        <v>94</v>
      </c>
      <c r="AC687" s="74" t="s">
        <v>94</v>
      </c>
    </row>
    <row r="688" spans="1:30">
      <c r="A688" s="332" t="s">
        <v>1022</v>
      </c>
      <c r="B688" s="59"/>
      <c r="C688" s="299">
        <v>42773</v>
      </c>
      <c r="E688" s="65" t="s">
        <v>29</v>
      </c>
      <c r="F688" s="65" t="s">
        <v>29</v>
      </c>
      <c r="G688" s="58" t="s">
        <v>1443</v>
      </c>
      <c r="H688" s="58" t="s">
        <v>1456</v>
      </c>
      <c r="I688" s="60">
        <v>66</v>
      </c>
      <c r="J688" s="58" t="s">
        <v>94</v>
      </c>
      <c r="K688" s="58" t="s">
        <v>29</v>
      </c>
      <c r="L688" s="58" t="s">
        <v>94</v>
      </c>
      <c r="M688" s="58" t="s">
        <v>29</v>
      </c>
      <c r="N688" s="61" t="s">
        <v>2957</v>
      </c>
      <c r="O688" s="58" t="s">
        <v>2958</v>
      </c>
      <c r="P688" s="58" t="s">
        <v>1447</v>
      </c>
      <c r="Q688" s="63" t="str">
        <f>IF(V688&lt;&gt;"","Completed","")</f>
        <v>Completed</v>
      </c>
      <c r="R688" s="319">
        <v>42763</v>
      </c>
      <c r="S688" s="64" t="s">
        <v>80</v>
      </c>
      <c r="T688" s="242">
        <v>9</v>
      </c>
      <c r="U688" s="242">
        <v>18</v>
      </c>
      <c r="V688" s="242">
        <v>18</v>
      </c>
      <c r="W688" s="242"/>
      <c r="X688" s="242"/>
      <c r="Y688" s="74" t="s">
        <v>44</v>
      </c>
      <c r="Z688" s="345" t="s">
        <v>1868</v>
      </c>
      <c r="AA688" s="249"/>
      <c r="AB688" s="74" t="s">
        <v>94</v>
      </c>
      <c r="AC688" s="74" t="s">
        <v>29</v>
      </c>
    </row>
    <row r="689" spans="1:30">
      <c r="A689" s="332" t="s">
        <v>1022</v>
      </c>
      <c r="B689" s="59"/>
      <c r="C689" s="57">
        <v>42727</v>
      </c>
      <c r="E689" s="65" t="s">
        <v>29</v>
      </c>
      <c r="F689" s="65" t="s">
        <v>29</v>
      </c>
      <c r="G689" s="58" t="s">
        <v>1443</v>
      </c>
      <c r="H689" s="58" t="s">
        <v>1456</v>
      </c>
      <c r="I689" s="60">
        <v>0</v>
      </c>
      <c r="J689" s="58" t="s">
        <v>94</v>
      </c>
      <c r="K689" s="58" t="s">
        <v>29</v>
      </c>
      <c r="L689" s="58" t="s">
        <v>94</v>
      </c>
      <c r="M689" s="58" t="s">
        <v>29</v>
      </c>
      <c r="N689" s="375" t="s">
        <v>2959</v>
      </c>
      <c r="O689" s="373" t="s">
        <v>2960</v>
      </c>
      <c r="P689" s="58" t="s">
        <v>1447</v>
      </c>
      <c r="Q689" s="63" t="str">
        <f>IF(V689&lt;&gt;"","Completed","")</f>
        <v>Completed</v>
      </c>
      <c r="R689" s="319">
        <v>42712</v>
      </c>
      <c r="S689" s="64" t="s">
        <v>80</v>
      </c>
      <c r="T689" s="242">
        <v>32</v>
      </c>
      <c r="U689" s="242">
        <v>59</v>
      </c>
      <c r="V689" s="242">
        <v>59</v>
      </c>
      <c r="W689" s="242"/>
      <c r="X689" s="242"/>
      <c r="Y689" s="74" t="s">
        <v>44</v>
      </c>
      <c r="Z689" s="345" t="s">
        <v>1605</v>
      </c>
      <c r="AA689" s="249"/>
      <c r="AB689" s="347" t="s">
        <v>94</v>
      </c>
      <c r="AC689" s="347" t="s">
        <v>29</v>
      </c>
    </row>
    <row r="690" spans="1:30">
      <c r="A690" s="332" t="s">
        <v>1022</v>
      </c>
      <c r="B690" s="59"/>
      <c r="C690" s="57">
        <v>42790</v>
      </c>
      <c r="E690" s="65" t="s">
        <v>29</v>
      </c>
      <c r="F690" s="65" t="s">
        <v>29</v>
      </c>
      <c r="G690" s="58" t="s">
        <v>1443</v>
      </c>
      <c r="H690" s="58" t="s">
        <v>1456</v>
      </c>
      <c r="I690" s="60">
        <v>0</v>
      </c>
      <c r="J690" s="58" t="s">
        <v>94</v>
      </c>
      <c r="K690" s="58" t="s">
        <v>29</v>
      </c>
      <c r="L690" s="58" t="s">
        <v>94</v>
      </c>
      <c r="M690" s="58" t="s">
        <v>29</v>
      </c>
      <c r="N690" s="61" t="s">
        <v>2961</v>
      </c>
      <c r="O690" s="58" t="s">
        <v>2962</v>
      </c>
      <c r="P690" s="58" t="s">
        <v>1447</v>
      </c>
      <c r="Q690" s="63" t="str">
        <f>IF(V690&lt;&gt;"","Completed","")</f>
        <v>Completed</v>
      </c>
      <c r="R690" s="319">
        <v>42706</v>
      </c>
      <c r="S690" s="64" t="s">
        <v>80</v>
      </c>
      <c r="T690" s="242">
        <v>6</v>
      </c>
      <c r="U690" s="242">
        <v>11</v>
      </c>
      <c r="V690" s="242">
        <v>11</v>
      </c>
      <c r="W690" s="242"/>
      <c r="X690" s="242"/>
      <c r="Y690" s="74" t="s">
        <v>44</v>
      </c>
      <c r="Z690" s="345" t="s">
        <v>1608</v>
      </c>
      <c r="AA690" s="249"/>
      <c r="AB690" s="65" t="s">
        <v>94</v>
      </c>
      <c r="AC690" s="74" t="s">
        <v>94</v>
      </c>
    </row>
    <row r="691" spans="1:30">
      <c r="A691" s="75" t="s">
        <v>929</v>
      </c>
      <c r="B691" s="59"/>
      <c r="C691" s="57">
        <v>42790</v>
      </c>
      <c r="E691" s="65" t="s">
        <v>29</v>
      </c>
      <c r="F691" s="65" t="s">
        <v>94</v>
      </c>
      <c r="G691" s="58" t="s">
        <v>1443</v>
      </c>
      <c r="H691" s="58" t="s">
        <v>1444</v>
      </c>
      <c r="I691" s="60">
        <v>275</v>
      </c>
      <c r="J691" s="58" t="s">
        <v>94</v>
      </c>
      <c r="K691" s="58" t="s">
        <v>29</v>
      </c>
      <c r="L691" s="58" t="s">
        <v>94</v>
      </c>
      <c r="M691" s="58" t="s">
        <v>94</v>
      </c>
      <c r="N691" s="61" t="s">
        <v>2963</v>
      </c>
      <c r="O691" s="58" t="s">
        <v>2964</v>
      </c>
      <c r="P691" s="58" t="s">
        <v>1447</v>
      </c>
      <c r="Q691" s="63" t="str">
        <f>IF(V691&lt;&gt;"","Completed","")</f>
        <v>Completed</v>
      </c>
      <c r="R691" s="64">
        <v>42637</v>
      </c>
      <c r="S691" s="386" t="s">
        <v>172</v>
      </c>
      <c r="T691" s="65">
        <v>41</v>
      </c>
      <c r="U691" s="256">
        <v>69</v>
      </c>
      <c r="V691" s="256">
        <v>69</v>
      </c>
      <c r="Y691" s="74" t="s">
        <v>44</v>
      </c>
      <c r="Z691" s="56" t="s">
        <v>1627</v>
      </c>
      <c r="AA691" s="249"/>
      <c r="AB691" s="65" t="s">
        <v>94</v>
      </c>
      <c r="AC691" s="65" t="s">
        <v>29</v>
      </c>
    </row>
    <row r="692" spans="1:30">
      <c r="A692" s="332" t="s">
        <v>1094</v>
      </c>
      <c r="B692" s="377"/>
      <c r="C692" s="320"/>
      <c r="D692" s="242"/>
      <c r="E692" s="242" t="s">
        <v>29</v>
      </c>
      <c r="F692" s="242" t="s">
        <v>29</v>
      </c>
      <c r="G692" s="373" t="s">
        <v>1443</v>
      </c>
      <c r="H692" s="373" t="s">
        <v>1456</v>
      </c>
      <c r="I692" s="374">
        <v>317</v>
      </c>
      <c r="J692" s="373" t="s">
        <v>94</v>
      </c>
      <c r="K692" s="373" t="s">
        <v>29</v>
      </c>
      <c r="L692" s="373" t="s">
        <v>94</v>
      </c>
      <c r="M692" s="373" t="s">
        <v>29</v>
      </c>
      <c r="N692" s="375" t="s">
        <v>2965</v>
      </c>
      <c r="O692" s="373" t="s">
        <v>2966</v>
      </c>
      <c r="P692" s="373" t="s">
        <v>1459</v>
      </c>
      <c r="Q692" s="261" t="str">
        <f>IF(V692&lt;&gt;"","Completed","")</f>
        <v>Completed</v>
      </c>
      <c r="R692" s="319">
        <v>42622</v>
      </c>
      <c r="S692" s="319" t="s">
        <v>80</v>
      </c>
      <c r="T692" s="323">
        <v>68</v>
      </c>
      <c r="U692" s="242">
        <v>104</v>
      </c>
      <c r="V692" s="242">
        <v>104</v>
      </c>
      <c r="Y692" s="74" t="s">
        <v>44</v>
      </c>
      <c r="Z692" s="56" t="s">
        <v>2669</v>
      </c>
      <c r="AA692" s="249"/>
      <c r="AB692" s="242" t="s">
        <v>94</v>
      </c>
      <c r="AC692" s="242" t="s">
        <v>29</v>
      </c>
    </row>
    <row r="693" spans="1:30">
      <c r="A693" s="245" t="s">
        <v>1228</v>
      </c>
      <c r="B693" s="62" t="s">
        <v>371</v>
      </c>
      <c r="C693" s="57">
        <v>42733</v>
      </c>
      <c r="E693" s="65" t="s">
        <v>29</v>
      </c>
      <c r="F693" s="65" t="s">
        <v>29</v>
      </c>
      <c r="G693" s="58" t="s">
        <v>1443</v>
      </c>
      <c r="H693" s="58" t="s">
        <v>1456</v>
      </c>
      <c r="I693" s="60">
        <v>347</v>
      </c>
      <c r="J693" s="58" t="s">
        <v>29</v>
      </c>
      <c r="K693" s="58" t="s">
        <v>29</v>
      </c>
      <c r="L693" s="58" t="s">
        <v>94</v>
      </c>
      <c r="M693" s="58" t="s">
        <v>29</v>
      </c>
      <c r="N693" s="61" t="s">
        <v>2967</v>
      </c>
      <c r="O693" s="58" t="s">
        <v>2968</v>
      </c>
      <c r="P693" s="58" t="s">
        <v>1459</v>
      </c>
      <c r="Q693" s="63" t="str">
        <f>IF(V693&lt;&gt;"","Completed","")</f>
        <v>Completed</v>
      </c>
      <c r="R693" s="64">
        <v>42665</v>
      </c>
      <c r="S693" s="67" t="s">
        <v>43</v>
      </c>
      <c r="T693" s="242">
        <v>37</v>
      </c>
      <c r="U693" s="242">
        <v>70</v>
      </c>
      <c r="V693" s="242">
        <v>70</v>
      </c>
      <c r="W693" s="242"/>
      <c r="X693" s="242"/>
      <c r="Y693" s="74" t="s">
        <v>44</v>
      </c>
      <c r="Z693" s="345" t="s">
        <v>2512</v>
      </c>
      <c r="AA693" s="252">
        <f>SUM(V690:V693)</f>
        <v>254</v>
      </c>
      <c r="AB693" s="151" t="s">
        <v>94</v>
      </c>
      <c r="AC693" s="151" t="s">
        <v>94</v>
      </c>
    </row>
    <row r="694" spans="1:30">
      <c r="A694" s="332" t="s">
        <v>1022</v>
      </c>
      <c r="B694" s="59"/>
      <c r="C694" s="57">
        <v>42773</v>
      </c>
      <c r="E694" s="65" t="s">
        <v>29</v>
      </c>
      <c r="F694" s="65" t="s">
        <v>29</v>
      </c>
      <c r="G694" s="58" t="s">
        <v>1443</v>
      </c>
      <c r="H694" s="58" t="s">
        <v>1456</v>
      </c>
      <c r="I694" s="60">
        <v>0</v>
      </c>
      <c r="J694" s="58" t="s">
        <v>94</v>
      </c>
      <c r="K694" s="58" t="s">
        <v>29</v>
      </c>
      <c r="L694" s="58" t="s">
        <v>94</v>
      </c>
      <c r="M694" s="58" t="s">
        <v>29</v>
      </c>
      <c r="N694" s="61" t="s">
        <v>2969</v>
      </c>
      <c r="O694" s="58" t="s">
        <v>2970</v>
      </c>
      <c r="P694" s="58" t="s">
        <v>1447</v>
      </c>
      <c r="Q694" s="63" t="str">
        <f>IF(V694&lt;&gt;"","Completed","")</f>
        <v>Completed</v>
      </c>
      <c r="R694" s="319">
        <v>42763</v>
      </c>
      <c r="S694" s="64" t="s">
        <v>80</v>
      </c>
      <c r="T694" s="81">
        <v>11</v>
      </c>
      <c r="U694" s="81">
        <v>22</v>
      </c>
      <c r="V694" s="81">
        <v>22</v>
      </c>
      <c r="W694" s="81"/>
      <c r="X694" s="81"/>
      <c r="Y694" s="74" t="s">
        <v>44</v>
      </c>
      <c r="Z694" s="345" t="s">
        <v>1868</v>
      </c>
      <c r="AA694" s="249"/>
      <c r="AB694" s="65" t="s">
        <v>94</v>
      </c>
      <c r="AC694" s="74" t="s">
        <v>29</v>
      </c>
    </row>
    <row r="695" spans="1:30">
      <c r="A695" s="75" t="s">
        <v>703</v>
      </c>
      <c r="B695" s="59"/>
      <c r="C695" s="57">
        <v>42675</v>
      </c>
      <c r="E695" s="65" t="s">
        <v>29</v>
      </c>
      <c r="F695" s="65" t="s">
        <v>29</v>
      </c>
      <c r="G695" s="58" t="s">
        <v>1443</v>
      </c>
      <c r="H695" s="58"/>
      <c r="I695" s="60"/>
      <c r="J695" s="58"/>
      <c r="K695" s="58"/>
      <c r="L695" s="58"/>
      <c r="M695" s="58"/>
      <c r="N695" s="61" t="s">
        <v>2971</v>
      </c>
      <c r="O695" s="58" t="s">
        <v>2972</v>
      </c>
      <c r="P695" s="58"/>
      <c r="Q695" s="63" t="str">
        <f>IF(V695&lt;&gt;"","Completed","")</f>
        <v>Completed</v>
      </c>
      <c r="R695" s="64">
        <v>42651</v>
      </c>
      <c r="S695" s="64" t="s">
        <v>222</v>
      </c>
      <c r="T695" s="65">
        <v>111</v>
      </c>
      <c r="U695" s="65">
        <v>167</v>
      </c>
      <c r="V695" s="65">
        <v>167</v>
      </c>
      <c r="Y695" s="74" t="s">
        <v>44</v>
      </c>
      <c r="Z695" s="56" t="s">
        <v>1582</v>
      </c>
      <c r="AA695" s="249"/>
      <c r="AB695" s="242" t="s">
        <v>94</v>
      </c>
    </row>
    <row r="696" spans="1:30">
      <c r="A696" s="75" t="s">
        <v>487</v>
      </c>
      <c r="B696" s="59"/>
      <c r="C696" s="57">
        <v>42726</v>
      </c>
      <c r="E696" s="65" t="s">
        <v>29</v>
      </c>
      <c r="F696" s="65" t="s">
        <v>29</v>
      </c>
      <c r="G696" s="58" t="s">
        <v>1443</v>
      </c>
      <c r="H696" s="58" t="s">
        <v>1456</v>
      </c>
      <c r="I696" s="60">
        <v>17</v>
      </c>
      <c r="J696" s="58" t="s">
        <v>94</v>
      </c>
      <c r="K696" s="58" t="s">
        <v>29</v>
      </c>
      <c r="L696" s="58" t="s">
        <v>94</v>
      </c>
      <c r="M696" s="58" t="s">
        <v>29</v>
      </c>
      <c r="N696" s="61" t="s">
        <v>2973</v>
      </c>
      <c r="O696" s="58" t="s">
        <v>2974</v>
      </c>
      <c r="P696" s="58" t="s">
        <v>1447</v>
      </c>
      <c r="Q696" s="63" t="str">
        <f>IF(V696&lt;&gt;"","Completed","")</f>
        <v>Completed</v>
      </c>
      <c r="R696" s="64">
        <v>42672</v>
      </c>
      <c r="S696" s="64" t="s">
        <v>114</v>
      </c>
      <c r="T696" s="65">
        <v>3</v>
      </c>
      <c r="U696" s="65">
        <v>6</v>
      </c>
      <c r="V696" s="65">
        <v>6</v>
      </c>
      <c r="Y696" s="74" t="s">
        <v>44</v>
      </c>
      <c r="Z696" s="56" t="s">
        <v>1893</v>
      </c>
      <c r="AA696" s="252"/>
      <c r="AB696" s="325" t="s">
        <v>94</v>
      </c>
      <c r="AC696" s="325" t="s">
        <v>29</v>
      </c>
    </row>
    <row r="697" spans="1:30">
      <c r="A697" s="75" t="s">
        <v>1179</v>
      </c>
      <c r="B697" s="59" t="s">
        <v>1180</v>
      </c>
      <c r="C697" s="57">
        <v>42773</v>
      </c>
      <c r="E697" s="65" t="s">
        <v>29</v>
      </c>
      <c r="F697" s="65" t="s">
        <v>94</v>
      </c>
      <c r="G697" s="254" t="s">
        <v>1443</v>
      </c>
      <c r="H697" s="254" t="s">
        <v>1449</v>
      </c>
      <c r="I697" s="255">
        <v>314</v>
      </c>
      <c r="J697" s="254" t="s">
        <v>94</v>
      </c>
      <c r="K697" s="254" t="s">
        <v>29</v>
      </c>
      <c r="L697" s="254" t="s">
        <v>94</v>
      </c>
      <c r="M697" s="254" t="s">
        <v>94</v>
      </c>
      <c r="N697" s="61" t="s">
        <v>2975</v>
      </c>
      <c r="O697" s="58" t="s">
        <v>2976</v>
      </c>
      <c r="P697" s="58" t="s">
        <v>1447</v>
      </c>
      <c r="Q697" s="63" t="str">
        <f>IF(V697&lt;&gt;"","Completed","")</f>
        <v>Completed</v>
      </c>
      <c r="R697" s="64">
        <v>42714</v>
      </c>
      <c r="S697" s="64" t="s">
        <v>104</v>
      </c>
      <c r="T697" s="65">
        <v>31</v>
      </c>
      <c r="V697" s="256">
        <v>62</v>
      </c>
      <c r="Y697" s="74" t="s">
        <v>44</v>
      </c>
      <c r="Z697" s="56" t="s">
        <v>1536</v>
      </c>
      <c r="AA697" s="92"/>
      <c r="AB697" s="65" t="s">
        <v>94</v>
      </c>
      <c r="AC697" s="74" t="s">
        <v>94</v>
      </c>
    </row>
    <row r="698" spans="1:30">
      <c r="A698" s="75" t="s">
        <v>331</v>
      </c>
      <c r="B698" s="59"/>
      <c r="C698" s="57">
        <v>42720</v>
      </c>
      <c r="D698" s="65">
        <v>1061000</v>
      </c>
      <c r="E698" s="65" t="s">
        <v>29</v>
      </c>
      <c r="F698" s="65" t="s">
        <v>94</v>
      </c>
      <c r="G698" s="58" t="s">
        <v>1443</v>
      </c>
      <c r="H698" s="58" t="s">
        <v>1456</v>
      </c>
      <c r="I698" s="60">
        <v>236</v>
      </c>
      <c r="J698" s="58" t="s">
        <v>94</v>
      </c>
      <c r="K698" s="58" t="s">
        <v>29</v>
      </c>
      <c r="L698" s="58" t="s">
        <v>94</v>
      </c>
      <c r="M698" s="58" t="s">
        <v>94</v>
      </c>
      <c r="N698" s="61" t="s">
        <v>2977</v>
      </c>
      <c r="O698" s="58" t="s">
        <v>2978</v>
      </c>
      <c r="P698" s="58" t="s">
        <v>1459</v>
      </c>
      <c r="Q698" s="63" t="str">
        <f>IF(V698&lt;&gt;"","Completed","")</f>
        <v>Completed</v>
      </c>
      <c r="R698" s="64">
        <v>42647</v>
      </c>
      <c r="S698" s="64" t="s">
        <v>104</v>
      </c>
      <c r="T698" s="65">
        <v>14</v>
      </c>
      <c r="V698" s="256">
        <v>31</v>
      </c>
      <c r="Y698" s="74" t="s">
        <v>44</v>
      </c>
      <c r="Z698" s="56" t="s">
        <v>1527</v>
      </c>
      <c r="AA698" s="249"/>
      <c r="AB698" s="151" t="s">
        <v>94</v>
      </c>
      <c r="AC698" s="324" t="s">
        <v>29</v>
      </c>
      <c r="AD698" s="349"/>
    </row>
    <row r="699" spans="1:30">
      <c r="A699" s="75" t="s">
        <v>173</v>
      </c>
      <c r="B699" s="59"/>
      <c r="C699" s="57">
        <v>42726</v>
      </c>
      <c r="D699" s="65">
        <v>4020000</v>
      </c>
      <c r="E699" s="65" t="s">
        <v>29</v>
      </c>
      <c r="F699" s="65" t="s">
        <v>29</v>
      </c>
      <c r="G699" s="58" t="s">
        <v>1443</v>
      </c>
      <c r="H699" s="58" t="s">
        <v>1456</v>
      </c>
      <c r="I699" s="60">
        <v>0</v>
      </c>
      <c r="J699" s="58" t="s">
        <v>29</v>
      </c>
      <c r="K699" s="58" t="s">
        <v>29</v>
      </c>
      <c r="L699" s="58" t="s">
        <v>94</v>
      </c>
      <c r="M699" s="58" t="s">
        <v>29</v>
      </c>
      <c r="N699" s="61" t="s">
        <v>2979</v>
      </c>
      <c r="O699" s="292" t="s">
        <v>2980</v>
      </c>
      <c r="P699" s="58" t="s">
        <v>1447</v>
      </c>
      <c r="Q699" s="63" t="str">
        <f>IF(V699&lt;&gt;"","Completed","")</f>
        <v>Completed</v>
      </c>
      <c r="R699" s="64">
        <v>42710</v>
      </c>
      <c r="S699" s="64" t="s">
        <v>172</v>
      </c>
      <c r="T699" s="65">
        <v>16</v>
      </c>
      <c r="U699" s="65">
        <v>29</v>
      </c>
      <c r="V699" s="65">
        <v>29</v>
      </c>
      <c r="Y699" s="74" t="s">
        <v>44</v>
      </c>
      <c r="Z699" s="56" t="s">
        <v>1624</v>
      </c>
      <c r="AA699" s="114">
        <f>V699</f>
        <v>29</v>
      </c>
      <c r="AB699" s="65" t="s">
        <v>94</v>
      </c>
      <c r="AC699" s="65" t="s">
        <v>29</v>
      </c>
    </row>
    <row r="700" spans="1:30">
      <c r="A700" s="75" t="s">
        <v>703</v>
      </c>
      <c r="B700" s="59"/>
      <c r="C700" s="57">
        <v>42661</v>
      </c>
      <c r="E700" s="65" t="s">
        <v>29</v>
      </c>
      <c r="F700" s="65" t="s">
        <v>29</v>
      </c>
      <c r="G700" s="58" t="s">
        <v>1443</v>
      </c>
      <c r="H700" s="58"/>
      <c r="I700" s="60"/>
      <c r="J700" s="58"/>
      <c r="K700" s="58"/>
      <c r="L700" s="58"/>
      <c r="M700" s="58"/>
      <c r="N700" s="61" t="s">
        <v>2981</v>
      </c>
      <c r="O700" s="58" t="s">
        <v>2982</v>
      </c>
      <c r="P700" s="58"/>
      <c r="Q700" s="63" t="str">
        <f>IF(V700&lt;&gt;"","Completed","")</f>
        <v>Completed</v>
      </c>
      <c r="R700" s="64">
        <v>42644</v>
      </c>
      <c r="S700" s="64" t="s">
        <v>222</v>
      </c>
      <c r="T700" s="65">
        <v>64</v>
      </c>
      <c r="U700" s="65">
        <v>128</v>
      </c>
      <c r="V700" s="65">
        <v>128</v>
      </c>
      <c r="Y700" s="74" t="s">
        <v>44</v>
      </c>
      <c r="Z700" s="56" t="s">
        <v>1561</v>
      </c>
      <c r="AA700" s="249">
        <f>SUM(V680:V700)</f>
        <v>1372</v>
      </c>
      <c r="AB700" s="242" t="s">
        <v>94</v>
      </c>
    </row>
    <row r="701" spans="1:30">
      <c r="A701" s="331" t="s">
        <v>1206</v>
      </c>
      <c r="B701" s="59"/>
      <c r="C701" s="57">
        <v>42724</v>
      </c>
      <c r="E701" s="65" t="s">
        <v>29</v>
      </c>
      <c r="F701" s="65" t="s">
        <v>29</v>
      </c>
      <c r="G701" s="58" t="s">
        <v>1443</v>
      </c>
      <c r="H701" s="58" t="s">
        <v>1444</v>
      </c>
      <c r="I701" s="60">
        <v>0</v>
      </c>
      <c r="J701" s="58" t="s">
        <v>29</v>
      </c>
      <c r="K701" s="58" t="s">
        <v>29</v>
      </c>
      <c r="L701" s="58" t="s">
        <v>94</v>
      </c>
      <c r="M701" s="58" t="s">
        <v>29</v>
      </c>
      <c r="N701" s="61" t="s">
        <v>2983</v>
      </c>
      <c r="O701" s="58" t="s">
        <v>2982</v>
      </c>
      <c r="P701" s="58" t="s">
        <v>1459</v>
      </c>
      <c r="Q701" s="63" t="str">
        <f>IF(V701&lt;&gt;"","Completed","")</f>
        <v>Completed</v>
      </c>
      <c r="R701" s="64">
        <v>42691</v>
      </c>
      <c r="S701" s="64" t="s">
        <v>57</v>
      </c>
      <c r="T701" s="65">
        <v>16</v>
      </c>
      <c r="U701" s="65">
        <v>24</v>
      </c>
      <c r="V701" s="65">
        <v>24</v>
      </c>
      <c r="Y701" s="74" t="s">
        <v>44</v>
      </c>
      <c r="Z701" s="56" t="s">
        <v>2090</v>
      </c>
      <c r="AA701" s="252"/>
      <c r="AB701" s="65" t="s">
        <v>94</v>
      </c>
      <c r="AC701" s="65" t="s">
        <v>29</v>
      </c>
    </row>
    <row r="702" spans="1:30">
      <c r="A702" s="75" t="s">
        <v>624</v>
      </c>
      <c r="B702" s="59"/>
      <c r="C702" s="57">
        <v>42677</v>
      </c>
      <c r="E702" s="65" t="s">
        <v>29</v>
      </c>
      <c r="F702" s="65" t="s">
        <v>29</v>
      </c>
      <c r="G702" s="58" t="s">
        <v>1443</v>
      </c>
      <c r="H702" s="58"/>
      <c r="I702" s="60"/>
      <c r="J702" s="58"/>
      <c r="K702" s="58"/>
      <c r="L702" s="58"/>
      <c r="M702" s="58"/>
      <c r="N702" s="61" t="s">
        <v>2984</v>
      </c>
      <c r="O702" s="58" t="s">
        <v>2985</v>
      </c>
      <c r="P702" s="58" t="s">
        <v>1459</v>
      </c>
      <c r="Q702" s="63" t="str">
        <f>IF(V702&lt;&gt;"","Completed","")</f>
        <v>Completed</v>
      </c>
      <c r="R702" s="64">
        <v>42658</v>
      </c>
      <c r="S702" s="64" t="s">
        <v>80</v>
      </c>
      <c r="T702" s="150">
        <v>72</v>
      </c>
      <c r="U702" s="150">
        <v>113</v>
      </c>
      <c r="V702" s="150">
        <v>113</v>
      </c>
      <c r="W702" s="150"/>
      <c r="X702" s="150"/>
      <c r="Y702" s="74" t="s">
        <v>44</v>
      </c>
      <c r="Z702" s="56" t="s">
        <v>1596</v>
      </c>
      <c r="AA702" s="249">
        <f>SUM(V692:V702)</f>
        <v>756</v>
      </c>
      <c r="AB702" s="242" t="s">
        <v>94</v>
      </c>
      <c r="AC702" s="242" t="s">
        <v>29</v>
      </c>
    </row>
    <row r="703" spans="1:30">
      <c r="A703" s="75" t="s">
        <v>1022</v>
      </c>
      <c r="B703" s="59"/>
      <c r="C703" s="299">
        <v>42740</v>
      </c>
      <c r="E703" s="65" t="s">
        <v>29</v>
      </c>
      <c r="F703" s="65" t="s">
        <v>29</v>
      </c>
      <c r="G703" s="58" t="s">
        <v>1443</v>
      </c>
      <c r="H703" s="58" t="s">
        <v>1456</v>
      </c>
      <c r="I703" s="60">
        <v>413</v>
      </c>
      <c r="J703" s="58" t="s">
        <v>94</v>
      </c>
      <c r="K703" s="58" t="s">
        <v>29</v>
      </c>
      <c r="L703" s="58" t="s">
        <v>94</v>
      </c>
      <c r="M703" s="58" t="s">
        <v>29</v>
      </c>
      <c r="N703" s="61" t="s">
        <v>2986</v>
      </c>
      <c r="O703" s="58" t="s">
        <v>2987</v>
      </c>
      <c r="P703" s="58" t="s">
        <v>1447</v>
      </c>
      <c r="Q703" s="63" t="str">
        <f>IF(V703&lt;&gt;"","Completed","")</f>
        <v>Completed</v>
      </c>
      <c r="R703" s="64">
        <v>42672</v>
      </c>
      <c r="S703" s="64" t="s">
        <v>80</v>
      </c>
      <c r="T703" s="65">
        <v>80</v>
      </c>
      <c r="U703" s="65">
        <v>127</v>
      </c>
      <c r="V703" s="65">
        <v>127</v>
      </c>
      <c r="Y703" s="74" t="s">
        <v>44</v>
      </c>
      <c r="Z703" s="56" t="s">
        <v>1497</v>
      </c>
      <c r="AA703" s="249"/>
      <c r="AB703" s="65" t="s">
        <v>94</v>
      </c>
      <c r="AC703" s="74" t="s">
        <v>29</v>
      </c>
    </row>
    <row r="704" spans="1:30">
      <c r="A704" s="244" t="s">
        <v>1037</v>
      </c>
      <c r="B704" s="62" t="s">
        <v>354</v>
      </c>
      <c r="C704" s="57">
        <v>42745</v>
      </c>
      <c r="E704" s="65" t="s">
        <v>29</v>
      </c>
      <c r="F704" s="65" t="s">
        <v>29</v>
      </c>
      <c r="G704" s="58" t="s">
        <v>1443</v>
      </c>
      <c r="H704" s="58" t="s">
        <v>1444</v>
      </c>
      <c r="I704" s="60">
        <v>147</v>
      </c>
      <c r="J704" s="58" t="s">
        <v>29</v>
      </c>
      <c r="K704" s="58" t="s">
        <v>29</v>
      </c>
      <c r="L704" s="58" t="s">
        <v>29</v>
      </c>
      <c r="M704" s="58" t="s">
        <v>29</v>
      </c>
      <c r="N704" s="61" t="s">
        <v>2988</v>
      </c>
      <c r="O704" s="58" t="s">
        <v>2989</v>
      </c>
      <c r="P704" s="58" t="s">
        <v>1459</v>
      </c>
      <c r="Q704" s="63" t="str">
        <f>IF(V704&lt;&gt;"","Completed","")</f>
        <v>Completed</v>
      </c>
      <c r="R704" s="268">
        <v>42705</v>
      </c>
      <c r="S704" s="268" t="s">
        <v>204</v>
      </c>
      <c r="T704" s="65">
        <v>50</v>
      </c>
      <c r="U704" s="65">
        <v>80</v>
      </c>
      <c r="V704" s="65">
        <v>80</v>
      </c>
      <c r="Y704" s="74" t="s">
        <v>44</v>
      </c>
      <c r="Z704" s="56" t="s">
        <v>1505</v>
      </c>
      <c r="AA704" s="252">
        <f>V704</f>
        <v>80</v>
      </c>
      <c r="AB704" s="65" t="s">
        <v>94</v>
      </c>
      <c r="AC704" s="65" t="s">
        <v>29</v>
      </c>
    </row>
    <row r="705" spans="1:30">
      <c r="A705" s="245" t="s">
        <v>416</v>
      </c>
      <c r="B705" s="62" t="s">
        <v>417</v>
      </c>
      <c r="C705" s="57"/>
      <c r="E705" s="65" t="s">
        <v>29</v>
      </c>
      <c r="F705" s="65" t="s">
        <v>29</v>
      </c>
      <c r="G705" s="58" t="s">
        <v>1443</v>
      </c>
      <c r="H705" s="58" t="s">
        <v>1444</v>
      </c>
      <c r="I705" s="60">
        <v>143</v>
      </c>
      <c r="J705" s="58" t="s">
        <v>94</v>
      </c>
      <c r="K705" s="58" t="s">
        <v>29</v>
      </c>
      <c r="L705" s="58" t="s">
        <v>29</v>
      </c>
      <c r="M705" s="58" t="s">
        <v>29</v>
      </c>
      <c r="N705" s="61" t="s">
        <v>2990</v>
      </c>
      <c r="O705" s="58" t="s">
        <v>2991</v>
      </c>
      <c r="P705" s="58" t="s">
        <v>1459</v>
      </c>
      <c r="Q705" s="63" t="str">
        <f>IF(V705&lt;&gt;"","Completed","")</f>
        <v>Completed</v>
      </c>
      <c r="R705" s="64">
        <v>42637</v>
      </c>
      <c r="S705" s="64" t="s">
        <v>222</v>
      </c>
      <c r="T705" s="65">
        <v>17</v>
      </c>
      <c r="U705" s="65">
        <v>34</v>
      </c>
      <c r="V705" s="65">
        <v>34</v>
      </c>
      <c r="Y705" s="74" t="s">
        <v>44</v>
      </c>
      <c r="Z705" s="56" t="s">
        <v>1494</v>
      </c>
      <c r="AA705" s="252">
        <f>V705</f>
        <v>34</v>
      </c>
      <c r="AB705" s="242" t="s">
        <v>94</v>
      </c>
      <c r="AC705" s="242" t="s">
        <v>29</v>
      </c>
    </row>
    <row r="706" spans="1:30">
      <c r="A706" s="331" t="s">
        <v>135</v>
      </c>
      <c r="B706" s="59"/>
      <c r="C706" s="57">
        <v>42780</v>
      </c>
      <c r="D706" s="65">
        <v>2017000</v>
      </c>
      <c r="E706" s="65" t="s">
        <v>29</v>
      </c>
      <c r="F706" s="65" t="s">
        <v>29</v>
      </c>
      <c r="G706" s="58" t="s">
        <v>1443</v>
      </c>
      <c r="H706" s="58"/>
      <c r="I706" s="60"/>
      <c r="J706" s="58"/>
      <c r="K706" s="58"/>
      <c r="L706" s="58"/>
      <c r="M706" s="58"/>
      <c r="N706" s="84" t="s">
        <v>2992</v>
      </c>
      <c r="O706" s="58" t="s">
        <v>2993</v>
      </c>
      <c r="P706" s="58"/>
      <c r="Q706" s="63" t="str">
        <f>IF(V706&lt;&gt;"","Completed","")</f>
        <v>Completed</v>
      </c>
      <c r="R706" s="64">
        <v>42719</v>
      </c>
      <c r="S706" s="64" t="s">
        <v>57</v>
      </c>
      <c r="T706" s="65">
        <v>15</v>
      </c>
      <c r="U706" s="65">
        <v>27</v>
      </c>
      <c r="V706" s="65">
        <v>27</v>
      </c>
      <c r="Y706" s="74" t="s">
        <v>44</v>
      </c>
      <c r="Z706" s="56" t="s">
        <v>1571</v>
      </c>
      <c r="AA706" s="92">
        <f>SUM(V702:V706)</f>
        <v>381</v>
      </c>
      <c r="AB706" s="329" t="s">
        <v>94</v>
      </c>
      <c r="AC706" s="329" t="s">
        <v>29</v>
      </c>
    </row>
    <row r="707" spans="1:30">
      <c r="A707" s="331" t="s">
        <v>179</v>
      </c>
      <c r="B707" s="59"/>
      <c r="C707" s="57">
        <v>42741</v>
      </c>
      <c r="D707" s="150">
        <v>1024000</v>
      </c>
      <c r="E707" s="65" t="s">
        <v>29</v>
      </c>
      <c r="F707" s="65" t="s">
        <v>29</v>
      </c>
      <c r="G707" s="58" t="s">
        <v>1443</v>
      </c>
      <c r="H707" s="58" t="s">
        <v>1456</v>
      </c>
      <c r="I707" s="60">
        <v>505</v>
      </c>
      <c r="J707" s="58" t="s">
        <v>29</v>
      </c>
      <c r="K707" s="58" t="s">
        <v>29</v>
      </c>
      <c r="L707" s="58" t="s">
        <v>29</v>
      </c>
      <c r="M707" s="58" t="s">
        <v>29</v>
      </c>
      <c r="N707" s="61" t="s">
        <v>2994</v>
      </c>
      <c r="O707" s="58" t="s">
        <v>2995</v>
      </c>
      <c r="P707" s="58" t="s">
        <v>1459</v>
      </c>
      <c r="Q707" s="63" t="str">
        <f>IF(V707&lt;&gt;"","Completed","")</f>
        <v>Completed</v>
      </c>
      <c r="R707" s="64">
        <v>42662</v>
      </c>
      <c r="S707" s="64" t="s">
        <v>57</v>
      </c>
      <c r="T707" s="65">
        <v>54</v>
      </c>
      <c r="U707" s="65">
        <v>107</v>
      </c>
      <c r="V707" s="65">
        <v>107</v>
      </c>
      <c r="Y707" s="74" t="s">
        <v>44</v>
      </c>
      <c r="Z707" s="56" t="s">
        <v>1817</v>
      </c>
      <c r="AA707" s="249">
        <f>SUM(U703:U707)</f>
        <v>375</v>
      </c>
      <c r="AB707" s="329" t="s">
        <v>94</v>
      </c>
      <c r="AC707" s="329" t="s">
        <v>94</v>
      </c>
    </row>
    <row r="708" spans="1:30">
      <c r="A708" s="75" t="s">
        <v>331</v>
      </c>
      <c r="B708" s="59"/>
      <c r="C708" s="57">
        <v>42720</v>
      </c>
      <c r="D708" s="65">
        <v>1061000</v>
      </c>
      <c r="E708" s="65" t="s">
        <v>29</v>
      </c>
      <c r="F708" s="65" t="s">
        <v>94</v>
      </c>
      <c r="G708" s="58" t="s">
        <v>1443</v>
      </c>
      <c r="H708" s="58" t="s">
        <v>1456</v>
      </c>
      <c r="I708" s="60">
        <v>1</v>
      </c>
      <c r="J708" s="58" t="s">
        <v>94</v>
      </c>
      <c r="K708" s="58" t="s">
        <v>29</v>
      </c>
      <c r="L708" s="58" t="s">
        <v>94</v>
      </c>
      <c r="M708" s="58" t="s">
        <v>94</v>
      </c>
      <c r="N708" s="61" t="s">
        <v>2996</v>
      </c>
      <c r="O708" s="58" t="s">
        <v>2997</v>
      </c>
      <c r="P708" s="58" t="s">
        <v>1459</v>
      </c>
      <c r="Q708" s="63" t="str">
        <f>IF(V708&lt;&gt;"","Completed","")</f>
        <v>Completed</v>
      </c>
      <c r="R708" s="64">
        <v>42650</v>
      </c>
      <c r="S708" s="64" t="s">
        <v>104</v>
      </c>
      <c r="T708" s="65">
        <v>9</v>
      </c>
      <c r="V708" s="256">
        <v>18</v>
      </c>
      <c r="Y708" s="74" t="s">
        <v>44</v>
      </c>
      <c r="Z708" s="56" t="s">
        <v>1481</v>
      </c>
      <c r="AA708" s="363">
        <f>SUM(V694:V708)</f>
        <v>975</v>
      </c>
      <c r="AB708" s="151" t="s">
        <v>94</v>
      </c>
      <c r="AC708" s="324" t="s">
        <v>29</v>
      </c>
      <c r="AD708" s="349"/>
    </row>
    <row r="709" spans="1:30">
      <c r="A709" s="332" t="s">
        <v>1080</v>
      </c>
      <c r="B709" s="59"/>
      <c r="C709" s="57">
        <v>42734</v>
      </c>
      <c r="E709" s="65" t="s">
        <v>29</v>
      </c>
      <c r="F709" s="65" t="s">
        <v>29</v>
      </c>
      <c r="G709" s="58" t="s">
        <v>1443</v>
      </c>
      <c r="H709" s="58" t="s">
        <v>1449</v>
      </c>
      <c r="I709" s="60">
        <v>500</v>
      </c>
      <c r="J709" s="58" t="s">
        <v>94</v>
      </c>
      <c r="K709" s="58" t="s">
        <v>29</v>
      </c>
      <c r="L709" s="58" t="s">
        <v>29</v>
      </c>
      <c r="M709" s="58" t="s">
        <v>29</v>
      </c>
      <c r="N709" s="61" t="s">
        <v>2998</v>
      </c>
      <c r="O709" s="58" t="s">
        <v>2999</v>
      </c>
      <c r="P709" s="58" t="s">
        <v>1447</v>
      </c>
      <c r="Q709" s="63" t="str">
        <f>IF(V709&lt;&gt;"","Completed","")</f>
        <v>Completed</v>
      </c>
      <c r="R709" s="319">
        <v>42672</v>
      </c>
      <c r="S709" s="64" t="s">
        <v>433</v>
      </c>
      <c r="T709" s="242">
        <v>65</v>
      </c>
      <c r="U709" s="242">
        <v>106</v>
      </c>
      <c r="V709" s="242">
        <v>106</v>
      </c>
      <c r="W709" s="242"/>
      <c r="X709" s="242"/>
      <c r="Y709" s="74" t="s">
        <v>44</v>
      </c>
      <c r="Z709" s="345" t="s">
        <v>1608</v>
      </c>
      <c r="AA709" s="252"/>
      <c r="AB709" s="324" t="s">
        <v>94</v>
      </c>
      <c r="AC709" s="151" t="s">
        <v>29</v>
      </c>
      <c r="AD709" s="345" t="s">
        <v>296</v>
      </c>
    </row>
    <row r="710" spans="1:30">
      <c r="A710" s="75" t="s">
        <v>487</v>
      </c>
      <c r="B710" s="59"/>
      <c r="C710" s="57">
        <v>42726</v>
      </c>
      <c r="E710" s="65" t="s">
        <v>29</v>
      </c>
      <c r="F710" s="65" t="s">
        <v>29</v>
      </c>
      <c r="G710" s="58" t="s">
        <v>1443</v>
      </c>
      <c r="H710" s="58" t="s">
        <v>1456</v>
      </c>
      <c r="I710" s="60">
        <v>0</v>
      </c>
      <c r="J710" s="58" t="s">
        <v>94</v>
      </c>
      <c r="K710" s="58" t="s">
        <v>29</v>
      </c>
      <c r="L710" s="58" t="s">
        <v>94</v>
      </c>
      <c r="M710" s="58" t="s">
        <v>29</v>
      </c>
      <c r="N710" s="61" t="s">
        <v>3000</v>
      </c>
      <c r="O710" s="58" t="s">
        <v>3001</v>
      </c>
      <c r="P710" s="58" t="s">
        <v>1447</v>
      </c>
      <c r="Q710" s="63" t="str">
        <f>IF(V710&lt;&gt;"","Completed","")</f>
        <v>Completed</v>
      </c>
      <c r="R710" s="64">
        <v>42672</v>
      </c>
      <c r="S710" s="64" t="s">
        <v>114</v>
      </c>
      <c r="T710" s="65">
        <v>16</v>
      </c>
      <c r="U710" s="65">
        <v>32</v>
      </c>
      <c r="V710" s="65">
        <v>32</v>
      </c>
      <c r="Y710" s="74" t="s">
        <v>44</v>
      </c>
      <c r="Z710" s="56" t="s">
        <v>1602</v>
      </c>
      <c r="AA710" s="252"/>
      <c r="AB710" s="325" t="s">
        <v>94</v>
      </c>
      <c r="AC710" s="325" t="s">
        <v>94</v>
      </c>
    </row>
    <row r="711" spans="1:30" s="66" customFormat="1">
      <c r="A711" s="75" t="s">
        <v>1152</v>
      </c>
      <c r="B711" s="59"/>
      <c r="C711" s="57">
        <v>42690</v>
      </c>
      <c r="D711" s="65"/>
      <c r="E711" s="65" t="s">
        <v>29</v>
      </c>
      <c r="F711" s="65" t="s">
        <v>29</v>
      </c>
      <c r="G711" s="58" t="s">
        <v>1443</v>
      </c>
      <c r="H711" s="58" t="s">
        <v>1449</v>
      </c>
      <c r="I711" s="60">
        <v>229</v>
      </c>
      <c r="J711" s="58" t="s">
        <v>94</v>
      </c>
      <c r="K711" s="58" t="s">
        <v>29</v>
      </c>
      <c r="L711" s="58" t="s">
        <v>94</v>
      </c>
      <c r="M711" s="58" t="s">
        <v>29</v>
      </c>
      <c r="N711" s="61" t="s">
        <v>3002</v>
      </c>
      <c r="O711" s="58" t="s">
        <v>3003</v>
      </c>
      <c r="P711" s="58" t="s">
        <v>1459</v>
      </c>
      <c r="Q711" s="63" t="str">
        <f>IF(V711&lt;&gt;"","Completed","")</f>
        <v>Completed</v>
      </c>
      <c r="R711" s="64">
        <v>42665</v>
      </c>
      <c r="S711" s="64" t="s">
        <v>80</v>
      </c>
      <c r="T711" s="65">
        <v>18</v>
      </c>
      <c r="U711" s="65">
        <v>36</v>
      </c>
      <c r="V711" s="65">
        <v>36</v>
      </c>
      <c r="W711" s="65"/>
      <c r="X711" s="65"/>
      <c r="Y711" s="74" t="s">
        <v>44</v>
      </c>
      <c r="Z711" s="56" t="s">
        <v>1681</v>
      </c>
      <c r="AA711" s="249"/>
      <c r="AB711" s="65" t="s">
        <v>94</v>
      </c>
      <c r="AC711" s="65" t="s">
        <v>29</v>
      </c>
      <c r="AD711" s="345"/>
    </row>
    <row r="712" spans="1:30" s="66" customFormat="1">
      <c r="A712" s="331" t="s">
        <v>1206</v>
      </c>
      <c r="B712" s="59"/>
      <c r="C712" s="57">
        <v>42726</v>
      </c>
      <c r="D712" s="65"/>
      <c r="E712" s="65" t="s">
        <v>29</v>
      </c>
      <c r="F712" s="65" t="s">
        <v>29</v>
      </c>
      <c r="G712" s="58" t="s">
        <v>1443</v>
      </c>
      <c r="H712" s="58" t="s">
        <v>1444</v>
      </c>
      <c r="I712" s="60">
        <v>271</v>
      </c>
      <c r="J712" s="58" t="s">
        <v>94</v>
      </c>
      <c r="K712" s="58" t="s">
        <v>29</v>
      </c>
      <c r="L712" s="58" t="s">
        <v>94</v>
      </c>
      <c r="M712" s="58" t="s">
        <v>29</v>
      </c>
      <c r="N712" s="61" t="s">
        <v>3004</v>
      </c>
      <c r="O712" s="58" t="s">
        <v>3005</v>
      </c>
      <c r="P712" s="58" t="s">
        <v>1459</v>
      </c>
      <c r="Q712" s="63" t="str">
        <f>IF(V712&lt;&gt;"","Completed","")</f>
        <v>Completed</v>
      </c>
      <c r="R712" s="64">
        <v>42665</v>
      </c>
      <c r="S712" s="64" t="s">
        <v>114</v>
      </c>
      <c r="T712" s="65">
        <v>22</v>
      </c>
      <c r="U712" s="65">
        <v>44</v>
      </c>
      <c r="V712" s="65">
        <v>44</v>
      </c>
      <c r="W712" s="65"/>
      <c r="X712" s="65"/>
      <c r="Y712" s="74" t="s">
        <v>44</v>
      </c>
      <c r="Z712" s="56" t="s">
        <v>1754</v>
      </c>
      <c r="AA712" s="252"/>
      <c r="AB712" s="325" t="s">
        <v>94</v>
      </c>
      <c r="AC712" s="325" t="s">
        <v>29</v>
      </c>
      <c r="AD712" s="345"/>
    </row>
    <row r="713" spans="1:30" s="66" customFormat="1">
      <c r="A713" s="75" t="s">
        <v>1039</v>
      </c>
      <c r="B713" s="59"/>
      <c r="C713" s="57">
        <v>42765</v>
      </c>
      <c r="D713" s="65"/>
      <c r="E713" s="65" t="s">
        <v>29</v>
      </c>
      <c r="F713" s="65" t="s">
        <v>29</v>
      </c>
      <c r="G713" s="58" t="s">
        <v>1443</v>
      </c>
      <c r="H713" s="58" t="s">
        <v>1456</v>
      </c>
      <c r="I713" s="60">
        <v>0</v>
      </c>
      <c r="J713" s="58" t="s">
        <v>94</v>
      </c>
      <c r="K713" s="58" t="s">
        <v>29</v>
      </c>
      <c r="L713" s="58" t="s">
        <v>94</v>
      </c>
      <c r="M713" s="58" t="s">
        <v>29</v>
      </c>
      <c r="N713" s="61" t="s">
        <v>3006</v>
      </c>
      <c r="O713" s="58" t="s">
        <v>3007</v>
      </c>
      <c r="P713" s="58" t="s">
        <v>1459</v>
      </c>
      <c r="Q713" s="63" t="str">
        <f>IF(V713&lt;&gt;"","Completed","")</f>
        <v>Completed</v>
      </c>
      <c r="R713" s="64">
        <v>42714</v>
      </c>
      <c r="S713" s="64" t="s">
        <v>57</v>
      </c>
      <c r="T713" s="65">
        <v>4</v>
      </c>
      <c r="U713" s="65">
        <v>8</v>
      </c>
      <c r="V713" s="65">
        <v>8</v>
      </c>
      <c r="W713" s="65"/>
      <c r="X713" s="65"/>
      <c r="Y713" s="74" t="s">
        <v>44</v>
      </c>
      <c r="Z713" s="56" t="s">
        <v>2007</v>
      </c>
      <c r="AA713" s="249"/>
      <c r="AB713" s="65" t="s">
        <v>94</v>
      </c>
      <c r="AC713" s="74" t="s">
        <v>29</v>
      </c>
      <c r="AD713" s="345"/>
    </row>
    <row r="714" spans="1:30" s="66" customFormat="1">
      <c r="A714" s="75" t="s">
        <v>1039</v>
      </c>
      <c r="B714" s="59"/>
      <c r="C714" s="57">
        <v>42762</v>
      </c>
      <c r="D714" s="65"/>
      <c r="E714" s="65" t="s">
        <v>29</v>
      </c>
      <c r="F714" s="65" t="s">
        <v>29</v>
      </c>
      <c r="G714" s="58" t="s">
        <v>1443</v>
      </c>
      <c r="H714" s="58" t="s">
        <v>1456</v>
      </c>
      <c r="I714" s="60">
        <v>0</v>
      </c>
      <c r="J714" s="58" t="s">
        <v>94</v>
      </c>
      <c r="K714" s="58" t="s">
        <v>29</v>
      </c>
      <c r="L714" s="58" t="s">
        <v>94</v>
      </c>
      <c r="M714" s="58" t="s">
        <v>29</v>
      </c>
      <c r="N714" s="61" t="s">
        <v>3008</v>
      </c>
      <c r="O714" s="58" t="s">
        <v>3009</v>
      </c>
      <c r="P714" s="58" t="s">
        <v>1459</v>
      </c>
      <c r="Q714" s="63" t="str">
        <f>IF(V714&lt;&gt;"","Completed","")</f>
        <v>Completed</v>
      </c>
      <c r="R714" s="64">
        <v>42714</v>
      </c>
      <c r="S714" s="64" t="s">
        <v>57</v>
      </c>
      <c r="T714" s="65">
        <v>100</v>
      </c>
      <c r="U714" s="65">
        <v>177</v>
      </c>
      <c r="V714" s="65">
        <v>177</v>
      </c>
      <c r="W714" s="65"/>
      <c r="X714" s="65"/>
      <c r="Y714" s="74" t="s">
        <v>44</v>
      </c>
      <c r="Z714" s="56" t="s">
        <v>2007</v>
      </c>
      <c r="AA714" s="249">
        <f>SUM(V702:V714)</f>
        <v>909</v>
      </c>
      <c r="AB714" s="65" t="s">
        <v>94</v>
      </c>
      <c r="AC714" s="74" t="s">
        <v>29</v>
      </c>
      <c r="AD714" s="345"/>
    </row>
    <row r="715" spans="1:30" s="66" customFormat="1">
      <c r="A715" s="75" t="s">
        <v>599</v>
      </c>
      <c r="B715" s="59"/>
      <c r="C715" s="57">
        <v>42711</v>
      </c>
      <c r="D715" s="65"/>
      <c r="E715" s="65" t="s">
        <v>29</v>
      </c>
      <c r="F715" s="65" t="s">
        <v>29</v>
      </c>
      <c r="G715" s="58" t="s">
        <v>1443</v>
      </c>
      <c r="H715" s="58" t="s">
        <v>1444</v>
      </c>
      <c r="I715" s="60">
        <v>1</v>
      </c>
      <c r="J715" s="58" t="s">
        <v>94</v>
      </c>
      <c r="K715" s="58" t="s">
        <v>29</v>
      </c>
      <c r="L715" s="58" t="s">
        <v>94</v>
      </c>
      <c r="M715" s="58" t="s">
        <v>29</v>
      </c>
      <c r="N715" s="61" t="s">
        <v>3010</v>
      </c>
      <c r="O715" s="58" t="s">
        <v>3011</v>
      </c>
      <c r="P715" s="58" t="s">
        <v>1447</v>
      </c>
      <c r="Q715" s="63" t="str">
        <f>IF(V715&lt;&gt;"","Completed","")</f>
        <v>Completed</v>
      </c>
      <c r="R715" s="64">
        <v>42684</v>
      </c>
      <c r="S715" s="64" t="s">
        <v>149</v>
      </c>
      <c r="T715" s="65">
        <v>13</v>
      </c>
      <c r="U715" s="65">
        <v>21</v>
      </c>
      <c r="V715" s="65">
        <v>21</v>
      </c>
      <c r="W715" s="65"/>
      <c r="X715" s="65"/>
      <c r="Y715" s="74" t="s">
        <v>44</v>
      </c>
      <c r="Z715" s="56" t="s">
        <v>1478</v>
      </c>
      <c r="AA715" s="252"/>
      <c r="AB715" s="316" t="s">
        <v>94</v>
      </c>
      <c r="AC715" s="317" t="s">
        <v>94</v>
      </c>
      <c r="AD715" s="349"/>
    </row>
    <row r="716" spans="1:30" s="66" customFormat="1">
      <c r="A716" s="245" t="s">
        <v>766</v>
      </c>
      <c r="B716" s="62"/>
      <c r="C716" s="57">
        <v>42787</v>
      </c>
      <c r="D716" s="65"/>
      <c r="E716" s="65" t="s">
        <v>29</v>
      </c>
      <c r="F716" s="65" t="s">
        <v>29</v>
      </c>
      <c r="G716" s="58"/>
      <c r="H716" s="58"/>
      <c r="I716" s="60"/>
      <c r="J716" s="58"/>
      <c r="K716" s="58"/>
      <c r="L716" s="58"/>
      <c r="M716" s="58"/>
      <c r="N716" s="61" t="s">
        <v>3012</v>
      </c>
      <c r="O716" s="277" t="s">
        <v>3013</v>
      </c>
      <c r="P716" s="58"/>
      <c r="Q716" s="63" t="str">
        <f>IF(V716&lt;&gt;"","Completed","")</f>
        <v>Completed</v>
      </c>
      <c r="R716" s="64">
        <v>42749</v>
      </c>
      <c r="S716" s="64" t="s">
        <v>57</v>
      </c>
      <c r="T716" s="242">
        <v>81</v>
      </c>
      <c r="U716" s="65">
        <v>143</v>
      </c>
      <c r="V716" s="65">
        <v>143</v>
      </c>
      <c r="W716" s="65"/>
      <c r="X716" s="65"/>
      <c r="Y716" s="74" t="s">
        <v>44</v>
      </c>
      <c r="Z716" s="345" t="s">
        <v>1868</v>
      </c>
      <c r="AA716" s="92">
        <f>SUM(V712:V716)</f>
        <v>393</v>
      </c>
      <c r="AB716" s="65" t="s">
        <v>94</v>
      </c>
      <c r="AC716" s="65" t="s">
        <v>94</v>
      </c>
      <c r="AD716" s="345"/>
    </row>
    <row r="717" spans="1:30" s="66" customFormat="1">
      <c r="A717" s="75" t="s">
        <v>1052</v>
      </c>
      <c r="B717" s="59"/>
      <c r="C717" s="57">
        <v>42747</v>
      </c>
      <c r="D717" s="65"/>
      <c r="E717" s="65" t="s">
        <v>29</v>
      </c>
      <c r="F717" s="65" t="s">
        <v>29</v>
      </c>
      <c r="G717" s="58" t="s">
        <v>1443</v>
      </c>
      <c r="H717" s="58" t="s">
        <v>1449</v>
      </c>
      <c r="I717" s="60">
        <v>0</v>
      </c>
      <c r="J717" s="58" t="s">
        <v>29</v>
      </c>
      <c r="K717" s="58" t="s">
        <v>29</v>
      </c>
      <c r="L717" s="58" t="s">
        <v>29</v>
      </c>
      <c r="M717" s="58" t="s">
        <v>29</v>
      </c>
      <c r="N717" s="61" t="s">
        <v>3014</v>
      </c>
      <c r="O717" s="58" t="s">
        <v>3015</v>
      </c>
      <c r="P717" s="58" t="s">
        <v>1447</v>
      </c>
      <c r="Q717" s="63" t="str">
        <f>IF(V717&lt;&gt;"","Completed","")</f>
        <v>Completed</v>
      </c>
      <c r="R717" s="64">
        <v>42721</v>
      </c>
      <c r="S717" s="64" t="s">
        <v>149</v>
      </c>
      <c r="T717" s="65">
        <v>62</v>
      </c>
      <c r="U717" s="65">
        <v>123</v>
      </c>
      <c r="V717" s="65">
        <v>123</v>
      </c>
      <c r="W717" s="65"/>
      <c r="X717" s="65"/>
      <c r="Y717" s="74" t="s">
        <v>44</v>
      </c>
      <c r="Z717" s="56" t="s">
        <v>1549</v>
      </c>
      <c r="AA717" s="252">
        <f>SUM(V711:V717)</f>
        <v>552</v>
      </c>
      <c r="AB717" s="65" t="s">
        <v>94</v>
      </c>
      <c r="AC717" s="65" t="s">
        <v>29</v>
      </c>
      <c r="AD717" s="345"/>
    </row>
    <row r="718" spans="1:30" s="66" customFormat="1">
      <c r="A718" s="333" t="s">
        <v>559</v>
      </c>
      <c r="B718" s="305"/>
      <c r="C718" s="57">
        <v>42793</v>
      </c>
      <c r="D718" s="109"/>
      <c r="E718" s="151" t="s">
        <v>29</v>
      </c>
      <c r="F718" s="151" t="s">
        <v>29</v>
      </c>
      <c r="G718" s="306"/>
      <c r="H718" s="306"/>
      <c r="I718" s="307"/>
      <c r="J718" s="306"/>
      <c r="K718" s="306"/>
      <c r="L718" s="306"/>
      <c r="M718" s="306"/>
      <c r="N718" s="77" t="s">
        <v>3016</v>
      </c>
      <c r="O718" s="78" t="s">
        <v>3017</v>
      </c>
      <c r="P718" s="306"/>
      <c r="Q718" s="63" t="str">
        <f>IF(V718&lt;&gt;"","Completed","")</f>
        <v>Completed</v>
      </c>
      <c r="R718" s="64">
        <v>42756</v>
      </c>
      <c r="S718" s="319" t="s">
        <v>2176</v>
      </c>
      <c r="T718" s="65">
        <v>23</v>
      </c>
      <c r="U718" s="65">
        <v>39</v>
      </c>
      <c r="V718" s="65">
        <v>39</v>
      </c>
      <c r="W718" s="65"/>
      <c r="X718" s="65"/>
      <c r="Y718" s="74" t="s">
        <v>44</v>
      </c>
      <c r="Z718" s="56" t="s">
        <v>1668</v>
      </c>
      <c r="AA718" s="252">
        <f>SUM(V712:V718)</f>
        <v>555</v>
      </c>
      <c r="AB718" s="65" t="s">
        <v>94</v>
      </c>
      <c r="AC718" s="74" t="s">
        <v>29</v>
      </c>
      <c r="AD718" s="56"/>
    </row>
    <row r="719" spans="1:30" s="66" customFormat="1">
      <c r="A719" s="331" t="s">
        <v>1128</v>
      </c>
      <c r="B719" s="59"/>
      <c r="C719" s="57">
        <v>42745</v>
      </c>
      <c r="D719" s="65"/>
      <c r="E719" s="65" t="s">
        <v>29</v>
      </c>
      <c r="F719" s="65" t="s">
        <v>29</v>
      </c>
      <c r="G719" s="58" t="s">
        <v>3018</v>
      </c>
      <c r="H719" s="58" t="s">
        <v>1456</v>
      </c>
      <c r="I719" s="60">
        <v>0</v>
      </c>
      <c r="J719" s="58" t="s">
        <v>94</v>
      </c>
      <c r="K719" s="58" t="s">
        <v>29</v>
      </c>
      <c r="L719" s="58" t="s">
        <v>29</v>
      </c>
      <c r="M719" s="58" t="s">
        <v>29</v>
      </c>
      <c r="N719" s="61" t="s">
        <v>3019</v>
      </c>
      <c r="O719" s="58" t="s">
        <v>3020</v>
      </c>
      <c r="P719" s="58" t="s">
        <v>1459</v>
      </c>
      <c r="Q719" s="63" t="str">
        <f>IF(V719&lt;&gt;"","Completed","")</f>
        <v>Completed</v>
      </c>
      <c r="R719" s="64">
        <v>42714</v>
      </c>
      <c r="S719" s="64" t="s">
        <v>57</v>
      </c>
      <c r="T719" s="65">
        <v>6</v>
      </c>
      <c r="U719" s="65">
        <v>12</v>
      </c>
      <c r="V719" s="65">
        <v>12</v>
      </c>
      <c r="W719" s="65"/>
      <c r="X719" s="65"/>
      <c r="Y719" s="74" t="s">
        <v>44</v>
      </c>
      <c r="Z719" s="56" t="s">
        <v>1505</v>
      </c>
      <c r="AA719" s="252"/>
      <c r="AB719" s="65" t="s">
        <v>94</v>
      </c>
      <c r="AC719" s="65" t="s">
        <v>29</v>
      </c>
      <c r="AD719" s="345"/>
    </row>
    <row r="720" spans="1:30" s="66" customFormat="1">
      <c r="A720" s="75" t="s">
        <v>894</v>
      </c>
      <c r="B720" s="59"/>
      <c r="C720" s="57">
        <v>42717</v>
      </c>
      <c r="D720" s="65"/>
      <c r="E720" s="65" t="s">
        <v>29</v>
      </c>
      <c r="F720" s="65" t="s">
        <v>94</v>
      </c>
      <c r="G720" s="58" t="s">
        <v>1443</v>
      </c>
      <c r="H720" s="58" t="s">
        <v>1449</v>
      </c>
      <c r="I720" s="60">
        <v>508</v>
      </c>
      <c r="J720" s="58" t="s">
        <v>29</v>
      </c>
      <c r="K720" s="58" t="s">
        <v>29</v>
      </c>
      <c r="L720" s="58" t="s">
        <v>94</v>
      </c>
      <c r="M720" s="58" t="s">
        <v>94</v>
      </c>
      <c r="N720" s="61" t="s">
        <v>3021</v>
      </c>
      <c r="O720" s="58" t="s">
        <v>3022</v>
      </c>
      <c r="P720" s="58" t="s">
        <v>1447</v>
      </c>
      <c r="Q720" s="63" t="str">
        <f>IF(V720&lt;&gt;"","Completed","")</f>
        <v>Completed</v>
      </c>
      <c r="R720" s="64">
        <v>42682</v>
      </c>
      <c r="S720" s="64" t="s">
        <v>104</v>
      </c>
      <c r="T720" s="65">
        <v>76</v>
      </c>
      <c r="U720" s="65"/>
      <c r="V720" s="256">
        <v>117</v>
      </c>
      <c r="W720" s="65"/>
      <c r="X720" s="65"/>
      <c r="Y720" s="74" t="s">
        <v>44</v>
      </c>
      <c r="Z720" s="56" t="s">
        <v>1602</v>
      </c>
      <c r="AA720" s="252"/>
      <c r="AB720" s="242" t="s">
        <v>94</v>
      </c>
      <c r="AC720" s="65"/>
      <c r="AD720" s="345"/>
    </row>
    <row r="721" spans="1:30" s="66" customFormat="1">
      <c r="A721" s="75" t="s">
        <v>1022</v>
      </c>
      <c r="B721" s="59"/>
      <c r="C721" s="57">
        <v>42717</v>
      </c>
      <c r="D721" s="57"/>
      <c r="E721" s="65" t="s">
        <v>29</v>
      </c>
      <c r="F721" s="65" t="s">
        <v>29</v>
      </c>
      <c r="G721" s="57">
        <v>42713</v>
      </c>
      <c r="H721" s="57">
        <v>42713</v>
      </c>
      <c r="I721" s="57">
        <v>42713</v>
      </c>
      <c r="J721" s="57">
        <v>42713</v>
      </c>
      <c r="K721" s="57">
        <v>42713</v>
      </c>
      <c r="L721" s="57">
        <v>42713</v>
      </c>
      <c r="M721" s="57">
        <v>42713</v>
      </c>
      <c r="N721" s="61" t="s">
        <v>3023</v>
      </c>
      <c r="O721" s="58" t="s">
        <v>3024</v>
      </c>
      <c r="P721" s="58" t="s">
        <v>1447</v>
      </c>
      <c r="Q721" s="63" t="str">
        <f>IF(V721&lt;&gt;"","Completed","")</f>
        <v>Completed</v>
      </c>
      <c r="R721" s="64">
        <v>42697</v>
      </c>
      <c r="S721" s="64" t="s">
        <v>80</v>
      </c>
      <c r="T721" s="65">
        <v>3</v>
      </c>
      <c r="U721" s="65">
        <v>22</v>
      </c>
      <c r="V721" s="65">
        <v>22</v>
      </c>
      <c r="W721" s="65"/>
      <c r="X721" s="65"/>
      <c r="Y721" s="74" t="s">
        <v>44</v>
      </c>
      <c r="Z721" s="56" t="s">
        <v>1602</v>
      </c>
      <c r="AA721" s="249"/>
      <c r="AB721" s="74" t="s">
        <v>94</v>
      </c>
      <c r="AC721" s="65" t="s">
        <v>29</v>
      </c>
      <c r="AD721" s="345"/>
    </row>
    <row r="722" spans="1:30" s="66" customFormat="1">
      <c r="A722" s="75" t="s">
        <v>803</v>
      </c>
      <c r="B722" s="59"/>
      <c r="C722" s="57">
        <v>42744</v>
      </c>
      <c r="D722" s="65"/>
      <c r="E722" s="65" t="s">
        <v>29</v>
      </c>
      <c r="F722" s="65" t="s">
        <v>29</v>
      </c>
      <c r="G722" s="58" t="s">
        <v>1443</v>
      </c>
      <c r="H722" s="58" t="s">
        <v>1456</v>
      </c>
      <c r="I722" s="60">
        <v>181</v>
      </c>
      <c r="J722" s="58" t="s">
        <v>94</v>
      </c>
      <c r="K722" s="58" t="s">
        <v>29</v>
      </c>
      <c r="L722" s="58" t="s">
        <v>94</v>
      </c>
      <c r="M722" s="58" t="s">
        <v>29</v>
      </c>
      <c r="N722" s="61" t="s">
        <v>3025</v>
      </c>
      <c r="O722" s="58" t="s">
        <v>3026</v>
      </c>
      <c r="P722" s="58" t="s">
        <v>1447</v>
      </c>
      <c r="Q722" s="63" t="str">
        <f>IF(V722&lt;&gt;"","Completed","")</f>
        <v>Completed</v>
      </c>
      <c r="R722" s="64">
        <v>42670</v>
      </c>
      <c r="S722" s="64" t="s">
        <v>43</v>
      </c>
      <c r="T722" s="65">
        <v>13</v>
      </c>
      <c r="U722" s="65">
        <v>25</v>
      </c>
      <c r="V722" s="65">
        <v>25</v>
      </c>
      <c r="W722" s="65"/>
      <c r="X722" s="65"/>
      <c r="Y722" s="74" t="s">
        <v>44</v>
      </c>
      <c r="Z722" s="56" t="s">
        <v>1505</v>
      </c>
      <c r="AA722" s="249"/>
      <c r="AB722" s="65" t="s">
        <v>94</v>
      </c>
      <c r="AC722" s="65" t="s">
        <v>94</v>
      </c>
      <c r="AD722" s="345"/>
    </row>
    <row r="723" spans="1:30" s="66" customFormat="1">
      <c r="A723" s="75" t="s">
        <v>124</v>
      </c>
      <c r="B723" s="59"/>
      <c r="C723" s="247">
        <v>42769</v>
      </c>
      <c r="D723" s="65">
        <v>4016000</v>
      </c>
      <c r="E723" s="65" t="s">
        <v>29</v>
      </c>
      <c r="F723" s="65" t="s">
        <v>29</v>
      </c>
      <c r="G723" s="58" t="s">
        <v>1443</v>
      </c>
      <c r="H723" s="58" t="s">
        <v>1444</v>
      </c>
      <c r="I723" s="60">
        <v>328</v>
      </c>
      <c r="J723" s="58" t="s">
        <v>94</v>
      </c>
      <c r="K723" s="58" t="s">
        <v>29</v>
      </c>
      <c r="L723" s="58" t="s">
        <v>94</v>
      </c>
      <c r="M723" s="58" t="s">
        <v>29</v>
      </c>
      <c r="N723" s="61" t="s">
        <v>3027</v>
      </c>
      <c r="O723" s="58" t="s">
        <v>3028</v>
      </c>
      <c r="P723" s="58" t="s">
        <v>1459</v>
      </c>
      <c r="Q723" s="63" t="str">
        <f>IF(V723&lt;&gt;"","Completed","")</f>
        <v>Completed</v>
      </c>
      <c r="R723" s="64">
        <v>42679</v>
      </c>
      <c r="S723" s="64" t="s">
        <v>57</v>
      </c>
      <c r="T723" s="65">
        <v>56</v>
      </c>
      <c r="U723" s="65">
        <v>88</v>
      </c>
      <c r="V723" s="65">
        <v>88</v>
      </c>
      <c r="W723" s="65"/>
      <c r="X723" s="65"/>
      <c r="Y723" s="74" t="s">
        <v>44</v>
      </c>
      <c r="Z723" s="56" t="s">
        <v>1871</v>
      </c>
      <c r="AA723" s="252"/>
      <c r="AB723" s="65" t="s">
        <v>94</v>
      </c>
      <c r="AC723" s="65" t="s">
        <v>94</v>
      </c>
      <c r="AD723" s="63" t="s">
        <v>3029</v>
      </c>
    </row>
    <row r="724" spans="1:30" s="66" customFormat="1">
      <c r="A724" s="75" t="s">
        <v>838</v>
      </c>
      <c r="B724" s="59"/>
      <c r="C724" s="57"/>
      <c r="D724" s="65"/>
      <c r="E724" s="65" t="s">
        <v>29</v>
      </c>
      <c r="F724" s="65" t="s">
        <v>29</v>
      </c>
      <c r="G724" s="58" t="s">
        <v>1443</v>
      </c>
      <c r="H724" s="58" t="s">
        <v>1456</v>
      </c>
      <c r="I724" s="60">
        <v>272</v>
      </c>
      <c r="J724" s="58" t="s">
        <v>29</v>
      </c>
      <c r="K724" s="58" t="s">
        <v>29</v>
      </c>
      <c r="L724" s="58" t="s">
        <v>94</v>
      </c>
      <c r="M724" s="58" t="s">
        <v>29</v>
      </c>
      <c r="N724" s="61" t="s">
        <v>3030</v>
      </c>
      <c r="O724" s="58" t="s">
        <v>3031</v>
      </c>
      <c r="P724" s="58" t="s">
        <v>1459</v>
      </c>
      <c r="Q724" s="63" t="str">
        <f>IF(V724&lt;&gt;"","Completed","")</f>
        <v>Completed</v>
      </c>
      <c r="R724" s="64">
        <v>42636</v>
      </c>
      <c r="S724" s="64" t="s">
        <v>222</v>
      </c>
      <c r="T724" s="65">
        <v>9</v>
      </c>
      <c r="U724" s="65">
        <v>18</v>
      </c>
      <c r="V724" s="65">
        <v>18</v>
      </c>
      <c r="W724" s="65"/>
      <c r="X724" s="65"/>
      <c r="Y724" s="74" t="s">
        <v>44</v>
      </c>
      <c r="Z724" s="56" t="s">
        <v>1494</v>
      </c>
      <c r="AA724" s="252">
        <f>SUM(V717:V724)</f>
        <v>444</v>
      </c>
      <c r="AB724" s="242" t="s">
        <v>94</v>
      </c>
      <c r="AC724" s="74"/>
      <c r="AD724" s="345"/>
    </row>
    <row r="725" spans="1:30" s="66" customFormat="1">
      <c r="A725" s="331" t="s">
        <v>1206</v>
      </c>
      <c r="B725" s="59"/>
      <c r="C725" s="57">
        <v>42726</v>
      </c>
      <c r="D725" s="65"/>
      <c r="E725" s="65" t="s">
        <v>29</v>
      </c>
      <c r="F725" s="65" t="s">
        <v>29</v>
      </c>
      <c r="G725" s="58" t="s">
        <v>1443</v>
      </c>
      <c r="H725" s="58" t="s">
        <v>1444</v>
      </c>
      <c r="I725" s="60">
        <v>249</v>
      </c>
      <c r="J725" s="58" t="s">
        <v>94</v>
      </c>
      <c r="K725" s="58" t="s">
        <v>29</v>
      </c>
      <c r="L725" s="58" t="s">
        <v>94</v>
      </c>
      <c r="M725" s="58" t="s">
        <v>29</v>
      </c>
      <c r="N725" s="61" t="s">
        <v>3032</v>
      </c>
      <c r="O725" s="58" t="s">
        <v>3033</v>
      </c>
      <c r="P725" s="58" t="s">
        <v>1459</v>
      </c>
      <c r="Q725" s="63" t="str">
        <f>IF(V725&lt;&gt;"","Completed","")</f>
        <v>Completed</v>
      </c>
      <c r="R725" s="64">
        <v>42665</v>
      </c>
      <c r="S725" s="64" t="s">
        <v>114</v>
      </c>
      <c r="T725" s="65">
        <v>13</v>
      </c>
      <c r="U725" s="65">
        <v>22</v>
      </c>
      <c r="V725" s="65">
        <v>22</v>
      </c>
      <c r="W725" s="65"/>
      <c r="X725" s="65"/>
      <c r="Y725" s="74" t="s">
        <v>44</v>
      </c>
      <c r="Z725" s="56" t="s">
        <v>1558</v>
      </c>
      <c r="AA725" s="252"/>
      <c r="AB725" s="325" t="s">
        <v>94</v>
      </c>
      <c r="AC725" s="325" t="s">
        <v>29</v>
      </c>
      <c r="AD725" s="345"/>
    </row>
    <row r="726" spans="1:30" s="66" customFormat="1">
      <c r="A726" s="338" t="s">
        <v>590</v>
      </c>
      <c r="B726" s="318" t="s">
        <v>1180</v>
      </c>
      <c r="C726" s="320">
        <v>42727</v>
      </c>
      <c r="D726" s="110"/>
      <c r="E726" s="242" t="s">
        <v>94</v>
      </c>
      <c r="F726" s="346" t="s">
        <v>29</v>
      </c>
      <c r="G726" s="321" t="s">
        <v>1443</v>
      </c>
      <c r="H726" s="321" t="s">
        <v>1449</v>
      </c>
      <c r="I726" s="322">
        <v>188</v>
      </c>
      <c r="J726" s="321" t="s">
        <v>94</v>
      </c>
      <c r="K726" s="321" t="s">
        <v>94</v>
      </c>
      <c r="L726" s="321" t="s">
        <v>29</v>
      </c>
      <c r="M726" s="321" t="s">
        <v>29</v>
      </c>
      <c r="N726" s="376" t="s">
        <v>3034</v>
      </c>
      <c r="O726" s="321" t="s">
        <v>3035</v>
      </c>
      <c r="P726" s="321" t="s">
        <v>1447</v>
      </c>
      <c r="Q726" s="63" t="str">
        <f>IF(V726&lt;&gt;"","Completed","")</f>
        <v>Completed</v>
      </c>
      <c r="R726" s="250">
        <v>42714</v>
      </c>
      <c r="S726" s="250" t="s">
        <v>80</v>
      </c>
      <c r="T726" s="242">
        <v>26</v>
      </c>
      <c r="U726" s="242">
        <v>52</v>
      </c>
      <c r="V726" s="242">
        <v>52</v>
      </c>
      <c r="W726" s="242"/>
      <c r="X726" s="242"/>
      <c r="Y726" s="74" t="s">
        <v>44</v>
      </c>
      <c r="Z726" s="345" t="s">
        <v>1605</v>
      </c>
      <c r="AA726" s="249">
        <f>SUM(V725:V726)</f>
        <v>74</v>
      </c>
      <c r="AB726" s="242" t="s">
        <v>94</v>
      </c>
      <c r="AC726" s="347" t="s">
        <v>29</v>
      </c>
      <c r="AD726" s="345"/>
    </row>
    <row r="727" spans="1:30" s="66" customFormat="1">
      <c r="A727" s="261" t="s">
        <v>710</v>
      </c>
      <c r="B727" s="56"/>
      <c r="C727" s="57">
        <v>42782</v>
      </c>
      <c r="D727" s="65"/>
      <c r="E727" s="65" t="s">
        <v>29</v>
      </c>
      <c r="F727" s="65" t="s">
        <v>29</v>
      </c>
      <c r="G727" s="63"/>
      <c r="H727" s="63"/>
      <c r="I727" s="63"/>
      <c r="J727" s="63"/>
      <c r="K727" s="63"/>
      <c r="L727" s="63"/>
      <c r="M727" s="63"/>
      <c r="N727" s="68" t="s">
        <v>3036</v>
      </c>
      <c r="O727" s="90" t="s">
        <v>3037</v>
      </c>
      <c r="P727" s="63"/>
      <c r="Q727" s="63" t="str">
        <f>IF(V727&lt;&gt;"","Completed","")</f>
        <v>Completed</v>
      </c>
      <c r="R727" s="64">
        <v>42770</v>
      </c>
      <c r="S727" s="64" t="s">
        <v>149</v>
      </c>
      <c r="T727" s="242">
        <v>55</v>
      </c>
      <c r="U727" s="242">
        <v>105</v>
      </c>
      <c r="V727" s="242">
        <v>105</v>
      </c>
      <c r="W727" s="65"/>
      <c r="X727" s="65"/>
      <c r="Y727" s="74" t="s">
        <v>44</v>
      </c>
      <c r="Z727" s="345" t="s">
        <v>1620</v>
      </c>
      <c r="AA727" s="92"/>
      <c r="AB727" s="242" t="s">
        <v>94</v>
      </c>
      <c r="AC727" s="242" t="s">
        <v>29</v>
      </c>
      <c r="AD727" s="345"/>
    </row>
    <row r="728" spans="1:30" s="66" customFormat="1">
      <c r="A728" s="75" t="s">
        <v>599</v>
      </c>
      <c r="B728" s="59"/>
      <c r="C728" s="57">
        <v>42661</v>
      </c>
      <c r="D728" s="65"/>
      <c r="E728" s="65" t="s">
        <v>29</v>
      </c>
      <c r="F728" s="65" t="s">
        <v>29</v>
      </c>
      <c r="G728" s="58" t="s">
        <v>1443</v>
      </c>
      <c r="H728" s="58" t="s">
        <v>1444</v>
      </c>
      <c r="I728" s="60">
        <v>509</v>
      </c>
      <c r="J728" s="58" t="s">
        <v>94</v>
      </c>
      <c r="K728" s="58" t="s">
        <v>29</v>
      </c>
      <c r="L728" s="58" t="s">
        <v>94</v>
      </c>
      <c r="M728" s="58" t="s">
        <v>29</v>
      </c>
      <c r="N728" s="61" t="s">
        <v>3038</v>
      </c>
      <c r="O728" s="58" t="s">
        <v>3039</v>
      </c>
      <c r="P728" s="58" t="s">
        <v>1447</v>
      </c>
      <c r="Q728" s="63" t="str">
        <f>IF(V728&lt;&gt;"","Completed","")</f>
        <v>Completed</v>
      </c>
      <c r="R728" s="64">
        <v>42670</v>
      </c>
      <c r="S728" s="64" t="s">
        <v>149</v>
      </c>
      <c r="T728" s="65">
        <v>13</v>
      </c>
      <c r="U728" s="65">
        <v>22</v>
      </c>
      <c r="V728" s="65">
        <v>22</v>
      </c>
      <c r="W728" s="65"/>
      <c r="X728" s="65"/>
      <c r="Y728" s="74" t="s">
        <v>44</v>
      </c>
      <c r="Z728" s="56" t="s">
        <v>1467</v>
      </c>
      <c r="AA728" s="252"/>
      <c r="AB728" s="316" t="s">
        <v>94</v>
      </c>
      <c r="AC728" s="317" t="s">
        <v>94</v>
      </c>
      <c r="AD728" s="349"/>
    </row>
    <row r="729" spans="1:30" s="66" customFormat="1">
      <c r="A729" s="244" t="s">
        <v>1060</v>
      </c>
      <c r="B729" s="62" t="s">
        <v>462</v>
      </c>
      <c r="C729" s="57">
        <v>42741</v>
      </c>
      <c r="D729" s="65"/>
      <c r="E729" s="65" t="s">
        <v>29</v>
      </c>
      <c r="F729" s="65" t="s">
        <v>29</v>
      </c>
      <c r="G729" s="58" t="s">
        <v>1443</v>
      </c>
      <c r="H729" s="58" t="s">
        <v>1449</v>
      </c>
      <c r="I729" s="60">
        <v>185</v>
      </c>
      <c r="J729" s="58" t="s">
        <v>94</v>
      </c>
      <c r="K729" s="58" t="s">
        <v>29</v>
      </c>
      <c r="L729" s="58" t="s">
        <v>94</v>
      </c>
      <c r="M729" s="58" t="s">
        <v>29</v>
      </c>
      <c r="N729" s="61" t="s">
        <v>3040</v>
      </c>
      <c r="O729" s="58" t="s">
        <v>3041</v>
      </c>
      <c r="P729" s="58" t="s">
        <v>1447</v>
      </c>
      <c r="Q729" s="63" t="str">
        <f>IF(V729&lt;&gt;"","Completed","")</f>
        <v>Completed</v>
      </c>
      <c r="R729" s="64">
        <v>42693</v>
      </c>
      <c r="S729" s="64" t="s">
        <v>57</v>
      </c>
      <c r="T729" s="65">
        <v>23</v>
      </c>
      <c r="U729" s="65">
        <v>40</v>
      </c>
      <c r="V729" s="65">
        <v>40</v>
      </c>
      <c r="W729" s="65"/>
      <c r="X729" s="65"/>
      <c r="Y729" s="74" t="s">
        <v>44</v>
      </c>
      <c r="Z729" s="56" t="s">
        <v>1593</v>
      </c>
      <c r="AA729" s="249">
        <f>V729</f>
        <v>40</v>
      </c>
      <c r="AB729" s="65" t="s">
        <v>94</v>
      </c>
      <c r="AC729" s="65" t="s">
        <v>94</v>
      </c>
      <c r="AD729" s="345"/>
    </row>
    <row r="730" spans="1:30" s="66" customFormat="1">
      <c r="A730" s="332" t="s">
        <v>1190</v>
      </c>
      <c r="B730" s="59"/>
      <c r="C730" s="57">
        <v>42726</v>
      </c>
      <c r="D730" s="65"/>
      <c r="E730" s="65" t="s">
        <v>29</v>
      </c>
      <c r="F730" s="65" t="s">
        <v>29</v>
      </c>
      <c r="G730" s="58" t="s">
        <v>1443</v>
      </c>
      <c r="H730" s="58" t="s">
        <v>1456</v>
      </c>
      <c r="I730" s="60">
        <v>290</v>
      </c>
      <c r="J730" s="58" t="s">
        <v>94</v>
      </c>
      <c r="K730" s="58" t="s">
        <v>29</v>
      </c>
      <c r="L730" s="58" t="s">
        <v>94</v>
      </c>
      <c r="M730" s="58" t="s">
        <v>29</v>
      </c>
      <c r="N730" s="61" t="s">
        <v>3042</v>
      </c>
      <c r="O730" s="58" t="s">
        <v>3043</v>
      </c>
      <c r="P730" s="58" t="s">
        <v>1459</v>
      </c>
      <c r="Q730" s="63" t="str">
        <f>IF(V730&lt;&gt;"","Completed","")</f>
        <v>Completed</v>
      </c>
      <c r="R730" s="67">
        <v>42718</v>
      </c>
      <c r="S730" s="67" t="s">
        <v>149</v>
      </c>
      <c r="T730" s="65">
        <v>17</v>
      </c>
      <c r="U730" s="65">
        <v>33</v>
      </c>
      <c r="V730" s="65">
        <v>33</v>
      </c>
      <c r="W730" s="65"/>
      <c r="X730" s="65"/>
      <c r="Y730" s="74" t="s">
        <v>44</v>
      </c>
      <c r="Z730" s="345" t="s">
        <v>1508</v>
      </c>
      <c r="AA730" s="252">
        <f>SUM(V726:V730)</f>
        <v>252</v>
      </c>
      <c r="AB730" s="74" t="s">
        <v>94</v>
      </c>
      <c r="AC730" s="74" t="s">
        <v>29</v>
      </c>
      <c r="AD730" s="345"/>
    </row>
    <row r="731" spans="1:30" s="65" customFormat="1">
      <c r="A731" s="261" t="s">
        <v>710</v>
      </c>
      <c r="B731" s="56"/>
      <c r="C731" s="57">
        <v>42762</v>
      </c>
      <c r="E731" s="65" t="s">
        <v>29</v>
      </c>
      <c r="F731" s="65" t="s">
        <v>29</v>
      </c>
      <c r="G731" s="63"/>
      <c r="H731" s="63"/>
      <c r="I731" s="63"/>
      <c r="J731" s="63"/>
      <c r="K731" s="63"/>
      <c r="L731" s="63"/>
      <c r="M731" s="63"/>
      <c r="N731" s="68" t="s">
        <v>3044</v>
      </c>
      <c r="O731" s="90" t="s">
        <v>3045</v>
      </c>
      <c r="P731" s="63"/>
      <c r="Q731" s="63" t="str">
        <f>IF(V731&lt;&gt;"","Completed","")</f>
        <v>Completed</v>
      </c>
      <c r="R731" s="64">
        <v>42770</v>
      </c>
      <c r="S731" s="64" t="s">
        <v>149</v>
      </c>
      <c r="T731" s="242">
        <v>9</v>
      </c>
      <c r="U731" s="242">
        <v>17</v>
      </c>
      <c r="V731" s="242">
        <v>17</v>
      </c>
      <c r="Y731" s="74" t="s">
        <v>44</v>
      </c>
      <c r="Z731" s="345" t="s">
        <v>1442</v>
      </c>
      <c r="AA731" s="92"/>
      <c r="AB731" s="242" t="s">
        <v>94</v>
      </c>
      <c r="AC731" s="242" t="s">
        <v>29</v>
      </c>
      <c r="AD731" s="345"/>
    </row>
    <row r="732" spans="1:30" s="65" customFormat="1">
      <c r="A732" s="75" t="s">
        <v>1415</v>
      </c>
      <c r="B732" s="59"/>
      <c r="C732" s="57">
        <v>42758</v>
      </c>
      <c r="D732" s="409"/>
      <c r="E732" s="65" t="s">
        <v>29</v>
      </c>
      <c r="F732" s="65" t="s">
        <v>94</v>
      </c>
      <c r="G732" s="58" t="s">
        <v>1482</v>
      </c>
      <c r="H732" s="58"/>
      <c r="I732" s="60"/>
      <c r="J732" s="58"/>
      <c r="K732" s="58"/>
      <c r="L732" s="58"/>
      <c r="M732" s="58"/>
      <c r="N732" s="61" t="s">
        <v>3046</v>
      </c>
      <c r="O732" s="201" t="s">
        <v>3047</v>
      </c>
      <c r="P732" s="58"/>
      <c r="Q732" s="63" t="str">
        <f>IF(V732&lt;&gt;"","Completed","")</f>
        <v>Completed</v>
      </c>
      <c r="R732" s="250">
        <v>42747</v>
      </c>
      <c r="S732" s="250" t="s">
        <v>104</v>
      </c>
      <c r="T732" s="65">
        <v>8</v>
      </c>
      <c r="V732" s="256">
        <v>13</v>
      </c>
      <c r="Y732" s="74" t="s">
        <v>44</v>
      </c>
      <c r="Z732" s="56" t="s">
        <v>1500</v>
      </c>
      <c r="AA732" s="252"/>
      <c r="AB732" s="65" t="s">
        <v>94</v>
      </c>
      <c r="AC732" s="65" t="s">
        <v>29</v>
      </c>
      <c r="AD732" s="345"/>
    </row>
    <row r="733" spans="1:30" s="65" customFormat="1">
      <c r="A733" s="75" t="s">
        <v>803</v>
      </c>
      <c r="B733" s="59"/>
      <c r="C733" s="57">
        <v>42760</v>
      </c>
      <c r="E733" s="65" t="s">
        <v>29</v>
      </c>
      <c r="F733" s="65" t="s">
        <v>29</v>
      </c>
      <c r="G733" s="58" t="s">
        <v>1443</v>
      </c>
      <c r="H733" s="58" t="s">
        <v>1456</v>
      </c>
      <c r="I733" s="60">
        <v>0</v>
      </c>
      <c r="J733" s="58" t="s">
        <v>2345</v>
      </c>
      <c r="K733" s="58" t="s">
        <v>29</v>
      </c>
      <c r="L733" s="58" t="s">
        <v>94</v>
      </c>
      <c r="M733" s="58" t="s">
        <v>29</v>
      </c>
      <c r="N733" s="61" t="s">
        <v>3048</v>
      </c>
      <c r="O733" s="58" t="s">
        <v>3049</v>
      </c>
      <c r="P733" s="58" t="s">
        <v>1447</v>
      </c>
      <c r="Q733" s="63" t="str">
        <f>IF(V733&lt;&gt;"","Completed","")</f>
        <v>Completed</v>
      </c>
      <c r="R733" s="64">
        <v>42714</v>
      </c>
      <c r="S733" s="64" t="s">
        <v>43</v>
      </c>
      <c r="T733" s="65">
        <v>14</v>
      </c>
      <c r="U733" s="65">
        <v>28</v>
      </c>
      <c r="V733" s="65">
        <v>28</v>
      </c>
      <c r="Y733" s="74" t="s">
        <v>44</v>
      </c>
      <c r="Z733" s="56" t="s">
        <v>1472</v>
      </c>
      <c r="AA733" s="249"/>
      <c r="AB733" s="65" t="s">
        <v>94</v>
      </c>
      <c r="AC733" s="65" t="s">
        <v>29</v>
      </c>
      <c r="AD733" s="345"/>
    </row>
    <row r="734" spans="1:30" s="65" customFormat="1">
      <c r="A734" s="75" t="s">
        <v>1064</v>
      </c>
      <c r="B734" s="59"/>
      <c r="C734" s="57">
        <v>42790</v>
      </c>
      <c r="E734" s="65" t="s">
        <v>29</v>
      </c>
      <c r="F734" s="65" t="s">
        <v>29</v>
      </c>
      <c r="G734" s="58" t="s">
        <v>1443</v>
      </c>
      <c r="H734" s="58" t="s">
        <v>1456</v>
      </c>
      <c r="I734" s="60">
        <v>96</v>
      </c>
      <c r="J734" s="58" t="s">
        <v>29</v>
      </c>
      <c r="K734" s="58" t="s">
        <v>29</v>
      </c>
      <c r="L734" s="58" t="s">
        <v>29</v>
      </c>
      <c r="M734" s="58" t="s">
        <v>29</v>
      </c>
      <c r="N734" s="61" t="s">
        <v>3050</v>
      </c>
      <c r="O734" s="58" t="s">
        <v>3051</v>
      </c>
      <c r="P734" s="58" t="s">
        <v>1447</v>
      </c>
      <c r="Q734" s="63" t="str">
        <f>IF(V734&lt;&gt;"","Completed","")</f>
        <v>Completed</v>
      </c>
      <c r="R734" s="64">
        <v>42691</v>
      </c>
      <c r="S734" s="386" t="s">
        <v>172</v>
      </c>
      <c r="T734" s="65">
        <v>14</v>
      </c>
      <c r="U734" s="65">
        <v>28</v>
      </c>
      <c r="V734" s="65">
        <v>28</v>
      </c>
      <c r="Y734" s="74" t="s">
        <v>44</v>
      </c>
      <c r="Z734" s="56" t="s">
        <v>1754</v>
      </c>
      <c r="AA734" s="249">
        <f>V734</f>
        <v>28</v>
      </c>
      <c r="AB734" s="65" t="s">
        <v>94</v>
      </c>
      <c r="AC734" s="65" t="s">
        <v>29</v>
      </c>
      <c r="AD734" s="345"/>
    </row>
    <row r="735" spans="1:30" s="65" customFormat="1">
      <c r="A735" s="75" t="s">
        <v>1072</v>
      </c>
      <c r="B735" s="59"/>
      <c r="C735" s="57">
        <v>42794</v>
      </c>
      <c r="E735" s="65" t="s">
        <v>29</v>
      </c>
      <c r="F735" s="65" t="s">
        <v>29</v>
      </c>
      <c r="G735" s="58" t="s">
        <v>1443</v>
      </c>
      <c r="H735" s="58" t="s">
        <v>1456</v>
      </c>
      <c r="I735" s="60">
        <v>605</v>
      </c>
      <c r="J735" s="58" t="s">
        <v>29</v>
      </c>
      <c r="K735" s="58" t="s">
        <v>29</v>
      </c>
      <c r="L735" s="58" t="s">
        <v>29</v>
      </c>
      <c r="M735" s="58" t="s">
        <v>29</v>
      </c>
      <c r="N735" s="61" t="s">
        <v>3052</v>
      </c>
      <c r="O735" s="58" t="s">
        <v>3053</v>
      </c>
      <c r="P735" s="58" t="s">
        <v>1459</v>
      </c>
      <c r="Q735" s="63" t="str">
        <f>IF(V735&lt;&gt;"","Completed","")</f>
        <v>Completed</v>
      </c>
      <c r="R735" s="64">
        <v>42761</v>
      </c>
      <c r="S735" s="64" t="s">
        <v>149</v>
      </c>
      <c r="T735" s="65">
        <v>112</v>
      </c>
      <c r="U735" s="65">
        <v>167</v>
      </c>
      <c r="V735" s="65">
        <v>167</v>
      </c>
      <c r="Y735" s="74" t="s">
        <v>44</v>
      </c>
      <c r="Z735" s="56" t="s">
        <v>1668</v>
      </c>
      <c r="AA735" s="252"/>
      <c r="AB735" s="65" t="s">
        <v>94</v>
      </c>
      <c r="AC735" s="65" t="s">
        <v>94</v>
      </c>
      <c r="AD735" s="345"/>
    </row>
    <row r="736" spans="1:30" s="65" customFormat="1">
      <c r="A736" s="75" t="s">
        <v>1072</v>
      </c>
      <c r="B736" s="59"/>
      <c r="C736" s="57">
        <v>42739</v>
      </c>
      <c r="E736" s="65" t="s">
        <v>29</v>
      </c>
      <c r="F736" s="65" t="s">
        <v>29</v>
      </c>
      <c r="G736" s="58" t="s">
        <v>1443</v>
      </c>
      <c r="H736" s="58" t="s">
        <v>1456</v>
      </c>
      <c r="I736" s="60">
        <v>0</v>
      </c>
      <c r="J736" s="58" t="s">
        <v>29</v>
      </c>
      <c r="K736" s="58" t="s">
        <v>29</v>
      </c>
      <c r="L736" s="58" t="s">
        <v>29</v>
      </c>
      <c r="M736" s="58" t="s">
        <v>29</v>
      </c>
      <c r="N736" s="61" t="s">
        <v>3054</v>
      </c>
      <c r="O736" s="58" t="s">
        <v>3055</v>
      </c>
      <c r="P736" s="58" t="s">
        <v>1447</v>
      </c>
      <c r="Q736" s="63" t="str">
        <f>IF(V736&lt;&gt;"","Completed","")</f>
        <v>Completed</v>
      </c>
      <c r="R736" s="64">
        <v>42724</v>
      </c>
      <c r="S736" s="64" t="s">
        <v>149</v>
      </c>
      <c r="T736" s="65">
        <v>64</v>
      </c>
      <c r="U736" s="65">
        <v>127</v>
      </c>
      <c r="V736" s="65">
        <v>127</v>
      </c>
      <c r="Y736" s="74" t="s">
        <v>44</v>
      </c>
      <c r="Z736" s="56" t="s">
        <v>1611</v>
      </c>
      <c r="AA736" s="252"/>
      <c r="AB736" s="65" t="s">
        <v>94</v>
      </c>
      <c r="AC736" s="315" t="s">
        <v>29</v>
      </c>
      <c r="AD736" s="345"/>
    </row>
    <row r="737" spans="1:30" s="65" customFormat="1">
      <c r="A737" s="75" t="s">
        <v>1072</v>
      </c>
      <c r="B737" s="59"/>
      <c r="C737" s="57">
        <v>42739</v>
      </c>
      <c r="E737" s="65" t="s">
        <v>29</v>
      </c>
      <c r="F737" s="65" t="s">
        <v>29</v>
      </c>
      <c r="G737" s="58" t="s">
        <v>1443</v>
      </c>
      <c r="H737" s="58" t="s">
        <v>1456</v>
      </c>
      <c r="I737" s="60">
        <v>0</v>
      </c>
      <c r="J737" s="58" t="s">
        <v>94</v>
      </c>
      <c r="K737" s="58" t="s">
        <v>29</v>
      </c>
      <c r="L737" s="58" t="s">
        <v>29</v>
      </c>
      <c r="M737" s="58" t="s">
        <v>29</v>
      </c>
      <c r="N737" s="61" t="s">
        <v>3056</v>
      </c>
      <c r="O737" s="58" t="s">
        <v>3057</v>
      </c>
      <c r="P737" s="58" t="s">
        <v>1459</v>
      </c>
      <c r="Q737" s="63" t="str">
        <f>IF(V737&lt;&gt;"","Completed","")</f>
        <v>Completed</v>
      </c>
      <c r="R737" s="64">
        <v>42721</v>
      </c>
      <c r="S737" s="64" t="s">
        <v>149</v>
      </c>
      <c r="T737" s="65">
        <v>35</v>
      </c>
      <c r="U737" s="65">
        <v>70</v>
      </c>
      <c r="V737" s="65">
        <v>70</v>
      </c>
      <c r="Y737" s="74" t="s">
        <v>44</v>
      </c>
      <c r="Z737" s="56" t="s">
        <v>1611</v>
      </c>
      <c r="AA737" s="252">
        <f>SUM(V735:V737)</f>
        <v>364</v>
      </c>
      <c r="AB737" s="65" t="s">
        <v>94</v>
      </c>
      <c r="AC737" s="65" t="s">
        <v>94</v>
      </c>
      <c r="AD737" s="345"/>
    </row>
    <row r="738" spans="1:30" s="65" customFormat="1">
      <c r="A738" s="331" t="s">
        <v>1206</v>
      </c>
      <c r="B738" s="59"/>
      <c r="C738" s="57">
        <v>42726</v>
      </c>
      <c r="E738" s="65" t="s">
        <v>29</v>
      </c>
      <c r="F738" s="65" t="s">
        <v>29</v>
      </c>
      <c r="G738" s="58" t="s">
        <v>1443</v>
      </c>
      <c r="H738" s="58" t="s">
        <v>1444</v>
      </c>
      <c r="I738" s="60">
        <v>371</v>
      </c>
      <c r="J738" s="58" t="s">
        <v>94</v>
      </c>
      <c r="K738" s="58" t="s">
        <v>29</v>
      </c>
      <c r="L738" s="58" t="s">
        <v>94</v>
      </c>
      <c r="M738" s="58" t="s">
        <v>29</v>
      </c>
      <c r="N738" s="61" t="s">
        <v>3058</v>
      </c>
      <c r="O738" s="58" t="s">
        <v>3059</v>
      </c>
      <c r="P738" s="58" t="s">
        <v>1459</v>
      </c>
      <c r="Q738" s="63" t="str">
        <f>IF(V738&lt;&gt;"","Completed","")</f>
        <v>Completed</v>
      </c>
      <c r="R738" s="64">
        <v>42665</v>
      </c>
      <c r="S738" s="64" t="s">
        <v>114</v>
      </c>
      <c r="T738" s="65">
        <v>36</v>
      </c>
      <c r="U738" s="65">
        <v>72</v>
      </c>
      <c r="V738" s="65">
        <v>72</v>
      </c>
      <c r="Y738" s="74" t="s">
        <v>44</v>
      </c>
      <c r="Z738" s="56" t="s">
        <v>1478</v>
      </c>
      <c r="AA738" s="252"/>
      <c r="AB738" s="325" t="s">
        <v>94</v>
      </c>
      <c r="AC738" s="325" t="s">
        <v>29</v>
      </c>
      <c r="AD738" s="345"/>
    </row>
    <row r="739" spans="1:30" s="65" customFormat="1">
      <c r="A739" s="331" t="s">
        <v>1206</v>
      </c>
      <c r="B739" s="59"/>
      <c r="C739" s="57">
        <v>42753</v>
      </c>
      <c r="E739" s="65" t="s">
        <v>29</v>
      </c>
      <c r="F739" s="65" t="s">
        <v>29</v>
      </c>
      <c r="G739" s="58" t="s">
        <v>1443</v>
      </c>
      <c r="H739" s="58" t="s">
        <v>1444</v>
      </c>
      <c r="I739" s="60">
        <v>0</v>
      </c>
      <c r="J739" s="58" t="s">
        <v>94</v>
      </c>
      <c r="K739" s="58" t="s">
        <v>29</v>
      </c>
      <c r="L739" s="58" t="s">
        <v>94</v>
      </c>
      <c r="M739" s="58" t="s">
        <v>29</v>
      </c>
      <c r="N739" s="61" t="s">
        <v>3060</v>
      </c>
      <c r="O739" s="58" t="s">
        <v>3061</v>
      </c>
      <c r="P739" s="58" t="s">
        <v>1459</v>
      </c>
      <c r="Q739" s="63" t="str">
        <f>IF(V739&lt;&gt;"","Completed","")</f>
        <v>Completed</v>
      </c>
      <c r="R739" s="64">
        <v>42712</v>
      </c>
      <c r="S739" s="64" t="s">
        <v>57</v>
      </c>
      <c r="T739" s="65">
        <v>11</v>
      </c>
      <c r="U739" s="65">
        <v>22</v>
      </c>
      <c r="V739" s="65">
        <v>22</v>
      </c>
      <c r="Y739" s="74" t="s">
        <v>44</v>
      </c>
      <c r="Z739" s="56" t="s">
        <v>1512</v>
      </c>
      <c r="AA739" s="252"/>
      <c r="AB739" s="248" t="s">
        <v>94</v>
      </c>
      <c r="AC739" s="248" t="s">
        <v>29</v>
      </c>
      <c r="AD739" s="345"/>
    </row>
    <row r="740" spans="1:30" s="65" customFormat="1">
      <c r="A740" s="75" t="s">
        <v>1080</v>
      </c>
      <c r="B740" s="59"/>
      <c r="C740" s="57">
        <v>42741</v>
      </c>
      <c r="E740" s="65" t="s">
        <v>29</v>
      </c>
      <c r="F740" s="65" t="s">
        <v>29</v>
      </c>
      <c r="G740" s="58" t="s">
        <v>1443</v>
      </c>
      <c r="H740" s="58" t="s">
        <v>1449</v>
      </c>
      <c r="I740" s="60">
        <v>0</v>
      </c>
      <c r="J740" s="58" t="s">
        <v>29</v>
      </c>
      <c r="K740" s="58" t="s">
        <v>29</v>
      </c>
      <c r="L740" s="58" t="s">
        <v>29</v>
      </c>
      <c r="M740" s="58" t="s">
        <v>29</v>
      </c>
      <c r="N740" s="61" t="s">
        <v>3062</v>
      </c>
      <c r="O740" s="58" t="s">
        <v>3063</v>
      </c>
      <c r="P740" s="58" t="s">
        <v>1447</v>
      </c>
      <c r="Q740" s="63" t="str">
        <f>IF(V740&lt;&gt;"","Completed","")</f>
        <v>Completed</v>
      </c>
      <c r="R740" s="64">
        <v>42677</v>
      </c>
      <c r="S740" s="64" t="s">
        <v>433</v>
      </c>
      <c r="T740" s="65">
        <v>27</v>
      </c>
      <c r="U740" s="65">
        <v>49</v>
      </c>
      <c r="V740" s="65">
        <v>49</v>
      </c>
      <c r="Y740" s="74" t="s">
        <v>44</v>
      </c>
      <c r="Z740" s="56" t="s">
        <v>1824</v>
      </c>
      <c r="AA740" s="252"/>
      <c r="AB740" s="324" t="s">
        <v>94</v>
      </c>
      <c r="AC740" s="151" t="s">
        <v>29</v>
      </c>
      <c r="AD740" s="345"/>
    </row>
    <row r="741" spans="1:30" s="65" customFormat="1" ht="30">
      <c r="A741" s="388" t="s">
        <v>1079</v>
      </c>
      <c r="B741" s="59" t="s">
        <v>224</v>
      </c>
      <c r="C741" s="57">
        <v>42741</v>
      </c>
      <c r="E741" s="65" t="s">
        <v>29</v>
      </c>
      <c r="F741" s="65" t="s">
        <v>29</v>
      </c>
      <c r="G741" s="58"/>
      <c r="H741" s="58"/>
      <c r="I741" s="60"/>
      <c r="J741" s="58"/>
      <c r="K741" s="58"/>
      <c r="L741" s="58"/>
      <c r="M741" s="58"/>
      <c r="N741" s="272" t="s">
        <v>3064</v>
      </c>
      <c r="O741" s="59" t="s">
        <v>3065</v>
      </c>
      <c r="P741" s="58"/>
      <c r="Q741" s="63" t="str">
        <f>IF(V741&lt;&gt;"","Completed","")</f>
        <v>Completed</v>
      </c>
      <c r="R741" s="67">
        <v>42723</v>
      </c>
      <c r="S741" s="67" t="s">
        <v>149</v>
      </c>
      <c r="T741" s="65">
        <v>20</v>
      </c>
      <c r="U741" s="65">
        <v>37</v>
      </c>
      <c r="V741" s="65">
        <v>37</v>
      </c>
      <c r="Y741" s="74" t="s">
        <v>44</v>
      </c>
      <c r="Z741" s="56" t="s">
        <v>1824</v>
      </c>
      <c r="AA741" s="120">
        <f>V741</f>
        <v>37</v>
      </c>
      <c r="AB741" s="242" t="s">
        <v>94</v>
      </c>
      <c r="AC741" s="242" t="s">
        <v>29</v>
      </c>
      <c r="AD741" s="345"/>
    </row>
    <row r="742" spans="1:30" s="65" customFormat="1" ht="30">
      <c r="A742" s="335" t="s">
        <v>3066</v>
      </c>
      <c r="B742" s="59" t="s">
        <v>224</v>
      </c>
      <c r="C742" s="57">
        <v>42790</v>
      </c>
      <c r="D742" s="65">
        <v>3031000</v>
      </c>
      <c r="E742" s="65" t="s">
        <v>29</v>
      </c>
      <c r="F742" s="65" t="s">
        <v>29</v>
      </c>
      <c r="G742" s="58"/>
      <c r="H742" s="58"/>
      <c r="I742" s="60"/>
      <c r="J742" s="58"/>
      <c r="K742" s="58"/>
      <c r="L742" s="58"/>
      <c r="M742" s="58"/>
      <c r="N742" s="290" t="s">
        <v>3067</v>
      </c>
      <c r="O742" s="58" t="s">
        <v>3068</v>
      </c>
      <c r="P742" s="58"/>
      <c r="Q742" s="63" t="str">
        <f>IF(V742&lt;&gt;"","Completed","")</f>
        <v>Completed</v>
      </c>
      <c r="R742" s="312">
        <v>42761</v>
      </c>
      <c r="S742" s="312" t="s">
        <v>57</v>
      </c>
      <c r="T742" s="65">
        <v>8</v>
      </c>
      <c r="U742" s="65">
        <v>17</v>
      </c>
      <c r="V742" s="65">
        <v>17</v>
      </c>
      <c r="Y742" s="74" t="s">
        <v>44</v>
      </c>
      <c r="Z742" s="56" t="s">
        <v>1884</v>
      </c>
      <c r="AA742" s="92">
        <f>V742</f>
        <v>17</v>
      </c>
      <c r="AB742" s="151" t="s">
        <v>94</v>
      </c>
      <c r="AC742" s="151" t="s">
        <v>1453</v>
      </c>
      <c r="AD742" s="345"/>
    </row>
    <row r="743" spans="1:30" s="65" customFormat="1">
      <c r="A743" s="244" t="s">
        <v>912</v>
      </c>
      <c r="B743" s="62" t="s">
        <v>913</v>
      </c>
      <c r="C743" s="57">
        <v>42725</v>
      </c>
      <c r="E743" s="65" t="s">
        <v>29</v>
      </c>
      <c r="F743" s="65" t="s">
        <v>29</v>
      </c>
      <c r="G743" s="58" t="s">
        <v>1443</v>
      </c>
      <c r="H743" s="58" t="s">
        <v>1456</v>
      </c>
      <c r="I743" s="60">
        <v>586</v>
      </c>
      <c r="J743" s="58" t="s">
        <v>94</v>
      </c>
      <c r="K743" s="58" t="s">
        <v>29</v>
      </c>
      <c r="L743" s="58" t="s">
        <v>29</v>
      </c>
      <c r="M743" s="58" t="s">
        <v>29</v>
      </c>
      <c r="N743" s="61" t="s">
        <v>3069</v>
      </c>
      <c r="O743" s="58" t="s">
        <v>3070</v>
      </c>
      <c r="P743" s="58" t="s">
        <v>1447</v>
      </c>
      <c r="Q743" s="63" t="str">
        <f>IF(V743&lt;&gt;"","Completed","")</f>
        <v>Completed</v>
      </c>
      <c r="R743" s="64">
        <v>42707</v>
      </c>
      <c r="S743" s="64" t="s">
        <v>149</v>
      </c>
      <c r="T743" s="65">
        <v>29</v>
      </c>
      <c r="U743" s="65">
        <v>55</v>
      </c>
      <c r="V743" s="65">
        <v>55</v>
      </c>
      <c r="Y743" s="74" t="s">
        <v>44</v>
      </c>
      <c r="Z743" s="56" t="s">
        <v>1640</v>
      </c>
      <c r="AA743" s="249">
        <f>SUM(V741:V743)</f>
        <v>109</v>
      </c>
      <c r="AB743" s="65" t="s">
        <v>94</v>
      </c>
      <c r="AC743" s="65" t="s">
        <v>29</v>
      </c>
      <c r="AD743" s="345"/>
    </row>
    <row r="744" spans="1:30" s="65" customFormat="1">
      <c r="A744" s="331" t="s">
        <v>1206</v>
      </c>
      <c r="B744" s="59"/>
      <c r="C744" s="57">
        <v>42726</v>
      </c>
      <c r="E744" s="65" t="s">
        <v>29</v>
      </c>
      <c r="F744" s="65" t="s">
        <v>29</v>
      </c>
      <c r="G744" s="58" t="s">
        <v>1443</v>
      </c>
      <c r="H744" s="58" t="s">
        <v>1444</v>
      </c>
      <c r="I744" s="60">
        <v>350</v>
      </c>
      <c r="J744" s="58" t="s">
        <v>94</v>
      </c>
      <c r="K744" s="58" t="s">
        <v>29</v>
      </c>
      <c r="L744" s="58" t="s">
        <v>94</v>
      </c>
      <c r="M744" s="58" t="s">
        <v>29</v>
      </c>
      <c r="N744" s="61" t="s">
        <v>3071</v>
      </c>
      <c r="O744" s="58" t="s">
        <v>3072</v>
      </c>
      <c r="P744" s="58" t="s">
        <v>1459</v>
      </c>
      <c r="Q744" s="63" t="str">
        <f>IF(V744&lt;&gt;"","Completed","")</f>
        <v>Completed</v>
      </c>
      <c r="R744" s="64">
        <v>42665</v>
      </c>
      <c r="S744" s="64" t="s">
        <v>114</v>
      </c>
      <c r="T744" s="65">
        <v>17</v>
      </c>
      <c r="U744" s="65">
        <v>34</v>
      </c>
      <c r="V744" s="65">
        <v>34</v>
      </c>
      <c r="Y744" s="74" t="s">
        <v>44</v>
      </c>
      <c r="Z744" s="56" t="s">
        <v>1558</v>
      </c>
      <c r="AA744" s="252"/>
      <c r="AB744" s="325" t="s">
        <v>94</v>
      </c>
      <c r="AC744" s="325" t="s">
        <v>29</v>
      </c>
      <c r="AD744" s="345"/>
    </row>
    <row r="745" spans="1:30" s="65" customFormat="1">
      <c r="A745" s="332" t="s">
        <v>550</v>
      </c>
      <c r="B745" s="59"/>
      <c r="C745" s="57">
        <v>42724</v>
      </c>
      <c r="E745" s="65" t="s">
        <v>29</v>
      </c>
      <c r="F745" s="65" t="s">
        <v>29</v>
      </c>
      <c r="G745" s="58" t="s">
        <v>1443</v>
      </c>
      <c r="H745" s="58" t="s">
        <v>1449</v>
      </c>
      <c r="I745" s="60">
        <v>207</v>
      </c>
      <c r="J745" s="58" t="s">
        <v>94</v>
      </c>
      <c r="K745" s="58" t="s">
        <v>29</v>
      </c>
      <c r="L745" s="58" t="s">
        <v>94</v>
      </c>
      <c r="M745" s="58" t="s">
        <v>29</v>
      </c>
      <c r="N745" s="61" t="s">
        <v>3073</v>
      </c>
      <c r="O745" s="58" t="s">
        <v>3074</v>
      </c>
      <c r="P745" s="58" t="s">
        <v>1447</v>
      </c>
      <c r="Q745" s="63" t="str">
        <f>IF(V745&lt;&gt;"","Completed","")</f>
        <v>Completed</v>
      </c>
      <c r="R745" s="64">
        <v>42689</v>
      </c>
      <c r="S745" s="24" t="s">
        <v>558</v>
      </c>
      <c r="T745" s="65">
        <v>32</v>
      </c>
      <c r="U745" s="65">
        <v>53</v>
      </c>
      <c r="V745" s="65">
        <v>53</v>
      </c>
      <c r="Y745" s="74" t="s">
        <v>44</v>
      </c>
      <c r="Z745" s="56" t="s">
        <v>1656</v>
      </c>
      <c r="AA745" s="249"/>
      <c r="AB745" s="65" t="s">
        <v>94</v>
      </c>
      <c r="AC745" s="65" t="s">
        <v>29</v>
      </c>
      <c r="AD745" s="345"/>
    </row>
    <row r="746" spans="1:30" s="65" customFormat="1">
      <c r="A746" s="75" t="s">
        <v>965</v>
      </c>
      <c r="B746" s="59"/>
      <c r="C746" s="57">
        <v>42716</v>
      </c>
      <c r="E746" s="65" t="s">
        <v>29</v>
      </c>
      <c r="F746" s="65" t="s">
        <v>94</v>
      </c>
      <c r="G746" s="58" t="s">
        <v>1443</v>
      </c>
      <c r="H746" s="58" t="s">
        <v>1456</v>
      </c>
      <c r="I746" s="60">
        <v>533</v>
      </c>
      <c r="J746" s="58" t="s">
        <v>29</v>
      </c>
      <c r="K746" s="58" t="s">
        <v>29</v>
      </c>
      <c r="L746" s="58" t="s">
        <v>94</v>
      </c>
      <c r="M746" s="58" t="s">
        <v>94</v>
      </c>
      <c r="N746" s="61" t="s">
        <v>3075</v>
      </c>
      <c r="O746" s="58" t="s">
        <v>3074</v>
      </c>
      <c r="P746" s="58" t="s">
        <v>1447</v>
      </c>
      <c r="Q746" s="63" t="str">
        <f>IF(V746&lt;&gt;"","Completed","")</f>
        <v>Completed</v>
      </c>
      <c r="R746" s="64">
        <v>42669</v>
      </c>
      <c r="S746" s="64" t="s">
        <v>104</v>
      </c>
      <c r="T746" s="65">
        <v>72</v>
      </c>
      <c r="V746" s="256">
        <v>113</v>
      </c>
      <c r="Y746" s="74" t="s">
        <v>44</v>
      </c>
      <c r="Z746" s="56" t="s">
        <v>1599</v>
      </c>
      <c r="AA746" s="363">
        <f>SUM(V740:V746)</f>
        <v>358</v>
      </c>
      <c r="AB746" s="242" t="s">
        <v>94</v>
      </c>
      <c r="AD746" s="345"/>
    </row>
    <row r="747" spans="1:30" s="66" customFormat="1">
      <c r="A747" s="332" t="s">
        <v>860</v>
      </c>
      <c r="B747" s="59"/>
      <c r="C747" s="57"/>
      <c r="D747" s="65"/>
      <c r="E747" s="65" t="s">
        <v>29</v>
      </c>
      <c r="F747" s="65" t="s">
        <v>29</v>
      </c>
      <c r="G747" s="58" t="s">
        <v>1443</v>
      </c>
      <c r="H747" s="58" t="s">
        <v>1444</v>
      </c>
      <c r="I747" s="60">
        <v>700</v>
      </c>
      <c r="J747" s="58" t="s">
        <v>94</v>
      </c>
      <c r="K747" s="58" t="s">
        <v>29</v>
      </c>
      <c r="L747" s="58" t="s">
        <v>29</v>
      </c>
      <c r="M747" s="58" t="s">
        <v>29</v>
      </c>
      <c r="N747" s="61" t="s">
        <v>3076</v>
      </c>
      <c r="O747" s="58" t="s">
        <v>3077</v>
      </c>
      <c r="P747" s="58" t="s">
        <v>1459</v>
      </c>
      <c r="Q747" s="63" t="str">
        <f>IF(V747&lt;&gt;"","Completed","")</f>
        <v>Completed</v>
      </c>
      <c r="R747" s="64">
        <v>42537</v>
      </c>
      <c r="S747" s="319" t="s">
        <v>222</v>
      </c>
      <c r="T747" s="150">
        <v>6</v>
      </c>
      <c r="U747" s="65">
        <v>10</v>
      </c>
      <c r="V747" s="65">
        <v>10</v>
      </c>
      <c r="W747" s="65"/>
      <c r="X747" s="65"/>
      <c r="Y747" s="74" t="s">
        <v>44</v>
      </c>
      <c r="Z747" s="56" t="s">
        <v>220</v>
      </c>
      <c r="AA747" s="249">
        <f>SUM(V744:V747)</f>
        <v>210</v>
      </c>
      <c r="AB747" s="242" t="s">
        <v>94</v>
      </c>
      <c r="AC747" s="242" t="s">
        <v>94</v>
      </c>
      <c r="AD747" s="349" t="s">
        <v>1587</v>
      </c>
    </row>
    <row r="748" spans="1:30" s="66" customFormat="1">
      <c r="A748" s="75" t="s">
        <v>1087</v>
      </c>
      <c r="B748" s="59"/>
      <c r="C748" s="57">
        <v>42768</v>
      </c>
      <c r="D748" s="65"/>
      <c r="E748" s="65" t="s">
        <v>29</v>
      </c>
      <c r="F748" s="65" t="s">
        <v>94</v>
      </c>
      <c r="G748" s="58"/>
      <c r="H748" s="58"/>
      <c r="I748" s="60"/>
      <c r="J748" s="58"/>
      <c r="K748" s="58"/>
      <c r="L748" s="58"/>
      <c r="M748" s="58"/>
      <c r="N748" s="71" t="s">
        <v>3078</v>
      </c>
      <c r="O748" s="72" t="s">
        <v>3079</v>
      </c>
      <c r="P748" s="58"/>
      <c r="Q748" s="63" t="str">
        <f>IF(V748&lt;&gt;"","Completed","")</f>
        <v>Completed</v>
      </c>
      <c r="R748" s="64">
        <v>42749</v>
      </c>
      <c r="S748" s="64" t="s">
        <v>104</v>
      </c>
      <c r="T748" s="242">
        <v>64</v>
      </c>
      <c r="U748" s="242"/>
      <c r="V748" s="369">
        <v>126</v>
      </c>
      <c r="W748" s="242"/>
      <c r="X748" s="242"/>
      <c r="Y748" s="347" t="s">
        <v>44</v>
      </c>
      <c r="Z748" s="345" t="s">
        <v>1940</v>
      </c>
      <c r="AA748" s="92"/>
      <c r="AB748" s="65" t="s">
        <v>94</v>
      </c>
      <c r="AC748" s="65" t="s">
        <v>29</v>
      </c>
      <c r="AD748" s="345"/>
    </row>
    <row r="749" spans="1:30" s="66" customFormat="1">
      <c r="A749" s="75" t="s">
        <v>599</v>
      </c>
      <c r="B749" s="59"/>
      <c r="C749" s="57">
        <v>42661</v>
      </c>
      <c r="D749" s="65"/>
      <c r="E749" s="65" t="s">
        <v>29</v>
      </c>
      <c r="F749" s="65" t="s">
        <v>29</v>
      </c>
      <c r="G749" s="58" t="s">
        <v>1443</v>
      </c>
      <c r="H749" s="58" t="s">
        <v>1444</v>
      </c>
      <c r="I749" s="60">
        <v>154</v>
      </c>
      <c r="J749" s="58" t="s">
        <v>94</v>
      </c>
      <c r="K749" s="58" t="s">
        <v>29</v>
      </c>
      <c r="L749" s="58" t="s">
        <v>94</v>
      </c>
      <c r="M749" s="58" t="s">
        <v>29</v>
      </c>
      <c r="N749" s="61" t="s">
        <v>3080</v>
      </c>
      <c r="O749" s="58" t="s">
        <v>3081</v>
      </c>
      <c r="P749" s="58" t="s">
        <v>1447</v>
      </c>
      <c r="Q749" s="63" t="str">
        <f>IF(V749&lt;&gt;"","Completed","")</f>
        <v>Completed</v>
      </c>
      <c r="R749" s="64">
        <v>42795</v>
      </c>
      <c r="S749" s="64" t="s">
        <v>149</v>
      </c>
      <c r="T749" s="65">
        <v>6</v>
      </c>
      <c r="U749" s="65">
        <v>12</v>
      </c>
      <c r="V749" s="65">
        <v>12</v>
      </c>
      <c r="W749" s="65"/>
      <c r="X749" s="65"/>
      <c r="Y749" s="74" t="s">
        <v>44</v>
      </c>
      <c r="Z749" s="56" t="s">
        <v>3082</v>
      </c>
      <c r="AA749" s="252">
        <f>SUM(V733:V749)</f>
        <v>1020</v>
      </c>
      <c r="AB749" s="242" t="s">
        <v>94</v>
      </c>
      <c r="AC749" s="65" t="s">
        <v>94</v>
      </c>
      <c r="AD749" s="349"/>
    </row>
    <row r="750" spans="1:30" s="66" customFormat="1">
      <c r="A750" s="75" t="s">
        <v>1087</v>
      </c>
      <c r="B750" s="59"/>
      <c r="C750" s="57">
        <v>42768</v>
      </c>
      <c r="D750" s="65"/>
      <c r="E750" s="65" t="s">
        <v>29</v>
      </c>
      <c r="F750" s="65" t="s">
        <v>94</v>
      </c>
      <c r="G750" s="58"/>
      <c r="H750" s="58"/>
      <c r="I750" s="60"/>
      <c r="J750" s="58"/>
      <c r="K750" s="58"/>
      <c r="L750" s="58"/>
      <c r="M750" s="58"/>
      <c r="N750" s="71" t="s">
        <v>3083</v>
      </c>
      <c r="O750" s="72" t="s">
        <v>3084</v>
      </c>
      <c r="P750" s="58"/>
      <c r="Q750" s="63" t="str">
        <f>IF(V750&lt;&gt;"","Completed","")</f>
        <v>Completed</v>
      </c>
      <c r="R750" s="64">
        <v>42749</v>
      </c>
      <c r="S750" s="64" t="s">
        <v>104</v>
      </c>
      <c r="T750" s="242">
        <v>12</v>
      </c>
      <c r="U750" s="242"/>
      <c r="V750" s="369">
        <v>26</v>
      </c>
      <c r="W750" s="242"/>
      <c r="X750" s="242"/>
      <c r="Y750" s="347" t="s">
        <v>44</v>
      </c>
      <c r="Z750" s="345" t="s">
        <v>1940</v>
      </c>
      <c r="AA750" s="92"/>
      <c r="AB750" s="65" t="s">
        <v>94</v>
      </c>
      <c r="AC750" s="65" t="s">
        <v>94</v>
      </c>
      <c r="AD750" s="345"/>
    </row>
    <row r="751" spans="1:30" s="66" customFormat="1">
      <c r="A751" s="75" t="s">
        <v>973</v>
      </c>
      <c r="B751" s="59"/>
      <c r="C751" s="57">
        <v>42767</v>
      </c>
      <c r="D751" s="65"/>
      <c r="E751" s="65" t="s">
        <v>29</v>
      </c>
      <c r="F751" s="65" t="s">
        <v>29</v>
      </c>
      <c r="G751" s="58" t="s">
        <v>1443</v>
      </c>
      <c r="H751" s="58" t="s">
        <v>1456</v>
      </c>
      <c r="I751" s="60">
        <v>240</v>
      </c>
      <c r="J751" s="58" t="s">
        <v>94</v>
      </c>
      <c r="K751" s="58" t="s">
        <v>29</v>
      </c>
      <c r="L751" s="58" t="s">
        <v>29</v>
      </c>
      <c r="M751" s="58" t="s">
        <v>29</v>
      </c>
      <c r="N751" s="61" t="s">
        <v>3085</v>
      </c>
      <c r="O751" s="58" t="s">
        <v>3086</v>
      </c>
      <c r="P751" s="58" t="s">
        <v>1447</v>
      </c>
      <c r="Q751" s="63" t="str">
        <f>IF(V751&lt;&gt;"","Completed","")</f>
        <v>Completed</v>
      </c>
      <c r="R751" s="64">
        <v>42720</v>
      </c>
      <c r="S751" s="64" t="s">
        <v>43</v>
      </c>
      <c r="T751" s="65">
        <v>40</v>
      </c>
      <c r="U751" s="65">
        <v>80</v>
      </c>
      <c r="V751" s="65">
        <v>80</v>
      </c>
      <c r="W751" s="65"/>
      <c r="X751" s="65"/>
      <c r="Y751" s="74" t="s">
        <v>44</v>
      </c>
      <c r="Z751" s="56" t="s">
        <v>1780</v>
      </c>
      <c r="AA751" s="252">
        <f>SUM(V746:V751)</f>
        <v>367</v>
      </c>
      <c r="AB751" s="65" t="s">
        <v>94</v>
      </c>
      <c r="AC751" s="65" t="s">
        <v>29</v>
      </c>
      <c r="AD751" s="345"/>
    </row>
    <row r="752" spans="1:30" s="66" customFormat="1">
      <c r="A752" s="75" t="s">
        <v>124</v>
      </c>
      <c r="B752" s="59"/>
      <c r="C752" s="57">
        <v>42780</v>
      </c>
      <c r="D752" s="65">
        <v>4016000</v>
      </c>
      <c r="E752" s="65" t="s">
        <v>29</v>
      </c>
      <c r="F752" s="65" t="s">
        <v>29</v>
      </c>
      <c r="G752" s="58" t="s">
        <v>1443</v>
      </c>
      <c r="H752" s="58" t="s">
        <v>1444</v>
      </c>
      <c r="I752" s="60">
        <v>144</v>
      </c>
      <c r="J752" s="58" t="s">
        <v>29</v>
      </c>
      <c r="K752" s="58" t="s">
        <v>29</v>
      </c>
      <c r="L752" s="58" t="s">
        <v>94</v>
      </c>
      <c r="M752" s="58" t="s">
        <v>29</v>
      </c>
      <c r="N752" s="61" t="s">
        <v>3087</v>
      </c>
      <c r="O752" s="58" t="s">
        <v>3088</v>
      </c>
      <c r="P752" s="58" t="s">
        <v>1459</v>
      </c>
      <c r="Q752" s="63" t="str">
        <f>IF(V752&lt;&gt;"","Completed","")</f>
        <v>Completed</v>
      </c>
      <c r="R752" s="64">
        <v>42693</v>
      </c>
      <c r="S752" s="64" t="s">
        <v>57</v>
      </c>
      <c r="T752" s="65">
        <v>93</v>
      </c>
      <c r="U752" s="65">
        <v>139</v>
      </c>
      <c r="V752" s="65">
        <v>139</v>
      </c>
      <c r="W752" s="65"/>
      <c r="X752" s="65"/>
      <c r="Y752" s="74" t="s">
        <v>44</v>
      </c>
      <c r="Z752" s="56" t="s">
        <v>1593</v>
      </c>
      <c r="AA752" s="252">
        <f>SUM(U741:U752)</f>
        <v>437</v>
      </c>
      <c r="AB752" s="65" t="s">
        <v>94</v>
      </c>
      <c r="AC752" s="65" t="s">
        <v>94</v>
      </c>
      <c r="AD752" s="63" t="s">
        <v>3089</v>
      </c>
    </row>
    <row r="753" spans="1:30" s="66" customFormat="1">
      <c r="A753" s="332" t="s">
        <v>1094</v>
      </c>
      <c r="B753" s="377"/>
      <c r="C753" s="320"/>
      <c r="D753" s="242"/>
      <c r="E753" s="242" t="s">
        <v>29</v>
      </c>
      <c r="F753" s="242" t="s">
        <v>29</v>
      </c>
      <c r="G753" s="373" t="s">
        <v>1443</v>
      </c>
      <c r="H753" s="373" t="s">
        <v>1456</v>
      </c>
      <c r="I753" s="374">
        <v>0</v>
      </c>
      <c r="J753" s="373" t="s">
        <v>29</v>
      </c>
      <c r="K753" s="373" t="s">
        <v>29</v>
      </c>
      <c r="L753" s="373" t="s">
        <v>94</v>
      </c>
      <c r="M753" s="373" t="s">
        <v>29</v>
      </c>
      <c r="N753" s="375" t="s">
        <v>3090</v>
      </c>
      <c r="O753" s="373" t="s">
        <v>3091</v>
      </c>
      <c r="P753" s="373" t="s">
        <v>1459</v>
      </c>
      <c r="Q753" s="261" t="str">
        <f>IF(V753&lt;&gt;"","Completed","")</f>
        <v>Completed</v>
      </c>
      <c r="R753" s="319">
        <v>42621</v>
      </c>
      <c r="S753" s="319" t="s">
        <v>80</v>
      </c>
      <c r="T753" s="323">
        <v>33</v>
      </c>
      <c r="U753" s="242">
        <v>66</v>
      </c>
      <c r="V753" s="242">
        <v>66</v>
      </c>
      <c r="W753" s="65"/>
      <c r="X753" s="65"/>
      <c r="Y753" s="74" t="s">
        <v>44</v>
      </c>
      <c r="Z753" s="56" t="s">
        <v>1518</v>
      </c>
      <c r="AA753" s="249"/>
      <c r="AB753" s="242" t="s">
        <v>94</v>
      </c>
      <c r="AC753" s="242" t="s">
        <v>94</v>
      </c>
      <c r="AD753" s="345"/>
    </row>
    <row r="754" spans="1:30" s="66" customFormat="1">
      <c r="A754" s="332" t="s">
        <v>1094</v>
      </c>
      <c r="B754" s="377"/>
      <c r="C754" s="320"/>
      <c r="D754" s="242"/>
      <c r="E754" s="242" t="s">
        <v>29</v>
      </c>
      <c r="F754" s="242" t="s">
        <v>29</v>
      </c>
      <c r="G754" s="373" t="s">
        <v>1443</v>
      </c>
      <c r="H754" s="373" t="s">
        <v>1456</v>
      </c>
      <c r="I754" s="374">
        <v>226</v>
      </c>
      <c r="J754" s="373" t="s">
        <v>94</v>
      </c>
      <c r="K754" s="373" t="s">
        <v>29</v>
      </c>
      <c r="L754" s="373" t="s">
        <v>94</v>
      </c>
      <c r="M754" s="373" t="s">
        <v>29</v>
      </c>
      <c r="N754" s="375" t="s">
        <v>3092</v>
      </c>
      <c r="O754" s="373" t="s">
        <v>3093</v>
      </c>
      <c r="P754" s="373" t="s">
        <v>1459</v>
      </c>
      <c r="Q754" s="261" t="str">
        <f>IF(V754&lt;&gt;"","Completed","")</f>
        <v>Completed</v>
      </c>
      <c r="R754" s="319">
        <v>42612</v>
      </c>
      <c r="S754" s="319" t="s">
        <v>80</v>
      </c>
      <c r="T754" s="323">
        <v>24</v>
      </c>
      <c r="U754" s="242">
        <v>44</v>
      </c>
      <c r="V754" s="242">
        <v>44</v>
      </c>
      <c r="W754" s="65"/>
      <c r="X754" s="65"/>
      <c r="Y754" s="74" t="s">
        <v>44</v>
      </c>
      <c r="Z754" s="56" t="s">
        <v>1518</v>
      </c>
      <c r="AA754" s="249">
        <f>SUM(V752:V754)</f>
        <v>249</v>
      </c>
      <c r="AB754" s="347" t="s">
        <v>94</v>
      </c>
      <c r="AC754" s="242" t="s">
        <v>94</v>
      </c>
      <c r="AD754" s="345"/>
    </row>
    <row r="755" spans="1:30" s="66" customFormat="1">
      <c r="A755" s="75" t="s">
        <v>1102</v>
      </c>
      <c r="B755" s="59"/>
      <c r="C755" s="57">
        <v>42755</v>
      </c>
      <c r="D755" s="65"/>
      <c r="E755" s="65" t="s">
        <v>29</v>
      </c>
      <c r="F755" s="65" t="s">
        <v>29</v>
      </c>
      <c r="G755" s="58" t="s">
        <v>1443</v>
      </c>
      <c r="H755" s="58" t="s">
        <v>1444</v>
      </c>
      <c r="I755" s="60">
        <v>200</v>
      </c>
      <c r="J755" s="58" t="s">
        <v>94</v>
      </c>
      <c r="K755" s="58" t="s">
        <v>29</v>
      </c>
      <c r="L755" s="58" t="s">
        <v>94</v>
      </c>
      <c r="M755" s="58" t="s">
        <v>29</v>
      </c>
      <c r="N755" s="61" t="s">
        <v>3094</v>
      </c>
      <c r="O755" s="58" t="s">
        <v>3095</v>
      </c>
      <c r="P755" s="58" t="s">
        <v>1447</v>
      </c>
      <c r="Q755" s="63" t="str">
        <f>IF(V755&lt;&gt;"","Completed","")</f>
        <v>Completed</v>
      </c>
      <c r="R755" s="64">
        <v>42719</v>
      </c>
      <c r="S755" s="64" t="s">
        <v>57</v>
      </c>
      <c r="T755" s="65">
        <v>90</v>
      </c>
      <c r="U755" s="65">
        <v>169</v>
      </c>
      <c r="V755" s="65">
        <v>169</v>
      </c>
      <c r="W755" s="65"/>
      <c r="X755" s="65"/>
      <c r="Y755" s="74" t="s">
        <v>44</v>
      </c>
      <c r="Z755" s="56" t="s">
        <v>1485</v>
      </c>
      <c r="AA755" s="252"/>
      <c r="AB755" s="65" t="s">
        <v>94</v>
      </c>
      <c r="AC755" s="65" t="s">
        <v>29</v>
      </c>
      <c r="AD755" s="345"/>
    </row>
    <row r="756" spans="1:30" s="66" customFormat="1">
      <c r="A756" s="75" t="s">
        <v>1102</v>
      </c>
      <c r="B756" s="59"/>
      <c r="C756" s="57">
        <v>42755</v>
      </c>
      <c r="D756" s="65"/>
      <c r="E756" s="65" t="s">
        <v>29</v>
      </c>
      <c r="F756" s="65" t="s">
        <v>29</v>
      </c>
      <c r="G756" s="58" t="s">
        <v>1443</v>
      </c>
      <c r="H756" s="58" t="s">
        <v>1444</v>
      </c>
      <c r="I756" s="60">
        <v>0</v>
      </c>
      <c r="J756" s="58" t="s">
        <v>29</v>
      </c>
      <c r="K756" s="58" t="s">
        <v>29</v>
      </c>
      <c r="L756" s="58" t="s">
        <v>94</v>
      </c>
      <c r="M756" s="58" t="s">
        <v>29</v>
      </c>
      <c r="N756" s="61" t="s">
        <v>3096</v>
      </c>
      <c r="O756" s="58" t="s">
        <v>3097</v>
      </c>
      <c r="P756" s="58" t="s">
        <v>1447</v>
      </c>
      <c r="Q756" s="63" t="str">
        <f>IF(V756&lt;&gt;"","Completed","")</f>
        <v>Completed</v>
      </c>
      <c r="R756" s="64">
        <v>42703</v>
      </c>
      <c r="S756" s="64" t="s">
        <v>57</v>
      </c>
      <c r="T756" s="65">
        <v>21</v>
      </c>
      <c r="U756" s="65">
        <v>40</v>
      </c>
      <c r="V756" s="65">
        <v>40</v>
      </c>
      <c r="W756" s="65"/>
      <c r="X756" s="65"/>
      <c r="Y756" s="74" t="s">
        <v>44</v>
      </c>
      <c r="Z756" s="56" t="s">
        <v>1485</v>
      </c>
      <c r="AA756" s="252">
        <f>SUM(V753:V756)</f>
        <v>319</v>
      </c>
      <c r="AB756" s="65" t="s">
        <v>94</v>
      </c>
      <c r="AC756" s="65" t="s">
        <v>94</v>
      </c>
      <c r="AD756" s="345"/>
    </row>
    <row r="757" spans="1:30" s="66" customFormat="1">
      <c r="A757" s="75" t="s">
        <v>1022</v>
      </c>
      <c r="B757" s="59"/>
      <c r="C757" s="57">
        <v>42740</v>
      </c>
      <c r="D757" s="65"/>
      <c r="E757" s="65" t="s">
        <v>29</v>
      </c>
      <c r="F757" s="65" t="s">
        <v>29</v>
      </c>
      <c r="G757" s="58" t="s">
        <v>1443</v>
      </c>
      <c r="H757" s="58" t="s">
        <v>1456</v>
      </c>
      <c r="I757" s="60">
        <v>256</v>
      </c>
      <c r="J757" s="58" t="s">
        <v>94</v>
      </c>
      <c r="K757" s="58" t="s">
        <v>29</v>
      </c>
      <c r="L757" s="58" t="s">
        <v>94</v>
      </c>
      <c r="M757" s="58" t="s">
        <v>29</v>
      </c>
      <c r="N757" s="61" t="s">
        <v>3098</v>
      </c>
      <c r="O757" s="58" t="s">
        <v>3099</v>
      </c>
      <c r="P757" s="58" t="s">
        <v>1447</v>
      </c>
      <c r="Q757" s="63" t="str">
        <f>IF(V757&lt;&gt;"","Completed","")</f>
        <v>Completed</v>
      </c>
      <c r="R757" s="64">
        <v>42693</v>
      </c>
      <c r="S757" s="64" t="s">
        <v>80</v>
      </c>
      <c r="T757" s="65">
        <v>42</v>
      </c>
      <c r="U757" s="65">
        <v>67</v>
      </c>
      <c r="V757" s="65">
        <v>67</v>
      </c>
      <c r="W757" s="65"/>
      <c r="X757" s="65"/>
      <c r="Y757" s="74" t="s">
        <v>44</v>
      </c>
      <c r="Z757" s="56" t="s">
        <v>1491</v>
      </c>
      <c r="AA757" s="249"/>
      <c r="AB757" s="65" t="s">
        <v>94</v>
      </c>
      <c r="AC757" s="74" t="s">
        <v>94</v>
      </c>
      <c r="AD757" s="345"/>
    </row>
    <row r="758" spans="1:30" s="66" customFormat="1">
      <c r="A758" s="245" t="s">
        <v>1109</v>
      </c>
      <c r="B758" s="62" t="s">
        <v>1110</v>
      </c>
      <c r="C758" s="57">
        <v>42681</v>
      </c>
      <c r="D758" s="65"/>
      <c r="E758" s="65" t="s">
        <v>29</v>
      </c>
      <c r="F758" s="65" t="s">
        <v>29</v>
      </c>
      <c r="G758" s="58" t="s">
        <v>1443</v>
      </c>
      <c r="H758" s="58" t="s">
        <v>1444</v>
      </c>
      <c r="I758" s="60">
        <v>316</v>
      </c>
      <c r="J758" s="58" t="s">
        <v>29</v>
      </c>
      <c r="K758" s="58" t="s">
        <v>29</v>
      </c>
      <c r="L758" s="58" t="s">
        <v>94</v>
      </c>
      <c r="M758" s="58" t="s">
        <v>29</v>
      </c>
      <c r="N758" s="375" t="s">
        <v>3100</v>
      </c>
      <c r="O758" s="373" t="s">
        <v>3101</v>
      </c>
      <c r="P758" s="58" t="s">
        <v>1447</v>
      </c>
      <c r="Q758" s="63" t="str">
        <f>IF(V758&lt;&gt;"","Completed","")</f>
        <v>Completed</v>
      </c>
      <c r="R758" s="64">
        <v>42655</v>
      </c>
      <c r="S758" s="64" t="s">
        <v>80</v>
      </c>
      <c r="T758" s="65">
        <v>65</v>
      </c>
      <c r="U758" s="65">
        <v>103</v>
      </c>
      <c r="V758" s="65">
        <v>103</v>
      </c>
      <c r="W758" s="65"/>
      <c r="X758" s="65"/>
      <c r="Y758" s="74" t="s">
        <v>44</v>
      </c>
      <c r="Z758" s="56" t="s">
        <v>1817</v>
      </c>
      <c r="AA758" s="249">
        <f>SUM(V756:V758)</f>
        <v>210</v>
      </c>
      <c r="AB758" s="242" t="s">
        <v>94</v>
      </c>
      <c r="AC758" s="242" t="s">
        <v>29</v>
      </c>
      <c r="AD758" s="345"/>
    </row>
    <row r="759" spans="1:30" s="66" customFormat="1">
      <c r="A759" s="244" t="s">
        <v>1119</v>
      </c>
      <c r="B759" s="62" t="s">
        <v>196</v>
      </c>
      <c r="C759" s="311">
        <v>42744</v>
      </c>
      <c r="D759" s="109" t="s">
        <v>3102</v>
      </c>
      <c r="E759" s="151" t="s">
        <v>94</v>
      </c>
      <c r="F759" s="151" t="s">
        <v>29</v>
      </c>
      <c r="G759" s="306" t="s">
        <v>1443</v>
      </c>
      <c r="H759" s="306" t="s">
        <v>1456</v>
      </c>
      <c r="I759" s="307">
        <v>26</v>
      </c>
      <c r="J759" s="306" t="s">
        <v>29</v>
      </c>
      <c r="K759" s="306" t="s">
        <v>94</v>
      </c>
      <c r="L759" s="306" t="s">
        <v>29</v>
      </c>
      <c r="M759" s="306" t="s">
        <v>29</v>
      </c>
      <c r="N759" s="308" t="s">
        <v>3103</v>
      </c>
      <c r="O759" s="306" t="s">
        <v>3104</v>
      </c>
      <c r="P759" s="306" t="s">
        <v>1447</v>
      </c>
      <c r="Q759" s="63" t="str">
        <f>IF(V759&lt;&gt;"","Completed","")</f>
        <v>Completed</v>
      </c>
      <c r="R759" s="310">
        <v>42712</v>
      </c>
      <c r="S759" s="310" t="s">
        <v>204</v>
      </c>
      <c r="T759" s="65">
        <v>19</v>
      </c>
      <c r="U759" s="65">
        <v>32</v>
      </c>
      <c r="V759" s="65">
        <v>32</v>
      </c>
      <c r="W759" s="65"/>
      <c r="X759" s="65"/>
      <c r="Y759" s="74" t="s">
        <v>44</v>
      </c>
      <c r="Z759" s="56" t="s">
        <v>1505</v>
      </c>
      <c r="AA759" s="252">
        <f>V759</f>
        <v>32</v>
      </c>
      <c r="AB759" s="324" t="s">
        <v>94</v>
      </c>
      <c r="AC759" s="324" t="s">
        <v>94</v>
      </c>
      <c r="AD759" s="345"/>
    </row>
    <row r="760" spans="1:30" s="66" customFormat="1">
      <c r="A760" s="75" t="s">
        <v>1022</v>
      </c>
      <c r="B760" s="59"/>
      <c r="C760" s="57">
        <v>42740</v>
      </c>
      <c r="D760" s="65"/>
      <c r="E760" s="65" t="s">
        <v>29</v>
      </c>
      <c r="F760" s="65" t="s">
        <v>29</v>
      </c>
      <c r="G760" s="58" t="s">
        <v>1443</v>
      </c>
      <c r="H760" s="58" t="s">
        <v>1456</v>
      </c>
      <c r="I760" s="60">
        <v>390</v>
      </c>
      <c r="J760" s="58" t="s">
        <v>94</v>
      </c>
      <c r="K760" s="58" t="s">
        <v>29</v>
      </c>
      <c r="L760" s="58" t="s">
        <v>94</v>
      </c>
      <c r="M760" s="58" t="s">
        <v>29</v>
      </c>
      <c r="N760" s="61" t="s">
        <v>3105</v>
      </c>
      <c r="O760" s="58" t="s">
        <v>3106</v>
      </c>
      <c r="P760" s="58" t="s">
        <v>1447</v>
      </c>
      <c r="Q760" s="63" t="str">
        <f>IF(V760&lt;&gt;"","Completed","")</f>
        <v>Completed</v>
      </c>
      <c r="R760" s="64">
        <v>42679</v>
      </c>
      <c r="S760" s="64" t="s">
        <v>80</v>
      </c>
      <c r="T760" s="65">
        <v>35</v>
      </c>
      <c r="U760" s="65">
        <v>53</v>
      </c>
      <c r="V760" s="65">
        <v>53</v>
      </c>
      <c r="W760" s="65"/>
      <c r="X760" s="65"/>
      <c r="Y760" s="74" t="s">
        <v>44</v>
      </c>
      <c r="Z760" s="56" t="s">
        <v>1491</v>
      </c>
      <c r="AA760" s="249"/>
      <c r="AB760" s="74" t="s">
        <v>94</v>
      </c>
      <c r="AC760" s="65" t="s">
        <v>29</v>
      </c>
      <c r="AD760" s="345"/>
    </row>
    <row r="761" spans="1:30" s="66" customFormat="1">
      <c r="A761" s="261" t="s">
        <v>710</v>
      </c>
      <c r="B761" s="56"/>
      <c r="C761" s="57">
        <v>42762</v>
      </c>
      <c r="D761" s="65"/>
      <c r="E761" s="65" t="s">
        <v>29</v>
      </c>
      <c r="F761" s="65" t="s">
        <v>29</v>
      </c>
      <c r="G761" s="63"/>
      <c r="H761" s="63"/>
      <c r="I761" s="63"/>
      <c r="J761" s="63"/>
      <c r="K761" s="63"/>
      <c r="L761" s="63"/>
      <c r="M761" s="63"/>
      <c r="N761" s="68" t="s">
        <v>3107</v>
      </c>
      <c r="O761" s="90" t="s">
        <v>3108</v>
      </c>
      <c r="P761" s="63"/>
      <c r="Q761" s="63" t="str">
        <f>IF(V761&lt;&gt;"","Completed","")</f>
        <v>Completed</v>
      </c>
      <c r="R761" s="64">
        <v>42770</v>
      </c>
      <c r="S761" s="64" t="s">
        <v>149</v>
      </c>
      <c r="T761" s="242">
        <v>16</v>
      </c>
      <c r="U761" s="242">
        <v>32</v>
      </c>
      <c r="V761" s="242">
        <v>32</v>
      </c>
      <c r="W761" s="65"/>
      <c r="X761" s="65"/>
      <c r="Y761" s="74" t="s">
        <v>44</v>
      </c>
      <c r="Z761" s="345" t="s">
        <v>1442</v>
      </c>
      <c r="AA761" s="92"/>
      <c r="AB761" s="242" t="s">
        <v>94</v>
      </c>
      <c r="AC761" s="242" t="s">
        <v>29</v>
      </c>
      <c r="AD761" s="345"/>
    </row>
    <row r="762" spans="1:30" s="66" customFormat="1">
      <c r="A762" s="332" t="s">
        <v>542</v>
      </c>
      <c r="B762" s="59"/>
      <c r="C762" s="57">
        <v>42654</v>
      </c>
      <c r="D762" s="65"/>
      <c r="E762" s="65" t="s">
        <v>29</v>
      </c>
      <c r="F762" s="65" t="s">
        <v>29</v>
      </c>
      <c r="G762" s="58" t="s">
        <v>1443</v>
      </c>
      <c r="H762" s="58" t="s">
        <v>1444</v>
      </c>
      <c r="I762" s="60">
        <v>200</v>
      </c>
      <c r="J762" s="58" t="s">
        <v>94</v>
      </c>
      <c r="K762" s="58" t="s">
        <v>29</v>
      </c>
      <c r="L762" s="58" t="s">
        <v>94</v>
      </c>
      <c r="M762" s="58" t="s">
        <v>29</v>
      </c>
      <c r="N762" s="375" t="s">
        <v>3109</v>
      </c>
      <c r="O762" s="373" t="s">
        <v>3110</v>
      </c>
      <c r="P762" s="58" t="s">
        <v>1459</v>
      </c>
      <c r="Q762" s="63" t="str">
        <f>IF(V762&lt;&gt;"","Completed","")</f>
        <v>Completed</v>
      </c>
      <c r="R762" s="64">
        <v>42630</v>
      </c>
      <c r="S762" s="64" t="s">
        <v>80</v>
      </c>
      <c r="T762" s="323">
        <v>19</v>
      </c>
      <c r="U762" s="242">
        <v>37</v>
      </c>
      <c r="V762" s="242">
        <v>37</v>
      </c>
      <c r="W762" s="65"/>
      <c r="X762" s="65"/>
      <c r="Y762" s="74" t="s">
        <v>44</v>
      </c>
      <c r="Z762" s="257" t="s">
        <v>1530</v>
      </c>
      <c r="AA762" s="252">
        <f>SUM(V757:V762)</f>
        <v>324</v>
      </c>
      <c r="AB762" s="242" t="s">
        <v>94</v>
      </c>
      <c r="AC762" s="242" t="s">
        <v>94</v>
      </c>
      <c r="AD762" s="345"/>
    </row>
    <row r="763" spans="1:30">
      <c r="A763" s="75" t="s">
        <v>1121</v>
      </c>
      <c r="B763" s="59"/>
      <c r="C763" s="311">
        <v>42723</v>
      </c>
      <c r="E763" s="65" t="s">
        <v>29</v>
      </c>
      <c r="F763" s="65" t="s">
        <v>94</v>
      </c>
      <c r="G763" s="58" t="s">
        <v>1443</v>
      </c>
      <c r="H763" s="58" t="s">
        <v>1456</v>
      </c>
      <c r="I763" s="60">
        <v>0</v>
      </c>
      <c r="J763" s="58" t="s">
        <v>94</v>
      </c>
      <c r="K763" s="58" t="s">
        <v>29</v>
      </c>
      <c r="L763" s="58" t="s">
        <v>94</v>
      </c>
      <c r="M763" s="58" t="s">
        <v>94</v>
      </c>
      <c r="N763" s="61" t="s">
        <v>3111</v>
      </c>
      <c r="O763" s="58" t="s">
        <v>3112</v>
      </c>
      <c r="P763" s="58" t="s">
        <v>1447</v>
      </c>
      <c r="Q763" s="63" t="str">
        <f>IF(V763&lt;&gt;"","Completed","")</f>
        <v>Completed</v>
      </c>
      <c r="R763" s="64">
        <v>42678</v>
      </c>
      <c r="S763" s="64" t="s">
        <v>104</v>
      </c>
      <c r="T763" s="65">
        <v>24</v>
      </c>
      <c r="V763" s="256">
        <v>40</v>
      </c>
      <c r="Y763" s="74" t="s">
        <v>44</v>
      </c>
      <c r="Z763" s="56" t="s">
        <v>1893</v>
      </c>
      <c r="AA763" s="249"/>
      <c r="AB763" s="151" t="s">
        <v>94</v>
      </c>
      <c r="AC763" s="324" t="s">
        <v>94</v>
      </c>
    </row>
    <row r="764" spans="1:30">
      <c r="A764" s="75" t="s">
        <v>1121</v>
      </c>
      <c r="B764" s="59"/>
      <c r="C764" s="311">
        <v>42723</v>
      </c>
      <c r="E764" s="65" t="s">
        <v>29</v>
      </c>
      <c r="F764" s="65" t="s">
        <v>94</v>
      </c>
      <c r="G764" s="58" t="s">
        <v>1443</v>
      </c>
      <c r="H764" s="58" t="s">
        <v>1456</v>
      </c>
      <c r="I764" s="60">
        <v>0</v>
      </c>
      <c r="J764" s="58" t="s">
        <v>94</v>
      </c>
      <c r="K764" s="58" t="s">
        <v>29</v>
      </c>
      <c r="L764" s="58" t="s">
        <v>94</v>
      </c>
      <c r="M764" s="58" t="s">
        <v>94</v>
      </c>
      <c r="N764" s="61" t="s">
        <v>3113</v>
      </c>
      <c r="O764" s="58" t="s">
        <v>3114</v>
      </c>
      <c r="P764" s="58" t="s">
        <v>1447</v>
      </c>
      <c r="Q764" s="63" t="str">
        <f>IF(V764&lt;&gt;"","Completed","")</f>
        <v>Completed</v>
      </c>
      <c r="R764" s="64">
        <v>42678</v>
      </c>
      <c r="S764" s="64" t="s">
        <v>104</v>
      </c>
      <c r="T764" s="65">
        <v>20</v>
      </c>
      <c r="V764" s="256">
        <v>34</v>
      </c>
      <c r="Y764" s="74" t="s">
        <v>44</v>
      </c>
      <c r="Z764" s="56" t="s">
        <v>1893</v>
      </c>
      <c r="AA764" s="363">
        <f>SUM(V759:V764)</f>
        <v>228</v>
      </c>
      <c r="AB764" s="151" t="s">
        <v>94</v>
      </c>
      <c r="AC764" s="324" t="s">
        <v>94</v>
      </c>
    </row>
    <row r="765" spans="1:30">
      <c r="A765" s="331" t="s">
        <v>1206</v>
      </c>
      <c r="B765" s="59"/>
      <c r="C765" s="57">
        <v>42726</v>
      </c>
      <c r="E765" s="65" t="s">
        <v>29</v>
      </c>
      <c r="F765" s="65" t="s">
        <v>29</v>
      </c>
      <c r="G765" s="58" t="s">
        <v>1443</v>
      </c>
      <c r="H765" s="58" t="s">
        <v>1444</v>
      </c>
      <c r="I765" s="60">
        <v>102</v>
      </c>
      <c r="J765" s="58" t="s">
        <v>94</v>
      </c>
      <c r="K765" s="58" t="s">
        <v>29</v>
      </c>
      <c r="L765" s="58" t="s">
        <v>94</v>
      </c>
      <c r="M765" s="58" t="s">
        <v>29</v>
      </c>
      <c r="N765" s="61" t="s">
        <v>3115</v>
      </c>
      <c r="O765" s="58" t="s">
        <v>3116</v>
      </c>
      <c r="P765" s="58" t="s">
        <v>1459</v>
      </c>
      <c r="Q765" s="63" t="str">
        <f>IF(V765&lt;&gt;"","Completed","")</f>
        <v>Completed</v>
      </c>
      <c r="R765" s="64">
        <v>42665</v>
      </c>
      <c r="S765" s="64" t="s">
        <v>114</v>
      </c>
      <c r="T765" s="65">
        <v>16</v>
      </c>
      <c r="U765" s="65">
        <v>32</v>
      </c>
      <c r="V765" s="65">
        <v>32</v>
      </c>
      <c r="Y765" s="74" t="s">
        <v>44</v>
      </c>
      <c r="Z765" s="56" t="s">
        <v>1558</v>
      </c>
      <c r="AA765" s="252"/>
      <c r="AB765" s="325" t="s">
        <v>94</v>
      </c>
      <c r="AC765" s="325" t="s">
        <v>94</v>
      </c>
    </row>
    <row r="766" spans="1:30">
      <c r="A766" s="331" t="s">
        <v>1128</v>
      </c>
      <c r="B766" s="59"/>
      <c r="C766" s="57">
        <v>42747</v>
      </c>
      <c r="E766" s="65" t="s">
        <v>29</v>
      </c>
      <c r="F766" s="65" t="s">
        <v>29</v>
      </c>
      <c r="G766" s="58" t="s">
        <v>1443</v>
      </c>
      <c r="H766" s="58" t="s">
        <v>1456</v>
      </c>
      <c r="I766" s="60">
        <v>0</v>
      </c>
      <c r="J766" s="58" t="s">
        <v>94</v>
      </c>
      <c r="K766" s="58" t="s">
        <v>29</v>
      </c>
      <c r="L766" s="58" t="s">
        <v>29</v>
      </c>
      <c r="M766" s="58" t="s">
        <v>29</v>
      </c>
      <c r="N766" s="61" t="s">
        <v>3117</v>
      </c>
      <c r="O766" s="58" t="s">
        <v>3118</v>
      </c>
      <c r="P766" s="58" t="s">
        <v>1459</v>
      </c>
      <c r="Q766" s="63" t="str">
        <f>IF(V766&lt;&gt;"","Completed","")</f>
        <v>Completed</v>
      </c>
      <c r="R766" s="64">
        <v>42714</v>
      </c>
      <c r="S766" s="64" t="s">
        <v>57</v>
      </c>
      <c r="T766" s="65">
        <v>39</v>
      </c>
      <c r="U766" s="65">
        <v>66</v>
      </c>
      <c r="V766" s="65">
        <v>66</v>
      </c>
      <c r="Y766" s="74" t="s">
        <v>44</v>
      </c>
      <c r="Z766" s="56" t="s">
        <v>1838</v>
      </c>
      <c r="AA766" s="252"/>
      <c r="AB766" s="329" t="s">
        <v>94</v>
      </c>
      <c r="AC766" s="329" t="s">
        <v>94</v>
      </c>
    </row>
    <row r="767" spans="1:30">
      <c r="A767" s="331" t="s">
        <v>1128</v>
      </c>
      <c r="B767" s="59"/>
      <c r="C767" s="57">
        <v>42745</v>
      </c>
      <c r="E767" s="65" t="s">
        <v>29</v>
      </c>
      <c r="F767" s="65" t="s">
        <v>29</v>
      </c>
      <c r="G767" s="58" t="s">
        <v>1443</v>
      </c>
      <c r="H767" s="58" t="s">
        <v>1456</v>
      </c>
      <c r="I767" s="60">
        <v>0</v>
      </c>
      <c r="J767" s="58" t="s">
        <v>94</v>
      </c>
      <c r="K767" s="58" t="s">
        <v>29</v>
      </c>
      <c r="L767" s="58" t="s">
        <v>29</v>
      </c>
      <c r="M767" s="58" t="s">
        <v>29</v>
      </c>
      <c r="N767" s="61" t="s">
        <v>3119</v>
      </c>
      <c r="O767" s="58" t="s">
        <v>3120</v>
      </c>
      <c r="P767" s="58" t="s">
        <v>1459</v>
      </c>
      <c r="Q767" s="63" t="str">
        <f>IF(V767&lt;&gt;"","Completed","")</f>
        <v>Completed</v>
      </c>
      <c r="R767" s="64">
        <v>42714</v>
      </c>
      <c r="S767" s="64" t="s">
        <v>57</v>
      </c>
      <c r="T767" s="65">
        <v>12</v>
      </c>
      <c r="U767" s="65">
        <v>24</v>
      </c>
      <c r="V767" s="65">
        <v>24</v>
      </c>
      <c r="Y767" s="74" t="s">
        <v>44</v>
      </c>
      <c r="Z767" s="56" t="s">
        <v>1505</v>
      </c>
      <c r="AA767" s="252">
        <f>SUM(V762:V767)</f>
        <v>233</v>
      </c>
      <c r="AB767" s="329" t="s">
        <v>94</v>
      </c>
      <c r="AC767" s="329" t="s">
        <v>94</v>
      </c>
    </row>
    <row r="768" spans="1:30">
      <c r="A768" s="75" t="s">
        <v>1135</v>
      </c>
      <c r="B768" s="59"/>
      <c r="C768" s="57">
        <v>42676</v>
      </c>
      <c r="E768" s="65" t="s">
        <v>29</v>
      </c>
      <c r="F768" s="65" t="s">
        <v>29</v>
      </c>
      <c r="G768" s="58" t="s">
        <v>1443</v>
      </c>
      <c r="H768" s="58" t="s">
        <v>1449</v>
      </c>
      <c r="I768" s="60">
        <v>1</v>
      </c>
      <c r="J768" s="58" t="s">
        <v>94</v>
      </c>
      <c r="K768" s="58" t="s">
        <v>29</v>
      </c>
      <c r="L768" s="58" t="s">
        <v>94</v>
      </c>
      <c r="M768" s="58" t="s">
        <v>29</v>
      </c>
      <c r="N768" s="61" t="s">
        <v>3121</v>
      </c>
      <c r="O768" s="58" t="s">
        <v>3122</v>
      </c>
      <c r="P768" s="58" t="s">
        <v>1447</v>
      </c>
      <c r="Q768" s="63" t="str">
        <f>IF(V768&lt;&gt;"","Completed","")</f>
        <v>Completed</v>
      </c>
      <c r="R768" s="64">
        <v>42644</v>
      </c>
      <c r="S768" s="64" t="s">
        <v>1143</v>
      </c>
      <c r="T768" s="150">
        <v>38</v>
      </c>
      <c r="U768" s="150">
        <v>69</v>
      </c>
      <c r="V768" s="150">
        <v>69</v>
      </c>
      <c r="W768" s="150"/>
      <c r="X768" s="150"/>
      <c r="Y768" s="74" t="s">
        <v>44</v>
      </c>
      <c r="Z768" s="56" t="s">
        <v>1467</v>
      </c>
      <c r="AA768" s="249">
        <f>SUM(V766:V768)</f>
        <v>159</v>
      </c>
      <c r="AB768" s="242" t="s">
        <v>94</v>
      </c>
    </row>
    <row r="769" spans="1:29">
      <c r="A769" s="75" t="s">
        <v>162</v>
      </c>
      <c r="B769" s="59"/>
      <c r="C769" s="57">
        <v>42733</v>
      </c>
      <c r="D769" s="65">
        <v>4020000</v>
      </c>
      <c r="E769" s="65" t="s">
        <v>29</v>
      </c>
      <c r="F769" s="65" t="s">
        <v>29</v>
      </c>
      <c r="G769" s="58" t="s">
        <v>1443</v>
      </c>
      <c r="H769" s="58" t="s">
        <v>1456</v>
      </c>
      <c r="I769" s="60">
        <v>340</v>
      </c>
      <c r="J769" s="58" t="s">
        <v>29</v>
      </c>
      <c r="K769" s="58" t="s">
        <v>29</v>
      </c>
      <c r="L769" s="58" t="s">
        <v>94</v>
      </c>
      <c r="M769" s="58" t="s">
        <v>29</v>
      </c>
      <c r="N769" s="61" t="s">
        <v>3123</v>
      </c>
      <c r="O769" s="58" t="s">
        <v>3124</v>
      </c>
      <c r="P769" s="58" t="s">
        <v>1459</v>
      </c>
      <c r="Q769" s="63" t="str">
        <f>IF(V769&lt;&gt;"","Completed","")</f>
        <v>Completed</v>
      </c>
      <c r="R769" s="64">
        <v>42706</v>
      </c>
      <c r="S769" s="233" t="s">
        <v>172</v>
      </c>
      <c r="T769" s="65">
        <v>24</v>
      </c>
      <c r="U769" s="65">
        <v>47</v>
      </c>
      <c r="V769" s="65">
        <v>47</v>
      </c>
      <c r="Y769" s="74" t="s">
        <v>44</v>
      </c>
      <c r="Z769" s="56" t="s">
        <v>1608</v>
      </c>
      <c r="AA769" s="249"/>
      <c r="AB769" s="65" t="s">
        <v>94</v>
      </c>
      <c r="AC769" s="65" t="s">
        <v>29</v>
      </c>
    </row>
    <row r="770" spans="1:29">
      <c r="A770" s="245" t="s">
        <v>1147</v>
      </c>
      <c r="B770" s="62" t="s">
        <v>1110</v>
      </c>
      <c r="C770" s="57">
        <v>42648</v>
      </c>
      <c r="E770" s="65" t="s">
        <v>29</v>
      </c>
      <c r="F770" s="65" t="s">
        <v>29</v>
      </c>
      <c r="G770" s="58" t="s">
        <v>1443</v>
      </c>
      <c r="H770" s="58" t="s">
        <v>1444</v>
      </c>
      <c r="I770" s="60">
        <v>204</v>
      </c>
      <c r="J770" s="58" t="s">
        <v>94</v>
      </c>
      <c r="K770" s="58" t="s">
        <v>29</v>
      </c>
      <c r="L770" s="58" t="s">
        <v>29</v>
      </c>
      <c r="M770" s="58" t="s">
        <v>29</v>
      </c>
      <c r="N770" s="375" t="s">
        <v>3125</v>
      </c>
      <c r="O770" s="373" t="s">
        <v>3126</v>
      </c>
      <c r="P770" s="58" t="s">
        <v>1447</v>
      </c>
      <c r="Q770" s="63" t="str">
        <f>IF(V770&lt;&gt;"","Completed","")</f>
        <v>Completed</v>
      </c>
      <c r="R770" s="64">
        <v>42656</v>
      </c>
      <c r="S770" s="64" t="s">
        <v>80</v>
      </c>
      <c r="T770" s="242">
        <v>60</v>
      </c>
      <c r="U770" s="65">
        <v>99</v>
      </c>
      <c r="V770" s="65">
        <v>99</v>
      </c>
      <c r="Y770" s="74" t="s">
        <v>44</v>
      </c>
      <c r="Z770" s="56" t="s">
        <v>1817</v>
      </c>
      <c r="AA770" s="249">
        <f>V770</f>
        <v>99</v>
      </c>
      <c r="AB770" s="242" t="s">
        <v>94</v>
      </c>
      <c r="AC770" s="242" t="s">
        <v>29</v>
      </c>
    </row>
    <row r="771" spans="1:29">
      <c r="A771" s="75" t="s">
        <v>1182</v>
      </c>
      <c r="B771" s="59"/>
      <c r="C771" s="57"/>
      <c r="E771" s="65" t="s">
        <v>29</v>
      </c>
      <c r="F771" s="65" t="s">
        <v>94</v>
      </c>
      <c r="G771" s="58" t="s">
        <v>1443</v>
      </c>
      <c r="H771" s="58" t="s">
        <v>1444</v>
      </c>
      <c r="I771" s="60">
        <v>252</v>
      </c>
      <c r="J771" s="58" t="s">
        <v>94</v>
      </c>
      <c r="K771" s="58" t="s">
        <v>29</v>
      </c>
      <c r="L771" s="58" t="s">
        <v>29</v>
      </c>
      <c r="M771" s="58" t="s">
        <v>94</v>
      </c>
      <c r="N771" s="61" t="s">
        <v>3127</v>
      </c>
      <c r="O771" s="58" t="s">
        <v>3128</v>
      </c>
      <c r="P771" s="58" t="s">
        <v>1459</v>
      </c>
      <c r="Q771" s="63" t="str">
        <f>IF(V771&lt;&gt;"","Completed","")</f>
        <v>Completed</v>
      </c>
      <c r="R771" s="301">
        <v>42621</v>
      </c>
      <c r="S771" s="301" t="s">
        <v>222</v>
      </c>
      <c r="T771" s="300">
        <v>18</v>
      </c>
      <c r="U771" s="150">
        <v>32</v>
      </c>
      <c r="V771" s="150">
        <v>32</v>
      </c>
      <c r="W771" s="150"/>
      <c r="X771" s="150"/>
      <c r="Y771" s="74" t="s">
        <v>44</v>
      </c>
      <c r="Z771" s="56" t="s">
        <v>1691</v>
      </c>
      <c r="AA771" s="249"/>
      <c r="AB771" s="242" t="s">
        <v>94</v>
      </c>
    </row>
    <row r="772" spans="1:29">
      <c r="A772" s="75" t="s">
        <v>894</v>
      </c>
      <c r="B772" s="59"/>
      <c r="C772" s="57">
        <v>42712</v>
      </c>
      <c r="E772" s="65" t="s">
        <v>29</v>
      </c>
      <c r="F772" s="65" t="s">
        <v>94</v>
      </c>
      <c r="G772" s="58" t="s">
        <v>1443</v>
      </c>
      <c r="H772" s="58" t="s">
        <v>1456</v>
      </c>
      <c r="I772" s="60">
        <v>180</v>
      </c>
      <c r="J772" s="58" t="s">
        <v>94</v>
      </c>
      <c r="K772" s="58" t="s">
        <v>29</v>
      </c>
      <c r="L772" s="58" t="s">
        <v>94</v>
      </c>
      <c r="M772" s="58" t="s">
        <v>94</v>
      </c>
      <c r="N772" s="61" t="s">
        <v>3129</v>
      </c>
      <c r="O772" s="58" t="s">
        <v>3130</v>
      </c>
      <c r="P772" s="58" t="s">
        <v>1447</v>
      </c>
      <c r="Q772" s="63" t="str">
        <f>IF(V772&lt;&gt;"","Completed","")</f>
        <v>Completed</v>
      </c>
      <c r="R772" s="64">
        <v>42673</v>
      </c>
      <c r="S772" s="64" t="s">
        <v>104</v>
      </c>
      <c r="T772" s="65">
        <v>39</v>
      </c>
      <c r="V772" s="256">
        <v>82</v>
      </c>
      <c r="Y772" s="74" t="s">
        <v>44</v>
      </c>
      <c r="Z772" s="56" t="s">
        <v>1599</v>
      </c>
      <c r="AA772" s="252"/>
      <c r="AB772" s="74" t="s">
        <v>94</v>
      </c>
      <c r="AC772" s="65" t="s">
        <v>29</v>
      </c>
    </row>
    <row r="773" spans="1:29">
      <c r="A773" s="75" t="s">
        <v>273</v>
      </c>
      <c r="B773" s="59"/>
      <c r="C773" s="57">
        <v>42765</v>
      </c>
      <c r="D773" s="65">
        <v>4044000</v>
      </c>
      <c r="E773" s="65" t="s">
        <v>29</v>
      </c>
      <c r="F773" s="65" t="s">
        <v>29</v>
      </c>
      <c r="G773" s="58" t="s">
        <v>1443</v>
      </c>
      <c r="H773" s="58" t="s">
        <v>1456</v>
      </c>
      <c r="I773" s="60">
        <v>0</v>
      </c>
      <c r="J773" s="58" t="s">
        <v>94</v>
      </c>
      <c r="K773" s="58" t="s">
        <v>29</v>
      </c>
      <c r="L773" s="58" t="s">
        <v>94</v>
      </c>
      <c r="M773" s="58" t="s">
        <v>29</v>
      </c>
      <c r="N773" s="61" t="s">
        <v>3131</v>
      </c>
      <c r="O773" s="58" t="s">
        <v>3132</v>
      </c>
      <c r="P773" s="58" t="s">
        <v>1447</v>
      </c>
      <c r="Q773" s="63" t="str">
        <f>IF(V773&lt;&gt;"","Completed","")</f>
        <v>Completed</v>
      </c>
      <c r="R773" s="293">
        <v>42707</v>
      </c>
      <c r="S773" s="341" t="s">
        <v>43</v>
      </c>
      <c r="T773" s="65">
        <v>31</v>
      </c>
      <c r="U773" s="256">
        <v>19</v>
      </c>
      <c r="V773" s="256">
        <v>19</v>
      </c>
      <c r="Y773" s="74" t="s">
        <v>44</v>
      </c>
      <c r="Z773" s="56" t="s">
        <v>1647</v>
      </c>
      <c r="AA773" s="118">
        <f>SUM(V751:V773)</f>
        <v>1406</v>
      </c>
      <c r="AB773" s="65" t="s">
        <v>94</v>
      </c>
      <c r="AC773" s="242" t="s">
        <v>29</v>
      </c>
    </row>
    <row r="774" spans="1:29">
      <c r="A774" s="332" t="s">
        <v>550</v>
      </c>
      <c r="B774" s="59"/>
      <c r="C774" s="57">
        <v>42727</v>
      </c>
      <c r="E774" s="65" t="s">
        <v>29</v>
      </c>
      <c r="F774" s="65" t="s">
        <v>29</v>
      </c>
      <c r="G774" s="58" t="s">
        <v>1443</v>
      </c>
      <c r="H774" s="58" t="s">
        <v>1449</v>
      </c>
      <c r="I774" s="60">
        <v>322</v>
      </c>
      <c r="J774" s="58" t="s">
        <v>29</v>
      </c>
      <c r="K774" s="58" t="s">
        <v>29</v>
      </c>
      <c r="L774" s="58" t="s">
        <v>94</v>
      </c>
      <c r="M774" s="58" t="s">
        <v>29</v>
      </c>
      <c r="N774" s="61" t="s">
        <v>3133</v>
      </c>
      <c r="O774" s="58" t="s">
        <v>3134</v>
      </c>
      <c r="P774" s="58" t="s">
        <v>1447</v>
      </c>
      <c r="Q774" s="63" t="str">
        <f>IF(V774&lt;&gt;"","Completed","")</f>
        <v>Completed</v>
      </c>
      <c r="R774" s="319">
        <v>42691</v>
      </c>
      <c r="S774" s="24" t="s">
        <v>558</v>
      </c>
      <c r="T774" s="65">
        <v>22</v>
      </c>
      <c r="U774" s="65">
        <v>44</v>
      </c>
      <c r="V774" s="65">
        <v>44</v>
      </c>
      <c r="Y774" s="74" t="s">
        <v>44</v>
      </c>
      <c r="Z774" s="345" t="s">
        <v>1605</v>
      </c>
      <c r="AA774" s="249">
        <f>SUM(V768:V774)</f>
        <v>392</v>
      </c>
      <c r="AB774" s="65" t="s">
        <v>94</v>
      </c>
      <c r="AC774" s="65" t="s">
        <v>29</v>
      </c>
    </row>
    <row r="775" spans="1:29">
      <c r="A775" s="75" t="s">
        <v>1152</v>
      </c>
      <c r="B775" s="59"/>
      <c r="C775" s="57">
        <v>42698</v>
      </c>
      <c r="E775" s="65" t="s">
        <v>29</v>
      </c>
      <c r="F775" s="65" t="s">
        <v>29</v>
      </c>
      <c r="G775" s="58" t="s">
        <v>1443</v>
      </c>
      <c r="H775" s="58" t="s">
        <v>1456</v>
      </c>
      <c r="I775" s="60">
        <v>0</v>
      </c>
      <c r="J775" s="58" t="s">
        <v>29</v>
      </c>
      <c r="K775" s="58" t="s">
        <v>29</v>
      </c>
      <c r="L775" s="58" t="s">
        <v>94</v>
      </c>
      <c r="M775" s="58" t="s">
        <v>29</v>
      </c>
      <c r="N775" s="61" t="s">
        <v>3135</v>
      </c>
      <c r="O775" s="58" t="s">
        <v>3136</v>
      </c>
      <c r="P775" s="58" t="s">
        <v>1459</v>
      </c>
      <c r="Q775" s="63" t="str">
        <f>IF(V775&lt;&gt;"","Completed","")</f>
        <v>Completed</v>
      </c>
      <c r="R775" s="64">
        <v>42672</v>
      </c>
      <c r="S775" s="64" t="s">
        <v>80</v>
      </c>
      <c r="T775" s="65">
        <v>66</v>
      </c>
      <c r="U775" s="65">
        <v>129</v>
      </c>
      <c r="V775" s="65">
        <v>129</v>
      </c>
      <c r="Y775" s="74" t="s">
        <v>44</v>
      </c>
      <c r="Z775" s="56" t="s">
        <v>1546</v>
      </c>
      <c r="AA775" s="249"/>
      <c r="AB775" s="65" t="s">
        <v>94</v>
      </c>
      <c r="AC775" s="65" t="s">
        <v>29</v>
      </c>
    </row>
    <row r="776" spans="1:29">
      <c r="A776" s="75" t="s">
        <v>1152</v>
      </c>
      <c r="B776" s="59"/>
      <c r="C776" s="57">
        <v>42690</v>
      </c>
      <c r="E776" s="65" t="s">
        <v>29</v>
      </c>
      <c r="F776" s="65" t="s">
        <v>29</v>
      </c>
      <c r="G776" s="58" t="s">
        <v>1443</v>
      </c>
      <c r="H776" s="58" t="s">
        <v>1449</v>
      </c>
      <c r="I776" s="60">
        <v>0</v>
      </c>
      <c r="J776" s="58" t="s">
        <v>29</v>
      </c>
      <c r="K776" s="58" t="s">
        <v>29</v>
      </c>
      <c r="L776" s="58" t="s">
        <v>94</v>
      </c>
      <c r="M776" s="58" t="s">
        <v>29</v>
      </c>
      <c r="N776" s="61" t="s">
        <v>3137</v>
      </c>
      <c r="O776" s="58" t="s">
        <v>3138</v>
      </c>
      <c r="P776" s="58" t="s">
        <v>1459</v>
      </c>
      <c r="Q776" s="63" t="str">
        <f>IF(V776&lt;&gt;"","Completed","")</f>
        <v>Completed</v>
      </c>
      <c r="R776" s="64">
        <v>42665</v>
      </c>
      <c r="S776" s="64" t="s">
        <v>80</v>
      </c>
      <c r="T776" s="65">
        <v>34</v>
      </c>
      <c r="U776" s="65">
        <v>67</v>
      </c>
      <c r="V776" s="65">
        <v>67</v>
      </c>
      <c r="Y776" s="74" t="s">
        <v>44</v>
      </c>
      <c r="Z776" s="56" t="s">
        <v>1681</v>
      </c>
      <c r="AA776" s="249">
        <f>SUM(V768:V776)</f>
        <v>588</v>
      </c>
      <c r="AB776" s="65" t="s">
        <v>94</v>
      </c>
      <c r="AC776" s="65" t="s">
        <v>29</v>
      </c>
    </row>
    <row r="777" spans="1:29">
      <c r="A777" s="331" t="s">
        <v>1206</v>
      </c>
      <c r="B777" s="59"/>
      <c r="C777" s="57">
        <v>42726</v>
      </c>
      <c r="E777" s="65" t="s">
        <v>29</v>
      </c>
      <c r="F777" s="65" t="s">
        <v>29</v>
      </c>
      <c r="G777" s="58" t="s">
        <v>1443</v>
      </c>
      <c r="H777" s="58" t="s">
        <v>1444</v>
      </c>
      <c r="I777" s="60">
        <v>214</v>
      </c>
      <c r="J777" s="58" t="s">
        <v>94</v>
      </c>
      <c r="K777" s="58" t="s">
        <v>29</v>
      </c>
      <c r="L777" s="58" t="s">
        <v>94</v>
      </c>
      <c r="M777" s="58" t="s">
        <v>29</v>
      </c>
      <c r="N777" s="61" t="s">
        <v>3139</v>
      </c>
      <c r="O777" s="58" t="s">
        <v>3140</v>
      </c>
      <c r="P777" s="58" t="s">
        <v>1459</v>
      </c>
      <c r="Q777" s="63" t="str">
        <f>IF(V777&lt;&gt;"","Completed","")</f>
        <v>Completed</v>
      </c>
      <c r="R777" s="64">
        <v>42663</v>
      </c>
      <c r="S777" s="64" t="s">
        <v>114</v>
      </c>
      <c r="T777" s="65">
        <v>38</v>
      </c>
      <c r="U777" s="65">
        <v>76</v>
      </c>
      <c r="V777" s="65">
        <v>76</v>
      </c>
      <c r="Y777" s="74" t="s">
        <v>44</v>
      </c>
      <c r="Z777" s="56" t="s">
        <v>1902</v>
      </c>
      <c r="AA777" s="252"/>
      <c r="AB777" s="325" t="s">
        <v>94</v>
      </c>
      <c r="AC777" s="325" t="s">
        <v>29</v>
      </c>
    </row>
    <row r="778" spans="1:29">
      <c r="A778" s="75" t="s">
        <v>162</v>
      </c>
      <c r="B778" s="59"/>
      <c r="C778" s="247">
        <v>42740</v>
      </c>
      <c r="D778" s="65">
        <v>4020000</v>
      </c>
      <c r="E778" s="65" t="s">
        <v>29</v>
      </c>
      <c r="F778" s="65" t="s">
        <v>29</v>
      </c>
      <c r="G778" s="58" t="s">
        <v>1443</v>
      </c>
      <c r="H778" s="58" t="s">
        <v>1456</v>
      </c>
      <c r="I778" s="60">
        <v>0</v>
      </c>
      <c r="J778" s="58" t="s">
        <v>29</v>
      </c>
      <c r="K778" s="58" t="s">
        <v>29</v>
      </c>
      <c r="L778" s="58" t="s">
        <v>94</v>
      </c>
      <c r="M778" s="58" t="s">
        <v>29</v>
      </c>
      <c r="N778" s="61" t="s">
        <v>3141</v>
      </c>
      <c r="O778" s="58" t="s">
        <v>3142</v>
      </c>
      <c r="P778" s="58" t="s">
        <v>1459</v>
      </c>
      <c r="Q778" s="63" t="str">
        <f>IF(V778&lt;&gt;"","Completed","")</f>
        <v>Completed</v>
      </c>
      <c r="R778" s="64">
        <v>42719</v>
      </c>
      <c r="S778" s="233" t="s">
        <v>172</v>
      </c>
      <c r="T778" s="65">
        <v>45</v>
      </c>
      <c r="U778" s="65">
        <v>88</v>
      </c>
      <c r="V778" s="65">
        <v>88</v>
      </c>
      <c r="Y778" s="74" t="s">
        <v>44</v>
      </c>
      <c r="Z778" s="56" t="s">
        <v>1981</v>
      </c>
      <c r="AA778" s="249">
        <f>SUM(V770:V778)</f>
        <v>636</v>
      </c>
      <c r="AB778" s="65" t="s">
        <v>94</v>
      </c>
      <c r="AC778" s="65" t="s">
        <v>29</v>
      </c>
    </row>
    <row r="779" spans="1:29">
      <c r="A779" s="75" t="s">
        <v>1159</v>
      </c>
      <c r="B779" s="59"/>
      <c r="C779" s="57">
        <v>42741</v>
      </c>
      <c r="E779" s="65" t="s">
        <v>29</v>
      </c>
      <c r="F779" s="65" t="s">
        <v>29</v>
      </c>
      <c r="G779" s="58" t="s">
        <v>1443</v>
      </c>
      <c r="H779" s="58" t="s">
        <v>1449</v>
      </c>
      <c r="I779" s="60">
        <v>0</v>
      </c>
      <c r="J779" s="58" t="s">
        <v>94</v>
      </c>
      <c r="K779" s="58" t="s">
        <v>29</v>
      </c>
      <c r="L779" s="58" t="s">
        <v>94</v>
      </c>
      <c r="M779" s="58" t="s">
        <v>94</v>
      </c>
      <c r="N779" s="61" t="s">
        <v>3143</v>
      </c>
      <c r="O779" s="58" t="s">
        <v>3144</v>
      </c>
      <c r="P779" s="58" t="s">
        <v>1447</v>
      </c>
      <c r="Q779" s="63" t="str">
        <f>IF(V779&lt;&gt;"","Completed","")</f>
        <v>Completed</v>
      </c>
      <c r="R779" s="64">
        <v>42655</v>
      </c>
      <c r="S779" s="64" t="s">
        <v>57</v>
      </c>
      <c r="T779" s="65">
        <v>58</v>
      </c>
      <c r="U779" s="65">
        <v>113</v>
      </c>
      <c r="V779" s="65">
        <v>113</v>
      </c>
      <c r="Y779" s="74" t="s">
        <v>44</v>
      </c>
      <c r="Z779" s="56" t="s">
        <v>1742</v>
      </c>
      <c r="AA779" s="252">
        <f>SUM(V774:V779)</f>
        <v>517</v>
      </c>
      <c r="AB779" s="329" t="s">
        <v>94</v>
      </c>
      <c r="AC779" s="329" t="s">
        <v>94</v>
      </c>
    </row>
    <row r="780" spans="1:29">
      <c r="A780" s="244" t="s">
        <v>1167</v>
      </c>
      <c r="B780" s="62" t="s">
        <v>324</v>
      </c>
      <c r="C780" s="311">
        <v>42745</v>
      </c>
      <c r="D780" s="109">
        <v>1331007</v>
      </c>
      <c r="E780" s="151" t="s">
        <v>94</v>
      </c>
      <c r="F780" s="151" t="s">
        <v>29</v>
      </c>
      <c r="G780" s="306" t="s">
        <v>1443</v>
      </c>
      <c r="H780" s="306" t="s">
        <v>1444</v>
      </c>
      <c r="I780" s="307">
        <v>88</v>
      </c>
      <c r="J780" s="306" t="s">
        <v>29</v>
      </c>
      <c r="K780" s="306" t="s">
        <v>94</v>
      </c>
      <c r="L780" s="306" t="s">
        <v>29</v>
      </c>
      <c r="M780" s="306" t="s">
        <v>29</v>
      </c>
      <c r="N780" s="308" t="s">
        <v>3145</v>
      </c>
      <c r="O780" s="306" t="s">
        <v>3146</v>
      </c>
      <c r="P780" s="306" t="s">
        <v>1447</v>
      </c>
      <c r="Q780" s="63" t="str">
        <f>IF(V780&lt;&gt;"","Completed","")</f>
        <v>Completed</v>
      </c>
      <c r="R780" s="310">
        <v>42724</v>
      </c>
      <c r="S780" s="310" t="s">
        <v>204</v>
      </c>
      <c r="T780" s="65">
        <v>28</v>
      </c>
      <c r="U780" s="65">
        <v>48</v>
      </c>
      <c r="V780" s="65">
        <v>48</v>
      </c>
      <c r="Y780" s="74" t="s">
        <v>44</v>
      </c>
      <c r="Z780" s="56" t="s">
        <v>1505</v>
      </c>
      <c r="AA780" s="249">
        <f>SUM(V779:V780)</f>
        <v>161</v>
      </c>
      <c r="AB780" s="65" t="s">
        <v>94</v>
      </c>
      <c r="AC780" s="74" t="s">
        <v>29</v>
      </c>
    </row>
    <row r="781" spans="1:29">
      <c r="A781" s="333" t="s">
        <v>1169</v>
      </c>
      <c r="B781" s="305"/>
      <c r="C781" s="311">
        <v>42745</v>
      </c>
      <c r="D781" s="109">
        <v>4334012</v>
      </c>
      <c r="E781" s="151" t="s">
        <v>94</v>
      </c>
      <c r="F781" s="151" t="s">
        <v>29</v>
      </c>
      <c r="G781" s="306" t="s">
        <v>1443</v>
      </c>
      <c r="H781" s="306" t="s">
        <v>1456</v>
      </c>
      <c r="I781" s="307">
        <v>0</v>
      </c>
      <c r="J781" s="306" t="s">
        <v>94</v>
      </c>
      <c r="K781" s="306" t="s">
        <v>94</v>
      </c>
      <c r="L781" s="306" t="s">
        <v>29</v>
      </c>
      <c r="M781" s="306" t="s">
        <v>29</v>
      </c>
      <c r="N781" s="308" t="s">
        <v>3147</v>
      </c>
      <c r="O781" s="306" t="s">
        <v>3148</v>
      </c>
      <c r="P781" s="306" t="s">
        <v>1447</v>
      </c>
      <c r="Q781" s="63" t="str">
        <f>IF(V781&lt;&gt;"","Completed","")</f>
        <v>Completed</v>
      </c>
      <c r="R781" s="310">
        <v>42707</v>
      </c>
      <c r="S781" s="310" t="s">
        <v>433</v>
      </c>
      <c r="T781" s="65">
        <v>89</v>
      </c>
      <c r="U781" s="65">
        <v>144</v>
      </c>
      <c r="V781" s="65">
        <v>144</v>
      </c>
      <c r="Y781" s="74" t="s">
        <v>44</v>
      </c>
      <c r="Z781" s="56" t="s">
        <v>1505</v>
      </c>
      <c r="AA781" s="252">
        <f>V781</f>
        <v>144</v>
      </c>
      <c r="AB781" s="151" t="s">
        <v>94</v>
      </c>
      <c r="AC781" s="151" t="s">
        <v>29</v>
      </c>
    </row>
    <row r="782" spans="1:29">
      <c r="A782" s="75" t="s">
        <v>803</v>
      </c>
      <c r="B782" s="59"/>
      <c r="C782" s="57">
        <v>42760</v>
      </c>
      <c r="E782" s="65" t="s">
        <v>29</v>
      </c>
      <c r="F782" s="65" t="s">
        <v>29</v>
      </c>
      <c r="G782" s="58" t="s">
        <v>1443</v>
      </c>
      <c r="H782" s="58" t="s">
        <v>1456</v>
      </c>
      <c r="I782" s="60">
        <v>0</v>
      </c>
      <c r="J782" s="58" t="s">
        <v>94</v>
      </c>
      <c r="K782" s="58" t="s">
        <v>29</v>
      </c>
      <c r="L782" s="58" t="s">
        <v>94</v>
      </c>
      <c r="M782" s="58" t="s">
        <v>29</v>
      </c>
      <c r="N782" s="61" t="s">
        <v>3149</v>
      </c>
      <c r="O782" s="58" t="s">
        <v>3150</v>
      </c>
      <c r="P782" s="58" t="s">
        <v>1447</v>
      </c>
      <c r="Q782" s="63" t="str">
        <f>IF(V782&lt;&gt;"","Completed","")</f>
        <v>Completed</v>
      </c>
      <c r="R782" s="64">
        <v>42714</v>
      </c>
      <c r="S782" s="64" t="s">
        <v>43</v>
      </c>
      <c r="T782" s="65">
        <v>9</v>
      </c>
      <c r="U782" s="65">
        <v>18</v>
      </c>
      <c r="V782" s="65">
        <v>18</v>
      </c>
      <c r="Y782" s="74" t="s">
        <v>44</v>
      </c>
      <c r="Z782" s="56" t="s">
        <v>1472</v>
      </c>
      <c r="AA782" s="249"/>
      <c r="AB782" s="65" t="s">
        <v>94</v>
      </c>
      <c r="AC782" s="65" t="s">
        <v>29</v>
      </c>
    </row>
    <row r="783" spans="1:29">
      <c r="A783" s="245" t="s">
        <v>1177</v>
      </c>
      <c r="B783" s="62" t="s">
        <v>354</v>
      </c>
      <c r="C783" s="57">
        <v>42733</v>
      </c>
      <c r="E783" s="65" t="s">
        <v>29</v>
      </c>
      <c r="F783" s="65" t="s">
        <v>29</v>
      </c>
      <c r="G783" s="58" t="s">
        <v>1443</v>
      </c>
      <c r="H783" s="58" t="s">
        <v>1444</v>
      </c>
      <c r="I783" s="60">
        <v>91</v>
      </c>
      <c r="J783" s="58" t="s">
        <v>29</v>
      </c>
      <c r="K783" s="58" t="s">
        <v>29</v>
      </c>
      <c r="L783" s="58" t="s">
        <v>29</v>
      </c>
      <c r="M783" s="58" t="s">
        <v>29</v>
      </c>
      <c r="N783" s="61" t="s">
        <v>3151</v>
      </c>
      <c r="O783" s="58" t="s">
        <v>3152</v>
      </c>
      <c r="P783" s="58" t="s">
        <v>1459</v>
      </c>
      <c r="Q783" s="63" t="str">
        <f>IF(V783&lt;&gt;"","Completed","")</f>
        <v>Completed</v>
      </c>
      <c r="R783" s="268">
        <v>42706</v>
      </c>
      <c r="S783" s="268" t="s">
        <v>204</v>
      </c>
      <c r="T783" s="65">
        <v>35</v>
      </c>
      <c r="U783" s="65">
        <v>55</v>
      </c>
      <c r="V783" s="65">
        <v>55</v>
      </c>
      <c r="Y783" s="74" t="s">
        <v>44</v>
      </c>
      <c r="Z783" s="345" t="s">
        <v>1608</v>
      </c>
      <c r="AA783" s="249">
        <f>V783</f>
        <v>55</v>
      </c>
      <c r="AB783" s="65" t="s">
        <v>94</v>
      </c>
      <c r="AC783" s="65" t="s">
        <v>94</v>
      </c>
    </row>
    <row r="784" spans="1:29">
      <c r="A784" s="332" t="s">
        <v>444</v>
      </c>
      <c r="B784" s="59"/>
      <c r="C784" s="57">
        <v>42674</v>
      </c>
      <c r="E784" s="65" t="s">
        <v>29</v>
      </c>
      <c r="F784" s="65" t="s">
        <v>29</v>
      </c>
      <c r="G784" s="58" t="s">
        <v>1443</v>
      </c>
      <c r="H784" s="58" t="s">
        <v>1456</v>
      </c>
      <c r="I784" s="60">
        <v>100</v>
      </c>
      <c r="J784" s="58" t="s">
        <v>94</v>
      </c>
      <c r="K784" s="58" t="s">
        <v>29</v>
      </c>
      <c r="L784" s="58" t="s">
        <v>94</v>
      </c>
      <c r="M784" s="58" t="s">
        <v>29</v>
      </c>
      <c r="N784" s="375" t="s">
        <v>3153</v>
      </c>
      <c r="O784" s="373" t="s">
        <v>3154</v>
      </c>
      <c r="P784" s="58" t="s">
        <v>1459</v>
      </c>
      <c r="Q784" s="63" t="str">
        <f>IF(V784&lt;&gt;"","Completed","")</f>
        <v>Completed</v>
      </c>
      <c r="R784" s="64">
        <v>42651</v>
      </c>
      <c r="S784" s="64" t="s">
        <v>80</v>
      </c>
      <c r="T784" s="242">
        <v>50</v>
      </c>
      <c r="U784" s="242">
        <v>70</v>
      </c>
      <c r="V784" s="242">
        <v>70</v>
      </c>
      <c r="Y784" s="74" t="s">
        <v>44</v>
      </c>
      <c r="Z784" s="56" t="s">
        <v>1777</v>
      </c>
      <c r="AA784" s="249">
        <f>SUM(V780:V784)</f>
        <v>335</v>
      </c>
      <c r="AB784" s="242" t="s">
        <v>94</v>
      </c>
      <c r="AC784" s="242" t="s">
        <v>29</v>
      </c>
    </row>
    <row r="785" spans="1:30">
      <c r="A785" s="75" t="s">
        <v>1022</v>
      </c>
      <c r="B785" s="59"/>
      <c r="C785" s="57">
        <v>42740</v>
      </c>
      <c r="E785" s="65" t="s">
        <v>29</v>
      </c>
      <c r="F785" s="65" t="s">
        <v>29</v>
      </c>
      <c r="G785" s="58" t="s">
        <v>1443</v>
      </c>
      <c r="H785" s="58" t="s">
        <v>1456</v>
      </c>
      <c r="I785" s="60">
        <v>303</v>
      </c>
      <c r="J785" s="58" t="s">
        <v>94</v>
      </c>
      <c r="K785" s="58" t="s">
        <v>29</v>
      </c>
      <c r="L785" s="58" t="s">
        <v>94</v>
      </c>
      <c r="M785" s="58" t="s">
        <v>29</v>
      </c>
      <c r="N785" s="61" t="s">
        <v>3155</v>
      </c>
      <c r="O785" s="58" t="s">
        <v>3156</v>
      </c>
      <c r="P785" s="58" t="s">
        <v>1447</v>
      </c>
      <c r="Q785" s="63" t="str">
        <f>IF(V785&lt;&gt;"","Completed","")</f>
        <v>Completed</v>
      </c>
      <c r="R785" s="64">
        <v>42679</v>
      </c>
      <c r="S785" s="64" t="s">
        <v>80</v>
      </c>
      <c r="T785" s="65">
        <v>35</v>
      </c>
      <c r="U785" s="65">
        <v>56</v>
      </c>
      <c r="V785" s="65">
        <v>56</v>
      </c>
      <c r="Y785" s="74" t="s">
        <v>44</v>
      </c>
      <c r="Z785" s="56" t="s">
        <v>1546</v>
      </c>
      <c r="AA785" s="249"/>
      <c r="AB785" s="65" t="s">
        <v>94</v>
      </c>
      <c r="AC785" s="65" t="s">
        <v>94</v>
      </c>
    </row>
    <row r="786" spans="1:30">
      <c r="A786" s="332" t="s">
        <v>1080</v>
      </c>
      <c r="B786" s="59"/>
      <c r="C786" s="57">
        <v>42718</v>
      </c>
      <c r="E786" s="65" t="s">
        <v>29</v>
      </c>
      <c r="F786" s="65" t="s">
        <v>29</v>
      </c>
      <c r="G786" s="58" t="s">
        <v>1443</v>
      </c>
      <c r="H786" s="58" t="s">
        <v>1449</v>
      </c>
      <c r="I786" s="60">
        <v>409</v>
      </c>
      <c r="J786" s="58" t="s">
        <v>94</v>
      </c>
      <c r="K786" s="58" t="s">
        <v>29</v>
      </c>
      <c r="L786" s="58" t="s">
        <v>29</v>
      </c>
      <c r="M786" s="58" t="s">
        <v>29</v>
      </c>
      <c r="N786" s="61" t="s">
        <v>3157</v>
      </c>
      <c r="O786" s="58" t="s">
        <v>3158</v>
      </c>
      <c r="P786" s="58" t="s">
        <v>1447</v>
      </c>
      <c r="Q786" s="63" t="str">
        <f>IF(V786&lt;&gt;"","Completed","")</f>
        <v>Completed</v>
      </c>
      <c r="R786" s="67">
        <v>42675</v>
      </c>
      <c r="S786" s="64" t="s">
        <v>433</v>
      </c>
      <c r="T786" s="65">
        <v>27</v>
      </c>
      <c r="U786" s="65">
        <v>53</v>
      </c>
      <c r="V786" s="65">
        <v>53</v>
      </c>
      <c r="Y786" s="74" t="s">
        <v>44</v>
      </c>
      <c r="Z786" s="56" t="s">
        <v>1966</v>
      </c>
      <c r="AA786" s="252">
        <f>SUM(V783:V786)</f>
        <v>234</v>
      </c>
      <c r="AB786" s="324" t="s">
        <v>94</v>
      </c>
      <c r="AC786" s="151" t="s">
        <v>29</v>
      </c>
    </row>
    <row r="787" spans="1:30">
      <c r="A787" s="244" t="s">
        <v>607</v>
      </c>
      <c r="B787" s="59"/>
      <c r="C787" s="57">
        <v>42794</v>
      </c>
      <c r="E787" s="65" t="s">
        <v>29</v>
      </c>
      <c r="F787" s="65" t="s">
        <v>29</v>
      </c>
      <c r="G787" s="58"/>
      <c r="H787" s="58"/>
      <c r="I787" s="60"/>
      <c r="J787" s="58"/>
      <c r="K787" s="58"/>
      <c r="L787" s="58"/>
      <c r="M787" s="58"/>
      <c r="N787" s="251" t="s">
        <v>3159</v>
      </c>
      <c r="O787" s="294" t="s">
        <v>3160</v>
      </c>
      <c r="P787" s="58"/>
      <c r="Q787" s="63" t="str">
        <f>IF(V787&lt;&gt;"","Completed","")</f>
        <v>Completed</v>
      </c>
      <c r="R787" s="64">
        <v>42760</v>
      </c>
      <c r="S787" s="64" t="s">
        <v>149</v>
      </c>
      <c r="T787" s="65">
        <v>36</v>
      </c>
      <c r="U787" s="65">
        <v>63</v>
      </c>
      <c r="V787" s="65">
        <v>63</v>
      </c>
      <c r="Y787" s="74" t="s">
        <v>44</v>
      </c>
      <c r="Z787" s="56" t="s">
        <v>1668</v>
      </c>
      <c r="AA787" s="92">
        <f>V787</f>
        <v>63</v>
      </c>
      <c r="AB787" s="74" t="s">
        <v>94</v>
      </c>
      <c r="AC787" s="65" t="s">
        <v>94</v>
      </c>
      <c r="AD787" s="349"/>
    </row>
    <row r="788" spans="1:30">
      <c r="A788" s="75" t="s">
        <v>1179</v>
      </c>
      <c r="B788" s="59" t="s">
        <v>1180</v>
      </c>
      <c r="C788" s="57">
        <v>42773</v>
      </c>
      <c r="E788" s="65" t="s">
        <v>29</v>
      </c>
      <c r="F788" s="65" t="s">
        <v>94</v>
      </c>
      <c r="G788" s="254" t="s">
        <v>1443</v>
      </c>
      <c r="H788" s="254" t="s">
        <v>1449</v>
      </c>
      <c r="I788" s="255">
        <v>0</v>
      </c>
      <c r="J788" s="254" t="s">
        <v>94</v>
      </c>
      <c r="K788" s="254" t="s">
        <v>29</v>
      </c>
      <c r="L788" s="254" t="s">
        <v>94</v>
      </c>
      <c r="M788" s="254" t="s">
        <v>94</v>
      </c>
      <c r="N788" s="61" t="s">
        <v>3161</v>
      </c>
      <c r="O788" s="58" t="s">
        <v>3162</v>
      </c>
      <c r="P788" s="58" t="s">
        <v>1447</v>
      </c>
      <c r="Q788" s="63" t="str">
        <f>IF(V788&lt;&gt;"","Completed","")</f>
        <v>Completed</v>
      </c>
      <c r="R788" s="64">
        <v>42714</v>
      </c>
      <c r="S788" s="64" t="s">
        <v>104</v>
      </c>
      <c r="T788" s="65">
        <v>24</v>
      </c>
      <c r="V788" s="256">
        <v>48</v>
      </c>
      <c r="Y788" s="74" t="s">
        <v>44</v>
      </c>
      <c r="Z788" s="56" t="s">
        <v>1536</v>
      </c>
      <c r="AA788" s="364">
        <f>SUM(V784:V788)</f>
        <v>290</v>
      </c>
      <c r="AB788" s="65" t="s">
        <v>94</v>
      </c>
      <c r="AC788" s="74" t="s">
        <v>29</v>
      </c>
    </row>
    <row r="789" spans="1:30">
      <c r="A789" s="245" t="s">
        <v>81</v>
      </c>
      <c r="B789" s="62" t="s">
        <v>82</v>
      </c>
      <c r="C789" s="57">
        <v>42709</v>
      </c>
      <c r="D789" s="65">
        <v>1008000</v>
      </c>
      <c r="E789" s="65" t="s">
        <v>29</v>
      </c>
      <c r="F789" s="65" t="s">
        <v>29</v>
      </c>
      <c r="G789" s="58" t="s">
        <v>1443</v>
      </c>
      <c r="H789" s="58" t="s">
        <v>1456</v>
      </c>
      <c r="I789" s="60">
        <v>390</v>
      </c>
      <c r="J789" s="58" t="s">
        <v>94</v>
      </c>
      <c r="K789" s="58" t="s">
        <v>29</v>
      </c>
      <c r="L789" s="58" t="s">
        <v>94</v>
      </c>
      <c r="M789" s="58" t="s">
        <v>29</v>
      </c>
      <c r="N789" s="375" t="s">
        <v>3163</v>
      </c>
      <c r="O789" s="373" t="s">
        <v>3164</v>
      </c>
      <c r="P789" s="58" t="s">
        <v>1447</v>
      </c>
      <c r="Q789" s="63" t="str">
        <f>IF(V789&lt;&gt;"","Completed","")</f>
        <v>Completed</v>
      </c>
      <c r="R789" s="64">
        <v>42614</v>
      </c>
      <c r="S789" s="57" t="s">
        <v>80</v>
      </c>
      <c r="T789" s="150">
        <v>75</v>
      </c>
      <c r="U789" s="150">
        <v>118</v>
      </c>
      <c r="V789" s="150">
        <v>118</v>
      </c>
      <c r="W789" s="150"/>
      <c r="X789" s="150"/>
      <c r="Y789" s="74" t="s">
        <v>44</v>
      </c>
      <c r="Z789" s="56" t="s">
        <v>2085</v>
      </c>
      <c r="AA789" s="363">
        <f>SUM(V782:V789)</f>
        <v>481</v>
      </c>
      <c r="AB789" s="242" t="s">
        <v>94</v>
      </c>
      <c r="AC789" s="242" t="s">
        <v>94</v>
      </c>
    </row>
    <row r="790" spans="1:30">
      <c r="A790" s="75" t="s">
        <v>1182</v>
      </c>
      <c r="B790" s="59"/>
      <c r="C790" s="57"/>
      <c r="E790" s="65" t="s">
        <v>29</v>
      </c>
      <c r="F790" s="65" t="s">
        <v>94</v>
      </c>
      <c r="G790" s="58" t="s">
        <v>1443</v>
      </c>
      <c r="H790" s="58" t="s">
        <v>1444</v>
      </c>
      <c r="I790" s="60">
        <v>0</v>
      </c>
      <c r="J790" s="58" t="s">
        <v>94</v>
      </c>
      <c r="K790" s="58" t="s">
        <v>29</v>
      </c>
      <c r="L790" s="58" t="s">
        <v>29</v>
      </c>
      <c r="M790" s="58" t="s">
        <v>94</v>
      </c>
      <c r="N790" s="61" t="s">
        <v>3165</v>
      </c>
      <c r="O790" s="58" t="s">
        <v>3166</v>
      </c>
      <c r="P790" s="58" t="s">
        <v>1459</v>
      </c>
      <c r="Q790" s="63" t="str">
        <f>IF(V790&lt;&gt;"","Completed","")</f>
        <v>Completed</v>
      </c>
      <c r="R790" s="301">
        <v>42622</v>
      </c>
      <c r="S790" s="301" t="s">
        <v>222</v>
      </c>
      <c r="T790" s="150">
        <v>7</v>
      </c>
      <c r="U790" s="150">
        <v>14</v>
      </c>
      <c r="V790" s="150">
        <v>14</v>
      </c>
      <c r="W790" s="150"/>
      <c r="X790" s="150"/>
      <c r="Y790" s="74" t="s">
        <v>44</v>
      </c>
      <c r="Z790" s="56" t="s">
        <v>2085</v>
      </c>
      <c r="AA790" s="249"/>
      <c r="AB790" s="242" t="s">
        <v>94</v>
      </c>
    </row>
    <row r="791" spans="1:30">
      <c r="A791" s="75" t="s">
        <v>894</v>
      </c>
      <c r="B791" s="59"/>
      <c r="C791" s="57">
        <v>42712</v>
      </c>
      <c r="E791" s="65" t="s">
        <v>29</v>
      </c>
      <c r="F791" s="65" t="s">
        <v>94</v>
      </c>
      <c r="G791" s="58" t="s">
        <v>1443</v>
      </c>
      <c r="H791" s="58" t="s">
        <v>1456</v>
      </c>
      <c r="I791" s="60">
        <v>329</v>
      </c>
      <c r="J791" s="58" t="s">
        <v>94</v>
      </c>
      <c r="K791" s="58" t="s">
        <v>29</v>
      </c>
      <c r="L791" s="58" t="s">
        <v>94</v>
      </c>
      <c r="M791" s="58" t="s">
        <v>94</v>
      </c>
      <c r="N791" s="61" t="s">
        <v>3167</v>
      </c>
      <c r="O791" s="58" t="s">
        <v>3168</v>
      </c>
      <c r="P791" s="58" t="s">
        <v>1447</v>
      </c>
      <c r="Q791" s="63" t="str">
        <f>IF(V791&lt;&gt;"","Completed","")</f>
        <v>Completed</v>
      </c>
      <c r="R791" s="64">
        <v>42673</v>
      </c>
      <c r="S791" s="64" t="s">
        <v>104</v>
      </c>
      <c r="T791" s="65">
        <v>56</v>
      </c>
      <c r="V791" s="256">
        <v>108</v>
      </c>
      <c r="Y791" s="74" t="s">
        <v>44</v>
      </c>
      <c r="Z791" s="56" t="s">
        <v>1599</v>
      </c>
      <c r="AA791" s="118">
        <f>SUM(V782:V791)</f>
        <v>603</v>
      </c>
      <c r="AB791" s="74" t="s">
        <v>94</v>
      </c>
      <c r="AC791" s="65" t="s">
        <v>94</v>
      </c>
    </row>
    <row r="792" spans="1:30">
      <c r="A792" s="244" t="s">
        <v>1003</v>
      </c>
      <c r="B792" s="62" t="s">
        <v>324</v>
      </c>
      <c r="C792" s="57">
        <v>42755</v>
      </c>
      <c r="E792" s="65" t="s">
        <v>29</v>
      </c>
      <c r="F792" s="65" t="s">
        <v>29</v>
      </c>
      <c r="G792" s="58" t="s">
        <v>1443</v>
      </c>
      <c r="H792" s="58" t="s">
        <v>1444</v>
      </c>
      <c r="I792" s="60">
        <v>341</v>
      </c>
      <c r="J792" s="58" t="s">
        <v>94</v>
      </c>
      <c r="K792" s="58" t="s">
        <v>29</v>
      </c>
      <c r="L792" s="58" t="s">
        <v>29</v>
      </c>
      <c r="M792" s="58" t="s">
        <v>29</v>
      </c>
      <c r="N792" s="61" t="s">
        <v>3169</v>
      </c>
      <c r="O792" s="58" t="s">
        <v>3170</v>
      </c>
      <c r="P792" s="58" t="s">
        <v>1447</v>
      </c>
      <c r="Q792" s="63" t="str">
        <f>IF(V792&lt;&gt;"","Completed","")</f>
        <v>Completed</v>
      </c>
      <c r="R792" s="64">
        <v>42720</v>
      </c>
      <c r="S792" s="64" t="s">
        <v>204</v>
      </c>
      <c r="T792" s="65">
        <v>88</v>
      </c>
      <c r="U792" s="65">
        <v>140</v>
      </c>
      <c r="V792" s="65">
        <v>140</v>
      </c>
      <c r="Y792" s="74" t="s">
        <v>44</v>
      </c>
      <c r="Z792" s="56" t="s">
        <v>1475</v>
      </c>
      <c r="AA792" s="252">
        <f>V792</f>
        <v>140</v>
      </c>
      <c r="AB792" s="74" t="s">
        <v>94</v>
      </c>
      <c r="AC792" s="65" t="s">
        <v>29</v>
      </c>
      <c r="AD792" s="345" t="s">
        <v>296</v>
      </c>
    </row>
    <row r="793" spans="1:30">
      <c r="A793" s="75" t="s">
        <v>877</v>
      </c>
      <c r="B793" s="59"/>
      <c r="C793" s="57">
        <v>42748</v>
      </c>
      <c r="E793" s="65" t="s">
        <v>29</v>
      </c>
      <c r="F793" s="65" t="s">
        <v>29</v>
      </c>
      <c r="G793" s="58" t="s">
        <v>1443</v>
      </c>
      <c r="H793" s="58" t="s">
        <v>1449</v>
      </c>
      <c r="I793" s="60">
        <v>600</v>
      </c>
      <c r="J793" s="58" t="s">
        <v>94</v>
      </c>
      <c r="K793" s="58" t="s">
        <v>29</v>
      </c>
      <c r="L793" s="58" t="s">
        <v>29</v>
      </c>
      <c r="M793" s="58" t="s">
        <v>29</v>
      </c>
      <c r="N793" s="61" t="s">
        <v>3171</v>
      </c>
      <c r="O793" s="58" t="s">
        <v>3172</v>
      </c>
      <c r="P793" s="58" t="s">
        <v>1447</v>
      </c>
      <c r="Q793" s="63" t="str">
        <f>IF(V793&lt;&gt;"","Completed","")</f>
        <v>Completed</v>
      </c>
      <c r="R793" s="64">
        <v>42663</v>
      </c>
      <c r="S793" s="64" t="s">
        <v>57</v>
      </c>
      <c r="T793" s="65">
        <v>73</v>
      </c>
      <c r="U793" s="65">
        <v>119</v>
      </c>
      <c r="V793" s="65">
        <v>119</v>
      </c>
      <c r="Y793" s="74" t="s">
        <v>44</v>
      </c>
      <c r="Z793" s="56" t="s">
        <v>1637</v>
      </c>
      <c r="AA793" s="252">
        <f>SUM(V790:V793)</f>
        <v>381</v>
      </c>
      <c r="AB793" s="248" t="s">
        <v>94</v>
      </c>
      <c r="AC793" s="248" t="s">
        <v>29</v>
      </c>
    </row>
    <row r="794" spans="1:30">
      <c r="A794" s="75" t="s">
        <v>290</v>
      </c>
      <c r="B794" s="59"/>
      <c r="C794" s="57">
        <v>42709</v>
      </c>
      <c r="D794" s="65">
        <v>4050000</v>
      </c>
      <c r="E794" s="65" t="s">
        <v>29</v>
      </c>
      <c r="F794" s="65" t="s">
        <v>94</v>
      </c>
      <c r="G794" s="58" t="s">
        <v>1443</v>
      </c>
      <c r="H794" s="58" t="s">
        <v>1444</v>
      </c>
      <c r="I794" s="60">
        <v>0</v>
      </c>
      <c r="J794" s="58" t="s">
        <v>94</v>
      </c>
      <c r="K794" s="58" t="s">
        <v>29</v>
      </c>
      <c r="L794" s="58" t="s">
        <v>94</v>
      </c>
      <c r="M794" s="58" t="s">
        <v>94</v>
      </c>
      <c r="N794" s="61" t="s">
        <v>3173</v>
      </c>
      <c r="O794" s="58" t="s">
        <v>3174</v>
      </c>
      <c r="P794" s="58" t="s">
        <v>1459</v>
      </c>
      <c r="Q794" s="63" t="str">
        <f>IF(V794&lt;&gt;"","Completed","")</f>
        <v>Completed</v>
      </c>
      <c r="R794" s="64">
        <v>42667</v>
      </c>
      <c r="S794" s="64" t="s">
        <v>104</v>
      </c>
      <c r="T794" s="151">
        <v>21</v>
      </c>
      <c r="U794" s="151"/>
      <c r="V794" s="256">
        <v>44</v>
      </c>
      <c r="W794" s="151"/>
      <c r="X794" s="151"/>
      <c r="Y794" s="74" t="s">
        <v>44</v>
      </c>
      <c r="Z794" s="56" t="s">
        <v>1754</v>
      </c>
      <c r="AA794" s="363">
        <f>SUM(V789:V794)</f>
        <v>543</v>
      </c>
      <c r="AB794" s="65" t="s">
        <v>94</v>
      </c>
      <c r="AC794" s="65" t="s">
        <v>29</v>
      </c>
    </row>
    <row r="795" spans="1:30">
      <c r="A795" s="75" t="s">
        <v>803</v>
      </c>
      <c r="B795" s="59"/>
      <c r="C795" s="57">
        <v>42753</v>
      </c>
      <c r="E795" s="65" t="s">
        <v>29</v>
      </c>
      <c r="F795" s="65" t="s">
        <v>29</v>
      </c>
      <c r="G795" s="58" t="s">
        <v>1443</v>
      </c>
      <c r="H795" s="58" t="s">
        <v>1456</v>
      </c>
      <c r="I795" s="60">
        <v>171</v>
      </c>
      <c r="J795" s="58" t="s">
        <v>94</v>
      </c>
      <c r="K795" s="58" t="s">
        <v>29</v>
      </c>
      <c r="L795" s="58" t="s">
        <v>94</v>
      </c>
      <c r="M795" s="58" t="s">
        <v>29</v>
      </c>
      <c r="N795" s="61" t="s">
        <v>3175</v>
      </c>
      <c r="O795" s="58" t="s">
        <v>3176</v>
      </c>
      <c r="P795" s="58" t="s">
        <v>1447</v>
      </c>
      <c r="Q795" s="63" t="str">
        <f>IF(V795&lt;&gt;"","Completed","")</f>
        <v>Completed</v>
      </c>
      <c r="R795" s="64">
        <v>42692</v>
      </c>
      <c r="S795" s="64" t="s">
        <v>43</v>
      </c>
      <c r="T795" s="65">
        <v>16</v>
      </c>
      <c r="U795" s="65">
        <v>32</v>
      </c>
      <c r="V795" s="65">
        <v>32</v>
      </c>
      <c r="Y795" s="74" t="s">
        <v>44</v>
      </c>
      <c r="Z795" s="56" t="s">
        <v>1500</v>
      </c>
      <c r="AA795" s="249">
        <f>SUM(V771:V795)</f>
        <v>1780</v>
      </c>
      <c r="AB795" s="65" t="s">
        <v>94</v>
      </c>
      <c r="AC795" s="65" t="s">
        <v>29</v>
      </c>
    </row>
    <row r="796" spans="1:30">
      <c r="A796" s="75" t="s">
        <v>1022</v>
      </c>
      <c r="B796" s="59"/>
      <c r="C796" s="57">
        <v>42740</v>
      </c>
      <c r="E796" s="65" t="s">
        <v>29</v>
      </c>
      <c r="F796" s="65" t="s">
        <v>29</v>
      </c>
      <c r="G796" s="58" t="s">
        <v>1443</v>
      </c>
      <c r="H796" s="58" t="s">
        <v>1456</v>
      </c>
      <c r="I796" s="60">
        <v>249</v>
      </c>
      <c r="J796" s="58" t="s">
        <v>94</v>
      </c>
      <c r="K796" s="58" t="s">
        <v>29</v>
      </c>
      <c r="L796" s="58" t="s">
        <v>94</v>
      </c>
      <c r="M796" s="58" t="s">
        <v>29</v>
      </c>
      <c r="N796" s="61" t="s">
        <v>3177</v>
      </c>
      <c r="O796" s="58" t="s">
        <v>3178</v>
      </c>
      <c r="P796" s="58" t="s">
        <v>1459</v>
      </c>
      <c r="Q796" s="63" t="str">
        <f>IF(V796&lt;&gt;"","Completed","")</f>
        <v>Completed</v>
      </c>
      <c r="R796" s="64">
        <v>42679</v>
      </c>
      <c r="S796" s="64" t="s">
        <v>80</v>
      </c>
      <c r="T796" s="65">
        <v>41</v>
      </c>
      <c r="U796" s="65">
        <v>82</v>
      </c>
      <c r="V796" s="65">
        <v>82</v>
      </c>
      <c r="Y796" s="74" t="s">
        <v>44</v>
      </c>
      <c r="Z796" s="56" t="s">
        <v>1546</v>
      </c>
      <c r="AA796" s="249">
        <f>SUM(V745:V796)</f>
        <v>3475</v>
      </c>
      <c r="AB796" s="65" t="s">
        <v>94</v>
      </c>
      <c r="AC796" s="65" t="s">
        <v>29</v>
      </c>
    </row>
    <row r="797" spans="1:30">
      <c r="A797" s="261" t="s">
        <v>710</v>
      </c>
      <c r="C797" s="57">
        <v>42762</v>
      </c>
      <c r="E797" s="65" t="s">
        <v>29</v>
      </c>
      <c r="F797" s="65" t="s">
        <v>29</v>
      </c>
      <c r="N797" s="68" t="s">
        <v>3179</v>
      </c>
      <c r="O797" s="90" t="s">
        <v>3180</v>
      </c>
      <c r="Q797" s="63" t="str">
        <f>IF(V797&lt;&gt;"","Completed","")</f>
        <v>Completed</v>
      </c>
      <c r="R797" s="64">
        <v>42770</v>
      </c>
      <c r="S797" s="64" t="s">
        <v>149</v>
      </c>
      <c r="T797" s="242">
        <v>37</v>
      </c>
      <c r="U797" s="242">
        <v>74</v>
      </c>
      <c r="V797" s="242">
        <v>74</v>
      </c>
      <c r="Y797" s="74" t="s">
        <v>44</v>
      </c>
      <c r="Z797" s="345" t="s">
        <v>1442</v>
      </c>
      <c r="AA797" s="92"/>
      <c r="AB797" s="242" t="s">
        <v>94</v>
      </c>
      <c r="AC797" s="242" t="s">
        <v>29</v>
      </c>
    </row>
    <row r="798" spans="1:30">
      <c r="A798" s="75" t="s">
        <v>1197</v>
      </c>
      <c r="B798" s="59"/>
      <c r="C798" s="57">
        <v>42684</v>
      </c>
      <c r="E798" s="65" t="s">
        <v>29</v>
      </c>
      <c r="F798" s="65" t="s">
        <v>94</v>
      </c>
      <c r="G798" s="58" t="s">
        <v>1443</v>
      </c>
      <c r="H798" s="58" t="s">
        <v>1456</v>
      </c>
      <c r="I798" s="60">
        <v>306</v>
      </c>
      <c r="J798" s="58" t="s">
        <v>29</v>
      </c>
      <c r="K798" s="58" t="s">
        <v>29</v>
      </c>
      <c r="L798" s="58" t="s">
        <v>94</v>
      </c>
      <c r="M798" s="58" t="s">
        <v>94</v>
      </c>
      <c r="N798" s="61" t="s">
        <v>3181</v>
      </c>
      <c r="O798" s="58" t="s">
        <v>3182</v>
      </c>
      <c r="P798" s="58" t="s">
        <v>1459</v>
      </c>
      <c r="Q798" s="63" t="str">
        <f>IF(V798&lt;&gt;"","Completed","")</f>
        <v>Completed</v>
      </c>
      <c r="R798" s="64">
        <v>42651</v>
      </c>
      <c r="S798" s="64" t="s">
        <v>104</v>
      </c>
      <c r="T798" s="65">
        <v>79</v>
      </c>
      <c r="V798" s="256">
        <v>123</v>
      </c>
      <c r="Y798" s="74" t="s">
        <v>44</v>
      </c>
      <c r="Z798" s="56" t="s">
        <v>1481</v>
      </c>
      <c r="AA798" s="249"/>
      <c r="AB798" s="74" t="s">
        <v>94</v>
      </c>
      <c r="AC798" s="74" t="s">
        <v>29</v>
      </c>
    </row>
    <row r="799" spans="1:30">
      <c r="A799" s="75" t="s">
        <v>115</v>
      </c>
      <c r="B799" s="59"/>
      <c r="C799" s="57">
        <v>42726</v>
      </c>
      <c r="D799" s="65">
        <v>3014000</v>
      </c>
      <c r="E799" s="65" t="s">
        <v>29</v>
      </c>
      <c r="F799" s="65" t="s">
        <v>29</v>
      </c>
      <c r="G799" s="58" t="s">
        <v>1443</v>
      </c>
      <c r="H799" s="58" t="s">
        <v>1444</v>
      </c>
      <c r="I799" s="60">
        <v>0</v>
      </c>
      <c r="J799" s="58" t="s">
        <v>94</v>
      </c>
      <c r="K799" s="58" t="s">
        <v>29</v>
      </c>
      <c r="L799" s="58" t="s">
        <v>94</v>
      </c>
      <c r="M799" s="58" t="s">
        <v>29</v>
      </c>
      <c r="N799" s="61" t="s">
        <v>3183</v>
      </c>
      <c r="O799" s="58" t="s">
        <v>3184</v>
      </c>
      <c r="P799" s="58" t="s">
        <v>1459</v>
      </c>
      <c r="Q799" s="63" t="str">
        <f>IF(V799&lt;&gt;"","Completed","")</f>
        <v>Completed</v>
      </c>
      <c r="R799" s="64">
        <v>42668</v>
      </c>
      <c r="S799" s="64" t="s">
        <v>43</v>
      </c>
      <c r="T799" s="65">
        <v>12</v>
      </c>
      <c r="U799" s="65">
        <v>24</v>
      </c>
      <c r="V799" s="65">
        <v>24</v>
      </c>
      <c r="Y799" s="74" t="s">
        <v>44</v>
      </c>
      <c r="Z799" s="56" t="s">
        <v>1640</v>
      </c>
      <c r="AA799" s="249">
        <f>SUM(U795:U799)</f>
        <v>212</v>
      </c>
      <c r="AB799" s="65" t="s">
        <v>94</v>
      </c>
    </row>
    <row r="800" spans="1:30">
      <c r="A800" s="261" t="s">
        <v>710</v>
      </c>
      <c r="C800" s="57">
        <v>42762</v>
      </c>
      <c r="E800" s="65" t="s">
        <v>29</v>
      </c>
      <c r="F800" s="65" t="s">
        <v>29</v>
      </c>
      <c r="N800" s="68" t="s">
        <v>3185</v>
      </c>
      <c r="O800" s="90" t="s">
        <v>3186</v>
      </c>
      <c r="Q800" s="63" t="str">
        <f>IF(V800&lt;&gt;"","Completed","")</f>
        <v>Completed</v>
      </c>
      <c r="R800" s="64">
        <v>42770</v>
      </c>
      <c r="S800" s="64" t="s">
        <v>149</v>
      </c>
      <c r="T800" s="65">
        <v>8</v>
      </c>
      <c r="U800" s="65">
        <v>16</v>
      </c>
      <c r="V800" s="65">
        <v>16</v>
      </c>
      <c r="Y800" s="74" t="s">
        <v>44</v>
      </c>
      <c r="Z800" s="345" t="s">
        <v>1442</v>
      </c>
      <c r="AA800" s="92">
        <f>SUM(V779:V800)</f>
        <v>1562</v>
      </c>
      <c r="AB800" s="242" t="s">
        <v>94</v>
      </c>
      <c r="AC800" s="242" t="s">
        <v>29</v>
      </c>
    </row>
    <row r="801" spans="1:30">
      <c r="A801" s="75" t="s">
        <v>487</v>
      </c>
      <c r="B801" s="59"/>
      <c r="C801" s="57">
        <v>42726</v>
      </c>
      <c r="E801" s="65" t="s">
        <v>29</v>
      </c>
      <c r="F801" s="65" t="s">
        <v>29</v>
      </c>
      <c r="G801" s="58" t="s">
        <v>1443</v>
      </c>
      <c r="H801" s="58" t="s">
        <v>1456</v>
      </c>
      <c r="I801" s="60">
        <v>623</v>
      </c>
      <c r="J801" s="58" t="s">
        <v>29</v>
      </c>
      <c r="K801" s="58" t="s">
        <v>29</v>
      </c>
      <c r="L801" s="58" t="s">
        <v>94</v>
      </c>
      <c r="M801" s="58" t="s">
        <v>29</v>
      </c>
      <c r="N801" s="61" t="s">
        <v>3187</v>
      </c>
      <c r="O801" s="58" t="s">
        <v>3188</v>
      </c>
      <c r="P801" s="58" t="s">
        <v>1447</v>
      </c>
      <c r="Q801" s="63" t="str">
        <f>IF(V801&lt;&gt;"","Completed","")</f>
        <v>Completed</v>
      </c>
      <c r="R801" s="64">
        <v>42672</v>
      </c>
      <c r="S801" s="64" t="s">
        <v>114</v>
      </c>
      <c r="T801" s="65">
        <v>86</v>
      </c>
      <c r="U801" s="65">
        <v>135</v>
      </c>
      <c r="V801" s="65">
        <v>135</v>
      </c>
      <c r="Y801" s="74" t="s">
        <v>44</v>
      </c>
      <c r="Z801" s="56" t="s">
        <v>1656</v>
      </c>
      <c r="AA801" s="252">
        <f>SUM(V785:V801)</f>
        <v>1249</v>
      </c>
      <c r="AB801" s="325" t="s">
        <v>94</v>
      </c>
      <c r="AC801" s="325" t="s">
        <v>94</v>
      </c>
    </row>
    <row r="802" spans="1:30">
      <c r="A802" s="332" t="s">
        <v>694</v>
      </c>
      <c r="B802" s="59"/>
      <c r="C802" s="57">
        <v>42661</v>
      </c>
      <c r="E802" s="65" t="s">
        <v>29</v>
      </c>
      <c r="F802" s="65" t="s">
        <v>29</v>
      </c>
      <c r="G802" s="58" t="s">
        <v>1443</v>
      </c>
      <c r="H802" s="58" t="s">
        <v>1456</v>
      </c>
      <c r="I802" s="60">
        <v>0</v>
      </c>
      <c r="J802" s="58" t="s">
        <v>94</v>
      </c>
      <c r="K802" s="58" t="s">
        <v>29</v>
      </c>
      <c r="L802" s="58" t="s">
        <v>29</v>
      </c>
      <c r="M802" s="58" t="s">
        <v>29</v>
      </c>
      <c r="N802" s="375" t="s">
        <v>3189</v>
      </c>
      <c r="O802" s="373" t="s">
        <v>3190</v>
      </c>
      <c r="P802" s="58" t="s">
        <v>1459</v>
      </c>
      <c r="Q802" s="63" t="str">
        <f>IF(V802&lt;&gt;"","Completed","")</f>
        <v>Completed</v>
      </c>
      <c r="R802" s="64">
        <v>42644</v>
      </c>
      <c r="S802" s="64" t="s">
        <v>80</v>
      </c>
      <c r="T802" s="242">
        <v>26</v>
      </c>
      <c r="U802" s="242">
        <v>50</v>
      </c>
      <c r="V802" s="242">
        <v>50</v>
      </c>
      <c r="Y802" s="74" t="s">
        <v>44</v>
      </c>
      <c r="Z802" s="56" t="s">
        <v>1663</v>
      </c>
      <c r="AA802" s="252"/>
      <c r="AB802" s="242" t="s">
        <v>94</v>
      </c>
      <c r="AC802" s="347" t="s">
        <v>29</v>
      </c>
    </row>
    <row r="803" spans="1:30">
      <c r="A803" s="75" t="s">
        <v>1182</v>
      </c>
      <c r="B803" s="59"/>
      <c r="C803" s="57"/>
      <c r="E803" s="65" t="s">
        <v>29</v>
      </c>
      <c r="F803" s="65" t="s">
        <v>94</v>
      </c>
      <c r="G803" s="58" t="s">
        <v>1443</v>
      </c>
      <c r="H803" s="58" t="s">
        <v>1444</v>
      </c>
      <c r="I803" s="60">
        <v>0</v>
      </c>
      <c r="J803" s="58" t="s">
        <v>29</v>
      </c>
      <c r="K803" s="58" t="s">
        <v>29</v>
      </c>
      <c r="L803" s="58" t="s">
        <v>29</v>
      </c>
      <c r="M803" s="58" t="s">
        <v>94</v>
      </c>
      <c r="N803" s="61" t="s">
        <v>3191</v>
      </c>
      <c r="O803" s="58" t="s">
        <v>3192</v>
      </c>
      <c r="P803" s="58" t="s">
        <v>1459</v>
      </c>
      <c r="Q803" s="63" t="str">
        <f>IF(V803&lt;&gt;"","Completed","")</f>
        <v>Completed</v>
      </c>
      <c r="R803" s="301">
        <v>42629</v>
      </c>
      <c r="S803" s="301" t="s">
        <v>222</v>
      </c>
      <c r="T803" s="150">
        <v>51</v>
      </c>
      <c r="U803" s="150">
        <v>88</v>
      </c>
      <c r="V803" s="150">
        <v>88</v>
      </c>
      <c r="W803" s="150"/>
      <c r="X803" s="150"/>
      <c r="Y803" s="74" t="s">
        <v>44</v>
      </c>
      <c r="Z803" s="56" t="s">
        <v>2669</v>
      </c>
      <c r="AA803" s="249"/>
      <c r="AB803" s="242" t="s">
        <v>94</v>
      </c>
    </row>
    <row r="804" spans="1:30">
      <c r="A804" s="75" t="s">
        <v>1182</v>
      </c>
      <c r="B804" s="59"/>
      <c r="C804" s="57"/>
      <c r="E804" s="65" t="s">
        <v>29</v>
      </c>
      <c r="F804" s="65" t="s">
        <v>94</v>
      </c>
      <c r="G804" s="58" t="s">
        <v>1443</v>
      </c>
      <c r="H804" s="58" t="s">
        <v>1444</v>
      </c>
      <c r="I804" s="60">
        <v>0</v>
      </c>
      <c r="J804" s="58" t="s">
        <v>29</v>
      </c>
      <c r="K804" s="58" t="s">
        <v>29</v>
      </c>
      <c r="L804" s="58" t="s">
        <v>29</v>
      </c>
      <c r="M804" s="58" t="s">
        <v>94</v>
      </c>
      <c r="N804" s="61" t="s">
        <v>3193</v>
      </c>
      <c r="O804" s="58" t="s">
        <v>3194</v>
      </c>
      <c r="P804" s="58" t="s">
        <v>1459</v>
      </c>
      <c r="Q804" s="63" t="str">
        <f>IF(V804&lt;&gt;"","Completed","")</f>
        <v>Completed</v>
      </c>
      <c r="R804" s="301">
        <v>42621</v>
      </c>
      <c r="S804" s="301" t="s">
        <v>222</v>
      </c>
      <c r="T804" s="300">
        <v>22</v>
      </c>
      <c r="U804" s="150">
        <v>46</v>
      </c>
      <c r="V804" s="150">
        <v>46</v>
      </c>
      <c r="W804" s="150"/>
      <c r="X804" s="150"/>
      <c r="Y804" s="74" t="s">
        <v>44</v>
      </c>
      <c r="Z804" s="56" t="s">
        <v>1691</v>
      </c>
      <c r="AA804" s="249"/>
      <c r="AB804" s="242" t="s">
        <v>94</v>
      </c>
    </row>
    <row r="805" spans="1:30">
      <c r="A805" s="75" t="s">
        <v>187</v>
      </c>
      <c r="B805" s="59"/>
      <c r="C805" s="57">
        <v>42725</v>
      </c>
      <c r="D805" s="65">
        <v>3026000</v>
      </c>
      <c r="E805" s="65" t="s">
        <v>29</v>
      </c>
      <c r="F805" s="65" t="s">
        <v>94</v>
      </c>
      <c r="G805" s="58" t="s">
        <v>1443</v>
      </c>
      <c r="H805" s="58" t="s">
        <v>1456</v>
      </c>
      <c r="I805" s="60">
        <v>378</v>
      </c>
      <c r="J805" s="58" t="s">
        <v>94</v>
      </c>
      <c r="K805" s="58" t="s">
        <v>29</v>
      </c>
      <c r="L805" s="58" t="s">
        <v>94</v>
      </c>
      <c r="M805" s="58" t="s">
        <v>94</v>
      </c>
      <c r="N805" s="61" t="s">
        <v>3195</v>
      </c>
      <c r="O805" s="58" t="s">
        <v>3196</v>
      </c>
      <c r="P805" s="58" t="s">
        <v>1447</v>
      </c>
      <c r="Q805" s="63" t="str">
        <f>IF(V805&lt;&gt;"","Completed","")</f>
        <v>Completed</v>
      </c>
      <c r="R805" s="64">
        <v>42683</v>
      </c>
      <c r="S805" s="64" t="s">
        <v>104</v>
      </c>
      <c r="T805" s="65">
        <v>32</v>
      </c>
      <c r="V805" s="256">
        <v>64</v>
      </c>
      <c r="Y805" s="74" t="s">
        <v>44</v>
      </c>
      <c r="Z805" s="56" t="s">
        <v>1640</v>
      </c>
      <c r="AA805" s="252"/>
      <c r="AB805" s="65" t="s">
        <v>94</v>
      </c>
      <c r="AC805" s="65" t="s">
        <v>29</v>
      </c>
    </row>
    <row r="806" spans="1:30">
      <c r="A806" s="246" t="s">
        <v>581</v>
      </c>
      <c r="B806" s="148" t="s">
        <v>582</v>
      </c>
      <c r="C806" s="57">
        <v>42741</v>
      </c>
      <c r="E806" s="65" t="s">
        <v>29</v>
      </c>
      <c r="F806" s="65" t="s">
        <v>29</v>
      </c>
      <c r="G806" s="58" t="s">
        <v>1443</v>
      </c>
      <c r="H806" s="58" t="s">
        <v>1444</v>
      </c>
      <c r="I806" s="60">
        <v>280</v>
      </c>
      <c r="J806" s="58" t="s">
        <v>94</v>
      </c>
      <c r="K806" s="58" t="s">
        <v>29</v>
      </c>
      <c r="L806" s="58" t="s">
        <v>29</v>
      </c>
      <c r="M806" s="58" t="s">
        <v>29</v>
      </c>
      <c r="N806" s="61" t="s">
        <v>3197</v>
      </c>
      <c r="O806" s="58" t="s">
        <v>3198</v>
      </c>
      <c r="P806" s="58" t="s">
        <v>1447</v>
      </c>
      <c r="Q806" s="63" t="str">
        <f>IF(V806&lt;&gt;"","Completed","")</f>
        <v>Completed</v>
      </c>
      <c r="R806" s="64">
        <v>42704</v>
      </c>
      <c r="S806" s="64" t="s">
        <v>149</v>
      </c>
      <c r="T806" s="65">
        <v>56</v>
      </c>
      <c r="U806" s="65">
        <v>79</v>
      </c>
      <c r="V806" s="65">
        <v>79</v>
      </c>
      <c r="Y806" s="74" t="s">
        <v>44</v>
      </c>
      <c r="Z806" s="56" t="s">
        <v>1624</v>
      </c>
      <c r="AA806" s="252">
        <f>SUM(V803:V806)</f>
        <v>277</v>
      </c>
      <c r="AB806" s="65" t="s">
        <v>94</v>
      </c>
      <c r="AC806" s="74" t="s">
        <v>29</v>
      </c>
    </row>
    <row r="807" spans="1:30">
      <c r="A807" s="75" t="s">
        <v>187</v>
      </c>
      <c r="B807" s="59"/>
      <c r="C807" s="57">
        <v>42725</v>
      </c>
      <c r="D807" s="65">
        <v>3026000</v>
      </c>
      <c r="E807" s="65" t="s">
        <v>29</v>
      </c>
      <c r="F807" s="65" t="s">
        <v>94</v>
      </c>
      <c r="G807" s="58" t="s">
        <v>1443</v>
      </c>
      <c r="H807" s="58" t="s">
        <v>1456</v>
      </c>
      <c r="I807" s="60">
        <v>331</v>
      </c>
      <c r="J807" s="58" t="s">
        <v>29</v>
      </c>
      <c r="K807" s="58" t="s">
        <v>29</v>
      </c>
      <c r="L807" s="58" t="s">
        <v>94</v>
      </c>
      <c r="M807" s="58" t="s">
        <v>94</v>
      </c>
      <c r="N807" s="61" t="s">
        <v>3199</v>
      </c>
      <c r="O807" s="58" t="s">
        <v>3200</v>
      </c>
      <c r="P807" s="58" t="s">
        <v>1447</v>
      </c>
      <c r="Q807" s="63" t="str">
        <f>IF(V807&lt;&gt;"","Completed","")</f>
        <v>Completed</v>
      </c>
      <c r="R807" s="64">
        <v>42685</v>
      </c>
      <c r="S807" s="64" t="s">
        <v>104</v>
      </c>
      <c r="T807" s="65">
        <v>32</v>
      </c>
      <c r="V807" s="256">
        <v>64</v>
      </c>
      <c r="Y807" s="74" t="s">
        <v>44</v>
      </c>
      <c r="Z807" s="56" t="s">
        <v>1640</v>
      </c>
      <c r="AA807" s="118">
        <f>SUM(V802:V807)</f>
        <v>391</v>
      </c>
      <c r="AB807" s="65" t="s">
        <v>94</v>
      </c>
      <c r="AC807" s="65" t="s">
        <v>29</v>
      </c>
    </row>
    <row r="808" spans="1:30">
      <c r="A808" s="39" t="s">
        <v>1197</v>
      </c>
      <c r="B808" s="296"/>
      <c r="C808" s="299">
        <v>42739</v>
      </c>
      <c r="D808" s="315"/>
      <c r="E808" s="315" t="s">
        <v>29</v>
      </c>
      <c r="F808" s="315" t="s">
        <v>94</v>
      </c>
      <c r="G808" s="297" t="s">
        <v>1443</v>
      </c>
      <c r="H808" s="297"/>
      <c r="I808" s="298"/>
      <c r="J808" s="297"/>
      <c r="K808" s="297"/>
      <c r="L808" s="297"/>
      <c r="M808" s="297"/>
      <c r="N808" s="274" t="s">
        <v>3201</v>
      </c>
      <c r="O808" s="297" t="s">
        <v>3202</v>
      </c>
      <c r="P808" s="297"/>
      <c r="Q808" s="63" t="str">
        <f>IF(V808&lt;&gt;"","Completed","")</f>
        <v>Completed</v>
      </c>
      <c r="R808" s="64">
        <v>42651</v>
      </c>
      <c r="S808" s="64" t="s">
        <v>104</v>
      </c>
      <c r="T808" s="315">
        <v>67</v>
      </c>
      <c r="U808" s="315"/>
      <c r="V808" s="256">
        <v>115</v>
      </c>
      <c r="W808" s="315"/>
      <c r="X808" s="315"/>
      <c r="Y808" s="74" t="s">
        <v>44</v>
      </c>
      <c r="Z808" s="56" t="s">
        <v>1481</v>
      </c>
      <c r="AA808" s="367">
        <f>SUM(V805:V808)</f>
        <v>322</v>
      </c>
      <c r="AB808" s="74" t="s">
        <v>94</v>
      </c>
      <c r="AC808" s="74" t="s">
        <v>29</v>
      </c>
    </row>
    <row r="809" spans="1:30">
      <c r="A809" s="332" t="s">
        <v>945</v>
      </c>
      <c r="B809" s="59"/>
      <c r="C809" s="57">
        <v>42787</v>
      </c>
      <c r="E809" s="65" t="s">
        <v>29</v>
      </c>
      <c r="F809" s="65" t="s">
        <v>29</v>
      </c>
      <c r="G809" s="58" t="s">
        <v>1443</v>
      </c>
      <c r="H809" s="58" t="s">
        <v>1456</v>
      </c>
      <c r="I809" s="60">
        <v>438</v>
      </c>
      <c r="J809" s="58" t="s">
        <v>94</v>
      </c>
      <c r="K809" s="58" t="s">
        <v>29</v>
      </c>
      <c r="L809" s="58" t="s">
        <v>94</v>
      </c>
      <c r="M809" s="58" t="s">
        <v>29</v>
      </c>
      <c r="N809" s="61" t="s">
        <v>3203</v>
      </c>
      <c r="O809" s="58" t="s">
        <v>3204</v>
      </c>
      <c r="P809" s="58" t="s">
        <v>1447</v>
      </c>
      <c r="Q809" s="63" t="str">
        <f>IF(V809&lt;&gt;"","Completed","")</f>
        <v>Completed</v>
      </c>
      <c r="R809" s="319">
        <v>42742</v>
      </c>
      <c r="S809" s="319" t="s">
        <v>57</v>
      </c>
      <c r="T809" s="65">
        <v>129</v>
      </c>
      <c r="U809" s="65">
        <v>258</v>
      </c>
      <c r="V809" s="65">
        <v>258</v>
      </c>
      <c r="W809" s="242"/>
      <c r="X809" s="242"/>
      <c r="Y809" s="74" t="s">
        <v>44</v>
      </c>
      <c r="Z809" s="345" t="s">
        <v>1868</v>
      </c>
      <c r="AA809" s="252">
        <f>SUM(V798:V809)</f>
        <v>1062</v>
      </c>
      <c r="AB809" s="65" t="s">
        <v>94</v>
      </c>
      <c r="AC809" s="65" t="s">
        <v>94</v>
      </c>
    </row>
    <row r="810" spans="1:30" s="56" customFormat="1">
      <c r="A810" s="75" t="s">
        <v>1182</v>
      </c>
      <c r="B810" s="59"/>
      <c r="C810" s="57"/>
      <c r="D810" s="65"/>
      <c r="E810" s="65" t="s">
        <v>29</v>
      </c>
      <c r="F810" s="65" t="s">
        <v>94</v>
      </c>
      <c r="G810" s="58" t="s">
        <v>1443</v>
      </c>
      <c r="H810" s="58" t="s">
        <v>1444</v>
      </c>
      <c r="I810" s="60">
        <v>402</v>
      </c>
      <c r="J810" s="58" t="s">
        <v>94</v>
      </c>
      <c r="K810" s="58" t="s">
        <v>29</v>
      </c>
      <c r="L810" s="58" t="s">
        <v>29</v>
      </c>
      <c r="M810" s="58" t="s">
        <v>94</v>
      </c>
      <c r="N810" s="61" t="s">
        <v>3205</v>
      </c>
      <c r="O810" s="58" t="s">
        <v>3206</v>
      </c>
      <c r="P810" s="58" t="s">
        <v>1459</v>
      </c>
      <c r="Q810" s="63" t="str">
        <f>IF(V810&lt;&gt;"","Completed","")</f>
        <v>Completed</v>
      </c>
      <c r="R810" s="301">
        <v>42622</v>
      </c>
      <c r="S810" s="301" t="s">
        <v>222</v>
      </c>
      <c r="T810" s="150">
        <v>12</v>
      </c>
      <c r="U810" s="150">
        <v>24</v>
      </c>
      <c r="V810" s="150">
        <v>24</v>
      </c>
      <c r="W810" s="150"/>
      <c r="X810" s="150"/>
      <c r="Y810" s="74" t="s">
        <v>44</v>
      </c>
      <c r="Z810" s="56" t="s">
        <v>2085</v>
      </c>
      <c r="AA810" s="249">
        <f>SUM(V803:V810)</f>
        <v>738</v>
      </c>
      <c r="AB810" s="242" t="s">
        <v>94</v>
      </c>
      <c r="AC810" s="65"/>
      <c r="AD810" s="345"/>
    </row>
    <row r="811" spans="1:30">
      <c r="A811" s="332" t="s">
        <v>694</v>
      </c>
      <c r="B811" s="59"/>
      <c r="C811" s="57">
        <v>42661</v>
      </c>
      <c r="E811" s="65" t="s">
        <v>29</v>
      </c>
      <c r="F811" s="65" t="s">
        <v>29</v>
      </c>
      <c r="G811" s="58" t="s">
        <v>1443</v>
      </c>
      <c r="H811" s="58" t="s">
        <v>1456</v>
      </c>
      <c r="I811" s="60">
        <v>306</v>
      </c>
      <c r="J811" s="58" t="s">
        <v>94</v>
      </c>
      <c r="K811" s="58" t="s">
        <v>29</v>
      </c>
      <c r="L811" s="58" t="s">
        <v>29</v>
      </c>
      <c r="M811" s="58" t="s">
        <v>29</v>
      </c>
      <c r="N811" s="375" t="s">
        <v>3207</v>
      </c>
      <c r="O811" s="373" t="s">
        <v>3208</v>
      </c>
      <c r="P811" s="58" t="s">
        <v>1459</v>
      </c>
      <c r="Q811" s="63" t="str">
        <f>IF(V811&lt;&gt;"","Completed","")</f>
        <v>Completed</v>
      </c>
      <c r="R811" s="64">
        <v>42644</v>
      </c>
      <c r="S811" s="64" t="s">
        <v>80</v>
      </c>
      <c r="T811" s="242">
        <v>69</v>
      </c>
      <c r="U811" s="242">
        <v>106</v>
      </c>
      <c r="V811" s="242">
        <v>106</v>
      </c>
      <c r="Y811" s="74" t="s">
        <v>44</v>
      </c>
      <c r="Z811" s="56" t="s">
        <v>1663</v>
      </c>
      <c r="AA811" s="252">
        <f>SUM(U805:U811)</f>
        <v>467</v>
      </c>
      <c r="AB811" s="242" t="s">
        <v>94</v>
      </c>
      <c r="AC811" s="347" t="s">
        <v>94</v>
      </c>
    </row>
    <row r="812" spans="1:30">
      <c r="A812" s="75" t="s">
        <v>929</v>
      </c>
      <c r="B812" s="59"/>
      <c r="C812" s="57">
        <v>42790</v>
      </c>
      <c r="E812" s="65" t="s">
        <v>29</v>
      </c>
      <c r="F812" s="65" t="s">
        <v>94</v>
      </c>
      <c r="G812" s="58" t="s">
        <v>1443</v>
      </c>
      <c r="H812" s="58" t="s">
        <v>1444</v>
      </c>
      <c r="I812" s="60">
        <v>300</v>
      </c>
      <c r="J812" s="58" t="s">
        <v>94</v>
      </c>
      <c r="K812" s="58" t="s">
        <v>29</v>
      </c>
      <c r="L812" s="58" t="s">
        <v>94</v>
      </c>
      <c r="M812" s="58" t="s">
        <v>94</v>
      </c>
      <c r="N812" s="61" t="s">
        <v>3209</v>
      </c>
      <c r="O812" s="58" t="s">
        <v>3210</v>
      </c>
      <c r="P812" s="58" t="s">
        <v>1447</v>
      </c>
      <c r="Q812" s="63" t="str">
        <f>IF(V812&lt;&gt;"","Completed","")</f>
        <v>Completed</v>
      </c>
      <c r="R812" s="64">
        <v>42634</v>
      </c>
      <c r="S812" s="386" t="s">
        <v>172</v>
      </c>
      <c r="T812" s="65">
        <v>15</v>
      </c>
      <c r="U812" s="256">
        <v>28</v>
      </c>
      <c r="V812" s="256">
        <v>28</v>
      </c>
      <c r="Y812" s="74" t="s">
        <v>44</v>
      </c>
      <c r="Z812" s="56" t="s">
        <v>1533</v>
      </c>
      <c r="AA812" s="363">
        <f>SUM(V807:V812)</f>
        <v>595</v>
      </c>
      <c r="AB812" s="65" t="s">
        <v>94</v>
      </c>
      <c r="AC812" s="65" t="s">
        <v>29</v>
      </c>
    </row>
    <row r="813" spans="1:30">
      <c r="A813" s="331" t="s">
        <v>1206</v>
      </c>
      <c r="B813" s="59"/>
      <c r="C813" s="57">
        <v>42727</v>
      </c>
      <c r="E813" s="65" t="s">
        <v>29</v>
      </c>
      <c r="F813" s="65" t="s">
        <v>29</v>
      </c>
      <c r="G813" s="58" t="s">
        <v>1443</v>
      </c>
      <c r="H813" s="58" t="s">
        <v>1444</v>
      </c>
      <c r="I813" s="60">
        <v>464</v>
      </c>
      <c r="J813" s="58" t="s">
        <v>29</v>
      </c>
      <c r="K813" s="58" t="s">
        <v>29</v>
      </c>
      <c r="L813" s="58" t="s">
        <v>94</v>
      </c>
      <c r="M813" s="58" t="s">
        <v>29</v>
      </c>
      <c r="N813" s="61" t="s">
        <v>3211</v>
      </c>
      <c r="O813" s="58" t="s">
        <v>3212</v>
      </c>
      <c r="P813" s="58" t="s">
        <v>1459</v>
      </c>
      <c r="Q813" s="63" t="str">
        <f>IF(V813&lt;&gt;"","Completed","")</f>
        <v>Completed</v>
      </c>
      <c r="R813" s="64">
        <v>42685</v>
      </c>
      <c r="S813" s="64" t="s">
        <v>114</v>
      </c>
      <c r="T813" s="65">
        <v>75</v>
      </c>
      <c r="U813" s="65">
        <v>118</v>
      </c>
      <c r="V813" s="65">
        <v>118</v>
      </c>
      <c r="Y813" s="74" t="s">
        <v>44</v>
      </c>
      <c r="Z813" s="56" t="s">
        <v>1656</v>
      </c>
      <c r="AA813" s="252"/>
      <c r="AB813" s="325" t="s">
        <v>94</v>
      </c>
      <c r="AC813" s="325" t="s">
        <v>29</v>
      </c>
      <c r="AD813" s="345" t="s">
        <v>3213</v>
      </c>
    </row>
    <row r="814" spans="1:30">
      <c r="A814" s="332" t="s">
        <v>1015</v>
      </c>
      <c r="B814" s="59"/>
      <c r="C814" s="57"/>
      <c r="E814" s="65" t="s">
        <v>29</v>
      </c>
      <c r="F814" s="65" t="s">
        <v>29</v>
      </c>
      <c r="G814" s="58" t="s">
        <v>1443</v>
      </c>
      <c r="H814" s="58" t="s">
        <v>1456</v>
      </c>
      <c r="I814" s="60">
        <v>230</v>
      </c>
      <c r="J814" s="58" t="s">
        <v>94</v>
      </c>
      <c r="K814" s="58" t="s">
        <v>29</v>
      </c>
      <c r="L814" s="58" t="s">
        <v>29</v>
      </c>
      <c r="M814" s="58" t="s">
        <v>29</v>
      </c>
      <c r="N814" s="375" t="s">
        <v>3214</v>
      </c>
      <c r="O814" s="373" t="s">
        <v>3215</v>
      </c>
      <c r="P814" s="58" t="s">
        <v>1459</v>
      </c>
      <c r="Q814" s="63" t="str">
        <f>IF(V814&lt;&gt;"","Completed","")</f>
        <v>Completed</v>
      </c>
      <c r="R814" s="64">
        <v>42623</v>
      </c>
      <c r="S814" s="64" t="s">
        <v>80</v>
      </c>
      <c r="T814" s="242">
        <v>72</v>
      </c>
      <c r="U814" s="242">
        <v>118</v>
      </c>
      <c r="V814" s="242">
        <v>118</v>
      </c>
      <c r="Y814" s="74" t="s">
        <v>44</v>
      </c>
      <c r="Z814" s="56" t="s">
        <v>1521</v>
      </c>
      <c r="AA814" s="252">
        <f>SUM(V812:V814)</f>
        <v>264</v>
      </c>
      <c r="AB814" s="347" t="s">
        <v>94</v>
      </c>
      <c r="AC814" s="242" t="s">
        <v>29</v>
      </c>
    </row>
    <row r="815" spans="1:30">
      <c r="A815" s="63" t="s">
        <v>28</v>
      </c>
      <c r="B815" s="63"/>
      <c r="C815" s="111">
        <v>42688</v>
      </c>
      <c r="D815" s="106"/>
      <c r="E815" s="57" t="s">
        <v>29</v>
      </c>
      <c r="F815" s="65" t="s">
        <v>29</v>
      </c>
      <c r="G815" s="63" t="s">
        <v>1443</v>
      </c>
      <c r="H815" s="63" t="s">
        <v>1444</v>
      </c>
      <c r="I815" s="58">
        <v>174</v>
      </c>
      <c r="J815" s="58" t="s">
        <v>94</v>
      </c>
      <c r="K815" s="60" t="s">
        <v>29</v>
      </c>
      <c r="L815" s="58" t="s">
        <v>29</v>
      </c>
      <c r="M815" s="58" t="s">
        <v>29</v>
      </c>
      <c r="N815" s="58" t="s">
        <v>3216</v>
      </c>
      <c r="O815" s="58" t="s">
        <v>3217</v>
      </c>
      <c r="P815" s="61" t="s">
        <v>1459</v>
      </c>
      <c r="Q815" s="63" t="str">
        <f>IF(V815&lt;&gt;"","Completed","")</f>
        <v>Completed</v>
      </c>
      <c r="R815" s="57">
        <v>42658</v>
      </c>
      <c r="S815" s="64" t="s">
        <v>43</v>
      </c>
      <c r="T815" s="65">
        <v>42</v>
      </c>
      <c r="U815" s="273">
        <v>66</v>
      </c>
      <c r="V815" s="273">
        <v>66</v>
      </c>
      <c r="W815" s="273"/>
      <c r="X815" s="273"/>
      <c r="Y815" s="74" t="s">
        <v>44</v>
      </c>
      <c r="Z815" s="145" t="s">
        <v>1524</v>
      </c>
      <c r="AA815" s="365">
        <f>SUM(V812:V815)</f>
        <v>330</v>
      </c>
      <c r="AB815" s="65" t="s">
        <v>94</v>
      </c>
      <c r="AC815" s="256" t="s">
        <v>29</v>
      </c>
      <c r="AD815" s="350"/>
    </row>
    <row r="816" spans="1:30">
      <c r="A816" s="75" t="s">
        <v>1087</v>
      </c>
      <c r="B816" s="59"/>
      <c r="C816" s="57">
        <v>42768</v>
      </c>
      <c r="E816" s="65" t="s">
        <v>29</v>
      </c>
      <c r="F816" s="65" t="s">
        <v>94</v>
      </c>
      <c r="G816" s="58"/>
      <c r="H816" s="58"/>
      <c r="I816" s="60"/>
      <c r="J816" s="58"/>
      <c r="K816" s="58"/>
      <c r="L816" s="58"/>
      <c r="M816" s="58"/>
      <c r="N816" s="71" t="s">
        <v>3218</v>
      </c>
      <c r="O816" s="72" t="s">
        <v>3219</v>
      </c>
      <c r="P816" s="58"/>
      <c r="Q816" s="63" t="str">
        <f>IF(V816&lt;&gt;"","Completed","")</f>
        <v>Completed</v>
      </c>
      <c r="R816" s="64">
        <v>42749</v>
      </c>
      <c r="S816" s="64" t="s">
        <v>104</v>
      </c>
      <c r="T816" s="242">
        <v>59</v>
      </c>
      <c r="U816" s="242"/>
      <c r="V816" s="369">
        <v>116</v>
      </c>
      <c r="W816" s="242"/>
      <c r="X816" s="242"/>
      <c r="Y816" s="347" t="s">
        <v>44</v>
      </c>
      <c r="Z816" s="345" t="s">
        <v>1940</v>
      </c>
      <c r="AA816" s="364">
        <f>SUM(V809:V816)</f>
        <v>834</v>
      </c>
      <c r="AB816" s="65" t="s">
        <v>94</v>
      </c>
      <c r="AC816" s="65" t="s">
        <v>94</v>
      </c>
      <c r="AD816" s="356"/>
    </row>
    <row r="817" spans="1:30">
      <c r="A817" s="331" t="s">
        <v>1206</v>
      </c>
      <c r="B817" s="59"/>
      <c r="C817" s="57">
        <v>42726</v>
      </c>
      <c r="E817" s="65" t="s">
        <v>29</v>
      </c>
      <c r="F817" s="65" t="s">
        <v>29</v>
      </c>
      <c r="G817" s="58" t="s">
        <v>1443</v>
      </c>
      <c r="H817" s="58" t="s">
        <v>1444</v>
      </c>
      <c r="I817" s="60">
        <v>280</v>
      </c>
      <c r="J817" s="58" t="s">
        <v>94</v>
      </c>
      <c r="K817" s="58" t="s">
        <v>29</v>
      </c>
      <c r="L817" s="58" t="s">
        <v>94</v>
      </c>
      <c r="M817" s="58" t="s">
        <v>29</v>
      </c>
      <c r="N817" s="61" t="s">
        <v>3220</v>
      </c>
      <c r="O817" s="58" t="s">
        <v>3221</v>
      </c>
      <c r="P817" s="58" t="s">
        <v>1459</v>
      </c>
      <c r="Q817" s="63" t="str">
        <f>IF(V817&lt;&gt;"","Completed","")</f>
        <v>Completed</v>
      </c>
      <c r="R817" s="64">
        <v>42665</v>
      </c>
      <c r="S817" s="64" t="s">
        <v>114</v>
      </c>
      <c r="T817" s="65">
        <v>35</v>
      </c>
      <c r="U817" s="65">
        <v>68</v>
      </c>
      <c r="V817" s="65">
        <v>68</v>
      </c>
      <c r="Y817" s="74" t="s">
        <v>44</v>
      </c>
      <c r="Z817" s="56" t="s">
        <v>2090</v>
      </c>
      <c r="AA817" s="252"/>
      <c r="AB817" s="325" t="s">
        <v>94</v>
      </c>
      <c r="AC817" s="325" t="s">
        <v>29</v>
      </c>
    </row>
    <row r="818" spans="1:30">
      <c r="A818" s="331" t="s">
        <v>1206</v>
      </c>
      <c r="B818" s="59"/>
      <c r="C818" s="57">
        <v>42753</v>
      </c>
      <c r="E818" s="65" t="s">
        <v>29</v>
      </c>
      <c r="F818" s="65" t="s">
        <v>29</v>
      </c>
      <c r="G818" s="58" t="s">
        <v>1443</v>
      </c>
      <c r="H818" s="58" t="s">
        <v>1444</v>
      </c>
      <c r="I818" s="60">
        <v>0</v>
      </c>
      <c r="J818" s="58" t="s">
        <v>94</v>
      </c>
      <c r="K818" s="58" t="s">
        <v>29</v>
      </c>
      <c r="L818" s="58" t="s">
        <v>94</v>
      </c>
      <c r="M818" s="58" t="s">
        <v>29</v>
      </c>
      <c r="N818" s="61" t="s">
        <v>3222</v>
      </c>
      <c r="O818" s="58" t="s">
        <v>3223</v>
      </c>
      <c r="P818" s="58" t="s">
        <v>1459</v>
      </c>
      <c r="Q818" s="63" t="str">
        <f>IF(V818&lt;&gt;"","Completed","")</f>
        <v>Completed</v>
      </c>
      <c r="R818" s="64">
        <v>42710</v>
      </c>
      <c r="S818" s="64" t="s">
        <v>57</v>
      </c>
      <c r="T818" s="65">
        <v>22</v>
      </c>
      <c r="U818" s="65">
        <v>43</v>
      </c>
      <c r="V818" s="65">
        <v>43</v>
      </c>
      <c r="Y818" s="74" t="s">
        <v>44</v>
      </c>
      <c r="Z818" s="56" t="s">
        <v>1512</v>
      </c>
      <c r="AA818" s="252"/>
      <c r="AB818" s="248" t="s">
        <v>94</v>
      </c>
      <c r="AC818" s="248" t="s">
        <v>29</v>
      </c>
    </row>
    <row r="819" spans="1:30">
      <c r="A819" s="331" t="s">
        <v>1206</v>
      </c>
      <c r="B819" s="59"/>
      <c r="C819" s="57">
        <v>42753</v>
      </c>
      <c r="E819" s="65" t="s">
        <v>29</v>
      </c>
      <c r="F819" s="65" t="s">
        <v>29</v>
      </c>
      <c r="G819" s="58" t="s">
        <v>1443</v>
      </c>
      <c r="H819" s="58" t="s">
        <v>1444</v>
      </c>
      <c r="I819" s="60">
        <v>0</v>
      </c>
      <c r="J819" s="58" t="s">
        <v>29</v>
      </c>
      <c r="K819" s="58" t="s">
        <v>29</v>
      </c>
      <c r="L819" s="58" t="s">
        <v>94</v>
      </c>
      <c r="M819" s="58" t="s">
        <v>29</v>
      </c>
      <c r="N819" s="61" t="s">
        <v>3224</v>
      </c>
      <c r="O819" s="58" t="s">
        <v>3225</v>
      </c>
      <c r="P819" s="58" t="s">
        <v>1459</v>
      </c>
      <c r="Q819" s="63" t="str">
        <f>IF(V819&lt;&gt;"","Completed","")</f>
        <v>Completed</v>
      </c>
      <c r="R819" s="64">
        <v>42713</v>
      </c>
      <c r="S819" s="64" t="s">
        <v>57</v>
      </c>
      <c r="T819" s="65">
        <v>106</v>
      </c>
      <c r="U819" s="65">
        <v>192</v>
      </c>
      <c r="V819" s="65">
        <v>192</v>
      </c>
      <c r="Y819" s="74" t="s">
        <v>44</v>
      </c>
      <c r="Z819" s="56" t="s">
        <v>1500</v>
      </c>
      <c r="AA819" s="252">
        <f>SUM(V768:V819)</f>
        <v>4092</v>
      </c>
      <c r="AB819" s="248" t="s">
        <v>94</v>
      </c>
      <c r="AC819" s="248" t="s">
        <v>29</v>
      </c>
    </row>
    <row r="820" spans="1:30">
      <c r="A820" s="75" t="s">
        <v>1379</v>
      </c>
      <c r="B820" s="59"/>
      <c r="C820" s="57"/>
      <c r="E820" s="65" t="s">
        <v>29</v>
      </c>
      <c r="F820" s="65" t="s">
        <v>94</v>
      </c>
      <c r="G820" s="58" t="s">
        <v>1443</v>
      </c>
      <c r="H820" s="58" t="s">
        <v>1444</v>
      </c>
      <c r="I820" s="60">
        <v>385</v>
      </c>
      <c r="J820" s="58" t="s">
        <v>29</v>
      </c>
      <c r="K820" s="58" t="s">
        <v>29</v>
      </c>
      <c r="L820" s="58" t="s">
        <v>94</v>
      </c>
      <c r="M820" s="58" t="s">
        <v>94</v>
      </c>
      <c r="N820" s="61" t="s">
        <v>3226</v>
      </c>
      <c r="O820" s="58" t="s">
        <v>3227</v>
      </c>
      <c r="P820" s="58" t="s">
        <v>1447</v>
      </c>
      <c r="Q820" s="63" t="str">
        <f>IF(V820&lt;&gt;"","Completed","")</f>
        <v/>
      </c>
      <c r="R820" s="270" t="s">
        <v>1242</v>
      </c>
      <c r="S820" s="270"/>
      <c r="T820" s="265"/>
      <c r="U820" s="265"/>
      <c r="V820" s="256"/>
      <c r="Y820" s="86" t="s">
        <v>1242</v>
      </c>
      <c r="AA820" s="249"/>
      <c r="AB820" s="265"/>
      <c r="AC820" s="86"/>
    </row>
    <row r="821" spans="1:30">
      <c r="A821" s="334" t="s">
        <v>1277</v>
      </c>
      <c r="B821" s="278"/>
      <c r="C821" s="279">
        <v>42712</v>
      </c>
      <c r="D821" s="265"/>
      <c r="E821" s="265" t="s">
        <v>29</v>
      </c>
      <c r="F821" s="265" t="s">
        <v>29</v>
      </c>
      <c r="G821" s="280" t="s">
        <v>1443</v>
      </c>
      <c r="H821" s="280" t="s">
        <v>1456</v>
      </c>
      <c r="I821" s="281">
        <v>383</v>
      </c>
      <c r="J821" s="280" t="s">
        <v>29</v>
      </c>
      <c r="K821" s="280" t="s">
        <v>29</v>
      </c>
      <c r="L821" s="280" t="s">
        <v>29</v>
      </c>
      <c r="M821" s="280" t="s">
        <v>29</v>
      </c>
      <c r="N821" s="282" t="s">
        <v>3228</v>
      </c>
      <c r="O821" s="280" t="s">
        <v>3229</v>
      </c>
      <c r="P821" s="280" t="s">
        <v>1447</v>
      </c>
      <c r="Q821" s="63" t="str">
        <f>IF(V821&lt;&gt;"","Completed","")</f>
        <v/>
      </c>
      <c r="R821" s="270" t="s">
        <v>1242</v>
      </c>
      <c r="S821" s="270"/>
      <c r="T821" s="265"/>
      <c r="U821" s="265"/>
      <c r="V821" s="265"/>
      <c r="W821" s="265"/>
      <c r="X821" s="265"/>
      <c r="Y821" s="86" t="s">
        <v>1242</v>
      </c>
      <c r="Z821" s="263"/>
      <c r="AA821" s="264"/>
      <c r="AB821" s="86"/>
      <c r="AC821" s="86"/>
      <c r="AD821" s="349"/>
    </row>
    <row r="822" spans="1:30">
      <c r="A822" s="334" t="s">
        <v>1356</v>
      </c>
      <c r="B822" s="278"/>
      <c r="C822" s="279">
        <v>42670</v>
      </c>
      <c r="D822" s="265"/>
      <c r="E822" s="265" t="s">
        <v>29</v>
      </c>
      <c r="F822" s="265" t="s">
        <v>29</v>
      </c>
      <c r="G822" s="280" t="s">
        <v>1443</v>
      </c>
      <c r="H822" s="280" t="s">
        <v>1449</v>
      </c>
      <c r="I822" s="281">
        <v>277</v>
      </c>
      <c r="J822" s="280" t="s">
        <v>94</v>
      </c>
      <c r="K822" s="280" t="s">
        <v>29</v>
      </c>
      <c r="L822" s="280" t="s">
        <v>29</v>
      </c>
      <c r="M822" s="280" t="s">
        <v>29</v>
      </c>
      <c r="N822" s="282" t="s">
        <v>3230</v>
      </c>
      <c r="O822" s="280" t="s">
        <v>3231</v>
      </c>
      <c r="P822" s="280" t="s">
        <v>1447</v>
      </c>
      <c r="Q822" s="63" t="str">
        <f>IF(V822&lt;&gt;"","Completed","")</f>
        <v/>
      </c>
      <c r="R822" s="270" t="s">
        <v>1242</v>
      </c>
      <c r="S822" s="270"/>
      <c r="T822" s="265"/>
      <c r="U822" s="265"/>
      <c r="V822" s="256"/>
      <c r="W822" s="265"/>
      <c r="X822" s="265"/>
      <c r="Y822" s="86" t="s">
        <v>1242</v>
      </c>
      <c r="Z822" s="263"/>
      <c r="AA822" s="264"/>
      <c r="AB822" s="265"/>
      <c r="AC822" s="265"/>
    </row>
    <row r="823" spans="1:30">
      <c r="A823" s="244" t="s">
        <v>1344</v>
      </c>
      <c r="B823" s="62" t="s">
        <v>1007</v>
      </c>
      <c r="C823" s="57">
        <v>42697</v>
      </c>
      <c r="E823" s="65" t="s">
        <v>29</v>
      </c>
      <c r="F823" s="65" t="s">
        <v>94</v>
      </c>
      <c r="G823" s="58" t="s">
        <v>1443</v>
      </c>
      <c r="H823" s="58" t="s">
        <v>1444</v>
      </c>
      <c r="I823" s="60">
        <v>0</v>
      </c>
      <c r="J823" s="58" t="s">
        <v>94</v>
      </c>
      <c r="K823" s="58" t="s">
        <v>29</v>
      </c>
      <c r="L823" s="58" t="s">
        <v>29</v>
      </c>
      <c r="M823" s="58" t="s">
        <v>94</v>
      </c>
      <c r="N823" s="282" t="s">
        <v>3232</v>
      </c>
      <c r="O823" s="280" t="s">
        <v>3233</v>
      </c>
      <c r="P823" s="58" t="s">
        <v>1459</v>
      </c>
      <c r="Q823" s="63" t="str">
        <f>IF(V823&lt;&gt;"","Completed","")</f>
        <v/>
      </c>
      <c r="R823" s="270" t="s">
        <v>1242</v>
      </c>
      <c r="S823" s="270"/>
      <c r="T823" s="150"/>
      <c r="V823" s="256"/>
      <c r="Y823" s="86" t="s">
        <v>1242</v>
      </c>
      <c r="AA823" s="252"/>
      <c r="AB823" s="265"/>
      <c r="AC823" s="265"/>
    </row>
    <row r="824" spans="1:30">
      <c r="A824" s="339" t="s">
        <v>1169</v>
      </c>
      <c r="B824" s="284"/>
      <c r="C824" s="283">
        <v>42690</v>
      </c>
      <c r="D824" s="107" t="s">
        <v>3234</v>
      </c>
      <c r="E824" s="113" t="s">
        <v>94</v>
      </c>
      <c r="F824" s="113" t="s">
        <v>29</v>
      </c>
      <c r="G824" s="285" t="s">
        <v>1443</v>
      </c>
      <c r="H824" s="285" t="s">
        <v>1456</v>
      </c>
      <c r="I824" s="286">
        <v>387</v>
      </c>
      <c r="J824" s="285" t="s">
        <v>94</v>
      </c>
      <c r="K824" s="285" t="s">
        <v>94</v>
      </c>
      <c r="L824" s="285" t="s">
        <v>29</v>
      </c>
      <c r="M824" s="285" t="s">
        <v>29</v>
      </c>
      <c r="N824" s="287" t="s">
        <v>3235</v>
      </c>
      <c r="O824" s="285" t="s">
        <v>3236</v>
      </c>
      <c r="P824" s="285" t="s">
        <v>1447</v>
      </c>
      <c r="Q824" s="63" t="str">
        <f>IF(V824&lt;&gt;"","Completed","")</f>
        <v/>
      </c>
      <c r="R824" s="64" t="s">
        <v>1242</v>
      </c>
      <c r="T824" s="265"/>
      <c r="U824" s="265"/>
      <c r="V824" s="265"/>
      <c r="W824" s="265"/>
      <c r="X824" s="265"/>
      <c r="Y824" s="86" t="s">
        <v>1242</v>
      </c>
      <c r="Z824" s="263"/>
      <c r="AA824" s="264"/>
      <c r="AB824" s="265"/>
      <c r="AC824" s="265"/>
    </row>
    <row r="825" spans="1:30">
      <c r="A825" s="334" t="s">
        <v>1405</v>
      </c>
      <c r="B825" s="278"/>
      <c r="C825" s="279"/>
      <c r="D825" s="265"/>
      <c r="E825" s="265" t="s">
        <v>29</v>
      </c>
      <c r="F825" s="265" t="s">
        <v>94</v>
      </c>
      <c r="G825" s="280" t="s">
        <v>1443</v>
      </c>
      <c r="H825" s="280" t="s">
        <v>1444</v>
      </c>
      <c r="I825" s="281">
        <v>404</v>
      </c>
      <c r="J825" s="280" t="s">
        <v>29</v>
      </c>
      <c r="K825" s="280" t="s">
        <v>29</v>
      </c>
      <c r="L825" s="280" t="s">
        <v>94</v>
      </c>
      <c r="M825" s="280" t="s">
        <v>94</v>
      </c>
      <c r="N825" s="282" t="s">
        <v>3237</v>
      </c>
      <c r="O825" s="280" t="s">
        <v>3238</v>
      </c>
      <c r="P825" s="280" t="s">
        <v>1459</v>
      </c>
      <c r="Q825" s="63" t="str">
        <f>IF(V825&lt;&gt;"","Completed","")</f>
        <v/>
      </c>
      <c r="R825" s="64" t="s">
        <v>1242</v>
      </c>
      <c r="T825" s="265"/>
      <c r="U825" s="265"/>
      <c r="V825" s="256"/>
      <c r="W825" s="265"/>
      <c r="X825" s="265"/>
      <c r="Y825" s="86" t="s">
        <v>1242</v>
      </c>
      <c r="Z825" s="263"/>
      <c r="AA825" s="264"/>
      <c r="AB825" s="86"/>
      <c r="AC825" s="86"/>
    </row>
    <row r="826" spans="1:30">
      <c r="A826" s="75" t="s">
        <v>1379</v>
      </c>
      <c r="B826" s="59"/>
      <c r="C826" s="57"/>
      <c r="E826" s="65" t="s">
        <v>29</v>
      </c>
      <c r="F826" s="65" t="s">
        <v>94</v>
      </c>
      <c r="G826" s="58" t="s">
        <v>1443</v>
      </c>
      <c r="H826" s="58" t="s">
        <v>1444</v>
      </c>
      <c r="I826" s="60">
        <v>268</v>
      </c>
      <c r="J826" s="58" t="s">
        <v>29</v>
      </c>
      <c r="K826" s="58" t="s">
        <v>29</v>
      </c>
      <c r="L826" s="58" t="s">
        <v>94</v>
      </c>
      <c r="M826" s="58" t="s">
        <v>94</v>
      </c>
      <c r="N826" s="61" t="s">
        <v>3239</v>
      </c>
      <c r="O826" s="58" t="s">
        <v>3240</v>
      </c>
      <c r="P826" s="58" t="s">
        <v>1447</v>
      </c>
      <c r="Q826" s="63" t="str">
        <f>IF(V826&lt;&gt;"","Completed","")</f>
        <v/>
      </c>
      <c r="R826" s="270" t="s">
        <v>1242</v>
      </c>
      <c r="S826" s="270"/>
      <c r="T826" s="265"/>
      <c r="U826" s="265"/>
      <c r="V826" s="256"/>
      <c r="Y826" s="86" t="s">
        <v>1242</v>
      </c>
      <c r="AA826" s="249"/>
      <c r="AB826" s="265"/>
      <c r="AC826" s="86"/>
    </row>
    <row r="827" spans="1:30">
      <c r="A827" s="336" t="s">
        <v>1240</v>
      </c>
      <c r="B827" s="258" t="s">
        <v>913</v>
      </c>
      <c r="C827" s="283">
        <v>42718</v>
      </c>
      <c r="D827" s="107" t="s">
        <v>3241</v>
      </c>
      <c r="E827" s="113" t="s">
        <v>94</v>
      </c>
      <c r="F827" s="113" t="s">
        <v>29</v>
      </c>
      <c r="G827" s="285" t="s">
        <v>1443</v>
      </c>
      <c r="H827" s="285" t="s">
        <v>1456</v>
      </c>
      <c r="I827" s="286">
        <v>199</v>
      </c>
      <c r="J827" s="285" t="s">
        <v>94</v>
      </c>
      <c r="K827" s="285" t="s">
        <v>94</v>
      </c>
      <c r="L827" s="285" t="s">
        <v>29</v>
      </c>
      <c r="M827" s="285" t="s">
        <v>29</v>
      </c>
      <c r="N827" s="287" t="s">
        <v>3242</v>
      </c>
      <c r="O827" s="285" t="s">
        <v>3243</v>
      </c>
      <c r="P827" s="285" t="s">
        <v>1447</v>
      </c>
      <c r="Q827" s="63" t="str">
        <f>IF(V827&lt;&gt;"","Completed","")</f>
        <v/>
      </c>
      <c r="R827" s="270" t="s">
        <v>1242</v>
      </c>
      <c r="S827" s="270"/>
      <c r="T827" s="265"/>
      <c r="U827" s="265"/>
      <c r="V827" s="256"/>
      <c r="W827" s="265"/>
      <c r="X827" s="265"/>
      <c r="Y827" s="86" t="s">
        <v>1242</v>
      </c>
      <c r="Z827" s="263"/>
      <c r="AA827" s="264"/>
      <c r="AB827" s="265"/>
      <c r="AC827" s="265"/>
    </row>
    <row r="828" spans="1:30">
      <c r="A828" s="334" t="s">
        <v>1349</v>
      </c>
      <c r="B828" s="278"/>
      <c r="C828" s="279">
        <v>42668</v>
      </c>
      <c r="D828" s="265"/>
      <c r="E828" s="265" t="s">
        <v>29</v>
      </c>
      <c r="F828" s="265" t="s">
        <v>94</v>
      </c>
      <c r="G828" s="280" t="s">
        <v>1443</v>
      </c>
      <c r="H828" s="280" t="s">
        <v>1456</v>
      </c>
      <c r="I828" s="281">
        <v>306</v>
      </c>
      <c r="J828" s="280" t="s">
        <v>94</v>
      </c>
      <c r="K828" s="280" t="s">
        <v>29</v>
      </c>
      <c r="L828" s="280" t="s">
        <v>94</v>
      </c>
      <c r="M828" s="280" t="s">
        <v>94</v>
      </c>
      <c r="N828" s="282" t="s">
        <v>3244</v>
      </c>
      <c r="O828" s="280" t="s">
        <v>3245</v>
      </c>
      <c r="P828" s="280" t="s">
        <v>1459</v>
      </c>
      <c r="Q828" s="63" t="str">
        <f>IF(V828&lt;&gt;"","Completed","")</f>
        <v/>
      </c>
      <c r="R828" s="270" t="s">
        <v>1242</v>
      </c>
      <c r="S828" s="270"/>
      <c r="T828" s="265"/>
      <c r="U828" s="265"/>
      <c r="V828" s="256"/>
      <c r="W828" s="265"/>
      <c r="X828" s="265"/>
      <c r="Y828" s="86" t="s">
        <v>1242</v>
      </c>
      <c r="Z828" s="263"/>
      <c r="AA828" s="264"/>
      <c r="AB828" s="265"/>
      <c r="AC828" s="265"/>
    </row>
    <row r="829" spans="1:30">
      <c r="A829" s="75" t="s">
        <v>1387</v>
      </c>
      <c r="B829" s="59"/>
      <c r="C829" s="57">
        <v>42683</v>
      </c>
      <c r="E829" s="65" t="s">
        <v>29</v>
      </c>
      <c r="F829" s="65" t="s">
        <v>29</v>
      </c>
      <c r="G829" s="58" t="s">
        <v>1443</v>
      </c>
      <c r="H829" s="58" t="s">
        <v>1456</v>
      </c>
      <c r="I829" s="60">
        <v>243</v>
      </c>
      <c r="J829" s="58" t="s">
        <v>94</v>
      </c>
      <c r="K829" s="58" t="s">
        <v>29</v>
      </c>
      <c r="L829" s="58" t="s">
        <v>29</v>
      </c>
      <c r="M829" s="58" t="s">
        <v>29</v>
      </c>
      <c r="N829" s="61" t="s">
        <v>3246</v>
      </c>
      <c r="O829" s="58" t="s">
        <v>3247</v>
      </c>
      <c r="P829" s="58" t="s">
        <v>1447</v>
      </c>
      <c r="Q829" s="63" t="str">
        <f>IF(V829&lt;&gt;"","Completed","")</f>
        <v/>
      </c>
      <c r="R829" s="270" t="s">
        <v>1242</v>
      </c>
      <c r="S829" s="270"/>
      <c r="T829" s="265"/>
      <c r="U829" s="265"/>
      <c r="V829" s="256"/>
      <c r="Y829" s="86" t="s">
        <v>1242</v>
      </c>
      <c r="AA829" s="249"/>
      <c r="AB829" s="265"/>
      <c r="AC829" s="265"/>
    </row>
    <row r="830" spans="1:30">
      <c r="A830" s="334" t="s">
        <v>703</v>
      </c>
      <c r="B830" s="278"/>
      <c r="C830" s="279">
        <v>42655</v>
      </c>
      <c r="D830" s="265"/>
      <c r="E830" s="265" t="s">
        <v>29</v>
      </c>
      <c r="F830" s="265" t="s">
        <v>29</v>
      </c>
      <c r="G830" s="280" t="s">
        <v>1443</v>
      </c>
      <c r="H830" s="280" t="s">
        <v>1444</v>
      </c>
      <c r="I830" s="281">
        <v>266</v>
      </c>
      <c r="J830" s="280" t="s">
        <v>94</v>
      </c>
      <c r="K830" s="280" t="s">
        <v>29</v>
      </c>
      <c r="L830" s="280" t="s">
        <v>94</v>
      </c>
      <c r="M830" s="280" t="s">
        <v>29</v>
      </c>
      <c r="N830" s="282" t="s">
        <v>3248</v>
      </c>
      <c r="O830" s="280" t="s">
        <v>3249</v>
      </c>
      <c r="P830" s="280" t="s">
        <v>1459</v>
      </c>
      <c r="Q830" s="63" t="str">
        <f>IF(V830&lt;&gt;"","Completed","")</f>
        <v/>
      </c>
      <c r="R830" s="64" t="s">
        <v>1242</v>
      </c>
      <c r="T830" s="265"/>
      <c r="U830" s="265"/>
      <c r="V830" s="256"/>
      <c r="W830" s="265"/>
      <c r="X830" s="265"/>
      <c r="Y830" s="86" t="s">
        <v>1242</v>
      </c>
      <c r="Z830" s="263"/>
      <c r="AA830" s="264"/>
      <c r="AB830" s="265"/>
      <c r="AC830" s="86"/>
    </row>
    <row r="831" spans="1:30">
      <c r="A831" s="334" t="s">
        <v>1255</v>
      </c>
      <c r="B831" s="278"/>
      <c r="C831" s="279">
        <v>42683</v>
      </c>
      <c r="D831" s="265">
        <v>3046000</v>
      </c>
      <c r="E831" s="265" t="s">
        <v>29</v>
      </c>
      <c r="F831" s="265" t="s">
        <v>94</v>
      </c>
      <c r="G831" s="280" t="s">
        <v>3250</v>
      </c>
      <c r="H831" s="280" t="s">
        <v>1456</v>
      </c>
      <c r="I831" s="281">
        <v>0</v>
      </c>
      <c r="J831" s="280" t="s">
        <v>94</v>
      </c>
      <c r="K831" s="280" t="s">
        <v>29</v>
      </c>
      <c r="L831" s="280" t="s">
        <v>94</v>
      </c>
      <c r="M831" s="280" t="s">
        <v>94</v>
      </c>
      <c r="N831" s="282" t="s">
        <v>3251</v>
      </c>
      <c r="O831" s="83" t="s">
        <v>3252</v>
      </c>
      <c r="P831" s="280"/>
      <c r="Q831" s="63" t="str">
        <f>IF(V831&lt;&gt;"","Completed","")</f>
        <v/>
      </c>
      <c r="R831" s="270" t="s">
        <v>1242</v>
      </c>
      <c r="S831" s="270"/>
      <c r="T831" s="265"/>
      <c r="U831" s="265"/>
      <c r="V831" s="256"/>
      <c r="W831" s="265"/>
      <c r="X831" s="265"/>
      <c r="Y831" s="86" t="s">
        <v>1242</v>
      </c>
      <c r="Z831" s="263"/>
      <c r="AA831" s="264"/>
      <c r="AB831" s="265"/>
      <c r="AC831" s="265"/>
    </row>
    <row r="832" spans="1:30">
      <c r="A832" s="334" t="s">
        <v>1410</v>
      </c>
      <c r="B832" s="278"/>
      <c r="C832" s="279"/>
      <c r="D832" s="265"/>
      <c r="E832" s="265" t="s">
        <v>29</v>
      </c>
      <c r="F832" s="265" t="s">
        <v>94</v>
      </c>
      <c r="G832" s="280" t="s">
        <v>1443</v>
      </c>
      <c r="H832" s="280" t="s">
        <v>1456</v>
      </c>
      <c r="I832" s="281">
        <v>172</v>
      </c>
      <c r="J832" s="280" t="s">
        <v>94</v>
      </c>
      <c r="K832" s="280" t="s">
        <v>29</v>
      </c>
      <c r="L832" s="280" t="s">
        <v>94</v>
      </c>
      <c r="M832" s="280" t="s">
        <v>94</v>
      </c>
      <c r="N832" s="282" t="s">
        <v>3253</v>
      </c>
      <c r="O832" s="280" t="s">
        <v>1642</v>
      </c>
      <c r="P832" s="280" t="s">
        <v>1447</v>
      </c>
      <c r="Q832" s="63" t="str">
        <f>IF(V832&lt;&gt;"","Completed","")</f>
        <v/>
      </c>
      <c r="R832" s="64" t="s">
        <v>1242</v>
      </c>
      <c r="T832" s="265"/>
      <c r="U832" s="265"/>
      <c r="V832" s="256"/>
      <c r="W832" s="265"/>
      <c r="X832" s="265"/>
      <c r="Y832" s="86" t="s">
        <v>1242</v>
      </c>
      <c r="Z832" s="263"/>
      <c r="AA832" s="264"/>
      <c r="AB832" s="86"/>
      <c r="AC832" s="86"/>
    </row>
    <row r="833" spans="1:30">
      <c r="A833" s="75" t="s">
        <v>1379</v>
      </c>
      <c r="B833" s="59"/>
      <c r="C833" s="57"/>
      <c r="E833" s="65" t="s">
        <v>29</v>
      </c>
      <c r="F833" s="65" t="s">
        <v>94</v>
      </c>
      <c r="G833" s="58" t="s">
        <v>1443</v>
      </c>
      <c r="H833" s="58" t="s">
        <v>1444</v>
      </c>
      <c r="I833" s="60">
        <v>192</v>
      </c>
      <c r="J833" s="58" t="s">
        <v>94</v>
      </c>
      <c r="K833" s="58" t="s">
        <v>29</v>
      </c>
      <c r="L833" s="58" t="s">
        <v>94</v>
      </c>
      <c r="M833" s="58" t="s">
        <v>94</v>
      </c>
      <c r="N833" s="61" t="s">
        <v>3254</v>
      </c>
      <c r="O833" s="58" t="s">
        <v>3255</v>
      </c>
      <c r="P833" s="58" t="s">
        <v>1447</v>
      </c>
      <c r="Q833" s="63" t="str">
        <f>IF(V833&lt;&gt;"","Completed","")</f>
        <v/>
      </c>
      <c r="R833" s="270" t="s">
        <v>1242</v>
      </c>
      <c r="S833" s="270"/>
      <c r="T833" s="265"/>
      <c r="U833" s="265"/>
      <c r="V833" s="256"/>
      <c r="Y833" s="86" t="s">
        <v>1242</v>
      </c>
      <c r="AA833" s="249"/>
      <c r="AB833" s="265"/>
      <c r="AC833" s="86"/>
    </row>
    <row r="834" spans="1:30">
      <c r="A834" s="75" t="s">
        <v>1320</v>
      </c>
      <c r="B834" s="59"/>
      <c r="C834" s="57">
        <v>42655</v>
      </c>
      <c r="E834" s="65" t="s">
        <v>29</v>
      </c>
      <c r="F834" s="65" t="s">
        <v>29</v>
      </c>
      <c r="G834" s="58" t="s">
        <v>1443</v>
      </c>
      <c r="H834" s="58" t="s">
        <v>1456</v>
      </c>
      <c r="I834" s="60">
        <v>650</v>
      </c>
      <c r="J834" s="58" t="s">
        <v>29</v>
      </c>
      <c r="K834" s="58" t="s">
        <v>29</v>
      </c>
      <c r="L834" s="58" t="s">
        <v>94</v>
      </c>
      <c r="M834" s="58" t="s">
        <v>29</v>
      </c>
      <c r="N834" s="61" t="s">
        <v>3256</v>
      </c>
      <c r="O834" s="58" t="s">
        <v>3257</v>
      </c>
      <c r="P834" s="58" t="s">
        <v>1459</v>
      </c>
      <c r="Q834" s="63" t="str">
        <f>IF(V834&lt;&gt;"","Completed","")</f>
        <v/>
      </c>
      <c r="R834" s="64" t="s">
        <v>1242</v>
      </c>
      <c r="V834" s="256"/>
      <c r="Y834" s="86" t="s">
        <v>1242</v>
      </c>
      <c r="AB834" s="265"/>
      <c r="AC834" s="265"/>
    </row>
    <row r="835" spans="1:30">
      <c r="A835" s="334" t="s">
        <v>212</v>
      </c>
      <c r="B835" s="278"/>
      <c r="C835" s="279">
        <v>42709</v>
      </c>
      <c r="D835" s="265">
        <v>3031000</v>
      </c>
      <c r="E835" s="265" t="s">
        <v>29</v>
      </c>
      <c r="F835" s="265" t="s">
        <v>29</v>
      </c>
      <c r="G835" s="280" t="s">
        <v>1443</v>
      </c>
      <c r="H835" s="280" t="s">
        <v>1456</v>
      </c>
      <c r="I835" s="281">
        <v>0</v>
      </c>
      <c r="J835" s="280" t="s">
        <v>94</v>
      </c>
      <c r="K835" s="280" t="s">
        <v>29</v>
      </c>
      <c r="L835" s="280" t="s">
        <v>94</v>
      </c>
      <c r="M835" s="280" t="s">
        <v>29</v>
      </c>
      <c r="N835" s="282" t="s">
        <v>3258</v>
      </c>
      <c r="O835" s="280" t="s">
        <v>3259</v>
      </c>
      <c r="P835" s="280" t="s">
        <v>1447</v>
      </c>
      <c r="Q835" s="63" t="str">
        <f>IF(V835&lt;&gt;"","Completed","")</f>
        <v/>
      </c>
      <c r="R835" s="270" t="s">
        <v>1242</v>
      </c>
      <c r="S835" s="270"/>
      <c r="T835" s="265"/>
      <c r="U835" s="265"/>
      <c r="V835" s="265"/>
      <c r="W835" s="265"/>
      <c r="X835" s="265"/>
      <c r="Y835" s="86" t="s">
        <v>1242</v>
      </c>
      <c r="Z835" s="263"/>
      <c r="AA835" s="264"/>
      <c r="AB835" s="265"/>
      <c r="AC835" s="265"/>
    </row>
    <row r="836" spans="1:30" ht="14.25" customHeight="1">
      <c r="A836" s="336" t="s">
        <v>1252</v>
      </c>
      <c r="B836" s="258" t="s">
        <v>46</v>
      </c>
      <c r="C836" s="283">
        <v>42677</v>
      </c>
      <c r="D836" s="107" t="s">
        <v>3260</v>
      </c>
      <c r="E836" s="113" t="s">
        <v>94</v>
      </c>
      <c r="F836" s="113" t="s">
        <v>29</v>
      </c>
      <c r="G836" s="285" t="s">
        <v>1443</v>
      </c>
      <c r="H836" s="285" t="s">
        <v>1444</v>
      </c>
      <c r="I836" s="286">
        <v>300</v>
      </c>
      <c r="J836" s="285" t="s">
        <v>94</v>
      </c>
      <c r="K836" s="285" t="s">
        <v>94</v>
      </c>
      <c r="L836" s="285" t="s">
        <v>29</v>
      </c>
      <c r="M836" s="285" t="s">
        <v>29</v>
      </c>
      <c r="N836" s="287" t="s">
        <v>3261</v>
      </c>
      <c r="O836" s="285" t="s">
        <v>3262</v>
      </c>
      <c r="P836" s="285" t="s">
        <v>1447</v>
      </c>
      <c r="Q836" s="63" t="str">
        <f>IF(V836&lt;&gt;"","Completed","")</f>
        <v/>
      </c>
      <c r="R836" s="270" t="s">
        <v>1242</v>
      </c>
      <c r="S836" s="270"/>
      <c r="T836" s="265"/>
      <c r="U836" s="265"/>
      <c r="V836" s="256"/>
      <c r="W836" s="265"/>
      <c r="X836" s="265"/>
      <c r="Y836" s="86" t="s">
        <v>1242</v>
      </c>
      <c r="Z836" s="263"/>
      <c r="AA836" s="264"/>
      <c r="AB836" s="265"/>
      <c r="AC836" s="265"/>
      <c r="AD836" s="349"/>
    </row>
    <row r="837" spans="1:30">
      <c r="A837" s="75" t="s">
        <v>1337</v>
      </c>
      <c r="B837" s="59"/>
      <c r="C837" s="57">
        <v>42695</v>
      </c>
      <c r="E837" s="65" t="s">
        <v>29</v>
      </c>
      <c r="F837" s="65" t="s">
        <v>29</v>
      </c>
      <c r="G837" s="58" t="s">
        <v>1443</v>
      </c>
      <c r="H837" s="58" t="s">
        <v>1444</v>
      </c>
      <c r="I837" s="60">
        <v>300</v>
      </c>
      <c r="J837" s="58" t="s">
        <v>94</v>
      </c>
      <c r="K837" s="58" t="s">
        <v>29</v>
      </c>
      <c r="L837" s="58" t="s">
        <v>94</v>
      </c>
      <c r="M837" s="58" t="s">
        <v>29</v>
      </c>
      <c r="N837" s="61" t="s">
        <v>3263</v>
      </c>
      <c r="O837" s="58" t="s">
        <v>3264</v>
      </c>
      <c r="P837" s="58" t="s">
        <v>1459</v>
      </c>
      <c r="Q837" s="63" t="str">
        <f>IF(V837&lt;&gt;"","Completed","")</f>
        <v/>
      </c>
      <c r="R837" s="270" t="s">
        <v>1242</v>
      </c>
      <c r="S837" s="270"/>
      <c r="T837" s="150"/>
      <c r="V837" s="256"/>
      <c r="Y837" s="86" t="s">
        <v>1242</v>
      </c>
      <c r="AA837" s="249"/>
      <c r="AB837" s="265"/>
      <c r="AC837" s="86"/>
    </row>
    <row r="838" spans="1:30">
      <c r="A838" s="334" t="s">
        <v>1329</v>
      </c>
      <c r="B838" s="278"/>
      <c r="C838" s="279">
        <v>42669</v>
      </c>
      <c r="D838" s="265"/>
      <c r="E838" s="265" t="s">
        <v>29</v>
      </c>
      <c r="F838" s="265" t="s">
        <v>94</v>
      </c>
      <c r="G838" s="280" t="s">
        <v>1443</v>
      </c>
      <c r="H838" s="280" t="s">
        <v>1444</v>
      </c>
      <c r="I838" s="281">
        <v>558</v>
      </c>
      <c r="J838" s="280" t="s">
        <v>94</v>
      </c>
      <c r="K838" s="280" t="s">
        <v>29</v>
      </c>
      <c r="L838" s="280" t="s">
        <v>29</v>
      </c>
      <c r="M838" s="280" t="s">
        <v>94</v>
      </c>
      <c r="N838" s="282" t="s">
        <v>3265</v>
      </c>
      <c r="O838" s="280" t="s">
        <v>3266</v>
      </c>
      <c r="P838" s="280" t="s">
        <v>1447</v>
      </c>
      <c r="Q838" s="63" t="str">
        <f>IF(V838&lt;&gt;"","Completed","")</f>
        <v/>
      </c>
      <c r="R838" s="64" t="s">
        <v>1242</v>
      </c>
      <c r="T838" s="265"/>
      <c r="U838" s="265"/>
      <c r="V838" s="256"/>
      <c r="W838" s="265"/>
      <c r="X838" s="265"/>
      <c r="Y838" s="86" t="s">
        <v>1242</v>
      </c>
      <c r="Z838" s="263"/>
      <c r="AA838" s="264"/>
      <c r="AB838" s="86"/>
      <c r="AC838" s="86"/>
    </row>
    <row r="839" spans="1:30">
      <c r="A839" s="334" t="s">
        <v>1255</v>
      </c>
      <c r="B839" s="278"/>
      <c r="C839" s="279">
        <v>42683</v>
      </c>
      <c r="D839" s="265">
        <v>3046000</v>
      </c>
      <c r="E839" s="265" t="s">
        <v>29</v>
      </c>
      <c r="F839" s="265" t="s">
        <v>94</v>
      </c>
      <c r="G839" s="280" t="s">
        <v>1443</v>
      </c>
      <c r="H839" s="280" t="s">
        <v>1456</v>
      </c>
      <c r="I839" s="281">
        <v>0</v>
      </c>
      <c r="J839" s="280" t="s">
        <v>94</v>
      </c>
      <c r="K839" s="280" t="s">
        <v>29</v>
      </c>
      <c r="L839" s="280" t="s">
        <v>94</v>
      </c>
      <c r="M839" s="280" t="s">
        <v>94</v>
      </c>
      <c r="N839" s="282" t="s">
        <v>3267</v>
      </c>
      <c r="O839" s="280" t="s">
        <v>3268</v>
      </c>
      <c r="P839" s="280" t="s">
        <v>1447</v>
      </c>
      <c r="Q839" s="63" t="str">
        <f>IF(V839&lt;&gt;"","Completed","")</f>
        <v/>
      </c>
      <c r="R839" s="270" t="s">
        <v>1242</v>
      </c>
      <c r="S839" s="270"/>
      <c r="T839" s="265"/>
      <c r="U839" s="265"/>
      <c r="V839" s="256"/>
      <c r="W839" s="265"/>
      <c r="X839" s="265"/>
      <c r="Y839" s="86" t="s">
        <v>1242</v>
      </c>
      <c r="Z839" s="263"/>
      <c r="AA839" s="264"/>
      <c r="AB839" s="265"/>
      <c r="AC839" s="265"/>
    </row>
    <row r="840" spans="1:30">
      <c r="A840" s="334" t="s">
        <v>408</v>
      </c>
      <c r="B840" s="278"/>
      <c r="C840" s="279">
        <v>42711</v>
      </c>
      <c r="D840" s="265"/>
      <c r="E840" s="265" t="s">
        <v>29</v>
      </c>
      <c r="F840" s="265" t="s">
        <v>29</v>
      </c>
      <c r="G840" s="280" t="s">
        <v>1443</v>
      </c>
      <c r="H840" s="280" t="s">
        <v>1444</v>
      </c>
      <c r="I840" s="281">
        <v>374</v>
      </c>
      <c r="J840" s="280" t="s">
        <v>94</v>
      </c>
      <c r="K840" s="280" t="s">
        <v>29</v>
      </c>
      <c r="L840" s="280" t="s">
        <v>94</v>
      </c>
      <c r="M840" s="280" t="s">
        <v>29</v>
      </c>
      <c r="N840" s="282" t="s">
        <v>3269</v>
      </c>
      <c r="O840" s="280" t="s">
        <v>3270</v>
      </c>
      <c r="P840" s="280" t="s">
        <v>1447</v>
      </c>
      <c r="Q840" s="63" t="str">
        <f>IF(V840&lt;&gt;"","Completed","")</f>
        <v/>
      </c>
      <c r="R840" s="270" t="s">
        <v>1242</v>
      </c>
      <c r="S840" s="270"/>
      <c r="T840" s="265"/>
      <c r="U840" s="265"/>
      <c r="V840" s="256"/>
      <c r="W840" s="265"/>
      <c r="X840" s="265"/>
      <c r="Y840" s="86" t="s">
        <v>1242</v>
      </c>
      <c r="Z840" s="263"/>
      <c r="AA840" s="264"/>
      <c r="AB840" s="86"/>
      <c r="AC840" s="265"/>
    </row>
    <row r="841" spans="1:30">
      <c r="A841" s="334" t="s">
        <v>1320</v>
      </c>
      <c r="B841" s="278"/>
      <c r="C841" s="279">
        <v>42655</v>
      </c>
      <c r="D841" s="265"/>
      <c r="E841" s="265" t="s">
        <v>29</v>
      </c>
      <c r="F841" s="265" t="s">
        <v>29</v>
      </c>
      <c r="G841" s="280" t="s">
        <v>1443</v>
      </c>
      <c r="H841" s="280" t="s">
        <v>1456</v>
      </c>
      <c r="I841" s="281">
        <v>474</v>
      </c>
      <c r="J841" s="280" t="s">
        <v>94</v>
      </c>
      <c r="K841" s="280" t="s">
        <v>29</v>
      </c>
      <c r="L841" s="280" t="s">
        <v>94</v>
      </c>
      <c r="M841" s="280" t="s">
        <v>29</v>
      </c>
      <c r="N841" s="282" t="s">
        <v>3271</v>
      </c>
      <c r="O841" s="280" t="s">
        <v>3272</v>
      </c>
      <c r="P841" s="280" t="s">
        <v>1459</v>
      </c>
      <c r="Q841" s="63" t="str">
        <f>IF(V841&lt;&gt;"","Completed","")</f>
        <v/>
      </c>
      <c r="R841" s="64" t="s">
        <v>1242</v>
      </c>
      <c r="T841" s="265"/>
      <c r="U841" s="265"/>
      <c r="V841" s="256"/>
      <c r="W841" s="265"/>
      <c r="X841" s="265"/>
      <c r="Y841" s="86" t="s">
        <v>1242</v>
      </c>
      <c r="Z841" s="263"/>
      <c r="AA841" s="264"/>
      <c r="AB841" s="265"/>
      <c r="AC841" s="265"/>
    </row>
    <row r="842" spans="1:30">
      <c r="A842" s="75" t="s">
        <v>599</v>
      </c>
      <c r="B842" s="59"/>
      <c r="C842" s="57">
        <v>42794</v>
      </c>
      <c r="E842" s="65" t="s">
        <v>29</v>
      </c>
      <c r="F842" s="65" t="s">
        <v>29</v>
      </c>
      <c r="G842" s="58" t="s">
        <v>1443</v>
      </c>
      <c r="H842" s="58" t="s">
        <v>1444</v>
      </c>
      <c r="I842" s="60">
        <v>0</v>
      </c>
      <c r="J842" s="58" t="s">
        <v>94</v>
      </c>
      <c r="K842" s="58" t="s">
        <v>29</v>
      </c>
      <c r="L842" s="58" t="s">
        <v>94</v>
      </c>
      <c r="M842" s="58" t="s">
        <v>29</v>
      </c>
      <c r="N842" s="61" t="s">
        <v>3273</v>
      </c>
      <c r="O842" s="58" t="s">
        <v>3274</v>
      </c>
      <c r="P842" s="58" t="s">
        <v>1447</v>
      </c>
      <c r="Q842" s="63" t="str">
        <f>IF(V842&lt;&gt;"","Completed","")</f>
        <v/>
      </c>
      <c r="R842" s="64" t="s">
        <v>1242</v>
      </c>
      <c r="Y842" s="86" t="s">
        <v>1242</v>
      </c>
      <c r="AA842" s="252"/>
      <c r="AB842" s="313"/>
      <c r="AC842" s="314"/>
      <c r="AD842" s="349"/>
    </row>
    <row r="843" spans="1:30">
      <c r="A843" s="75" t="s">
        <v>1379</v>
      </c>
      <c r="B843" s="59"/>
      <c r="C843" s="57"/>
      <c r="E843" s="65" t="s">
        <v>29</v>
      </c>
      <c r="F843" s="65" t="s">
        <v>94</v>
      </c>
      <c r="G843" s="58" t="s">
        <v>1443</v>
      </c>
      <c r="H843" s="58" t="s">
        <v>1444</v>
      </c>
      <c r="I843" s="60">
        <v>0</v>
      </c>
      <c r="J843" s="58" t="s">
        <v>29</v>
      </c>
      <c r="K843" s="58" t="s">
        <v>29</v>
      </c>
      <c r="L843" s="58" t="s">
        <v>94</v>
      </c>
      <c r="M843" s="58" t="s">
        <v>94</v>
      </c>
      <c r="N843" s="61" t="s">
        <v>3275</v>
      </c>
      <c r="O843" s="58" t="s">
        <v>3276</v>
      </c>
      <c r="P843" s="58" t="s">
        <v>1447</v>
      </c>
      <c r="Q843" s="63" t="str">
        <f>IF(V843&lt;&gt;"","Completed","")</f>
        <v/>
      </c>
      <c r="R843" s="270" t="s">
        <v>1242</v>
      </c>
      <c r="S843" s="270"/>
      <c r="T843" s="265"/>
      <c r="U843" s="265"/>
      <c r="V843" s="256"/>
      <c r="Y843" s="86" t="s">
        <v>1242</v>
      </c>
      <c r="AA843" s="249"/>
      <c r="AB843" s="265"/>
      <c r="AC843" s="86"/>
    </row>
    <row r="844" spans="1:30">
      <c r="A844" s="244" t="s">
        <v>1385</v>
      </c>
      <c r="B844" s="62" t="s">
        <v>1245</v>
      </c>
      <c r="C844" s="311">
        <v>42716</v>
      </c>
      <c r="D844" s="109" t="s">
        <v>3277</v>
      </c>
      <c r="E844" s="151" t="s">
        <v>94</v>
      </c>
      <c r="F844" s="151" t="s">
        <v>29</v>
      </c>
      <c r="G844" s="306" t="s">
        <v>1443</v>
      </c>
      <c r="H844" s="306" t="s">
        <v>1449</v>
      </c>
      <c r="I844" s="307">
        <v>0</v>
      </c>
      <c r="J844" s="306" t="s">
        <v>29</v>
      </c>
      <c r="K844" s="306" t="s">
        <v>94</v>
      </c>
      <c r="L844" s="306" t="s">
        <v>29</v>
      </c>
      <c r="M844" s="306" t="s">
        <v>29</v>
      </c>
      <c r="N844" s="308" t="s">
        <v>3278</v>
      </c>
      <c r="O844" s="306" t="s">
        <v>1776</v>
      </c>
      <c r="P844" s="306" t="s">
        <v>1447</v>
      </c>
      <c r="Q844" s="63" t="str">
        <f>IF(V844&lt;&gt;"","Completed","")</f>
        <v/>
      </c>
      <c r="R844" s="343" t="s">
        <v>1242</v>
      </c>
      <c r="S844" s="343"/>
      <c r="T844" s="265"/>
      <c r="U844" s="265"/>
      <c r="V844" s="256"/>
      <c r="Y844" s="86" t="s">
        <v>1242</v>
      </c>
      <c r="AA844" s="252"/>
      <c r="AB844" s="265"/>
      <c r="AC844" s="265"/>
    </row>
    <row r="845" spans="1:30">
      <c r="A845" s="334" t="s">
        <v>1349</v>
      </c>
      <c r="B845" s="278"/>
      <c r="C845" s="279">
        <v>42668</v>
      </c>
      <c r="D845" s="265"/>
      <c r="E845" s="265" t="s">
        <v>29</v>
      </c>
      <c r="F845" s="265" t="s">
        <v>94</v>
      </c>
      <c r="G845" s="280" t="s">
        <v>1443</v>
      </c>
      <c r="H845" s="280" t="s">
        <v>1456</v>
      </c>
      <c r="I845" s="281">
        <v>262</v>
      </c>
      <c r="J845" s="280" t="s">
        <v>94</v>
      </c>
      <c r="K845" s="280" t="s">
        <v>29</v>
      </c>
      <c r="L845" s="280" t="s">
        <v>94</v>
      </c>
      <c r="M845" s="280" t="s">
        <v>94</v>
      </c>
      <c r="N845" s="282" t="s">
        <v>3279</v>
      </c>
      <c r="O845" s="280" t="s">
        <v>3280</v>
      </c>
      <c r="P845" s="280" t="s">
        <v>1459</v>
      </c>
      <c r="Q845" s="63" t="str">
        <f>IF(V845&lt;&gt;"","Completed","")</f>
        <v/>
      </c>
      <c r="R845" s="270" t="s">
        <v>1242</v>
      </c>
      <c r="S845" s="270"/>
      <c r="T845" s="265"/>
      <c r="U845" s="265"/>
      <c r="V845" s="256"/>
      <c r="W845" s="265"/>
      <c r="X845" s="265"/>
      <c r="Y845" s="86" t="s">
        <v>1242</v>
      </c>
      <c r="Z845" s="263"/>
      <c r="AA845" s="264"/>
      <c r="AB845" s="265"/>
      <c r="AC845" s="265"/>
    </row>
    <row r="846" spans="1:30">
      <c r="A846" s="336" t="s">
        <v>1262</v>
      </c>
      <c r="B846" s="258" t="s">
        <v>1263</v>
      </c>
      <c r="C846" s="279">
        <v>42655</v>
      </c>
      <c r="D846" s="265">
        <v>4055000</v>
      </c>
      <c r="E846" s="265" t="s">
        <v>29</v>
      </c>
      <c r="F846" s="265" t="s">
        <v>29</v>
      </c>
      <c r="G846" s="280" t="s">
        <v>1443</v>
      </c>
      <c r="H846" s="280" t="s">
        <v>1456</v>
      </c>
      <c r="I846" s="281">
        <v>215</v>
      </c>
      <c r="J846" s="280" t="s">
        <v>94</v>
      </c>
      <c r="K846" s="280" t="s">
        <v>29</v>
      </c>
      <c r="L846" s="280" t="s">
        <v>29</v>
      </c>
      <c r="M846" s="280" t="s">
        <v>29</v>
      </c>
      <c r="N846" s="282" t="s">
        <v>3281</v>
      </c>
      <c r="O846" s="280" t="s">
        <v>3282</v>
      </c>
      <c r="P846" s="280" t="s">
        <v>1447</v>
      </c>
      <c r="Q846" s="63" t="str">
        <f>IF(V846&lt;&gt;"","Completed","")</f>
        <v/>
      </c>
      <c r="R846" s="270" t="s">
        <v>1242</v>
      </c>
      <c r="S846" s="270"/>
      <c r="T846" s="265"/>
      <c r="U846" s="265"/>
      <c r="V846" s="256"/>
      <c r="W846" s="265"/>
      <c r="X846" s="265"/>
      <c r="Y846" s="86" t="s">
        <v>1242</v>
      </c>
      <c r="Z846" s="263"/>
      <c r="AA846" s="264"/>
      <c r="AB846" s="265"/>
      <c r="AC846" s="86"/>
    </row>
    <row r="847" spans="1:30" s="66" customFormat="1">
      <c r="A847" s="336" t="s">
        <v>1286</v>
      </c>
      <c r="B847" s="267" t="s">
        <v>1287</v>
      </c>
      <c r="C847" s="279">
        <v>42670</v>
      </c>
      <c r="D847" s="265"/>
      <c r="E847" s="265" t="s">
        <v>29</v>
      </c>
      <c r="F847" s="265" t="s">
        <v>29</v>
      </c>
      <c r="G847" s="280" t="s">
        <v>1443</v>
      </c>
      <c r="H847" s="280" t="s">
        <v>1449</v>
      </c>
      <c r="I847" s="281">
        <v>406</v>
      </c>
      <c r="J847" s="280" t="s">
        <v>29</v>
      </c>
      <c r="K847" s="280" t="s">
        <v>29</v>
      </c>
      <c r="L847" s="280" t="s">
        <v>29</v>
      </c>
      <c r="M847" s="280" t="s">
        <v>29</v>
      </c>
      <c r="N847" s="282" t="s">
        <v>3283</v>
      </c>
      <c r="O847" s="280" t="s">
        <v>3284</v>
      </c>
      <c r="P847" s="280" t="s">
        <v>1447</v>
      </c>
      <c r="Q847" s="63" t="str">
        <f>IF(V847&lt;&gt;"","Completed","")</f>
        <v/>
      </c>
      <c r="R847" s="270" t="s">
        <v>1242</v>
      </c>
      <c r="S847" s="270"/>
      <c r="T847" s="265"/>
      <c r="U847" s="265"/>
      <c r="V847" s="256"/>
      <c r="W847" s="265"/>
      <c r="X847" s="265"/>
      <c r="Y847" s="86" t="s">
        <v>1242</v>
      </c>
      <c r="Z847" s="263"/>
      <c r="AA847" s="264"/>
      <c r="AB847" s="265"/>
      <c r="AC847" s="265"/>
      <c r="AD847" s="345"/>
    </row>
    <row r="848" spans="1:30" s="66" customFormat="1">
      <c r="A848" s="337" t="s">
        <v>1233</v>
      </c>
      <c r="B848" s="289" t="s">
        <v>462</v>
      </c>
      <c r="C848" s="283">
        <v>42655</v>
      </c>
      <c r="D848" s="107" t="s">
        <v>3285</v>
      </c>
      <c r="E848" s="113" t="s">
        <v>94</v>
      </c>
      <c r="F848" s="113" t="s">
        <v>29</v>
      </c>
      <c r="G848" s="285" t="s">
        <v>1443</v>
      </c>
      <c r="H848" s="285" t="s">
        <v>1449</v>
      </c>
      <c r="I848" s="286">
        <v>44</v>
      </c>
      <c r="J848" s="285" t="s">
        <v>29</v>
      </c>
      <c r="K848" s="285" t="s">
        <v>94</v>
      </c>
      <c r="L848" s="285" t="s">
        <v>29</v>
      </c>
      <c r="M848" s="285" t="s">
        <v>29</v>
      </c>
      <c r="N848" s="287" t="s">
        <v>3286</v>
      </c>
      <c r="O848" s="285" t="s">
        <v>3287</v>
      </c>
      <c r="P848" s="285" t="s">
        <v>1459</v>
      </c>
      <c r="Q848" s="63" t="str">
        <f>IF(V848&lt;&gt;"","Completed","")</f>
        <v/>
      </c>
      <c r="R848" s="270" t="s">
        <v>1242</v>
      </c>
      <c r="S848" s="270"/>
      <c r="T848" s="265"/>
      <c r="U848" s="265"/>
      <c r="V848" s="256"/>
      <c r="W848" s="265"/>
      <c r="X848" s="265"/>
      <c r="Y848" s="86" t="s">
        <v>1242</v>
      </c>
      <c r="Z848" s="263"/>
      <c r="AA848" s="264"/>
      <c r="AB848" s="265"/>
      <c r="AC848" s="86"/>
      <c r="AD848" s="349"/>
    </row>
    <row r="849" spans="1:30" s="66" customFormat="1">
      <c r="A849" s="334" t="s">
        <v>1356</v>
      </c>
      <c r="B849" s="278"/>
      <c r="C849" s="279">
        <v>42670</v>
      </c>
      <c r="D849" s="265"/>
      <c r="E849" s="265" t="s">
        <v>29</v>
      </c>
      <c r="F849" s="265" t="s">
        <v>29</v>
      </c>
      <c r="G849" s="280" t="s">
        <v>1443</v>
      </c>
      <c r="H849" s="280" t="s">
        <v>1449</v>
      </c>
      <c r="I849" s="281">
        <v>317</v>
      </c>
      <c r="J849" s="280" t="s">
        <v>94</v>
      </c>
      <c r="K849" s="280" t="s">
        <v>29</v>
      </c>
      <c r="L849" s="280" t="s">
        <v>29</v>
      </c>
      <c r="M849" s="280" t="s">
        <v>29</v>
      </c>
      <c r="N849" s="282" t="s">
        <v>3288</v>
      </c>
      <c r="O849" s="280" t="s">
        <v>3289</v>
      </c>
      <c r="P849" s="280" t="s">
        <v>1447</v>
      </c>
      <c r="Q849" s="63" t="str">
        <f>IF(V849&lt;&gt;"","Completed","")</f>
        <v/>
      </c>
      <c r="R849" s="270" t="s">
        <v>1242</v>
      </c>
      <c r="S849" s="270"/>
      <c r="T849" s="265"/>
      <c r="U849" s="265"/>
      <c r="V849" s="256"/>
      <c r="W849" s="265"/>
      <c r="X849" s="265"/>
      <c r="Y849" s="86" t="s">
        <v>1242</v>
      </c>
      <c r="Z849" s="263"/>
      <c r="AA849" s="264"/>
      <c r="AB849" s="265"/>
      <c r="AC849" s="265"/>
      <c r="AD849" s="345"/>
    </row>
    <row r="850" spans="1:30" s="66" customFormat="1">
      <c r="A850" s="334" t="s">
        <v>1410</v>
      </c>
      <c r="B850" s="278"/>
      <c r="C850" s="279"/>
      <c r="D850" s="265"/>
      <c r="E850" s="265" t="s">
        <v>29</v>
      </c>
      <c r="F850" s="265" t="s">
        <v>94</v>
      </c>
      <c r="G850" s="280" t="s">
        <v>1443</v>
      </c>
      <c r="H850" s="280" t="s">
        <v>1456</v>
      </c>
      <c r="I850" s="281">
        <v>371</v>
      </c>
      <c r="J850" s="280" t="s">
        <v>29</v>
      </c>
      <c r="K850" s="280" t="s">
        <v>29</v>
      </c>
      <c r="L850" s="280" t="s">
        <v>94</v>
      </c>
      <c r="M850" s="280" t="s">
        <v>94</v>
      </c>
      <c r="N850" s="282" t="s">
        <v>3290</v>
      </c>
      <c r="O850" s="280" t="s">
        <v>3291</v>
      </c>
      <c r="P850" s="280" t="s">
        <v>1459</v>
      </c>
      <c r="Q850" s="63" t="str">
        <f>IF(V850&lt;&gt;"","Completed","")</f>
        <v/>
      </c>
      <c r="R850" s="64" t="s">
        <v>1242</v>
      </c>
      <c r="S850" s="64"/>
      <c r="T850" s="265"/>
      <c r="U850" s="265"/>
      <c r="V850" s="256"/>
      <c r="W850" s="265"/>
      <c r="X850" s="265"/>
      <c r="Y850" s="86" t="s">
        <v>1242</v>
      </c>
      <c r="Z850" s="263"/>
      <c r="AA850" s="264"/>
      <c r="AB850" s="86"/>
      <c r="AC850" s="86"/>
      <c r="AD850" s="345"/>
    </row>
    <row r="851" spans="1:30" s="66" customFormat="1">
      <c r="A851" s="334" t="s">
        <v>1270</v>
      </c>
      <c r="B851" s="278"/>
      <c r="C851" s="279">
        <v>42662</v>
      </c>
      <c r="D851" s="265"/>
      <c r="E851" s="265" t="s">
        <v>29</v>
      </c>
      <c r="F851" s="265" t="s">
        <v>29</v>
      </c>
      <c r="G851" s="280" t="s">
        <v>1443</v>
      </c>
      <c r="H851" s="280" t="s">
        <v>1449</v>
      </c>
      <c r="I851" s="281">
        <v>0</v>
      </c>
      <c r="J851" s="280" t="s">
        <v>29</v>
      </c>
      <c r="K851" s="280" t="s">
        <v>29</v>
      </c>
      <c r="L851" s="280" t="s">
        <v>29</v>
      </c>
      <c r="M851" s="280" t="s">
        <v>29</v>
      </c>
      <c r="N851" s="282" t="s">
        <v>3292</v>
      </c>
      <c r="O851" s="280" t="s">
        <v>3293</v>
      </c>
      <c r="P851" s="280" t="s">
        <v>1447</v>
      </c>
      <c r="Q851" s="63" t="str">
        <f>IF(V851&lt;&gt;"","Completed","")</f>
        <v/>
      </c>
      <c r="R851" s="270" t="s">
        <v>1242</v>
      </c>
      <c r="S851" s="270"/>
      <c r="T851" s="265"/>
      <c r="U851" s="265"/>
      <c r="V851" s="265"/>
      <c r="W851" s="265"/>
      <c r="X851" s="265"/>
      <c r="Y851" s="86" t="s">
        <v>1242</v>
      </c>
      <c r="Z851" s="263"/>
      <c r="AA851" s="264"/>
      <c r="AB851" s="265"/>
      <c r="AC851" s="86"/>
      <c r="AD851" s="349"/>
    </row>
    <row r="852" spans="1:30" s="66" customFormat="1">
      <c r="A852" s="334" t="s">
        <v>1277</v>
      </c>
      <c r="B852" s="278"/>
      <c r="C852" s="279">
        <v>42712</v>
      </c>
      <c r="D852" s="265"/>
      <c r="E852" s="265" t="s">
        <v>29</v>
      </c>
      <c r="F852" s="265" t="s">
        <v>29</v>
      </c>
      <c r="G852" s="280" t="s">
        <v>1443</v>
      </c>
      <c r="H852" s="280" t="s">
        <v>1456</v>
      </c>
      <c r="I852" s="281">
        <v>0</v>
      </c>
      <c r="J852" s="280" t="s">
        <v>94</v>
      </c>
      <c r="K852" s="280" t="s">
        <v>29</v>
      </c>
      <c r="L852" s="280" t="s">
        <v>29</v>
      </c>
      <c r="M852" s="280" t="s">
        <v>29</v>
      </c>
      <c r="N852" s="282" t="s">
        <v>3294</v>
      </c>
      <c r="O852" s="280" t="s">
        <v>3295</v>
      </c>
      <c r="P852" s="280" t="s">
        <v>1447</v>
      </c>
      <c r="Q852" s="63" t="str">
        <f>IF(V852&lt;&gt;"","Completed","")</f>
        <v/>
      </c>
      <c r="R852" s="270" t="s">
        <v>1242</v>
      </c>
      <c r="S852" s="270"/>
      <c r="T852" s="265"/>
      <c r="U852" s="265"/>
      <c r="V852" s="265"/>
      <c r="W852" s="265"/>
      <c r="X852" s="265"/>
      <c r="Y852" s="86" t="s">
        <v>1242</v>
      </c>
      <c r="Z852" s="263"/>
      <c r="AA852" s="264"/>
      <c r="AB852" s="86"/>
      <c r="AC852" s="86"/>
      <c r="AD852" s="349"/>
    </row>
    <row r="853" spans="1:30" s="66" customFormat="1">
      <c r="A853" s="334" t="s">
        <v>1349</v>
      </c>
      <c r="B853" s="278"/>
      <c r="C853" s="279">
        <v>42668</v>
      </c>
      <c r="D853" s="265"/>
      <c r="E853" s="265" t="s">
        <v>29</v>
      </c>
      <c r="F853" s="265" t="s">
        <v>94</v>
      </c>
      <c r="G853" s="280" t="s">
        <v>1443</v>
      </c>
      <c r="H853" s="280" t="s">
        <v>1456</v>
      </c>
      <c r="I853" s="281">
        <v>230</v>
      </c>
      <c r="J853" s="280" t="s">
        <v>94</v>
      </c>
      <c r="K853" s="280" t="s">
        <v>29</v>
      </c>
      <c r="L853" s="280" t="s">
        <v>94</v>
      </c>
      <c r="M853" s="280" t="s">
        <v>94</v>
      </c>
      <c r="N853" s="282" t="s">
        <v>3296</v>
      </c>
      <c r="O853" s="280" t="s">
        <v>3297</v>
      </c>
      <c r="P853" s="280" t="s">
        <v>1459</v>
      </c>
      <c r="Q853" s="63" t="str">
        <f>IF(V853&lt;&gt;"","Completed","")</f>
        <v/>
      </c>
      <c r="R853" s="270" t="s">
        <v>1242</v>
      </c>
      <c r="S853" s="270"/>
      <c r="T853" s="265"/>
      <c r="U853" s="265"/>
      <c r="V853" s="256"/>
      <c r="W853" s="265"/>
      <c r="X853" s="265"/>
      <c r="Y853" s="86" t="s">
        <v>1242</v>
      </c>
      <c r="Z853" s="263"/>
      <c r="AA853" s="264"/>
      <c r="AB853" s="265"/>
      <c r="AC853" s="265"/>
      <c r="AD853" s="345"/>
    </row>
    <row r="854" spans="1:30" s="66" customFormat="1">
      <c r="A854" s="334" t="s">
        <v>1410</v>
      </c>
      <c r="B854" s="278"/>
      <c r="C854" s="279"/>
      <c r="D854" s="265"/>
      <c r="E854" s="265" t="s">
        <v>29</v>
      </c>
      <c r="F854" s="265" t="s">
        <v>94</v>
      </c>
      <c r="G854" s="280" t="s">
        <v>1443</v>
      </c>
      <c r="H854" s="280" t="s">
        <v>1456</v>
      </c>
      <c r="I854" s="281">
        <v>0</v>
      </c>
      <c r="J854" s="280" t="s">
        <v>94</v>
      </c>
      <c r="K854" s="280" t="s">
        <v>29</v>
      </c>
      <c r="L854" s="280" t="s">
        <v>94</v>
      </c>
      <c r="M854" s="280" t="s">
        <v>94</v>
      </c>
      <c r="N854" s="282" t="s">
        <v>3298</v>
      </c>
      <c r="O854" s="280" t="s">
        <v>3299</v>
      </c>
      <c r="P854" s="280" t="s">
        <v>1459</v>
      </c>
      <c r="Q854" s="63" t="str">
        <f>IF(V854&lt;&gt;"","Completed","")</f>
        <v/>
      </c>
      <c r="R854" s="64" t="s">
        <v>1242</v>
      </c>
      <c r="S854" s="64"/>
      <c r="T854" s="265"/>
      <c r="U854" s="265"/>
      <c r="V854" s="256"/>
      <c r="W854" s="265"/>
      <c r="X854" s="265"/>
      <c r="Y854" s="86" t="s">
        <v>1242</v>
      </c>
      <c r="Z854" s="263"/>
      <c r="AA854" s="264"/>
      <c r="AB854" s="86"/>
      <c r="AC854" s="86"/>
      <c r="AD854" s="345"/>
    </row>
    <row r="855" spans="1:30" s="66" customFormat="1">
      <c r="A855" s="334" t="s">
        <v>1270</v>
      </c>
      <c r="B855" s="278"/>
      <c r="C855" s="279">
        <v>42661</v>
      </c>
      <c r="D855" s="265"/>
      <c r="E855" s="265" t="s">
        <v>29</v>
      </c>
      <c r="F855" s="265" t="s">
        <v>29</v>
      </c>
      <c r="G855" s="280" t="s">
        <v>1443</v>
      </c>
      <c r="H855" s="280" t="s">
        <v>1449</v>
      </c>
      <c r="I855" s="281">
        <v>395</v>
      </c>
      <c r="J855" s="280" t="s">
        <v>29</v>
      </c>
      <c r="K855" s="280" t="s">
        <v>29</v>
      </c>
      <c r="L855" s="280" t="s">
        <v>29</v>
      </c>
      <c r="M855" s="280" t="s">
        <v>29</v>
      </c>
      <c r="N855" s="282" t="s">
        <v>3300</v>
      </c>
      <c r="O855" s="280" t="s">
        <v>3301</v>
      </c>
      <c r="P855" s="280" t="s">
        <v>1447</v>
      </c>
      <c r="Q855" s="63" t="str">
        <f>IF(V855&lt;&gt;"","Completed","")</f>
        <v/>
      </c>
      <c r="R855" s="270" t="s">
        <v>1242</v>
      </c>
      <c r="S855" s="270"/>
      <c r="T855" s="265"/>
      <c r="U855" s="265"/>
      <c r="V855" s="265"/>
      <c r="W855" s="265"/>
      <c r="X855" s="265"/>
      <c r="Y855" s="86" t="s">
        <v>1242</v>
      </c>
      <c r="Z855" s="263"/>
      <c r="AA855" s="264"/>
      <c r="AB855" s="265"/>
      <c r="AC855" s="86"/>
      <c r="AD855" s="349"/>
    </row>
    <row r="856" spans="1:30" s="66" customFormat="1">
      <c r="A856" s="334" t="s">
        <v>1398</v>
      </c>
      <c r="B856" s="278"/>
      <c r="C856" s="279"/>
      <c r="D856" s="265"/>
      <c r="E856" s="265" t="s">
        <v>29</v>
      </c>
      <c r="F856" s="265" t="s">
        <v>94</v>
      </c>
      <c r="G856" s="280" t="s">
        <v>1443</v>
      </c>
      <c r="H856" s="280" t="s">
        <v>1456</v>
      </c>
      <c r="I856" s="281">
        <v>287</v>
      </c>
      <c r="J856" s="280" t="s">
        <v>29</v>
      </c>
      <c r="K856" s="280" t="s">
        <v>29</v>
      </c>
      <c r="L856" s="280" t="s">
        <v>94</v>
      </c>
      <c r="M856" s="280" t="s">
        <v>94</v>
      </c>
      <c r="N856" s="282" t="s">
        <v>3302</v>
      </c>
      <c r="O856" s="280" t="s">
        <v>3303</v>
      </c>
      <c r="P856" s="280" t="s">
        <v>1447</v>
      </c>
      <c r="Q856" s="63" t="str">
        <f>IF(V856&lt;&gt;"","Completed","")</f>
        <v/>
      </c>
      <c r="R856" s="64" t="s">
        <v>1242</v>
      </c>
      <c r="S856" s="64"/>
      <c r="T856" s="265"/>
      <c r="U856" s="265"/>
      <c r="V856" s="256"/>
      <c r="W856" s="265"/>
      <c r="X856" s="265"/>
      <c r="Y856" s="86" t="s">
        <v>1242</v>
      </c>
      <c r="Z856" s="263"/>
      <c r="AA856" s="264"/>
      <c r="AB856" s="265"/>
      <c r="AC856" s="265"/>
      <c r="AD856" s="345"/>
    </row>
    <row r="857" spans="1:30" s="66" customFormat="1">
      <c r="A857" s="336" t="s">
        <v>1286</v>
      </c>
      <c r="B857" s="267" t="s">
        <v>1287</v>
      </c>
      <c r="C857" s="279">
        <v>42670</v>
      </c>
      <c r="D857" s="265"/>
      <c r="E857" s="265" t="s">
        <v>29</v>
      </c>
      <c r="F857" s="265" t="s">
        <v>29</v>
      </c>
      <c r="G857" s="280" t="s">
        <v>1443</v>
      </c>
      <c r="H857" s="280" t="s">
        <v>1449</v>
      </c>
      <c r="I857" s="281">
        <v>0</v>
      </c>
      <c r="J857" s="280" t="s">
        <v>94</v>
      </c>
      <c r="K857" s="280" t="s">
        <v>29</v>
      </c>
      <c r="L857" s="280" t="s">
        <v>29</v>
      </c>
      <c r="M857" s="280" t="s">
        <v>29</v>
      </c>
      <c r="N857" s="282" t="s">
        <v>3304</v>
      </c>
      <c r="O857" s="280" t="s">
        <v>3305</v>
      </c>
      <c r="P857" s="280" t="s">
        <v>1459</v>
      </c>
      <c r="Q857" s="63" t="str">
        <f>IF(V857&lt;&gt;"","Completed","")</f>
        <v/>
      </c>
      <c r="R857" s="270" t="s">
        <v>1242</v>
      </c>
      <c r="S857" s="270"/>
      <c r="T857" s="265"/>
      <c r="U857" s="265"/>
      <c r="V857" s="256"/>
      <c r="W857" s="265"/>
      <c r="X857" s="265"/>
      <c r="Y857" s="86" t="s">
        <v>1242</v>
      </c>
      <c r="Z857" s="263"/>
      <c r="AA857" s="264"/>
      <c r="AB857" s="265"/>
      <c r="AC857" s="265"/>
      <c r="AD857" s="345"/>
    </row>
    <row r="858" spans="1:30" s="66" customFormat="1">
      <c r="A858" s="336" t="s">
        <v>1286</v>
      </c>
      <c r="B858" s="267" t="s">
        <v>1287</v>
      </c>
      <c r="C858" s="279">
        <v>42670</v>
      </c>
      <c r="D858" s="265"/>
      <c r="E858" s="265" t="s">
        <v>29</v>
      </c>
      <c r="F858" s="265" t="s">
        <v>29</v>
      </c>
      <c r="G858" s="280" t="s">
        <v>1443</v>
      </c>
      <c r="H858" s="280" t="s">
        <v>1449</v>
      </c>
      <c r="I858" s="281">
        <v>0</v>
      </c>
      <c r="J858" s="280" t="s">
        <v>29</v>
      </c>
      <c r="K858" s="280" t="s">
        <v>29</v>
      </c>
      <c r="L858" s="280" t="s">
        <v>29</v>
      </c>
      <c r="M858" s="280" t="s">
        <v>29</v>
      </c>
      <c r="N858" s="282" t="s">
        <v>3306</v>
      </c>
      <c r="O858" s="280" t="s">
        <v>3307</v>
      </c>
      <c r="P858" s="280" t="s">
        <v>1459</v>
      </c>
      <c r="Q858" s="63" t="str">
        <f>IF(V858&lt;&gt;"","Completed","")</f>
        <v/>
      </c>
      <c r="R858" s="270" t="s">
        <v>1242</v>
      </c>
      <c r="S858" s="270"/>
      <c r="T858" s="265"/>
      <c r="U858" s="265"/>
      <c r="V858" s="256"/>
      <c r="W858" s="265"/>
      <c r="X858" s="265"/>
      <c r="Y858" s="86" t="s">
        <v>1242</v>
      </c>
      <c r="Z858" s="263"/>
      <c r="AA858" s="264"/>
      <c r="AB858" s="265"/>
      <c r="AC858" s="265"/>
      <c r="AD858" s="345"/>
    </row>
    <row r="859" spans="1:30" s="66" customFormat="1">
      <c r="A859" s="334" t="s">
        <v>1349</v>
      </c>
      <c r="B859" s="278"/>
      <c r="C859" s="279">
        <v>42668</v>
      </c>
      <c r="D859" s="265"/>
      <c r="E859" s="265" t="s">
        <v>29</v>
      </c>
      <c r="F859" s="265" t="s">
        <v>94</v>
      </c>
      <c r="G859" s="280" t="s">
        <v>1443</v>
      </c>
      <c r="H859" s="280" t="s">
        <v>1456</v>
      </c>
      <c r="I859" s="281">
        <v>0</v>
      </c>
      <c r="J859" s="280" t="s">
        <v>94</v>
      </c>
      <c r="K859" s="280" t="s">
        <v>29</v>
      </c>
      <c r="L859" s="280" t="s">
        <v>94</v>
      </c>
      <c r="M859" s="280" t="s">
        <v>94</v>
      </c>
      <c r="N859" s="282" t="s">
        <v>3308</v>
      </c>
      <c r="O859" s="280" t="s">
        <v>3309</v>
      </c>
      <c r="P859" s="280" t="s">
        <v>1459</v>
      </c>
      <c r="Q859" s="63" t="str">
        <f>IF(V859&lt;&gt;"","Completed","")</f>
        <v/>
      </c>
      <c r="R859" s="270" t="s">
        <v>1242</v>
      </c>
      <c r="S859" s="270"/>
      <c r="T859" s="265"/>
      <c r="U859" s="265"/>
      <c r="V859" s="256"/>
      <c r="W859" s="265"/>
      <c r="X859" s="265"/>
      <c r="Y859" s="86" t="s">
        <v>1242</v>
      </c>
      <c r="Z859" s="263"/>
      <c r="AA859" s="264"/>
      <c r="AB859" s="265"/>
      <c r="AC859" s="265"/>
      <c r="AD859" s="345"/>
    </row>
    <row r="860" spans="1:30" s="66" customFormat="1">
      <c r="A860" s="334" t="s">
        <v>408</v>
      </c>
      <c r="B860" s="278"/>
      <c r="C860" s="279">
        <v>42711</v>
      </c>
      <c r="D860" s="265"/>
      <c r="E860" s="265" t="s">
        <v>29</v>
      </c>
      <c r="F860" s="265" t="s">
        <v>29</v>
      </c>
      <c r="G860" s="280" t="s">
        <v>1443</v>
      </c>
      <c r="H860" s="280" t="s">
        <v>1444</v>
      </c>
      <c r="I860" s="281">
        <v>0</v>
      </c>
      <c r="J860" s="280" t="s">
        <v>94</v>
      </c>
      <c r="K860" s="280" t="s">
        <v>29</v>
      </c>
      <c r="L860" s="280" t="s">
        <v>94</v>
      </c>
      <c r="M860" s="280" t="s">
        <v>29</v>
      </c>
      <c r="N860" s="282" t="s">
        <v>3310</v>
      </c>
      <c r="O860" s="280" t="s">
        <v>3311</v>
      </c>
      <c r="P860" s="280" t="s">
        <v>1447</v>
      </c>
      <c r="Q860" s="63" t="str">
        <f>IF(V860&lt;&gt;"","Completed","")</f>
        <v/>
      </c>
      <c r="R860" s="270" t="s">
        <v>1242</v>
      </c>
      <c r="S860" s="270"/>
      <c r="T860" s="265"/>
      <c r="U860" s="265"/>
      <c r="V860" s="256"/>
      <c r="W860" s="265"/>
      <c r="X860" s="265"/>
      <c r="Y860" s="86" t="s">
        <v>1242</v>
      </c>
      <c r="Z860" s="263"/>
      <c r="AA860" s="264"/>
      <c r="AB860" s="86"/>
      <c r="AC860" s="265"/>
      <c r="AD860" s="345"/>
    </row>
    <row r="861" spans="1:30" s="66" customFormat="1">
      <c r="A861" s="75" t="s">
        <v>1379</v>
      </c>
      <c r="B861" s="59"/>
      <c r="C861" s="57"/>
      <c r="D861" s="65"/>
      <c r="E861" s="65" t="s">
        <v>29</v>
      </c>
      <c r="F861" s="65" t="s">
        <v>94</v>
      </c>
      <c r="G861" s="58" t="s">
        <v>1443</v>
      </c>
      <c r="H861" s="58" t="s">
        <v>1444</v>
      </c>
      <c r="I861" s="60">
        <v>458</v>
      </c>
      <c r="J861" s="58" t="s">
        <v>29</v>
      </c>
      <c r="K861" s="58" t="s">
        <v>29</v>
      </c>
      <c r="L861" s="58" t="s">
        <v>94</v>
      </c>
      <c r="M861" s="58" t="s">
        <v>94</v>
      </c>
      <c r="N861" s="61" t="s">
        <v>3312</v>
      </c>
      <c r="O861" s="58" t="s">
        <v>3313</v>
      </c>
      <c r="P861" s="58" t="s">
        <v>1447</v>
      </c>
      <c r="Q861" s="63" t="str">
        <f>IF(V861&lt;&gt;"","Completed","")</f>
        <v/>
      </c>
      <c r="R861" s="270" t="s">
        <v>1242</v>
      </c>
      <c r="S861" s="270"/>
      <c r="T861" s="265"/>
      <c r="U861" s="265"/>
      <c r="V861" s="256"/>
      <c r="W861" s="65"/>
      <c r="X861" s="65"/>
      <c r="Y861" s="86" t="s">
        <v>1242</v>
      </c>
      <c r="Z861" s="56"/>
      <c r="AA861" s="249"/>
      <c r="AB861" s="265"/>
      <c r="AC861" s="265"/>
      <c r="AD861" s="345"/>
    </row>
    <row r="862" spans="1:30" s="66" customFormat="1">
      <c r="A862" s="75" t="s">
        <v>426</v>
      </c>
      <c r="B862" s="59"/>
      <c r="C862" s="57">
        <v>42691</v>
      </c>
      <c r="D862" s="65"/>
      <c r="E862" s="65" t="s">
        <v>29</v>
      </c>
      <c r="F862" s="65" t="s">
        <v>29</v>
      </c>
      <c r="G862" s="58" t="s">
        <v>1443</v>
      </c>
      <c r="H862" s="58" t="s">
        <v>1449</v>
      </c>
      <c r="I862" s="60">
        <v>0</v>
      </c>
      <c r="J862" s="58" t="s">
        <v>29</v>
      </c>
      <c r="K862" s="58" t="s">
        <v>29</v>
      </c>
      <c r="L862" s="58" t="s">
        <v>29</v>
      </c>
      <c r="M862" s="58" t="s">
        <v>29</v>
      </c>
      <c r="N862" s="61" t="s">
        <v>3314</v>
      </c>
      <c r="O862" s="58" t="s">
        <v>3315</v>
      </c>
      <c r="P862" s="58" t="s">
        <v>1447</v>
      </c>
      <c r="Q862" s="63" t="str">
        <f>IF(V862&lt;&gt;"","Completed","")</f>
        <v/>
      </c>
      <c r="R862" s="270" t="s">
        <v>1242</v>
      </c>
      <c r="S862" s="270"/>
      <c r="T862" s="65"/>
      <c r="U862" s="65"/>
      <c r="V862" s="256"/>
      <c r="W862" s="65"/>
      <c r="X862" s="65"/>
      <c r="Y862" s="86" t="s">
        <v>1242</v>
      </c>
      <c r="Z862" s="56"/>
      <c r="AA862" s="249"/>
      <c r="AB862" s="265"/>
      <c r="AC862" s="265"/>
      <c r="AD862" s="345"/>
    </row>
    <row r="863" spans="1:30">
      <c r="A863" s="333" t="s">
        <v>1293</v>
      </c>
      <c r="B863" s="305"/>
      <c r="C863" s="311"/>
      <c r="D863" s="109" t="s">
        <v>3316</v>
      </c>
      <c r="E863" s="151" t="s">
        <v>94</v>
      </c>
      <c r="F863" s="151" t="s">
        <v>29</v>
      </c>
      <c r="G863" s="306" t="s">
        <v>1443</v>
      </c>
      <c r="H863" s="306" t="s">
        <v>1456</v>
      </c>
      <c r="I863" s="307">
        <v>151</v>
      </c>
      <c r="J863" s="306" t="s">
        <v>94</v>
      </c>
      <c r="K863" s="306" t="s">
        <v>94</v>
      </c>
      <c r="L863" s="306" t="s">
        <v>29</v>
      </c>
      <c r="M863" s="306" t="s">
        <v>29</v>
      </c>
      <c r="N863" s="308" t="s">
        <v>3317</v>
      </c>
      <c r="O863" s="306" t="s">
        <v>3318</v>
      </c>
      <c r="P863" s="306" t="s">
        <v>1447</v>
      </c>
      <c r="Q863" s="63" t="str">
        <f>IF(V863&lt;&gt;"","Completed","")</f>
        <v/>
      </c>
      <c r="R863" s="270" t="s">
        <v>1242</v>
      </c>
      <c r="S863" s="270"/>
      <c r="V863" s="256"/>
      <c r="Y863" s="86" t="s">
        <v>1242</v>
      </c>
      <c r="AA863" s="252"/>
      <c r="AB863" s="265"/>
      <c r="AC863" s="86"/>
    </row>
    <row r="864" spans="1:30">
      <c r="A864" s="334" t="s">
        <v>1255</v>
      </c>
      <c r="B864" s="278"/>
      <c r="C864" s="279">
        <v>42683</v>
      </c>
      <c r="D864" s="265">
        <v>3046000</v>
      </c>
      <c r="E864" s="265" t="s">
        <v>29</v>
      </c>
      <c r="F864" s="265" t="s">
        <v>94</v>
      </c>
      <c r="G864" s="280" t="s">
        <v>1443</v>
      </c>
      <c r="H864" s="280" t="s">
        <v>1456</v>
      </c>
      <c r="I864" s="281">
        <v>0</v>
      </c>
      <c r="J864" s="280" t="s">
        <v>94</v>
      </c>
      <c r="K864" s="280" t="s">
        <v>29</v>
      </c>
      <c r="L864" s="280" t="s">
        <v>94</v>
      </c>
      <c r="M864" s="280" t="s">
        <v>94</v>
      </c>
      <c r="N864" s="282" t="s">
        <v>3319</v>
      </c>
      <c r="O864" s="280" t="s">
        <v>3320</v>
      </c>
      <c r="P864" s="280" t="s">
        <v>1447</v>
      </c>
      <c r="Q864" s="63" t="str">
        <f>IF(V864&lt;&gt;"","Completed","")</f>
        <v/>
      </c>
      <c r="R864" s="270" t="s">
        <v>1242</v>
      </c>
      <c r="S864" s="270"/>
      <c r="T864" s="265"/>
      <c r="U864" s="265"/>
      <c r="V864" s="256"/>
      <c r="W864" s="265"/>
      <c r="X864" s="265"/>
      <c r="Y864" s="86" t="s">
        <v>1242</v>
      </c>
      <c r="Z864" s="263"/>
      <c r="AA864" s="264"/>
      <c r="AB864" s="265"/>
      <c r="AC864" s="265"/>
    </row>
    <row r="865" spans="1:30">
      <c r="A865" s="334" t="s">
        <v>1255</v>
      </c>
      <c r="B865" s="278"/>
      <c r="C865" s="279">
        <v>42683</v>
      </c>
      <c r="D865" s="265">
        <v>3046000</v>
      </c>
      <c r="E865" s="265" t="s">
        <v>29</v>
      </c>
      <c r="F865" s="265" t="s">
        <v>94</v>
      </c>
      <c r="G865" s="280" t="s">
        <v>1443</v>
      </c>
      <c r="H865" s="280" t="s">
        <v>1456</v>
      </c>
      <c r="I865" s="281">
        <v>418</v>
      </c>
      <c r="J865" s="280" t="s">
        <v>94</v>
      </c>
      <c r="K865" s="280" t="s">
        <v>29</v>
      </c>
      <c r="L865" s="280" t="s">
        <v>94</v>
      </c>
      <c r="M865" s="280" t="s">
        <v>94</v>
      </c>
      <c r="N865" s="282" t="s">
        <v>3321</v>
      </c>
      <c r="O865" s="280" t="s">
        <v>3322</v>
      </c>
      <c r="P865" s="280" t="s">
        <v>1447</v>
      </c>
      <c r="Q865" s="63" t="str">
        <f>IF(V865&lt;&gt;"","Completed","")</f>
        <v/>
      </c>
      <c r="R865" s="270" t="s">
        <v>1242</v>
      </c>
      <c r="S865" s="270"/>
      <c r="T865" s="265"/>
      <c r="U865" s="265"/>
      <c r="V865" s="256"/>
      <c r="W865" s="265"/>
      <c r="X865" s="265"/>
      <c r="Y865" s="86" t="s">
        <v>1242</v>
      </c>
      <c r="Z865" s="263"/>
      <c r="AA865" s="264"/>
      <c r="AB865" s="265"/>
      <c r="AC865" s="265"/>
    </row>
    <row r="866" spans="1:30" s="56" customFormat="1">
      <c r="A866" s="334" t="s">
        <v>1349</v>
      </c>
      <c r="B866" s="278"/>
      <c r="C866" s="279">
        <v>42668</v>
      </c>
      <c r="D866" s="265"/>
      <c r="E866" s="265" t="s">
        <v>29</v>
      </c>
      <c r="F866" s="265" t="s">
        <v>94</v>
      </c>
      <c r="G866" s="280" t="s">
        <v>1443</v>
      </c>
      <c r="H866" s="280" t="s">
        <v>1456</v>
      </c>
      <c r="I866" s="281">
        <v>349</v>
      </c>
      <c r="J866" s="280" t="s">
        <v>94</v>
      </c>
      <c r="K866" s="280" t="s">
        <v>29</v>
      </c>
      <c r="L866" s="280" t="s">
        <v>94</v>
      </c>
      <c r="M866" s="280" t="s">
        <v>94</v>
      </c>
      <c r="N866" s="282" t="s">
        <v>3323</v>
      </c>
      <c r="O866" s="280" t="s">
        <v>3324</v>
      </c>
      <c r="P866" s="280" t="s">
        <v>1459</v>
      </c>
      <c r="Q866" s="63" t="str">
        <f>IF(V866&lt;&gt;"","Completed","")</f>
        <v/>
      </c>
      <c r="R866" s="270" t="s">
        <v>1242</v>
      </c>
      <c r="S866" s="270"/>
      <c r="T866" s="265"/>
      <c r="U866" s="265"/>
      <c r="V866" s="256"/>
      <c r="W866" s="265"/>
      <c r="X866" s="265"/>
      <c r="Y866" s="86" t="s">
        <v>1242</v>
      </c>
      <c r="Z866" s="263"/>
      <c r="AA866" s="264"/>
      <c r="AB866" s="265"/>
      <c r="AC866" s="265"/>
      <c r="AD866" s="345"/>
    </row>
    <row r="867" spans="1:30">
      <c r="A867" s="336" t="s">
        <v>1344</v>
      </c>
      <c r="B867" s="258" t="s">
        <v>1007</v>
      </c>
      <c r="C867" s="279">
        <v>42697</v>
      </c>
      <c r="D867" s="265"/>
      <c r="E867" s="265" t="s">
        <v>29</v>
      </c>
      <c r="F867" s="265" t="s">
        <v>94</v>
      </c>
      <c r="G867" s="280" t="s">
        <v>1443</v>
      </c>
      <c r="H867" s="280" t="s">
        <v>1444</v>
      </c>
      <c r="I867" s="281">
        <v>240</v>
      </c>
      <c r="J867" s="280" t="s">
        <v>94</v>
      </c>
      <c r="K867" s="280" t="s">
        <v>29</v>
      </c>
      <c r="L867" s="280" t="s">
        <v>29</v>
      </c>
      <c r="M867" s="280" t="s">
        <v>94</v>
      </c>
      <c r="N867" s="282" t="s">
        <v>3325</v>
      </c>
      <c r="O867" s="280" t="s">
        <v>3326</v>
      </c>
      <c r="P867" s="280" t="s">
        <v>1447</v>
      </c>
      <c r="Q867" s="63" t="str">
        <f>IF(V867&lt;&gt;"","Completed","")</f>
        <v/>
      </c>
      <c r="R867" s="270" t="s">
        <v>1242</v>
      </c>
      <c r="S867" s="270"/>
      <c r="T867" s="276"/>
      <c r="U867" s="265"/>
      <c r="V867" s="256"/>
      <c r="W867" s="265"/>
      <c r="X867" s="265"/>
      <c r="Y867" s="86" t="s">
        <v>1242</v>
      </c>
      <c r="Z867" s="263"/>
      <c r="AA867" s="264"/>
      <c r="AB867" s="265"/>
      <c r="AC867" s="265"/>
    </row>
    <row r="868" spans="1:30">
      <c r="A868" s="336" t="s">
        <v>1244</v>
      </c>
      <c r="B868" s="258" t="s">
        <v>1245</v>
      </c>
      <c r="C868" s="283">
        <v>42716</v>
      </c>
      <c r="D868" s="107" t="s">
        <v>3327</v>
      </c>
      <c r="E868" s="113" t="s">
        <v>94</v>
      </c>
      <c r="F868" s="113" t="s">
        <v>29</v>
      </c>
      <c r="G868" s="285" t="s">
        <v>1443</v>
      </c>
      <c r="H868" s="285" t="s">
        <v>1449</v>
      </c>
      <c r="I868" s="286">
        <v>363</v>
      </c>
      <c r="J868" s="285" t="s">
        <v>94</v>
      </c>
      <c r="K868" s="285" t="s">
        <v>94</v>
      </c>
      <c r="L868" s="285" t="s">
        <v>29</v>
      </c>
      <c r="M868" s="285" t="s">
        <v>29</v>
      </c>
      <c r="N868" s="287" t="s">
        <v>3328</v>
      </c>
      <c r="O868" s="285" t="s">
        <v>3329</v>
      </c>
      <c r="P868" s="285" t="s">
        <v>1447</v>
      </c>
      <c r="Q868" s="63" t="str">
        <f>IF(V868&lt;&gt;"","Completed","")</f>
        <v/>
      </c>
      <c r="R868" s="343" t="s">
        <v>1242</v>
      </c>
      <c r="S868" s="343"/>
      <c r="T868" s="265"/>
      <c r="U868" s="265"/>
      <c r="V868" s="265"/>
      <c r="W868" s="265"/>
      <c r="X868" s="265"/>
      <c r="Y868" s="86" t="s">
        <v>1242</v>
      </c>
      <c r="Z868" s="263"/>
      <c r="AA868" s="264"/>
      <c r="AB868" s="265"/>
      <c r="AC868" s="265"/>
    </row>
    <row r="869" spans="1:30">
      <c r="A869" s="75" t="s">
        <v>756</v>
      </c>
      <c r="B869" s="59"/>
      <c r="C869" s="57">
        <v>42748</v>
      </c>
      <c r="E869" s="65" t="s">
        <v>29</v>
      </c>
      <c r="F869" s="65" t="s">
        <v>94</v>
      </c>
      <c r="G869" s="58" t="s">
        <v>1443</v>
      </c>
      <c r="H869" s="58" t="s">
        <v>1456</v>
      </c>
      <c r="I869" s="60">
        <v>0</v>
      </c>
      <c r="J869" s="58" t="s">
        <v>94</v>
      </c>
      <c r="K869" s="58" t="s">
        <v>29</v>
      </c>
      <c r="L869" s="58" t="s">
        <v>94</v>
      </c>
      <c r="M869" s="58" t="s">
        <v>94</v>
      </c>
      <c r="N869" s="61" t="s">
        <v>3330</v>
      </c>
      <c r="O869" s="58" t="s">
        <v>3331</v>
      </c>
      <c r="P869" s="58" t="s">
        <v>1459</v>
      </c>
      <c r="Q869" s="63" t="str">
        <f>IF(V869&lt;&gt;"","Completed","")</f>
        <v/>
      </c>
      <c r="R869" s="64" t="s">
        <v>1242</v>
      </c>
      <c r="V869" s="256"/>
      <c r="Y869" s="86" t="s">
        <v>1242</v>
      </c>
      <c r="AA869" s="252"/>
      <c r="AB869" s="86"/>
      <c r="AC869" s="265"/>
    </row>
    <row r="870" spans="1:30">
      <c r="A870" s="75" t="s">
        <v>1379</v>
      </c>
      <c r="B870" s="59"/>
      <c r="C870" s="57"/>
      <c r="E870" s="65" t="s">
        <v>29</v>
      </c>
      <c r="F870" s="65" t="s">
        <v>94</v>
      </c>
      <c r="G870" s="58" t="s">
        <v>1443</v>
      </c>
      <c r="H870" s="58" t="s">
        <v>1444</v>
      </c>
      <c r="I870" s="60">
        <v>0</v>
      </c>
      <c r="J870" s="58" t="s">
        <v>94</v>
      </c>
      <c r="K870" s="58" t="s">
        <v>29</v>
      </c>
      <c r="L870" s="58" t="s">
        <v>94</v>
      </c>
      <c r="M870" s="58" t="s">
        <v>94</v>
      </c>
      <c r="N870" s="61" t="s">
        <v>3332</v>
      </c>
      <c r="O870" s="58" t="s">
        <v>3333</v>
      </c>
      <c r="P870" s="58" t="s">
        <v>1447</v>
      </c>
      <c r="Q870" s="63" t="str">
        <f>IF(V870&lt;&gt;"","Completed","")</f>
        <v/>
      </c>
      <c r="R870" s="270" t="s">
        <v>1242</v>
      </c>
      <c r="S870" s="270"/>
      <c r="T870" s="265"/>
      <c r="U870" s="265"/>
      <c r="V870" s="256"/>
      <c r="Y870" s="86" t="s">
        <v>1242</v>
      </c>
      <c r="AA870" s="249"/>
      <c r="AB870" s="265"/>
      <c r="AC870" s="265"/>
    </row>
    <row r="871" spans="1:30">
      <c r="A871" s="334" t="s">
        <v>1349</v>
      </c>
      <c r="B871" s="278"/>
      <c r="C871" s="279">
        <v>42668</v>
      </c>
      <c r="D871" s="265"/>
      <c r="E871" s="265" t="s">
        <v>29</v>
      </c>
      <c r="F871" s="265" t="s">
        <v>94</v>
      </c>
      <c r="G871" s="280" t="s">
        <v>1443</v>
      </c>
      <c r="H871" s="280" t="s">
        <v>1456</v>
      </c>
      <c r="I871" s="281">
        <v>0</v>
      </c>
      <c r="J871" s="280" t="s">
        <v>94</v>
      </c>
      <c r="K871" s="280" t="s">
        <v>29</v>
      </c>
      <c r="L871" s="280" t="s">
        <v>94</v>
      </c>
      <c r="M871" s="280" t="s">
        <v>94</v>
      </c>
      <c r="N871" s="282" t="s">
        <v>3334</v>
      </c>
      <c r="O871" s="280" t="s">
        <v>3335</v>
      </c>
      <c r="P871" s="280" t="s">
        <v>1459</v>
      </c>
      <c r="Q871" s="63" t="str">
        <f>IF(V871&lt;&gt;"","Completed","")</f>
        <v/>
      </c>
      <c r="R871" s="270" t="s">
        <v>1242</v>
      </c>
      <c r="S871" s="270"/>
      <c r="T871" s="265"/>
      <c r="U871" s="265"/>
      <c r="V871" s="256"/>
      <c r="W871" s="265"/>
      <c r="X871" s="265"/>
      <c r="Y871" s="86" t="s">
        <v>1242</v>
      </c>
      <c r="Z871" s="263"/>
      <c r="AA871" s="264"/>
      <c r="AB871" s="265"/>
      <c r="AC871" s="265"/>
    </row>
    <row r="872" spans="1:30">
      <c r="A872" s="334" t="s">
        <v>408</v>
      </c>
      <c r="B872" s="278"/>
      <c r="C872" s="279">
        <v>42711</v>
      </c>
      <c r="D872" s="265"/>
      <c r="E872" s="265" t="s">
        <v>29</v>
      </c>
      <c r="F872" s="265" t="s">
        <v>29</v>
      </c>
      <c r="G872" s="280" t="s">
        <v>1443</v>
      </c>
      <c r="H872" s="280" t="s">
        <v>1444</v>
      </c>
      <c r="I872" s="281">
        <v>411</v>
      </c>
      <c r="J872" s="280" t="s">
        <v>94</v>
      </c>
      <c r="K872" s="280" t="s">
        <v>29</v>
      </c>
      <c r="L872" s="280" t="s">
        <v>94</v>
      </c>
      <c r="M872" s="280" t="s">
        <v>29</v>
      </c>
      <c r="N872" s="282" t="s">
        <v>3336</v>
      </c>
      <c r="O872" s="280" t="s">
        <v>3337</v>
      </c>
      <c r="P872" s="280" t="s">
        <v>1447</v>
      </c>
      <c r="Q872" s="63" t="str">
        <f>IF(V872&lt;&gt;"","Completed","")</f>
        <v/>
      </c>
      <c r="R872" s="270" t="s">
        <v>1242</v>
      </c>
      <c r="S872" s="270"/>
      <c r="T872" s="265"/>
      <c r="U872" s="265"/>
      <c r="V872" s="256"/>
      <c r="W872" s="265"/>
      <c r="X872" s="265"/>
      <c r="Y872" s="86" t="s">
        <v>1242</v>
      </c>
      <c r="Z872" s="263"/>
      <c r="AA872" s="264"/>
      <c r="AB872" s="86"/>
      <c r="AC872" s="265"/>
    </row>
    <row r="873" spans="1:30">
      <c r="A873" s="334" t="s">
        <v>1410</v>
      </c>
      <c r="B873" s="278"/>
      <c r="C873" s="279"/>
      <c r="D873" s="265"/>
      <c r="E873" s="265" t="s">
        <v>29</v>
      </c>
      <c r="F873" s="265" t="s">
        <v>94</v>
      </c>
      <c r="G873" s="280" t="s">
        <v>1443</v>
      </c>
      <c r="H873" s="280" t="s">
        <v>1456</v>
      </c>
      <c r="I873" s="281">
        <v>261</v>
      </c>
      <c r="J873" s="280" t="s">
        <v>29</v>
      </c>
      <c r="K873" s="280" t="s">
        <v>29</v>
      </c>
      <c r="L873" s="280" t="s">
        <v>94</v>
      </c>
      <c r="M873" s="280" t="s">
        <v>94</v>
      </c>
      <c r="N873" s="282" t="s">
        <v>3338</v>
      </c>
      <c r="O873" s="280" t="s">
        <v>3339</v>
      </c>
      <c r="P873" s="280" t="s">
        <v>1459</v>
      </c>
      <c r="Q873" s="63" t="str">
        <f>IF(V873&lt;&gt;"","Completed","")</f>
        <v/>
      </c>
      <c r="R873" s="64" t="s">
        <v>1242</v>
      </c>
      <c r="T873" s="265"/>
      <c r="U873" s="265"/>
      <c r="V873" s="256"/>
      <c r="W873" s="265"/>
      <c r="X873" s="265"/>
      <c r="Y873" s="86" t="s">
        <v>1242</v>
      </c>
      <c r="Z873" s="263"/>
      <c r="AA873" s="264"/>
      <c r="AB873" s="86"/>
      <c r="AC873" s="86"/>
    </row>
    <row r="874" spans="1:30">
      <c r="A874" s="75" t="s">
        <v>426</v>
      </c>
      <c r="B874" s="59"/>
      <c r="C874" s="57">
        <v>42691</v>
      </c>
      <c r="E874" s="65" t="s">
        <v>29</v>
      </c>
      <c r="F874" s="65" t="s">
        <v>29</v>
      </c>
      <c r="G874" s="58" t="s">
        <v>1443</v>
      </c>
      <c r="H874" s="58" t="s">
        <v>1449</v>
      </c>
      <c r="I874" s="60">
        <v>650</v>
      </c>
      <c r="J874" s="58" t="s">
        <v>94</v>
      </c>
      <c r="K874" s="58" t="s">
        <v>29</v>
      </c>
      <c r="L874" s="58" t="s">
        <v>29</v>
      </c>
      <c r="M874" s="58" t="s">
        <v>29</v>
      </c>
      <c r="N874" s="61" t="s">
        <v>3340</v>
      </c>
      <c r="O874" s="58" t="s">
        <v>3341</v>
      </c>
      <c r="P874" s="58" t="s">
        <v>1447</v>
      </c>
      <c r="Q874" s="63" t="str">
        <f>IF(V874&lt;&gt;"","Completed","")</f>
        <v/>
      </c>
      <c r="R874" s="270" t="s">
        <v>1242</v>
      </c>
      <c r="S874" s="270"/>
      <c r="V874" s="256"/>
      <c r="Y874" s="86" t="s">
        <v>1242</v>
      </c>
      <c r="AA874" s="249"/>
    </row>
    <row r="875" spans="1:30">
      <c r="A875" s="333" t="s">
        <v>1293</v>
      </c>
      <c r="B875" s="305"/>
      <c r="C875" s="311"/>
      <c r="D875" s="109" t="s">
        <v>3342</v>
      </c>
      <c r="E875" s="151" t="s">
        <v>94</v>
      </c>
      <c r="F875" s="151" t="s">
        <v>29</v>
      </c>
      <c r="G875" s="306" t="s">
        <v>1443</v>
      </c>
      <c r="H875" s="306" t="s">
        <v>1456</v>
      </c>
      <c r="I875" s="307">
        <v>132</v>
      </c>
      <c r="J875" s="306" t="s">
        <v>94</v>
      </c>
      <c r="K875" s="306" t="s">
        <v>94</v>
      </c>
      <c r="L875" s="306" t="s">
        <v>29</v>
      </c>
      <c r="M875" s="306" t="s">
        <v>29</v>
      </c>
      <c r="N875" s="308" t="s">
        <v>3343</v>
      </c>
      <c r="O875" s="306" t="s">
        <v>3344</v>
      </c>
      <c r="P875" s="306" t="s">
        <v>1447</v>
      </c>
      <c r="Q875" s="63" t="str">
        <f>IF(V875&lt;&gt;"","Completed","")</f>
        <v/>
      </c>
      <c r="R875" s="270" t="s">
        <v>1242</v>
      </c>
      <c r="S875" s="270"/>
      <c r="V875" s="256"/>
      <c r="Y875" s="86" t="s">
        <v>1242</v>
      </c>
      <c r="AA875" s="252"/>
      <c r="AB875" s="265"/>
      <c r="AC875" s="86"/>
    </row>
    <row r="876" spans="1:30">
      <c r="A876" s="339" t="s">
        <v>1300</v>
      </c>
      <c r="B876" s="284"/>
      <c r="C876" s="283">
        <v>42656</v>
      </c>
      <c r="D876" s="107" t="s">
        <v>3345</v>
      </c>
      <c r="E876" s="113" t="s">
        <v>94</v>
      </c>
      <c r="F876" s="113" t="s">
        <v>29</v>
      </c>
      <c r="G876" s="285" t="s">
        <v>1443</v>
      </c>
      <c r="H876" s="285" t="s">
        <v>1456</v>
      </c>
      <c r="I876" s="286">
        <v>75</v>
      </c>
      <c r="J876" s="285" t="s">
        <v>94</v>
      </c>
      <c r="K876" s="285" t="s">
        <v>94</v>
      </c>
      <c r="L876" s="285" t="s">
        <v>29</v>
      </c>
      <c r="M876" s="285" t="s">
        <v>29</v>
      </c>
      <c r="N876" s="287" t="s">
        <v>3346</v>
      </c>
      <c r="O876" s="285" t="s">
        <v>3347</v>
      </c>
      <c r="P876" s="285" t="s">
        <v>1459</v>
      </c>
      <c r="Q876" s="63" t="str">
        <f>IF(V876&lt;&gt;"","Completed","")</f>
        <v/>
      </c>
      <c r="R876" s="64" t="s">
        <v>1242</v>
      </c>
      <c r="T876" s="265"/>
      <c r="U876" s="265"/>
      <c r="V876" s="256"/>
      <c r="W876" s="265"/>
      <c r="X876" s="265"/>
      <c r="Y876" s="86" t="s">
        <v>1242</v>
      </c>
      <c r="Z876" s="263"/>
      <c r="AA876" s="264"/>
      <c r="AB876" s="265"/>
      <c r="AC876" s="86"/>
    </row>
    <row r="877" spans="1:30">
      <c r="A877" s="75" t="s">
        <v>1393</v>
      </c>
      <c r="B877" s="59"/>
      <c r="C877" s="57">
        <v>42688</v>
      </c>
      <c r="E877" s="65" t="s">
        <v>29</v>
      </c>
      <c r="F877" s="65" t="s">
        <v>29</v>
      </c>
      <c r="G877" s="58" t="s">
        <v>1443</v>
      </c>
      <c r="H877" s="58" t="s">
        <v>1456</v>
      </c>
      <c r="I877" s="60">
        <v>0</v>
      </c>
      <c r="J877" s="58" t="s">
        <v>94</v>
      </c>
      <c r="K877" s="58" t="s">
        <v>29</v>
      </c>
      <c r="L877" s="58" t="s">
        <v>29</v>
      </c>
      <c r="M877" s="58" t="s">
        <v>29</v>
      </c>
      <c r="N877" s="61" t="s">
        <v>3348</v>
      </c>
      <c r="O877" s="294" t="s">
        <v>3349</v>
      </c>
      <c r="P877" s="58" t="s">
        <v>1447</v>
      </c>
      <c r="Q877" s="63" t="str">
        <f>IF(V877&lt;&gt;"","Completed","")</f>
        <v/>
      </c>
      <c r="R877" s="270" t="s">
        <v>1242</v>
      </c>
      <c r="S877" s="270"/>
      <c r="T877" s="265"/>
      <c r="U877" s="265"/>
      <c r="V877" s="265"/>
      <c r="Y877" s="86" t="s">
        <v>1242</v>
      </c>
      <c r="AA877" s="249"/>
      <c r="AB877" s="265"/>
      <c r="AC877" s="265"/>
    </row>
    <row r="878" spans="1:30">
      <c r="A878" s="75" t="s">
        <v>408</v>
      </c>
      <c r="B878" s="59"/>
      <c r="C878" s="57">
        <v>42711</v>
      </c>
      <c r="E878" s="65" t="s">
        <v>29</v>
      </c>
      <c r="F878" s="65" t="s">
        <v>29</v>
      </c>
      <c r="G878" s="58" t="s">
        <v>1443</v>
      </c>
      <c r="H878" s="58" t="s">
        <v>1444</v>
      </c>
      <c r="I878" s="60">
        <v>240</v>
      </c>
      <c r="J878" s="58" t="s">
        <v>94</v>
      </c>
      <c r="K878" s="58" t="s">
        <v>29</v>
      </c>
      <c r="L878" s="58" t="s">
        <v>94</v>
      </c>
      <c r="M878" s="58" t="s">
        <v>29</v>
      </c>
      <c r="N878" s="61" t="s">
        <v>3350</v>
      </c>
      <c r="O878" s="58" t="s">
        <v>3351</v>
      </c>
      <c r="P878" s="58" t="s">
        <v>1447</v>
      </c>
      <c r="Q878" s="63" t="str">
        <f>IF(V878&lt;&gt;"","Completed","")</f>
        <v/>
      </c>
      <c r="R878" s="270" t="s">
        <v>1242</v>
      </c>
      <c r="S878" s="270"/>
      <c r="V878" s="256"/>
      <c r="Y878" s="86" t="s">
        <v>1242</v>
      </c>
      <c r="AA878" s="249"/>
      <c r="AB878" s="86"/>
      <c r="AC878" s="265"/>
    </row>
    <row r="879" spans="1:30">
      <c r="A879" s="336" t="s">
        <v>567</v>
      </c>
      <c r="B879" s="258" t="s">
        <v>417</v>
      </c>
      <c r="C879" s="283">
        <v>42675</v>
      </c>
      <c r="D879" s="107" t="s">
        <v>3352</v>
      </c>
      <c r="E879" s="113" t="s">
        <v>94</v>
      </c>
      <c r="F879" s="113" t="s">
        <v>29</v>
      </c>
      <c r="G879" s="285" t="s">
        <v>1443</v>
      </c>
      <c r="H879" s="285" t="s">
        <v>1444</v>
      </c>
      <c r="I879" s="286">
        <v>0</v>
      </c>
      <c r="J879" s="285" t="s">
        <v>29</v>
      </c>
      <c r="K879" s="285" t="s">
        <v>94</v>
      </c>
      <c r="L879" s="285" t="s">
        <v>29</v>
      </c>
      <c r="M879" s="285" t="s">
        <v>29</v>
      </c>
      <c r="N879" s="287" t="s">
        <v>3353</v>
      </c>
      <c r="O879" s="285" t="s">
        <v>3354</v>
      </c>
      <c r="P879" s="285" t="s">
        <v>1447</v>
      </c>
      <c r="Q879" s="63" t="str">
        <f>IF(V879&lt;&gt;"","Completed","")</f>
        <v/>
      </c>
      <c r="R879" s="64" t="s">
        <v>1242</v>
      </c>
      <c r="T879" s="265"/>
      <c r="U879" s="265"/>
      <c r="V879" s="256"/>
      <c r="W879" s="265"/>
      <c r="X879" s="265"/>
      <c r="Y879" s="86" t="s">
        <v>1242</v>
      </c>
      <c r="Z879" s="263"/>
      <c r="AA879" s="264"/>
      <c r="AB879" s="265"/>
      <c r="AC879" s="265"/>
    </row>
    <row r="880" spans="1:30">
      <c r="A880" s="244" t="s">
        <v>1385</v>
      </c>
      <c r="B880" s="62" t="s">
        <v>1245</v>
      </c>
      <c r="C880" s="311">
        <v>42716</v>
      </c>
      <c r="D880" s="109" t="s">
        <v>3355</v>
      </c>
      <c r="E880" s="151" t="s">
        <v>94</v>
      </c>
      <c r="F880" s="151" t="s">
        <v>29</v>
      </c>
      <c r="G880" s="306" t="s">
        <v>1443</v>
      </c>
      <c r="H880" s="306" t="s">
        <v>1449</v>
      </c>
      <c r="I880" s="307">
        <v>485</v>
      </c>
      <c r="J880" s="306" t="s">
        <v>29</v>
      </c>
      <c r="K880" s="306" t="s">
        <v>94</v>
      </c>
      <c r="L880" s="306" t="s">
        <v>29</v>
      </c>
      <c r="M880" s="306" t="s">
        <v>29</v>
      </c>
      <c r="N880" s="308" t="s">
        <v>3356</v>
      </c>
      <c r="O880" s="306" t="s">
        <v>3357</v>
      </c>
      <c r="P880" s="306" t="s">
        <v>1447</v>
      </c>
      <c r="Q880" s="63" t="str">
        <f>IF(V880&lt;&gt;"","Completed","")</f>
        <v/>
      </c>
      <c r="R880" s="343" t="s">
        <v>1242</v>
      </c>
      <c r="S880" s="343"/>
      <c r="T880" s="265"/>
      <c r="U880" s="265"/>
      <c r="V880" s="256"/>
      <c r="Y880" s="86" t="s">
        <v>1242</v>
      </c>
      <c r="AA880" s="252"/>
      <c r="AB880" s="265"/>
      <c r="AC880" s="265"/>
    </row>
    <row r="881" spans="1:30">
      <c r="A881" s="336" t="s">
        <v>1303</v>
      </c>
      <c r="B881" s="258" t="s">
        <v>1263</v>
      </c>
      <c r="C881" s="279">
        <v>42655</v>
      </c>
      <c r="D881" s="265"/>
      <c r="E881" s="265" t="s">
        <v>29</v>
      </c>
      <c r="F881" s="265" t="s">
        <v>29</v>
      </c>
      <c r="G881" s="280" t="s">
        <v>1443</v>
      </c>
      <c r="H881" s="280" t="s">
        <v>1456</v>
      </c>
      <c r="I881" s="281">
        <v>442</v>
      </c>
      <c r="J881" s="280" t="s">
        <v>94</v>
      </c>
      <c r="K881" s="280" t="s">
        <v>29</v>
      </c>
      <c r="L881" s="280" t="s">
        <v>94</v>
      </c>
      <c r="M881" s="280" t="s">
        <v>29</v>
      </c>
      <c r="N881" s="282" t="s">
        <v>3358</v>
      </c>
      <c r="O881" s="280" t="s">
        <v>3359</v>
      </c>
      <c r="P881" s="280" t="s">
        <v>1447</v>
      </c>
      <c r="Q881" s="63" t="str">
        <f>IF(V881&lt;&gt;"","Completed","")</f>
        <v/>
      </c>
      <c r="R881" s="64" t="s">
        <v>1242</v>
      </c>
      <c r="T881" s="265"/>
      <c r="U881" s="265"/>
      <c r="V881" s="256"/>
      <c r="W881" s="265"/>
      <c r="X881" s="265"/>
      <c r="Y881" s="86" t="s">
        <v>1242</v>
      </c>
      <c r="Z881" s="263"/>
      <c r="AA881" s="264"/>
      <c r="AB881" s="265"/>
      <c r="AC881" s="86"/>
    </row>
    <row r="882" spans="1:30">
      <c r="A882" s="334" t="s">
        <v>1255</v>
      </c>
      <c r="B882" s="278"/>
      <c r="C882" s="279">
        <v>42683</v>
      </c>
      <c r="D882" s="265">
        <v>3046000</v>
      </c>
      <c r="E882" s="265" t="s">
        <v>29</v>
      </c>
      <c r="F882" s="265" t="s">
        <v>29</v>
      </c>
      <c r="G882" s="280" t="s">
        <v>1443</v>
      </c>
      <c r="H882" s="280" t="s">
        <v>1456</v>
      </c>
      <c r="I882" s="281">
        <v>0</v>
      </c>
      <c r="J882" s="280" t="s">
        <v>94</v>
      </c>
      <c r="K882" s="280" t="s">
        <v>29</v>
      </c>
      <c r="L882" s="280" t="s">
        <v>94</v>
      </c>
      <c r="M882" s="280" t="s">
        <v>94</v>
      </c>
      <c r="N882" s="282" t="s">
        <v>3360</v>
      </c>
      <c r="O882" s="280" t="s">
        <v>3361</v>
      </c>
      <c r="P882" s="280" t="s">
        <v>1447</v>
      </c>
      <c r="Q882" s="63" t="str">
        <f>IF(V882&lt;&gt;"","Completed","")</f>
        <v/>
      </c>
      <c r="R882" s="270" t="s">
        <v>1242</v>
      </c>
      <c r="S882" s="270"/>
      <c r="T882" s="265"/>
      <c r="U882" s="265"/>
      <c r="V882" s="256"/>
      <c r="W882" s="265"/>
      <c r="X882" s="265"/>
      <c r="Y882" s="86" t="s">
        <v>1242</v>
      </c>
      <c r="Z882" s="263"/>
      <c r="AA882" s="264"/>
      <c r="AB882" s="265"/>
      <c r="AC882" s="265"/>
    </row>
    <row r="883" spans="1:30">
      <c r="A883" s="334" t="s">
        <v>703</v>
      </c>
      <c r="B883" s="278"/>
      <c r="C883" s="279">
        <v>42655</v>
      </c>
      <c r="D883" s="265"/>
      <c r="E883" s="265" t="s">
        <v>29</v>
      </c>
      <c r="F883" s="265" t="s">
        <v>29</v>
      </c>
      <c r="G883" s="280" t="s">
        <v>1443</v>
      </c>
      <c r="H883" s="280" t="s">
        <v>1444</v>
      </c>
      <c r="I883" s="281">
        <v>150</v>
      </c>
      <c r="J883" s="280" t="s">
        <v>94</v>
      </c>
      <c r="K883" s="280" t="s">
        <v>29</v>
      </c>
      <c r="L883" s="280" t="s">
        <v>94</v>
      </c>
      <c r="M883" s="280" t="s">
        <v>29</v>
      </c>
      <c r="N883" s="282" t="s">
        <v>3362</v>
      </c>
      <c r="O883" s="280" t="s">
        <v>3363</v>
      </c>
      <c r="P883" s="280" t="s">
        <v>1459</v>
      </c>
      <c r="Q883" s="63" t="str">
        <f>IF(V883&lt;&gt;"","Completed","")</f>
        <v/>
      </c>
      <c r="R883" s="64" t="s">
        <v>1242</v>
      </c>
      <c r="T883" s="265"/>
      <c r="U883" s="265"/>
      <c r="V883" s="256"/>
      <c r="W883" s="265"/>
      <c r="X883" s="265"/>
      <c r="Y883" s="86" t="s">
        <v>1242</v>
      </c>
      <c r="Z883" s="263"/>
      <c r="AA883" s="264"/>
      <c r="AB883" s="265"/>
      <c r="AC883" s="86"/>
    </row>
    <row r="884" spans="1:30">
      <c r="A884" s="333" t="s">
        <v>1312</v>
      </c>
      <c r="B884" s="305"/>
      <c r="C884" s="311">
        <v>42688</v>
      </c>
      <c r="D884" s="109" t="s">
        <v>3364</v>
      </c>
      <c r="E884" s="151" t="s">
        <v>94</v>
      </c>
      <c r="F884" s="151" t="s">
        <v>29</v>
      </c>
      <c r="G884" s="306" t="s">
        <v>1443</v>
      </c>
      <c r="H884" s="306" t="s">
        <v>1456</v>
      </c>
      <c r="I884" s="307">
        <v>100</v>
      </c>
      <c r="J884" s="306" t="s">
        <v>29</v>
      </c>
      <c r="K884" s="306" t="s">
        <v>94</v>
      </c>
      <c r="L884" s="306" t="s">
        <v>29</v>
      </c>
      <c r="M884" s="306" t="s">
        <v>29</v>
      </c>
      <c r="N884" s="308" t="s">
        <v>3365</v>
      </c>
      <c r="O884" s="306" t="s">
        <v>3366</v>
      </c>
      <c r="P884" s="306" t="s">
        <v>1447</v>
      </c>
      <c r="Q884" s="63" t="str">
        <f>IF(V884&lt;&gt;"","Completed","")</f>
        <v/>
      </c>
      <c r="R884" s="64" t="s">
        <v>1242</v>
      </c>
      <c r="V884" s="256"/>
      <c r="Y884" s="86" t="s">
        <v>1242</v>
      </c>
      <c r="AA884" s="249"/>
      <c r="AB884" s="265"/>
      <c r="AC884" s="265"/>
    </row>
    <row r="885" spans="1:30">
      <c r="A885" s="334" t="s">
        <v>1398</v>
      </c>
      <c r="B885" s="278"/>
      <c r="C885" s="279"/>
      <c r="D885" s="265"/>
      <c r="E885" s="265" t="s">
        <v>29</v>
      </c>
      <c r="F885" s="265" t="s">
        <v>94</v>
      </c>
      <c r="G885" s="280" t="s">
        <v>1443</v>
      </c>
      <c r="H885" s="280" t="s">
        <v>1456</v>
      </c>
      <c r="I885" s="281">
        <v>354</v>
      </c>
      <c r="J885" s="280" t="s">
        <v>29</v>
      </c>
      <c r="K885" s="280" t="s">
        <v>29</v>
      </c>
      <c r="L885" s="280" t="s">
        <v>94</v>
      </c>
      <c r="M885" s="280" t="s">
        <v>94</v>
      </c>
      <c r="N885" s="282" t="s">
        <v>3367</v>
      </c>
      <c r="O885" s="280" t="s">
        <v>3368</v>
      </c>
      <c r="P885" s="280" t="s">
        <v>1447</v>
      </c>
      <c r="Q885" s="63" t="str">
        <f>IF(V885&lt;&gt;"","Completed","")</f>
        <v/>
      </c>
      <c r="R885" s="64" t="s">
        <v>1242</v>
      </c>
      <c r="T885" s="265"/>
      <c r="U885" s="265"/>
      <c r="V885" s="256"/>
      <c r="W885" s="265"/>
      <c r="X885" s="265"/>
      <c r="Y885" s="86" t="s">
        <v>1242</v>
      </c>
      <c r="Z885" s="263"/>
      <c r="AA885" s="264"/>
      <c r="AB885" s="265"/>
      <c r="AC885" s="265"/>
    </row>
    <row r="886" spans="1:30">
      <c r="A886" s="75" t="s">
        <v>756</v>
      </c>
      <c r="B886" s="59"/>
      <c r="C886" s="57">
        <v>42748</v>
      </c>
      <c r="E886" s="65" t="s">
        <v>29</v>
      </c>
      <c r="F886" s="65" t="s">
        <v>94</v>
      </c>
      <c r="G886" s="58" t="s">
        <v>1443</v>
      </c>
      <c r="H886" s="58" t="s">
        <v>1456</v>
      </c>
      <c r="I886" s="60">
        <v>207</v>
      </c>
      <c r="J886" s="58" t="s">
        <v>94</v>
      </c>
      <c r="K886" s="58" t="s">
        <v>29</v>
      </c>
      <c r="L886" s="58" t="s">
        <v>94</v>
      </c>
      <c r="M886" s="58" t="s">
        <v>94</v>
      </c>
      <c r="N886" s="61" t="s">
        <v>3369</v>
      </c>
      <c r="O886" s="58" t="s">
        <v>3370</v>
      </c>
      <c r="P886" s="58" t="s">
        <v>1459</v>
      </c>
      <c r="Q886" s="63" t="str">
        <f>IF(V886&lt;&gt;"","Completed","")</f>
        <v/>
      </c>
      <c r="R886" s="64" t="s">
        <v>1242</v>
      </c>
      <c r="V886" s="256"/>
      <c r="Y886" s="86" t="s">
        <v>1242</v>
      </c>
      <c r="AA886" s="252"/>
      <c r="AB886" s="265"/>
      <c r="AC886" s="265"/>
    </row>
    <row r="887" spans="1:30">
      <c r="A887" s="334" t="s">
        <v>1329</v>
      </c>
      <c r="B887" s="278"/>
      <c r="C887" s="279">
        <v>42669</v>
      </c>
      <c r="D887" s="265"/>
      <c r="E887" s="265" t="s">
        <v>29</v>
      </c>
      <c r="F887" s="265" t="s">
        <v>94</v>
      </c>
      <c r="G887" s="280" t="s">
        <v>1443</v>
      </c>
      <c r="H887" s="280" t="s">
        <v>1444</v>
      </c>
      <c r="I887" s="281">
        <v>451</v>
      </c>
      <c r="J887" s="280" t="s">
        <v>94</v>
      </c>
      <c r="K887" s="280" t="s">
        <v>29</v>
      </c>
      <c r="L887" s="280" t="s">
        <v>29</v>
      </c>
      <c r="M887" s="280" t="s">
        <v>94</v>
      </c>
      <c r="N887" s="282" t="s">
        <v>3371</v>
      </c>
      <c r="O887" s="280" t="s">
        <v>3372</v>
      </c>
      <c r="P887" s="280" t="s">
        <v>1447</v>
      </c>
      <c r="Q887" s="63" t="str">
        <f>IF(V887&lt;&gt;"","Completed","")</f>
        <v/>
      </c>
      <c r="R887" s="64" t="s">
        <v>1242</v>
      </c>
      <c r="T887" s="265"/>
      <c r="U887" s="265"/>
      <c r="V887" s="256"/>
      <c r="W887" s="265"/>
      <c r="X887" s="265"/>
      <c r="Y887" s="86" t="s">
        <v>1242</v>
      </c>
      <c r="Z887" s="263"/>
      <c r="AA887" s="264"/>
      <c r="AB887" s="86"/>
      <c r="AC887" s="86"/>
    </row>
    <row r="888" spans="1:30" s="66" customFormat="1">
      <c r="A888" s="75" t="s">
        <v>599</v>
      </c>
      <c r="B888" s="59"/>
      <c r="C888" s="57">
        <v>42662</v>
      </c>
      <c r="D888" s="65"/>
      <c r="E888" s="65" t="s">
        <v>29</v>
      </c>
      <c r="F888" s="65" t="s">
        <v>29</v>
      </c>
      <c r="G888" s="58" t="s">
        <v>1461</v>
      </c>
      <c r="H888" s="58" t="s">
        <v>1444</v>
      </c>
      <c r="I888" s="60">
        <v>171</v>
      </c>
      <c r="J888" s="58" t="s">
        <v>94</v>
      </c>
      <c r="K888" s="58" t="s">
        <v>29</v>
      </c>
      <c r="L888" s="58" t="s">
        <v>94</v>
      </c>
      <c r="M888" s="58" t="s">
        <v>29</v>
      </c>
      <c r="N888" s="61" t="s">
        <v>3373</v>
      </c>
      <c r="O888" s="280" t="s">
        <v>3374</v>
      </c>
      <c r="P888" s="280" t="s">
        <v>1447</v>
      </c>
      <c r="Q888" s="63" t="str">
        <f>IF(V888&lt;&gt;"","Completed","")</f>
        <v/>
      </c>
      <c r="R888" s="270" t="s">
        <v>1242</v>
      </c>
      <c r="S888" s="270"/>
      <c r="T888" s="265"/>
      <c r="U888" s="65"/>
      <c r="V888" s="256"/>
      <c r="W888" s="65"/>
      <c r="X888" s="65"/>
      <c r="Y888" s="86" t="s">
        <v>1242</v>
      </c>
      <c r="Z888" s="56"/>
      <c r="AA888" s="252"/>
      <c r="AB888" s="88"/>
      <c r="AC888" s="89"/>
      <c r="AD888" s="349"/>
    </row>
    <row r="889" spans="1:30" s="66" customFormat="1">
      <c r="A889" s="334" t="s">
        <v>1329</v>
      </c>
      <c r="B889" s="278"/>
      <c r="C889" s="279">
        <v>42669</v>
      </c>
      <c r="D889" s="265"/>
      <c r="E889" s="265" t="s">
        <v>29</v>
      </c>
      <c r="F889" s="265" t="s">
        <v>94</v>
      </c>
      <c r="G889" s="280" t="s">
        <v>1443</v>
      </c>
      <c r="H889" s="280" t="s">
        <v>1444</v>
      </c>
      <c r="I889" s="281">
        <v>465</v>
      </c>
      <c r="J889" s="280" t="s">
        <v>94</v>
      </c>
      <c r="K889" s="280" t="s">
        <v>29</v>
      </c>
      <c r="L889" s="280" t="s">
        <v>29</v>
      </c>
      <c r="M889" s="280" t="s">
        <v>94</v>
      </c>
      <c r="N889" s="282" t="s">
        <v>3375</v>
      </c>
      <c r="O889" s="280" t="s">
        <v>3376</v>
      </c>
      <c r="P889" s="280" t="s">
        <v>1447</v>
      </c>
      <c r="Q889" s="63" t="str">
        <f>IF(V889&lt;&gt;"","Completed","")</f>
        <v/>
      </c>
      <c r="R889" s="64" t="s">
        <v>1242</v>
      </c>
      <c r="S889" s="64"/>
      <c r="T889" s="265"/>
      <c r="U889" s="265"/>
      <c r="V889" s="256"/>
      <c r="W889" s="265"/>
      <c r="X889" s="265"/>
      <c r="Y889" s="86" t="s">
        <v>1242</v>
      </c>
      <c r="Z889" s="263"/>
      <c r="AA889" s="264"/>
      <c r="AB889" s="86"/>
      <c r="AC889" s="86"/>
      <c r="AD889" s="345"/>
    </row>
    <row r="890" spans="1:30" s="66" customFormat="1">
      <c r="A890" s="75" t="s">
        <v>756</v>
      </c>
      <c r="B890" s="59"/>
      <c r="C890" s="57">
        <v>42748</v>
      </c>
      <c r="D890" s="65"/>
      <c r="E890" s="65" t="s">
        <v>29</v>
      </c>
      <c r="F890" s="65" t="s">
        <v>94</v>
      </c>
      <c r="G890" s="58" t="s">
        <v>1443</v>
      </c>
      <c r="H890" s="58" t="s">
        <v>1456</v>
      </c>
      <c r="I890" s="60">
        <v>213</v>
      </c>
      <c r="J890" s="58" t="s">
        <v>94</v>
      </c>
      <c r="K890" s="58" t="s">
        <v>29</v>
      </c>
      <c r="L890" s="58" t="s">
        <v>94</v>
      </c>
      <c r="M890" s="58" t="s">
        <v>94</v>
      </c>
      <c r="N890" s="61" t="s">
        <v>3377</v>
      </c>
      <c r="O890" s="58" t="s">
        <v>3378</v>
      </c>
      <c r="P890" s="58" t="s">
        <v>1459</v>
      </c>
      <c r="Q890" s="63" t="str">
        <f>IF(V890&lt;&gt;"","Completed","")</f>
        <v/>
      </c>
      <c r="R890" s="64" t="s">
        <v>1242</v>
      </c>
      <c r="S890" s="64"/>
      <c r="T890" s="65"/>
      <c r="U890" s="65"/>
      <c r="V890" s="256"/>
      <c r="W890" s="65"/>
      <c r="X890" s="65"/>
      <c r="Y890" s="86" t="s">
        <v>1242</v>
      </c>
      <c r="Z890" s="56"/>
      <c r="AA890" s="252"/>
      <c r="AB890" s="86"/>
      <c r="AC890" s="265"/>
      <c r="AD890" s="345"/>
    </row>
    <row r="891" spans="1:30" s="66" customFormat="1">
      <c r="A891" s="334" t="s">
        <v>1320</v>
      </c>
      <c r="B891" s="278"/>
      <c r="C891" s="279">
        <v>42655</v>
      </c>
      <c r="D891" s="265"/>
      <c r="E891" s="265" t="s">
        <v>29</v>
      </c>
      <c r="F891" s="265" t="s">
        <v>29</v>
      </c>
      <c r="G891" s="280" t="s">
        <v>1443</v>
      </c>
      <c r="H891" s="280" t="s">
        <v>1456</v>
      </c>
      <c r="I891" s="281">
        <v>1</v>
      </c>
      <c r="J891" s="280" t="s">
        <v>94</v>
      </c>
      <c r="K891" s="280" t="s">
        <v>29</v>
      </c>
      <c r="L891" s="280" t="s">
        <v>94</v>
      </c>
      <c r="M891" s="280" t="s">
        <v>29</v>
      </c>
      <c r="N891" s="282" t="s">
        <v>3379</v>
      </c>
      <c r="O891" s="280" t="s">
        <v>3380</v>
      </c>
      <c r="P891" s="280" t="s">
        <v>1459</v>
      </c>
      <c r="Q891" s="63" t="str">
        <f>IF(V891&lt;&gt;"","Completed","")</f>
        <v/>
      </c>
      <c r="R891" s="64" t="s">
        <v>1242</v>
      </c>
      <c r="S891" s="64"/>
      <c r="T891" s="265"/>
      <c r="U891" s="265"/>
      <c r="V891" s="256"/>
      <c r="W891" s="265"/>
      <c r="X891" s="265"/>
      <c r="Y891" s="86" t="s">
        <v>1242</v>
      </c>
      <c r="Z891" s="263"/>
      <c r="AA891" s="264"/>
      <c r="AB891" s="265"/>
      <c r="AC891" s="265"/>
      <c r="AD891" s="345"/>
    </row>
    <row r="892" spans="1:30" s="66" customFormat="1">
      <c r="A892" s="75" t="s">
        <v>894</v>
      </c>
      <c r="B892" s="59"/>
      <c r="C892" s="57">
        <v>42759</v>
      </c>
      <c r="D892" s="65"/>
      <c r="E892" s="65" t="s">
        <v>29</v>
      </c>
      <c r="F892" s="65" t="s">
        <v>94</v>
      </c>
      <c r="G892" s="58" t="s">
        <v>1443</v>
      </c>
      <c r="H892" s="58" t="s">
        <v>1449</v>
      </c>
      <c r="I892" s="60">
        <v>0</v>
      </c>
      <c r="J892" s="58" t="s">
        <v>29</v>
      </c>
      <c r="K892" s="58" t="s">
        <v>29</v>
      </c>
      <c r="L892" s="58" t="s">
        <v>94</v>
      </c>
      <c r="M892" s="58" t="s">
        <v>94</v>
      </c>
      <c r="N892" s="61" t="s">
        <v>3381</v>
      </c>
      <c r="O892" s="58" t="s">
        <v>3382</v>
      </c>
      <c r="P892" s="58" t="s">
        <v>1447</v>
      </c>
      <c r="Q892" s="63" t="str">
        <f>IF(V892&lt;&gt;"","Completed","")</f>
        <v/>
      </c>
      <c r="R892" s="270" t="s">
        <v>1242</v>
      </c>
      <c r="S892" s="270"/>
      <c r="T892" s="265"/>
      <c r="U892" s="265"/>
      <c r="V892" s="256"/>
      <c r="W892" s="65"/>
      <c r="X892" s="65"/>
      <c r="Y892" s="86" t="s">
        <v>1242</v>
      </c>
      <c r="Z892" s="56"/>
      <c r="AA892" s="252"/>
      <c r="AB892" s="265"/>
      <c r="AC892" s="265"/>
      <c r="AD892" s="345"/>
    </row>
    <row r="893" spans="1:30" s="66" customFormat="1">
      <c r="A893" s="75" t="s">
        <v>1337</v>
      </c>
      <c r="B893" s="59"/>
      <c r="C893" s="57">
        <v>42696</v>
      </c>
      <c r="D893" s="65"/>
      <c r="E893" s="65" t="s">
        <v>29</v>
      </c>
      <c r="F893" s="65" t="s">
        <v>29</v>
      </c>
      <c r="G893" s="58" t="s">
        <v>1443</v>
      </c>
      <c r="H893" s="58" t="s">
        <v>1444</v>
      </c>
      <c r="I893" s="60">
        <v>320</v>
      </c>
      <c r="J893" s="58" t="s">
        <v>94</v>
      </c>
      <c r="K893" s="58" t="s">
        <v>29</v>
      </c>
      <c r="L893" s="58" t="s">
        <v>94</v>
      </c>
      <c r="M893" s="58" t="s">
        <v>29</v>
      </c>
      <c r="N893" s="61" t="s">
        <v>3383</v>
      </c>
      <c r="O893" s="58" t="s">
        <v>3384</v>
      </c>
      <c r="P893" s="58" t="s">
        <v>1459</v>
      </c>
      <c r="Q893" s="63" t="str">
        <f>IF(V893&lt;&gt;"","Completed","")</f>
        <v/>
      </c>
      <c r="R893" s="270" t="s">
        <v>1242</v>
      </c>
      <c r="S893" s="270"/>
      <c r="T893" s="150"/>
      <c r="U893" s="65"/>
      <c r="V893" s="256"/>
      <c r="W893" s="65"/>
      <c r="X893" s="65"/>
      <c r="Y893" s="86" t="s">
        <v>1242</v>
      </c>
      <c r="Z893" s="56"/>
      <c r="AA893" s="249"/>
      <c r="AB893" s="265"/>
      <c r="AC893" s="86"/>
      <c r="AD893" s="345"/>
    </row>
    <row r="894" spans="1:30" s="66" customFormat="1">
      <c r="A894" s="334" t="s">
        <v>1398</v>
      </c>
      <c r="B894" s="278"/>
      <c r="C894" s="279"/>
      <c r="D894" s="265"/>
      <c r="E894" s="265" t="s">
        <v>29</v>
      </c>
      <c r="F894" s="265" t="s">
        <v>94</v>
      </c>
      <c r="G894" s="280" t="s">
        <v>1443</v>
      </c>
      <c r="H894" s="280" t="s">
        <v>1456</v>
      </c>
      <c r="I894" s="281">
        <v>455</v>
      </c>
      <c r="J894" s="280" t="s">
        <v>29</v>
      </c>
      <c r="K894" s="280" t="s">
        <v>29</v>
      </c>
      <c r="L894" s="280" t="s">
        <v>94</v>
      </c>
      <c r="M894" s="280" t="s">
        <v>94</v>
      </c>
      <c r="N894" s="282" t="s">
        <v>3385</v>
      </c>
      <c r="O894" s="280" t="s">
        <v>3386</v>
      </c>
      <c r="P894" s="280" t="s">
        <v>1447</v>
      </c>
      <c r="Q894" s="63" t="str">
        <f>IF(V894&lt;&gt;"","Completed","")</f>
        <v/>
      </c>
      <c r="R894" s="64" t="s">
        <v>1242</v>
      </c>
      <c r="S894" s="64"/>
      <c r="T894" s="265"/>
      <c r="U894" s="265"/>
      <c r="V894" s="256"/>
      <c r="W894" s="265"/>
      <c r="X894" s="265"/>
      <c r="Y894" s="86" t="s">
        <v>1242</v>
      </c>
      <c r="Z894" s="263"/>
      <c r="AA894" s="264"/>
      <c r="AB894" s="265"/>
      <c r="AC894" s="265"/>
      <c r="AD894" s="345"/>
    </row>
    <row r="895" spans="1:30" s="66" customFormat="1">
      <c r="A895" s="334" t="s">
        <v>703</v>
      </c>
      <c r="B895" s="278"/>
      <c r="C895" s="279">
        <v>42655</v>
      </c>
      <c r="D895" s="265"/>
      <c r="E895" s="265" t="s">
        <v>29</v>
      </c>
      <c r="F895" s="265" t="s">
        <v>29</v>
      </c>
      <c r="G895" s="280" t="s">
        <v>1443</v>
      </c>
      <c r="H895" s="280" t="s">
        <v>1444</v>
      </c>
      <c r="I895" s="281">
        <v>173</v>
      </c>
      <c r="J895" s="280" t="s">
        <v>94</v>
      </c>
      <c r="K895" s="280" t="s">
        <v>29</v>
      </c>
      <c r="L895" s="280" t="s">
        <v>94</v>
      </c>
      <c r="M895" s="280" t="s">
        <v>29</v>
      </c>
      <c r="N895" s="282" t="s">
        <v>3387</v>
      </c>
      <c r="O895" s="280" t="s">
        <v>3388</v>
      </c>
      <c r="P895" s="280" t="s">
        <v>1459</v>
      </c>
      <c r="Q895" s="63" t="str">
        <f>IF(V895&lt;&gt;"","Completed","")</f>
        <v/>
      </c>
      <c r="R895" s="64" t="s">
        <v>1242</v>
      </c>
      <c r="S895" s="64"/>
      <c r="T895" s="265"/>
      <c r="U895" s="265"/>
      <c r="V895" s="256"/>
      <c r="W895" s="265"/>
      <c r="X895" s="265"/>
      <c r="Y895" s="86" t="s">
        <v>1242</v>
      </c>
      <c r="Z895" s="263"/>
      <c r="AA895" s="264"/>
      <c r="AB895" s="265"/>
      <c r="AC895" s="86"/>
      <c r="AD895" s="345"/>
    </row>
    <row r="896" spans="1:30" s="66" customFormat="1">
      <c r="A896" s="334" t="s">
        <v>1255</v>
      </c>
      <c r="B896" s="278"/>
      <c r="C896" s="279">
        <v>42683</v>
      </c>
      <c r="D896" s="265">
        <v>3046000</v>
      </c>
      <c r="E896" s="265" t="s">
        <v>29</v>
      </c>
      <c r="F896" s="265" t="s">
        <v>94</v>
      </c>
      <c r="G896" s="280" t="s">
        <v>1443</v>
      </c>
      <c r="H896" s="280" t="s">
        <v>1456</v>
      </c>
      <c r="I896" s="281">
        <v>328</v>
      </c>
      <c r="J896" s="280" t="s">
        <v>94</v>
      </c>
      <c r="K896" s="280" t="s">
        <v>29</v>
      </c>
      <c r="L896" s="280" t="s">
        <v>94</v>
      </c>
      <c r="M896" s="280" t="s">
        <v>94</v>
      </c>
      <c r="N896" s="282" t="s">
        <v>3389</v>
      </c>
      <c r="O896" s="280" t="s">
        <v>3390</v>
      </c>
      <c r="P896" s="280" t="s">
        <v>1447</v>
      </c>
      <c r="Q896" s="63" t="str">
        <f>IF(V896&lt;&gt;"","Completed","")</f>
        <v/>
      </c>
      <c r="R896" s="270" t="s">
        <v>1242</v>
      </c>
      <c r="S896" s="270"/>
      <c r="T896" s="265"/>
      <c r="U896" s="265"/>
      <c r="V896" s="256"/>
      <c r="W896" s="265"/>
      <c r="X896" s="265"/>
      <c r="Y896" s="86" t="s">
        <v>1242</v>
      </c>
      <c r="Z896" s="263"/>
      <c r="AA896" s="264"/>
      <c r="AB896" s="265"/>
      <c r="AC896" s="265"/>
      <c r="AD896" s="345"/>
    </row>
    <row r="897" spans="1:30" s="66" customFormat="1">
      <c r="A897" s="334" t="s">
        <v>1329</v>
      </c>
      <c r="B897" s="278"/>
      <c r="C897" s="279">
        <v>42669</v>
      </c>
      <c r="D897" s="265"/>
      <c r="E897" s="265" t="s">
        <v>29</v>
      </c>
      <c r="F897" s="265" t="s">
        <v>94</v>
      </c>
      <c r="G897" s="280" t="s">
        <v>1443</v>
      </c>
      <c r="H897" s="280" t="s">
        <v>1444</v>
      </c>
      <c r="I897" s="281">
        <v>395</v>
      </c>
      <c r="J897" s="280" t="s">
        <v>94</v>
      </c>
      <c r="K897" s="280" t="s">
        <v>29</v>
      </c>
      <c r="L897" s="280" t="s">
        <v>29</v>
      </c>
      <c r="M897" s="280" t="s">
        <v>94</v>
      </c>
      <c r="N897" s="282" t="s">
        <v>3391</v>
      </c>
      <c r="O897" s="280" t="s">
        <v>3392</v>
      </c>
      <c r="P897" s="280" t="s">
        <v>1447</v>
      </c>
      <c r="Q897" s="63" t="str">
        <f>IF(V897&lt;&gt;"","Completed","")</f>
        <v/>
      </c>
      <c r="R897" s="270" t="s">
        <v>1242</v>
      </c>
      <c r="S897" s="270"/>
      <c r="T897" s="265"/>
      <c r="U897" s="265"/>
      <c r="V897" s="256"/>
      <c r="W897" s="265"/>
      <c r="X897" s="265"/>
      <c r="Y897" s="86" t="s">
        <v>1242</v>
      </c>
      <c r="Z897" s="263"/>
      <c r="AA897" s="264"/>
      <c r="AB897" s="86"/>
      <c r="AC897" s="86"/>
      <c r="AD897" s="345"/>
    </row>
    <row r="898" spans="1:30" s="66" customFormat="1">
      <c r="A898" s="334" t="s">
        <v>1398</v>
      </c>
      <c r="B898" s="278"/>
      <c r="C898" s="279"/>
      <c r="D898" s="265"/>
      <c r="E898" s="265" t="s">
        <v>29</v>
      </c>
      <c r="F898" s="265" t="s">
        <v>94</v>
      </c>
      <c r="G898" s="280" t="s">
        <v>1443</v>
      </c>
      <c r="H898" s="280" t="s">
        <v>1456</v>
      </c>
      <c r="I898" s="281">
        <v>0</v>
      </c>
      <c r="J898" s="280" t="s">
        <v>29</v>
      </c>
      <c r="K898" s="280" t="s">
        <v>29</v>
      </c>
      <c r="L898" s="280" t="s">
        <v>94</v>
      </c>
      <c r="M898" s="280" t="s">
        <v>94</v>
      </c>
      <c r="N898" s="282" t="s">
        <v>3393</v>
      </c>
      <c r="O898" s="280" t="s">
        <v>2331</v>
      </c>
      <c r="P898" s="280" t="s">
        <v>1447</v>
      </c>
      <c r="Q898" s="63" t="str">
        <f>IF(V898&lt;&gt;"","Completed","")</f>
        <v/>
      </c>
      <c r="R898" s="64" t="s">
        <v>1242</v>
      </c>
      <c r="S898" s="64"/>
      <c r="T898" s="265"/>
      <c r="U898" s="265"/>
      <c r="V898" s="256"/>
      <c r="W898" s="265"/>
      <c r="X898" s="265"/>
      <c r="Y898" s="86" t="s">
        <v>1242</v>
      </c>
      <c r="Z898" s="263"/>
      <c r="AA898" s="404"/>
      <c r="AB898" s="265"/>
      <c r="AC898" s="265"/>
      <c r="AD898" s="345"/>
    </row>
    <row r="899" spans="1:30" s="66" customFormat="1">
      <c r="A899" s="334" t="s">
        <v>1410</v>
      </c>
      <c r="B899" s="278"/>
      <c r="C899" s="279"/>
      <c r="D899" s="265"/>
      <c r="E899" s="265" t="s">
        <v>29</v>
      </c>
      <c r="F899" s="265" t="s">
        <v>94</v>
      </c>
      <c r="G899" s="280" t="s">
        <v>1443</v>
      </c>
      <c r="H899" s="280" t="s">
        <v>1456</v>
      </c>
      <c r="I899" s="281">
        <v>0</v>
      </c>
      <c r="J899" s="280" t="s">
        <v>94</v>
      </c>
      <c r="K899" s="280" t="s">
        <v>29</v>
      </c>
      <c r="L899" s="280" t="s">
        <v>94</v>
      </c>
      <c r="M899" s="280" t="s">
        <v>94</v>
      </c>
      <c r="N899" s="282" t="s">
        <v>3394</v>
      </c>
      <c r="O899" s="280" t="s">
        <v>2331</v>
      </c>
      <c r="P899" s="280" t="s">
        <v>1459</v>
      </c>
      <c r="Q899" s="63" t="str">
        <f>IF(V899&lt;&gt;"","Completed","")</f>
        <v/>
      </c>
      <c r="R899" s="64" t="s">
        <v>1242</v>
      </c>
      <c r="S899" s="64"/>
      <c r="T899" s="265"/>
      <c r="U899" s="265"/>
      <c r="V899" s="256"/>
      <c r="W899" s="265"/>
      <c r="X899" s="265"/>
      <c r="Y899" s="86" t="s">
        <v>1242</v>
      </c>
      <c r="Z899" s="263"/>
      <c r="AA899" s="404"/>
      <c r="AB899" s="86"/>
      <c r="AC899" s="86"/>
      <c r="AD899" s="345"/>
    </row>
    <row r="900" spans="1:30" s="66" customFormat="1">
      <c r="A900" s="75" t="s">
        <v>1379</v>
      </c>
      <c r="B900" s="59"/>
      <c r="C900" s="57"/>
      <c r="D900" s="65"/>
      <c r="E900" s="65" t="s">
        <v>29</v>
      </c>
      <c r="F900" s="65" t="s">
        <v>94</v>
      </c>
      <c r="G900" s="58" t="s">
        <v>1443</v>
      </c>
      <c r="H900" s="58" t="s">
        <v>1444</v>
      </c>
      <c r="I900" s="60">
        <v>241</v>
      </c>
      <c r="J900" s="58" t="s">
        <v>94</v>
      </c>
      <c r="K900" s="58" t="s">
        <v>29</v>
      </c>
      <c r="L900" s="58" t="s">
        <v>94</v>
      </c>
      <c r="M900" s="58" t="s">
        <v>94</v>
      </c>
      <c r="N900" s="61" t="s">
        <v>3395</v>
      </c>
      <c r="O900" s="58" t="s">
        <v>2339</v>
      </c>
      <c r="P900" s="58" t="s">
        <v>1447</v>
      </c>
      <c r="Q900" s="63" t="str">
        <f>IF(V900&lt;&gt;"","Completed","")</f>
        <v/>
      </c>
      <c r="R900" s="270" t="s">
        <v>1242</v>
      </c>
      <c r="S900" s="270"/>
      <c r="T900" s="265"/>
      <c r="U900" s="265"/>
      <c r="V900" s="256"/>
      <c r="W900" s="65"/>
      <c r="X900" s="65"/>
      <c r="Y900" s="86" t="s">
        <v>1242</v>
      </c>
      <c r="Z900" s="56"/>
      <c r="AA900" s="402"/>
      <c r="AB900" s="265"/>
      <c r="AC900" s="86"/>
      <c r="AD900" s="345"/>
    </row>
    <row r="901" spans="1:30" s="66" customFormat="1">
      <c r="A901" s="334" t="s">
        <v>1349</v>
      </c>
      <c r="B901" s="278"/>
      <c r="C901" s="279">
        <v>42668</v>
      </c>
      <c r="D901" s="265"/>
      <c r="E901" s="265" t="s">
        <v>29</v>
      </c>
      <c r="F901" s="265" t="s">
        <v>94</v>
      </c>
      <c r="G901" s="280" t="s">
        <v>1443</v>
      </c>
      <c r="H901" s="280" t="s">
        <v>1456</v>
      </c>
      <c r="I901" s="281">
        <v>218</v>
      </c>
      <c r="J901" s="280" t="s">
        <v>94</v>
      </c>
      <c r="K901" s="280" t="s">
        <v>29</v>
      </c>
      <c r="L901" s="280" t="s">
        <v>94</v>
      </c>
      <c r="M901" s="280" t="s">
        <v>94</v>
      </c>
      <c r="N901" s="282" t="s">
        <v>3396</v>
      </c>
      <c r="O901" s="280" t="s">
        <v>3397</v>
      </c>
      <c r="P901" s="280" t="s">
        <v>1459</v>
      </c>
      <c r="Q901" s="63" t="str">
        <f>IF(V901&lt;&gt;"","Completed","")</f>
        <v/>
      </c>
      <c r="R901" s="270" t="s">
        <v>1242</v>
      </c>
      <c r="S901" s="270"/>
      <c r="T901" s="265"/>
      <c r="U901" s="265"/>
      <c r="V901" s="256"/>
      <c r="W901" s="265"/>
      <c r="X901" s="265"/>
      <c r="Y901" s="86" t="s">
        <v>1242</v>
      </c>
      <c r="Z901" s="263"/>
      <c r="AA901" s="404"/>
      <c r="AB901" s="265"/>
      <c r="AC901" s="265"/>
      <c r="AD901" s="345"/>
    </row>
    <row r="902" spans="1:30" s="66" customFormat="1">
      <c r="A902" s="334" t="s">
        <v>1398</v>
      </c>
      <c r="B902" s="278"/>
      <c r="C902" s="279"/>
      <c r="D902" s="265"/>
      <c r="E902" s="265" t="s">
        <v>29</v>
      </c>
      <c r="F902" s="265" t="s">
        <v>94</v>
      </c>
      <c r="G902" s="280" t="s">
        <v>1443</v>
      </c>
      <c r="H902" s="280" t="s">
        <v>1456</v>
      </c>
      <c r="I902" s="281">
        <v>0</v>
      </c>
      <c r="J902" s="280" t="s">
        <v>29</v>
      </c>
      <c r="K902" s="280" t="s">
        <v>29</v>
      </c>
      <c r="L902" s="280" t="s">
        <v>94</v>
      </c>
      <c r="M902" s="280" t="s">
        <v>94</v>
      </c>
      <c r="N902" s="282" t="s">
        <v>3398</v>
      </c>
      <c r="O902" s="280" t="s">
        <v>3399</v>
      </c>
      <c r="P902" s="280" t="s">
        <v>1447</v>
      </c>
      <c r="Q902" s="63" t="str">
        <f>IF(V902&lt;&gt;"","Completed","")</f>
        <v/>
      </c>
      <c r="R902" s="64" t="s">
        <v>1242</v>
      </c>
      <c r="S902" s="64"/>
      <c r="T902" s="265"/>
      <c r="U902" s="265"/>
      <c r="V902" s="256"/>
      <c r="W902" s="265"/>
      <c r="X902" s="265"/>
      <c r="Y902" s="86" t="s">
        <v>1242</v>
      </c>
      <c r="Z902" s="263"/>
      <c r="AA902" s="404"/>
      <c r="AB902" s="265"/>
      <c r="AC902" s="265"/>
      <c r="AD902" s="345"/>
    </row>
    <row r="903" spans="1:30" s="66" customFormat="1">
      <c r="A903" s="334" t="s">
        <v>1320</v>
      </c>
      <c r="B903" s="278"/>
      <c r="C903" s="279">
        <v>42655</v>
      </c>
      <c r="D903" s="265"/>
      <c r="E903" s="265" t="s">
        <v>29</v>
      </c>
      <c r="F903" s="265" t="s">
        <v>29</v>
      </c>
      <c r="G903" s="280" t="s">
        <v>1443</v>
      </c>
      <c r="H903" s="280" t="s">
        <v>1456</v>
      </c>
      <c r="I903" s="281">
        <v>229</v>
      </c>
      <c r="J903" s="280" t="s">
        <v>94</v>
      </c>
      <c r="K903" s="280" t="s">
        <v>29</v>
      </c>
      <c r="L903" s="280" t="s">
        <v>94</v>
      </c>
      <c r="M903" s="280" t="s">
        <v>29</v>
      </c>
      <c r="N903" s="282" t="s">
        <v>3400</v>
      </c>
      <c r="O903" s="280" t="s">
        <v>3401</v>
      </c>
      <c r="P903" s="280" t="s">
        <v>1459</v>
      </c>
      <c r="Q903" s="63" t="str">
        <f>IF(V903&lt;&gt;"","Completed","")</f>
        <v/>
      </c>
      <c r="R903" s="64" t="s">
        <v>1242</v>
      </c>
      <c r="S903" s="64"/>
      <c r="T903" s="265"/>
      <c r="U903" s="265"/>
      <c r="V903" s="256"/>
      <c r="W903" s="265"/>
      <c r="X903" s="265"/>
      <c r="Y903" s="86" t="s">
        <v>1242</v>
      </c>
      <c r="Z903" s="263"/>
      <c r="AA903" s="404"/>
      <c r="AB903" s="265"/>
      <c r="AC903" s="265"/>
      <c r="AD903" s="345"/>
    </row>
    <row r="904" spans="1:30" s="66" customFormat="1">
      <c r="A904" s="75" t="s">
        <v>408</v>
      </c>
      <c r="B904" s="59"/>
      <c r="C904" s="57">
        <v>42711</v>
      </c>
      <c r="D904" s="65"/>
      <c r="E904" s="65" t="s">
        <v>29</v>
      </c>
      <c r="F904" s="65" t="s">
        <v>29</v>
      </c>
      <c r="G904" s="58" t="s">
        <v>1443</v>
      </c>
      <c r="H904" s="58" t="s">
        <v>1444</v>
      </c>
      <c r="I904" s="60">
        <v>437</v>
      </c>
      <c r="J904" s="58" t="s">
        <v>94</v>
      </c>
      <c r="K904" s="58" t="s">
        <v>29</v>
      </c>
      <c r="L904" s="58" t="s">
        <v>94</v>
      </c>
      <c r="M904" s="58" t="s">
        <v>29</v>
      </c>
      <c r="N904" s="61" t="s">
        <v>3402</v>
      </c>
      <c r="O904" s="58" t="s">
        <v>3403</v>
      </c>
      <c r="P904" s="58" t="s">
        <v>1447</v>
      </c>
      <c r="Q904" s="63" t="str">
        <f>IF(V904&lt;&gt;"","Completed","")</f>
        <v/>
      </c>
      <c r="R904" s="270" t="s">
        <v>1242</v>
      </c>
      <c r="S904" s="270"/>
      <c r="T904" s="65"/>
      <c r="U904" s="65"/>
      <c r="V904" s="256"/>
      <c r="W904" s="65"/>
      <c r="X904" s="65"/>
      <c r="Y904" s="86" t="s">
        <v>1242</v>
      </c>
      <c r="Z904" s="56"/>
      <c r="AA904" s="402"/>
      <c r="AB904" s="86"/>
      <c r="AC904" s="265"/>
      <c r="AD904" s="345"/>
    </row>
    <row r="905" spans="1:30" s="66" customFormat="1">
      <c r="A905" s="334" t="s">
        <v>1270</v>
      </c>
      <c r="B905" s="278"/>
      <c r="C905" s="279">
        <v>42660</v>
      </c>
      <c r="D905" s="265"/>
      <c r="E905" s="265" t="s">
        <v>29</v>
      </c>
      <c r="F905" s="265" t="s">
        <v>29</v>
      </c>
      <c r="G905" s="280" t="s">
        <v>1443</v>
      </c>
      <c r="H905" s="280" t="s">
        <v>1449</v>
      </c>
      <c r="I905" s="281">
        <v>407</v>
      </c>
      <c r="J905" s="280" t="s">
        <v>29</v>
      </c>
      <c r="K905" s="280" t="s">
        <v>29</v>
      </c>
      <c r="L905" s="280" t="s">
        <v>29</v>
      </c>
      <c r="M905" s="280" t="s">
        <v>29</v>
      </c>
      <c r="N905" s="282" t="s">
        <v>3404</v>
      </c>
      <c r="O905" s="280" t="s">
        <v>3405</v>
      </c>
      <c r="P905" s="280" t="s">
        <v>1447</v>
      </c>
      <c r="Q905" s="63" t="str">
        <f>IF(V905&lt;&gt;"","Completed","")</f>
        <v/>
      </c>
      <c r="R905" s="270" t="s">
        <v>1242</v>
      </c>
      <c r="S905" s="270"/>
      <c r="T905" s="265"/>
      <c r="U905" s="265"/>
      <c r="V905" s="265"/>
      <c r="W905" s="265"/>
      <c r="X905" s="265"/>
      <c r="Y905" s="86" t="s">
        <v>1242</v>
      </c>
      <c r="Z905" s="263"/>
      <c r="AA905" s="264"/>
      <c r="AB905" s="86"/>
      <c r="AC905" s="86"/>
      <c r="AD905" s="349"/>
    </row>
    <row r="906" spans="1:30" s="66" customFormat="1">
      <c r="A906" s="334" t="s">
        <v>1329</v>
      </c>
      <c r="B906" s="278"/>
      <c r="C906" s="279">
        <v>42669</v>
      </c>
      <c r="D906" s="265"/>
      <c r="E906" s="265" t="s">
        <v>29</v>
      </c>
      <c r="F906" s="265" t="s">
        <v>94</v>
      </c>
      <c r="G906" s="280" t="s">
        <v>3250</v>
      </c>
      <c r="H906" s="280" t="s">
        <v>1444</v>
      </c>
      <c r="I906" s="281">
        <v>0</v>
      </c>
      <c r="J906" s="280" t="s">
        <v>29</v>
      </c>
      <c r="K906" s="280" t="s">
        <v>29</v>
      </c>
      <c r="L906" s="280" t="s">
        <v>29</v>
      </c>
      <c r="M906" s="280" t="s">
        <v>94</v>
      </c>
      <c r="N906" s="282" t="s">
        <v>3406</v>
      </c>
      <c r="O906" s="280" t="s">
        <v>3407</v>
      </c>
      <c r="P906" s="280" t="s">
        <v>1447</v>
      </c>
      <c r="Q906" s="63" t="str">
        <f>IF(V906&lt;&gt;"","Completed","")</f>
        <v/>
      </c>
      <c r="R906" s="270" t="s">
        <v>1242</v>
      </c>
      <c r="S906" s="270"/>
      <c r="T906" s="265"/>
      <c r="U906" s="265"/>
      <c r="V906" s="256"/>
      <c r="W906" s="265"/>
      <c r="X906" s="265"/>
      <c r="Y906" s="86" t="s">
        <v>1242</v>
      </c>
      <c r="Z906" s="263"/>
      <c r="AA906" s="264"/>
      <c r="AB906" s="86"/>
      <c r="AC906" s="86"/>
      <c r="AD906" s="345"/>
    </row>
    <row r="907" spans="1:30" s="66" customFormat="1">
      <c r="A907" s="334" t="s">
        <v>1329</v>
      </c>
      <c r="B907" s="278"/>
      <c r="C907" s="279">
        <v>42669</v>
      </c>
      <c r="D907" s="265"/>
      <c r="E907" s="265" t="s">
        <v>29</v>
      </c>
      <c r="F907" s="265" t="s">
        <v>94</v>
      </c>
      <c r="G907" s="280" t="s">
        <v>3250</v>
      </c>
      <c r="H907" s="280" t="s">
        <v>1444</v>
      </c>
      <c r="I907" s="281">
        <v>0</v>
      </c>
      <c r="J907" s="280" t="s">
        <v>29</v>
      </c>
      <c r="K907" s="280" t="s">
        <v>29</v>
      </c>
      <c r="L907" s="280" t="s">
        <v>29</v>
      </c>
      <c r="M907" s="280" t="s">
        <v>94</v>
      </c>
      <c r="N907" s="282" t="s">
        <v>3408</v>
      </c>
      <c r="O907" s="280" t="s">
        <v>3409</v>
      </c>
      <c r="P907" s="280" t="s">
        <v>1447</v>
      </c>
      <c r="Q907" s="63" t="str">
        <f>IF(V907&lt;&gt;"","Completed","")</f>
        <v/>
      </c>
      <c r="R907" s="270" t="s">
        <v>1242</v>
      </c>
      <c r="S907" s="270"/>
      <c r="T907" s="265"/>
      <c r="U907" s="265"/>
      <c r="V907" s="256"/>
      <c r="W907" s="265"/>
      <c r="X907" s="265"/>
      <c r="Y907" s="86" t="s">
        <v>1242</v>
      </c>
      <c r="Z907" s="263"/>
      <c r="AA907" s="264"/>
      <c r="AB907" s="86"/>
      <c r="AC907" s="86"/>
      <c r="AD907" s="345"/>
    </row>
    <row r="908" spans="1:30" s="66" customFormat="1">
      <c r="A908" s="334" t="s">
        <v>703</v>
      </c>
      <c r="B908" s="278"/>
      <c r="C908" s="279">
        <v>42655</v>
      </c>
      <c r="D908" s="265"/>
      <c r="E908" s="265" t="s">
        <v>29</v>
      </c>
      <c r="F908" s="265" t="s">
        <v>29</v>
      </c>
      <c r="G908" s="280" t="s">
        <v>1443</v>
      </c>
      <c r="H908" s="280" t="s">
        <v>1444</v>
      </c>
      <c r="I908" s="281">
        <v>12</v>
      </c>
      <c r="J908" s="280" t="s">
        <v>94</v>
      </c>
      <c r="K908" s="280" t="s">
        <v>29</v>
      </c>
      <c r="L908" s="280" t="s">
        <v>94</v>
      </c>
      <c r="M908" s="280" t="s">
        <v>29</v>
      </c>
      <c r="N908" s="282" t="s">
        <v>3410</v>
      </c>
      <c r="O908" s="280" t="s">
        <v>3411</v>
      </c>
      <c r="P908" s="280" t="s">
        <v>1459</v>
      </c>
      <c r="Q908" s="63" t="str">
        <f>IF(V908&lt;&gt;"","Completed","")</f>
        <v/>
      </c>
      <c r="R908" s="64" t="s">
        <v>1242</v>
      </c>
      <c r="S908" s="64"/>
      <c r="T908" s="265"/>
      <c r="U908" s="265"/>
      <c r="V908" s="256"/>
      <c r="W908" s="265"/>
      <c r="X908" s="265"/>
      <c r="Y908" s="86" t="s">
        <v>1242</v>
      </c>
      <c r="Z908" s="263"/>
      <c r="AA908" s="264"/>
      <c r="AB908" s="265"/>
      <c r="AC908" s="265"/>
      <c r="AD908" s="345"/>
    </row>
    <row r="909" spans="1:30" s="66" customFormat="1">
      <c r="A909" s="334" t="s">
        <v>1255</v>
      </c>
      <c r="B909" s="278"/>
      <c r="C909" s="279">
        <v>42683</v>
      </c>
      <c r="D909" s="265">
        <v>3046000</v>
      </c>
      <c r="E909" s="265" t="s">
        <v>29</v>
      </c>
      <c r="F909" s="265" t="s">
        <v>94</v>
      </c>
      <c r="G909" s="280" t="s">
        <v>1443</v>
      </c>
      <c r="H909" s="280" t="s">
        <v>1456</v>
      </c>
      <c r="I909" s="281">
        <v>396</v>
      </c>
      <c r="J909" s="280" t="s">
        <v>94</v>
      </c>
      <c r="K909" s="280" t="s">
        <v>29</v>
      </c>
      <c r="L909" s="280" t="s">
        <v>94</v>
      </c>
      <c r="M909" s="280" t="s">
        <v>94</v>
      </c>
      <c r="N909" s="282" t="s">
        <v>3412</v>
      </c>
      <c r="O909" s="280" t="s">
        <v>3413</v>
      </c>
      <c r="P909" s="280" t="s">
        <v>1447</v>
      </c>
      <c r="Q909" s="63" t="str">
        <f>IF(V909&lt;&gt;"","Completed","")</f>
        <v/>
      </c>
      <c r="R909" s="270" t="s">
        <v>1242</v>
      </c>
      <c r="S909" s="270"/>
      <c r="T909" s="265"/>
      <c r="U909" s="265"/>
      <c r="V909" s="256"/>
      <c r="W909" s="265"/>
      <c r="X909" s="265"/>
      <c r="Y909" s="86" t="s">
        <v>1242</v>
      </c>
      <c r="Z909" s="263"/>
      <c r="AA909" s="264"/>
      <c r="AB909" s="265"/>
      <c r="AC909" s="265"/>
      <c r="AD909" s="345"/>
    </row>
    <row r="910" spans="1:30" s="66" customFormat="1">
      <c r="A910" s="334" t="s">
        <v>703</v>
      </c>
      <c r="B910" s="278"/>
      <c r="C910" s="279">
        <v>42655</v>
      </c>
      <c r="D910" s="265"/>
      <c r="E910" s="265" t="s">
        <v>29</v>
      </c>
      <c r="F910" s="265" t="s">
        <v>29</v>
      </c>
      <c r="G910" s="280" t="s">
        <v>1443</v>
      </c>
      <c r="H910" s="280" t="s">
        <v>1444</v>
      </c>
      <c r="I910" s="281">
        <v>0</v>
      </c>
      <c r="J910" s="280" t="s">
        <v>94</v>
      </c>
      <c r="K910" s="280" t="s">
        <v>29</v>
      </c>
      <c r="L910" s="280" t="s">
        <v>94</v>
      </c>
      <c r="M910" s="280" t="s">
        <v>29</v>
      </c>
      <c r="N910" s="282" t="s">
        <v>3414</v>
      </c>
      <c r="O910" s="280" t="s">
        <v>3415</v>
      </c>
      <c r="P910" s="280" t="s">
        <v>1459</v>
      </c>
      <c r="Q910" s="63" t="str">
        <f>IF(V910&lt;&gt;"","Completed","")</f>
        <v/>
      </c>
      <c r="R910" s="64" t="s">
        <v>1242</v>
      </c>
      <c r="S910" s="64"/>
      <c r="T910" s="265"/>
      <c r="U910" s="265"/>
      <c r="V910" s="256"/>
      <c r="W910" s="265"/>
      <c r="X910" s="265"/>
      <c r="Y910" s="86" t="s">
        <v>1242</v>
      </c>
      <c r="Z910" s="263"/>
      <c r="AA910" s="264"/>
      <c r="AB910" s="265"/>
      <c r="AC910" s="265"/>
      <c r="AD910" s="345"/>
    </row>
    <row r="911" spans="1:30" s="66" customFormat="1">
      <c r="A911" s="75" t="s">
        <v>1337</v>
      </c>
      <c r="B911" s="59"/>
      <c r="C911" s="57">
        <v>42697</v>
      </c>
      <c r="D911" s="65"/>
      <c r="E911" s="65" t="s">
        <v>29</v>
      </c>
      <c r="F911" s="65" t="s">
        <v>29</v>
      </c>
      <c r="G911" s="58" t="s">
        <v>1443</v>
      </c>
      <c r="H911" s="58" t="s">
        <v>1444</v>
      </c>
      <c r="I911" s="60">
        <v>330</v>
      </c>
      <c r="J911" s="58" t="s">
        <v>94</v>
      </c>
      <c r="K911" s="58" t="s">
        <v>29</v>
      </c>
      <c r="L911" s="58" t="s">
        <v>94</v>
      </c>
      <c r="M911" s="58" t="s">
        <v>29</v>
      </c>
      <c r="N911" s="282" t="s">
        <v>3416</v>
      </c>
      <c r="O911" s="280" t="s">
        <v>3417</v>
      </c>
      <c r="P911" s="58" t="s">
        <v>1447</v>
      </c>
      <c r="Q911" s="63" t="str">
        <f>IF(V911&lt;&gt;"","Completed","")</f>
        <v/>
      </c>
      <c r="R911" s="270" t="s">
        <v>1242</v>
      </c>
      <c r="S911" s="270"/>
      <c r="T911" s="150"/>
      <c r="U911" s="65"/>
      <c r="V911" s="256"/>
      <c r="W911" s="65"/>
      <c r="X911" s="65"/>
      <c r="Y911" s="86" t="s">
        <v>1242</v>
      </c>
      <c r="Z911" s="56"/>
      <c r="AA911" s="249"/>
      <c r="AB911" s="265"/>
      <c r="AC911" s="86"/>
      <c r="AD911" s="345"/>
    </row>
    <row r="912" spans="1:30" s="66" customFormat="1">
      <c r="A912" s="334" t="s">
        <v>93</v>
      </c>
      <c r="B912" s="278"/>
      <c r="C912" s="279">
        <v>42710</v>
      </c>
      <c r="D912" s="265">
        <v>3010000</v>
      </c>
      <c r="E912" s="265" t="s">
        <v>29</v>
      </c>
      <c r="F912" s="265" t="s">
        <v>94</v>
      </c>
      <c r="G912" s="280" t="s">
        <v>3418</v>
      </c>
      <c r="H912" s="280" t="s">
        <v>1444</v>
      </c>
      <c r="I912" s="281">
        <v>0</v>
      </c>
      <c r="J912" s="280" t="s">
        <v>94</v>
      </c>
      <c r="K912" s="280" t="s">
        <v>29</v>
      </c>
      <c r="L912" s="280" t="s">
        <v>94</v>
      </c>
      <c r="M912" s="280" t="s">
        <v>94</v>
      </c>
      <c r="N912" s="282" t="s">
        <v>3419</v>
      </c>
      <c r="O912" s="280" t="s">
        <v>3420</v>
      </c>
      <c r="P912" s="280" t="s">
        <v>1447</v>
      </c>
      <c r="Q912" s="63" t="str">
        <f>IF(V912&lt;&gt;"","Completed","")</f>
        <v/>
      </c>
      <c r="R912" s="270" t="s">
        <v>1242</v>
      </c>
      <c r="S912" s="270"/>
      <c r="T912" s="265"/>
      <c r="U912" s="265"/>
      <c r="V912" s="256"/>
      <c r="W912" s="265"/>
      <c r="X912" s="265"/>
      <c r="Y912" s="86" t="s">
        <v>1242</v>
      </c>
      <c r="Z912" s="263"/>
      <c r="AA912" s="264"/>
      <c r="AB912" s="265"/>
      <c r="AC912" s="265"/>
      <c r="AD912" s="345"/>
    </row>
    <row r="913" spans="1:30" s="66" customFormat="1">
      <c r="A913" s="334" t="s">
        <v>1320</v>
      </c>
      <c r="B913" s="278"/>
      <c r="C913" s="279">
        <v>42655</v>
      </c>
      <c r="D913" s="265"/>
      <c r="E913" s="265" t="s">
        <v>29</v>
      </c>
      <c r="F913" s="265" t="s">
        <v>29</v>
      </c>
      <c r="G913" s="280" t="s">
        <v>1443</v>
      </c>
      <c r="H913" s="280" t="s">
        <v>1456</v>
      </c>
      <c r="I913" s="281">
        <v>434</v>
      </c>
      <c r="J913" s="280" t="s">
        <v>94</v>
      </c>
      <c r="K913" s="280" t="s">
        <v>29</v>
      </c>
      <c r="L913" s="280" t="s">
        <v>94</v>
      </c>
      <c r="M913" s="280" t="s">
        <v>29</v>
      </c>
      <c r="N913" s="282" t="s">
        <v>3421</v>
      </c>
      <c r="O913" s="280" t="s">
        <v>3422</v>
      </c>
      <c r="P913" s="280" t="s">
        <v>1459</v>
      </c>
      <c r="Q913" s="63" t="str">
        <f>IF(V913&lt;&gt;"","Completed","")</f>
        <v/>
      </c>
      <c r="R913" s="64" t="s">
        <v>1242</v>
      </c>
      <c r="S913" s="64"/>
      <c r="T913" s="265"/>
      <c r="U913" s="265"/>
      <c r="V913" s="256"/>
      <c r="W913" s="265"/>
      <c r="X913" s="265"/>
      <c r="Y913" s="86" t="s">
        <v>1242</v>
      </c>
      <c r="Z913" s="263"/>
      <c r="AA913" s="264"/>
      <c r="AB913" s="265"/>
      <c r="AC913" s="265"/>
      <c r="AD913" s="345"/>
    </row>
    <row r="914" spans="1:30" s="66" customFormat="1">
      <c r="A914" s="334" t="s">
        <v>1405</v>
      </c>
      <c r="B914" s="278"/>
      <c r="C914" s="279"/>
      <c r="D914" s="265"/>
      <c r="E914" s="265" t="s">
        <v>29</v>
      </c>
      <c r="F914" s="265" t="s">
        <v>94</v>
      </c>
      <c r="G914" s="280" t="s">
        <v>1443</v>
      </c>
      <c r="H914" s="280" t="s">
        <v>1444</v>
      </c>
      <c r="I914" s="281">
        <v>341</v>
      </c>
      <c r="J914" s="280" t="s">
        <v>29</v>
      </c>
      <c r="K914" s="280" t="s">
        <v>29</v>
      </c>
      <c r="L914" s="280" t="s">
        <v>94</v>
      </c>
      <c r="M914" s="280" t="s">
        <v>94</v>
      </c>
      <c r="N914" s="282" t="s">
        <v>3423</v>
      </c>
      <c r="O914" s="280" t="s">
        <v>2424</v>
      </c>
      <c r="P914" s="280" t="s">
        <v>1459</v>
      </c>
      <c r="Q914" s="63" t="str">
        <f>IF(V914&lt;&gt;"","Completed","")</f>
        <v/>
      </c>
      <c r="R914" s="64" t="s">
        <v>1242</v>
      </c>
      <c r="S914" s="64"/>
      <c r="T914" s="265"/>
      <c r="U914" s="265"/>
      <c r="V914" s="256"/>
      <c r="W914" s="265"/>
      <c r="X914" s="265"/>
      <c r="Y914" s="86" t="s">
        <v>1242</v>
      </c>
      <c r="Z914" s="263"/>
      <c r="AA914" s="264"/>
      <c r="AB914" s="86"/>
      <c r="AC914" s="86"/>
      <c r="AD914" s="345"/>
    </row>
    <row r="915" spans="1:30" s="66" customFormat="1">
      <c r="A915" s="336" t="s">
        <v>1344</v>
      </c>
      <c r="B915" s="258" t="s">
        <v>1007</v>
      </c>
      <c r="C915" s="279">
        <v>42697</v>
      </c>
      <c r="D915" s="265"/>
      <c r="E915" s="265" t="s">
        <v>29</v>
      </c>
      <c r="F915" s="265" t="s">
        <v>94</v>
      </c>
      <c r="G915" s="280" t="s">
        <v>1443</v>
      </c>
      <c r="H915" s="280" t="s">
        <v>1444</v>
      </c>
      <c r="I915" s="281">
        <v>238</v>
      </c>
      <c r="J915" s="280" t="s">
        <v>94</v>
      </c>
      <c r="K915" s="280" t="s">
        <v>29</v>
      </c>
      <c r="L915" s="280" t="s">
        <v>29</v>
      </c>
      <c r="M915" s="280" t="s">
        <v>94</v>
      </c>
      <c r="N915" s="282" t="s">
        <v>3424</v>
      </c>
      <c r="O915" s="280" t="s">
        <v>2432</v>
      </c>
      <c r="P915" s="280" t="s">
        <v>1447</v>
      </c>
      <c r="Q915" s="63" t="str">
        <f>IF(V915&lt;&gt;"","Completed","")</f>
        <v/>
      </c>
      <c r="R915" s="270" t="s">
        <v>1242</v>
      </c>
      <c r="S915" s="270"/>
      <c r="T915" s="276"/>
      <c r="U915" s="265"/>
      <c r="V915" s="256"/>
      <c r="W915" s="265"/>
      <c r="X915" s="265"/>
      <c r="Y915" s="86" t="s">
        <v>1242</v>
      </c>
      <c r="Z915" s="263"/>
      <c r="AA915" s="264"/>
      <c r="AB915" s="265"/>
      <c r="AC915" s="265"/>
      <c r="AD915" s="345"/>
    </row>
    <row r="916" spans="1:30" s="66" customFormat="1">
      <c r="A916" s="334" t="s">
        <v>1410</v>
      </c>
      <c r="B916" s="278"/>
      <c r="C916" s="279"/>
      <c r="D916" s="265"/>
      <c r="E916" s="265" t="s">
        <v>29</v>
      </c>
      <c r="F916" s="265" t="s">
        <v>94</v>
      </c>
      <c r="G916" s="280" t="s">
        <v>1443</v>
      </c>
      <c r="H916" s="280" t="s">
        <v>1456</v>
      </c>
      <c r="I916" s="281">
        <v>173</v>
      </c>
      <c r="J916" s="280" t="s">
        <v>94</v>
      </c>
      <c r="K916" s="280" t="s">
        <v>29</v>
      </c>
      <c r="L916" s="280" t="s">
        <v>94</v>
      </c>
      <c r="M916" s="280" t="s">
        <v>94</v>
      </c>
      <c r="N916" s="282" t="s">
        <v>3425</v>
      </c>
      <c r="O916" s="280" t="s">
        <v>3426</v>
      </c>
      <c r="P916" s="280" t="s">
        <v>1459</v>
      </c>
      <c r="Q916" s="63" t="str">
        <f>IF(V916&lt;&gt;"","Completed","")</f>
        <v/>
      </c>
      <c r="R916" s="64" t="s">
        <v>1242</v>
      </c>
      <c r="S916" s="64"/>
      <c r="T916" s="265"/>
      <c r="U916" s="265"/>
      <c r="V916" s="256"/>
      <c r="W916" s="265"/>
      <c r="X916" s="265"/>
      <c r="Y916" s="86" t="s">
        <v>1242</v>
      </c>
      <c r="Z916" s="263"/>
      <c r="AA916" s="264"/>
      <c r="AB916" s="86"/>
      <c r="AC916" s="86"/>
      <c r="AD916" s="345"/>
    </row>
    <row r="917" spans="1:30" s="66" customFormat="1">
      <c r="A917" s="334" t="s">
        <v>212</v>
      </c>
      <c r="B917" s="278"/>
      <c r="C917" s="279">
        <v>42675</v>
      </c>
      <c r="D917" s="265">
        <v>3031000</v>
      </c>
      <c r="E917" s="265" t="s">
        <v>29</v>
      </c>
      <c r="F917" s="265" t="s">
        <v>29</v>
      </c>
      <c r="G917" s="280" t="s">
        <v>1443</v>
      </c>
      <c r="H917" s="280" t="s">
        <v>1456</v>
      </c>
      <c r="I917" s="281">
        <v>0</v>
      </c>
      <c r="J917" s="280" t="s">
        <v>94</v>
      </c>
      <c r="K917" s="280" t="s">
        <v>29</v>
      </c>
      <c r="L917" s="280" t="s">
        <v>94</v>
      </c>
      <c r="M917" s="280" t="s">
        <v>29</v>
      </c>
      <c r="N917" s="282" t="s">
        <v>3427</v>
      </c>
      <c r="O917" s="280" t="s">
        <v>3428</v>
      </c>
      <c r="P917" s="280" t="s">
        <v>1447</v>
      </c>
      <c r="Q917" s="63" t="str">
        <f>IF(V917&lt;&gt;"","Completed","")</f>
        <v/>
      </c>
      <c r="R917" s="270" t="s">
        <v>1242</v>
      </c>
      <c r="S917" s="270"/>
      <c r="T917" s="265"/>
      <c r="U917" s="265"/>
      <c r="V917" s="265"/>
      <c r="W917" s="265"/>
      <c r="X917" s="265"/>
      <c r="Y917" s="86" t="s">
        <v>1242</v>
      </c>
      <c r="Z917" s="263"/>
      <c r="AA917" s="264"/>
      <c r="AB917" s="265"/>
      <c r="AC917" s="265"/>
      <c r="AD917" s="345"/>
    </row>
    <row r="918" spans="1:30" s="66" customFormat="1">
      <c r="A918" s="334" t="s">
        <v>703</v>
      </c>
      <c r="B918" s="278"/>
      <c r="C918" s="279">
        <v>42655</v>
      </c>
      <c r="D918" s="265"/>
      <c r="E918" s="265" t="s">
        <v>29</v>
      </c>
      <c r="F918" s="265" t="s">
        <v>29</v>
      </c>
      <c r="G918" s="280" t="s">
        <v>1443</v>
      </c>
      <c r="H918" s="280" t="s">
        <v>1444</v>
      </c>
      <c r="I918" s="281">
        <v>0</v>
      </c>
      <c r="J918" s="280" t="s">
        <v>94</v>
      </c>
      <c r="K918" s="280" t="s">
        <v>29</v>
      </c>
      <c r="L918" s="280" t="s">
        <v>94</v>
      </c>
      <c r="M918" s="280" t="s">
        <v>29</v>
      </c>
      <c r="N918" s="282" t="s">
        <v>3429</v>
      </c>
      <c r="O918" s="280" t="s">
        <v>3430</v>
      </c>
      <c r="P918" s="280" t="s">
        <v>1459</v>
      </c>
      <c r="Q918" s="63" t="str">
        <f>IF(V918&lt;&gt;"","Completed","")</f>
        <v/>
      </c>
      <c r="R918" s="64" t="s">
        <v>1242</v>
      </c>
      <c r="S918" s="64"/>
      <c r="T918" s="265"/>
      <c r="U918" s="265"/>
      <c r="V918" s="265"/>
      <c r="W918" s="265"/>
      <c r="X918" s="265"/>
      <c r="Y918" s="86" t="s">
        <v>1242</v>
      </c>
      <c r="Z918" s="263"/>
      <c r="AA918" s="264"/>
      <c r="AB918" s="265"/>
      <c r="AC918" s="265"/>
      <c r="AD918" s="345"/>
    </row>
    <row r="919" spans="1:30" s="66" customFormat="1">
      <c r="A919" s="244" t="s">
        <v>1308</v>
      </c>
      <c r="B919" s="62" t="s">
        <v>1245</v>
      </c>
      <c r="C919" s="311">
        <v>42716</v>
      </c>
      <c r="D919" s="65"/>
      <c r="E919" s="65" t="s">
        <v>29</v>
      </c>
      <c r="F919" s="65" t="s">
        <v>29</v>
      </c>
      <c r="G919" s="58" t="s">
        <v>1443</v>
      </c>
      <c r="H919" s="58" t="s">
        <v>1449</v>
      </c>
      <c r="I919" s="60">
        <v>0</v>
      </c>
      <c r="J919" s="58" t="s">
        <v>94</v>
      </c>
      <c r="K919" s="58" t="s">
        <v>29</v>
      </c>
      <c r="L919" s="58" t="s">
        <v>94</v>
      </c>
      <c r="M919" s="58" t="s">
        <v>29</v>
      </c>
      <c r="N919" s="61" t="s">
        <v>3431</v>
      </c>
      <c r="O919" s="280" t="s">
        <v>3432</v>
      </c>
      <c r="P919" s="280" t="s">
        <v>1447</v>
      </c>
      <c r="Q919" s="63" t="str">
        <f>IF(V919&lt;&gt;"","Completed","")</f>
        <v/>
      </c>
      <c r="R919" s="270" t="s">
        <v>1242</v>
      </c>
      <c r="S919" s="270"/>
      <c r="T919" s="265"/>
      <c r="U919" s="65"/>
      <c r="V919" s="256"/>
      <c r="W919" s="65"/>
      <c r="X919" s="65"/>
      <c r="Y919" s="86" t="s">
        <v>1242</v>
      </c>
      <c r="Z919" s="56"/>
      <c r="AA919" s="252"/>
      <c r="AB919" s="265"/>
      <c r="AC919" s="265"/>
      <c r="AD919" s="345"/>
    </row>
    <row r="920" spans="1:30" s="66" customFormat="1">
      <c r="A920" s="334" t="s">
        <v>1405</v>
      </c>
      <c r="B920" s="278"/>
      <c r="C920" s="279"/>
      <c r="D920" s="265"/>
      <c r="E920" s="265" t="s">
        <v>29</v>
      </c>
      <c r="F920" s="265" t="s">
        <v>94</v>
      </c>
      <c r="G920" s="280" t="s">
        <v>1443</v>
      </c>
      <c r="H920" s="280" t="s">
        <v>1444</v>
      </c>
      <c r="I920" s="281">
        <v>372</v>
      </c>
      <c r="J920" s="280" t="s">
        <v>94</v>
      </c>
      <c r="K920" s="280" t="s">
        <v>29</v>
      </c>
      <c r="L920" s="280" t="s">
        <v>94</v>
      </c>
      <c r="M920" s="280" t="s">
        <v>94</v>
      </c>
      <c r="N920" s="282" t="s">
        <v>3433</v>
      </c>
      <c r="O920" s="280" t="s">
        <v>3434</v>
      </c>
      <c r="P920" s="280" t="s">
        <v>1459</v>
      </c>
      <c r="Q920" s="63" t="str">
        <f>IF(V920&lt;&gt;"","Completed","")</f>
        <v/>
      </c>
      <c r="R920" s="64" t="s">
        <v>1242</v>
      </c>
      <c r="S920" s="64"/>
      <c r="T920" s="265"/>
      <c r="U920" s="265"/>
      <c r="V920" s="256"/>
      <c r="W920" s="265"/>
      <c r="X920" s="265"/>
      <c r="Y920" s="86" t="s">
        <v>1242</v>
      </c>
      <c r="Z920" s="263"/>
      <c r="AA920" s="264"/>
      <c r="AB920" s="86"/>
      <c r="AC920" s="86"/>
      <c r="AD920" s="345"/>
    </row>
    <row r="921" spans="1:30">
      <c r="A921" s="334" t="s">
        <v>93</v>
      </c>
      <c r="B921" s="278"/>
      <c r="C921" s="279">
        <v>42710</v>
      </c>
      <c r="D921" s="265">
        <v>3010000</v>
      </c>
      <c r="E921" s="265" t="s">
        <v>29</v>
      </c>
      <c r="F921" s="265" t="s">
        <v>94</v>
      </c>
      <c r="G921" s="280" t="s">
        <v>1443</v>
      </c>
      <c r="H921" s="280" t="s">
        <v>1444</v>
      </c>
      <c r="I921" s="281">
        <v>306</v>
      </c>
      <c r="J921" s="280" t="s">
        <v>94</v>
      </c>
      <c r="K921" s="280" t="s">
        <v>29</v>
      </c>
      <c r="L921" s="280" t="s">
        <v>94</v>
      </c>
      <c r="M921" s="280" t="s">
        <v>94</v>
      </c>
      <c r="N921" s="282" t="s">
        <v>3435</v>
      </c>
      <c r="O921" s="280" t="s">
        <v>3436</v>
      </c>
      <c r="P921" s="280" t="s">
        <v>1447</v>
      </c>
      <c r="Q921" s="63" t="str">
        <f>IF(V921&lt;&gt;"","Completed","")</f>
        <v/>
      </c>
      <c r="R921" s="270" t="s">
        <v>1242</v>
      </c>
      <c r="S921" s="270"/>
      <c r="T921" s="265"/>
      <c r="U921" s="265"/>
      <c r="V921" s="256"/>
      <c r="W921" s="265"/>
      <c r="X921" s="265"/>
      <c r="Y921" s="86" t="s">
        <v>1242</v>
      </c>
      <c r="Z921" s="263"/>
      <c r="AA921" s="264"/>
      <c r="AB921" s="265"/>
      <c r="AC921" s="265"/>
    </row>
    <row r="922" spans="1:30">
      <c r="A922" s="334" t="s">
        <v>1410</v>
      </c>
      <c r="B922" s="278"/>
      <c r="C922" s="279"/>
      <c r="D922" s="265"/>
      <c r="E922" s="265" t="s">
        <v>29</v>
      </c>
      <c r="F922" s="265" t="s">
        <v>94</v>
      </c>
      <c r="G922" s="280" t="s">
        <v>1443</v>
      </c>
      <c r="H922" s="280" t="s">
        <v>1456</v>
      </c>
      <c r="I922" s="281">
        <v>265</v>
      </c>
      <c r="J922" s="280" t="s">
        <v>29</v>
      </c>
      <c r="K922" s="280" t="s">
        <v>29</v>
      </c>
      <c r="L922" s="280" t="s">
        <v>94</v>
      </c>
      <c r="M922" s="280" t="s">
        <v>94</v>
      </c>
      <c r="N922" s="282" t="s">
        <v>3437</v>
      </c>
      <c r="O922" s="280" t="s">
        <v>3438</v>
      </c>
      <c r="P922" s="280" t="s">
        <v>1459</v>
      </c>
      <c r="Q922" s="63" t="str">
        <f>IF(V922&lt;&gt;"","Completed","")</f>
        <v/>
      </c>
      <c r="R922" s="64" t="s">
        <v>1242</v>
      </c>
      <c r="T922" s="265"/>
      <c r="U922" s="265"/>
      <c r="V922" s="256"/>
      <c r="W922" s="265"/>
      <c r="X922" s="265"/>
      <c r="Y922" s="86" t="s">
        <v>1242</v>
      </c>
      <c r="Z922" s="263"/>
      <c r="AA922" s="264"/>
      <c r="AB922" s="86"/>
      <c r="AC922" s="86"/>
    </row>
    <row r="923" spans="1:30">
      <c r="A923" s="336" t="s">
        <v>1344</v>
      </c>
      <c r="B923" s="258" t="s">
        <v>1007</v>
      </c>
      <c r="C923" s="279">
        <v>42697</v>
      </c>
      <c r="D923" s="265"/>
      <c r="E923" s="265" t="s">
        <v>29</v>
      </c>
      <c r="F923" s="265" t="s">
        <v>94</v>
      </c>
      <c r="G923" s="280" t="s">
        <v>1443</v>
      </c>
      <c r="H923" s="280" t="s">
        <v>1444</v>
      </c>
      <c r="I923" s="281">
        <v>234</v>
      </c>
      <c r="J923" s="280" t="s">
        <v>94</v>
      </c>
      <c r="K923" s="280" t="s">
        <v>29</v>
      </c>
      <c r="L923" s="280" t="s">
        <v>29</v>
      </c>
      <c r="M923" s="280" t="s">
        <v>94</v>
      </c>
      <c r="N923" s="282" t="s">
        <v>3439</v>
      </c>
      <c r="O923" s="280" t="s">
        <v>3440</v>
      </c>
      <c r="P923" s="280" t="s">
        <v>1447</v>
      </c>
      <c r="Q923" s="63" t="str">
        <f>IF(V923&lt;&gt;"","Completed","")</f>
        <v/>
      </c>
      <c r="R923" s="270" t="s">
        <v>1242</v>
      </c>
      <c r="S923" s="270"/>
      <c r="T923" s="276"/>
      <c r="U923" s="265"/>
      <c r="V923" s="256"/>
      <c r="W923" s="265"/>
      <c r="X923" s="265"/>
      <c r="Y923" s="86" t="s">
        <v>1242</v>
      </c>
      <c r="Z923" s="263"/>
      <c r="AA923" s="264"/>
      <c r="AB923" s="265"/>
      <c r="AC923" s="265"/>
    </row>
    <row r="924" spans="1:30">
      <c r="A924" s="336" t="s">
        <v>1344</v>
      </c>
      <c r="B924" s="258" t="s">
        <v>1007</v>
      </c>
      <c r="C924" s="279">
        <v>42697</v>
      </c>
      <c r="D924" s="265"/>
      <c r="E924" s="265" t="s">
        <v>29</v>
      </c>
      <c r="F924" s="265" t="s">
        <v>94</v>
      </c>
      <c r="G924" s="280" t="s">
        <v>1443</v>
      </c>
      <c r="H924" s="280" t="s">
        <v>1444</v>
      </c>
      <c r="I924" s="281">
        <v>213</v>
      </c>
      <c r="J924" s="280" t="s">
        <v>94</v>
      </c>
      <c r="K924" s="280" t="s">
        <v>29</v>
      </c>
      <c r="L924" s="280" t="s">
        <v>29</v>
      </c>
      <c r="M924" s="280" t="s">
        <v>94</v>
      </c>
      <c r="N924" s="282" t="s">
        <v>3441</v>
      </c>
      <c r="O924" s="280" t="s">
        <v>3442</v>
      </c>
      <c r="P924" s="280" t="s">
        <v>1447</v>
      </c>
      <c r="Q924" s="63" t="str">
        <f>IF(V924&lt;&gt;"","Completed","")</f>
        <v/>
      </c>
      <c r="R924" s="270" t="s">
        <v>1242</v>
      </c>
      <c r="S924" s="270"/>
      <c r="T924" s="276"/>
      <c r="U924" s="265"/>
      <c r="V924" s="256"/>
      <c r="W924" s="265"/>
      <c r="X924" s="265"/>
      <c r="Y924" s="86" t="s">
        <v>1242</v>
      </c>
      <c r="Z924" s="263"/>
      <c r="AA924" s="264"/>
      <c r="AB924" s="265"/>
      <c r="AC924" s="265"/>
    </row>
    <row r="925" spans="1:30">
      <c r="A925" s="334" t="s">
        <v>212</v>
      </c>
      <c r="B925" s="278"/>
      <c r="C925" s="279">
        <v>42675</v>
      </c>
      <c r="D925" s="265">
        <v>3031000</v>
      </c>
      <c r="E925" s="265" t="s">
        <v>29</v>
      </c>
      <c r="F925" s="265" t="s">
        <v>29</v>
      </c>
      <c r="G925" s="280" t="s">
        <v>1443</v>
      </c>
      <c r="H925" s="280" t="s">
        <v>1456</v>
      </c>
      <c r="I925" s="281">
        <v>0</v>
      </c>
      <c r="J925" s="280" t="s">
        <v>94</v>
      </c>
      <c r="K925" s="280" t="s">
        <v>29</v>
      </c>
      <c r="L925" s="280" t="s">
        <v>94</v>
      </c>
      <c r="M925" s="280" t="s">
        <v>29</v>
      </c>
      <c r="N925" s="282" t="s">
        <v>3443</v>
      </c>
      <c r="O925" s="280" t="s">
        <v>3444</v>
      </c>
      <c r="P925" s="280" t="s">
        <v>1447</v>
      </c>
      <c r="Q925" s="63" t="str">
        <f>IF(V925&lt;&gt;"","Completed","")</f>
        <v/>
      </c>
      <c r="R925" s="270" t="s">
        <v>1242</v>
      </c>
      <c r="S925" s="270"/>
      <c r="T925" s="265"/>
      <c r="U925" s="265"/>
      <c r="V925" s="265"/>
      <c r="W925" s="265"/>
      <c r="X925" s="265"/>
      <c r="Y925" s="86" t="s">
        <v>1242</v>
      </c>
      <c r="Z925" s="263"/>
      <c r="AA925" s="264"/>
      <c r="AB925" s="265"/>
      <c r="AC925" s="265"/>
    </row>
    <row r="926" spans="1:30">
      <c r="A926" s="334" t="s">
        <v>1410</v>
      </c>
      <c r="B926" s="278"/>
      <c r="C926" s="279"/>
      <c r="D926" s="265"/>
      <c r="E926" s="265" t="s">
        <v>29</v>
      </c>
      <c r="F926" s="265" t="s">
        <v>94</v>
      </c>
      <c r="G926" s="280" t="s">
        <v>1443</v>
      </c>
      <c r="H926" s="280" t="s">
        <v>1456</v>
      </c>
      <c r="I926" s="281">
        <v>179</v>
      </c>
      <c r="J926" s="280" t="s">
        <v>94</v>
      </c>
      <c r="K926" s="280" t="s">
        <v>29</v>
      </c>
      <c r="L926" s="280" t="s">
        <v>94</v>
      </c>
      <c r="M926" s="280" t="s">
        <v>94</v>
      </c>
      <c r="N926" s="282" t="s">
        <v>3445</v>
      </c>
      <c r="O926" s="280" t="s">
        <v>3446</v>
      </c>
      <c r="P926" s="280" t="s">
        <v>1459</v>
      </c>
      <c r="Q926" s="63" t="str">
        <f>IF(V926&lt;&gt;"","Completed","")</f>
        <v/>
      </c>
      <c r="R926" s="64" t="s">
        <v>1242</v>
      </c>
      <c r="T926" s="265"/>
      <c r="U926" s="265"/>
      <c r="V926" s="256"/>
      <c r="W926" s="265"/>
      <c r="X926" s="265"/>
      <c r="Y926" s="86" t="s">
        <v>1242</v>
      </c>
      <c r="Z926" s="263"/>
      <c r="AA926" s="264"/>
      <c r="AB926" s="86"/>
      <c r="AC926" s="86"/>
    </row>
    <row r="927" spans="1:30">
      <c r="A927" s="244" t="s">
        <v>1308</v>
      </c>
      <c r="B927" s="62" t="s">
        <v>1245</v>
      </c>
      <c r="C927" s="311">
        <v>42716</v>
      </c>
      <c r="E927" s="65" t="s">
        <v>29</v>
      </c>
      <c r="F927" s="65" t="s">
        <v>29</v>
      </c>
      <c r="G927" s="58" t="s">
        <v>1443</v>
      </c>
      <c r="H927" s="58" t="s">
        <v>1449</v>
      </c>
      <c r="I927" s="60">
        <v>376</v>
      </c>
      <c r="J927" s="58" t="s">
        <v>29</v>
      </c>
      <c r="K927" s="58" t="s">
        <v>29</v>
      </c>
      <c r="L927" s="58" t="s">
        <v>94</v>
      </c>
      <c r="M927" s="58" t="s">
        <v>29</v>
      </c>
      <c r="N927" s="61" t="s">
        <v>3447</v>
      </c>
      <c r="O927" s="280" t="s">
        <v>3448</v>
      </c>
      <c r="P927" s="280" t="s">
        <v>1447</v>
      </c>
      <c r="Q927" s="63" t="str">
        <f>IF(V927&lt;&gt;"","Completed","")</f>
        <v/>
      </c>
      <c r="R927" s="270" t="s">
        <v>1242</v>
      </c>
      <c r="S927" s="270"/>
      <c r="T927" s="265"/>
      <c r="V927" s="256"/>
      <c r="Y927" s="86" t="s">
        <v>1242</v>
      </c>
      <c r="AA927" s="252"/>
      <c r="AB927" s="265"/>
      <c r="AC927" s="265"/>
    </row>
    <row r="928" spans="1:30">
      <c r="A928" s="334" t="s">
        <v>1405</v>
      </c>
      <c r="B928" s="278"/>
      <c r="C928" s="279"/>
      <c r="D928" s="265"/>
      <c r="E928" s="265" t="s">
        <v>29</v>
      </c>
      <c r="F928" s="265" t="s">
        <v>94</v>
      </c>
      <c r="G928" s="280" t="s">
        <v>1443</v>
      </c>
      <c r="H928" s="280" t="s">
        <v>1444</v>
      </c>
      <c r="I928" s="281">
        <v>0</v>
      </c>
      <c r="J928" s="280" t="s">
        <v>94</v>
      </c>
      <c r="K928" s="280" t="s">
        <v>29</v>
      </c>
      <c r="L928" s="280" t="s">
        <v>94</v>
      </c>
      <c r="M928" s="280" t="s">
        <v>94</v>
      </c>
      <c r="N928" s="282" t="s">
        <v>3449</v>
      </c>
      <c r="O928" s="280" t="s">
        <v>3450</v>
      </c>
      <c r="P928" s="280" t="s">
        <v>1459</v>
      </c>
      <c r="Q928" s="63" t="str">
        <f>IF(V928&lt;&gt;"","Completed","")</f>
        <v/>
      </c>
      <c r="R928" s="64" t="s">
        <v>1242</v>
      </c>
      <c r="T928" s="265"/>
      <c r="U928" s="265"/>
      <c r="V928" s="256"/>
      <c r="W928" s="265"/>
      <c r="X928" s="265"/>
      <c r="Y928" s="86" t="s">
        <v>1242</v>
      </c>
      <c r="Z928" s="263"/>
      <c r="AA928" s="264"/>
      <c r="AB928" s="86"/>
      <c r="AC928" s="86"/>
    </row>
    <row r="929" spans="1:30" s="62" customFormat="1">
      <c r="A929" s="75" t="s">
        <v>756</v>
      </c>
      <c r="B929" s="59"/>
      <c r="C929" s="57">
        <v>42748</v>
      </c>
      <c r="D929" s="65"/>
      <c r="E929" s="65" t="s">
        <v>29</v>
      </c>
      <c r="F929" s="65" t="s">
        <v>94</v>
      </c>
      <c r="G929" s="58" t="s">
        <v>1443</v>
      </c>
      <c r="H929" s="58" t="s">
        <v>1456</v>
      </c>
      <c r="I929" s="60">
        <v>0</v>
      </c>
      <c r="J929" s="58" t="s">
        <v>29</v>
      </c>
      <c r="K929" s="58" t="s">
        <v>29</v>
      </c>
      <c r="L929" s="58" t="s">
        <v>94</v>
      </c>
      <c r="M929" s="58" t="s">
        <v>94</v>
      </c>
      <c r="N929" s="61" t="s">
        <v>3451</v>
      </c>
      <c r="O929" s="58" t="s">
        <v>3452</v>
      </c>
      <c r="P929" s="58" t="s">
        <v>1459</v>
      </c>
      <c r="Q929" s="63" t="str">
        <f>IF(V929&lt;&gt;"","Completed","")</f>
        <v/>
      </c>
      <c r="R929" s="64" t="s">
        <v>1242</v>
      </c>
      <c r="S929" s="64"/>
      <c r="T929" s="65"/>
      <c r="U929" s="65"/>
      <c r="V929" s="256"/>
      <c r="W929" s="65"/>
      <c r="X929" s="65"/>
      <c r="Y929" s="86" t="s">
        <v>1242</v>
      </c>
      <c r="Z929" s="56"/>
      <c r="AA929" s="252"/>
      <c r="AB929" s="86"/>
      <c r="AC929" s="265"/>
      <c r="AD929" s="345"/>
    </row>
    <row r="930" spans="1:30">
      <c r="A930" s="334" t="s">
        <v>1320</v>
      </c>
      <c r="B930" s="278"/>
      <c r="C930" s="279">
        <v>42655</v>
      </c>
      <c r="D930" s="265"/>
      <c r="E930" s="265" t="s">
        <v>29</v>
      </c>
      <c r="F930" s="265" t="s">
        <v>29</v>
      </c>
      <c r="G930" s="280" t="s">
        <v>1443</v>
      </c>
      <c r="H930" s="280" t="s">
        <v>1456</v>
      </c>
      <c r="I930" s="281">
        <v>410</v>
      </c>
      <c r="J930" s="280" t="s">
        <v>94</v>
      </c>
      <c r="K930" s="280" t="s">
        <v>29</v>
      </c>
      <c r="L930" s="280" t="s">
        <v>94</v>
      </c>
      <c r="M930" s="280" t="s">
        <v>29</v>
      </c>
      <c r="N930" s="282" t="s">
        <v>3453</v>
      </c>
      <c r="O930" s="280" t="s">
        <v>2551</v>
      </c>
      <c r="P930" s="280" t="s">
        <v>1459</v>
      </c>
      <c r="Q930" s="63" t="str">
        <f>IF(V930&lt;&gt;"","Completed","")</f>
        <v/>
      </c>
      <c r="R930" s="64" t="s">
        <v>1242</v>
      </c>
      <c r="T930" s="265"/>
      <c r="U930" s="265"/>
      <c r="V930" s="256"/>
      <c r="W930" s="265"/>
      <c r="X930" s="265"/>
      <c r="Y930" s="86" t="s">
        <v>1242</v>
      </c>
      <c r="Z930" s="263"/>
      <c r="AA930" s="264"/>
      <c r="AB930" s="86"/>
      <c r="AC930" s="265"/>
    </row>
    <row r="931" spans="1:30">
      <c r="A931" s="334" t="s">
        <v>93</v>
      </c>
      <c r="B931" s="278"/>
      <c r="C931" s="279">
        <v>42710</v>
      </c>
      <c r="D931" s="265">
        <v>3010000</v>
      </c>
      <c r="E931" s="265" t="s">
        <v>29</v>
      </c>
      <c r="F931" s="265" t="s">
        <v>94</v>
      </c>
      <c r="G931" s="280" t="s">
        <v>1443</v>
      </c>
      <c r="H931" s="280" t="s">
        <v>1444</v>
      </c>
      <c r="I931" s="281">
        <v>0</v>
      </c>
      <c r="J931" s="280" t="s">
        <v>94</v>
      </c>
      <c r="K931" s="280" t="s">
        <v>29</v>
      </c>
      <c r="L931" s="280" t="s">
        <v>94</v>
      </c>
      <c r="M931" s="280" t="s">
        <v>94</v>
      </c>
      <c r="N931" s="282" t="s">
        <v>3454</v>
      </c>
      <c r="O931" s="280" t="s">
        <v>3455</v>
      </c>
      <c r="P931" s="280" t="s">
        <v>1447</v>
      </c>
      <c r="Q931" s="63" t="str">
        <f>IF(V931&lt;&gt;"","Completed","")</f>
        <v/>
      </c>
      <c r="R931" s="270" t="s">
        <v>1242</v>
      </c>
      <c r="S931" s="270"/>
      <c r="T931" s="265"/>
      <c r="U931" s="265"/>
      <c r="V931" s="256"/>
      <c r="W931" s="265"/>
      <c r="X931" s="265"/>
      <c r="Y931" s="86" t="s">
        <v>1242</v>
      </c>
      <c r="Z931" s="263"/>
      <c r="AA931" s="264"/>
      <c r="AB931" s="265"/>
      <c r="AC931" s="265"/>
    </row>
    <row r="932" spans="1:30">
      <c r="A932" s="334" t="s">
        <v>1255</v>
      </c>
      <c r="B932" s="278"/>
      <c r="C932" s="279">
        <v>42683</v>
      </c>
      <c r="D932" s="265">
        <v>3046000</v>
      </c>
      <c r="E932" s="265" t="s">
        <v>29</v>
      </c>
      <c r="F932" s="265" t="s">
        <v>94</v>
      </c>
      <c r="G932" s="280" t="s">
        <v>1443</v>
      </c>
      <c r="H932" s="280" t="s">
        <v>1456</v>
      </c>
      <c r="I932" s="281">
        <v>344</v>
      </c>
      <c r="J932" s="280" t="s">
        <v>94</v>
      </c>
      <c r="K932" s="280" t="s">
        <v>29</v>
      </c>
      <c r="L932" s="280" t="s">
        <v>94</v>
      </c>
      <c r="M932" s="280" t="s">
        <v>94</v>
      </c>
      <c r="N932" s="282" t="s">
        <v>3456</v>
      </c>
      <c r="O932" s="280" t="s">
        <v>3457</v>
      </c>
      <c r="P932" s="280" t="s">
        <v>1447</v>
      </c>
      <c r="Q932" s="63" t="str">
        <f>IF(V932&lt;&gt;"","Completed","")</f>
        <v/>
      </c>
      <c r="R932" s="270" t="s">
        <v>1242</v>
      </c>
      <c r="S932" s="270"/>
      <c r="T932" s="265"/>
      <c r="U932" s="265"/>
      <c r="V932" s="256"/>
      <c r="W932" s="265"/>
      <c r="X932" s="265"/>
      <c r="Y932" s="86" t="s">
        <v>1242</v>
      </c>
      <c r="Z932" s="263"/>
      <c r="AA932" s="264"/>
      <c r="AB932" s="265"/>
      <c r="AC932" s="265"/>
    </row>
    <row r="933" spans="1:30">
      <c r="A933" s="333" t="s">
        <v>1312</v>
      </c>
      <c r="B933" s="305"/>
      <c r="C933" s="311">
        <v>42688</v>
      </c>
      <c r="D933" s="109" t="s">
        <v>3458</v>
      </c>
      <c r="E933" s="151" t="s">
        <v>94</v>
      </c>
      <c r="F933" s="151" t="s">
        <v>29</v>
      </c>
      <c r="G933" s="306" t="s">
        <v>1443</v>
      </c>
      <c r="H933" s="306" t="s">
        <v>1456</v>
      </c>
      <c r="I933" s="307">
        <v>300</v>
      </c>
      <c r="J933" s="306" t="s">
        <v>29</v>
      </c>
      <c r="K933" s="306" t="s">
        <v>94</v>
      </c>
      <c r="L933" s="306" t="s">
        <v>29</v>
      </c>
      <c r="M933" s="306" t="s">
        <v>29</v>
      </c>
      <c r="N933" s="308" t="s">
        <v>3459</v>
      </c>
      <c r="O933" s="306" t="s">
        <v>3460</v>
      </c>
      <c r="P933" s="306" t="s">
        <v>1447</v>
      </c>
      <c r="Q933" s="63" t="str">
        <f>IF(V933&lt;&gt;"","Completed","")</f>
        <v/>
      </c>
      <c r="R933" s="64" t="s">
        <v>1242</v>
      </c>
      <c r="V933" s="256"/>
      <c r="Y933" s="86" t="s">
        <v>1242</v>
      </c>
      <c r="AA933" s="249"/>
      <c r="AB933" s="265"/>
      <c r="AC933" s="265"/>
    </row>
    <row r="934" spans="1:30">
      <c r="A934" s="336" t="s">
        <v>1303</v>
      </c>
      <c r="B934" s="258" t="s">
        <v>1263</v>
      </c>
      <c r="C934" s="279">
        <v>42655</v>
      </c>
      <c r="D934" s="265"/>
      <c r="E934" s="265" t="s">
        <v>29</v>
      </c>
      <c r="F934" s="265" t="s">
        <v>29</v>
      </c>
      <c r="G934" s="280" t="s">
        <v>1443</v>
      </c>
      <c r="H934" s="280" t="s">
        <v>1456</v>
      </c>
      <c r="I934" s="281">
        <v>0</v>
      </c>
      <c r="J934" s="280" t="s">
        <v>29</v>
      </c>
      <c r="K934" s="280" t="s">
        <v>29</v>
      </c>
      <c r="L934" s="280" t="s">
        <v>94</v>
      </c>
      <c r="M934" s="280" t="s">
        <v>29</v>
      </c>
      <c r="N934" s="282" t="s">
        <v>3461</v>
      </c>
      <c r="O934" s="280" t="s">
        <v>3462</v>
      </c>
      <c r="P934" s="280" t="s">
        <v>1447</v>
      </c>
      <c r="Q934" s="63" t="str">
        <f>IF(V934&lt;&gt;"","Completed","")</f>
        <v/>
      </c>
      <c r="R934" s="64" t="s">
        <v>1242</v>
      </c>
      <c r="T934" s="265"/>
      <c r="U934" s="265"/>
      <c r="V934" s="256"/>
      <c r="W934" s="265"/>
      <c r="X934" s="265"/>
      <c r="Y934" s="86" t="s">
        <v>1242</v>
      </c>
      <c r="Z934" s="263"/>
      <c r="AA934" s="264"/>
      <c r="AB934" s="265"/>
      <c r="AC934" s="86"/>
    </row>
    <row r="935" spans="1:30">
      <c r="A935" s="336" t="s">
        <v>1262</v>
      </c>
      <c r="B935" s="258" t="s">
        <v>1263</v>
      </c>
      <c r="C935" s="279">
        <v>42655</v>
      </c>
      <c r="D935" s="265">
        <v>4055000</v>
      </c>
      <c r="E935" s="265" t="s">
        <v>29</v>
      </c>
      <c r="F935" s="265" t="s">
        <v>29</v>
      </c>
      <c r="G935" s="280" t="s">
        <v>1443</v>
      </c>
      <c r="H935" s="280" t="s">
        <v>1456</v>
      </c>
      <c r="I935" s="281">
        <v>175</v>
      </c>
      <c r="J935" s="280" t="s">
        <v>94</v>
      </c>
      <c r="K935" s="280" t="s">
        <v>29</v>
      </c>
      <c r="L935" s="280" t="s">
        <v>29</v>
      </c>
      <c r="M935" s="280" t="s">
        <v>29</v>
      </c>
      <c r="N935" s="282" t="s">
        <v>3463</v>
      </c>
      <c r="O935" s="280" t="s">
        <v>3464</v>
      </c>
      <c r="P935" s="280" t="s">
        <v>1447</v>
      </c>
      <c r="Q935" s="63" t="str">
        <f>IF(V935&lt;&gt;"","Completed","")</f>
        <v/>
      </c>
      <c r="R935" s="270" t="s">
        <v>1242</v>
      </c>
      <c r="S935" s="270"/>
      <c r="T935" s="265"/>
      <c r="U935" s="265"/>
      <c r="V935" s="256"/>
      <c r="W935" s="265"/>
      <c r="X935" s="265"/>
      <c r="Y935" s="86" t="s">
        <v>1242</v>
      </c>
      <c r="Z935" s="263"/>
      <c r="AA935" s="264"/>
      <c r="AB935" s="265"/>
      <c r="AC935" s="86"/>
    </row>
    <row r="936" spans="1:30">
      <c r="A936" s="334" t="s">
        <v>1405</v>
      </c>
      <c r="B936" s="278"/>
      <c r="C936" s="279"/>
      <c r="D936" s="265"/>
      <c r="E936" s="265" t="s">
        <v>29</v>
      </c>
      <c r="F936" s="265" t="s">
        <v>94</v>
      </c>
      <c r="G936" s="280" t="s">
        <v>1443</v>
      </c>
      <c r="H936" s="280" t="s">
        <v>1444</v>
      </c>
      <c r="I936" s="281">
        <v>357</v>
      </c>
      <c r="J936" s="280" t="s">
        <v>94</v>
      </c>
      <c r="K936" s="280" t="s">
        <v>29</v>
      </c>
      <c r="L936" s="280" t="s">
        <v>94</v>
      </c>
      <c r="M936" s="280" t="s">
        <v>94</v>
      </c>
      <c r="N936" s="282" t="s">
        <v>3465</v>
      </c>
      <c r="O936" s="280" t="s">
        <v>3466</v>
      </c>
      <c r="P936" s="280" t="s">
        <v>1459</v>
      </c>
      <c r="Q936" s="63" t="str">
        <f>IF(V936&lt;&gt;"","Completed","")</f>
        <v/>
      </c>
      <c r="R936" s="64" t="s">
        <v>1242</v>
      </c>
      <c r="T936" s="265"/>
      <c r="U936" s="265"/>
      <c r="V936" s="256"/>
      <c r="W936" s="265"/>
      <c r="X936" s="265"/>
      <c r="Y936" s="86" t="s">
        <v>1242</v>
      </c>
      <c r="Z936" s="263"/>
      <c r="AA936" s="264"/>
      <c r="AB936" s="86"/>
      <c r="AC936" s="86"/>
    </row>
    <row r="937" spans="1:30">
      <c r="A937" s="334" t="s">
        <v>1387</v>
      </c>
      <c r="B937" s="278"/>
      <c r="C937" s="279">
        <v>42678</v>
      </c>
      <c r="D937" s="265"/>
      <c r="E937" s="265" t="s">
        <v>29</v>
      </c>
      <c r="F937" s="265" t="s">
        <v>29</v>
      </c>
      <c r="G937" s="280" t="s">
        <v>1443</v>
      </c>
      <c r="H937" s="280" t="s">
        <v>1456</v>
      </c>
      <c r="I937" s="281">
        <v>100</v>
      </c>
      <c r="J937" s="280" t="s">
        <v>94</v>
      </c>
      <c r="K937" s="280" t="s">
        <v>29</v>
      </c>
      <c r="L937" s="280" t="s">
        <v>29</v>
      </c>
      <c r="M937" s="280" t="s">
        <v>29</v>
      </c>
      <c r="N937" s="282" t="s">
        <v>3467</v>
      </c>
      <c r="O937" s="280" t="s">
        <v>3468</v>
      </c>
      <c r="P937" s="280" t="s">
        <v>1447</v>
      </c>
      <c r="Q937" s="63" t="str">
        <f>IF(V937&lt;&gt;"","Completed","")</f>
        <v/>
      </c>
      <c r="R937" s="270" t="s">
        <v>1242</v>
      </c>
      <c r="S937" s="270"/>
      <c r="T937" s="265"/>
      <c r="U937" s="265"/>
      <c r="V937" s="256"/>
      <c r="W937" s="265"/>
      <c r="X937" s="265"/>
      <c r="Y937" s="86" t="s">
        <v>1242</v>
      </c>
      <c r="Z937" s="263"/>
      <c r="AA937" s="264"/>
      <c r="AB937" s="265"/>
      <c r="AC937" s="265"/>
    </row>
    <row r="938" spans="1:30">
      <c r="A938" s="334" t="s">
        <v>1387</v>
      </c>
      <c r="B938" s="278"/>
      <c r="C938" s="279">
        <v>42678</v>
      </c>
      <c r="D938" s="265"/>
      <c r="E938" s="265" t="s">
        <v>29</v>
      </c>
      <c r="F938" s="265" t="s">
        <v>29</v>
      </c>
      <c r="G938" s="280" t="s">
        <v>1443</v>
      </c>
      <c r="H938" s="280" t="s">
        <v>1456</v>
      </c>
      <c r="I938" s="281">
        <v>0</v>
      </c>
      <c r="J938" s="280" t="s">
        <v>29</v>
      </c>
      <c r="K938" s="280" t="s">
        <v>29</v>
      </c>
      <c r="L938" s="280" t="s">
        <v>29</v>
      </c>
      <c r="M938" s="280" t="s">
        <v>29</v>
      </c>
      <c r="N938" s="282" t="s">
        <v>3469</v>
      </c>
      <c r="O938" s="280" t="s">
        <v>3470</v>
      </c>
      <c r="P938" s="280" t="s">
        <v>1447</v>
      </c>
      <c r="Q938" s="63" t="str">
        <f>IF(V938&lt;&gt;"","Completed","")</f>
        <v/>
      </c>
      <c r="R938" s="270" t="s">
        <v>1242</v>
      </c>
      <c r="S938" s="270"/>
      <c r="T938" s="265"/>
      <c r="U938" s="265"/>
      <c r="V938" s="256"/>
      <c r="W938" s="265"/>
      <c r="X938" s="265"/>
      <c r="Y938" s="86" t="s">
        <v>1242</v>
      </c>
      <c r="Z938" s="263"/>
      <c r="AA938" s="264"/>
      <c r="AB938" s="265"/>
      <c r="AC938" s="86"/>
    </row>
    <row r="939" spans="1:30">
      <c r="A939" s="336" t="s">
        <v>1244</v>
      </c>
      <c r="B939" s="258" t="s">
        <v>1245</v>
      </c>
      <c r="C939" s="283">
        <v>42716</v>
      </c>
      <c r="D939" s="107" t="s">
        <v>3471</v>
      </c>
      <c r="E939" s="113" t="s">
        <v>94</v>
      </c>
      <c r="F939" s="113" t="s">
        <v>29</v>
      </c>
      <c r="G939" s="285" t="s">
        <v>1443</v>
      </c>
      <c r="H939" s="285" t="s">
        <v>1449</v>
      </c>
      <c r="I939" s="286">
        <v>0</v>
      </c>
      <c r="J939" s="285" t="s">
        <v>94</v>
      </c>
      <c r="K939" s="285" t="s">
        <v>94</v>
      </c>
      <c r="L939" s="285" t="s">
        <v>29</v>
      </c>
      <c r="M939" s="285" t="s">
        <v>29</v>
      </c>
      <c r="N939" s="287" t="s">
        <v>3472</v>
      </c>
      <c r="O939" s="285" t="s">
        <v>3473</v>
      </c>
      <c r="P939" s="285" t="s">
        <v>1447</v>
      </c>
      <c r="Q939" s="63" t="str">
        <f>IF(V939&lt;&gt;"","Completed","")</f>
        <v/>
      </c>
      <c r="R939" s="82" t="s">
        <v>1242</v>
      </c>
      <c r="S939" s="82"/>
      <c r="T939" s="265"/>
      <c r="U939" s="265"/>
      <c r="V939" s="265"/>
      <c r="W939" s="265"/>
      <c r="X939" s="265"/>
      <c r="Y939" s="86" t="s">
        <v>1242</v>
      </c>
      <c r="Z939" s="263"/>
      <c r="AA939" s="264"/>
      <c r="AB939" s="265"/>
      <c r="AC939" s="265"/>
    </row>
    <row r="940" spans="1:30">
      <c r="A940" s="334" t="s">
        <v>1320</v>
      </c>
      <c r="B940" s="278"/>
      <c r="C940" s="279">
        <v>42655</v>
      </c>
      <c r="D940" s="265"/>
      <c r="E940" s="265" t="s">
        <v>29</v>
      </c>
      <c r="F940" s="265" t="s">
        <v>29</v>
      </c>
      <c r="G940" s="280" t="s">
        <v>1443</v>
      </c>
      <c r="H940" s="280" t="s">
        <v>1456</v>
      </c>
      <c r="I940" s="281">
        <v>0</v>
      </c>
      <c r="J940" s="280" t="s">
        <v>29</v>
      </c>
      <c r="K940" s="280" t="s">
        <v>29</v>
      </c>
      <c r="L940" s="280" t="s">
        <v>94</v>
      </c>
      <c r="M940" s="280" t="s">
        <v>29</v>
      </c>
      <c r="N940" s="282" t="s">
        <v>3474</v>
      </c>
      <c r="O940" s="280" t="s">
        <v>3475</v>
      </c>
      <c r="P940" s="280" t="s">
        <v>1459</v>
      </c>
      <c r="Q940" s="63" t="str">
        <f>IF(V940&lt;&gt;"","Completed","")</f>
        <v/>
      </c>
      <c r="R940" s="64" t="s">
        <v>1242</v>
      </c>
      <c r="T940" s="265"/>
      <c r="U940" s="265"/>
      <c r="V940" s="256"/>
      <c r="W940" s="265"/>
      <c r="X940" s="265"/>
      <c r="Y940" s="86" t="s">
        <v>1242</v>
      </c>
      <c r="Z940" s="263"/>
      <c r="AA940" s="264"/>
      <c r="AB940" s="86"/>
      <c r="AC940" s="265"/>
    </row>
    <row r="941" spans="1:30">
      <c r="A941" s="334" t="s">
        <v>1329</v>
      </c>
      <c r="B941" s="278"/>
      <c r="C941" s="279">
        <v>42669</v>
      </c>
      <c r="D941" s="265"/>
      <c r="E941" s="265" t="s">
        <v>29</v>
      </c>
      <c r="F941" s="265" t="s">
        <v>94</v>
      </c>
      <c r="G941" s="280" t="s">
        <v>3250</v>
      </c>
      <c r="H941" s="280" t="s">
        <v>1444</v>
      </c>
      <c r="I941" s="281">
        <v>1</v>
      </c>
      <c r="J941" s="280" t="s">
        <v>94</v>
      </c>
      <c r="K941" s="280" t="s">
        <v>29</v>
      </c>
      <c r="L941" s="280" t="s">
        <v>29</v>
      </c>
      <c r="M941" s="280" t="s">
        <v>94</v>
      </c>
      <c r="N941" s="282" t="s">
        <v>3476</v>
      </c>
      <c r="O941" s="280" t="s">
        <v>3477</v>
      </c>
      <c r="P941" s="280" t="s">
        <v>1447</v>
      </c>
      <c r="Q941" s="63" t="str">
        <f>IF(V941&lt;&gt;"","Completed","")</f>
        <v/>
      </c>
      <c r="R941" s="270" t="s">
        <v>1242</v>
      </c>
      <c r="S941" s="270"/>
      <c r="T941" s="265"/>
      <c r="U941" s="265"/>
      <c r="V941" s="256"/>
      <c r="W941" s="265"/>
      <c r="X941" s="265"/>
      <c r="Y941" s="86" t="s">
        <v>1242</v>
      </c>
      <c r="Z941" s="263"/>
      <c r="AA941" s="264"/>
      <c r="AB941" s="86"/>
      <c r="AC941" s="86"/>
    </row>
    <row r="942" spans="1:30">
      <c r="A942" s="334" t="s">
        <v>1329</v>
      </c>
      <c r="B942" s="278"/>
      <c r="C942" s="279">
        <v>42669</v>
      </c>
      <c r="D942" s="265"/>
      <c r="E942" s="265" t="s">
        <v>29</v>
      </c>
      <c r="F942" s="265" t="s">
        <v>94</v>
      </c>
      <c r="G942" s="280" t="s">
        <v>1443</v>
      </c>
      <c r="H942" s="280" t="s">
        <v>1444</v>
      </c>
      <c r="I942" s="281">
        <v>0</v>
      </c>
      <c r="J942" s="280" t="s">
        <v>94</v>
      </c>
      <c r="K942" s="280" t="s">
        <v>29</v>
      </c>
      <c r="L942" s="280" t="s">
        <v>29</v>
      </c>
      <c r="M942" s="280" t="s">
        <v>94</v>
      </c>
      <c r="N942" s="282" t="s">
        <v>3478</v>
      </c>
      <c r="O942" s="280" t="s">
        <v>3479</v>
      </c>
      <c r="P942" s="280" t="s">
        <v>1447</v>
      </c>
      <c r="Q942" s="63" t="str">
        <f>IF(V942&lt;&gt;"","Completed","")</f>
        <v/>
      </c>
      <c r="R942" s="270" t="s">
        <v>1242</v>
      </c>
      <c r="S942" s="270"/>
      <c r="T942" s="265"/>
      <c r="U942" s="265"/>
      <c r="V942" s="256"/>
      <c r="W942" s="265"/>
      <c r="X942" s="265"/>
      <c r="Y942" s="86" t="s">
        <v>1242</v>
      </c>
      <c r="Z942" s="263"/>
      <c r="AA942" s="264"/>
      <c r="AB942" s="265"/>
      <c r="AC942" s="265"/>
    </row>
    <row r="943" spans="1:30">
      <c r="A943" s="334" t="s">
        <v>1329</v>
      </c>
      <c r="B943" s="278"/>
      <c r="C943" s="279">
        <v>42669</v>
      </c>
      <c r="D943" s="265"/>
      <c r="E943" s="265" t="s">
        <v>29</v>
      </c>
      <c r="F943" s="265" t="s">
        <v>94</v>
      </c>
      <c r="G943" s="280" t="s">
        <v>1443</v>
      </c>
      <c r="H943" s="280" t="s">
        <v>1444</v>
      </c>
      <c r="I943" s="281">
        <v>716</v>
      </c>
      <c r="J943" s="280" t="s">
        <v>94</v>
      </c>
      <c r="K943" s="280" t="s">
        <v>29</v>
      </c>
      <c r="L943" s="280" t="s">
        <v>29</v>
      </c>
      <c r="M943" s="280" t="s">
        <v>94</v>
      </c>
      <c r="N943" s="282" t="s">
        <v>3480</v>
      </c>
      <c r="O943" s="280" t="s">
        <v>3481</v>
      </c>
      <c r="P943" s="280" t="s">
        <v>1447</v>
      </c>
      <c r="Q943" s="63" t="str">
        <f>IF(V943&lt;&gt;"","Completed","")</f>
        <v/>
      </c>
      <c r="R943" s="270" t="s">
        <v>1242</v>
      </c>
      <c r="S943" s="270"/>
      <c r="T943" s="265"/>
      <c r="U943" s="265"/>
      <c r="V943" s="256"/>
      <c r="W943" s="265"/>
      <c r="X943" s="265"/>
      <c r="Y943" s="86" t="s">
        <v>1242</v>
      </c>
      <c r="Z943" s="263"/>
      <c r="AA943" s="264"/>
      <c r="AB943" s="86"/>
      <c r="AC943" s="86"/>
    </row>
    <row r="944" spans="1:30">
      <c r="A944" s="75" t="s">
        <v>1379</v>
      </c>
      <c r="B944" s="59"/>
      <c r="C944" s="57"/>
      <c r="E944" s="65" t="s">
        <v>29</v>
      </c>
      <c r="F944" s="65" t="s">
        <v>94</v>
      </c>
      <c r="G944" s="58" t="s">
        <v>1443</v>
      </c>
      <c r="H944" s="58" t="s">
        <v>1444</v>
      </c>
      <c r="I944" s="60">
        <v>0</v>
      </c>
      <c r="J944" s="58" t="s">
        <v>94</v>
      </c>
      <c r="K944" s="58" t="s">
        <v>29</v>
      </c>
      <c r="L944" s="58" t="s">
        <v>94</v>
      </c>
      <c r="M944" s="58" t="s">
        <v>94</v>
      </c>
      <c r="N944" s="61" t="s">
        <v>3482</v>
      </c>
      <c r="O944" s="58" t="s">
        <v>3483</v>
      </c>
      <c r="P944" s="58" t="s">
        <v>1447</v>
      </c>
      <c r="Q944" s="63" t="str">
        <f>IF(V944&lt;&gt;"","Completed","")</f>
        <v/>
      </c>
      <c r="R944" s="270" t="s">
        <v>1242</v>
      </c>
      <c r="S944" s="270"/>
      <c r="T944" s="265"/>
      <c r="U944" s="265"/>
      <c r="V944" s="256"/>
      <c r="Y944" s="86" t="s">
        <v>1242</v>
      </c>
      <c r="AA944" s="249"/>
      <c r="AB944" s="265"/>
      <c r="AC944" s="86"/>
    </row>
    <row r="945" spans="1:29">
      <c r="A945" s="244" t="s">
        <v>1062</v>
      </c>
      <c r="B945" s="62" t="s">
        <v>913</v>
      </c>
      <c r="C945" s="57">
        <v>42712</v>
      </c>
      <c r="E945" s="65" t="s">
        <v>29</v>
      </c>
      <c r="F945" s="65" t="s">
        <v>29</v>
      </c>
      <c r="G945" s="58" t="s">
        <v>1443</v>
      </c>
      <c r="H945" s="58" t="s">
        <v>1456</v>
      </c>
      <c r="I945" s="60">
        <v>0</v>
      </c>
      <c r="J945" s="58" t="s">
        <v>94</v>
      </c>
      <c r="K945" s="58" t="s">
        <v>29</v>
      </c>
      <c r="L945" s="58" t="s">
        <v>29</v>
      </c>
      <c r="M945" s="58" t="s">
        <v>29</v>
      </c>
      <c r="N945" s="61" t="s">
        <v>3484</v>
      </c>
      <c r="O945" s="58" t="s">
        <v>3485</v>
      </c>
      <c r="P945" s="58" t="s">
        <v>1447</v>
      </c>
      <c r="Q945" s="63" t="str">
        <f>IF(V945&lt;&gt;"","Completed","")</f>
        <v/>
      </c>
      <c r="R945" s="270" t="s">
        <v>1242</v>
      </c>
      <c r="S945" s="270"/>
      <c r="T945" s="265"/>
      <c r="U945" s="265"/>
      <c r="V945" s="256"/>
      <c r="Y945" s="86" t="s">
        <v>1242</v>
      </c>
      <c r="AB945" s="265"/>
      <c r="AC945" s="265"/>
    </row>
    <row r="946" spans="1:29">
      <c r="A946" s="334" t="s">
        <v>1398</v>
      </c>
      <c r="B946" s="278"/>
      <c r="C946" s="279"/>
      <c r="D946" s="265"/>
      <c r="E946" s="265" t="s">
        <v>29</v>
      </c>
      <c r="F946" s="265" t="s">
        <v>94</v>
      </c>
      <c r="G946" s="280" t="s">
        <v>1443</v>
      </c>
      <c r="H946" s="280" t="s">
        <v>1456</v>
      </c>
      <c r="I946" s="281">
        <v>327</v>
      </c>
      <c r="J946" s="280" t="s">
        <v>29</v>
      </c>
      <c r="K946" s="280" t="s">
        <v>29</v>
      </c>
      <c r="L946" s="280" t="s">
        <v>94</v>
      </c>
      <c r="M946" s="280" t="s">
        <v>94</v>
      </c>
      <c r="N946" s="282" t="s">
        <v>3486</v>
      </c>
      <c r="O946" s="280" t="s">
        <v>3487</v>
      </c>
      <c r="P946" s="280" t="s">
        <v>1447</v>
      </c>
      <c r="Q946" s="63" t="str">
        <f>IF(V946&lt;&gt;"","Completed","")</f>
        <v/>
      </c>
      <c r="R946" s="64" t="s">
        <v>1242</v>
      </c>
      <c r="T946" s="265"/>
      <c r="U946" s="265"/>
      <c r="V946" s="256"/>
      <c r="W946" s="265"/>
      <c r="X946" s="265"/>
      <c r="Y946" s="86" t="s">
        <v>1242</v>
      </c>
      <c r="Z946" s="263"/>
      <c r="AA946" s="264"/>
      <c r="AB946" s="265"/>
      <c r="AC946" s="265"/>
    </row>
    <row r="947" spans="1:29">
      <c r="A947" s="334" t="s">
        <v>1349</v>
      </c>
      <c r="B947" s="278"/>
      <c r="C947" s="279">
        <v>42668</v>
      </c>
      <c r="D947" s="265"/>
      <c r="E947" s="265" t="s">
        <v>29</v>
      </c>
      <c r="F947" s="265" t="s">
        <v>94</v>
      </c>
      <c r="G947" s="280" t="s">
        <v>1443</v>
      </c>
      <c r="H947" s="280" t="s">
        <v>1456</v>
      </c>
      <c r="I947" s="281">
        <v>0</v>
      </c>
      <c r="J947" s="280" t="s">
        <v>29</v>
      </c>
      <c r="K947" s="280" t="s">
        <v>29</v>
      </c>
      <c r="L947" s="280" t="s">
        <v>94</v>
      </c>
      <c r="M947" s="280" t="s">
        <v>94</v>
      </c>
      <c r="N947" s="282" t="s">
        <v>3488</v>
      </c>
      <c r="O947" s="280" t="s">
        <v>3489</v>
      </c>
      <c r="P947" s="280" t="s">
        <v>1459</v>
      </c>
      <c r="Q947" s="63" t="str">
        <f>IF(V947&lt;&gt;"","Completed","")</f>
        <v/>
      </c>
      <c r="R947" s="270" t="s">
        <v>1242</v>
      </c>
      <c r="S947" s="270"/>
      <c r="T947" s="265"/>
      <c r="U947" s="265"/>
      <c r="V947" s="256"/>
      <c r="W947" s="265"/>
      <c r="X947" s="265"/>
      <c r="Y947" s="86" t="s">
        <v>1242</v>
      </c>
      <c r="Z947" s="263"/>
      <c r="AA947" s="264"/>
      <c r="AB947" s="265"/>
      <c r="AC947" s="265"/>
    </row>
    <row r="948" spans="1:29">
      <c r="A948" s="334" t="s">
        <v>93</v>
      </c>
      <c r="B948" s="278"/>
      <c r="C948" s="279">
        <v>42710</v>
      </c>
      <c r="D948" s="265">
        <v>3010000</v>
      </c>
      <c r="E948" s="265" t="s">
        <v>29</v>
      </c>
      <c r="F948" s="265" t="s">
        <v>94</v>
      </c>
      <c r="G948" s="280" t="s">
        <v>1443</v>
      </c>
      <c r="H948" s="280" t="s">
        <v>1444</v>
      </c>
      <c r="I948" s="281">
        <v>0</v>
      </c>
      <c r="J948" s="280" t="s">
        <v>29</v>
      </c>
      <c r="K948" s="280" t="s">
        <v>29</v>
      </c>
      <c r="L948" s="280" t="s">
        <v>94</v>
      </c>
      <c r="M948" s="280" t="s">
        <v>94</v>
      </c>
      <c r="N948" s="282" t="s">
        <v>3490</v>
      </c>
      <c r="O948" s="280" t="s">
        <v>3491</v>
      </c>
      <c r="P948" s="280" t="s">
        <v>1447</v>
      </c>
      <c r="Q948" s="63" t="str">
        <f>IF(V948&lt;&gt;"","Completed","")</f>
        <v/>
      </c>
      <c r="R948" s="270" t="s">
        <v>1242</v>
      </c>
      <c r="S948" s="270"/>
      <c r="T948" s="265"/>
      <c r="U948" s="265"/>
      <c r="V948" s="256"/>
      <c r="W948" s="265"/>
      <c r="X948" s="265"/>
      <c r="Y948" s="86" t="s">
        <v>1242</v>
      </c>
      <c r="Z948" s="263"/>
      <c r="AA948" s="264"/>
      <c r="AB948" s="265"/>
      <c r="AC948" s="265"/>
    </row>
    <row r="949" spans="1:29">
      <c r="A949" s="334" t="s">
        <v>1356</v>
      </c>
      <c r="B949" s="278"/>
      <c r="C949" s="279">
        <v>42670</v>
      </c>
      <c r="D949" s="265"/>
      <c r="E949" s="265" t="s">
        <v>29</v>
      </c>
      <c r="F949" s="265" t="s">
        <v>29</v>
      </c>
      <c r="G949" s="280" t="s">
        <v>1443</v>
      </c>
      <c r="H949" s="280" t="s">
        <v>1449</v>
      </c>
      <c r="I949" s="281">
        <v>0</v>
      </c>
      <c r="J949" s="280" t="s">
        <v>29</v>
      </c>
      <c r="K949" s="280" t="s">
        <v>29</v>
      </c>
      <c r="L949" s="280" t="s">
        <v>29</v>
      </c>
      <c r="M949" s="280" t="s">
        <v>29</v>
      </c>
      <c r="N949" s="282" t="s">
        <v>3492</v>
      </c>
      <c r="O949" s="280" t="s">
        <v>3493</v>
      </c>
      <c r="P949" s="280" t="s">
        <v>1447</v>
      </c>
      <c r="Q949" s="63" t="str">
        <f>IF(V949&lt;&gt;"","Completed","")</f>
        <v/>
      </c>
      <c r="R949" s="270" t="s">
        <v>1242</v>
      </c>
      <c r="S949" s="270"/>
      <c r="T949" s="265"/>
      <c r="U949" s="265"/>
      <c r="V949" s="256"/>
      <c r="W949" s="265"/>
      <c r="X949" s="265"/>
      <c r="Y949" s="86" t="s">
        <v>1242</v>
      </c>
      <c r="Z949" s="263"/>
      <c r="AA949" s="264"/>
      <c r="AB949" s="265"/>
      <c r="AC949" s="265"/>
    </row>
    <row r="950" spans="1:29">
      <c r="A950" s="334" t="s">
        <v>1356</v>
      </c>
      <c r="B950" s="278"/>
      <c r="C950" s="279">
        <v>42670</v>
      </c>
      <c r="D950" s="265"/>
      <c r="E950" s="265" t="s">
        <v>29</v>
      </c>
      <c r="F950" s="265" t="s">
        <v>29</v>
      </c>
      <c r="G950" s="280" t="s">
        <v>1443</v>
      </c>
      <c r="H950" s="280" t="s">
        <v>1449</v>
      </c>
      <c r="I950" s="281">
        <v>141</v>
      </c>
      <c r="J950" s="280" t="s">
        <v>94</v>
      </c>
      <c r="K950" s="280" t="s">
        <v>29</v>
      </c>
      <c r="L950" s="280" t="s">
        <v>29</v>
      </c>
      <c r="M950" s="280" t="s">
        <v>29</v>
      </c>
      <c r="N950" s="282" t="s">
        <v>3494</v>
      </c>
      <c r="O950" s="280" t="s">
        <v>3495</v>
      </c>
      <c r="P950" s="280" t="s">
        <v>1447</v>
      </c>
      <c r="Q950" s="63" t="str">
        <f>IF(V950&lt;&gt;"","Completed","")</f>
        <v/>
      </c>
      <c r="R950" s="270" t="s">
        <v>1242</v>
      </c>
      <c r="S950" s="270"/>
      <c r="T950" s="265"/>
      <c r="U950" s="265"/>
      <c r="V950" s="256"/>
      <c r="W950" s="265"/>
      <c r="X950" s="265"/>
      <c r="Y950" s="86" t="s">
        <v>1242</v>
      </c>
      <c r="Z950" s="263"/>
      <c r="AA950" s="264"/>
      <c r="AB950" s="265"/>
      <c r="AC950" s="265"/>
    </row>
    <row r="951" spans="1:29">
      <c r="A951" s="334" t="s">
        <v>212</v>
      </c>
      <c r="B951" s="278"/>
      <c r="C951" s="279">
        <v>42675</v>
      </c>
      <c r="D951" s="265">
        <v>3031000</v>
      </c>
      <c r="E951" s="265" t="s">
        <v>29</v>
      </c>
      <c r="F951" s="265" t="s">
        <v>29</v>
      </c>
      <c r="G951" s="280" t="s">
        <v>1443</v>
      </c>
      <c r="H951" s="280" t="s">
        <v>1456</v>
      </c>
      <c r="I951" s="281">
        <v>468</v>
      </c>
      <c r="J951" s="280" t="s">
        <v>29</v>
      </c>
      <c r="K951" s="280" t="s">
        <v>29</v>
      </c>
      <c r="L951" s="280" t="s">
        <v>94</v>
      </c>
      <c r="M951" s="280" t="s">
        <v>29</v>
      </c>
      <c r="N951" s="282" t="s">
        <v>3496</v>
      </c>
      <c r="O951" s="280" t="s">
        <v>3497</v>
      </c>
      <c r="P951" s="280" t="s">
        <v>1447</v>
      </c>
      <c r="Q951" s="63" t="str">
        <f>IF(V951&lt;&gt;"","Completed","")</f>
        <v/>
      </c>
      <c r="R951" s="270" t="s">
        <v>1242</v>
      </c>
      <c r="S951" s="270"/>
      <c r="T951" s="265"/>
      <c r="U951" s="265"/>
      <c r="V951" s="265"/>
      <c r="W951" s="265"/>
      <c r="X951" s="265"/>
      <c r="Y951" s="86" t="s">
        <v>1242</v>
      </c>
      <c r="Z951" s="263"/>
      <c r="AA951" s="264"/>
      <c r="AB951" s="265"/>
      <c r="AC951" s="265"/>
    </row>
    <row r="952" spans="1:29">
      <c r="A952" s="334" t="s">
        <v>703</v>
      </c>
      <c r="B952" s="278"/>
      <c r="C952" s="279">
        <v>42655</v>
      </c>
      <c r="D952" s="265"/>
      <c r="E952" s="265" t="s">
        <v>29</v>
      </c>
      <c r="F952" s="265" t="s">
        <v>29</v>
      </c>
      <c r="G952" s="280" t="s">
        <v>1443</v>
      </c>
      <c r="H952" s="280" t="s">
        <v>1444</v>
      </c>
      <c r="I952" s="281">
        <v>408</v>
      </c>
      <c r="J952" s="280" t="s">
        <v>94</v>
      </c>
      <c r="K952" s="280" t="s">
        <v>29</v>
      </c>
      <c r="L952" s="280" t="s">
        <v>94</v>
      </c>
      <c r="M952" s="280" t="s">
        <v>29</v>
      </c>
      <c r="N952" s="282" t="s">
        <v>3498</v>
      </c>
      <c r="O952" s="280" t="s">
        <v>3499</v>
      </c>
      <c r="P952" s="280" t="s">
        <v>1459</v>
      </c>
      <c r="Q952" s="63" t="str">
        <f>IF(V952&lt;&gt;"","Completed","")</f>
        <v/>
      </c>
      <c r="R952" s="64" t="s">
        <v>1242</v>
      </c>
      <c r="T952" s="265"/>
      <c r="U952" s="265"/>
      <c r="V952" s="265"/>
      <c r="W952" s="265"/>
      <c r="X952" s="265"/>
      <c r="Y952" s="86" t="s">
        <v>1242</v>
      </c>
      <c r="Z952" s="263"/>
      <c r="AA952" s="264"/>
      <c r="AB952" s="86"/>
      <c r="AC952" s="265"/>
    </row>
    <row r="953" spans="1:29">
      <c r="A953" s="336" t="s">
        <v>912</v>
      </c>
      <c r="B953" s="258" t="s">
        <v>913</v>
      </c>
      <c r="C953" s="279">
        <v>42718</v>
      </c>
      <c r="D953" s="265"/>
      <c r="E953" s="265" t="s">
        <v>29</v>
      </c>
      <c r="F953" s="265" t="s">
        <v>29</v>
      </c>
      <c r="G953" s="280" t="s">
        <v>1443</v>
      </c>
      <c r="H953" s="280" t="s">
        <v>1456</v>
      </c>
      <c r="I953" s="281">
        <v>0</v>
      </c>
      <c r="J953" s="280" t="s">
        <v>94</v>
      </c>
      <c r="K953" s="280" t="s">
        <v>29</v>
      </c>
      <c r="L953" s="280" t="s">
        <v>29</v>
      </c>
      <c r="M953" s="280" t="s">
        <v>29</v>
      </c>
      <c r="N953" s="282" t="s">
        <v>3500</v>
      </c>
      <c r="O953" s="280" t="s">
        <v>3501</v>
      </c>
      <c r="P953" s="280" t="s">
        <v>1447</v>
      </c>
      <c r="Q953" s="63" t="str">
        <f>IF(V953&lt;&gt;"","Completed","")</f>
        <v/>
      </c>
      <c r="R953" s="270" t="s">
        <v>1242</v>
      </c>
      <c r="S953" s="270"/>
      <c r="T953" s="265"/>
      <c r="U953" s="265"/>
      <c r="V953" s="256"/>
      <c r="W953" s="265"/>
      <c r="X953" s="265"/>
      <c r="Y953" s="86" t="s">
        <v>1242</v>
      </c>
      <c r="AA953" s="249"/>
      <c r="AB953" s="265"/>
      <c r="AC953" s="265"/>
    </row>
    <row r="954" spans="1:29">
      <c r="A954" s="334" t="s">
        <v>703</v>
      </c>
      <c r="B954" s="278"/>
      <c r="C954" s="279">
        <v>42655</v>
      </c>
      <c r="D954" s="265"/>
      <c r="E954" s="265" t="s">
        <v>29</v>
      </c>
      <c r="F954" s="265" t="s">
        <v>29</v>
      </c>
      <c r="G954" s="280" t="s">
        <v>1443</v>
      </c>
      <c r="H954" s="280" t="s">
        <v>1444</v>
      </c>
      <c r="I954" s="281">
        <v>0</v>
      </c>
      <c r="J954" s="280" t="s">
        <v>94</v>
      </c>
      <c r="K954" s="280" t="s">
        <v>29</v>
      </c>
      <c r="L954" s="280" t="s">
        <v>94</v>
      </c>
      <c r="M954" s="280" t="s">
        <v>29</v>
      </c>
      <c r="N954" s="282" t="s">
        <v>3502</v>
      </c>
      <c r="O954" s="280" t="s">
        <v>3503</v>
      </c>
      <c r="P954" s="280" t="s">
        <v>1459</v>
      </c>
      <c r="Q954" s="63" t="str">
        <f>IF(V954&lt;&gt;"","Completed","")</f>
        <v/>
      </c>
      <c r="R954" s="64" t="s">
        <v>1242</v>
      </c>
      <c r="T954" s="265"/>
      <c r="U954" s="265"/>
      <c r="V954" s="265"/>
      <c r="W954" s="265"/>
      <c r="X954" s="265"/>
      <c r="Y954" s="86" t="s">
        <v>1242</v>
      </c>
      <c r="Z954" s="263"/>
      <c r="AA954" s="264"/>
      <c r="AB954" s="86"/>
      <c r="AC954" s="265"/>
    </row>
    <row r="955" spans="1:29">
      <c r="A955" s="334" t="s">
        <v>1255</v>
      </c>
      <c r="B955" s="278"/>
      <c r="C955" s="279">
        <v>42683</v>
      </c>
      <c r="D955" s="265">
        <v>3046000</v>
      </c>
      <c r="E955" s="265" t="s">
        <v>29</v>
      </c>
      <c r="F955" s="265" t="s">
        <v>94</v>
      </c>
      <c r="G955" s="280" t="s">
        <v>1443</v>
      </c>
      <c r="H955" s="280" t="s">
        <v>1456</v>
      </c>
      <c r="I955" s="281">
        <v>477</v>
      </c>
      <c r="J955" s="280" t="s">
        <v>94</v>
      </c>
      <c r="K955" s="280" t="s">
        <v>29</v>
      </c>
      <c r="L955" s="280" t="s">
        <v>94</v>
      </c>
      <c r="M955" s="280" t="s">
        <v>94</v>
      </c>
      <c r="N955" s="282" t="s">
        <v>3504</v>
      </c>
      <c r="O955" s="280" t="s">
        <v>3505</v>
      </c>
      <c r="P955" s="280" t="s">
        <v>1447</v>
      </c>
      <c r="Q955" s="63" t="str">
        <f>IF(V955&lt;&gt;"","Completed","")</f>
        <v/>
      </c>
      <c r="R955" s="270" t="s">
        <v>1242</v>
      </c>
      <c r="S955" s="270"/>
      <c r="T955" s="265"/>
      <c r="U955" s="265"/>
      <c r="V955" s="256"/>
      <c r="W955" s="265"/>
      <c r="X955" s="265"/>
      <c r="Y955" s="86" t="s">
        <v>1242</v>
      </c>
      <c r="Z955" s="263"/>
      <c r="AA955" s="264"/>
      <c r="AB955" s="265"/>
      <c r="AC955" s="265"/>
    </row>
    <row r="956" spans="1:29">
      <c r="A956" s="24" t="s">
        <v>3506</v>
      </c>
      <c r="B956" s="62"/>
      <c r="C956" s="57">
        <v>42755</v>
      </c>
      <c r="G956" s="58"/>
      <c r="H956" s="58"/>
      <c r="I956" s="60"/>
      <c r="J956" s="58"/>
      <c r="K956" s="58"/>
      <c r="L956" s="58"/>
      <c r="M956" s="58"/>
      <c r="N956" s="61" t="s">
        <v>3507</v>
      </c>
      <c r="O956" s="58" t="s">
        <v>3508</v>
      </c>
      <c r="P956" s="58"/>
      <c r="Q956" s="63" t="str">
        <f>IF(V956&lt;&gt;"","Completed","")</f>
        <v/>
      </c>
      <c r="R956" s="270" t="s">
        <v>1242</v>
      </c>
      <c r="S956" s="270"/>
      <c r="T956" s="265"/>
      <c r="U956" s="265"/>
      <c r="V956" s="256"/>
      <c r="Y956" s="86" t="s">
        <v>1242</v>
      </c>
      <c r="AA956" s="252"/>
      <c r="AB956" s="265"/>
      <c r="AC956" s="86"/>
    </row>
    <row r="957" spans="1:29">
      <c r="A957" s="334" t="s">
        <v>1329</v>
      </c>
      <c r="B957" s="278"/>
      <c r="C957" s="279">
        <v>42669</v>
      </c>
      <c r="D957" s="265"/>
      <c r="E957" s="265" t="s">
        <v>29</v>
      </c>
      <c r="F957" s="265" t="s">
        <v>94</v>
      </c>
      <c r="G957" s="280" t="s">
        <v>1443</v>
      </c>
      <c r="H957" s="280" t="s">
        <v>1444</v>
      </c>
      <c r="I957" s="281">
        <v>0</v>
      </c>
      <c r="J957" s="280" t="s">
        <v>94</v>
      </c>
      <c r="K957" s="280" t="s">
        <v>29</v>
      </c>
      <c r="L957" s="280" t="s">
        <v>29</v>
      </c>
      <c r="M957" s="280" t="s">
        <v>94</v>
      </c>
      <c r="N957" s="282" t="s">
        <v>3509</v>
      </c>
      <c r="O957" s="280" t="s">
        <v>3510</v>
      </c>
      <c r="P957" s="280" t="s">
        <v>1447</v>
      </c>
      <c r="Q957" s="63" t="str">
        <f>IF(V957&lt;&gt;"","Completed","")</f>
        <v/>
      </c>
      <c r="R957" s="270" t="s">
        <v>1242</v>
      </c>
      <c r="S957" s="270"/>
      <c r="T957" s="265"/>
      <c r="U957" s="265"/>
      <c r="V957" s="256"/>
      <c r="W957" s="265"/>
      <c r="X957" s="265"/>
      <c r="Y957" s="86" t="s">
        <v>1242</v>
      </c>
      <c r="Z957" s="263"/>
      <c r="AA957" s="264"/>
      <c r="AB957" s="86"/>
      <c r="AC957" s="86"/>
    </row>
    <row r="958" spans="1:29">
      <c r="A958" s="334" t="s">
        <v>1356</v>
      </c>
      <c r="B958" s="278"/>
      <c r="C958" s="279">
        <v>42670</v>
      </c>
      <c r="D958" s="265"/>
      <c r="E958" s="265" t="s">
        <v>29</v>
      </c>
      <c r="F958" s="265" t="s">
        <v>29</v>
      </c>
      <c r="G958" s="280" t="s">
        <v>1443</v>
      </c>
      <c r="H958" s="280" t="s">
        <v>1449</v>
      </c>
      <c r="I958" s="281">
        <v>0</v>
      </c>
      <c r="J958" s="280" t="s">
        <v>94</v>
      </c>
      <c r="K958" s="280" t="s">
        <v>29</v>
      </c>
      <c r="L958" s="280" t="s">
        <v>29</v>
      </c>
      <c r="M958" s="280" t="s">
        <v>29</v>
      </c>
      <c r="N958" s="282" t="s">
        <v>3511</v>
      </c>
      <c r="O958" s="280" t="s">
        <v>3512</v>
      </c>
      <c r="P958" s="280" t="s">
        <v>1447</v>
      </c>
      <c r="Q958" s="63" t="str">
        <f>IF(V958&lt;&gt;"","Completed","")</f>
        <v/>
      </c>
      <c r="R958" s="270" t="s">
        <v>1242</v>
      </c>
      <c r="S958" s="270"/>
      <c r="T958" s="265"/>
      <c r="U958" s="265"/>
      <c r="V958" s="256"/>
      <c r="W958" s="265"/>
      <c r="X958" s="265"/>
      <c r="Y958" s="86" t="s">
        <v>1242</v>
      </c>
      <c r="Z958" s="263"/>
      <c r="AA958" s="264"/>
      <c r="AB958" s="265"/>
      <c r="AC958" s="265"/>
    </row>
    <row r="959" spans="1:29">
      <c r="A959" s="75" t="s">
        <v>1337</v>
      </c>
      <c r="B959" s="59"/>
      <c r="C959" s="57">
        <v>42698</v>
      </c>
      <c r="E959" s="65" t="s">
        <v>29</v>
      </c>
      <c r="F959" s="65" t="s">
        <v>29</v>
      </c>
      <c r="G959" s="58" t="s">
        <v>1443</v>
      </c>
      <c r="H959" s="58" t="s">
        <v>1444</v>
      </c>
      <c r="I959" s="60">
        <v>230</v>
      </c>
      <c r="J959" s="58" t="s">
        <v>94</v>
      </c>
      <c r="K959" s="58" t="s">
        <v>29</v>
      </c>
      <c r="L959" s="58" t="s">
        <v>94</v>
      </c>
      <c r="M959" s="58" t="s">
        <v>29</v>
      </c>
      <c r="N959" s="282" t="s">
        <v>3513</v>
      </c>
      <c r="O959" s="280" t="s">
        <v>3514</v>
      </c>
      <c r="P959" s="280" t="s">
        <v>1447</v>
      </c>
      <c r="Q959" s="63" t="str">
        <f>IF(V959&lt;&gt;"","Completed","")</f>
        <v/>
      </c>
      <c r="R959" s="270" t="s">
        <v>1242</v>
      </c>
      <c r="S959" s="270"/>
      <c r="T959" s="276"/>
      <c r="V959" s="256"/>
      <c r="Y959" s="86" t="s">
        <v>1242</v>
      </c>
      <c r="AA959" s="249"/>
      <c r="AB959" s="86"/>
      <c r="AC959" s="265"/>
    </row>
    <row r="960" spans="1:29">
      <c r="A960" s="339" t="s">
        <v>1361</v>
      </c>
      <c r="B960" s="284"/>
      <c r="C960" s="283">
        <v>42724</v>
      </c>
      <c r="D960" s="107" t="s">
        <v>3515</v>
      </c>
      <c r="E960" s="113" t="s">
        <v>94</v>
      </c>
      <c r="F960" s="113" t="s">
        <v>29</v>
      </c>
      <c r="G960" s="285" t="s">
        <v>1443</v>
      </c>
      <c r="H960" s="285" t="s">
        <v>1444</v>
      </c>
      <c r="I960" s="286">
        <v>93</v>
      </c>
      <c r="J960" s="285" t="s">
        <v>29</v>
      </c>
      <c r="K960" s="285" t="s">
        <v>94</v>
      </c>
      <c r="L960" s="285" t="s">
        <v>29</v>
      </c>
      <c r="M960" s="285" t="s">
        <v>29</v>
      </c>
      <c r="N960" s="287" t="s">
        <v>3516</v>
      </c>
      <c r="O960" s="285" t="s">
        <v>3517</v>
      </c>
      <c r="P960" s="285" t="s">
        <v>1447</v>
      </c>
      <c r="Q960" s="63" t="str">
        <f>IF(V960&lt;&gt;"","Completed","")</f>
        <v/>
      </c>
      <c r="R960" s="343" t="s">
        <v>1242</v>
      </c>
      <c r="S960" s="343"/>
      <c r="T960" s="265"/>
      <c r="U960" s="265"/>
      <c r="V960" s="256"/>
      <c r="W960" s="265"/>
      <c r="X960" s="265"/>
      <c r="Y960" s="86" t="s">
        <v>1242</v>
      </c>
      <c r="AA960" s="252"/>
      <c r="AB960" s="86"/>
      <c r="AC960" s="265"/>
    </row>
    <row r="961" spans="1:30">
      <c r="A961" s="336" t="s">
        <v>1344</v>
      </c>
      <c r="B961" s="258" t="s">
        <v>1007</v>
      </c>
      <c r="C961" s="279">
        <v>42697</v>
      </c>
      <c r="D961" s="265"/>
      <c r="E961" s="265" t="s">
        <v>29</v>
      </c>
      <c r="F961" s="265" t="s">
        <v>94</v>
      </c>
      <c r="G961" s="280" t="s">
        <v>1443</v>
      </c>
      <c r="H961" s="280" t="s">
        <v>1444</v>
      </c>
      <c r="I961" s="281">
        <v>0</v>
      </c>
      <c r="J961" s="280" t="s">
        <v>94</v>
      </c>
      <c r="K961" s="280" t="s">
        <v>29</v>
      </c>
      <c r="L961" s="280" t="s">
        <v>29</v>
      </c>
      <c r="M961" s="280" t="s">
        <v>94</v>
      </c>
      <c r="N961" s="282" t="s">
        <v>3518</v>
      </c>
      <c r="O961" s="280" t="s">
        <v>3519</v>
      </c>
      <c r="P961" s="280" t="s">
        <v>1447</v>
      </c>
      <c r="Q961" s="63" t="str">
        <f>IF(V961&lt;&gt;"","Completed","")</f>
        <v/>
      </c>
      <c r="R961" s="270" t="s">
        <v>1242</v>
      </c>
      <c r="S961" s="270"/>
      <c r="T961" s="276"/>
      <c r="U961" s="265"/>
      <c r="V961" s="256"/>
      <c r="W961" s="265"/>
      <c r="X961" s="265"/>
      <c r="Y961" s="86" t="s">
        <v>1242</v>
      </c>
      <c r="Z961" s="263"/>
      <c r="AA961" s="264"/>
      <c r="AB961" s="86"/>
      <c r="AC961" s="265"/>
    </row>
    <row r="962" spans="1:30">
      <c r="A962" s="336" t="s">
        <v>1367</v>
      </c>
      <c r="B962" s="258" t="s">
        <v>722</v>
      </c>
      <c r="C962" s="283">
        <v>42682</v>
      </c>
      <c r="D962" s="107" t="s">
        <v>3520</v>
      </c>
      <c r="E962" s="113" t="s">
        <v>94</v>
      </c>
      <c r="F962" s="113" t="s">
        <v>29</v>
      </c>
      <c r="G962" s="285" t="s">
        <v>1443</v>
      </c>
      <c r="H962" s="285" t="s">
        <v>1456</v>
      </c>
      <c r="I962" s="286">
        <v>310</v>
      </c>
      <c r="J962" s="285" t="s">
        <v>94</v>
      </c>
      <c r="K962" s="285" t="s">
        <v>94</v>
      </c>
      <c r="L962" s="285" t="s">
        <v>29</v>
      </c>
      <c r="M962" s="285" t="s">
        <v>29</v>
      </c>
      <c r="N962" s="287" t="s">
        <v>3521</v>
      </c>
      <c r="O962" s="285" t="s">
        <v>3522</v>
      </c>
      <c r="P962" s="285" t="s">
        <v>1459</v>
      </c>
      <c r="Q962" s="63" t="str">
        <f>IF(V962&lt;&gt;"","Completed","")</f>
        <v/>
      </c>
      <c r="R962" s="270" t="s">
        <v>1242</v>
      </c>
      <c r="S962" s="270"/>
      <c r="T962" s="265"/>
      <c r="U962" s="265"/>
      <c r="V962" s="256"/>
      <c r="W962" s="265"/>
      <c r="X962" s="265"/>
      <c r="Y962" s="86" t="s">
        <v>1242</v>
      </c>
      <c r="Z962" s="263"/>
      <c r="AA962" s="249"/>
      <c r="AB962" s="86"/>
      <c r="AC962" s="265"/>
    </row>
    <row r="963" spans="1:30">
      <c r="A963" s="339" t="s">
        <v>1370</v>
      </c>
      <c r="B963" s="284"/>
      <c r="C963" s="283">
        <v>42677</v>
      </c>
      <c r="D963" s="107" t="s">
        <v>3523</v>
      </c>
      <c r="E963" s="113" t="s">
        <v>94</v>
      </c>
      <c r="F963" s="113" t="s">
        <v>29</v>
      </c>
      <c r="G963" s="285" t="s">
        <v>1443</v>
      </c>
      <c r="H963" s="285" t="s">
        <v>1456</v>
      </c>
      <c r="I963" s="286">
        <v>30</v>
      </c>
      <c r="J963" s="285" t="s">
        <v>29</v>
      </c>
      <c r="K963" s="285" t="s">
        <v>94</v>
      </c>
      <c r="L963" s="285" t="s">
        <v>29</v>
      </c>
      <c r="M963" s="285" t="s">
        <v>29</v>
      </c>
      <c r="N963" s="287" t="s">
        <v>3524</v>
      </c>
      <c r="O963" s="285" t="s">
        <v>3525</v>
      </c>
      <c r="P963" s="285" t="s">
        <v>1447</v>
      </c>
      <c r="Q963" s="63" t="str">
        <f>IF(V963&lt;&gt;"","Completed","")</f>
        <v/>
      </c>
      <c r="R963" s="270" t="s">
        <v>1242</v>
      </c>
      <c r="S963" s="270"/>
      <c r="T963" s="265"/>
      <c r="U963" s="265"/>
      <c r="V963" s="256"/>
      <c r="W963" s="265"/>
      <c r="X963" s="265"/>
      <c r="Y963" s="86" t="s">
        <v>1242</v>
      </c>
      <c r="Z963" s="263"/>
      <c r="AA963" s="264"/>
      <c r="AB963" s="86"/>
      <c r="AC963" s="265"/>
    </row>
    <row r="964" spans="1:30">
      <c r="A964" s="334" t="s">
        <v>1159</v>
      </c>
      <c r="B964" s="278"/>
      <c r="C964" s="279">
        <v>42669</v>
      </c>
      <c r="D964" s="265"/>
      <c r="E964" s="265" t="s">
        <v>29</v>
      </c>
      <c r="F964" s="265" t="s">
        <v>29</v>
      </c>
      <c r="G964" s="280" t="s">
        <v>1443</v>
      </c>
      <c r="H964" s="280" t="s">
        <v>1449</v>
      </c>
      <c r="I964" s="281">
        <v>0</v>
      </c>
      <c r="J964" s="280" t="s">
        <v>94</v>
      </c>
      <c r="K964" s="280" t="s">
        <v>29</v>
      </c>
      <c r="L964" s="280" t="s">
        <v>94</v>
      </c>
      <c r="M964" s="280" t="s">
        <v>94</v>
      </c>
      <c r="N964" s="282" t="s">
        <v>3526</v>
      </c>
      <c r="O964" s="280" t="s">
        <v>3527</v>
      </c>
      <c r="P964" s="280" t="s">
        <v>1447</v>
      </c>
      <c r="Q964" s="63" t="str">
        <f>IF(V964&lt;&gt;"","Completed","")</f>
        <v/>
      </c>
      <c r="R964" s="102" t="s">
        <v>1242</v>
      </c>
      <c r="S964" s="102"/>
      <c r="T964" s="265"/>
      <c r="U964" s="265"/>
      <c r="V964" s="265"/>
      <c r="W964" s="265"/>
      <c r="X964" s="265"/>
      <c r="Y964" s="86" t="s">
        <v>1242</v>
      </c>
      <c r="Z964" s="263"/>
      <c r="AA964" s="264"/>
      <c r="AB964" s="87"/>
      <c r="AC964" s="87"/>
      <c r="AD964" s="354" t="s">
        <v>3528</v>
      </c>
    </row>
    <row r="965" spans="1:30">
      <c r="A965" s="334" t="s">
        <v>1410</v>
      </c>
      <c r="B965" s="278"/>
      <c r="C965" s="279"/>
      <c r="D965" s="265"/>
      <c r="E965" s="265" t="s">
        <v>29</v>
      </c>
      <c r="F965" s="265" t="s">
        <v>94</v>
      </c>
      <c r="G965" s="280" t="s">
        <v>1443</v>
      </c>
      <c r="H965" s="280" t="s">
        <v>1456</v>
      </c>
      <c r="I965" s="281">
        <v>188</v>
      </c>
      <c r="J965" s="280" t="s">
        <v>29</v>
      </c>
      <c r="K965" s="280" t="s">
        <v>29</v>
      </c>
      <c r="L965" s="280" t="s">
        <v>94</v>
      </c>
      <c r="M965" s="280" t="s">
        <v>94</v>
      </c>
      <c r="N965" s="282" t="s">
        <v>3529</v>
      </c>
      <c r="O965" s="280" t="s">
        <v>3530</v>
      </c>
      <c r="P965" s="280" t="s">
        <v>1459</v>
      </c>
      <c r="Q965" s="63" t="str">
        <f>IF(V965&lt;&gt;"","Completed","")</f>
        <v/>
      </c>
      <c r="R965" s="270" t="s">
        <v>1242</v>
      </c>
      <c r="S965" s="270"/>
      <c r="T965" s="265"/>
      <c r="U965" s="265"/>
      <c r="V965" s="256"/>
      <c r="W965" s="265"/>
      <c r="X965" s="265"/>
      <c r="Y965" s="86" t="s">
        <v>1242</v>
      </c>
      <c r="Z965" s="263"/>
      <c r="AA965" s="264"/>
      <c r="AB965" s="86"/>
      <c r="AC965" s="86"/>
    </row>
    <row r="966" spans="1:30">
      <c r="A966" s="75" t="s">
        <v>1379</v>
      </c>
      <c r="B966" s="59"/>
      <c r="C966" s="57"/>
      <c r="E966" s="65" t="s">
        <v>29</v>
      </c>
      <c r="F966" s="65" t="s">
        <v>94</v>
      </c>
      <c r="G966" s="58" t="s">
        <v>1443</v>
      </c>
      <c r="H966" s="58" t="s">
        <v>1444</v>
      </c>
      <c r="I966" s="60">
        <v>0</v>
      </c>
      <c r="J966" s="58" t="s">
        <v>94</v>
      </c>
      <c r="K966" s="58" t="s">
        <v>29</v>
      </c>
      <c r="L966" s="58" t="s">
        <v>94</v>
      </c>
      <c r="M966" s="58" t="s">
        <v>94</v>
      </c>
      <c r="N966" s="61" t="s">
        <v>3531</v>
      </c>
      <c r="O966" s="280" t="s">
        <v>3532</v>
      </c>
      <c r="P966" s="280" t="s">
        <v>1447</v>
      </c>
      <c r="Q966" s="63" t="str">
        <f>IF(V966&lt;&gt;"","Completed","")</f>
        <v/>
      </c>
      <c r="R966" s="270" t="s">
        <v>1242</v>
      </c>
      <c r="S966" s="270"/>
      <c r="T966" s="265"/>
      <c r="U966" s="265"/>
      <c r="V966" s="256"/>
      <c r="Y966" s="86" t="s">
        <v>1242</v>
      </c>
      <c r="AA966" s="249"/>
      <c r="AB966" s="265"/>
      <c r="AC966" s="86"/>
    </row>
    <row r="967" spans="1:30">
      <c r="A967" s="244" t="s">
        <v>1062</v>
      </c>
      <c r="B967" s="62" t="s">
        <v>913</v>
      </c>
      <c r="C967" s="57">
        <v>42712</v>
      </c>
      <c r="E967" s="65" t="s">
        <v>29</v>
      </c>
      <c r="F967" s="65" t="s">
        <v>29</v>
      </c>
      <c r="G967" s="58" t="s">
        <v>1443</v>
      </c>
      <c r="H967" s="58" t="s">
        <v>1456</v>
      </c>
      <c r="I967" s="60">
        <v>0</v>
      </c>
      <c r="J967" s="58" t="s">
        <v>29</v>
      </c>
      <c r="K967" s="58" t="s">
        <v>29</v>
      </c>
      <c r="L967" s="58" t="s">
        <v>29</v>
      </c>
      <c r="M967" s="58" t="s">
        <v>29</v>
      </c>
      <c r="N967" s="61" t="s">
        <v>3533</v>
      </c>
      <c r="O967" s="280" t="s">
        <v>3534</v>
      </c>
      <c r="P967" s="280" t="s">
        <v>1447</v>
      </c>
      <c r="Q967" s="63" t="str">
        <f>IF(V967&lt;&gt;"","Completed","")</f>
        <v/>
      </c>
      <c r="R967" s="270" t="s">
        <v>1242</v>
      </c>
      <c r="S967" s="270"/>
      <c r="T967" s="265"/>
      <c r="U967" s="265"/>
      <c r="V967" s="256"/>
      <c r="Y967" s="86" t="s">
        <v>1242</v>
      </c>
      <c r="AA967" s="252"/>
      <c r="AB967" s="265"/>
      <c r="AC967" s="265"/>
    </row>
    <row r="968" spans="1:30">
      <c r="A968" s="334" t="s">
        <v>1255</v>
      </c>
      <c r="B968" s="278"/>
      <c r="C968" s="279">
        <v>42683</v>
      </c>
      <c r="D968" s="265">
        <v>3046000</v>
      </c>
      <c r="E968" s="265" t="s">
        <v>29</v>
      </c>
      <c r="F968" s="265" t="s">
        <v>29</v>
      </c>
      <c r="G968" s="280" t="s">
        <v>1443</v>
      </c>
      <c r="H968" s="280" t="s">
        <v>1456</v>
      </c>
      <c r="I968" s="281">
        <v>0</v>
      </c>
      <c r="J968" s="280" t="s">
        <v>94</v>
      </c>
      <c r="K968" s="280" t="s">
        <v>29</v>
      </c>
      <c r="L968" s="280" t="s">
        <v>94</v>
      </c>
      <c r="M968" s="280" t="s">
        <v>94</v>
      </c>
      <c r="N968" s="282" t="s">
        <v>3535</v>
      </c>
      <c r="O968" s="280" t="s">
        <v>3536</v>
      </c>
      <c r="P968" s="280" t="s">
        <v>1447</v>
      </c>
      <c r="Q968" s="63" t="str">
        <f>IF(V968&lt;&gt;"","Completed","")</f>
        <v/>
      </c>
      <c r="R968" s="270" t="s">
        <v>1242</v>
      </c>
      <c r="S968" s="270"/>
      <c r="T968" s="265"/>
      <c r="U968" s="265"/>
      <c r="V968" s="256"/>
      <c r="W968" s="265"/>
      <c r="X968" s="265"/>
      <c r="Y968" s="86" t="s">
        <v>1242</v>
      </c>
      <c r="Z968" s="263"/>
      <c r="AA968" s="264"/>
      <c r="AB968" s="86"/>
      <c r="AC968" s="265"/>
    </row>
    <row r="969" spans="1:30">
      <c r="A969" s="334" t="s">
        <v>1255</v>
      </c>
      <c r="B969" s="278"/>
      <c r="C969" s="279">
        <v>42683</v>
      </c>
      <c r="D969" s="265">
        <v>3046000</v>
      </c>
      <c r="E969" s="265" t="s">
        <v>29</v>
      </c>
      <c r="F969" s="265" t="s">
        <v>94</v>
      </c>
      <c r="G969" s="280" t="s">
        <v>1443</v>
      </c>
      <c r="H969" s="280" t="s">
        <v>1456</v>
      </c>
      <c r="I969" s="281">
        <v>0</v>
      </c>
      <c r="J969" s="280" t="s">
        <v>94</v>
      </c>
      <c r="K969" s="280" t="s">
        <v>29</v>
      </c>
      <c r="L969" s="280" t="s">
        <v>94</v>
      </c>
      <c r="M969" s="280" t="s">
        <v>94</v>
      </c>
      <c r="N969" s="282" t="s">
        <v>3537</v>
      </c>
      <c r="O969" s="280" t="s">
        <v>3538</v>
      </c>
      <c r="P969" s="280" t="s">
        <v>1447</v>
      </c>
      <c r="Q969" s="63" t="str">
        <f>IF(V969&lt;&gt;"","Completed","")</f>
        <v/>
      </c>
      <c r="R969" s="270" t="s">
        <v>1242</v>
      </c>
      <c r="S969" s="270"/>
      <c r="T969" s="265"/>
      <c r="U969" s="265"/>
      <c r="V969" s="256"/>
      <c r="W969" s="265"/>
      <c r="X969" s="265"/>
      <c r="Y969" s="86" t="s">
        <v>1242</v>
      </c>
      <c r="Z969" s="263"/>
      <c r="AA969" s="264"/>
      <c r="AB969" s="265"/>
      <c r="AC969" s="265"/>
    </row>
    <row r="970" spans="1:30">
      <c r="A970" s="334" t="s">
        <v>212</v>
      </c>
      <c r="B970" s="278"/>
      <c r="C970" s="279">
        <v>42675</v>
      </c>
      <c r="D970" s="265">
        <v>3031000</v>
      </c>
      <c r="E970" s="265" t="s">
        <v>29</v>
      </c>
      <c r="F970" s="265" t="s">
        <v>29</v>
      </c>
      <c r="G970" s="280" t="s">
        <v>1443</v>
      </c>
      <c r="H970" s="280" t="s">
        <v>1456</v>
      </c>
      <c r="I970" s="281">
        <v>548</v>
      </c>
      <c r="J970" s="280" t="s">
        <v>29</v>
      </c>
      <c r="K970" s="280" t="s">
        <v>29</v>
      </c>
      <c r="L970" s="280" t="s">
        <v>94</v>
      </c>
      <c r="M970" s="280" t="s">
        <v>29</v>
      </c>
      <c r="N970" s="282" t="s">
        <v>3539</v>
      </c>
      <c r="O970" s="280" t="s">
        <v>3540</v>
      </c>
      <c r="P970" s="280" t="s">
        <v>1447</v>
      </c>
      <c r="Q970" s="63" t="str">
        <f>IF(V970&lt;&gt;"","Completed","")</f>
        <v/>
      </c>
      <c r="R970" s="270" t="s">
        <v>1242</v>
      </c>
      <c r="S970" s="270"/>
      <c r="T970" s="265"/>
      <c r="U970" s="265"/>
      <c r="V970" s="265"/>
      <c r="W970" s="265"/>
      <c r="X970" s="265"/>
      <c r="Y970" s="86" t="s">
        <v>1242</v>
      </c>
      <c r="Z970" s="263"/>
      <c r="AA970" s="264"/>
      <c r="AB970" s="265"/>
      <c r="AC970" s="86"/>
    </row>
    <row r="971" spans="1:30" s="66" customFormat="1">
      <c r="A971" s="334" t="s">
        <v>1398</v>
      </c>
      <c r="B971" s="278"/>
      <c r="C971" s="279"/>
      <c r="D971" s="265"/>
      <c r="E971" s="265" t="s">
        <v>29</v>
      </c>
      <c r="F971" s="265" t="s">
        <v>94</v>
      </c>
      <c r="G971" s="280" t="s">
        <v>1443</v>
      </c>
      <c r="H971" s="280" t="s">
        <v>1456</v>
      </c>
      <c r="I971" s="281">
        <v>345</v>
      </c>
      <c r="J971" s="280" t="s">
        <v>29</v>
      </c>
      <c r="K971" s="280" t="s">
        <v>29</v>
      </c>
      <c r="L971" s="280" t="s">
        <v>94</v>
      </c>
      <c r="M971" s="280" t="s">
        <v>94</v>
      </c>
      <c r="N971" s="282" t="s">
        <v>3541</v>
      </c>
      <c r="O971" s="280" t="s">
        <v>3542</v>
      </c>
      <c r="P971" s="280" t="s">
        <v>1447</v>
      </c>
      <c r="Q971" s="63" t="str">
        <f>IF(V971&lt;&gt;"","Completed","")</f>
        <v/>
      </c>
      <c r="R971" s="270" t="s">
        <v>1242</v>
      </c>
      <c r="S971" s="270"/>
      <c r="T971" s="265"/>
      <c r="U971" s="265"/>
      <c r="V971" s="256"/>
      <c r="W971" s="265"/>
      <c r="X971" s="265"/>
      <c r="Y971" s="86" t="s">
        <v>1242</v>
      </c>
      <c r="Z971" s="263"/>
      <c r="AA971" s="264"/>
      <c r="AB971" s="265"/>
      <c r="AC971" s="265"/>
      <c r="AD971" s="345"/>
    </row>
    <row r="972" spans="1:30" s="66" customFormat="1">
      <c r="A972" s="334" t="s">
        <v>1277</v>
      </c>
      <c r="B972" s="278"/>
      <c r="C972" s="279">
        <v>42712</v>
      </c>
      <c r="D972" s="265"/>
      <c r="E972" s="265" t="s">
        <v>29</v>
      </c>
      <c r="F972" s="265" t="s">
        <v>29</v>
      </c>
      <c r="G972" s="280" t="s">
        <v>1443</v>
      </c>
      <c r="H972" s="280" t="s">
        <v>1456</v>
      </c>
      <c r="I972" s="281">
        <v>383</v>
      </c>
      <c r="J972" s="280" t="s">
        <v>29</v>
      </c>
      <c r="K972" s="280" t="s">
        <v>29</v>
      </c>
      <c r="L972" s="280" t="s">
        <v>29</v>
      </c>
      <c r="M972" s="280" t="s">
        <v>29</v>
      </c>
      <c r="N972" s="282" t="s">
        <v>3543</v>
      </c>
      <c r="O972" s="280" t="s">
        <v>3544</v>
      </c>
      <c r="P972" s="280" t="s">
        <v>1447</v>
      </c>
      <c r="Q972" s="63" t="str">
        <f>IF(V972&lt;&gt;"","Completed","")</f>
        <v/>
      </c>
      <c r="R972" s="270" t="s">
        <v>1242</v>
      </c>
      <c r="S972" s="270"/>
      <c r="T972" s="265"/>
      <c r="U972" s="265"/>
      <c r="V972" s="265"/>
      <c r="W972" s="265"/>
      <c r="X972" s="265"/>
      <c r="Y972" s="86" t="s">
        <v>1242</v>
      </c>
      <c r="Z972" s="263"/>
      <c r="AA972" s="264"/>
      <c r="AB972" s="86"/>
      <c r="AC972" s="86"/>
      <c r="AD972" s="349"/>
    </row>
    <row r="973" spans="1:30" s="66" customFormat="1">
      <c r="A973" s="334" t="s">
        <v>664</v>
      </c>
      <c r="B973" s="278"/>
      <c r="C973" s="279"/>
      <c r="D973" s="265"/>
      <c r="E973" s="265" t="s">
        <v>29</v>
      </c>
      <c r="F973" s="265" t="s">
        <v>29</v>
      </c>
      <c r="G973" s="280" t="s">
        <v>1443</v>
      </c>
      <c r="H973" s="280" t="s">
        <v>1456</v>
      </c>
      <c r="I973" s="281">
        <v>0</v>
      </c>
      <c r="J973" s="280" t="s">
        <v>94</v>
      </c>
      <c r="K973" s="280" t="s">
        <v>29</v>
      </c>
      <c r="L973" s="280" t="s">
        <v>94</v>
      </c>
      <c r="M973" s="280" t="s">
        <v>29</v>
      </c>
      <c r="N973" s="282" t="s">
        <v>3545</v>
      </c>
      <c r="O973" s="280" t="s">
        <v>3546</v>
      </c>
      <c r="P973" s="280" t="s">
        <v>1447</v>
      </c>
      <c r="Q973" s="63" t="str">
        <f>IF(V973&lt;&gt;"","Completed","")</f>
        <v/>
      </c>
      <c r="R973" s="64" t="s">
        <v>1242</v>
      </c>
      <c r="S973" s="64"/>
      <c r="T973" s="265"/>
      <c r="U973" s="265"/>
      <c r="V973" s="256"/>
      <c r="W973" s="265"/>
      <c r="X973" s="265"/>
      <c r="Y973" s="86" t="s">
        <v>1242</v>
      </c>
      <c r="Z973" s="263"/>
      <c r="AA973" s="264"/>
      <c r="AB973" s="242"/>
      <c r="AC973" s="265"/>
      <c r="AD973" s="345"/>
    </row>
    <row r="974" spans="1:30" s="66" customFormat="1">
      <c r="A974" s="334" t="s">
        <v>1405</v>
      </c>
      <c r="B974" s="278"/>
      <c r="C974" s="279"/>
      <c r="D974" s="265"/>
      <c r="E974" s="265" t="s">
        <v>29</v>
      </c>
      <c r="F974" s="265" t="s">
        <v>94</v>
      </c>
      <c r="G974" s="280" t="s">
        <v>1443</v>
      </c>
      <c r="H974" s="280" t="s">
        <v>1444</v>
      </c>
      <c r="I974" s="281">
        <v>382</v>
      </c>
      <c r="J974" s="280" t="s">
        <v>29</v>
      </c>
      <c r="K974" s="280" t="s">
        <v>29</v>
      </c>
      <c r="L974" s="280" t="s">
        <v>94</v>
      </c>
      <c r="M974" s="280" t="s">
        <v>94</v>
      </c>
      <c r="N974" s="282" t="s">
        <v>3547</v>
      </c>
      <c r="O974" s="280" t="s">
        <v>3548</v>
      </c>
      <c r="P974" s="280" t="s">
        <v>1459</v>
      </c>
      <c r="Q974" s="63" t="str">
        <f>IF(V974&lt;&gt;"","Completed","")</f>
        <v/>
      </c>
      <c r="R974" s="64" t="s">
        <v>1242</v>
      </c>
      <c r="S974" s="64"/>
      <c r="T974" s="265"/>
      <c r="U974" s="265"/>
      <c r="V974" s="256"/>
      <c r="W974" s="265"/>
      <c r="X974" s="265"/>
      <c r="Y974" s="86" t="s">
        <v>1242</v>
      </c>
      <c r="Z974" s="263"/>
      <c r="AA974" s="264"/>
      <c r="AB974" s="86"/>
      <c r="AC974" s="86"/>
      <c r="AD974" s="345"/>
    </row>
    <row r="975" spans="1:30" s="66" customFormat="1">
      <c r="A975" s="334" t="s">
        <v>1398</v>
      </c>
      <c r="B975" s="278"/>
      <c r="C975" s="279"/>
      <c r="D975" s="265"/>
      <c r="E975" s="265" t="s">
        <v>29</v>
      </c>
      <c r="F975" s="265" t="s">
        <v>94</v>
      </c>
      <c r="G975" s="280" t="s">
        <v>1443</v>
      </c>
      <c r="H975" s="280" t="s">
        <v>1456</v>
      </c>
      <c r="I975" s="281">
        <v>0</v>
      </c>
      <c r="J975" s="280" t="s">
        <v>94</v>
      </c>
      <c r="K975" s="280" t="s">
        <v>29</v>
      </c>
      <c r="L975" s="280" t="s">
        <v>94</v>
      </c>
      <c r="M975" s="280" t="s">
        <v>94</v>
      </c>
      <c r="N975" s="282" t="s">
        <v>3549</v>
      </c>
      <c r="O975" s="280" t="s">
        <v>3550</v>
      </c>
      <c r="P975" s="280" t="s">
        <v>1447</v>
      </c>
      <c r="Q975" s="63" t="str">
        <f>IF(V975&lt;&gt;"","Completed","")</f>
        <v/>
      </c>
      <c r="R975" s="64" t="s">
        <v>1242</v>
      </c>
      <c r="S975" s="64"/>
      <c r="T975" s="265"/>
      <c r="U975" s="265"/>
      <c r="V975" s="256"/>
      <c r="W975" s="265"/>
      <c r="X975" s="265"/>
      <c r="Y975" s="86" t="s">
        <v>1242</v>
      </c>
      <c r="Z975" s="263"/>
      <c r="AA975" s="264"/>
      <c r="AB975" s="265"/>
      <c r="AC975" s="265"/>
      <c r="AD975" s="345"/>
    </row>
    <row r="976" spans="1:30" s="66" customFormat="1">
      <c r="A976" s="334" t="s">
        <v>703</v>
      </c>
      <c r="B976" s="278"/>
      <c r="C976" s="279">
        <v>42655</v>
      </c>
      <c r="D976" s="265"/>
      <c r="E976" s="265" t="s">
        <v>29</v>
      </c>
      <c r="F976" s="265" t="s">
        <v>29</v>
      </c>
      <c r="G976" s="280" t="s">
        <v>1443</v>
      </c>
      <c r="H976" s="280" t="s">
        <v>1444</v>
      </c>
      <c r="I976" s="281">
        <v>204</v>
      </c>
      <c r="J976" s="280" t="s">
        <v>94</v>
      </c>
      <c r="K976" s="280" t="s">
        <v>29</v>
      </c>
      <c r="L976" s="280" t="s">
        <v>94</v>
      </c>
      <c r="M976" s="280" t="s">
        <v>29</v>
      </c>
      <c r="N976" s="282" t="s">
        <v>3551</v>
      </c>
      <c r="O976" s="280" t="s">
        <v>3106</v>
      </c>
      <c r="P976" s="280" t="s">
        <v>1459</v>
      </c>
      <c r="Q976" s="63" t="str">
        <f>IF(V976&lt;&gt;"","Completed","")</f>
        <v/>
      </c>
      <c r="R976" s="64" t="s">
        <v>1242</v>
      </c>
      <c r="S976" s="64"/>
      <c r="T976" s="265"/>
      <c r="U976" s="265"/>
      <c r="V976" s="256"/>
      <c r="W976" s="265"/>
      <c r="X976" s="265"/>
      <c r="Y976" s="86" t="s">
        <v>1242</v>
      </c>
      <c r="Z976" s="263"/>
      <c r="AA976" s="264"/>
      <c r="AB976" s="86"/>
      <c r="AC976" s="265"/>
      <c r="AD976" s="345"/>
    </row>
    <row r="977" spans="1:30" s="66" customFormat="1">
      <c r="A977" s="75" t="s">
        <v>1379</v>
      </c>
      <c r="B977" s="59"/>
      <c r="C977" s="57"/>
      <c r="D977" s="65"/>
      <c r="E977" s="65" t="s">
        <v>29</v>
      </c>
      <c r="F977" s="65" t="s">
        <v>94</v>
      </c>
      <c r="G977" s="58" t="s">
        <v>1443</v>
      </c>
      <c r="H977" s="58" t="s">
        <v>1444</v>
      </c>
      <c r="I977" s="60">
        <v>174</v>
      </c>
      <c r="J977" s="58" t="s">
        <v>29</v>
      </c>
      <c r="K977" s="58" t="s">
        <v>29</v>
      </c>
      <c r="L977" s="58" t="s">
        <v>94</v>
      </c>
      <c r="M977" s="58" t="s">
        <v>94</v>
      </c>
      <c r="N977" s="61" t="s">
        <v>3552</v>
      </c>
      <c r="O977" s="58" t="s">
        <v>3553</v>
      </c>
      <c r="P977" s="58" t="s">
        <v>1447</v>
      </c>
      <c r="Q977" s="63" t="str">
        <f>IF(V977&lt;&gt;"","Completed","")</f>
        <v/>
      </c>
      <c r="R977" s="270" t="s">
        <v>1242</v>
      </c>
      <c r="S977" s="270"/>
      <c r="T977" s="265"/>
      <c r="U977" s="265"/>
      <c r="V977" s="256"/>
      <c r="W977" s="65"/>
      <c r="X977" s="65"/>
      <c r="Y977" s="86" t="s">
        <v>1242</v>
      </c>
      <c r="Z977" s="56"/>
      <c r="AA977" s="249"/>
      <c r="AB977" s="265"/>
      <c r="AC977" s="86"/>
      <c r="AD977" s="345"/>
    </row>
    <row r="978" spans="1:30" s="66" customFormat="1">
      <c r="A978" s="333" t="s">
        <v>1293</v>
      </c>
      <c r="B978" s="305"/>
      <c r="C978" s="311"/>
      <c r="D978" s="109" t="s">
        <v>3342</v>
      </c>
      <c r="E978" s="151" t="s">
        <v>94</v>
      </c>
      <c r="F978" s="151" t="s">
        <v>29</v>
      </c>
      <c r="G978" s="306" t="s">
        <v>1443</v>
      </c>
      <c r="H978" s="306" t="s">
        <v>1456</v>
      </c>
      <c r="I978" s="307">
        <v>0</v>
      </c>
      <c r="J978" s="306" t="s">
        <v>94</v>
      </c>
      <c r="K978" s="306" t="s">
        <v>94</v>
      </c>
      <c r="L978" s="306" t="s">
        <v>29</v>
      </c>
      <c r="M978" s="306" t="s">
        <v>29</v>
      </c>
      <c r="N978" s="308" t="s">
        <v>3554</v>
      </c>
      <c r="O978" s="306" t="s">
        <v>3555</v>
      </c>
      <c r="P978" s="306" t="s">
        <v>1447</v>
      </c>
      <c r="Q978" s="63" t="str">
        <f>IF(V978&lt;&gt;"","Completed","")</f>
        <v/>
      </c>
      <c r="R978" s="270" t="s">
        <v>1242</v>
      </c>
      <c r="S978" s="270"/>
      <c r="T978" s="65"/>
      <c r="U978" s="65"/>
      <c r="V978" s="256"/>
      <c r="W978" s="65"/>
      <c r="X978" s="65"/>
      <c r="Y978" s="86" t="s">
        <v>1242</v>
      </c>
      <c r="Z978" s="56"/>
      <c r="AA978" s="252"/>
      <c r="AB978" s="265"/>
      <c r="AC978" s="86"/>
      <c r="AD978" s="345"/>
    </row>
    <row r="979" spans="1:30" s="66" customFormat="1">
      <c r="A979" s="336" t="s">
        <v>1238</v>
      </c>
      <c r="B979" s="258" t="s">
        <v>462</v>
      </c>
      <c r="C979" s="283">
        <v>42655</v>
      </c>
      <c r="D979" s="107" t="s">
        <v>3556</v>
      </c>
      <c r="E979" s="113" t="s">
        <v>94</v>
      </c>
      <c r="F979" s="113" t="s">
        <v>29</v>
      </c>
      <c r="G979" s="285" t="s">
        <v>1443</v>
      </c>
      <c r="H979" s="285" t="s">
        <v>1449</v>
      </c>
      <c r="I979" s="286">
        <v>180</v>
      </c>
      <c r="J979" s="285" t="s">
        <v>94</v>
      </c>
      <c r="K979" s="285" t="s">
        <v>94</v>
      </c>
      <c r="L979" s="285" t="s">
        <v>29</v>
      </c>
      <c r="M979" s="285" t="s">
        <v>29</v>
      </c>
      <c r="N979" s="287" t="s">
        <v>3557</v>
      </c>
      <c r="O979" s="285" t="s">
        <v>3558</v>
      </c>
      <c r="P979" s="285" t="s">
        <v>1447</v>
      </c>
      <c r="Q979" s="63" t="str">
        <f>IF(V979&lt;&gt;"","Completed","")</f>
        <v/>
      </c>
      <c r="R979" s="64" t="s">
        <v>1242</v>
      </c>
      <c r="S979" s="64"/>
      <c r="T979" s="265"/>
      <c r="U979" s="265"/>
      <c r="V979" s="256"/>
      <c r="W979" s="265"/>
      <c r="X979" s="265"/>
      <c r="Y979" s="86" t="s">
        <v>1242</v>
      </c>
      <c r="Z979" s="263"/>
      <c r="AA979" s="264"/>
      <c r="AB979" s="265"/>
      <c r="AC979" s="265"/>
      <c r="AD979" s="345"/>
    </row>
    <row r="980" spans="1:30" s="66" customFormat="1">
      <c r="A980" s="339" t="s">
        <v>1169</v>
      </c>
      <c r="B980" s="284"/>
      <c r="C980" s="283">
        <v>42690</v>
      </c>
      <c r="D980" s="107"/>
      <c r="E980" s="113" t="s">
        <v>29</v>
      </c>
      <c r="F980" s="113" t="s">
        <v>29</v>
      </c>
      <c r="G980" s="285"/>
      <c r="H980" s="285"/>
      <c r="I980" s="286"/>
      <c r="J980" s="285"/>
      <c r="K980" s="285"/>
      <c r="L980" s="285"/>
      <c r="M980" s="285"/>
      <c r="N980" s="287" t="s">
        <v>3559</v>
      </c>
      <c r="O980" s="285" t="s">
        <v>3560</v>
      </c>
      <c r="P980" s="285"/>
      <c r="Q980" s="63" t="str">
        <f>IF(V980&lt;&gt;"","Completed","")</f>
        <v/>
      </c>
      <c r="R980" s="64" t="s">
        <v>1242</v>
      </c>
      <c r="S980" s="64"/>
      <c r="T980" s="265"/>
      <c r="U980" s="265"/>
      <c r="V980" s="256"/>
      <c r="W980" s="265"/>
      <c r="X980" s="265"/>
      <c r="Y980" s="86" t="s">
        <v>1242</v>
      </c>
      <c r="Z980" s="263"/>
      <c r="AA980" s="264"/>
      <c r="AB980" s="265"/>
      <c r="AC980" s="265"/>
      <c r="AD980" s="345"/>
    </row>
    <row r="981" spans="1:30" s="66" customFormat="1">
      <c r="A981" s="339" t="s">
        <v>1169</v>
      </c>
      <c r="B981" s="305"/>
      <c r="C981" s="283"/>
      <c r="D981" s="107">
        <v>4334004</v>
      </c>
      <c r="E981" s="113" t="s">
        <v>94</v>
      </c>
      <c r="F981" s="113" t="s">
        <v>29</v>
      </c>
      <c r="G981" s="306" t="s">
        <v>1443</v>
      </c>
      <c r="H981" s="306" t="s">
        <v>1456</v>
      </c>
      <c r="I981" s="307">
        <v>232</v>
      </c>
      <c r="J981" s="306" t="s">
        <v>94</v>
      </c>
      <c r="K981" s="306" t="s">
        <v>94</v>
      </c>
      <c r="L981" s="306" t="s">
        <v>29</v>
      </c>
      <c r="M981" s="306" t="s">
        <v>29</v>
      </c>
      <c r="N981" s="287" t="s">
        <v>3561</v>
      </c>
      <c r="O981" s="285" t="s">
        <v>3562</v>
      </c>
      <c r="P981" s="306" t="s">
        <v>1447</v>
      </c>
      <c r="Q981" s="63" t="str">
        <f>IF(V981&lt;&gt;"","Completed","")</f>
        <v/>
      </c>
      <c r="R981" s="64" t="s">
        <v>1242</v>
      </c>
      <c r="S981" s="64"/>
      <c r="T981" s="265"/>
      <c r="U981" s="265"/>
      <c r="V981" s="256"/>
      <c r="W981" s="265"/>
      <c r="X981" s="265"/>
      <c r="Y981" s="86" t="s">
        <v>1242</v>
      </c>
      <c r="Z981" s="263"/>
      <c r="AA981" s="264"/>
      <c r="AB981" s="265"/>
      <c r="AC981" s="265"/>
      <c r="AD981" s="345"/>
    </row>
    <row r="982" spans="1:30" s="66" customFormat="1">
      <c r="A982" s="334" t="s">
        <v>1277</v>
      </c>
      <c r="B982" s="278"/>
      <c r="C982" s="279">
        <v>42712</v>
      </c>
      <c r="D982" s="265"/>
      <c r="E982" s="265" t="s">
        <v>29</v>
      </c>
      <c r="F982" s="265" t="s">
        <v>29</v>
      </c>
      <c r="G982" s="280" t="s">
        <v>1443</v>
      </c>
      <c r="H982" s="280" t="s">
        <v>1456</v>
      </c>
      <c r="I982" s="281">
        <v>402</v>
      </c>
      <c r="J982" s="280" t="s">
        <v>29</v>
      </c>
      <c r="K982" s="280" t="s">
        <v>29</v>
      </c>
      <c r="L982" s="280" t="s">
        <v>29</v>
      </c>
      <c r="M982" s="280" t="s">
        <v>29</v>
      </c>
      <c r="N982" s="282" t="s">
        <v>3563</v>
      </c>
      <c r="O982" s="280" t="s">
        <v>3564</v>
      </c>
      <c r="P982" s="280" t="s">
        <v>1447</v>
      </c>
      <c r="Q982" s="63" t="str">
        <f>IF(V982&lt;&gt;"","Completed","")</f>
        <v/>
      </c>
      <c r="R982" s="270" t="s">
        <v>1242</v>
      </c>
      <c r="S982" s="270"/>
      <c r="T982" s="265"/>
      <c r="U982" s="265"/>
      <c r="V982" s="265"/>
      <c r="W982" s="265"/>
      <c r="X982" s="265"/>
      <c r="Y982" s="86" t="s">
        <v>1242</v>
      </c>
      <c r="Z982" s="263"/>
      <c r="AA982" s="264"/>
      <c r="AB982" s="86"/>
      <c r="AC982" s="86"/>
      <c r="AD982" s="349"/>
    </row>
    <row r="983" spans="1:30" s="66" customFormat="1">
      <c r="A983" s="334" t="s">
        <v>1398</v>
      </c>
      <c r="B983" s="278"/>
      <c r="C983" s="279"/>
      <c r="D983" s="265"/>
      <c r="E983" s="265" t="s">
        <v>29</v>
      </c>
      <c r="F983" s="265" t="s">
        <v>94</v>
      </c>
      <c r="G983" s="280" t="s">
        <v>1443</v>
      </c>
      <c r="H983" s="280" t="s">
        <v>1456</v>
      </c>
      <c r="I983" s="281">
        <v>371</v>
      </c>
      <c r="J983" s="280" t="s">
        <v>29</v>
      </c>
      <c r="K983" s="280" t="s">
        <v>29</v>
      </c>
      <c r="L983" s="280" t="s">
        <v>94</v>
      </c>
      <c r="M983" s="280" t="s">
        <v>94</v>
      </c>
      <c r="N983" s="282" t="s">
        <v>3565</v>
      </c>
      <c r="O983" s="280" t="s">
        <v>3566</v>
      </c>
      <c r="P983" s="280" t="s">
        <v>1447</v>
      </c>
      <c r="Q983" s="63" t="str">
        <f>IF(V983&lt;&gt;"","Completed","")</f>
        <v/>
      </c>
      <c r="R983" s="64" t="s">
        <v>1242</v>
      </c>
      <c r="S983" s="64"/>
      <c r="T983" s="265"/>
      <c r="U983" s="265"/>
      <c r="V983" s="256"/>
      <c r="W983" s="265"/>
      <c r="X983" s="265"/>
      <c r="Y983" s="86" t="s">
        <v>1242</v>
      </c>
      <c r="Z983" s="263"/>
      <c r="AA983" s="264"/>
      <c r="AB983" s="265"/>
      <c r="AC983" s="265"/>
      <c r="AD983" s="345"/>
    </row>
    <row r="984" spans="1:30" s="66" customFormat="1">
      <c r="A984" s="334" t="s">
        <v>1255</v>
      </c>
      <c r="B984" s="278"/>
      <c r="C984" s="279">
        <v>42683</v>
      </c>
      <c r="D984" s="265">
        <v>3046000</v>
      </c>
      <c r="E984" s="265" t="s">
        <v>29</v>
      </c>
      <c r="F984" s="265" t="s">
        <v>94</v>
      </c>
      <c r="G984" s="280" t="s">
        <v>1443</v>
      </c>
      <c r="H984" s="280" t="s">
        <v>1456</v>
      </c>
      <c r="I984" s="281">
        <v>328</v>
      </c>
      <c r="J984" s="280" t="s">
        <v>29</v>
      </c>
      <c r="K984" s="280" t="s">
        <v>29</v>
      </c>
      <c r="L984" s="280" t="s">
        <v>94</v>
      </c>
      <c r="M984" s="280" t="s">
        <v>94</v>
      </c>
      <c r="N984" s="282" t="s">
        <v>3567</v>
      </c>
      <c r="O984" s="280" t="s">
        <v>3568</v>
      </c>
      <c r="P984" s="280" t="s">
        <v>1447</v>
      </c>
      <c r="Q984" s="63" t="str">
        <f>IF(V984&lt;&gt;"","Completed","")</f>
        <v/>
      </c>
      <c r="R984" s="270" t="s">
        <v>1242</v>
      </c>
      <c r="S984" s="270"/>
      <c r="T984" s="265"/>
      <c r="U984" s="265"/>
      <c r="V984" s="256"/>
      <c r="W984" s="265"/>
      <c r="X984" s="265"/>
      <c r="Y984" s="86" t="s">
        <v>1242</v>
      </c>
      <c r="Z984" s="263"/>
      <c r="AA984" s="264"/>
      <c r="AB984" s="86"/>
      <c r="AC984" s="265"/>
      <c r="AD984" s="345"/>
    </row>
    <row r="985" spans="1:30" s="66" customFormat="1">
      <c r="A985" s="334" t="s">
        <v>1329</v>
      </c>
      <c r="B985" s="278"/>
      <c r="C985" s="279">
        <v>42669</v>
      </c>
      <c r="D985" s="265"/>
      <c r="E985" s="265" t="s">
        <v>29</v>
      </c>
      <c r="F985" s="265" t="s">
        <v>94</v>
      </c>
      <c r="G985" s="280" t="s">
        <v>1443</v>
      </c>
      <c r="H985" s="280" t="s">
        <v>1444</v>
      </c>
      <c r="I985" s="281">
        <v>493</v>
      </c>
      <c r="J985" s="280" t="s">
        <v>94</v>
      </c>
      <c r="K985" s="280" t="s">
        <v>29</v>
      </c>
      <c r="L985" s="280" t="s">
        <v>29</v>
      </c>
      <c r="M985" s="280" t="s">
        <v>94</v>
      </c>
      <c r="N985" s="282" t="s">
        <v>3569</v>
      </c>
      <c r="O985" s="280" t="s">
        <v>3570</v>
      </c>
      <c r="P985" s="280" t="s">
        <v>1447</v>
      </c>
      <c r="Q985" s="63" t="str">
        <f>IF(V985&lt;&gt;"","Completed","")</f>
        <v/>
      </c>
      <c r="R985" s="270" t="s">
        <v>1242</v>
      </c>
      <c r="S985" s="270"/>
      <c r="T985" s="265"/>
      <c r="U985" s="265"/>
      <c r="V985" s="256"/>
      <c r="W985" s="265"/>
      <c r="X985" s="265"/>
      <c r="Y985" s="86" t="s">
        <v>1242</v>
      </c>
      <c r="Z985" s="263"/>
      <c r="AA985" s="264"/>
      <c r="AB985" s="86"/>
      <c r="AC985" s="86"/>
      <c r="AD985" s="345"/>
    </row>
    <row r="986" spans="1:30" s="66" customFormat="1">
      <c r="A986" s="334" t="s">
        <v>1320</v>
      </c>
      <c r="B986" s="278"/>
      <c r="C986" s="279">
        <v>42655</v>
      </c>
      <c r="D986" s="265"/>
      <c r="E986" s="265" t="s">
        <v>29</v>
      </c>
      <c r="F986" s="265" t="s">
        <v>29</v>
      </c>
      <c r="G986" s="280" t="s">
        <v>1443</v>
      </c>
      <c r="H986" s="280" t="s">
        <v>1456</v>
      </c>
      <c r="I986" s="281">
        <v>1</v>
      </c>
      <c r="J986" s="280" t="s">
        <v>29</v>
      </c>
      <c r="K986" s="280" t="s">
        <v>29</v>
      </c>
      <c r="L986" s="280" t="s">
        <v>94</v>
      </c>
      <c r="M986" s="280" t="s">
        <v>29</v>
      </c>
      <c r="N986" s="282" t="s">
        <v>3571</v>
      </c>
      <c r="O986" s="280" t="s">
        <v>3572</v>
      </c>
      <c r="P986" s="280" t="s">
        <v>1459</v>
      </c>
      <c r="Q986" s="63" t="str">
        <f>IF(V986&lt;&gt;"","Completed","")</f>
        <v/>
      </c>
      <c r="R986" s="64" t="s">
        <v>1242</v>
      </c>
      <c r="S986" s="64"/>
      <c r="T986" s="265"/>
      <c r="U986" s="265"/>
      <c r="V986" s="256"/>
      <c r="W986" s="265"/>
      <c r="X986" s="265"/>
      <c r="Y986" s="86" t="s">
        <v>1242</v>
      </c>
      <c r="Z986" s="263"/>
      <c r="AA986" s="264"/>
      <c r="AB986" s="86"/>
      <c r="AC986" s="265"/>
      <c r="AD986" s="345"/>
    </row>
    <row r="987" spans="1:30" s="66" customFormat="1">
      <c r="A987" s="334" t="s">
        <v>1405</v>
      </c>
      <c r="B987" s="278"/>
      <c r="C987" s="279"/>
      <c r="D987" s="265"/>
      <c r="E987" s="265" t="s">
        <v>29</v>
      </c>
      <c r="F987" s="265" t="s">
        <v>94</v>
      </c>
      <c r="G987" s="280" t="s">
        <v>1443</v>
      </c>
      <c r="H987" s="280" t="s">
        <v>1444</v>
      </c>
      <c r="I987" s="281">
        <v>0</v>
      </c>
      <c r="J987" s="280" t="s">
        <v>94</v>
      </c>
      <c r="K987" s="280" t="s">
        <v>29</v>
      </c>
      <c r="L987" s="280" t="s">
        <v>94</v>
      </c>
      <c r="M987" s="280" t="s">
        <v>94</v>
      </c>
      <c r="N987" s="282" t="s">
        <v>3573</v>
      </c>
      <c r="O987" s="280" t="s">
        <v>3574</v>
      </c>
      <c r="P987" s="280" t="s">
        <v>1459</v>
      </c>
      <c r="Q987" s="63" t="str">
        <f>IF(V987&lt;&gt;"","Completed","")</f>
        <v/>
      </c>
      <c r="R987" s="64" t="s">
        <v>1242</v>
      </c>
      <c r="S987" s="64"/>
      <c r="T987" s="265"/>
      <c r="U987" s="265"/>
      <c r="V987" s="256"/>
      <c r="W987" s="265"/>
      <c r="X987" s="265"/>
      <c r="Y987" s="86" t="s">
        <v>1242</v>
      </c>
      <c r="Z987" s="263"/>
      <c r="AA987" s="264"/>
      <c r="AB987" s="86"/>
      <c r="AC987" s="86"/>
      <c r="AD987" s="345"/>
    </row>
    <row r="988" spans="1:30" s="66" customFormat="1">
      <c r="A988" s="75" t="s">
        <v>1379</v>
      </c>
      <c r="B988" s="59"/>
      <c r="C988" s="57"/>
      <c r="D988" s="65"/>
      <c r="E988" s="65" t="s">
        <v>29</v>
      </c>
      <c r="F988" s="65" t="s">
        <v>94</v>
      </c>
      <c r="G988" s="58" t="s">
        <v>1443</v>
      </c>
      <c r="H988" s="58" t="s">
        <v>1444</v>
      </c>
      <c r="I988" s="60">
        <v>204</v>
      </c>
      <c r="J988" s="58" t="s">
        <v>94</v>
      </c>
      <c r="K988" s="58" t="s">
        <v>29</v>
      </c>
      <c r="L988" s="58" t="s">
        <v>94</v>
      </c>
      <c r="M988" s="58" t="s">
        <v>94</v>
      </c>
      <c r="N988" s="61" t="s">
        <v>3575</v>
      </c>
      <c r="O988" s="58" t="s">
        <v>3576</v>
      </c>
      <c r="P988" s="58" t="s">
        <v>1447</v>
      </c>
      <c r="Q988" s="63" t="str">
        <f>IF(V988&lt;&gt;"","Completed","")</f>
        <v/>
      </c>
      <c r="R988" s="270" t="s">
        <v>1242</v>
      </c>
      <c r="S988" s="270"/>
      <c r="T988" s="265"/>
      <c r="U988" s="265"/>
      <c r="V988" s="256"/>
      <c r="W988" s="65"/>
      <c r="X988" s="65"/>
      <c r="Y988" s="86" t="s">
        <v>1242</v>
      </c>
      <c r="Z988" s="263"/>
      <c r="AA988" s="249"/>
      <c r="AB988" s="265"/>
      <c r="AC988" s="86"/>
      <c r="AD988" s="345"/>
    </row>
    <row r="989" spans="1:30" s="66" customFormat="1">
      <c r="A989" s="75" t="s">
        <v>756</v>
      </c>
      <c r="B989" s="59"/>
      <c r="C989" s="57">
        <v>42748</v>
      </c>
      <c r="D989" s="65"/>
      <c r="E989" s="65" t="s">
        <v>29</v>
      </c>
      <c r="F989" s="65" t="s">
        <v>94</v>
      </c>
      <c r="G989" s="58" t="s">
        <v>1443</v>
      </c>
      <c r="H989" s="58" t="s">
        <v>1456</v>
      </c>
      <c r="I989" s="60">
        <v>289</v>
      </c>
      <c r="J989" s="58" t="s">
        <v>94</v>
      </c>
      <c r="K989" s="58" t="s">
        <v>29</v>
      </c>
      <c r="L989" s="58" t="s">
        <v>94</v>
      </c>
      <c r="M989" s="58" t="s">
        <v>94</v>
      </c>
      <c r="N989" s="61" t="s">
        <v>3577</v>
      </c>
      <c r="O989" s="58" t="s">
        <v>3578</v>
      </c>
      <c r="P989" s="58" t="s">
        <v>1459</v>
      </c>
      <c r="Q989" s="63" t="str">
        <f>IF(V989&lt;&gt;"","Completed","")</f>
        <v/>
      </c>
      <c r="R989" s="64" t="s">
        <v>1242</v>
      </c>
      <c r="S989" s="64"/>
      <c r="T989" s="65"/>
      <c r="U989" s="65"/>
      <c r="V989" s="256"/>
      <c r="W989" s="65"/>
      <c r="X989" s="65"/>
      <c r="Y989" s="86" t="s">
        <v>1242</v>
      </c>
      <c r="Z989" s="56"/>
      <c r="AA989" s="252"/>
      <c r="AB989" s="86"/>
      <c r="AC989" s="265"/>
      <c r="AD989" s="345"/>
    </row>
    <row r="990" spans="1:30" s="66" customFormat="1">
      <c r="A990" s="334" t="s">
        <v>1410</v>
      </c>
      <c r="B990" s="278"/>
      <c r="C990" s="279"/>
      <c r="D990" s="265"/>
      <c r="E990" s="265" t="s">
        <v>29</v>
      </c>
      <c r="F990" s="265" t="s">
        <v>94</v>
      </c>
      <c r="G990" s="280" t="s">
        <v>1443</v>
      </c>
      <c r="H990" s="280" t="s">
        <v>1456</v>
      </c>
      <c r="I990" s="281">
        <v>0</v>
      </c>
      <c r="J990" s="280" t="s">
        <v>29</v>
      </c>
      <c r="K990" s="280" t="s">
        <v>29</v>
      </c>
      <c r="L990" s="280" t="s">
        <v>94</v>
      </c>
      <c r="M990" s="280" t="s">
        <v>94</v>
      </c>
      <c r="N990" s="282" t="s">
        <v>3579</v>
      </c>
      <c r="O990" s="280" t="s">
        <v>3580</v>
      </c>
      <c r="P990" s="280" t="s">
        <v>1459</v>
      </c>
      <c r="Q990" s="63" t="str">
        <f>IF(V990&lt;&gt;"","Completed","")</f>
        <v/>
      </c>
      <c r="R990" s="64" t="s">
        <v>1242</v>
      </c>
      <c r="S990" s="64"/>
      <c r="T990" s="265"/>
      <c r="U990" s="265"/>
      <c r="V990" s="256"/>
      <c r="W990" s="265"/>
      <c r="X990" s="265"/>
      <c r="Y990" s="86" t="s">
        <v>1242</v>
      </c>
      <c r="Z990" s="263"/>
      <c r="AA990" s="264"/>
      <c r="AB990" s="86"/>
      <c r="AC990" s="86"/>
      <c r="AD990" s="345"/>
    </row>
    <row r="991" spans="1:30" s="66" customFormat="1">
      <c r="A991" s="334" t="s">
        <v>1410</v>
      </c>
      <c r="B991" s="278"/>
      <c r="C991" s="279"/>
      <c r="D991" s="265"/>
      <c r="E991" s="265" t="s">
        <v>29</v>
      </c>
      <c r="F991" s="265" t="s">
        <v>94</v>
      </c>
      <c r="G991" s="58" t="s">
        <v>1443</v>
      </c>
      <c r="H991" s="58" t="s">
        <v>1456</v>
      </c>
      <c r="I991" s="60">
        <v>147</v>
      </c>
      <c r="J991" s="58" t="s">
        <v>94</v>
      </c>
      <c r="K991" s="58" t="s">
        <v>29</v>
      </c>
      <c r="L991" s="58" t="s">
        <v>94</v>
      </c>
      <c r="M991" s="58" t="s">
        <v>94</v>
      </c>
      <c r="N991" s="282" t="s">
        <v>3581</v>
      </c>
      <c r="O991" s="280" t="s">
        <v>3582</v>
      </c>
      <c r="P991" s="280" t="s">
        <v>1459</v>
      </c>
      <c r="Q991" s="63" t="str">
        <f>IF(V991&lt;&gt;"","Completed","")</f>
        <v/>
      </c>
      <c r="R991" s="64" t="s">
        <v>1242</v>
      </c>
      <c r="S991" s="64"/>
      <c r="T991" s="265"/>
      <c r="U991" s="265"/>
      <c r="V991" s="256"/>
      <c r="W991" s="265"/>
      <c r="X991" s="265"/>
      <c r="Y991" s="86" t="s">
        <v>1242</v>
      </c>
      <c r="Z991" s="263"/>
      <c r="AA991" s="264"/>
      <c r="AB991" s="86"/>
      <c r="AC991" s="86"/>
      <c r="AD991" s="345"/>
    </row>
    <row r="992" spans="1:30" s="66" customFormat="1">
      <c r="A992" s="75" t="s">
        <v>1415</v>
      </c>
      <c r="B992" s="59"/>
      <c r="C992" s="57">
        <v>42709</v>
      </c>
      <c r="D992" s="65">
        <v>3035000</v>
      </c>
      <c r="E992" s="65" t="s">
        <v>29</v>
      </c>
      <c r="F992" s="65" t="s">
        <v>94</v>
      </c>
      <c r="G992" s="58" t="s">
        <v>1443</v>
      </c>
      <c r="H992" s="58" t="s">
        <v>1444</v>
      </c>
      <c r="I992" s="60">
        <v>33</v>
      </c>
      <c r="J992" s="58" t="s">
        <v>94</v>
      </c>
      <c r="K992" s="58" t="s">
        <v>29</v>
      </c>
      <c r="L992" s="58" t="s">
        <v>94</v>
      </c>
      <c r="M992" s="58" t="s">
        <v>94</v>
      </c>
      <c r="N992" s="61" t="s">
        <v>3583</v>
      </c>
      <c r="O992" s="58" t="s">
        <v>3584</v>
      </c>
      <c r="P992" s="58" t="s">
        <v>1447</v>
      </c>
      <c r="Q992" s="63" t="str">
        <f>IF(V992&lt;&gt;"","Completed","")</f>
        <v/>
      </c>
      <c r="R992" s="266" t="s">
        <v>3585</v>
      </c>
      <c r="S992" s="266"/>
      <c r="T992" s="65"/>
      <c r="U992" s="65"/>
      <c r="V992" s="65"/>
      <c r="W992" s="65"/>
      <c r="X992" s="65"/>
      <c r="Y992" s="74"/>
      <c r="Z992" s="56"/>
      <c r="AA992" s="252"/>
      <c r="AB992" s="65"/>
      <c r="AC992" s="65"/>
      <c r="AD992" s="345"/>
    </row>
    <row r="993" spans="1:30" s="66" customFormat="1">
      <c r="A993" s="75" t="s">
        <v>1415</v>
      </c>
      <c r="B993" s="59"/>
      <c r="C993" s="57">
        <v>42709</v>
      </c>
      <c r="D993" s="65">
        <v>3035000</v>
      </c>
      <c r="E993" s="65" t="s">
        <v>29</v>
      </c>
      <c r="F993" s="65" t="s">
        <v>94</v>
      </c>
      <c r="G993" s="58" t="s">
        <v>1443</v>
      </c>
      <c r="H993" s="58" t="s">
        <v>1444</v>
      </c>
      <c r="I993" s="60">
        <v>220</v>
      </c>
      <c r="J993" s="58" t="s">
        <v>94</v>
      </c>
      <c r="K993" s="58" t="s">
        <v>29</v>
      </c>
      <c r="L993" s="58" t="s">
        <v>94</v>
      </c>
      <c r="M993" s="58" t="s">
        <v>94</v>
      </c>
      <c r="N993" s="61" t="s">
        <v>3586</v>
      </c>
      <c r="O993" s="58" t="s">
        <v>3587</v>
      </c>
      <c r="P993" s="58" t="s">
        <v>1447</v>
      </c>
      <c r="Q993" s="63" t="str">
        <f>IF(V993&lt;&gt;"","Completed","")</f>
        <v/>
      </c>
      <c r="R993" s="266" t="s">
        <v>3585</v>
      </c>
      <c r="S993" s="266"/>
      <c r="T993" s="65"/>
      <c r="U993" s="65"/>
      <c r="V993" s="65"/>
      <c r="W993" s="65"/>
      <c r="X993" s="65"/>
      <c r="Y993" s="74"/>
      <c r="Z993" s="56"/>
      <c r="AA993" s="252"/>
      <c r="AB993" s="65"/>
      <c r="AC993" s="74"/>
      <c r="AD993" s="345"/>
    </row>
    <row r="994" spans="1:30" s="66" customFormat="1">
      <c r="A994" s="75" t="s">
        <v>1415</v>
      </c>
      <c r="B994" s="59"/>
      <c r="C994" s="311"/>
      <c r="D994" s="65">
        <v>3035000</v>
      </c>
      <c r="E994" s="65" t="s">
        <v>29</v>
      </c>
      <c r="F994" s="65" t="s">
        <v>94</v>
      </c>
      <c r="G994" s="58" t="s">
        <v>1443</v>
      </c>
      <c r="H994" s="58" t="s">
        <v>1444</v>
      </c>
      <c r="I994" s="60">
        <v>442</v>
      </c>
      <c r="J994" s="58" t="s">
        <v>94</v>
      </c>
      <c r="K994" s="58" t="s">
        <v>29</v>
      </c>
      <c r="L994" s="58" t="s">
        <v>94</v>
      </c>
      <c r="M994" s="58" t="s">
        <v>94</v>
      </c>
      <c r="N994" s="61" t="s">
        <v>3588</v>
      </c>
      <c r="O994" s="58" t="s">
        <v>3589</v>
      </c>
      <c r="P994" s="58" t="s">
        <v>1447</v>
      </c>
      <c r="Q994" s="63" t="str">
        <f>IF(V994&lt;&gt;"","Completed","")</f>
        <v/>
      </c>
      <c r="R994" s="266" t="s">
        <v>3585</v>
      </c>
      <c r="S994" s="266"/>
      <c r="T994" s="65"/>
      <c r="U994" s="65"/>
      <c r="V994" s="65"/>
      <c r="W994" s="65"/>
      <c r="X994" s="65"/>
      <c r="Y994" s="74"/>
      <c r="Z994" s="56"/>
      <c r="AA994" s="252"/>
      <c r="AB994" s="65"/>
      <c r="AC994" s="74"/>
      <c r="AD994" s="345"/>
    </row>
    <row r="995" spans="1:30" s="66" customFormat="1">
      <c r="A995" s="75" t="s">
        <v>1415</v>
      </c>
      <c r="B995" s="59"/>
      <c r="C995" s="311">
        <v>42711</v>
      </c>
      <c r="D995" s="65">
        <v>3035000</v>
      </c>
      <c r="E995" s="65" t="s">
        <v>29</v>
      </c>
      <c r="F995" s="65" t="s">
        <v>94</v>
      </c>
      <c r="G995" s="58" t="s">
        <v>1461</v>
      </c>
      <c r="H995" s="58" t="s">
        <v>1444</v>
      </c>
      <c r="I995" s="60">
        <v>0</v>
      </c>
      <c r="J995" s="58" t="s">
        <v>94</v>
      </c>
      <c r="K995" s="58" t="s">
        <v>29</v>
      </c>
      <c r="L995" s="58" t="s">
        <v>94</v>
      </c>
      <c r="M995" s="58" t="s">
        <v>94</v>
      </c>
      <c r="N995" s="61" t="s">
        <v>3590</v>
      </c>
      <c r="O995" s="292" t="s">
        <v>3591</v>
      </c>
      <c r="P995" s="58" t="s">
        <v>1447</v>
      </c>
      <c r="Q995" s="63" t="str">
        <f>IF(V995&lt;&gt;"","Completed","")</f>
        <v/>
      </c>
      <c r="R995" s="266" t="s">
        <v>3585</v>
      </c>
      <c r="S995" s="266"/>
      <c r="T995" s="65"/>
      <c r="U995" s="65"/>
      <c r="V995" s="65"/>
      <c r="W995" s="65"/>
      <c r="X995" s="65"/>
      <c r="Y995" s="74"/>
      <c r="Z995" s="56"/>
      <c r="AA995" s="252"/>
      <c r="AB995" s="65"/>
      <c r="AC995" s="74"/>
      <c r="AD995" s="345"/>
    </row>
    <row r="996" spans="1:30" s="66" customFormat="1">
      <c r="A996" s="75" t="s">
        <v>1415</v>
      </c>
      <c r="B996" s="59"/>
      <c r="C996" s="57">
        <v>42709</v>
      </c>
      <c r="D996" s="65">
        <v>3035000</v>
      </c>
      <c r="E996" s="65" t="s">
        <v>29</v>
      </c>
      <c r="F996" s="65" t="s">
        <v>94</v>
      </c>
      <c r="G996" s="58" t="s">
        <v>1443</v>
      </c>
      <c r="H996" s="58" t="s">
        <v>1444</v>
      </c>
      <c r="I996" s="60">
        <v>0</v>
      </c>
      <c r="J996" s="58" t="s">
        <v>94</v>
      </c>
      <c r="K996" s="58" t="s">
        <v>29</v>
      </c>
      <c r="L996" s="58" t="s">
        <v>94</v>
      </c>
      <c r="M996" s="58" t="s">
        <v>94</v>
      </c>
      <c r="N996" s="61" t="s">
        <v>3592</v>
      </c>
      <c r="O996" s="58" t="s">
        <v>3593</v>
      </c>
      <c r="P996" s="58" t="s">
        <v>1447</v>
      </c>
      <c r="Q996" s="63" t="str">
        <f>IF(V996&lt;&gt;"","Completed","")</f>
        <v/>
      </c>
      <c r="R996" s="266" t="s">
        <v>3585</v>
      </c>
      <c r="S996" s="266"/>
      <c r="T996" s="65"/>
      <c r="U996" s="65"/>
      <c r="V996" s="65"/>
      <c r="W996" s="65"/>
      <c r="X996" s="65"/>
      <c r="Y996" s="74"/>
      <c r="Z996" s="56"/>
      <c r="AA996" s="252"/>
      <c r="AB996" s="65"/>
      <c r="AC996" s="74"/>
      <c r="AD996" s="345"/>
    </row>
    <row r="997" spans="1:30" s="66" customFormat="1">
      <c r="A997" s="75" t="s">
        <v>1415</v>
      </c>
      <c r="B997" s="59"/>
      <c r="C997" s="57">
        <v>42709</v>
      </c>
      <c r="D997" s="65">
        <v>3035000</v>
      </c>
      <c r="E997" s="65" t="s">
        <v>29</v>
      </c>
      <c r="F997" s="65" t="s">
        <v>94</v>
      </c>
      <c r="G997" s="58" t="s">
        <v>1443</v>
      </c>
      <c r="H997" s="58" t="s">
        <v>1444</v>
      </c>
      <c r="I997" s="60">
        <v>143</v>
      </c>
      <c r="J997" s="58" t="s">
        <v>94</v>
      </c>
      <c r="K997" s="58" t="s">
        <v>29</v>
      </c>
      <c r="L997" s="58" t="s">
        <v>94</v>
      </c>
      <c r="M997" s="58" t="s">
        <v>94</v>
      </c>
      <c r="N997" s="61" t="s">
        <v>3594</v>
      </c>
      <c r="O997" s="58" t="s">
        <v>3595</v>
      </c>
      <c r="P997" s="58" t="s">
        <v>1447</v>
      </c>
      <c r="Q997" s="63" t="str">
        <f>IF(V997&lt;&gt;"","Completed","")</f>
        <v/>
      </c>
      <c r="R997" s="266" t="s">
        <v>3585</v>
      </c>
      <c r="S997" s="266"/>
      <c r="T997" s="65"/>
      <c r="U997" s="65"/>
      <c r="V997" s="65"/>
      <c r="W997" s="65"/>
      <c r="X997" s="65"/>
      <c r="Y997" s="74"/>
      <c r="Z997" s="56"/>
      <c r="AA997" s="252"/>
      <c r="AB997" s="65"/>
      <c r="AC997" s="74"/>
      <c r="AD997" s="345"/>
    </row>
    <row r="998" spans="1:30" s="66" customFormat="1">
      <c r="A998" s="75" t="s">
        <v>1415</v>
      </c>
      <c r="B998" s="59"/>
      <c r="C998" s="57">
        <v>42709</v>
      </c>
      <c r="D998" s="65">
        <v>3035000</v>
      </c>
      <c r="E998" s="65" t="s">
        <v>29</v>
      </c>
      <c r="F998" s="65" t="s">
        <v>94</v>
      </c>
      <c r="G998" s="58" t="s">
        <v>1443</v>
      </c>
      <c r="H998" s="58" t="s">
        <v>1444</v>
      </c>
      <c r="I998" s="60">
        <v>0</v>
      </c>
      <c r="J998" s="58" t="s">
        <v>94</v>
      </c>
      <c r="K998" s="58" t="s">
        <v>29</v>
      </c>
      <c r="L998" s="58" t="s">
        <v>94</v>
      </c>
      <c r="M998" s="58" t="s">
        <v>94</v>
      </c>
      <c r="N998" s="61" t="s">
        <v>3596</v>
      </c>
      <c r="O998" s="58" t="s">
        <v>3597</v>
      </c>
      <c r="P998" s="58" t="s">
        <v>1447</v>
      </c>
      <c r="Q998" s="63" t="str">
        <f>IF(V998&lt;&gt;"","Completed","")</f>
        <v/>
      </c>
      <c r="R998" s="266" t="s">
        <v>3585</v>
      </c>
      <c r="S998" s="266"/>
      <c r="T998" s="65"/>
      <c r="U998" s="65"/>
      <c r="V998" s="65"/>
      <c r="W998" s="65"/>
      <c r="X998" s="65"/>
      <c r="Y998" s="74"/>
      <c r="Z998" s="56"/>
      <c r="AA998" s="252"/>
      <c r="AB998" s="65"/>
      <c r="AC998" s="74"/>
      <c r="AD998" s="345"/>
    </row>
    <row r="999" spans="1:30" s="66" customFormat="1">
      <c r="A999" s="75" t="s">
        <v>1415</v>
      </c>
      <c r="B999" s="59"/>
      <c r="C999" s="57">
        <v>42709</v>
      </c>
      <c r="D999" s="65">
        <v>3035000</v>
      </c>
      <c r="E999" s="65" t="s">
        <v>29</v>
      </c>
      <c r="F999" s="65" t="s">
        <v>94</v>
      </c>
      <c r="G999" s="58" t="s">
        <v>1443</v>
      </c>
      <c r="H999" s="58" t="s">
        <v>1444</v>
      </c>
      <c r="I999" s="60">
        <v>429</v>
      </c>
      <c r="J999" s="58" t="s">
        <v>94</v>
      </c>
      <c r="K999" s="58" t="s">
        <v>29</v>
      </c>
      <c r="L999" s="58" t="s">
        <v>94</v>
      </c>
      <c r="M999" s="58" t="s">
        <v>94</v>
      </c>
      <c r="N999" s="61" t="s">
        <v>3598</v>
      </c>
      <c r="O999" s="58" t="s">
        <v>3599</v>
      </c>
      <c r="P999" s="58" t="s">
        <v>1447</v>
      </c>
      <c r="Q999" s="63" t="str">
        <f>IF(V999&lt;&gt;"","Completed","")</f>
        <v/>
      </c>
      <c r="R999" s="266" t="s">
        <v>3585</v>
      </c>
      <c r="S999" s="266"/>
      <c r="T999" s="65"/>
      <c r="U999" s="65"/>
      <c r="V999" s="65"/>
      <c r="W999" s="65"/>
      <c r="X999" s="65"/>
      <c r="Y999" s="74"/>
      <c r="Z999" s="56"/>
      <c r="AA999" s="252"/>
      <c r="AB999" s="65"/>
      <c r="AC999" s="74"/>
      <c r="AD999" s="345"/>
    </row>
    <row r="1000" spans="1:30" s="66" customFormat="1">
      <c r="A1000" s="75" t="s">
        <v>1415</v>
      </c>
      <c r="B1000" s="59"/>
      <c r="C1000" s="57">
        <v>42709</v>
      </c>
      <c r="D1000" s="65">
        <v>3035000</v>
      </c>
      <c r="E1000" s="65" t="s">
        <v>29</v>
      </c>
      <c r="F1000" s="65" t="s">
        <v>94</v>
      </c>
      <c r="G1000" s="58" t="s">
        <v>1443</v>
      </c>
      <c r="H1000" s="58" t="s">
        <v>1444</v>
      </c>
      <c r="I1000" s="60">
        <v>424</v>
      </c>
      <c r="J1000" s="58" t="s">
        <v>94</v>
      </c>
      <c r="K1000" s="58" t="s">
        <v>29</v>
      </c>
      <c r="L1000" s="58" t="s">
        <v>94</v>
      </c>
      <c r="M1000" s="58" t="s">
        <v>94</v>
      </c>
      <c r="N1000" s="61" t="s">
        <v>3600</v>
      </c>
      <c r="O1000" s="58" t="s">
        <v>3601</v>
      </c>
      <c r="P1000" s="58" t="s">
        <v>1447</v>
      </c>
      <c r="Q1000" s="63" t="str">
        <f>IF(V1000&lt;&gt;"","Completed","")</f>
        <v/>
      </c>
      <c r="R1000" s="266" t="s">
        <v>3585</v>
      </c>
      <c r="S1000" s="266"/>
      <c r="T1000" s="65"/>
      <c r="U1000" s="65"/>
      <c r="V1000" s="65"/>
      <c r="W1000" s="65"/>
      <c r="X1000" s="65"/>
      <c r="Y1000" s="74"/>
      <c r="Z1000" s="56"/>
      <c r="AA1000" s="252"/>
      <c r="AB1000" s="65"/>
      <c r="AC1000" s="74"/>
      <c r="AD1000" s="345"/>
    </row>
    <row r="1001" spans="1:30" s="66" customFormat="1">
      <c r="A1001" s="75" t="s">
        <v>1415</v>
      </c>
      <c r="B1001" s="59"/>
      <c r="C1001" s="57">
        <v>42709</v>
      </c>
      <c r="D1001" s="65">
        <v>3035000</v>
      </c>
      <c r="E1001" s="65" t="s">
        <v>29</v>
      </c>
      <c r="F1001" s="65" t="s">
        <v>94</v>
      </c>
      <c r="G1001" s="58" t="s">
        <v>1443</v>
      </c>
      <c r="H1001" s="58" t="s">
        <v>1444</v>
      </c>
      <c r="I1001" s="60">
        <v>458</v>
      </c>
      <c r="J1001" s="58" t="s">
        <v>94</v>
      </c>
      <c r="K1001" s="58" t="s">
        <v>29</v>
      </c>
      <c r="L1001" s="58" t="s">
        <v>94</v>
      </c>
      <c r="M1001" s="58" t="s">
        <v>94</v>
      </c>
      <c r="N1001" s="61" t="s">
        <v>3602</v>
      </c>
      <c r="O1001" s="58" t="s">
        <v>3603</v>
      </c>
      <c r="P1001" s="58" t="s">
        <v>1447</v>
      </c>
      <c r="Q1001" s="63" t="str">
        <f>IF(V1001&lt;&gt;"","Completed","")</f>
        <v/>
      </c>
      <c r="R1001" s="266" t="s">
        <v>3585</v>
      </c>
      <c r="S1001" s="266"/>
      <c r="T1001" s="65"/>
      <c r="U1001" s="65"/>
      <c r="V1001" s="256"/>
      <c r="W1001" s="65"/>
      <c r="X1001" s="65"/>
      <c r="Y1001" s="74"/>
      <c r="Z1001" s="56"/>
      <c r="AA1001" s="252"/>
      <c r="AB1001" s="65"/>
      <c r="AC1001" s="74"/>
      <c r="AD1001" s="345"/>
    </row>
    <row r="1002" spans="1:30" s="66" customFormat="1">
      <c r="A1002" s="75" t="s">
        <v>1415</v>
      </c>
      <c r="B1002" s="59"/>
      <c r="C1002" s="57">
        <v>42709</v>
      </c>
      <c r="D1002" s="65">
        <v>3035000</v>
      </c>
      <c r="E1002" s="65" t="s">
        <v>29</v>
      </c>
      <c r="F1002" s="65" t="s">
        <v>94</v>
      </c>
      <c r="G1002" s="58" t="s">
        <v>1443</v>
      </c>
      <c r="H1002" s="58" t="s">
        <v>1444</v>
      </c>
      <c r="I1002" s="60">
        <v>275</v>
      </c>
      <c r="J1002" s="58" t="s">
        <v>94</v>
      </c>
      <c r="K1002" s="58" t="s">
        <v>29</v>
      </c>
      <c r="L1002" s="58" t="s">
        <v>94</v>
      </c>
      <c r="M1002" s="58" t="s">
        <v>94</v>
      </c>
      <c r="N1002" s="61" t="s">
        <v>3604</v>
      </c>
      <c r="O1002" s="58" t="s">
        <v>3605</v>
      </c>
      <c r="P1002" s="58" t="s">
        <v>1447</v>
      </c>
      <c r="Q1002" s="63" t="str">
        <f>IF(V1002&lt;&gt;"","Completed","")</f>
        <v/>
      </c>
      <c r="R1002" s="266" t="s">
        <v>3585</v>
      </c>
      <c r="S1002" s="266"/>
      <c r="T1002" s="65"/>
      <c r="U1002" s="65"/>
      <c r="V1002" s="256"/>
      <c r="W1002" s="65"/>
      <c r="X1002" s="65"/>
      <c r="Y1002" s="74"/>
      <c r="Z1002" s="56"/>
      <c r="AA1002" s="252"/>
      <c r="AB1002" s="65"/>
      <c r="AC1002" s="74"/>
      <c r="AD1002" s="345"/>
    </row>
    <row r="1003" spans="1:30" s="66" customFormat="1" ht="15" customHeight="1">
      <c r="A1003" s="75" t="s">
        <v>1415</v>
      </c>
      <c r="B1003" s="59"/>
      <c r="C1003" s="57">
        <v>42723</v>
      </c>
      <c r="D1003" s="65">
        <v>3035000</v>
      </c>
      <c r="E1003" s="65" t="s">
        <v>29</v>
      </c>
      <c r="F1003" s="65" t="s">
        <v>94</v>
      </c>
      <c r="G1003" s="58"/>
      <c r="H1003" s="58"/>
      <c r="I1003" s="60"/>
      <c r="J1003" s="58"/>
      <c r="K1003" s="58"/>
      <c r="L1003" s="58"/>
      <c r="M1003" s="58"/>
      <c r="N1003" s="251" t="s">
        <v>3606</v>
      </c>
      <c r="O1003" s="66" t="s">
        <v>3607</v>
      </c>
      <c r="P1003" s="58"/>
      <c r="Q1003" s="63" t="s">
        <v>1459</v>
      </c>
      <c r="R1003" s="64" t="s">
        <v>3608</v>
      </c>
      <c r="S1003" s="64"/>
      <c r="T1003" s="65"/>
      <c r="U1003" s="65"/>
      <c r="V1003" s="256"/>
      <c r="W1003" s="74">
        <v>5</v>
      </c>
      <c r="X1003" s="65">
        <v>10</v>
      </c>
      <c r="Y1003" s="22"/>
      <c r="Z1003" s="56"/>
      <c r="AA1003" s="252"/>
      <c r="AB1003" s="65"/>
      <c r="AC1003" s="74"/>
      <c r="AD1003" s="257" t="s">
        <v>3609</v>
      </c>
    </row>
    <row r="1004" spans="1:30">
      <c r="A1004" s="75" t="s">
        <v>1415</v>
      </c>
      <c r="B1004" s="59"/>
      <c r="C1004" s="57">
        <v>42723</v>
      </c>
      <c r="D1004" s="65">
        <v>3035000</v>
      </c>
      <c r="E1004" s="65" t="s">
        <v>29</v>
      </c>
      <c r="F1004" s="65" t="s">
        <v>94</v>
      </c>
      <c r="G1004" s="58"/>
      <c r="H1004" s="58"/>
      <c r="I1004" s="60"/>
      <c r="J1004" s="58"/>
      <c r="K1004" s="58"/>
      <c r="L1004" s="58"/>
      <c r="M1004" s="58"/>
      <c r="N1004" s="251" t="s">
        <v>3610</v>
      </c>
      <c r="O1004" s="66" t="s">
        <v>3611</v>
      </c>
      <c r="P1004" s="58"/>
      <c r="Q1004" s="63" t="s">
        <v>1459</v>
      </c>
      <c r="R1004" s="64" t="s">
        <v>3608</v>
      </c>
      <c r="V1004" s="256"/>
      <c r="W1004" s="74">
        <v>8</v>
      </c>
      <c r="X1004" s="65">
        <v>16</v>
      </c>
      <c r="AA1004" s="252"/>
      <c r="AD1004" s="257" t="s">
        <v>3609</v>
      </c>
    </row>
    <row r="1005" spans="1:30">
      <c r="A1005" s="75" t="s">
        <v>1415</v>
      </c>
      <c r="B1005" s="59"/>
      <c r="C1005" s="57">
        <v>42723</v>
      </c>
      <c r="D1005" s="65">
        <v>3035000</v>
      </c>
      <c r="E1005" s="65" t="s">
        <v>29</v>
      </c>
      <c r="F1005" s="65" t="s">
        <v>94</v>
      </c>
      <c r="G1005" s="58"/>
      <c r="H1005" s="58"/>
      <c r="I1005" s="60"/>
      <c r="J1005" s="58"/>
      <c r="K1005" s="58"/>
      <c r="L1005" s="58"/>
      <c r="M1005" s="58"/>
      <c r="N1005" s="251" t="s">
        <v>3612</v>
      </c>
      <c r="O1005" s="66" t="s">
        <v>3613</v>
      </c>
      <c r="P1005" s="58"/>
      <c r="Q1005" s="63" t="s">
        <v>1459</v>
      </c>
      <c r="R1005" s="64" t="s">
        <v>3608</v>
      </c>
      <c r="V1005" s="256"/>
      <c r="W1005" s="74">
        <v>6</v>
      </c>
      <c r="X1005" s="65">
        <v>12</v>
      </c>
      <c r="AA1005" s="252"/>
      <c r="AD1005" s="257" t="s">
        <v>3609</v>
      </c>
    </row>
    <row r="1006" spans="1:30">
      <c r="A1006" s="75" t="s">
        <v>1415</v>
      </c>
      <c r="B1006" s="59"/>
      <c r="C1006" s="57">
        <v>42709</v>
      </c>
      <c r="D1006" s="65">
        <v>3035000</v>
      </c>
      <c r="E1006" s="65" t="s">
        <v>29</v>
      </c>
      <c r="F1006" s="65" t="s">
        <v>94</v>
      </c>
      <c r="G1006" s="58" t="s">
        <v>1443</v>
      </c>
      <c r="H1006" s="58" t="s">
        <v>1444</v>
      </c>
      <c r="I1006" s="60">
        <v>425</v>
      </c>
      <c r="J1006" s="58" t="s">
        <v>94</v>
      </c>
      <c r="K1006" s="58" t="s">
        <v>29</v>
      </c>
      <c r="L1006" s="58" t="s">
        <v>94</v>
      </c>
      <c r="M1006" s="58" t="s">
        <v>94</v>
      </c>
      <c r="N1006" s="61" t="s">
        <v>3614</v>
      </c>
      <c r="O1006" s="58" t="s">
        <v>3615</v>
      </c>
      <c r="P1006" s="58" t="s">
        <v>1447</v>
      </c>
      <c r="Q1006" s="63" t="str">
        <f>IF(V1006&lt;&gt;"","Completed","")</f>
        <v/>
      </c>
      <c r="R1006" s="304" t="s">
        <v>3585</v>
      </c>
      <c r="S1006" s="304"/>
      <c r="V1006" s="256"/>
      <c r="Y1006" s="81"/>
      <c r="AA1006" s="252"/>
    </row>
    <row r="1007" spans="1:30">
      <c r="A1007" s="75" t="s">
        <v>1415</v>
      </c>
      <c r="B1007" s="59"/>
      <c r="C1007" s="57">
        <v>42709</v>
      </c>
      <c r="D1007" s="65">
        <v>3035000</v>
      </c>
      <c r="E1007" s="65" t="s">
        <v>29</v>
      </c>
      <c r="F1007" s="65" t="s">
        <v>94</v>
      </c>
      <c r="G1007" s="58" t="s">
        <v>1443</v>
      </c>
      <c r="H1007" s="58" t="s">
        <v>1444</v>
      </c>
      <c r="I1007" s="60">
        <v>124</v>
      </c>
      <c r="J1007" s="58" t="s">
        <v>94</v>
      </c>
      <c r="K1007" s="58" t="s">
        <v>29</v>
      </c>
      <c r="L1007" s="58" t="s">
        <v>94</v>
      </c>
      <c r="M1007" s="58" t="s">
        <v>94</v>
      </c>
      <c r="N1007" s="61" t="s">
        <v>3616</v>
      </c>
      <c r="O1007" s="58" t="s">
        <v>3617</v>
      </c>
      <c r="P1007" s="58" t="s">
        <v>1447</v>
      </c>
      <c r="Q1007" s="63" t="str">
        <f>IF(V1007&lt;&gt;"","Completed","")</f>
        <v/>
      </c>
      <c r="R1007" s="304" t="s">
        <v>3585</v>
      </c>
      <c r="S1007" s="304"/>
      <c r="V1007" s="256"/>
      <c r="W1007" s="81"/>
      <c r="X1007" s="291"/>
      <c r="Y1007" s="81"/>
      <c r="AA1007" s="252"/>
    </row>
    <row r="1008" spans="1:30">
      <c r="A1008" s="75" t="s">
        <v>1415</v>
      </c>
      <c r="C1008" s="57">
        <v>42711</v>
      </c>
      <c r="D1008" s="65">
        <v>3035000</v>
      </c>
      <c r="E1008" s="65" t="s">
        <v>29</v>
      </c>
      <c r="F1008" s="65" t="s">
        <v>94</v>
      </c>
      <c r="G1008" s="58" t="s">
        <v>1461</v>
      </c>
      <c r="H1008" s="58" t="s">
        <v>1444</v>
      </c>
      <c r="I1008" s="60">
        <v>171</v>
      </c>
      <c r="J1008" s="58" t="s">
        <v>94</v>
      </c>
      <c r="K1008" s="58" t="s">
        <v>29</v>
      </c>
      <c r="L1008" s="58" t="s">
        <v>94</v>
      </c>
      <c r="M1008" s="58" t="s">
        <v>94</v>
      </c>
      <c r="N1008" s="61" t="s">
        <v>3618</v>
      </c>
      <c r="O1008" s="292" t="s">
        <v>3619</v>
      </c>
      <c r="P1008" s="58" t="s">
        <v>1447</v>
      </c>
      <c r="Q1008" s="63" t="str">
        <f>IF(V1008&lt;&gt;"","Completed","")</f>
        <v/>
      </c>
      <c r="R1008" s="304" t="s">
        <v>3585</v>
      </c>
      <c r="S1008" s="304"/>
      <c r="V1008" s="256"/>
      <c r="Y1008" s="81"/>
      <c r="AA1008" s="252"/>
    </row>
    <row r="1009" spans="1:30">
      <c r="A1009" s="75" t="s">
        <v>1415</v>
      </c>
      <c r="B1009" s="59"/>
      <c r="C1009" s="57">
        <v>42723</v>
      </c>
      <c r="D1009" s="65">
        <v>3035000</v>
      </c>
      <c r="E1009" s="65" t="s">
        <v>29</v>
      </c>
      <c r="F1009" s="65" t="s">
        <v>94</v>
      </c>
      <c r="G1009" s="58"/>
      <c r="H1009" s="58"/>
      <c r="I1009" s="60"/>
      <c r="J1009" s="58"/>
      <c r="K1009" s="58"/>
      <c r="L1009" s="58"/>
      <c r="M1009" s="58"/>
      <c r="N1009" s="251" t="s">
        <v>3620</v>
      </c>
      <c r="O1009" s="66" t="s">
        <v>3621</v>
      </c>
      <c r="P1009" s="58"/>
      <c r="Q1009" s="63" t="s">
        <v>1459</v>
      </c>
      <c r="R1009" s="64" t="s">
        <v>3608</v>
      </c>
      <c r="V1009" s="256"/>
      <c r="W1009" s="74">
        <v>6</v>
      </c>
      <c r="X1009" s="65">
        <v>12</v>
      </c>
      <c r="AA1009" s="252"/>
      <c r="AD1009" s="257" t="s">
        <v>3609</v>
      </c>
    </row>
    <row r="1010" spans="1:30">
      <c r="A1010" s="75" t="s">
        <v>1415</v>
      </c>
      <c r="B1010" s="59"/>
      <c r="C1010" s="57">
        <v>42709</v>
      </c>
      <c r="D1010" s="65">
        <v>3035000</v>
      </c>
      <c r="E1010" s="65" t="s">
        <v>29</v>
      </c>
      <c r="F1010" s="65" t="s">
        <v>94</v>
      </c>
      <c r="G1010" s="58" t="s">
        <v>1443</v>
      </c>
      <c r="H1010" s="58" t="s">
        <v>1444</v>
      </c>
      <c r="I1010" s="60">
        <v>680</v>
      </c>
      <c r="J1010" s="58" t="s">
        <v>94</v>
      </c>
      <c r="K1010" s="58" t="s">
        <v>29</v>
      </c>
      <c r="L1010" s="58" t="s">
        <v>94</v>
      </c>
      <c r="M1010" s="58" t="s">
        <v>94</v>
      </c>
      <c r="N1010" s="61" t="s">
        <v>3622</v>
      </c>
      <c r="O1010" s="58" t="s">
        <v>3623</v>
      </c>
      <c r="P1010" s="58" t="s">
        <v>1447</v>
      </c>
      <c r="Q1010" s="63" t="str">
        <f>IF(V1010&lt;&gt;"","Completed","")</f>
        <v/>
      </c>
      <c r="R1010" s="304" t="s">
        <v>3585</v>
      </c>
      <c r="S1010" s="304"/>
      <c r="V1010" s="256"/>
      <c r="Y1010" s="81"/>
      <c r="AA1010" s="252"/>
    </row>
    <row r="1011" spans="1:30">
      <c r="A1011" s="75" t="s">
        <v>1415</v>
      </c>
      <c r="B1011" s="59"/>
      <c r="C1011" s="57">
        <v>42709</v>
      </c>
      <c r="D1011" s="65">
        <v>3035000</v>
      </c>
      <c r="E1011" s="65" t="s">
        <v>29</v>
      </c>
      <c r="F1011" s="65" t="s">
        <v>94</v>
      </c>
      <c r="G1011" s="58" t="s">
        <v>1443</v>
      </c>
      <c r="H1011" s="58" t="s">
        <v>1444</v>
      </c>
      <c r="I1011" s="60">
        <v>219</v>
      </c>
      <c r="J1011" s="58" t="s">
        <v>94</v>
      </c>
      <c r="K1011" s="58" t="s">
        <v>29</v>
      </c>
      <c r="L1011" s="58" t="s">
        <v>94</v>
      </c>
      <c r="M1011" s="58" t="s">
        <v>94</v>
      </c>
      <c r="N1011" s="61" t="s">
        <v>3624</v>
      </c>
      <c r="O1011" s="58" t="s">
        <v>3625</v>
      </c>
      <c r="P1011" s="58" t="s">
        <v>1447</v>
      </c>
      <c r="Q1011" s="63" t="str">
        <f>IF(V1011&lt;&gt;"","Completed","")</f>
        <v/>
      </c>
      <c r="R1011" s="304" t="s">
        <v>3585</v>
      </c>
      <c r="S1011" s="304"/>
      <c r="V1011" s="256"/>
      <c r="Y1011" s="81"/>
      <c r="AA1011" s="252"/>
    </row>
    <row r="1012" spans="1:30">
      <c r="A1012" s="75" t="s">
        <v>1415</v>
      </c>
      <c r="B1012" s="59"/>
      <c r="C1012" s="57">
        <v>42709</v>
      </c>
      <c r="D1012" s="65">
        <v>3035000</v>
      </c>
      <c r="E1012" s="65" t="s">
        <v>29</v>
      </c>
      <c r="F1012" s="65" t="s">
        <v>94</v>
      </c>
      <c r="G1012" s="58" t="s">
        <v>1443</v>
      </c>
      <c r="H1012" s="58" t="s">
        <v>1444</v>
      </c>
      <c r="I1012" s="60">
        <v>306</v>
      </c>
      <c r="J1012" s="58" t="s">
        <v>94</v>
      </c>
      <c r="K1012" s="58" t="s">
        <v>29</v>
      </c>
      <c r="L1012" s="58" t="s">
        <v>94</v>
      </c>
      <c r="M1012" s="58" t="s">
        <v>94</v>
      </c>
      <c r="N1012" s="61" t="s">
        <v>3626</v>
      </c>
      <c r="O1012" s="58" t="s">
        <v>3627</v>
      </c>
      <c r="P1012" s="58" t="s">
        <v>1447</v>
      </c>
      <c r="Q1012" s="63" t="str">
        <f>IF(V1012&lt;&gt;"","Completed","")</f>
        <v/>
      </c>
      <c r="R1012" s="304" t="s">
        <v>3585</v>
      </c>
      <c r="S1012" s="304"/>
      <c r="V1012" s="256"/>
      <c r="Y1012" s="81"/>
      <c r="AA1012" s="252"/>
    </row>
    <row r="1013" spans="1:30">
      <c r="A1013" s="75" t="s">
        <v>1415</v>
      </c>
      <c r="B1013" s="59"/>
      <c r="C1013" s="57">
        <v>42709</v>
      </c>
      <c r="D1013" s="65">
        <v>3035000</v>
      </c>
      <c r="E1013" s="65" t="s">
        <v>29</v>
      </c>
      <c r="F1013" s="65" t="s">
        <v>94</v>
      </c>
      <c r="G1013" s="58" t="s">
        <v>1443</v>
      </c>
      <c r="H1013" s="58" t="s">
        <v>1444</v>
      </c>
      <c r="I1013" s="60">
        <v>171</v>
      </c>
      <c r="J1013" s="58" t="s">
        <v>94</v>
      </c>
      <c r="K1013" s="58" t="s">
        <v>29</v>
      </c>
      <c r="L1013" s="58" t="s">
        <v>94</v>
      </c>
      <c r="M1013" s="58" t="s">
        <v>94</v>
      </c>
      <c r="N1013" s="61" t="s">
        <v>3628</v>
      </c>
      <c r="O1013" s="58" t="s">
        <v>3629</v>
      </c>
      <c r="P1013" s="58" t="s">
        <v>1447</v>
      </c>
      <c r="Q1013" s="63" t="str">
        <f>IF(V1013&lt;&gt;"","Completed","")</f>
        <v/>
      </c>
      <c r="R1013" s="304" t="s">
        <v>3585</v>
      </c>
      <c r="S1013" s="304"/>
      <c r="V1013" s="256"/>
      <c r="W1013" s="81"/>
      <c r="AA1013" s="252"/>
    </row>
    <row r="1014" spans="1:30">
      <c r="A1014" s="75" t="s">
        <v>1415</v>
      </c>
      <c r="B1014" s="59"/>
      <c r="C1014" s="57">
        <v>42723</v>
      </c>
      <c r="D1014" s="65">
        <v>3035000</v>
      </c>
      <c r="E1014" s="65" t="s">
        <v>29</v>
      </c>
      <c r="F1014" s="65" t="s">
        <v>94</v>
      </c>
      <c r="G1014" s="58"/>
      <c r="H1014" s="58"/>
      <c r="I1014" s="60"/>
      <c r="J1014" s="58"/>
      <c r="K1014" s="58"/>
      <c r="L1014" s="58"/>
      <c r="M1014" s="58"/>
      <c r="N1014" s="251" t="s">
        <v>3630</v>
      </c>
      <c r="O1014" s="66" t="s">
        <v>3631</v>
      </c>
      <c r="P1014" s="58"/>
      <c r="Q1014" s="63" t="s">
        <v>1459</v>
      </c>
      <c r="R1014" s="64" t="s">
        <v>3608</v>
      </c>
      <c r="V1014" s="256"/>
      <c r="W1014" s="74">
        <v>4</v>
      </c>
      <c r="X1014" s="65">
        <v>8</v>
      </c>
      <c r="AA1014" s="252"/>
      <c r="AD1014" s="257" t="s">
        <v>3609</v>
      </c>
    </row>
    <row r="1015" spans="1:30">
      <c r="A1015" s="75" t="s">
        <v>1415</v>
      </c>
      <c r="B1015" s="59"/>
      <c r="C1015" s="57">
        <v>42723</v>
      </c>
      <c r="D1015" s="65">
        <v>3035000</v>
      </c>
      <c r="E1015" s="65" t="s">
        <v>29</v>
      </c>
      <c r="F1015" s="65" t="s">
        <v>94</v>
      </c>
      <c r="G1015" s="58"/>
      <c r="H1015" s="58"/>
      <c r="I1015" s="60"/>
      <c r="J1015" s="58"/>
      <c r="K1015" s="58"/>
      <c r="L1015" s="58"/>
      <c r="M1015" s="58"/>
      <c r="N1015" s="251" t="s">
        <v>3632</v>
      </c>
      <c r="O1015" s="66" t="s">
        <v>3633</v>
      </c>
      <c r="P1015" s="58"/>
      <c r="Q1015" s="63" t="s">
        <v>1459</v>
      </c>
      <c r="R1015" s="64" t="s">
        <v>3608</v>
      </c>
      <c r="V1015" s="256"/>
      <c r="W1015" s="74">
        <v>4</v>
      </c>
      <c r="X1015" s="65">
        <v>8</v>
      </c>
      <c r="AA1015" s="252"/>
      <c r="AD1015" s="257" t="s">
        <v>3609</v>
      </c>
    </row>
    <row r="1016" spans="1:30">
      <c r="A1016" s="75" t="s">
        <v>1415</v>
      </c>
      <c r="B1016" s="59"/>
      <c r="C1016" s="57">
        <v>42709</v>
      </c>
      <c r="D1016" s="65">
        <v>3035000</v>
      </c>
      <c r="E1016" s="65" t="s">
        <v>29</v>
      </c>
      <c r="F1016" s="65" t="s">
        <v>94</v>
      </c>
      <c r="G1016" s="58" t="s">
        <v>1443</v>
      </c>
      <c r="H1016" s="58" t="s">
        <v>1444</v>
      </c>
      <c r="I1016" s="60">
        <v>113</v>
      </c>
      <c r="J1016" s="58" t="s">
        <v>94</v>
      </c>
      <c r="K1016" s="58" t="s">
        <v>29</v>
      </c>
      <c r="L1016" s="58" t="s">
        <v>94</v>
      </c>
      <c r="M1016" s="58" t="s">
        <v>94</v>
      </c>
      <c r="N1016" s="61" t="s">
        <v>3634</v>
      </c>
      <c r="O1016" s="58" t="s">
        <v>3635</v>
      </c>
      <c r="P1016" s="58" t="s">
        <v>1447</v>
      </c>
      <c r="Q1016" s="63" t="str">
        <f>IF(V1016&lt;&gt;"","Completed","")</f>
        <v/>
      </c>
      <c r="R1016" s="304" t="s">
        <v>3585</v>
      </c>
      <c r="S1016" s="304"/>
      <c r="V1016" s="256"/>
      <c r="AA1016" s="252"/>
    </row>
    <row r="1017" spans="1:30">
      <c r="A1017" s="75" t="s">
        <v>1415</v>
      </c>
      <c r="B1017" s="59"/>
      <c r="C1017" s="57">
        <v>42723</v>
      </c>
      <c r="D1017" s="65">
        <v>3035000</v>
      </c>
      <c r="E1017" s="65" t="s">
        <v>29</v>
      </c>
      <c r="F1017" s="65" t="s">
        <v>94</v>
      </c>
      <c r="G1017" s="58"/>
      <c r="H1017" s="58"/>
      <c r="I1017" s="60"/>
      <c r="J1017" s="58"/>
      <c r="K1017" s="58"/>
      <c r="L1017" s="58"/>
      <c r="M1017" s="58"/>
      <c r="N1017" s="251" t="s">
        <v>3636</v>
      </c>
      <c r="O1017" s="66" t="s">
        <v>3637</v>
      </c>
      <c r="P1017" s="58"/>
      <c r="Q1017" s="63" t="s">
        <v>1459</v>
      </c>
      <c r="R1017" s="64" t="s">
        <v>3608</v>
      </c>
      <c r="V1017" s="256"/>
      <c r="W1017" s="74">
        <v>6</v>
      </c>
      <c r="X1017" s="65">
        <v>12</v>
      </c>
      <c r="AA1017" s="252"/>
      <c r="AD1017" s="257" t="s">
        <v>3609</v>
      </c>
    </row>
    <row r="1018" spans="1:30">
      <c r="A1018" s="75" t="s">
        <v>1415</v>
      </c>
      <c r="B1018" s="59"/>
      <c r="C1018" s="57">
        <v>42709</v>
      </c>
      <c r="D1018" s="65">
        <v>3035000</v>
      </c>
      <c r="E1018" s="65" t="s">
        <v>29</v>
      </c>
      <c r="F1018" s="65" t="s">
        <v>94</v>
      </c>
      <c r="G1018" s="58" t="s">
        <v>1443</v>
      </c>
      <c r="H1018" s="58" t="s">
        <v>1444</v>
      </c>
      <c r="I1018" s="60">
        <v>440</v>
      </c>
      <c r="J1018" s="58" t="s">
        <v>94</v>
      </c>
      <c r="K1018" s="58" t="s">
        <v>29</v>
      </c>
      <c r="L1018" s="58" t="s">
        <v>94</v>
      </c>
      <c r="M1018" s="58" t="s">
        <v>94</v>
      </c>
      <c r="N1018" s="61" t="s">
        <v>3638</v>
      </c>
      <c r="O1018" s="58" t="s">
        <v>3639</v>
      </c>
      <c r="P1018" s="58" t="s">
        <v>1447</v>
      </c>
      <c r="Q1018" s="63" t="str">
        <f>IF(V1018&lt;&gt;"","Completed","")</f>
        <v/>
      </c>
      <c r="R1018" s="266" t="s">
        <v>3585</v>
      </c>
      <c r="S1018" s="266"/>
      <c r="V1018" s="256"/>
      <c r="AA1018" s="252"/>
    </row>
    <row r="1019" spans="1:30">
      <c r="A1019" s="75" t="s">
        <v>1415</v>
      </c>
      <c r="B1019" s="59"/>
      <c r="C1019" s="57">
        <v>42709</v>
      </c>
      <c r="D1019" s="65">
        <v>3035000</v>
      </c>
      <c r="E1019" s="65" t="s">
        <v>29</v>
      </c>
      <c r="F1019" s="65" t="s">
        <v>94</v>
      </c>
      <c r="G1019" s="58" t="s">
        <v>1443</v>
      </c>
      <c r="H1019" s="58" t="s">
        <v>1444</v>
      </c>
      <c r="I1019" s="60">
        <v>204</v>
      </c>
      <c r="J1019" s="58" t="s">
        <v>94</v>
      </c>
      <c r="K1019" s="58" t="s">
        <v>29</v>
      </c>
      <c r="L1019" s="58" t="s">
        <v>94</v>
      </c>
      <c r="M1019" s="58" t="s">
        <v>94</v>
      </c>
      <c r="N1019" s="61" t="s">
        <v>3640</v>
      </c>
      <c r="O1019" s="58" t="s">
        <v>3641</v>
      </c>
      <c r="P1019" s="58" t="s">
        <v>1447</v>
      </c>
      <c r="Q1019" s="63" t="str">
        <f>IF(V1019&lt;&gt;"","Completed","")</f>
        <v/>
      </c>
      <c r="R1019" s="266" t="s">
        <v>3585</v>
      </c>
      <c r="S1019" s="266"/>
      <c r="V1019" s="256"/>
      <c r="AA1019" s="252"/>
    </row>
    <row r="1020" spans="1:30">
      <c r="A1020" s="75" t="s">
        <v>1415</v>
      </c>
      <c r="B1020" s="59"/>
      <c r="C1020" s="57">
        <v>42709</v>
      </c>
      <c r="D1020" s="65">
        <v>3035000</v>
      </c>
      <c r="E1020" s="65" t="s">
        <v>29</v>
      </c>
      <c r="F1020" s="65" t="s">
        <v>94</v>
      </c>
      <c r="G1020" s="58" t="s">
        <v>1443</v>
      </c>
      <c r="H1020" s="58" t="s">
        <v>1444</v>
      </c>
      <c r="I1020" s="60">
        <v>103</v>
      </c>
      <c r="J1020" s="58" t="s">
        <v>94</v>
      </c>
      <c r="K1020" s="58" t="s">
        <v>29</v>
      </c>
      <c r="L1020" s="58" t="s">
        <v>94</v>
      </c>
      <c r="M1020" s="58" t="s">
        <v>94</v>
      </c>
      <c r="N1020" s="61" t="s">
        <v>3642</v>
      </c>
      <c r="O1020" s="58" t="s">
        <v>3643</v>
      </c>
      <c r="P1020" s="58" t="s">
        <v>1447</v>
      </c>
      <c r="Q1020" s="63" t="str">
        <f>IF(V1020&lt;&gt;"","Completed","")</f>
        <v/>
      </c>
      <c r="R1020" s="266" t="s">
        <v>3585</v>
      </c>
      <c r="S1020" s="266"/>
      <c r="V1020" s="256"/>
      <c r="AA1020" s="252"/>
    </row>
    <row r="1021" spans="1:30">
      <c r="A1021" s="75" t="s">
        <v>1415</v>
      </c>
      <c r="B1021" s="59"/>
      <c r="C1021" s="57">
        <v>42709</v>
      </c>
      <c r="D1021" s="65">
        <v>3035000</v>
      </c>
      <c r="E1021" s="65" t="s">
        <v>29</v>
      </c>
      <c r="F1021" s="65" t="s">
        <v>94</v>
      </c>
      <c r="G1021" s="58" t="s">
        <v>1443</v>
      </c>
      <c r="H1021" s="58" t="s">
        <v>1444</v>
      </c>
      <c r="I1021" s="60">
        <v>232</v>
      </c>
      <c r="J1021" s="58" t="s">
        <v>94</v>
      </c>
      <c r="K1021" s="58" t="s">
        <v>29</v>
      </c>
      <c r="L1021" s="58" t="s">
        <v>94</v>
      </c>
      <c r="M1021" s="58" t="s">
        <v>94</v>
      </c>
      <c r="N1021" s="61" t="s">
        <v>3644</v>
      </c>
      <c r="O1021" s="58" t="s">
        <v>3645</v>
      </c>
      <c r="P1021" s="58" t="s">
        <v>1447</v>
      </c>
      <c r="Q1021" s="63" t="str">
        <f>IF(V1021&lt;&gt;"","Completed","")</f>
        <v/>
      </c>
      <c r="R1021" s="266" t="s">
        <v>3585</v>
      </c>
      <c r="S1021" s="266"/>
      <c r="V1021" s="256"/>
      <c r="AA1021" s="252"/>
    </row>
    <row r="1022" spans="1:30">
      <c r="A1022" s="75" t="s">
        <v>1415</v>
      </c>
      <c r="B1022" s="59"/>
      <c r="C1022" s="57">
        <v>42709</v>
      </c>
      <c r="D1022" s="65">
        <v>3035000</v>
      </c>
      <c r="E1022" s="65" t="s">
        <v>29</v>
      </c>
      <c r="F1022" s="65" t="s">
        <v>94</v>
      </c>
      <c r="G1022" s="58" t="s">
        <v>1443</v>
      </c>
      <c r="H1022" s="58" t="s">
        <v>1444</v>
      </c>
      <c r="I1022" s="60">
        <v>429</v>
      </c>
      <c r="J1022" s="58" t="s">
        <v>94</v>
      </c>
      <c r="K1022" s="58" t="s">
        <v>29</v>
      </c>
      <c r="L1022" s="58" t="s">
        <v>94</v>
      </c>
      <c r="M1022" s="58" t="s">
        <v>94</v>
      </c>
      <c r="N1022" s="61" t="s">
        <v>3646</v>
      </c>
      <c r="O1022" s="58" t="s">
        <v>3647</v>
      </c>
      <c r="P1022" s="58" t="s">
        <v>1447</v>
      </c>
      <c r="Q1022" s="63" t="str">
        <f>IF(V1022&lt;&gt;"","Completed","")</f>
        <v/>
      </c>
      <c r="R1022" s="266" t="s">
        <v>3585</v>
      </c>
      <c r="S1022" s="266"/>
      <c r="V1022" s="256"/>
      <c r="AA1022" s="252"/>
    </row>
    <row r="1023" spans="1:30">
      <c r="A1023" s="75" t="s">
        <v>1415</v>
      </c>
      <c r="B1023" s="59"/>
      <c r="C1023" s="57">
        <v>42709</v>
      </c>
      <c r="D1023" s="65">
        <v>3035000</v>
      </c>
      <c r="E1023" s="65" t="s">
        <v>29</v>
      </c>
      <c r="F1023" s="65" t="s">
        <v>94</v>
      </c>
      <c r="G1023" s="58" t="s">
        <v>1443</v>
      </c>
      <c r="H1023" s="58" t="s">
        <v>1444</v>
      </c>
      <c r="I1023" s="60">
        <v>592</v>
      </c>
      <c r="J1023" s="58" t="s">
        <v>94</v>
      </c>
      <c r="K1023" s="58" t="s">
        <v>29</v>
      </c>
      <c r="L1023" s="58" t="s">
        <v>94</v>
      </c>
      <c r="M1023" s="58" t="s">
        <v>94</v>
      </c>
      <c r="N1023" s="61" t="s">
        <v>3648</v>
      </c>
      <c r="O1023" s="58" t="s">
        <v>3649</v>
      </c>
      <c r="P1023" s="58" t="s">
        <v>1447</v>
      </c>
      <c r="Q1023" s="63" t="str">
        <f>IF(V1023&lt;&gt;"","Completed","")</f>
        <v/>
      </c>
      <c r="R1023" s="266" t="s">
        <v>3585</v>
      </c>
      <c r="S1023" s="266"/>
      <c r="V1023" s="256"/>
      <c r="AA1023" s="252"/>
      <c r="AB1023" s="74"/>
    </row>
    <row r="1024" spans="1:30">
      <c r="A1024" s="75" t="s">
        <v>1415</v>
      </c>
      <c r="B1024" s="59"/>
      <c r="C1024" s="57">
        <v>42709</v>
      </c>
      <c r="D1024" s="65">
        <v>3035000</v>
      </c>
      <c r="E1024" s="65" t="s">
        <v>29</v>
      </c>
      <c r="F1024" s="65" t="s">
        <v>94</v>
      </c>
      <c r="G1024" s="58" t="s">
        <v>1443</v>
      </c>
      <c r="H1024" s="58" t="s">
        <v>1444</v>
      </c>
      <c r="I1024" s="60">
        <v>291</v>
      </c>
      <c r="J1024" s="58" t="s">
        <v>94</v>
      </c>
      <c r="K1024" s="58" t="s">
        <v>29</v>
      </c>
      <c r="L1024" s="58" t="s">
        <v>94</v>
      </c>
      <c r="M1024" s="58" t="s">
        <v>94</v>
      </c>
      <c r="N1024" s="61" t="s">
        <v>3650</v>
      </c>
      <c r="O1024" s="58" t="s">
        <v>3651</v>
      </c>
      <c r="P1024" s="58" t="s">
        <v>1447</v>
      </c>
      <c r="Q1024" s="63" t="str">
        <f>IF(V1024&lt;&gt;"","Completed","")</f>
        <v/>
      </c>
      <c r="R1024" s="266" t="s">
        <v>3585</v>
      </c>
      <c r="S1024" s="266"/>
      <c r="V1024" s="256"/>
      <c r="AA1024" s="252"/>
    </row>
    <row r="1025" spans="1:30">
      <c r="A1025" s="75" t="s">
        <v>1415</v>
      </c>
      <c r="B1025" s="59"/>
      <c r="C1025" s="57">
        <v>42709</v>
      </c>
      <c r="D1025" s="65">
        <v>3035000</v>
      </c>
      <c r="E1025" s="65" t="s">
        <v>29</v>
      </c>
      <c r="F1025" s="65" t="s">
        <v>94</v>
      </c>
      <c r="G1025" s="58" t="s">
        <v>1443</v>
      </c>
      <c r="H1025" s="58" t="s">
        <v>1444</v>
      </c>
      <c r="I1025" s="60">
        <v>447</v>
      </c>
      <c r="J1025" s="58" t="s">
        <v>94</v>
      </c>
      <c r="K1025" s="58" t="s">
        <v>29</v>
      </c>
      <c r="L1025" s="58" t="s">
        <v>94</v>
      </c>
      <c r="M1025" s="58" t="s">
        <v>94</v>
      </c>
      <c r="N1025" s="61" t="s">
        <v>3652</v>
      </c>
      <c r="O1025" s="58" t="s">
        <v>3653</v>
      </c>
      <c r="P1025" s="58" t="s">
        <v>1447</v>
      </c>
      <c r="Q1025" s="63" t="str">
        <f>IF(V1025&lt;&gt;"","Completed","")</f>
        <v/>
      </c>
      <c r="R1025" s="266" t="s">
        <v>3585</v>
      </c>
      <c r="S1025" s="266"/>
      <c r="V1025" s="256"/>
      <c r="AA1025" s="252"/>
      <c r="AB1025" s="74"/>
    </row>
    <row r="1026" spans="1:30">
      <c r="A1026" s="75" t="s">
        <v>1415</v>
      </c>
      <c r="B1026" s="59"/>
      <c r="C1026" s="57">
        <v>42709</v>
      </c>
      <c r="D1026" s="65">
        <v>3035000</v>
      </c>
      <c r="E1026" s="65" t="s">
        <v>29</v>
      </c>
      <c r="F1026" s="65" t="s">
        <v>94</v>
      </c>
      <c r="G1026" s="58" t="s">
        <v>1443</v>
      </c>
      <c r="H1026" s="58" t="s">
        <v>1444</v>
      </c>
      <c r="I1026" s="60">
        <v>314</v>
      </c>
      <c r="J1026" s="58" t="s">
        <v>94</v>
      </c>
      <c r="K1026" s="58" t="s">
        <v>29</v>
      </c>
      <c r="L1026" s="58" t="s">
        <v>94</v>
      </c>
      <c r="M1026" s="58" t="s">
        <v>94</v>
      </c>
      <c r="N1026" s="61" t="s">
        <v>3654</v>
      </c>
      <c r="O1026" s="58" t="s">
        <v>3655</v>
      </c>
      <c r="P1026" s="58" t="s">
        <v>1447</v>
      </c>
      <c r="Q1026" s="63" t="str">
        <f>IF(V1026&lt;&gt;"","Completed","")</f>
        <v/>
      </c>
      <c r="R1026" s="266" t="s">
        <v>3585</v>
      </c>
      <c r="S1026" s="266"/>
      <c r="V1026" s="256"/>
      <c r="AA1026" s="252"/>
      <c r="AB1026" s="74"/>
    </row>
    <row r="1027" spans="1:30">
      <c r="A1027" s="75" t="s">
        <v>1415</v>
      </c>
      <c r="B1027" s="59"/>
      <c r="C1027" s="57">
        <v>42709</v>
      </c>
      <c r="D1027" s="65">
        <v>3035000</v>
      </c>
      <c r="E1027" s="65" t="s">
        <v>29</v>
      </c>
      <c r="F1027" s="65" t="s">
        <v>94</v>
      </c>
      <c r="G1027" s="58" t="s">
        <v>1443</v>
      </c>
      <c r="H1027" s="58" t="s">
        <v>1444</v>
      </c>
      <c r="I1027" s="60">
        <v>314</v>
      </c>
      <c r="J1027" s="58" t="s">
        <v>94</v>
      </c>
      <c r="K1027" s="58" t="s">
        <v>29</v>
      </c>
      <c r="L1027" s="58" t="s">
        <v>94</v>
      </c>
      <c r="M1027" s="58" t="s">
        <v>94</v>
      </c>
      <c r="N1027" s="61" t="s">
        <v>3656</v>
      </c>
      <c r="O1027" s="58" t="s">
        <v>2339</v>
      </c>
      <c r="P1027" s="58" t="s">
        <v>1447</v>
      </c>
      <c r="Q1027" s="63" t="str">
        <f>IF(V1027&lt;&gt;"","Completed","")</f>
        <v/>
      </c>
      <c r="R1027" s="266" t="s">
        <v>3585</v>
      </c>
      <c r="S1027" s="266"/>
      <c r="V1027" s="256"/>
      <c r="AA1027" s="252"/>
    </row>
    <row r="1028" spans="1:30">
      <c r="A1028" s="75" t="s">
        <v>1415</v>
      </c>
      <c r="B1028" s="59"/>
      <c r="C1028" s="57">
        <v>42709</v>
      </c>
      <c r="D1028" s="65">
        <v>3035000</v>
      </c>
      <c r="E1028" s="65" t="s">
        <v>29</v>
      </c>
      <c r="F1028" s="65" t="s">
        <v>94</v>
      </c>
      <c r="G1028" s="58" t="s">
        <v>1443</v>
      </c>
      <c r="H1028" s="58" t="s">
        <v>1444</v>
      </c>
      <c r="I1028" s="60">
        <v>261</v>
      </c>
      <c r="J1028" s="58" t="s">
        <v>94</v>
      </c>
      <c r="K1028" s="58" t="s">
        <v>29</v>
      </c>
      <c r="L1028" s="58" t="s">
        <v>94</v>
      </c>
      <c r="M1028" s="58" t="s">
        <v>94</v>
      </c>
      <c r="N1028" s="61" t="s">
        <v>3657</v>
      </c>
      <c r="O1028" s="58" t="s">
        <v>3658</v>
      </c>
      <c r="P1028" s="58" t="s">
        <v>1447</v>
      </c>
      <c r="Q1028" s="63" t="str">
        <f>IF(V1028&lt;&gt;"","Completed","")</f>
        <v/>
      </c>
      <c r="R1028" s="266" t="s">
        <v>3585</v>
      </c>
      <c r="S1028" s="266"/>
      <c r="V1028" s="256"/>
      <c r="AA1028" s="252"/>
    </row>
    <row r="1029" spans="1:30">
      <c r="A1029" s="75" t="s">
        <v>1415</v>
      </c>
      <c r="B1029" s="59"/>
      <c r="C1029" s="57">
        <v>42709</v>
      </c>
      <c r="D1029" s="65">
        <v>3035000</v>
      </c>
      <c r="E1029" s="65" t="s">
        <v>29</v>
      </c>
      <c r="F1029" s="65" t="s">
        <v>94</v>
      </c>
      <c r="G1029" s="58" t="s">
        <v>1443</v>
      </c>
      <c r="H1029" s="58" t="s">
        <v>1444</v>
      </c>
      <c r="I1029" s="60">
        <v>202</v>
      </c>
      <c r="J1029" s="58" t="s">
        <v>94</v>
      </c>
      <c r="K1029" s="58" t="s">
        <v>29</v>
      </c>
      <c r="L1029" s="58" t="s">
        <v>94</v>
      </c>
      <c r="M1029" s="58" t="s">
        <v>94</v>
      </c>
      <c r="N1029" s="61" t="s">
        <v>3659</v>
      </c>
      <c r="O1029" s="58" t="s">
        <v>3660</v>
      </c>
      <c r="P1029" s="58" t="s">
        <v>1447</v>
      </c>
      <c r="Q1029" s="63" t="str">
        <f>IF(V1029&lt;&gt;"","Completed","")</f>
        <v/>
      </c>
      <c r="R1029" s="266" t="s">
        <v>3585</v>
      </c>
      <c r="S1029" s="266"/>
      <c r="V1029" s="256"/>
      <c r="AA1029" s="252"/>
    </row>
    <row r="1030" spans="1:30">
      <c r="A1030" s="75" t="s">
        <v>1415</v>
      </c>
      <c r="B1030" s="59"/>
      <c r="C1030" s="57">
        <v>42723</v>
      </c>
      <c r="D1030" s="65">
        <v>3035000</v>
      </c>
      <c r="E1030" s="65" t="s">
        <v>29</v>
      </c>
      <c r="F1030" s="65" t="s">
        <v>94</v>
      </c>
      <c r="G1030" s="58"/>
      <c r="H1030" s="58"/>
      <c r="I1030" s="60"/>
      <c r="J1030" s="58"/>
      <c r="K1030" s="58"/>
      <c r="L1030" s="58"/>
      <c r="M1030" s="58"/>
      <c r="N1030" s="251" t="s">
        <v>3661</v>
      </c>
      <c r="O1030" s="66" t="s">
        <v>3662</v>
      </c>
      <c r="P1030" s="58"/>
      <c r="Q1030" s="63" t="s">
        <v>1459</v>
      </c>
      <c r="R1030" s="64" t="s">
        <v>3608</v>
      </c>
      <c r="V1030" s="256"/>
      <c r="W1030" s="74">
        <v>3</v>
      </c>
      <c r="X1030" s="65">
        <v>6</v>
      </c>
      <c r="AA1030" s="252"/>
      <c r="AD1030" s="257" t="s">
        <v>3609</v>
      </c>
    </row>
    <row r="1031" spans="1:30">
      <c r="A1031" s="75" t="s">
        <v>1415</v>
      </c>
      <c r="B1031" s="59"/>
      <c r="C1031" s="57">
        <v>42709</v>
      </c>
      <c r="D1031" s="65">
        <v>3035000</v>
      </c>
      <c r="E1031" s="65" t="s">
        <v>29</v>
      </c>
      <c r="F1031" s="65" t="s">
        <v>94</v>
      </c>
      <c r="G1031" s="58" t="s">
        <v>1443</v>
      </c>
      <c r="H1031" s="58" t="s">
        <v>1444</v>
      </c>
      <c r="I1031" s="60">
        <v>264</v>
      </c>
      <c r="J1031" s="58" t="s">
        <v>94</v>
      </c>
      <c r="K1031" s="58" t="s">
        <v>29</v>
      </c>
      <c r="L1031" s="58" t="s">
        <v>94</v>
      </c>
      <c r="M1031" s="58" t="s">
        <v>94</v>
      </c>
      <c r="N1031" s="61" t="s">
        <v>3663</v>
      </c>
      <c r="O1031" s="58" t="s">
        <v>3664</v>
      </c>
      <c r="P1031" s="58" t="s">
        <v>1447</v>
      </c>
      <c r="Q1031" s="63" t="str">
        <f>IF(V1031&lt;&gt;"","Completed","")</f>
        <v/>
      </c>
      <c r="R1031" s="304" t="s">
        <v>3585</v>
      </c>
      <c r="S1031" s="304"/>
      <c r="V1031" s="256"/>
      <c r="AA1031" s="252"/>
    </row>
    <row r="1032" spans="1:30">
      <c r="A1032" s="75" t="s">
        <v>1415</v>
      </c>
      <c r="B1032" s="59"/>
      <c r="C1032" s="57">
        <v>42723</v>
      </c>
      <c r="D1032" s="65">
        <v>3035000</v>
      </c>
      <c r="E1032" s="65" t="s">
        <v>29</v>
      </c>
      <c r="F1032" s="65" t="s">
        <v>94</v>
      </c>
      <c r="G1032" s="58"/>
      <c r="H1032" s="58"/>
      <c r="I1032" s="60"/>
      <c r="J1032" s="58"/>
      <c r="K1032" s="58"/>
      <c r="L1032" s="58"/>
      <c r="M1032" s="58"/>
      <c r="N1032" s="251" t="s">
        <v>3665</v>
      </c>
      <c r="O1032" s="66" t="s">
        <v>3666</v>
      </c>
      <c r="P1032" s="58"/>
      <c r="Q1032" s="63" t="s">
        <v>1459</v>
      </c>
      <c r="R1032" s="64" t="s">
        <v>3608</v>
      </c>
      <c r="V1032" s="256"/>
      <c r="W1032" s="74">
        <v>5</v>
      </c>
      <c r="X1032" s="65">
        <v>10</v>
      </c>
      <c r="AA1032" s="252"/>
      <c r="AD1032" s="257" t="s">
        <v>3609</v>
      </c>
    </row>
    <row r="1033" spans="1:30">
      <c r="A1033" s="75" t="s">
        <v>1415</v>
      </c>
      <c r="B1033" s="59"/>
      <c r="C1033" s="57">
        <v>42709</v>
      </c>
      <c r="D1033" s="65">
        <v>3035000</v>
      </c>
      <c r="E1033" s="65" t="s">
        <v>29</v>
      </c>
      <c r="F1033" s="65" t="s">
        <v>94</v>
      </c>
      <c r="G1033" s="58" t="s">
        <v>1443</v>
      </c>
      <c r="H1033" s="58" t="s">
        <v>1444</v>
      </c>
      <c r="I1033" s="60">
        <v>314</v>
      </c>
      <c r="J1033" s="58" t="s">
        <v>94</v>
      </c>
      <c r="K1033" s="58" t="s">
        <v>29</v>
      </c>
      <c r="L1033" s="58" t="s">
        <v>94</v>
      </c>
      <c r="M1033" s="58" t="s">
        <v>94</v>
      </c>
      <c r="N1033" s="61" t="s">
        <v>3667</v>
      </c>
      <c r="O1033" s="58" t="s">
        <v>3668</v>
      </c>
      <c r="P1033" s="58" t="s">
        <v>1447</v>
      </c>
      <c r="Q1033" s="63" t="str">
        <f>IF(V1033&lt;&gt;"","Completed","")</f>
        <v/>
      </c>
      <c r="R1033" s="304" t="s">
        <v>3585</v>
      </c>
      <c r="S1033" s="304"/>
      <c r="V1033" s="256"/>
      <c r="AA1033" s="252"/>
    </row>
    <row r="1034" spans="1:30">
      <c r="A1034" s="75" t="s">
        <v>1415</v>
      </c>
      <c r="B1034" s="59"/>
      <c r="C1034" s="57">
        <v>42709</v>
      </c>
      <c r="D1034" s="65">
        <v>3035000</v>
      </c>
      <c r="E1034" s="65" t="s">
        <v>29</v>
      </c>
      <c r="F1034" s="65" t="s">
        <v>94</v>
      </c>
      <c r="G1034" s="58" t="s">
        <v>1443</v>
      </c>
      <c r="H1034" s="58" t="s">
        <v>1444</v>
      </c>
      <c r="I1034" s="60">
        <v>126</v>
      </c>
      <c r="J1034" s="58" t="s">
        <v>94</v>
      </c>
      <c r="K1034" s="58" t="s">
        <v>29</v>
      </c>
      <c r="L1034" s="58" t="s">
        <v>94</v>
      </c>
      <c r="M1034" s="58" t="s">
        <v>94</v>
      </c>
      <c r="N1034" s="61" t="s">
        <v>3669</v>
      </c>
      <c r="O1034" s="58" t="s">
        <v>3670</v>
      </c>
      <c r="P1034" s="58" t="s">
        <v>1447</v>
      </c>
      <c r="Q1034" s="63" t="str">
        <f>IF(V1034&lt;&gt;"","Completed","")</f>
        <v/>
      </c>
      <c r="R1034" s="304" t="s">
        <v>3585</v>
      </c>
      <c r="S1034" s="304"/>
      <c r="V1034" s="256"/>
      <c r="AA1034" s="252"/>
    </row>
    <row r="1035" spans="1:30">
      <c r="A1035" s="75" t="s">
        <v>1415</v>
      </c>
      <c r="B1035" s="59"/>
      <c r="C1035" s="57">
        <v>42709</v>
      </c>
      <c r="D1035" s="65">
        <v>3035000</v>
      </c>
      <c r="E1035" s="65" t="s">
        <v>29</v>
      </c>
      <c r="F1035" s="65" t="s">
        <v>94</v>
      </c>
      <c r="G1035" s="58" t="s">
        <v>1443</v>
      </c>
      <c r="H1035" s="58" t="s">
        <v>1444</v>
      </c>
      <c r="I1035" s="60">
        <v>230</v>
      </c>
      <c r="J1035" s="58" t="s">
        <v>94</v>
      </c>
      <c r="K1035" s="58" t="s">
        <v>29</v>
      </c>
      <c r="L1035" s="58" t="s">
        <v>94</v>
      </c>
      <c r="M1035" s="58" t="s">
        <v>94</v>
      </c>
      <c r="N1035" s="61" t="s">
        <v>3671</v>
      </c>
      <c r="O1035" s="58" t="s">
        <v>3672</v>
      </c>
      <c r="P1035" s="58" t="s">
        <v>1447</v>
      </c>
      <c r="Q1035" s="63" t="str">
        <f>IF(V1035&lt;&gt;"","Completed","")</f>
        <v/>
      </c>
      <c r="R1035" s="304" t="s">
        <v>3585</v>
      </c>
      <c r="S1035" s="304"/>
      <c r="V1035" s="256"/>
      <c r="AA1035" s="252"/>
    </row>
    <row r="1036" spans="1:30">
      <c r="A1036" s="75" t="s">
        <v>1415</v>
      </c>
      <c r="B1036" s="59"/>
      <c r="C1036" s="57">
        <v>42709</v>
      </c>
      <c r="D1036" s="65">
        <v>3035000</v>
      </c>
      <c r="E1036" s="65" t="s">
        <v>29</v>
      </c>
      <c r="F1036" s="65" t="s">
        <v>94</v>
      </c>
      <c r="G1036" s="58" t="s">
        <v>1443</v>
      </c>
      <c r="H1036" s="58" t="s">
        <v>1444</v>
      </c>
      <c r="I1036" s="60">
        <v>446</v>
      </c>
      <c r="J1036" s="58" t="s">
        <v>94</v>
      </c>
      <c r="K1036" s="58" t="s">
        <v>29</v>
      </c>
      <c r="L1036" s="58" t="s">
        <v>94</v>
      </c>
      <c r="M1036" s="58" t="s">
        <v>94</v>
      </c>
      <c r="N1036" s="61" t="s">
        <v>3673</v>
      </c>
      <c r="O1036" s="58" t="s">
        <v>3674</v>
      </c>
      <c r="P1036" s="58" t="s">
        <v>1447</v>
      </c>
      <c r="Q1036" s="63" t="str">
        <f>IF(V1036&lt;&gt;"","Completed","")</f>
        <v/>
      </c>
      <c r="R1036" s="304" t="s">
        <v>3585</v>
      </c>
      <c r="S1036" s="304"/>
      <c r="V1036" s="256"/>
      <c r="AA1036" s="252"/>
      <c r="AB1036" s="149"/>
    </row>
    <row r="1037" spans="1:30">
      <c r="A1037" s="75" t="s">
        <v>1415</v>
      </c>
      <c r="B1037" s="59"/>
      <c r="C1037" s="57">
        <v>42709</v>
      </c>
      <c r="D1037" s="65">
        <v>3035000</v>
      </c>
      <c r="E1037" s="65" t="s">
        <v>29</v>
      </c>
      <c r="F1037" s="65" t="s">
        <v>94</v>
      </c>
      <c r="G1037" s="58" t="s">
        <v>1443</v>
      </c>
      <c r="H1037" s="58" t="s">
        <v>1444</v>
      </c>
      <c r="I1037" s="60">
        <v>438</v>
      </c>
      <c r="J1037" s="58" t="s">
        <v>94</v>
      </c>
      <c r="K1037" s="58" t="s">
        <v>29</v>
      </c>
      <c r="L1037" s="58" t="s">
        <v>94</v>
      </c>
      <c r="M1037" s="58" t="s">
        <v>94</v>
      </c>
      <c r="N1037" s="61" t="s">
        <v>3675</v>
      </c>
      <c r="O1037" s="58" t="s">
        <v>3676</v>
      </c>
      <c r="P1037" s="58" t="s">
        <v>1447</v>
      </c>
      <c r="Q1037" s="63" t="str">
        <f>IF(V1037&lt;&gt;"","Completed","")</f>
        <v/>
      </c>
      <c r="R1037" s="304" t="s">
        <v>3585</v>
      </c>
      <c r="S1037" s="304"/>
      <c r="V1037" s="256"/>
      <c r="AA1037" s="252"/>
    </row>
    <row r="1038" spans="1:30">
      <c r="A1038" s="75" t="s">
        <v>1415</v>
      </c>
      <c r="B1038" s="59"/>
      <c r="C1038" s="57">
        <v>42709</v>
      </c>
      <c r="D1038" s="65">
        <v>3035000</v>
      </c>
      <c r="E1038" s="65" t="s">
        <v>29</v>
      </c>
      <c r="F1038" s="65" t="s">
        <v>94</v>
      </c>
      <c r="G1038" s="58" t="s">
        <v>1443</v>
      </c>
      <c r="H1038" s="58" t="s">
        <v>1444</v>
      </c>
      <c r="I1038" s="60">
        <v>290</v>
      </c>
      <c r="J1038" s="58" t="s">
        <v>94</v>
      </c>
      <c r="K1038" s="58" t="s">
        <v>29</v>
      </c>
      <c r="L1038" s="58" t="s">
        <v>94</v>
      </c>
      <c r="M1038" s="58" t="s">
        <v>94</v>
      </c>
      <c r="N1038" s="400" t="s">
        <v>3677</v>
      </c>
      <c r="O1038" s="58" t="s">
        <v>3678</v>
      </c>
      <c r="P1038" s="58" t="s">
        <v>1447</v>
      </c>
      <c r="Q1038" s="63" t="str">
        <f>IF(V1038&lt;&gt;"","Completed","")</f>
        <v/>
      </c>
      <c r="R1038" s="304" t="s">
        <v>3585</v>
      </c>
      <c r="S1038" s="304"/>
      <c r="V1038" s="256"/>
      <c r="AA1038" s="252"/>
    </row>
    <row r="1039" spans="1:30">
      <c r="A1039" s="75" t="s">
        <v>1415</v>
      </c>
      <c r="B1039" s="59"/>
      <c r="C1039" s="57">
        <v>42709</v>
      </c>
      <c r="D1039" s="65">
        <v>3035000</v>
      </c>
      <c r="E1039" s="65" t="s">
        <v>29</v>
      </c>
      <c r="F1039" s="65" t="s">
        <v>94</v>
      </c>
      <c r="G1039" s="58" t="s">
        <v>1443</v>
      </c>
      <c r="H1039" s="58" t="s">
        <v>1444</v>
      </c>
      <c r="I1039" s="60">
        <v>196</v>
      </c>
      <c r="J1039" s="58" t="s">
        <v>94</v>
      </c>
      <c r="K1039" s="58" t="s">
        <v>29</v>
      </c>
      <c r="L1039" s="58" t="s">
        <v>94</v>
      </c>
      <c r="M1039" s="58" t="s">
        <v>94</v>
      </c>
      <c r="N1039" s="61" t="s">
        <v>3679</v>
      </c>
      <c r="O1039" s="58" t="s">
        <v>3680</v>
      </c>
      <c r="P1039" s="58" t="s">
        <v>1447</v>
      </c>
      <c r="Q1039" s="63" t="str">
        <f>IF(V1039&lt;&gt;"","Completed","")</f>
        <v/>
      </c>
      <c r="R1039" s="304" t="s">
        <v>3585</v>
      </c>
      <c r="S1039" s="304"/>
      <c r="V1039" s="256"/>
      <c r="AA1039" s="252"/>
    </row>
    <row r="1040" spans="1:30">
      <c r="A1040" s="75" t="s">
        <v>1415</v>
      </c>
      <c r="B1040" s="59"/>
      <c r="C1040" s="57">
        <v>42723</v>
      </c>
      <c r="D1040" s="65">
        <v>3035000</v>
      </c>
      <c r="E1040" s="65" t="s">
        <v>29</v>
      </c>
      <c r="F1040" s="65" t="s">
        <v>94</v>
      </c>
      <c r="G1040" s="58"/>
      <c r="H1040" s="58"/>
      <c r="I1040" s="60"/>
      <c r="J1040" s="58"/>
      <c r="K1040" s="58"/>
      <c r="L1040" s="58"/>
      <c r="M1040" s="58"/>
      <c r="N1040" s="251" t="s">
        <v>3681</v>
      </c>
      <c r="O1040" s="66" t="s">
        <v>3682</v>
      </c>
      <c r="P1040" s="58"/>
      <c r="Q1040" s="63" t="s">
        <v>1459</v>
      </c>
      <c r="R1040" s="64" t="s">
        <v>3608</v>
      </c>
      <c r="V1040" s="256"/>
      <c r="W1040" s="74">
        <v>16</v>
      </c>
      <c r="X1040" s="65">
        <v>32</v>
      </c>
      <c r="AA1040" s="252"/>
      <c r="AD1040" s="257" t="s">
        <v>3609</v>
      </c>
    </row>
    <row r="1041" spans="1:30">
      <c r="A1041" s="75" t="s">
        <v>1415</v>
      </c>
      <c r="B1041" s="59"/>
      <c r="C1041" s="57">
        <v>42709</v>
      </c>
      <c r="D1041" s="65">
        <v>3035000</v>
      </c>
      <c r="E1041" s="65" t="s">
        <v>29</v>
      </c>
      <c r="F1041" s="65" t="s">
        <v>94</v>
      </c>
      <c r="G1041" s="58" t="s">
        <v>1443</v>
      </c>
      <c r="H1041" s="58" t="s">
        <v>1444</v>
      </c>
      <c r="I1041" s="60">
        <v>119</v>
      </c>
      <c r="J1041" s="58" t="s">
        <v>94</v>
      </c>
      <c r="K1041" s="58" t="s">
        <v>29</v>
      </c>
      <c r="L1041" s="58" t="s">
        <v>94</v>
      </c>
      <c r="M1041" s="58" t="s">
        <v>94</v>
      </c>
      <c r="N1041" s="61" t="s">
        <v>3683</v>
      </c>
      <c r="O1041" s="58" t="s">
        <v>3684</v>
      </c>
      <c r="P1041" s="58" t="s">
        <v>1447</v>
      </c>
      <c r="Q1041" s="63" t="str">
        <f>IF(V1041&lt;&gt;"","Completed","")</f>
        <v/>
      </c>
      <c r="R1041" s="304" t="s">
        <v>3585</v>
      </c>
      <c r="S1041" s="304"/>
      <c r="V1041" s="256"/>
      <c r="AA1041" s="252"/>
    </row>
    <row r="1042" spans="1:30">
      <c r="A1042" s="75" t="s">
        <v>1415</v>
      </c>
      <c r="B1042" s="59"/>
      <c r="C1042" s="57">
        <v>42723</v>
      </c>
      <c r="D1042" s="65">
        <v>3035000</v>
      </c>
      <c r="E1042" s="65" t="s">
        <v>29</v>
      </c>
      <c r="F1042" s="65" t="s">
        <v>94</v>
      </c>
      <c r="G1042" s="58"/>
      <c r="H1042" s="58"/>
      <c r="I1042" s="60"/>
      <c r="J1042" s="58"/>
      <c r="K1042" s="58"/>
      <c r="L1042" s="58"/>
      <c r="M1042" s="58"/>
      <c r="N1042" s="251" t="s">
        <v>3685</v>
      </c>
      <c r="O1042" s="66" t="s">
        <v>3686</v>
      </c>
      <c r="P1042" s="58"/>
      <c r="Q1042" s="63" t="s">
        <v>1459</v>
      </c>
      <c r="R1042" s="64" t="s">
        <v>3608</v>
      </c>
      <c r="V1042" s="256"/>
      <c r="W1042" s="74">
        <v>9</v>
      </c>
      <c r="X1042" s="65">
        <v>18</v>
      </c>
      <c r="AA1042" s="252"/>
      <c r="AD1042" s="257" t="s">
        <v>3609</v>
      </c>
    </row>
    <row r="1043" spans="1:30">
      <c r="A1043" s="75" t="s">
        <v>1415</v>
      </c>
      <c r="B1043" s="59"/>
      <c r="C1043" s="57">
        <v>42709</v>
      </c>
      <c r="D1043" s="65">
        <v>3035000</v>
      </c>
      <c r="E1043" s="65" t="s">
        <v>29</v>
      </c>
      <c r="F1043" s="65" t="s">
        <v>94</v>
      </c>
      <c r="G1043" s="58" t="s">
        <v>1443</v>
      </c>
      <c r="H1043" s="58" t="s">
        <v>1444</v>
      </c>
      <c r="I1043" s="60">
        <v>120</v>
      </c>
      <c r="J1043" s="58" t="s">
        <v>94</v>
      </c>
      <c r="K1043" s="58" t="s">
        <v>29</v>
      </c>
      <c r="L1043" s="58" t="s">
        <v>94</v>
      </c>
      <c r="M1043" s="58" t="s">
        <v>94</v>
      </c>
      <c r="N1043" s="61" t="s">
        <v>3687</v>
      </c>
      <c r="O1043" s="58" t="s">
        <v>3688</v>
      </c>
      <c r="P1043" s="58" t="s">
        <v>1447</v>
      </c>
      <c r="Q1043" s="63" t="str">
        <f>IF(V1043&lt;&gt;"","Completed","")</f>
        <v/>
      </c>
      <c r="R1043" s="304" t="s">
        <v>3585</v>
      </c>
      <c r="S1043" s="304"/>
      <c r="V1043" s="256"/>
      <c r="AA1043" s="252"/>
      <c r="AB1043" s="74"/>
    </row>
    <row r="1044" spans="1:30">
      <c r="A1044" s="75" t="s">
        <v>1415</v>
      </c>
      <c r="B1044" s="59"/>
      <c r="C1044" s="57">
        <v>42709</v>
      </c>
      <c r="D1044" s="65">
        <v>3035000</v>
      </c>
      <c r="E1044" s="65" t="s">
        <v>29</v>
      </c>
      <c r="F1044" s="65" t="s">
        <v>94</v>
      </c>
      <c r="G1044" s="58" t="s">
        <v>1443</v>
      </c>
      <c r="H1044" s="58" t="s">
        <v>1444</v>
      </c>
      <c r="I1044" s="60">
        <v>132</v>
      </c>
      <c r="J1044" s="58" t="s">
        <v>94</v>
      </c>
      <c r="K1044" s="58" t="s">
        <v>29</v>
      </c>
      <c r="L1044" s="58" t="s">
        <v>94</v>
      </c>
      <c r="M1044" s="58" t="s">
        <v>94</v>
      </c>
      <c r="N1044" s="61" t="s">
        <v>3689</v>
      </c>
      <c r="O1044" s="58" t="s">
        <v>3690</v>
      </c>
      <c r="P1044" s="58" t="s">
        <v>1447</v>
      </c>
      <c r="Q1044" s="63" t="str">
        <f>IF(V1044&lt;&gt;"","Completed","")</f>
        <v/>
      </c>
      <c r="R1044" s="304" t="s">
        <v>3585</v>
      </c>
      <c r="S1044" s="304"/>
      <c r="V1044" s="256"/>
      <c r="AA1044" s="252"/>
    </row>
    <row r="1045" spans="1:30">
      <c r="A1045" s="75" t="s">
        <v>1415</v>
      </c>
      <c r="B1045" s="59"/>
      <c r="C1045" s="57">
        <v>42709</v>
      </c>
      <c r="D1045" s="65">
        <v>3035000</v>
      </c>
      <c r="E1045" s="65" t="s">
        <v>29</v>
      </c>
      <c r="F1045" s="65" t="s">
        <v>94</v>
      </c>
      <c r="G1045" s="58" t="s">
        <v>1443</v>
      </c>
      <c r="H1045" s="58" t="s">
        <v>1444</v>
      </c>
      <c r="I1045" s="60">
        <v>276</v>
      </c>
      <c r="J1045" s="58" t="s">
        <v>94</v>
      </c>
      <c r="K1045" s="58" t="s">
        <v>29</v>
      </c>
      <c r="L1045" s="58" t="s">
        <v>94</v>
      </c>
      <c r="M1045" s="58" t="s">
        <v>94</v>
      </c>
      <c r="N1045" s="61" t="s">
        <v>3691</v>
      </c>
      <c r="O1045" s="58" t="s">
        <v>3692</v>
      </c>
      <c r="P1045" s="58" t="s">
        <v>1447</v>
      </c>
      <c r="Q1045" s="63" t="str">
        <f>IF(V1045&lt;&gt;"","Completed","")</f>
        <v/>
      </c>
      <c r="R1045" s="304" t="s">
        <v>3585</v>
      </c>
      <c r="S1045" s="304"/>
      <c r="V1045" s="256"/>
      <c r="AA1045" s="252"/>
    </row>
    <row r="1046" spans="1:30">
      <c r="A1046" s="75" t="s">
        <v>1415</v>
      </c>
      <c r="B1046" s="59"/>
      <c r="C1046" s="57">
        <v>42709</v>
      </c>
      <c r="D1046" s="65">
        <v>3035000</v>
      </c>
      <c r="E1046" s="65" t="s">
        <v>29</v>
      </c>
      <c r="F1046" s="65" t="s">
        <v>94</v>
      </c>
      <c r="G1046" s="58" t="s">
        <v>1443</v>
      </c>
      <c r="H1046" s="58" t="s">
        <v>1444</v>
      </c>
      <c r="I1046" s="60">
        <v>457</v>
      </c>
      <c r="J1046" s="58" t="s">
        <v>94</v>
      </c>
      <c r="K1046" s="58" t="s">
        <v>29</v>
      </c>
      <c r="L1046" s="58" t="s">
        <v>94</v>
      </c>
      <c r="M1046" s="58" t="s">
        <v>94</v>
      </c>
      <c r="N1046" s="61" t="s">
        <v>3693</v>
      </c>
      <c r="O1046" s="58" t="s">
        <v>3694</v>
      </c>
      <c r="P1046" s="58" t="s">
        <v>1447</v>
      </c>
      <c r="Q1046" s="63" t="str">
        <f>IF(V1046&lt;&gt;"","Completed","")</f>
        <v/>
      </c>
      <c r="R1046" s="304" t="s">
        <v>3585</v>
      </c>
      <c r="S1046" s="304"/>
      <c r="V1046" s="256"/>
      <c r="AA1046" s="252"/>
      <c r="AB1046" s="74"/>
    </row>
    <row r="1047" spans="1:30">
      <c r="A1047" s="75" t="s">
        <v>1415</v>
      </c>
      <c r="B1047" s="59"/>
      <c r="C1047" s="57">
        <v>42723</v>
      </c>
      <c r="D1047" s="65">
        <v>3035000</v>
      </c>
      <c r="E1047" s="65" t="s">
        <v>29</v>
      </c>
      <c r="F1047" s="65" t="s">
        <v>94</v>
      </c>
      <c r="G1047" s="58"/>
      <c r="H1047" s="58"/>
      <c r="I1047" s="60"/>
      <c r="J1047" s="58"/>
      <c r="K1047" s="58"/>
      <c r="L1047" s="58"/>
      <c r="M1047" s="58"/>
      <c r="N1047" s="251" t="s">
        <v>3695</v>
      </c>
      <c r="O1047" s="66" t="s">
        <v>3696</v>
      </c>
      <c r="P1047" s="58"/>
      <c r="Q1047" s="63" t="s">
        <v>1459</v>
      </c>
      <c r="R1047" s="64" t="s">
        <v>3608</v>
      </c>
      <c r="V1047" s="256"/>
      <c r="W1047" s="74">
        <v>13</v>
      </c>
      <c r="X1047" s="65">
        <v>26</v>
      </c>
      <c r="AA1047" s="252"/>
      <c r="AB1047" s="74"/>
      <c r="AD1047" s="257" t="s">
        <v>3609</v>
      </c>
    </row>
    <row r="1048" spans="1:30">
      <c r="A1048" s="75" t="s">
        <v>1415</v>
      </c>
      <c r="B1048" s="59"/>
      <c r="C1048" s="57">
        <v>42709</v>
      </c>
      <c r="D1048" s="65">
        <v>3035000</v>
      </c>
      <c r="E1048" s="65" t="s">
        <v>29</v>
      </c>
      <c r="F1048" s="65" t="s">
        <v>94</v>
      </c>
      <c r="G1048" s="58" t="s">
        <v>1443</v>
      </c>
      <c r="H1048" s="58" t="s">
        <v>1444</v>
      </c>
      <c r="I1048" s="60">
        <v>234</v>
      </c>
      <c r="J1048" s="58" t="s">
        <v>94</v>
      </c>
      <c r="K1048" s="58" t="s">
        <v>29</v>
      </c>
      <c r="L1048" s="58" t="s">
        <v>94</v>
      </c>
      <c r="M1048" s="58" t="s">
        <v>94</v>
      </c>
      <c r="N1048" s="61" t="s">
        <v>3697</v>
      </c>
      <c r="O1048" s="58" t="s">
        <v>3698</v>
      </c>
      <c r="P1048" s="58" t="s">
        <v>1447</v>
      </c>
      <c r="Q1048" s="63" t="str">
        <f>IF(V1048&lt;&gt;"","Completed","")</f>
        <v/>
      </c>
      <c r="R1048" s="266" t="s">
        <v>3585</v>
      </c>
      <c r="S1048" s="266"/>
      <c r="V1048" s="256"/>
      <c r="AA1048" s="252"/>
      <c r="AB1048" s="74"/>
    </row>
    <row r="1049" spans="1:30">
      <c r="A1049" s="75" t="s">
        <v>1415</v>
      </c>
      <c r="B1049" s="59"/>
      <c r="C1049" s="57">
        <v>42709</v>
      </c>
      <c r="D1049" s="65">
        <v>3035000</v>
      </c>
      <c r="E1049" s="65" t="s">
        <v>29</v>
      </c>
      <c r="F1049" s="65" t="s">
        <v>94</v>
      </c>
      <c r="G1049" s="58" t="s">
        <v>1443</v>
      </c>
      <c r="H1049" s="58" t="s">
        <v>1444</v>
      </c>
      <c r="I1049" s="60">
        <v>394</v>
      </c>
      <c r="J1049" s="58" t="s">
        <v>94</v>
      </c>
      <c r="K1049" s="58" t="s">
        <v>29</v>
      </c>
      <c r="L1049" s="58" t="s">
        <v>94</v>
      </c>
      <c r="M1049" s="58" t="s">
        <v>94</v>
      </c>
      <c r="N1049" s="61" t="s">
        <v>3699</v>
      </c>
      <c r="O1049" s="58" t="s">
        <v>3700</v>
      </c>
      <c r="P1049" s="58" t="s">
        <v>1447</v>
      </c>
      <c r="Q1049" s="63" t="str">
        <f>IF(V1049&lt;&gt;"","Completed","")</f>
        <v/>
      </c>
      <c r="R1049" s="266" t="s">
        <v>3585</v>
      </c>
      <c r="S1049" s="266"/>
      <c r="V1049" s="256"/>
      <c r="AA1049" s="252"/>
      <c r="AB1049" s="74"/>
    </row>
    <row r="1050" spans="1:30">
      <c r="A1050" s="75" t="s">
        <v>1415</v>
      </c>
      <c r="B1050" s="59"/>
      <c r="C1050" s="57">
        <v>42709</v>
      </c>
      <c r="D1050" s="65">
        <v>3035000</v>
      </c>
      <c r="E1050" s="65" t="s">
        <v>29</v>
      </c>
      <c r="F1050" s="65" t="s">
        <v>94</v>
      </c>
      <c r="G1050" s="58" t="s">
        <v>1443</v>
      </c>
      <c r="H1050" s="58" t="s">
        <v>1444</v>
      </c>
      <c r="I1050" s="60">
        <v>65</v>
      </c>
      <c r="J1050" s="58" t="s">
        <v>94</v>
      </c>
      <c r="K1050" s="58" t="s">
        <v>29</v>
      </c>
      <c r="L1050" s="58" t="s">
        <v>94</v>
      </c>
      <c r="M1050" s="58" t="s">
        <v>94</v>
      </c>
      <c r="N1050" s="61" t="s">
        <v>3701</v>
      </c>
      <c r="O1050" s="58" t="s">
        <v>3702</v>
      </c>
      <c r="P1050" s="58" t="s">
        <v>1447</v>
      </c>
      <c r="Q1050" s="63" t="str">
        <f>IF(V1050&lt;&gt;"","Completed","")</f>
        <v/>
      </c>
      <c r="R1050" s="266" t="s">
        <v>3585</v>
      </c>
      <c r="S1050" s="266"/>
      <c r="V1050" s="256"/>
      <c r="AA1050" s="252"/>
      <c r="AB1050" s="74"/>
    </row>
    <row r="1051" spans="1:30">
      <c r="A1051" s="75" t="s">
        <v>1415</v>
      </c>
      <c r="B1051" s="59"/>
      <c r="C1051" s="57">
        <v>42709</v>
      </c>
      <c r="D1051" s="65">
        <v>3035000</v>
      </c>
      <c r="E1051" s="65" t="s">
        <v>29</v>
      </c>
      <c r="F1051" s="65" t="s">
        <v>94</v>
      </c>
      <c r="G1051" s="58" t="s">
        <v>1443</v>
      </c>
      <c r="H1051" s="58" t="s">
        <v>1444</v>
      </c>
      <c r="I1051" s="60">
        <v>241</v>
      </c>
      <c r="J1051" s="58" t="s">
        <v>94</v>
      </c>
      <c r="K1051" s="58" t="s">
        <v>29</v>
      </c>
      <c r="L1051" s="58" t="s">
        <v>94</v>
      </c>
      <c r="M1051" s="58" t="s">
        <v>94</v>
      </c>
      <c r="N1051" s="61" t="s">
        <v>3703</v>
      </c>
      <c r="O1051" s="58" t="s">
        <v>3704</v>
      </c>
      <c r="P1051" s="58" t="s">
        <v>1447</v>
      </c>
      <c r="Q1051" s="63" t="str">
        <f>IF(V1051&lt;&gt;"","Completed","")</f>
        <v/>
      </c>
      <c r="R1051" s="266" t="s">
        <v>3585</v>
      </c>
      <c r="S1051" s="266"/>
      <c r="V1051" s="256"/>
      <c r="AA1051" s="252"/>
      <c r="AB1051" s="74"/>
    </row>
    <row r="1052" spans="1:30">
      <c r="A1052" s="75" t="s">
        <v>1415</v>
      </c>
      <c r="B1052" s="59"/>
      <c r="C1052" s="57">
        <v>42709</v>
      </c>
      <c r="D1052" s="65">
        <v>3035000</v>
      </c>
      <c r="E1052" s="65" t="s">
        <v>29</v>
      </c>
      <c r="F1052" s="65" t="s">
        <v>94</v>
      </c>
      <c r="G1052" s="58" t="s">
        <v>1443</v>
      </c>
      <c r="H1052" s="58" t="s">
        <v>1444</v>
      </c>
      <c r="I1052" s="60">
        <v>223</v>
      </c>
      <c r="J1052" s="58" t="s">
        <v>94</v>
      </c>
      <c r="K1052" s="58" t="s">
        <v>29</v>
      </c>
      <c r="L1052" s="58" t="s">
        <v>94</v>
      </c>
      <c r="M1052" s="58" t="s">
        <v>94</v>
      </c>
      <c r="N1052" s="61" t="s">
        <v>3705</v>
      </c>
      <c r="O1052" s="58" t="s">
        <v>3706</v>
      </c>
      <c r="P1052" s="58" t="s">
        <v>1447</v>
      </c>
      <c r="Q1052" s="63" t="str">
        <f>IF(V1052&lt;&gt;"","Completed","")</f>
        <v/>
      </c>
      <c r="R1052" s="266" t="s">
        <v>3585</v>
      </c>
      <c r="S1052" s="266"/>
      <c r="V1052" s="256"/>
      <c r="AA1052" s="252"/>
      <c r="AB1052" s="74"/>
    </row>
    <row r="1053" spans="1:30">
      <c r="A1053" s="75" t="s">
        <v>1415</v>
      </c>
      <c r="B1053" s="59"/>
      <c r="C1053" s="57">
        <v>42709</v>
      </c>
      <c r="D1053" s="65">
        <v>3035000</v>
      </c>
      <c r="E1053" s="65" t="s">
        <v>29</v>
      </c>
      <c r="F1053" s="65" t="s">
        <v>94</v>
      </c>
      <c r="G1053" s="58" t="s">
        <v>1443</v>
      </c>
      <c r="H1053" s="58" t="s">
        <v>1444</v>
      </c>
      <c r="I1053" s="60">
        <v>492</v>
      </c>
      <c r="J1053" s="58" t="s">
        <v>94</v>
      </c>
      <c r="K1053" s="58" t="s">
        <v>29</v>
      </c>
      <c r="L1053" s="58" t="s">
        <v>94</v>
      </c>
      <c r="M1053" s="58" t="s">
        <v>94</v>
      </c>
      <c r="N1053" s="61" t="s">
        <v>3707</v>
      </c>
      <c r="O1053" s="58" t="s">
        <v>3708</v>
      </c>
      <c r="P1053" s="58" t="s">
        <v>1447</v>
      </c>
      <c r="Q1053" s="63" t="str">
        <f>IF(V1053&lt;&gt;"","Completed","")</f>
        <v/>
      </c>
      <c r="R1053" s="266" t="s">
        <v>3585</v>
      </c>
      <c r="S1053" s="266"/>
      <c r="V1053" s="256"/>
      <c r="AA1053" s="252"/>
      <c r="AB1053" s="74"/>
    </row>
    <row r="1054" spans="1:30">
      <c r="A1054" s="75" t="s">
        <v>1415</v>
      </c>
      <c r="B1054" s="59"/>
      <c r="C1054" s="57">
        <v>42709</v>
      </c>
      <c r="D1054" s="65">
        <v>3035000</v>
      </c>
      <c r="E1054" s="65" t="s">
        <v>29</v>
      </c>
      <c r="F1054" s="65" t="s">
        <v>94</v>
      </c>
      <c r="G1054" s="58" t="s">
        <v>1443</v>
      </c>
      <c r="H1054" s="58" t="s">
        <v>1444</v>
      </c>
      <c r="I1054" s="60">
        <v>121</v>
      </c>
      <c r="J1054" s="58" t="s">
        <v>94</v>
      </c>
      <c r="K1054" s="58" t="s">
        <v>29</v>
      </c>
      <c r="L1054" s="58" t="s">
        <v>94</v>
      </c>
      <c r="M1054" s="58" t="s">
        <v>94</v>
      </c>
      <c r="N1054" s="61" t="s">
        <v>3709</v>
      </c>
      <c r="O1054" s="58" t="s">
        <v>3710</v>
      </c>
      <c r="P1054" s="58" t="s">
        <v>1447</v>
      </c>
      <c r="Q1054" s="63" t="str">
        <f>IF(V1054&lt;&gt;"","Completed","")</f>
        <v/>
      </c>
      <c r="R1054" s="266" t="s">
        <v>3585</v>
      </c>
      <c r="S1054" s="266"/>
      <c r="V1054" s="256"/>
      <c r="AA1054" s="252"/>
      <c r="AB1054" s="74"/>
    </row>
    <row r="1055" spans="1:30">
      <c r="A1055" s="75" t="s">
        <v>1415</v>
      </c>
      <c r="B1055" s="59"/>
      <c r="C1055" s="57">
        <v>42709</v>
      </c>
      <c r="D1055" s="65">
        <v>3035000</v>
      </c>
      <c r="E1055" s="65" t="s">
        <v>29</v>
      </c>
      <c r="F1055" s="65" t="s">
        <v>94</v>
      </c>
      <c r="G1055" s="58" t="s">
        <v>1443</v>
      </c>
      <c r="H1055" s="58" t="s">
        <v>1444</v>
      </c>
      <c r="I1055" s="60">
        <v>210</v>
      </c>
      <c r="J1055" s="58" t="s">
        <v>94</v>
      </c>
      <c r="K1055" s="58" t="s">
        <v>29</v>
      </c>
      <c r="L1055" s="58" t="s">
        <v>94</v>
      </c>
      <c r="M1055" s="58" t="s">
        <v>94</v>
      </c>
      <c r="N1055" s="61" t="s">
        <v>3711</v>
      </c>
      <c r="O1055" s="58" t="s">
        <v>3712</v>
      </c>
      <c r="P1055" s="58" t="s">
        <v>1447</v>
      </c>
      <c r="Q1055" s="63" t="str">
        <f>IF(V1055&lt;&gt;"","Completed","")</f>
        <v/>
      </c>
      <c r="R1055" s="266" t="s">
        <v>3585</v>
      </c>
      <c r="S1055" s="266"/>
      <c r="V1055" s="256"/>
      <c r="AA1055" s="252"/>
      <c r="AB1055" s="74"/>
    </row>
    <row r="1056" spans="1:30">
      <c r="A1056" s="75" t="s">
        <v>1415</v>
      </c>
      <c r="B1056" s="59"/>
      <c r="C1056" s="57">
        <v>42709</v>
      </c>
      <c r="D1056" s="65">
        <v>3035000</v>
      </c>
      <c r="E1056" s="65" t="s">
        <v>29</v>
      </c>
      <c r="F1056" s="65" t="s">
        <v>94</v>
      </c>
      <c r="G1056" s="58" t="s">
        <v>1443</v>
      </c>
      <c r="H1056" s="58" t="s">
        <v>1444</v>
      </c>
      <c r="I1056" s="60">
        <v>248</v>
      </c>
      <c r="J1056" s="58" t="s">
        <v>94</v>
      </c>
      <c r="K1056" s="58" t="s">
        <v>29</v>
      </c>
      <c r="L1056" s="58" t="s">
        <v>94</v>
      </c>
      <c r="M1056" s="58" t="s">
        <v>94</v>
      </c>
      <c r="N1056" s="61" t="s">
        <v>3713</v>
      </c>
      <c r="O1056" s="58" t="s">
        <v>3714</v>
      </c>
      <c r="P1056" s="58" t="s">
        <v>1447</v>
      </c>
      <c r="Q1056" s="63" t="str">
        <f>IF(V1056&lt;&gt;"","Completed","")</f>
        <v/>
      </c>
      <c r="R1056" s="266" t="s">
        <v>3585</v>
      </c>
      <c r="S1056" s="266"/>
      <c r="V1056" s="256"/>
      <c r="AA1056" s="252"/>
      <c r="AB1056" s="74"/>
    </row>
    <row r="1057" spans="1:30">
      <c r="A1057" s="75" t="s">
        <v>1415</v>
      </c>
      <c r="B1057" s="59"/>
      <c r="C1057" s="57">
        <v>42709</v>
      </c>
      <c r="D1057" s="65">
        <v>3035000</v>
      </c>
      <c r="E1057" s="65" t="s">
        <v>29</v>
      </c>
      <c r="F1057" s="65" t="s">
        <v>94</v>
      </c>
      <c r="G1057" s="58" t="s">
        <v>1443</v>
      </c>
      <c r="H1057" s="58" t="s">
        <v>1444</v>
      </c>
      <c r="I1057" s="60">
        <v>103</v>
      </c>
      <c r="J1057" s="58" t="s">
        <v>94</v>
      </c>
      <c r="K1057" s="58" t="s">
        <v>29</v>
      </c>
      <c r="L1057" s="58" t="s">
        <v>94</v>
      </c>
      <c r="M1057" s="58" t="s">
        <v>94</v>
      </c>
      <c r="N1057" s="61" t="s">
        <v>3715</v>
      </c>
      <c r="O1057" s="58" t="s">
        <v>3716</v>
      </c>
      <c r="P1057" s="58" t="s">
        <v>1447</v>
      </c>
      <c r="Q1057" s="63" t="str">
        <f>IF(V1057&lt;&gt;"","Completed","")</f>
        <v/>
      </c>
      <c r="R1057" s="266" t="s">
        <v>3585</v>
      </c>
      <c r="S1057" s="266"/>
      <c r="V1057" s="256"/>
      <c r="AA1057" s="252"/>
      <c r="AB1057" s="74"/>
    </row>
    <row r="1058" spans="1:30">
      <c r="A1058" s="75" t="s">
        <v>1415</v>
      </c>
      <c r="B1058" s="59"/>
      <c r="C1058" s="57">
        <v>42709</v>
      </c>
      <c r="D1058" s="65">
        <v>3035000</v>
      </c>
      <c r="E1058" s="65" t="s">
        <v>29</v>
      </c>
      <c r="F1058" s="65" t="s">
        <v>94</v>
      </c>
      <c r="G1058" s="58" t="s">
        <v>1443</v>
      </c>
      <c r="H1058" s="58" t="s">
        <v>1444</v>
      </c>
      <c r="I1058" s="60">
        <v>258</v>
      </c>
      <c r="J1058" s="58" t="s">
        <v>94</v>
      </c>
      <c r="K1058" s="58" t="s">
        <v>29</v>
      </c>
      <c r="L1058" s="58" t="s">
        <v>94</v>
      </c>
      <c r="M1058" s="58" t="s">
        <v>94</v>
      </c>
      <c r="N1058" s="61" t="s">
        <v>3717</v>
      </c>
      <c r="O1058" s="58" t="s">
        <v>3718</v>
      </c>
      <c r="P1058" s="58" t="s">
        <v>1447</v>
      </c>
      <c r="Q1058" s="63" t="str">
        <f>IF(V1058&lt;&gt;"","Completed","")</f>
        <v/>
      </c>
      <c r="R1058" s="266" t="s">
        <v>3585</v>
      </c>
      <c r="S1058" s="266"/>
      <c r="V1058" s="256"/>
      <c r="AA1058" s="252"/>
      <c r="AB1058" s="74"/>
    </row>
    <row r="1059" spans="1:30">
      <c r="A1059" s="75" t="s">
        <v>1415</v>
      </c>
      <c r="B1059" s="59"/>
      <c r="C1059" s="57">
        <v>42723</v>
      </c>
      <c r="D1059" s="65">
        <v>3035000</v>
      </c>
      <c r="E1059" s="65" t="s">
        <v>29</v>
      </c>
      <c r="F1059" s="65" t="s">
        <v>94</v>
      </c>
      <c r="G1059" s="58"/>
      <c r="H1059" s="58"/>
      <c r="I1059" s="60"/>
      <c r="J1059" s="58"/>
      <c r="K1059" s="58"/>
      <c r="L1059" s="58"/>
      <c r="M1059" s="58"/>
      <c r="N1059" s="251" t="s">
        <v>3046</v>
      </c>
      <c r="O1059" s="66" t="s">
        <v>3719</v>
      </c>
      <c r="P1059" s="58"/>
      <c r="Q1059" s="63" t="s">
        <v>1459</v>
      </c>
      <c r="R1059" s="64" t="s">
        <v>3608</v>
      </c>
      <c r="V1059" s="256"/>
      <c r="W1059" s="74">
        <v>15</v>
      </c>
      <c r="X1059" s="65">
        <v>30</v>
      </c>
      <c r="AA1059" s="252"/>
      <c r="AB1059" s="74"/>
      <c r="AD1059" s="257" t="s">
        <v>3609</v>
      </c>
    </row>
    <row r="1060" spans="1:30">
      <c r="A1060" s="75" t="s">
        <v>1415</v>
      </c>
      <c r="B1060" s="59"/>
      <c r="C1060" s="57">
        <v>42709</v>
      </c>
      <c r="D1060" s="65">
        <v>3035000</v>
      </c>
      <c r="E1060" s="65" t="s">
        <v>29</v>
      </c>
      <c r="F1060" s="65" t="s">
        <v>94</v>
      </c>
      <c r="G1060" s="58" t="s">
        <v>1443</v>
      </c>
      <c r="H1060" s="58" t="s">
        <v>1444</v>
      </c>
      <c r="I1060" s="60">
        <v>337</v>
      </c>
      <c r="J1060" s="58" t="s">
        <v>94</v>
      </c>
      <c r="K1060" s="58" t="s">
        <v>29</v>
      </c>
      <c r="L1060" s="58" t="s">
        <v>94</v>
      </c>
      <c r="M1060" s="58" t="s">
        <v>94</v>
      </c>
      <c r="N1060" s="61" t="s">
        <v>3720</v>
      </c>
      <c r="O1060" s="58" t="s">
        <v>3721</v>
      </c>
      <c r="P1060" s="58" t="s">
        <v>1447</v>
      </c>
      <c r="Q1060" s="63" t="str">
        <f>IF(V1060&lt;&gt;"","Completed","")</f>
        <v/>
      </c>
      <c r="R1060" s="266" t="s">
        <v>3585</v>
      </c>
      <c r="S1060" s="266"/>
      <c r="V1060" s="256"/>
      <c r="AA1060" s="252"/>
      <c r="AB1060" s="74"/>
    </row>
    <row r="1061" spans="1:30">
      <c r="A1061" s="75" t="s">
        <v>1415</v>
      </c>
      <c r="B1061" s="59"/>
      <c r="C1061" s="57">
        <v>42709</v>
      </c>
      <c r="D1061" s="65">
        <v>3035000</v>
      </c>
      <c r="E1061" s="65" t="s">
        <v>29</v>
      </c>
      <c r="F1061" s="65" t="s">
        <v>94</v>
      </c>
      <c r="G1061" s="58" t="s">
        <v>1443</v>
      </c>
      <c r="H1061" s="58" t="s">
        <v>1444</v>
      </c>
      <c r="I1061" s="60">
        <v>276</v>
      </c>
      <c r="J1061" s="58" t="s">
        <v>94</v>
      </c>
      <c r="K1061" s="58" t="s">
        <v>29</v>
      </c>
      <c r="L1061" s="58" t="s">
        <v>94</v>
      </c>
      <c r="M1061" s="58" t="s">
        <v>94</v>
      </c>
      <c r="N1061" s="61" t="s">
        <v>3722</v>
      </c>
      <c r="O1061" s="58" t="s">
        <v>3723</v>
      </c>
      <c r="P1061" s="58" t="s">
        <v>1447</v>
      </c>
      <c r="Q1061" s="63" t="str">
        <f>IF(V1061&lt;&gt;"","Completed","")</f>
        <v/>
      </c>
      <c r="R1061" s="266" t="s">
        <v>3585</v>
      </c>
      <c r="S1061" s="266"/>
      <c r="V1061" s="256"/>
      <c r="AA1061" s="252"/>
      <c r="AB1061" s="74"/>
    </row>
    <row r="1062" spans="1:30">
      <c r="A1062" s="75" t="s">
        <v>1415</v>
      </c>
      <c r="B1062" s="59"/>
      <c r="C1062" s="57">
        <v>42709</v>
      </c>
      <c r="D1062" s="65">
        <v>3035000</v>
      </c>
      <c r="E1062" s="65" t="s">
        <v>29</v>
      </c>
      <c r="F1062" s="65" t="s">
        <v>94</v>
      </c>
      <c r="G1062" s="58" t="s">
        <v>1443</v>
      </c>
      <c r="H1062" s="58" t="s">
        <v>1444</v>
      </c>
      <c r="I1062" s="60">
        <v>221</v>
      </c>
      <c r="J1062" s="58" t="s">
        <v>94</v>
      </c>
      <c r="K1062" s="58" t="s">
        <v>29</v>
      </c>
      <c r="L1062" s="58" t="s">
        <v>94</v>
      </c>
      <c r="M1062" s="58" t="s">
        <v>94</v>
      </c>
      <c r="N1062" s="61" t="s">
        <v>3724</v>
      </c>
      <c r="O1062" s="58" t="s">
        <v>3725</v>
      </c>
      <c r="P1062" s="58" t="s">
        <v>1447</v>
      </c>
      <c r="Q1062" s="63" t="str">
        <f>IF(V1062&lt;&gt;"","Completed","")</f>
        <v/>
      </c>
      <c r="R1062" s="266" t="s">
        <v>3585</v>
      </c>
      <c r="S1062" s="266"/>
      <c r="V1062" s="256"/>
      <c r="AA1062" s="252"/>
      <c r="AB1062" s="74"/>
    </row>
    <row r="1063" spans="1:30">
      <c r="A1063" s="75" t="s">
        <v>1415</v>
      </c>
      <c r="B1063" s="59"/>
      <c r="C1063" s="57">
        <v>42709</v>
      </c>
      <c r="D1063" s="65">
        <v>3035000</v>
      </c>
      <c r="E1063" s="65" t="s">
        <v>29</v>
      </c>
      <c r="F1063" s="65" t="s">
        <v>94</v>
      </c>
      <c r="G1063" s="58" t="s">
        <v>1443</v>
      </c>
      <c r="H1063" s="58" t="s">
        <v>1444</v>
      </c>
      <c r="I1063" s="60">
        <v>317</v>
      </c>
      <c r="J1063" s="58" t="s">
        <v>94</v>
      </c>
      <c r="K1063" s="58" t="s">
        <v>29</v>
      </c>
      <c r="L1063" s="58" t="s">
        <v>94</v>
      </c>
      <c r="M1063" s="58" t="s">
        <v>94</v>
      </c>
      <c r="N1063" s="61" t="s">
        <v>3726</v>
      </c>
      <c r="O1063" s="58" t="s">
        <v>3727</v>
      </c>
      <c r="P1063" s="58" t="s">
        <v>1447</v>
      </c>
      <c r="Q1063" s="63" t="str">
        <f>IF(V1063&lt;&gt;"","Completed","")</f>
        <v/>
      </c>
      <c r="R1063" s="266" t="s">
        <v>3585</v>
      </c>
      <c r="S1063" s="266"/>
      <c r="V1063" s="256"/>
      <c r="AA1063" s="252"/>
    </row>
    <row r="1064" spans="1:30">
      <c r="A1064" s="75" t="s">
        <v>1415</v>
      </c>
      <c r="B1064" s="59"/>
      <c r="C1064" s="57">
        <v>42709</v>
      </c>
      <c r="D1064" s="65">
        <v>3035000</v>
      </c>
      <c r="E1064" s="65" t="s">
        <v>29</v>
      </c>
      <c r="F1064" s="65" t="s">
        <v>94</v>
      </c>
      <c r="G1064" s="58" t="s">
        <v>1443</v>
      </c>
      <c r="H1064" s="58" t="s">
        <v>1444</v>
      </c>
      <c r="I1064" s="60">
        <v>72</v>
      </c>
      <c r="J1064" s="58" t="s">
        <v>94</v>
      </c>
      <c r="K1064" s="58" t="s">
        <v>29</v>
      </c>
      <c r="L1064" s="58" t="s">
        <v>94</v>
      </c>
      <c r="M1064" s="58" t="s">
        <v>94</v>
      </c>
      <c r="N1064" s="61" t="s">
        <v>3728</v>
      </c>
      <c r="O1064" s="58" t="s">
        <v>3729</v>
      </c>
      <c r="P1064" s="58" t="s">
        <v>1447</v>
      </c>
      <c r="Q1064" s="63" t="str">
        <f>IF(V1064&lt;&gt;"","Completed","")</f>
        <v/>
      </c>
      <c r="R1064" s="266" t="s">
        <v>3585</v>
      </c>
      <c r="S1064" s="266"/>
      <c r="V1064" s="256"/>
      <c r="AA1064" s="252"/>
    </row>
    <row r="1065" spans="1:30">
      <c r="A1065" s="75" t="s">
        <v>1415</v>
      </c>
      <c r="B1065" s="59"/>
      <c r="C1065" s="57">
        <v>42709</v>
      </c>
      <c r="D1065" s="65">
        <v>3035000</v>
      </c>
      <c r="E1065" s="65" t="s">
        <v>29</v>
      </c>
      <c r="F1065" s="65" t="s">
        <v>94</v>
      </c>
      <c r="G1065" s="58" t="s">
        <v>1443</v>
      </c>
      <c r="H1065" s="58" t="s">
        <v>1444</v>
      </c>
      <c r="I1065" s="60">
        <v>323</v>
      </c>
      <c r="J1065" s="58" t="s">
        <v>94</v>
      </c>
      <c r="K1065" s="58" t="s">
        <v>29</v>
      </c>
      <c r="L1065" s="58" t="s">
        <v>94</v>
      </c>
      <c r="M1065" s="58" t="s">
        <v>94</v>
      </c>
      <c r="N1065" s="61" t="s">
        <v>3730</v>
      </c>
      <c r="O1065" s="58" t="s">
        <v>3731</v>
      </c>
      <c r="P1065" s="58" t="s">
        <v>1447</v>
      </c>
      <c r="Q1065" s="63" t="str">
        <f>IF(V1065&lt;&gt;"","Completed","")</f>
        <v/>
      </c>
      <c r="R1065" s="266" t="s">
        <v>3585</v>
      </c>
      <c r="S1065" s="266"/>
      <c r="V1065" s="256"/>
      <c r="AA1065" s="252"/>
    </row>
    <row r="1066" spans="1:30">
      <c r="A1066" s="75" t="s">
        <v>1415</v>
      </c>
      <c r="B1066" s="59"/>
      <c r="C1066" s="57">
        <v>42709</v>
      </c>
      <c r="D1066" s="65">
        <v>3035000</v>
      </c>
      <c r="E1066" s="65" t="s">
        <v>29</v>
      </c>
      <c r="F1066" s="65" t="s">
        <v>94</v>
      </c>
      <c r="G1066" s="58" t="s">
        <v>1443</v>
      </c>
      <c r="H1066" s="58" t="s">
        <v>1449</v>
      </c>
      <c r="I1066" s="60">
        <v>230</v>
      </c>
      <c r="J1066" s="58" t="s">
        <v>94</v>
      </c>
      <c r="K1066" s="58" t="s">
        <v>29</v>
      </c>
      <c r="L1066" s="58" t="s">
        <v>94</v>
      </c>
      <c r="M1066" s="58" t="s">
        <v>94</v>
      </c>
      <c r="N1066" s="61" t="s">
        <v>3732</v>
      </c>
      <c r="O1066" s="58" t="s">
        <v>3733</v>
      </c>
      <c r="P1066" s="58" t="s">
        <v>1447</v>
      </c>
      <c r="Q1066" s="63" t="str">
        <f>IF(V1066&lt;&gt;"","Completed","")</f>
        <v/>
      </c>
      <c r="R1066" s="266" t="s">
        <v>3585</v>
      </c>
      <c r="S1066" s="266"/>
      <c r="V1066" s="256"/>
      <c r="AA1066" s="252"/>
    </row>
    <row r="1067" spans="1:30" ht="15" customHeight="1">
      <c r="A1067" s="75" t="s">
        <v>1415</v>
      </c>
      <c r="B1067" s="59"/>
      <c r="C1067" s="57">
        <v>42709</v>
      </c>
      <c r="D1067" s="65">
        <v>3035000</v>
      </c>
      <c r="E1067" s="65" t="s">
        <v>29</v>
      </c>
      <c r="F1067" s="65" t="s">
        <v>94</v>
      </c>
      <c r="G1067" s="58" t="s">
        <v>1443</v>
      </c>
      <c r="H1067" s="58" t="s">
        <v>1444</v>
      </c>
      <c r="I1067" s="60">
        <v>327</v>
      </c>
      <c r="J1067" s="58" t="s">
        <v>94</v>
      </c>
      <c r="K1067" s="58" t="s">
        <v>29</v>
      </c>
      <c r="L1067" s="58" t="s">
        <v>94</v>
      </c>
      <c r="M1067" s="58" t="s">
        <v>94</v>
      </c>
      <c r="N1067" s="61" t="s">
        <v>3734</v>
      </c>
      <c r="O1067" s="58" t="s">
        <v>3735</v>
      </c>
      <c r="P1067" s="58" t="s">
        <v>1447</v>
      </c>
      <c r="Q1067" s="63" t="str">
        <f>IF(V1067&lt;&gt;"","Completed","")</f>
        <v/>
      </c>
      <c r="R1067" s="266" t="s">
        <v>3585</v>
      </c>
      <c r="S1067" s="266"/>
      <c r="V1067" s="256"/>
      <c r="AA1067" s="252">
        <f>SUM(V990:V1067)</f>
        <v>0</v>
      </c>
    </row>
    <row r="1068" spans="1:30" ht="30" customHeight="1" thickBot="1">
      <c r="A1068" s="245"/>
      <c r="B1068" s="62"/>
      <c r="C1068" s="57"/>
      <c r="G1068" s="58"/>
      <c r="H1068" s="58"/>
      <c r="I1068" s="60"/>
      <c r="J1068" s="58"/>
      <c r="K1068" s="58"/>
      <c r="L1068" s="58"/>
      <c r="M1068" s="58"/>
      <c r="N1068" s="61"/>
      <c r="O1068" s="134"/>
      <c r="P1068" s="134"/>
      <c r="T1068" s="242"/>
      <c r="U1068" s="242"/>
      <c r="V1068" s="242"/>
      <c r="W1068" s="242"/>
      <c r="X1068" s="242"/>
      <c r="Y1068" s="347"/>
      <c r="Z1068" s="345"/>
      <c r="AB1068" s="151"/>
      <c r="AC1068" s="151"/>
    </row>
    <row r="1069" spans="1:30" ht="15" customHeight="1">
      <c r="A1069" s="126" t="s">
        <v>3736</v>
      </c>
      <c r="B1069" s="62"/>
      <c r="C1069" s="57"/>
      <c r="G1069" s="58"/>
      <c r="H1069" s="58"/>
      <c r="I1069" s="60"/>
      <c r="J1069" s="58"/>
      <c r="K1069" s="58"/>
      <c r="L1069" s="58"/>
      <c r="M1069" s="58"/>
      <c r="N1069" s="227"/>
      <c r="O1069" s="140" t="s">
        <v>3737</v>
      </c>
      <c r="P1069" s="141">
        <f>COUNTIF($T$2:$T$1067,"&lt;&gt;"&amp;"")</f>
        <v>817</v>
      </c>
      <c r="Q1069" s="123"/>
      <c r="T1069" s="242"/>
      <c r="U1069" s="242"/>
      <c r="V1069" s="242"/>
      <c r="W1069" s="242"/>
      <c r="X1069" s="242"/>
      <c r="Y1069" s="347"/>
      <c r="Z1069" s="345"/>
      <c r="AB1069" s="151"/>
      <c r="AC1069" s="151"/>
    </row>
    <row r="1070" spans="1:30">
      <c r="A1070" s="127" t="s">
        <v>1242</v>
      </c>
      <c r="N1070" s="121"/>
      <c r="O1070" s="138" t="s">
        <v>3738</v>
      </c>
      <c r="P1070" s="137">
        <f>COUNTIF($Y$2:$Y$1067,"&lt;&gt;"&amp;"Out of Program")</f>
        <v>894</v>
      </c>
      <c r="Q1070" s="123" t="s">
        <v>3739</v>
      </c>
      <c r="R1070" s="63"/>
      <c r="S1070" s="63"/>
      <c r="U1070" s="124"/>
      <c r="V1070" s="124"/>
      <c r="W1070" s="124"/>
      <c r="X1070" s="124"/>
      <c r="Y1070" s="124"/>
    </row>
    <row r="1071" spans="1:30">
      <c r="A1071" s="128" t="s">
        <v>3740</v>
      </c>
      <c r="N1071" s="121"/>
      <c r="O1071" s="136" t="s">
        <v>3741</v>
      </c>
      <c r="P1071" s="137">
        <f>COUNTIF($Y$2:$Y$1067,"Sampling completed")</f>
        <v>818</v>
      </c>
      <c r="Q1071" s="123"/>
      <c r="S1071" s="380"/>
      <c r="T1071" s="130"/>
      <c r="U1071" s="63"/>
      <c r="V1071" s="63"/>
      <c r="W1071" s="63"/>
      <c r="X1071" s="63"/>
      <c r="Y1071" s="63"/>
    </row>
    <row r="1072" spans="1:30" ht="15.75" thickBot="1">
      <c r="A1072" s="129" t="s">
        <v>3742</v>
      </c>
      <c r="N1072" s="121"/>
      <c r="O1072" s="138" t="s">
        <v>3743</v>
      </c>
      <c r="P1072" s="137">
        <f>COUNTIF($Z$2:$Z$1067,"&lt;&gt;"&amp;"")</f>
        <v>817</v>
      </c>
      <c r="Q1072" s="123"/>
      <c r="S1072" s="380"/>
      <c r="T1072" s="130"/>
      <c r="U1072" s="63"/>
      <c r="V1072" s="63"/>
      <c r="W1072" s="63"/>
      <c r="X1072" s="63"/>
      <c r="Y1072" s="63"/>
    </row>
    <row r="1073" spans="1:28">
      <c r="A1073" s="139"/>
      <c r="N1073" s="121"/>
      <c r="O1073" s="142" t="s">
        <v>3744</v>
      </c>
      <c r="P1073" s="143">
        <f>AVERAGE($V$2:$V$1067)</f>
        <v>68.944512946979032</v>
      </c>
      <c r="Q1073" s="123"/>
      <c r="S1073" s="380"/>
      <c r="T1073" s="130"/>
      <c r="U1073" s="63"/>
      <c r="V1073" s="63"/>
      <c r="W1073" s="63"/>
      <c r="X1073" s="63"/>
      <c r="Y1073" s="63"/>
    </row>
    <row r="1074" spans="1:28">
      <c r="A1074" s="139"/>
      <c r="N1074" s="121"/>
      <c r="O1074" s="142" t="s">
        <v>3745</v>
      </c>
      <c r="P1074" s="143">
        <f>MIN($V$2:$V$1067)</f>
        <v>2</v>
      </c>
      <c r="Q1074" s="123"/>
      <c r="S1074" s="380"/>
      <c r="T1074" s="130"/>
      <c r="U1074" s="63"/>
      <c r="V1074" s="63"/>
      <c r="W1074" s="63"/>
      <c r="X1074" s="63"/>
      <c r="Y1074" s="63"/>
    </row>
    <row r="1075" spans="1:28">
      <c r="A1075" s="139"/>
      <c r="N1075" s="121"/>
      <c r="O1075" s="142" t="s">
        <v>3746</v>
      </c>
      <c r="P1075" s="143">
        <f>MAX($V$2:$V$1067)</f>
        <v>431</v>
      </c>
      <c r="Q1075" s="123"/>
      <c r="S1075" s="380"/>
      <c r="T1075" s="130"/>
      <c r="U1075" s="63"/>
      <c r="V1075" s="63"/>
      <c r="W1075" s="63"/>
      <c r="X1075" s="63"/>
      <c r="Y1075" s="63"/>
    </row>
    <row r="1076" spans="1:28">
      <c r="A1076" s="139"/>
      <c r="N1076" s="121"/>
      <c r="O1076" s="357" t="s">
        <v>3747</v>
      </c>
      <c r="P1076" s="359">
        <f>SUM($U$2:$U$1067)</f>
        <v>50346</v>
      </c>
      <c r="Q1076" s="123"/>
      <c r="S1076" s="380"/>
      <c r="T1076" s="130"/>
      <c r="U1076" s="63"/>
      <c r="V1076" s="63"/>
      <c r="W1076" s="63"/>
      <c r="X1076" s="63"/>
      <c r="Y1076" s="63"/>
    </row>
    <row r="1077" spans="1:28" ht="15.75" thickBot="1">
      <c r="N1077" s="121"/>
      <c r="O1077" s="144" t="s">
        <v>3748</v>
      </c>
      <c r="P1077" s="358">
        <f>SUM($V$2:$V$1067)</f>
        <v>55914</v>
      </c>
      <c r="Q1077" s="123"/>
      <c r="S1077" s="380"/>
      <c r="T1077" s="130"/>
      <c r="U1077" s="63"/>
      <c r="V1077" s="63"/>
      <c r="W1077" s="63"/>
      <c r="X1077" s="63"/>
      <c r="Y1077" s="63"/>
    </row>
    <row r="1078" spans="1:28">
      <c r="A1078" s="75"/>
      <c r="B1078" s="59"/>
      <c r="C1078" s="57"/>
      <c r="G1078" s="58"/>
      <c r="H1078" s="58"/>
      <c r="I1078" s="60"/>
      <c r="J1078" s="58"/>
      <c r="K1078" s="58"/>
      <c r="L1078" s="58"/>
      <c r="M1078" s="58"/>
      <c r="N1078" s="122"/>
      <c r="O1078" s="125" t="s">
        <v>3749</v>
      </c>
      <c r="P1078" s="135">
        <f>MEDIAN(V2:V1067)</f>
        <v>58</v>
      </c>
      <c r="S1078" s="380"/>
      <c r="T1078" s="131"/>
      <c r="U1078" s="63"/>
      <c r="V1078" s="63"/>
      <c r="W1078" s="63"/>
      <c r="X1078" s="63"/>
      <c r="Y1078" s="63"/>
      <c r="AB1078" s="74"/>
    </row>
    <row r="1079" spans="1:28">
      <c r="O1079" s="63" t="s">
        <v>3750</v>
      </c>
      <c r="P1079" s="406">
        <f>P1077-P1076</f>
        <v>5568</v>
      </c>
      <c r="R1079" s="63"/>
      <c r="S1079" s="381"/>
      <c r="T1079" s="130"/>
      <c r="U1079" s="63"/>
      <c r="V1079" s="63"/>
      <c r="W1079" s="63"/>
      <c r="X1079" s="63"/>
      <c r="Y1079" s="63"/>
    </row>
    <row r="1080" spans="1:28">
      <c r="O1080" s="63" t="s">
        <v>3751</v>
      </c>
      <c r="P1080" s="63">
        <f>SUM(T2:T819)</f>
        <v>31865</v>
      </c>
      <c r="U1080" s="132"/>
      <c r="V1080" s="132"/>
      <c r="W1080" s="132"/>
      <c r="X1080" s="132"/>
      <c r="Y1080" s="133"/>
    </row>
    <row r="1081" spans="1:28">
      <c r="O1081" s="63" t="s">
        <v>3752</v>
      </c>
      <c r="P1081" s="63">
        <f>MAX(T2:T819)</f>
        <v>234</v>
      </c>
      <c r="R1081" s="63"/>
      <c r="S1081" s="63"/>
      <c r="U1081" s="63"/>
      <c r="V1081" s="63"/>
      <c r="W1081" s="63"/>
      <c r="X1081" s="63"/>
      <c r="Y1081" s="63"/>
    </row>
    <row r="1082" spans="1:28">
      <c r="O1082" s="63" t="s">
        <v>3753</v>
      </c>
      <c r="P1082" s="63">
        <f>MIN(T2:T819)</f>
        <v>1</v>
      </c>
    </row>
    <row r="1083" spans="1:28">
      <c r="O1083" s="63" t="s">
        <v>3754</v>
      </c>
      <c r="P1083" s="63">
        <f>P1080/P1071</f>
        <v>38.954767726161371</v>
      </c>
    </row>
  </sheetData>
  <autoFilter ref="F1:F1081" xr:uid="{00000000-0009-0000-0000-000001000000}"/>
  <sortState xmlns:xlrd2="http://schemas.microsoft.com/office/spreadsheetml/2017/richdata2" ref="A2:AD1067">
    <sortCondition descending="1" ref="Y2:Y1067"/>
    <sortCondition ref="O2:O1067"/>
  </sortState>
  <conditionalFormatting sqref="Q1070:T1070 Z1070:AC1070 B1069:N1070 Q1069:AC1069 B1031:P1031 O1030:P1030 A1030:M1030 A1068:AC1068 Z2:AD14 Z1003:AD1003 T114:U114 W173:AC173 W1003:X1003 A2:U2 A1032:P1067 W115:X172 W905:X921 W174:X897 W2:X113 R174:S174 R114:S167 R168:U173 Z174:AC182 Z383:AA383 W1064:AC1067 W1062:AA1063 Z183:AA183 Z439:AA443 V741:V900 Z740:AA745 Z731:AC739 Z711:AA730 A731:P921 B711:P730 V25:V190 V1063 A211:P346 AA379:AC379 AA380:AA382 Z184:AC190 A355:P710 B347:P354 Z354:AC378 Z191:AA194 Z84:AC172 Z83:AA83 Q211:Q921 Z905:AC921 V902:V921 Y174:Y921 Z560:AA564 V923:V1007 AB922:AC922 A923:P1029 Z347:AA353 Z431:AC438 Z420:AA430 Z15:AC82 Z384:AC419 Z444:AC559 Z746:AC897 W923:AC1002 Z379:Z383 W1004:AC1061 Z195:AC346 R3:U57 R58:R66 T58:U66 R67:U113 R175:U190 R191:S194 R195:V290 R291 T291:V291 R292:V346 R347:S354 R355:V364 R365:R371 T365:V371 R372:V438 T439:V440 R439:S443 R444:V559 R560:S564 R565:V645 R646:R647 T646:V647 R648:V710 T711:V711 T716:V716 R711:S730 R731:V738 T739:V739 T741:U749 R739:S749 R750:U897 S898:S904 R905:U921 Q923:R923 T923:U923 S922:S923 Q924:U1067 Z645:AC710 Z644:AA644 Z565:AC641 Z643:AC643 Z642:AA642 A3:Q210">
    <cfRule type="expression" dxfId="48" priority="46">
      <formula>$R2="Out of Program"</formula>
    </cfRule>
  </conditionalFormatting>
  <conditionalFormatting sqref="A1072:A1074 A1031 AB644:AC644">
    <cfRule type="expression" dxfId="47" priority="107">
      <formula>$R642="Out of Program"</formula>
    </cfRule>
  </conditionalFormatting>
  <conditionalFormatting sqref="O1075:P1075 O1076">
    <cfRule type="expression" dxfId="46" priority="108">
      <formula>$R1070="Out of Program"</formula>
    </cfRule>
  </conditionalFormatting>
  <conditionalFormatting sqref="A1075:A1076">
    <cfRule type="expression" dxfId="45" priority="110">
      <formula>$R1072="Out of Program"</formula>
    </cfRule>
  </conditionalFormatting>
  <conditionalFormatting sqref="N1030">
    <cfRule type="expression" dxfId="44" priority="115">
      <formula>#REF!="Out of Program"</formula>
    </cfRule>
  </conditionalFormatting>
  <conditionalFormatting sqref="W898:X904 R898:R904 Z901:AA901 V901 AA898:AA900 AA902:AA904 T898:U904">
    <cfRule type="expression" dxfId="43" priority="45">
      <formula>$Y898="Out of Program"</formula>
    </cfRule>
  </conditionalFormatting>
  <conditionalFormatting sqref="AD995:AD1000">
    <cfRule type="expression" dxfId="42" priority="44">
      <formula>$R995="Out of Program"</formula>
    </cfRule>
  </conditionalFormatting>
  <conditionalFormatting sqref="AD16:AD19">
    <cfRule type="expression" dxfId="41" priority="43">
      <formula>$R16="Out of Program"</formula>
    </cfRule>
  </conditionalFormatting>
  <conditionalFormatting sqref="V2:V24">
    <cfRule type="expression" dxfId="40" priority="42">
      <formula>$R2="Out of Program"</formula>
    </cfRule>
  </conditionalFormatting>
  <conditionalFormatting sqref="V1008:V1062 V1064:V1067">
    <cfRule type="expression" dxfId="39" priority="41">
      <formula>$R1008="Out of Program"</formula>
    </cfRule>
  </conditionalFormatting>
  <conditionalFormatting sqref="AB380:AC380">
    <cfRule type="expression" dxfId="38" priority="40">
      <formula>$R380="Out of Program"</formula>
    </cfRule>
  </conditionalFormatting>
  <conditionalFormatting sqref="AB1062:AC1063">
    <cfRule type="expression" dxfId="37" priority="39">
      <formula>$R1062="Out of Program"</formula>
    </cfRule>
  </conditionalFormatting>
  <conditionalFormatting sqref="AC183">
    <cfRule type="expression" dxfId="36" priority="38">
      <formula>$R183="Out of Program"</formula>
    </cfRule>
  </conditionalFormatting>
  <conditionalFormatting sqref="AB439:AC443">
    <cfRule type="expression" dxfId="35" priority="37">
      <formula>$R439="Out of Program"</formula>
    </cfRule>
  </conditionalFormatting>
  <conditionalFormatting sqref="T441:V443">
    <cfRule type="expression" dxfId="34" priority="36">
      <formula>$R441="Out of Program"</formula>
    </cfRule>
  </conditionalFormatting>
  <conditionalFormatting sqref="T560:V564">
    <cfRule type="expression" dxfId="33" priority="35">
      <formula>$R560="Out of Program"</formula>
    </cfRule>
  </conditionalFormatting>
  <conditionalFormatting sqref="AB560:AC564">
    <cfRule type="expression" dxfId="32" priority="34">
      <formula>$R560="Out of Program"</formula>
    </cfRule>
  </conditionalFormatting>
  <conditionalFormatting sqref="T740:V740">
    <cfRule type="expression" dxfId="31" priority="33">
      <formula>$R740="Out of Program"</formula>
    </cfRule>
  </conditionalFormatting>
  <conditionalFormatting sqref="AB740:AC745">
    <cfRule type="expression" dxfId="30" priority="32">
      <formula>$R740="Out of Program"</formula>
    </cfRule>
  </conditionalFormatting>
  <conditionalFormatting sqref="AB711:AC711 AB716:AC718 AB720:AC721 AB723:AC724 AB726:AC727 AB730:AC730">
    <cfRule type="expression" dxfId="29" priority="31">
      <formula>$R711="Out of Program"</formula>
    </cfRule>
  </conditionalFormatting>
  <conditionalFormatting sqref="T717:V718 T720:V730 T719">
    <cfRule type="expression" dxfId="28" priority="29">
      <formula>$R717="Out of Program"</formula>
    </cfRule>
  </conditionalFormatting>
  <conditionalFormatting sqref="A711:A730">
    <cfRule type="expression" dxfId="27" priority="28">
      <formula>$R711="Out of Program"</formula>
    </cfRule>
  </conditionalFormatting>
  <conditionalFormatting sqref="U712:V715">
    <cfRule type="expression" dxfId="26" priority="27">
      <formula>$R712="Out of Program"</formula>
    </cfRule>
  </conditionalFormatting>
  <conditionalFormatting sqref="U719:V719">
    <cfRule type="expression" dxfId="25" priority="26">
      <formula>$R719="Out of Program"</formula>
    </cfRule>
  </conditionalFormatting>
  <conditionalFormatting sqref="T712:T715">
    <cfRule type="expression" dxfId="24" priority="25">
      <formula>$R712="Out of Program"</formula>
    </cfRule>
  </conditionalFormatting>
  <conditionalFormatting sqref="AB712:AC715">
    <cfRule type="expression" dxfId="23" priority="24">
      <formula>$R712="Out of Program"</formula>
    </cfRule>
  </conditionalFormatting>
  <conditionalFormatting sqref="AB719:AC719">
    <cfRule type="expression" dxfId="22" priority="23">
      <formula>$R719="Out of Program"</formula>
    </cfRule>
  </conditionalFormatting>
  <conditionalFormatting sqref="AB722:AC722">
    <cfRule type="expression" dxfId="21" priority="22">
      <formula>$R722="Out of Program"</formula>
    </cfRule>
  </conditionalFormatting>
  <conditionalFormatting sqref="AB725:AC725">
    <cfRule type="expression" dxfId="20" priority="21">
      <formula>$R725="Out of Program"</formula>
    </cfRule>
  </conditionalFormatting>
  <conditionalFormatting sqref="AB728:AC729">
    <cfRule type="expression" dxfId="19" priority="20">
      <formula>$R728="Out of Program"</formula>
    </cfRule>
  </conditionalFormatting>
  <conditionalFormatting sqref="A347:A354">
    <cfRule type="expression" dxfId="18" priority="19">
      <formula>$R347="Out of Program"</formula>
    </cfRule>
  </conditionalFormatting>
  <conditionalFormatting sqref="T347:V354">
    <cfRule type="expression" dxfId="17" priority="18">
      <formula>$R347="Out of Program"</formula>
    </cfRule>
  </conditionalFormatting>
  <conditionalFormatting sqref="AB347:AC353">
    <cfRule type="expression" dxfId="16" priority="17">
      <formula>$R347="Out of Program"</formula>
    </cfRule>
  </conditionalFormatting>
  <conditionalFormatting sqref="AB191:AC194">
    <cfRule type="expression" dxfId="15" priority="16">
      <formula>$R191="Out of Program"</formula>
    </cfRule>
  </conditionalFormatting>
  <conditionalFormatting sqref="T191:V194">
    <cfRule type="expression" dxfId="14" priority="15">
      <formula>$R191="Out of Program"</formula>
    </cfRule>
  </conditionalFormatting>
  <conditionalFormatting sqref="AB83:AC83">
    <cfRule type="expression" dxfId="13" priority="14">
      <formula>$R83="Out of Program"</formula>
    </cfRule>
  </conditionalFormatting>
  <conditionalFormatting sqref="Z898">
    <cfRule type="expression" dxfId="12" priority="13">
      <formula>$R898="Out of Program"</formula>
    </cfRule>
  </conditionalFormatting>
  <conditionalFormatting sqref="Z899">
    <cfRule type="expression" dxfId="11" priority="12">
      <formula>$R899="Out of Program"</formula>
    </cfRule>
  </conditionalFormatting>
  <conditionalFormatting sqref="Z900">
    <cfRule type="expression" dxfId="10" priority="11">
      <formula>$R900="Out of Program"</formula>
    </cfRule>
  </conditionalFormatting>
  <conditionalFormatting sqref="Z902">
    <cfRule type="expression" dxfId="9" priority="10">
      <formula>$R902="Out of Program"</formula>
    </cfRule>
  </conditionalFormatting>
  <conditionalFormatting sqref="Z903">
    <cfRule type="expression" dxfId="8" priority="9">
      <formula>$R903="Out of Program"</formula>
    </cfRule>
  </conditionalFormatting>
  <conditionalFormatting sqref="Z904">
    <cfRule type="expression" dxfId="7" priority="8">
      <formula>$R904="Out of Program"</formula>
    </cfRule>
  </conditionalFormatting>
  <conditionalFormatting sqref="A922:R922 T922:AA922">
    <cfRule type="expression" dxfId="6" priority="7">
      <formula>$R922="Out of Program"</formula>
    </cfRule>
  </conditionalFormatting>
  <conditionalFormatting sqref="AB420:AC430">
    <cfRule type="expression" dxfId="5" priority="6">
      <formula>$R420="Out of Program"</formula>
    </cfRule>
  </conditionalFormatting>
  <conditionalFormatting sqref="AB183">
    <cfRule type="expression" dxfId="4" priority="5">
      <formula>$R183="Out of Program"</formula>
    </cfRule>
  </conditionalFormatting>
  <conditionalFormatting sqref="S58:S66">
    <cfRule type="expression" dxfId="3" priority="4">
      <formula>$U58="Out of Program"</formula>
    </cfRule>
  </conditionalFormatting>
  <conditionalFormatting sqref="S291">
    <cfRule type="expression" dxfId="2" priority="3">
      <formula>$U291="Out of Program"</formula>
    </cfRule>
  </conditionalFormatting>
  <conditionalFormatting sqref="S365:S371">
    <cfRule type="expression" dxfId="1" priority="2">
      <formula>$U365="Out of Program"</formula>
    </cfRule>
  </conditionalFormatting>
  <conditionalFormatting sqref="S646:S647">
    <cfRule type="expression" dxfId="0" priority="1">
      <formula>$U646="Out of Program"</formula>
    </cfRule>
  </conditionalFormatting>
  <pageMargins left="0.7" right="0.7" top="0.75" bottom="0.75" header="0.3" footer="0.3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5"/>
  <sheetViews>
    <sheetView workbookViewId="0">
      <selection activeCell="B30" sqref="B30"/>
    </sheetView>
  </sheetViews>
  <sheetFormatPr defaultColWidth="8.85546875" defaultRowHeight="15"/>
  <cols>
    <col min="1" max="1" width="33.42578125" customWidth="1"/>
    <col min="2" max="2" width="44.42578125" customWidth="1"/>
    <col min="3" max="3" width="11.42578125" customWidth="1"/>
    <col min="4" max="4" width="10.42578125" customWidth="1"/>
  </cols>
  <sheetData>
    <row r="1" spans="1:4" ht="15.75">
      <c r="A1" s="1" t="s">
        <v>3755</v>
      </c>
      <c r="B1" s="1" t="s">
        <v>3756</v>
      </c>
      <c r="C1" s="1" t="s">
        <v>1424</v>
      </c>
      <c r="D1" s="1" t="s">
        <v>3757</v>
      </c>
    </row>
    <row r="2" spans="1:4" ht="15.75" thickBot="1">
      <c r="A2" s="10" t="s">
        <v>3758</v>
      </c>
      <c r="B2" s="4" t="s">
        <v>3759</v>
      </c>
      <c r="C2" s="3">
        <v>2002000</v>
      </c>
      <c r="D2" s="5" t="s">
        <v>3760</v>
      </c>
    </row>
    <row r="3" spans="1:4" ht="15.75" thickBot="1">
      <c r="A3" s="11" t="s">
        <v>3758</v>
      </c>
      <c r="B3" s="2" t="s">
        <v>3761</v>
      </c>
      <c r="C3" s="6">
        <v>2002010</v>
      </c>
      <c r="D3" s="7" t="s">
        <v>3760</v>
      </c>
    </row>
    <row r="4" spans="1:4" ht="15.75" thickBot="1">
      <c r="A4" s="11" t="s">
        <v>3758</v>
      </c>
      <c r="B4" s="2" t="s">
        <v>3762</v>
      </c>
      <c r="C4" s="6">
        <v>2002014</v>
      </c>
      <c r="D4" s="7" t="s">
        <v>3760</v>
      </c>
    </row>
    <row r="5" spans="1:4" ht="15.75" thickBot="1">
      <c r="A5" s="11" t="s">
        <v>58</v>
      </c>
      <c r="B5" s="2" t="s">
        <v>3763</v>
      </c>
      <c r="C5" s="6">
        <v>4003000</v>
      </c>
      <c r="D5" s="7" t="s">
        <v>3760</v>
      </c>
    </row>
    <row r="6" spans="1:4" ht="15.75" thickBot="1">
      <c r="A6" s="11" t="s">
        <v>58</v>
      </c>
      <c r="B6" s="2" t="s">
        <v>3764</v>
      </c>
      <c r="C6" s="6">
        <v>4003002</v>
      </c>
      <c r="D6" s="7" t="s">
        <v>3760</v>
      </c>
    </row>
    <row r="7" spans="1:4" ht="15.75" thickBot="1">
      <c r="A7" s="11" t="s">
        <v>58</v>
      </c>
      <c r="B7" s="2" t="s">
        <v>3765</v>
      </c>
      <c r="C7" s="6">
        <v>4003004</v>
      </c>
      <c r="D7" s="7" t="s">
        <v>3760</v>
      </c>
    </row>
    <row r="8" spans="1:4" ht="15.75" thickBot="1">
      <c r="A8" s="11" t="s">
        <v>3766</v>
      </c>
      <c r="B8" s="2" t="s">
        <v>3767</v>
      </c>
      <c r="C8" s="6">
        <v>1004000</v>
      </c>
      <c r="D8" s="7" t="s">
        <v>3760</v>
      </c>
    </row>
    <row r="9" spans="1:4" ht="15.75" thickBot="1">
      <c r="A9" s="11" t="s">
        <v>3768</v>
      </c>
      <c r="B9" s="2" t="s">
        <v>3769</v>
      </c>
      <c r="C9" s="6">
        <v>1005000</v>
      </c>
      <c r="D9" s="7" t="s">
        <v>3760</v>
      </c>
    </row>
    <row r="10" spans="1:4" ht="15.75" thickBot="1">
      <c r="A10" s="11" t="s">
        <v>3770</v>
      </c>
      <c r="B10" s="2" t="s">
        <v>3771</v>
      </c>
      <c r="C10" s="6">
        <v>3007000</v>
      </c>
      <c r="D10" s="7" t="s">
        <v>3760</v>
      </c>
    </row>
    <row r="11" spans="1:4" ht="15.75" thickBot="1">
      <c r="A11" s="11" t="s">
        <v>3772</v>
      </c>
      <c r="B11" s="2" t="s">
        <v>3773</v>
      </c>
      <c r="C11" s="6">
        <v>1008000</v>
      </c>
      <c r="D11" s="7" t="s">
        <v>3760</v>
      </c>
    </row>
    <row r="12" spans="1:4" ht="15.75" thickBot="1">
      <c r="A12" s="11" t="s">
        <v>3774</v>
      </c>
      <c r="B12" s="2" t="s">
        <v>3775</v>
      </c>
      <c r="C12" s="6">
        <v>3009000</v>
      </c>
      <c r="D12" s="7" t="s">
        <v>3760</v>
      </c>
    </row>
    <row r="13" spans="1:4" ht="15.75" thickBot="1">
      <c r="A13" s="11" t="s">
        <v>93</v>
      </c>
      <c r="B13" s="2" t="s">
        <v>3776</v>
      </c>
      <c r="C13" s="6">
        <v>3010000</v>
      </c>
      <c r="D13" s="7" t="s">
        <v>3760</v>
      </c>
    </row>
    <row r="14" spans="1:4" ht="15.75" thickBot="1">
      <c r="A14" s="11" t="s">
        <v>3777</v>
      </c>
      <c r="B14" s="2" t="s">
        <v>3778</v>
      </c>
      <c r="C14" s="6">
        <v>2011000</v>
      </c>
      <c r="D14" s="7" t="s">
        <v>3760</v>
      </c>
    </row>
    <row r="15" spans="1:4" ht="15.75" thickBot="1">
      <c r="A15" s="11" t="s">
        <v>3777</v>
      </c>
      <c r="B15" s="2" t="s">
        <v>3779</v>
      </c>
      <c r="C15" s="6">
        <v>2011004</v>
      </c>
      <c r="D15" s="7" t="s">
        <v>3760</v>
      </c>
    </row>
    <row r="16" spans="1:4" ht="15.75" thickBot="1">
      <c r="A16" s="11" t="s">
        <v>3780</v>
      </c>
      <c r="B16" s="2" t="s">
        <v>3781</v>
      </c>
      <c r="C16" s="6">
        <v>1013000</v>
      </c>
      <c r="D16" s="7" t="s">
        <v>3760</v>
      </c>
    </row>
    <row r="17" spans="1:4" ht="15.75" thickBot="1">
      <c r="A17" s="11" t="s">
        <v>115</v>
      </c>
      <c r="B17" s="2" t="s">
        <v>3782</v>
      </c>
      <c r="C17" s="6">
        <v>3014000</v>
      </c>
      <c r="D17" s="7" t="s">
        <v>3760</v>
      </c>
    </row>
    <row r="18" spans="1:4" ht="15.75" thickBot="1">
      <c r="A18" s="11" t="s">
        <v>3783</v>
      </c>
      <c r="B18" s="2" t="s">
        <v>3784</v>
      </c>
      <c r="C18" s="6">
        <v>4102035</v>
      </c>
      <c r="D18" s="7" t="s">
        <v>3760</v>
      </c>
    </row>
    <row r="19" spans="1:4" ht="15.75" thickBot="1">
      <c r="A19" s="11" t="s">
        <v>3785</v>
      </c>
      <c r="B19" s="2" t="s">
        <v>3786</v>
      </c>
      <c r="C19" s="6">
        <v>1015000</v>
      </c>
      <c r="D19" s="7" t="s">
        <v>3760</v>
      </c>
    </row>
    <row r="20" spans="1:4" ht="15.75" thickBot="1">
      <c r="A20" s="11" t="s">
        <v>124</v>
      </c>
      <c r="B20" s="2" t="s">
        <v>3787</v>
      </c>
      <c r="C20" s="6">
        <v>4016000</v>
      </c>
      <c r="D20" s="7" t="s">
        <v>3760</v>
      </c>
    </row>
    <row r="21" spans="1:4" ht="15.75" thickBot="1">
      <c r="A21" s="11" t="s">
        <v>135</v>
      </c>
      <c r="B21" s="2" t="s">
        <v>3788</v>
      </c>
      <c r="C21" s="6">
        <v>2017000</v>
      </c>
      <c r="D21" s="7" t="s">
        <v>3760</v>
      </c>
    </row>
    <row r="22" spans="1:4" ht="15.75" thickBot="1">
      <c r="A22" s="11" t="s">
        <v>135</v>
      </c>
      <c r="B22" s="2" t="s">
        <v>3789</v>
      </c>
      <c r="C22" s="6">
        <v>2017001</v>
      </c>
      <c r="D22" s="7" t="s">
        <v>3760</v>
      </c>
    </row>
    <row r="23" spans="1:4" ht="15.75" thickBot="1">
      <c r="A23" s="11" t="s">
        <v>135</v>
      </c>
      <c r="B23" s="2" t="s">
        <v>3790</v>
      </c>
      <c r="C23" s="6">
        <v>2017002</v>
      </c>
      <c r="D23" s="7" t="s">
        <v>3760</v>
      </c>
    </row>
    <row r="24" spans="1:4" ht="15.75" thickBot="1">
      <c r="A24" s="11" t="s">
        <v>142</v>
      </c>
      <c r="B24" s="2" t="s">
        <v>3791</v>
      </c>
      <c r="C24" s="6">
        <v>4018000</v>
      </c>
      <c r="D24" s="7" t="s">
        <v>3760</v>
      </c>
    </row>
    <row r="25" spans="1:4" ht="15.75" thickBot="1">
      <c r="A25" s="11" t="s">
        <v>3792</v>
      </c>
      <c r="B25" s="2" t="s">
        <v>3793</v>
      </c>
      <c r="C25" s="6">
        <v>2019000</v>
      </c>
      <c r="D25" s="7" t="s">
        <v>3760</v>
      </c>
    </row>
    <row r="26" spans="1:4" ht="15.75" thickBot="1">
      <c r="A26" s="11" t="s">
        <v>162</v>
      </c>
      <c r="B26" s="2" t="s">
        <v>3794</v>
      </c>
      <c r="C26" s="6">
        <v>4020000</v>
      </c>
      <c r="D26" s="7" t="s">
        <v>3760</v>
      </c>
    </row>
    <row r="27" spans="1:4" ht="15.75" thickBot="1">
      <c r="A27" s="11" t="s">
        <v>3795</v>
      </c>
      <c r="B27" s="2" t="s">
        <v>3796</v>
      </c>
      <c r="C27" s="6">
        <v>2021000</v>
      </c>
      <c r="D27" s="7" t="s">
        <v>3760</v>
      </c>
    </row>
    <row r="28" spans="1:4" ht="15.75" thickBot="1">
      <c r="A28" s="11" t="s">
        <v>3795</v>
      </c>
      <c r="B28" s="2" t="s">
        <v>3797</v>
      </c>
      <c r="C28" s="6">
        <v>2021001</v>
      </c>
      <c r="D28" s="7" t="s">
        <v>3760</v>
      </c>
    </row>
    <row r="29" spans="1:4" ht="15.75" thickBot="1">
      <c r="A29" s="11" t="s">
        <v>3798</v>
      </c>
      <c r="B29" s="2" t="s">
        <v>3799</v>
      </c>
      <c r="C29" s="6">
        <v>3023000</v>
      </c>
      <c r="D29" s="7" t="s">
        <v>3760</v>
      </c>
    </row>
    <row r="30" spans="1:4" ht="15.75" thickBot="1">
      <c r="A30" s="11" t="s">
        <v>179</v>
      </c>
      <c r="B30" s="2" t="s">
        <v>3800</v>
      </c>
      <c r="C30" s="6">
        <v>1024000</v>
      </c>
      <c r="D30" s="7" t="s">
        <v>3760</v>
      </c>
    </row>
    <row r="31" spans="1:4" ht="15.75" thickBot="1">
      <c r="A31" s="11" t="s">
        <v>179</v>
      </c>
      <c r="B31" s="2" t="s">
        <v>3801</v>
      </c>
      <c r="C31" s="6">
        <v>1024001</v>
      </c>
      <c r="D31" s="7" t="s">
        <v>3760</v>
      </c>
    </row>
    <row r="32" spans="1:4" ht="15.75" thickBot="1">
      <c r="A32" s="11" t="s">
        <v>179</v>
      </c>
      <c r="B32" s="2" t="s">
        <v>3802</v>
      </c>
      <c r="C32" s="6">
        <v>1024002</v>
      </c>
      <c r="D32" s="7" t="s">
        <v>3760</v>
      </c>
    </row>
    <row r="33" spans="1:4" ht="15.75" thickBot="1">
      <c r="A33" s="11" t="s">
        <v>179</v>
      </c>
      <c r="B33" s="2" t="s">
        <v>3803</v>
      </c>
      <c r="C33" s="6">
        <v>1024009</v>
      </c>
      <c r="D33" s="7" t="s">
        <v>3760</v>
      </c>
    </row>
    <row r="34" spans="1:4" ht="15.75" thickBot="1">
      <c r="A34" s="11" t="s">
        <v>179</v>
      </c>
      <c r="B34" s="2" t="s">
        <v>3804</v>
      </c>
      <c r="C34" s="6">
        <v>1024015</v>
      </c>
      <c r="D34" s="7" t="s">
        <v>3760</v>
      </c>
    </row>
    <row r="35" spans="1:4" ht="15.75" thickBot="1">
      <c r="A35" s="11" t="s">
        <v>179</v>
      </c>
      <c r="B35" s="2" t="s">
        <v>3805</v>
      </c>
      <c r="C35" s="6">
        <v>1024016</v>
      </c>
      <c r="D35" s="7" t="s">
        <v>3760</v>
      </c>
    </row>
    <row r="36" spans="1:4" ht="15.75" thickBot="1">
      <c r="A36" s="11" t="s">
        <v>3806</v>
      </c>
      <c r="B36" s="2" t="s">
        <v>3807</v>
      </c>
      <c r="C36" s="6">
        <v>2025000</v>
      </c>
      <c r="D36" s="7" t="s">
        <v>3760</v>
      </c>
    </row>
    <row r="37" spans="1:4" ht="15.75" thickBot="1">
      <c r="A37" s="11" t="s">
        <v>187</v>
      </c>
      <c r="B37" s="2" t="s">
        <v>3808</v>
      </c>
      <c r="C37" s="6">
        <v>3026000</v>
      </c>
      <c r="D37" s="7" t="s">
        <v>3760</v>
      </c>
    </row>
    <row r="38" spans="1:4" ht="15.75" thickBot="1">
      <c r="A38" s="11" t="s">
        <v>3809</v>
      </c>
      <c r="B38" s="2" t="s">
        <v>3810</v>
      </c>
      <c r="C38" s="6">
        <v>1148001</v>
      </c>
      <c r="D38" s="7" t="s">
        <v>3760</v>
      </c>
    </row>
    <row r="39" spans="1:4" ht="15.75" thickBot="1">
      <c r="A39" s="11" t="s">
        <v>3811</v>
      </c>
      <c r="B39" s="2" t="s">
        <v>3812</v>
      </c>
      <c r="C39" s="6">
        <v>2028007</v>
      </c>
      <c r="D39" s="7" t="s">
        <v>3760</v>
      </c>
    </row>
    <row r="40" spans="1:4" ht="15.75" thickBot="1">
      <c r="A40" s="11" t="s">
        <v>3811</v>
      </c>
      <c r="B40" s="2" t="s">
        <v>3813</v>
      </c>
      <c r="C40" s="6">
        <v>2028012</v>
      </c>
      <c r="D40" s="7" t="s">
        <v>3760</v>
      </c>
    </row>
    <row r="41" spans="1:4" ht="15.75" thickBot="1">
      <c r="A41" s="11" t="s">
        <v>3811</v>
      </c>
      <c r="B41" s="2" t="s">
        <v>3814</v>
      </c>
      <c r="C41" s="6">
        <v>2028015</v>
      </c>
      <c r="D41" s="7" t="s">
        <v>3760</v>
      </c>
    </row>
    <row r="42" spans="1:4" ht="15.75" thickBot="1">
      <c r="A42" s="11" t="s">
        <v>3811</v>
      </c>
      <c r="B42" s="2" t="s">
        <v>3815</v>
      </c>
      <c r="C42" s="6">
        <v>2028017</v>
      </c>
      <c r="D42" s="7" t="s">
        <v>3760</v>
      </c>
    </row>
    <row r="43" spans="1:4" ht="15.75" thickBot="1">
      <c r="A43" s="11" t="s">
        <v>3811</v>
      </c>
      <c r="B43" s="2" t="s">
        <v>3816</v>
      </c>
      <c r="C43" s="6">
        <v>2028018</v>
      </c>
      <c r="D43" s="7" t="s">
        <v>3760</v>
      </c>
    </row>
    <row r="44" spans="1:4" ht="15.75" thickBot="1">
      <c r="A44" s="11" t="s">
        <v>3817</v>
      </c>
      <c r="B44" s="2" t="s">
        <v>3818</v>
      </c>
      <c r="C44" s="6">
        <v>1029000</v>
      </c>
      <c r="D44" s="7" t="s">
        <v>3760</v>
      </c>
    </row>
    <row r="45" spans="1:4" ht="15.75" thickBot="1">
      <c r="A45" s="11" t="s">
        <v>205</v>
      </c>
      <c r="B45" s="2" t="s">
        <v>3819</v>
      </c>
      <c r="C45" s="6">
        <v>3030000</v>
      </c>
      <c r="D45" s="7" t="s">
        <v>3760</v>
      </c>
    </row>
    <row r="46" spans="1:4" ht="15.75" thickBot="1">
      <c r="A46" s="11" t="s">
        <v>205</v>
      </c>
      <c r="B46" s="2" t="s">
        <v>3820</v>
      </c>
      <c r="C46" s="6">
        <v>3030001</v>
      </c>
      <c r="D46" s="7" t="s">
        <v>3760</v>
      </c>
    </row>
    <row r="47" spans="1:4" ht="15.75" thickBot="1">
      <c r="A47" s="11" t="s">
        <v>212</v>
      </c>
      <c r="B47" s="2" t="s">
        <v>3821</v>
      </c>
      <c r="C47" s="6">
        <v>3031000</v>
      </c>
      <c r="D47" s="7" t="s">
        <v>3760</v>
      </c>
    </row>
    <row r="48" spans="1:4" ht="15.75" thickBot="1">
      <c r="A48" s="11" t="s">
        <v>231</v>
      </c>
      <c r="B48" s="2" t="s">
        <v>3822</v>
      </c>
      <c r="C48" s="6">
        <v>2032000</v>
      </c>
      <c r="D48" s="7" t="s">
        <v>3760</v>
      </c>
    </row>
    <row r="49" spans="1:4" ht="15.75" thickBot="1">
      <c r="A49" s="11" t="s">
        <v>3823</v>
      </c>
      <c r="B49" s="2" t="s">
        <v>3824</v>
      </c>
      <c r="C49" s="6">
        <v>1033000</v>
      </c>
      <c r="D49" s="7" t="s">
        <v>3760</v>
      </c>
    </row>
    <row r="50" spans="1:4" ht="15.75" thickBot="1">
      <c r="A50" s="11" t="s">
        <v>3825</v>
      </c>
      <c r="B50" s="2" t="s">
        <v>3826</v>
      </c>
      <c r="C50" s="6">
        <v>2034027</v>
      </c>
      <c r="D50" s="7" t="s">
        <v>3760</v>
      </c>
    </row>
    <row r="51" spans="1:4" ht="15.75" thickBot="1">
      <c r="A51" s="11" t="s">
        <v>3825</v>
      </c>
      <c r="B51" s="2" t="s">
        <v>3827</v>
      </c>
      <c r="C51" s="6">
        <v>2034028</v>
      </c>
      <c r="D51" s="7" t="s">
        <v>3760</v>
      </c>
    </row>
    <row r="52" spans="1:4" ht="15.75" thickBot="1">
      <c r="A52" s="11" t="s">
        <v>3825</v>
      </c>
      <c r="B52" s="2" t="s">
        <v>3828</v>
      </c>
      <c r="C52" s="6">
        <v>2034030</v>
      </c>
      <c r="D52" s="7" t="s">
        <v>3760</v>
      </c>
    </row>
    <row r="53" spans="1:4" ht="15.75" thickBot="1">
      <c r="A53" s="11" t="s">
        <v>3825</v>
      </c>
      <c r="B53" s="2" t="s">
        <v>3829</v>
      </c>
      <c r="C53" s="6">
        <v>2034031</v>
      </c>
      <c r="D53" s="7" t="s">
        <v>3760</v>
      </c>
    </row>
    <row r="54" spans="1:4" ht="15.75" thickBot="1">
      <c r="A54" s="11" t="s">
        <v>3830</v>
      </c>
      <c r="B54" s="2" t="s">
        <v>3831</v>
      </c>
      <c r="C54" s="6">
        <v>1227002</v>
      </c>
      <c r="D54" s="7" t="s">
        <v>3760</v>
      </c>
    </row>
    <row r="55" spans="1:4" ht="24.75" thickBot="1">
      <c r="A55" s="11" t="s">
        <v>1415</v>
      </c>
      <c r="B55" s="2" t="s">
        <v>3832</v>
      </c>
      <c r="C55" s="6">
        <v>3035000</v>
      </c>
      <c r="D55" s="7" t="s">
        <v>3760</v>
      </c>
    </row>
    <row r="56" spans="1:4" ht="15.75" thickBot="1">
      <c r="A56" s="11" t="s">
        <v>265</v>
      </c>
      <c r="B56" s="2" t="s">
        <v>3833</v>
      </c>
      <c r="C56" s="6">
        <v>4036001</v>
      </c>
      <c r="D56" s="7" t="s">
        <v>3760</v>
      </c>
    </row>
    <row r="57" spans="1:4" ht="15.75" thickBot="1">
      <c r="A57" s="11" t="s">
        <v>265</v>
      </c>
      <c r="B57" s="2" t="s">
        <v>3834</v>
      </c>
      <c r="C57" s="6">
        <v>4036011</v>
      </c>
      <c r="D57" s="7" t="s">
        <v>3760</v>
      </c>
    </row>
    <row r="58" spans="1:4" ht="15.75" thickBot="1">
      <c r="A58" s="11" t="s">
        <v>3835</v>
      </c>
      <c r="B58" s="2" t="s">
        <v>3836</v>
      </c>
      <c r="C58" s="6">
        <v>2037001</v>
      </c>
      <c r="D58" s="7" t="s">
        <v>3760</v>
      </c>
    </row>
    <row r="59" spans="1:4" ht="15.75" thickBot="1">
      <c r="A59" s="11" t="s">
        <v>3835</v>
      </c>
      <c r="B59" s="2" t="s">
        <v>3837</v>
      </c>
      <c r="C59" s="6">
        <v>2037002</v>
      </c>
      <c r="D59" s="7" t="s">
        <v>3760</v>
      </c>
    </row>
    <row r="60" spans="1:4" ht="15.75" thickBot="1">
      <c r="A60" s="11" t="s">
        <v>3835</v>
      </c>
      <c r="B60" s="2" t="s">
        <v>3838</v>
      </c>
      <c r="C60" s="6">
        <v>2037006</v>
      </c>
      <c r="D60" s="7" t="s">
        <v>3760</v>
      </c>
    </row>
    <row r="61" spans="1:4" ht="15.75" thickBot="1">
      <c r="A61" s="11" t="s">
        <v>3835</v>
      </c>
      <c r="B61" s="2" t="s">
        <v>3839</v>
      </c>
      <c r="C61" s="6">
        <v>2037007</v>
      </c>
      <c r="D61" s="7" t="s">
        <v>3760</v>
      </c>
    </row>
    <row r="62" spans="1:4" ht="15.75" thickBot="1">
      <c r="A62" s="11" t="s">
        <v>3835</v>
      </c>
      <c r="B62" s="2" t="s">
        <v>3840</v>
      </c>
      <c r="C62" s="6">
        <v>2037009</v>
      </c>
      <c r="D62" s="7" t="s">
        <v>3760</v>
      </c>
    </row>
    <row r="63" spans="1:4" ht="15.75" thickBot="1">
      <c r="A63" s="11" t="s">
        <v>3835</v>
      </c>
      <c r="B63" s="2" t="s">
        <v>3841</v>
      </c>
      <c r="C63" s="6">
        <v>2037013</v>
      </c>
      <c r="D63" s="7" t="s">
        <v>3760</v>
      </c>
    </row>
    <row r="64" spans="1:4" ht="15.75" thickBot="1">
      <c r="A64" s="11" t="s">
        <v>3835</v>
      </c>
      <c r="B64" s="2" t="s">
        <v>3842</v>
      </c>
      <c r="C64" s="6">
        <v>2037014</v>
      </c>
      <c r="D64" s="7" t="s">
        <v>3760</v>
      </c>
    </row>
    <row r="65" spans="1:4" ht="15.75" thickBot="1">
      <c r="A65" s="11" t="s">
        <v>3843</v>
      </c>
      <c r="B65" s="2" t="s">
        <v>3844</v>
      </c>
      <c r="C65" s="6">
        <v>3038001</v>
      </c>
      <c r="D65" s="7" t="s">
        <v>3760</v>
      </c>
    </row>
    <row r="66" spans="1:4" ht="15.75" thickBot="1">
      <c r="A66" s="11" t="s">
        <v>3843</v>
      </c>
      <c r="B66" s="2" t="s">
        <v>3845</v>
      </c>
      <c r="C66" s="6">
        <v>3038020</v>
      </c>
      <c r="D66" s="7" t="s">
        <v>3760</v>
      </c>
    </row>
    <row r="67" spans="1:4" ht="15.75" thickBot="1">
      <c r="A67" s="11" t="s">
        <v>3846</v>
      </c>
      <c r="B67" s="2" t="s">
        <v>3847</v>
      </c>
      <c r="C67" s="6">
        <v>2039000</v>
      </c>
      <c r="D67" s="7" t="s">
        <v>3760</v>
      </c>
    </row>
    <row r="68" spans="1:4" ht="15.75" thickBot="1">
      <c r="A68" s="11" t="s">
        <v>3848</v>
      </c>
      <c r="B68" s="2" t="s">
        <v>3849</v>
      </c>
      <c r="C68" s="6">
        <v>4040000</v>
      </c>
      <c r="D68" s="7" t="s">
        <v>3760</v>
      </c>
    </row>
    <row r="69" spans="1:4" ht="15.75" thickBot="1">
      <c r="A69" s="11" t="s">
        <v>3848</v>
      </c>
      <c r="B69" s="2" t="s">
        <v>3850</v>
      </c>
      <c r="C69" s="6">
        <v>4040002</v>
      </c>
      <c r="D69" s="7" t="s">
        <v>3760</v>
      </c>
    </row>
    <row r="70" spans="1:4" ht="15.75" thickBot="1">
      <c r="A70" s="11" t="s">
        <v>3851</v>
      </c>
      <c r="B70" s="2" t="s">
        <v>3852</v>
      </c>
      <c r="C70" s="6">
        <v>4041000</v>
      </c>
      <c r="D70" s="7" t="s">
        <v>3760</v>
      </c>
    </row>
    <row r="71" spans="1:4" ht="15.75" thickBot="1">
      <c r="A71" s="11" t="s">
        <v>3853</v>
      </c>
      <c r="B71" s="2" t="s">
        <v>3854</v>
      </c>
      <c r="C71" s="6">
        <v>4042000</v>
      </c>
      <c r="D71" s="7" t="s">
        <v>3760</v>
      </c>
    </row>
    <row r="72" spans="1:4" ht="15.75" thickBot="1">
      <c r="A72" s="11" t="s">
        <v>3853</v>
      </c>
      <c r="B72" s="2" t="s">
        <v>3855</v>
      </c>
      <c r="C72" s="6">
        <v>4042001</v>
      </c>
      <c r="D72" s="7" t="s">
        <v>3760</v>
      </c>
    </row>
    <row r="73" spans="1:4" ht="15.75" thickBot="1">
      <c r="A73" s="11" t="s">
        <v>3856</v>
      </c>
      <c r="B73" s="2" t="s">
        <v>3857</v>
      </c>
      <c r="C73" s="6">
        <v>1043001</v>
      </c>
      <c r="D73" s="7" t="s">
        <v>3760</v>
      </c>
    </row>
    <row r="74" spans="1:4" ht="15.75" thickBot="1">
      <c r="A74" s="11" t="s">
        <v>3856</v>
      </c>
      <c r="B74" s="2" t="s">
        <v>3858</v>
      </c>
      <c r="C74" s="6">
        <v>1043002</v>
      </c>
      <c r="D74" s="7" t="s">
        <v>3760</v>
      </c>
    </row>
    <row r="75" spans="1:4" ht="15.75" thickBot="1">
      <c r="A75" s="11" t="s">
        <v>273</v>
      </c>
      <c r="B75" s="2" t="s">
        <v>3859</v>
      </c>
      <c r="C75" s="6">
        <v>4044000</v>
      </c>
      <c r="D75" s="7" t="s">
        <v>3760</v>
      </c>
    </row>
    <row r="76" spans="1:4" ht="15.75" thickBot="1">
      <c r="A76" s="11" t="s">
        <v>3860</v>
      </c>
      <c r="B76" s="2" t="s">
        <v>3861</v>
      </c>
      <c r="C76" s="6">
        <v>2045000</v>
      </c>
      <c r="D76" s="7" t="s">
        <v>3760</v>
      </c>
    </row>
    <row r="77" spans="1:4" ht="15.75" thickBot="1">
      <c r="A77" s="11" t="s">
        <v>3860</v>
      </c>
      <c r="B77" s="2" t="s">
        <v>3862</v>
      </c>
      <c r="C77" s="6">
        <v>2045001</v>
      </c>
      <c r="D77" s="7" t="s">
        <v>3760</v>
      </c>
    </row>
    <row r="78" spans="1:4" ht="15.75" thickBot="1">
      <c r="A78" s="11" t="s">
        <v>3860</v>
      </c>
      <c r="B78" s="2" t="s">
        <v>3863</v>
      </c>
      <c r="C78" s="6">
        <v>2045004</v>
      </c>
      <c r="D78" s="7" t="s">
        <v>3760</v>
      </c>
    </row>
    <row r="79" spans="1:4" ht="15.75" thickBot="1">
      <c r="A79" s="11" t="s">
        <v>3860</v>
      </c>
      <c r="B79" s="2" t="s">
        <v>3864</v>
      </c>
      <c r="C79" s="6">
        <v>2045005</v>
      </c>
      <c r="D79" s="7" t="s">
        <v>3760</v>
      </c>
    </row>
    <row r="80" spans="1:4" ht="15.75" thickBot="1">
      <c r="A80" s="11" t="s">
        <v>1255</v>
      </c>
      <c r="B80" s="2" t="s">
        <v>3865</v>
      </c>
      <c r="C80" s="6">
        <v>3046000</v>
      </c>
      <c r="D80" s="7" t="s">
        <v>3760</v>
      </c>
    </row>
    <row r="81" spans="1:4" ht="15.75" thickBot="1">
      <c r="A81" s="11" t="s">
        <v>3866</v>
      </c>
      <c r="B81" s="2" t="s">
        <v>3867</v>
      </c>
      <c r="C81" s="6">
        <v>3048000</v>
      </c>
      <c r="D81" s="7" t="s">
        <v>3760</v>
      </c>
    </row>
    <row r="82" spans="1:4" ht="15.75" thickBot="1">
      <c r="A82" s="11" t="s">
        <v>3868</v>
      </c>
      <c r="B82" s="2" t="s">
        <v>3869</v>
      </c>
      <c r="C82" s="6">
        <v>4036015</v>
      </c>
      <c r="D82" s="7" t="s">
        <v>3760</v>
      </c>
    </row>
    <row r="83" spans="1:4" ht="15.75" thickBot="1">
      <c r="A83" s="11" t="s">
        <v>3868</v>
      </c>
      <c r="B83" s="2" t="s">
        <v>3870</v>
      </c>
      <c r="C83" s="6">
        <v>4096001</v>
      </c>
      <c r="D83" s="7" t="s">
        <v>3760</v>
      </c>
    </row>
    <row r="84" spans="1:4" ht="15.75" thickBot="1">
      <c r="A84" s="11" t="s">
        <v>3871</v>
      </c>
      <c r="B84" s="2" t="s">
        <v>3872</v>
      </c>
      <c r="C84" s="6">
        <v>3205001</v>
      </c>
      <c r="D84" s="7" t="s">
        <v>3760</v>
      </c>
    </row>
    <row r="85" spans="1:4" ht="15.75" thickBot="1">
      <c r="A85" s="11" t="s">
        <v>281</v>
      </c>
      <c r="B85" s="2" t="s">
        <v>3873</v>
      </c>
      <c r="C85" s="6">
        <v>3049000</v>
      </c>
      <c r="D85" s="7" t="s">
        <v>3760</v>
      </c>
    </row>
    <row r="86" spans="1:4" ht="15.75" thickBot="1">
      <c r="A86" s="11" t="s">
        <v>290</v>
      </c>
      <c r="B86" s="2" t="s">
        <v>3874</v>
      </c>
      <c r="C86" s="6">
        <v>4050000</v>
      </c>
      <c r="D86" s="7" t="s">
        <v>3760</v>
      </c>
    </row>
    <row r="87" spans="1:4" ht="15.75" thickBot="1">
      <c r="A87" s="11" t="s">
        <v>3875</v>
      </c>
      <c r="B87" s="2" t="s">
        <v>3876</v>
      </c>
      <c r="C87" s="6">
        <v>3051021</v>
      </c>
      <c r="D87" s="7" t="s">
        <v>3760</v>
      </c>
    </row>
    <row r="88" spans="1:4" ht="15.75" thickBot="1">
      <c r="A88" s="11" t="s">
        <v>3877</v>
      </c>
      <c r="B88" s="2" t="s">
        <v>3878</v>
      </c>
      <c r="C88" s="6">
        <v>4052001</v>
      </c>
      <c r="D88" s="7" t="s">
        <v>3760</v>
      </c>
    </row>
    <row r="89" spans="1:4" ht="15.75" thickBot="1">
      <c r="A89" s="11" t="s">
        <v>3877</v>
      </c>
      <c r="B89" s="2" t="s">
        <v>3879</v>
      </c>
      <c r="C89" s="6">
        <v>4052025</v>
      </c>
      <c r="D89" s="7" t="s">
        <v>3760</v>
      </c>
    </row>
    <row r="90" spans="1:4" ht="15.75" thickBot="1">
      <c r="A90" s="11" t="s">
        <v>3877</v>
      </c>
      <c r="B90" s="2" t="s">
        <v>3880</v>
      </c>
      <c r="C90" s="6">
        <v>4052026</v>
      </c>
      <c r="D90" s="7" t="s">
        <v>3760</v>
      </c>
    </row>
    <row r="91" spans="1:4" ht="15.75" thickBot="1">
      <c r="A91" s="11" t="s">
        <v>3877</v>
      </c>
      <c r="B91" s="2" t="s">
        <v>3881</v>
      </c>
      <c r="C91" s="6">
        <v>4052044</v>
      </c>
      <c r="D91" s="7" t="s">
        <v>3760</v>
      </c>
    </row>
    <row r="92" spans="1:4" ht="15.75" thickBot="1">
      <c r="A92" s="11" t="s">
        <v>3877</v>
      </c>
      <c r="B92" s="2" t="s">
        <v>3882</v>
      </c>
      <c r="C92" s="6">
        <v>4052054</v>
      </c>
      <c r="D92" s="7" t="s">
        <v>3760</v>
      </c>
    </row>
    <row r="93" spans="1:4" ht="15.75" thickBot="1">
      <c r="A93" s="11" t="s">
        <v>3877</v>
      </c>
      <c r="B93" s="2" t="s">
        <v>3883</v>
      </c>
      <c r="C93" s="6">
        <v>4052061</v>
      </c>
      <c r="D93" s="7" t="s">
        <v>3760</v>
      </c>
    </row>
    <row r="94" spans="1:4" ht="15.75" thickBot="1">
      <c r="A94" s="11" t="s">
        <v>3877</v>
      </c>
      <c r="B94" s="2" t="s">
        <v>3884</v>
      </c>
      <c r="C94" s="6">
        <v>4052067</v>
      </c>
      <c r="D94" s="7" t="s">
        <v>3760</v>
      </c>
    </row>
    <row r="95" spans="1:4" ht="15.75" thickBot="1">
      <c r="A95" s="11" t="s">
        <v>3877</v>
      </c>
      <c r="B95" s="2" t="s">
        <v>3885</v>
      </c>
      <c r="C95" s="6">
        <v>4052069</v>
      </c>
      <c r="D95" s="7" t="s">
        <v>3760</v>
      </c>
    </row>
    <row r="96" spans="1:4" ht="15.75" thickBot="1">
      <c r="A96" s="11" t="s">
        <v>3877</v>
      </c>
      <c r="B96" s="2" t="s">
        <v>3886</v>
      </c>
      <c r="C96" s="6">
        <v>4052070</v>
      </c>
      <c r="D96" s="7" t="s">
        <v>3760</v>
      </c>
    </row>
    <row r="97" spans="1:4" ht="15.75" thickBot="1">
      <c r="A97" s="11" t="s">
        <v>3877</v>
      </c>
      <c r="B97" s="2" t="s">
        <v>3887</v>
      </c>
      <c r="C97" s="6">
        <v>4052074</v>
      </c>
      <c r="D97" s="7" t="s">
        <v>3760</v>
      </c>
    </row>
    <row r="98" spans="1:4" ht="15.75" thickBot="1">
      <c r="A98" s="11" t="s">
        <v>3888</v>
      </c>
      <c r="B98" s="2" t="s">
        <v>3889</v>
      </c>
      <c r="C98" s="6">
        <v>1053030</v>
      </c>
      <c r="D98" s="7" t="s">
        <v>3760</v>
      </c>
    </row>
    <row r="99" spans="1:4" ht="15.75" thickBot="1">
      <c r="A99" s="11" t="s">
        <v>3888</v>
      </c>
      <c r="B99" s="2" t="s">
        <v>3890</v>
      </c>
      <c r="C99" s="6">
        <v>1053033</v>
      </c>
      <c r="D99" s="7" t="s">
        <v>3760</v>
      </c>
    </row>
    <row r="100" spans="1:4" ht="15.75" thickBot="1">
      <c r="A100" s="11" t="s">
        <v>3891</v>
      </c>
      <c r="B100" s="2" t="s">
        <v>3892</v>
      </c>
      <c r="C100" s="6">
        <v>2054003</v>
      </c>
      <c r="D100" s="7" t="s">
        <v>3760</v>
      </c>
    </row>
    <row r="101" spans="1:4" ht="15.75" thickBot="1">
      <c r="A101" s="11" t="s">
        <v>3891</v>
      </c>
      <c r="B101" s="2" t="s">
        <v>3893</v>
      </c>
      <c r="C101" s="6">
        <v>2054005</v>
      </c>
      <c r="D101" s="7" t="s">
        <v>3760</v>
      </c>
    </row>
    <row r="102" spans="1:4" ht="15.75" thickBot="1">
      <c r="A102" s="11" t="s">
        <v>3891</v>
      </c>
      <c r="B102" s="2" t="s">
        <v>3894</v>
      </c>
      <c r="C102" s="6">
        <v>2054024</v>
      </c>
      <c r="D102" s="7" t="s">
        <v>3760</v>
      </c>
    </row>
    <row r="103" spans="1:4" ht="15.75" thickBot="1">
      <c r="A103" s="11" t="s">
        <v>3891</v>
      </c>
      <c r="B103" s="2" t="s">
        <v>3895</v>
      </c>
      <c r="C103" s="6">
        <v>2054040</v>
      </c>
      <c r="D103" s="7" t="s">
        <v>3760</v>
      </c>
    </row>
    <row r="104" spans="1:4" ht="15.75" thickBot="1">
      <c r="A104" s="11" t="s">
        <v>3891</v>
      </c>
      <c r="B104" s="2" t="s">
        <v>3896</v>
      </c>
      <c r="C104" s="6">
        <v>2054050</v>
      </c>
      <c r="D104" s="7" t="s">
        <v>3760</v>
      </c>
    </row>
    <row r="105" spans="1:4" ht="15.75" thickBot="1">
      <c r="A105" s="11" t="s">
        <v>3897</v>
      </c>
      <c r="B105" s="2" t="s">
        <v>3898</v>
      </c>
      <c r="C105" s="6">
        <v>4055000</v>
      </c>
      <c r="D105" s="7" t="s">
        <v>3760</v>
      </c>
    </row>
    <row r="106" spans="1:4" ht="15.75" thickBot="1">
      <c r="A106" s="11" t="s">
        <v>313</v>
      </c>
      <c r="B106" s="2" t="s">
        <v>3899</v>
      </c>
      <c r="C106" s="6">
        <v>3056000</v>
      </c>
      <c r="D106" s="7" t="s">
        <v>3760</v>
      </c>
    </row>
    <row r="107" spans="1:4" ht="15.75" thickBot="1">
      <c r="A107" s="11" t="s">
        <v>313</v>
      </c>
      <c r="B107" s="2" t="s">
        <v>3900</v>
      </c>
      <c r="C107" s="6">
        <v>3056001</v>
      </c>
      <c r="D107" s="7" t="s">
        <v>3760</v>
      </c>
    </row>
    <row r="108" spans="1:4" ht="15.75" thickBot="1">
      <c r="A108" s="11" t="s">
        <v>3901</v>
      </c>
      <c r="B108" s="2" t="s">
        <v>3902</v>
      </c>
      <c r="C108" s="6">
        <v>3057000</v>
      </c>
      <c r="D108" s="7" t="s">
        <v>3760</v>
      </c>
    </row>
    <row r="109" spans="1:4" ht="15.75" thickBot="1">
      <c r="A109" s="11" t="s">
        <v>3903</v>
      </c>
      <c r="B109" s="2" t="s">
        <v>3904</v>
      </c>
      <c r="C109" s="6">
        <v>1058000</v>
      </c>
      <c r="D109" s="7" t="s">
        <v>3760</v>
      </c>
    </row>
    <row r="110" spans="1:4" ht="15.75" thickBot="1">
      <c r="A110" s="11" t="s">
        <v>3903</v>
      </c>
      <c r="B110" s="2" t="s">
        <v>3905</v>
      </c>
      <c r="C110" s="6">
        <v>1058001</v>
      </c>
      <c r="D110" s="7" t="s">
        <v>3760</v>
      </c>
    </row>
    <row r="111" spans="1:4" ht="15.75" thickBot="1">
      <c r="A111" s="11" t="s">
        <v>3903</v>
      </c>
      <c r="B111" s="2" t="s">
        <v>3906</v>
      </c>
      <c r="C111" s="6">
        <v>1058002</v>
      </c>
      <c r="D111" s="7" t="s">
        <v>3760</v>
      </c>
    </row>
    <row r="112" spans="1:4" ht="15.75" thickBot="1">
      <c r="A112" s="11" t="s">
        <v>3907</v>
      </c>
      <c r="B112" s="2" t="s">
        <v>3908</v>
      </c>
      <c r="C112" s="6">
        <v>1059000</v>
      </c>
      <c r="D112" s="7" t="s">
        <v>3760</v>
      </c>
    </row>
    <row r="113" spans="1:4" ht="15.75" thickBot="1">
      <c r="A113" s="11" t="s">
        <v>331</v>
      </c>
      <c r="B113" s="2" t="s">
        <v>3909</v>
      </c>
      <c r="C113" s="6">
        <v>1061000</v>
      </c>
      <c r="D113" s="7" t="s">
        <v>3760</v>
      </c>
    </row>
    <row r="114" spans="1:4" ht="15.75" thickBot="1">
      <c r="A114" s="11" t="s">
        <v>341</v>
      </c>
      <c r="B114" s="2" t="s">
        <v>3910</v>
      </c>
      <c r="C114" s="6">
        <v>1063003</v>
      </c>
      <c r="D114" s="7" t="s">
        <v>3760</v>
      </c>
    </row>
    <row r="115" spans="1:4" ht="15.75" thickBot="1">
      <c r="A115" s="11" t="s">
        <v>3911</v>
      </c>
      <c r="B115" s="2" t="s">
        <v>3912</v>
      </c>
      <c r="C115" s="6">
        <v>2064000</v>
      </c>
      <c r="D115" s="7" t="s">
        <v>3760</v>
      </c>
    </row>
    <row r="116" spans="1:4" ht="15.75" thickBot="1">
      <c r="A116" s="11" t="s">
        <v>1270</v>
      </c>
      <c r="B116" s="2" t="s">
        <v>3913</v>
      </c>
      <c r="C116" s="6">
        <v>4065000</v>
      </c>
      <c r="D116" s="7" t="s">
        <v>3760</v>
      </c>
    </row>
    <row r="117" spans="1:4" ht="15.75" thickBot="1">
      <c r="A117" s="11" t="s">
        <v>3914</v>
      </c>
      <c r="B117" s="2" t="s">
        <v>3915</v>
      </c>
      <c r="C117" s="6">
        <v>1066000</v>
      </c>
      <c r="D117" s="7" t="s">
        <v>3760</v>
      </c>
    </row>
    <row r="118" spans="1:4" ht="15.75" thickBot="1">
      <c r="A118" s="11" t="s">
        <v>3914</v>
      </c>
      <c r="B118" s="2" t="s">
        <v>3916</v>
      </c>
      <c r="C118" s="6">
        <v>1066001</v>
      </c>
      <c r="D118" s="7" t="s">
        <v>3760</v>
      </c>
    </row>
    <row r="119" spans="1:4" ht="15.75" thickBot="1">
      <c r="A119" s="11" t="s">
        <v>3914</v>
      </c>
      <c r="B119" s="2" t="s">
        <v>3917</v>
      </c>
      <c r="C119" s="6">
        <v>1066007</v>
      </c>
      <c r="D119" s="7" t="s">
        <v>3760</v>
      </c>
    </row>
    <row r="120" spans="1:4" ht="15.75" thickBot="1">
      <c r="A120" s="11" t="s">
        <v>1277</v>
      </c>
      <c r="B120" s="2" t="s">
        <v>3918</v>
      </c>
      <c r="C120" s="6">
        <v>3067000</v>
      </c>
      <c r="D120" s="7" t="s">
        <v>3760</v>
      </c>
    </row>
    <row r="121" spans="1:4" ht="15.75" thickBot="1">
      <c r="A121" s="11" t="s">
        <v>3919</v>
      </c>
      <c r="B121" s="2" t="s">
        <v>3920</v>
      </c>
      <c r="C121" s="6">
        <v>4020003</v>
      </c>
      <c r="D121" s="7" t="s">
        <v>3760</v>
      </c>
    </row>
    <row r="122" spans="1:4" ht="15.75" thickBot="1">
      <c r="A122" s="11" t="s">
        <v>3921</v>
      </c>
      <c r="B122" s="2" t="s">
        <v>3922</v>
      </c>
      <c r="C122" s="6">
        <v>1069001</v>
      </c>
      <c r="D122" s="7" t="s">
        <v>3760</v>
      </c>
    </row>
    <row r="123" spans="1:4" ht="15.75" thickBot="1">
      <c r="A123" s="11" t="s">
        <v>3921</v>
      </c>
      <c r="B123" s="2" t="s">
        <v>3923</v>
      </c>
      <c r="C123" s="6">
        <v>1069002</v>
      </c>
      <c r="D123" s="7" t="s">
        <v>3760</v>
      </c>
    </row>
    <row r="124" spans="1:4" ht="15.75" thickBot="1">
      <c r="A124" s="11" t="s">
        <v>3924</v>
      </c>
      <c r="B124" s="2" t="s">
        <v>3925</v>
      </c>
      <c r="C124" s="6">
        <v>1070000</v>
      </c>
      <c r="D124" s="7" t="s">
        <v>3760</v>
      </c>
    </row>
    <row r="125" spans="1:4" ht="15.75" thickBot="1">
      <c r="A125" s="11" t="s">
        <v>3926</v>
      </c>
      <c r="B125" s="2" t="s">
        <v>3927</v>
      </c>
      <c r="C125" s="6">
        <v>4072000</v>
      </c>
      <c r="D125" s="7" t="s">
        <v>3760</v>
      </c>
    </row>
    <row r="126" spans="1:4" ht="15.75" thickBot="1">
      <c r="A126" s="11" t="s">
        <v>359</v>
      </c>
      <c r="B126" s="2" t="s">
        <v>3928</v>
      </c>
      <c r="C126" s="6">
        <v>3073000</v>
      </c>
      <c r="D126" s="7" t="s">
        <v>3760</v>
      </c>
    </row>
    <row r="127" spans="1:4" ht="15.75" thickBot="1">
      <c r="A127" s="11" t="s">
        <v>3929</v>
      </c>
      <c r="B127" s="2" t="s">
        <v>3930</v>
      </c>
      <c r="C127" s="6">
        <v>1074000</v>
      </c>
      <c r="D127" s="7" t="s">
        <v>3760</v>
      </c>
    </row>
    <row r="128" spans="1:4" ht="15.75" thickBot="1">
      <c r="A128" s="11" t="s">
        <v>3929</v>
      </c>
      <c r="B128" s="2" t="s">
        <v>3931</v>
      </c>
      <c r="C128" s="6">
        <v>1074005</v>
      </c>
      <c r="D128" s="7" t="s">
        <v>3760</v>
      </c>
    </row>
    <row r="129" spans="1:4" ht="15.75" thickBot="1">
      <c r="A129" s="11" t="s">
        <v>380</v>
      </c>
      <c r="B129" s="2" t="s">
        <v>3932</v>
      </c>
      <c r="C129" s="6">
        <v>2019001</v>
      </c>
      <c r="D129" s="7" t="s">
        <v>3760</v>
      </c>
    </row>
    <row r="130" spans="1:4" ht="15.75" thickBot="1">
      <c r="A130" s="11" t="s">
        <v>398</v>
      </c>
      <c r="B130" s="2" t="s">
        <v>3933</v>
      </c>
      <c r="C130" s="6">
        <v>2077000</v>
      </c>
      <c r="D130" s="7" t="s">
        <v>3760</v>
      </c>
    </row>
    <row r="131" spans="1:4" ht="15.75" thickBot="1">
      <c r="A131" s="11" t="s">
        <v>3934</v>
      </c>
      <c r="B131" s="2" t="s">
        <v>3935</v>
      </c>
      <c r="C131" s="6">
        <v>3078001</v>
      </c>
      <c r="D131" s="7" t="s">
        <v>3760</v>
      </c>
    </row>
    <row r="132" spans="1:4" ht="15.75" thickBot="1">
      <c r="A132" s="11" t="s">
        <v>3934</v>
      </c>
      <c r="B132" s="2" t="s">
        <v>3936</v>
      </c>
      <c r="C132" s="6">
        <v>3078002</v>
      </c>
      <c r="D132" s="7" t="s">
        <v>3760</v>
      </c>
    </row>
    <row r="133" spans="1:4" ht="15.75" thickBot="1">
      <c r="A133" s="11" t="s">
        <v>3934</v>
      </c>
      <c r="B133" s="2" t="s">
        <v>3937</v>
      </c>
      <c r="C133" s="6">
        <v>3078005</v>
      </c>
      <c r="D133" s="7" t="s">
        <v>3760</v>
      </c>
    </row>
    <row r="134" spans="1:4" ht="15.75" thickBot="1">
      <c r="A134" s="11" t="s">
        <v>3934</v>
      </c>
      <c r="B134" s="2" t="s">
        <v>3938</v>
      </c>
      <c r="C134" s="6">
        <v>3078006</v>
      </c>
      <c r="D134" s="7" t="s">
        <v>3760</v>
      </c>
    </row>
    <row r="135" spans="1:4" ht="15.75" thickBot="1">
      <c r="A135" s="11" t="s">
        <v>3934</v>
      </c>
      <c r="B135" s="2" t="s">
        <v>3939</v>
      </c>
      <c r="C135" s="6">
        <v>3078008</v>
      </c>
      <c r="D135" s="7" t="s">
        <v>3760</v>
      </c>
    </row>
    <row r="136" spans="1:4" ht="15.75" thickBot="1">
      <c r="A136" s="11" t="s">
        <v>408</v>
      </c>
      <c r="B136" s="2" t="s">
        <v>3940</v>
      </c>
      <c r="C136" s="6">
        <v>3079000</v>
      </c>
      <c r="D136" s="7" t="s">
        <v>3760</v>
      </c>
    </row>
    <row r="137" spans="1:4" ht="15.75" thickBot="1">
      <c r="A137" s="11" t="s">
        <v>408</v>
      </c>
      <c r="B137" s="2" t="s">
        <v>3941</v>
      </c>
      <c r="C137" s="6">
        <v>3079001</v>
      </c>
      <c r="D137" s="7" t="s">
        <v>3760</v>
      </c>
    </row>
    <row r="138" spans="1:4" ht="15.75" thickBot="1">
      <c r="A138" s="11" t="s">
        <v>3942</v>
      </c>
      <c r="B138" s="2" t="s">
        <v>3943</v>
      </c>
      <c r="C138" s="6">
        <v>2080000</v>
      </c>
      <c r="D138" s="7" t="s">
        <v>3760</v>
      </c>
    </row>
    <row r="139" spans="1:4" ht="15.75" thickBot="1">
      <c r="A139" s="11" t="s">
        <v>3944</v>
      </c>
      <c r="B139" s="2" t="s">
        <v>3945</v>
      </c>
      <c r="C139" s="6">
        <v>2081000</v>
      </c>
      <c r="D139" s="7" t="s">
        <v>3760</v>
      </c>
    </row>
    <row r="140" spans="1:4" ht="15.75" thickBot="1">
      <c r="A140" s="11" t="s">
        <v>3946</v>
      </c>
      <c r="B140" s="2" t="s">
        <v>3947</v>
      </c>
      <c r="C140" s="6">
        <v>4082000</v>
      </c>
      <c r="D140" s="7" t="s">
        <v>3760</v>
      </c>
    </row>
    <row r="141" spans="1:4" ht="15.75" thickBot="1">
      <c r="A141" s="11" t="s">
        <v>426</v>
      </c>
      <c r="B141" s="2" t="s">
        <v>3948</v>
      </c>
      <c r="C141" s="6">
        <v>4083000</v>
      </c>
      <c r="D141" s="7" t="s">
        <v>3760</v>
      </c>
    </row>
    <row r="142" spans="1:4" ht="15.75" thickBot="1">
      <c r="A142" s="11" t="s">
        <v>3949</v>
      </c>
      <c r="B142" s="2" t="s">
        <v>3950</v>
      </c>
      <c r="C142" s="6">
        <v>2084000</v>
      </c>
      <c r="D142" s="7" t="s">
        <v>3760</v>
      </c>
    </row>
    <row r="143" spans="1:4" ht="15.75" thickBot="1">
      <c r="A143" s="11" t="s">
        <v>3951</v>
      </c>
      <c r="B143" s="2" t="s">
        <v>3952</v>
      </c>
      <c r="C143" s="6">
        <v>1074007</v>
      </c>
      <c r="D143" s="7" t="s">
        <v>3760</v>
      </c>
    </row>
    <row r="144" spans="1:4" ht="15.75" thickBot="1">
      <c r="A144" s="11" t="s">
        <v>435</v>
      </c>
      <c r="B144" s="2" t="s">
        <v>3953</v>
      </c>
      <c r="C144" s="6">
        <v>1085000</v>
      </c>
      <c r="D144" s="7" t="s">
        <v>3760</v>
      </c>
    </row>
    <row r="145" spans="1:4" ht="15.75" thickBot="1">
      <c r="A145" s="11" t="s">
        <v>3954</v>
      </c>
      <c r="B145" s="2" t="s">
        <v>3955</v>
      </c>
      <c r="C145" s="6">
        <v>1217001</v>
      </c>
      <c r="D145" s="7" t="s">
        <v>3760</v>
      </c>
    </row>
    <row r="146" spans="1:4" ht="15.75" thickBot="1">
      <c r="A146" s="11" t="s">
        <v>444</v>
      </c>
      <c r="B146" s="2" t="s">
        <v>3956</v>
      </c>
      <c r="C146" s="6">
        <v>1087000</v>
      </c>
      <c r="D146" s="7" t="s">
        <v>3760</v>
      </c>
    </row>
    <row r="147" spans="1:4" ht="15.75" thickBot="1">
      <c r="A147" s="11" t="s">
        <v>452</v>
      </c>
      <c r="B147" s="2" t="s">
        <v>3957</v>
      </c>
      <c r="C147" s="6">
        <v>4088000</v>
      </c>
      <c r="D147" s="7" t="s">
        <v>3760</v>
      </c>
    </row>
    <row r="148" spans="1:4" ht="15.75" thickBot="1">
      <c r="A148" s="11" t="s">
        <v>3958</v>
      </c>
      <c r="B148" s="2" t="s">
        <v>3959</v>
      </c>
      <c r="C148" s="6">
        <v>4089000</v>
      </c>
      <c r="D148" s="7" t="s">
        <v>3760</v>
      </c>
    </row>
    <row r="149" spans="1:4" ht="15.75" thickBot="1">
      <c r="A149" s="11" t="s">
        <v>470</v>
      </c>
      <c r="B149" s="2" t="s">
        <v>3960</v>
      </c>
      <c r="C149" s="6">
        <v>1091000</v>
      </c>
      <c r="D149" s="7" t="s">
        <v>3760</v>
      </c>
    </row>
    <row r="150" spans="1:4" ht="15.75" thickBot="1">
      <c r="A150" s="11" t="s">
        <v>3961</v>
      </c>
      <c r="B150" s="2" t="s">
        <v>3962</v>
      </c>
      <c r="C150" s="6">
        <v>3092000</v>
      </c>
      <c r="D150" s="7" t="s">
        <v>3760</v>
      </c>
    </row>
    <row r="151" spans="1:4" ht="15.75" thickBot="1">
      <c r="A151" s="11" t="s">
        <v>3963</v>
      </c>
      <c r="B151" s="2" t="s">
        <v>3964</v>
      </c>
      <c r="C151" s="6">
        <v>3093000</v>
      </c>
      <c r="D151" s="7" t="s">
        <v>3760</v>
      </c>
    </row>
    <row r="152" spans="1:4" ht="15.75" thickBot="1">
      <c r="A152" s="11" t="s">
        <v>3965</v>
      </c>
      <c r="B152" s="2" t="s">
        <v>3966</v>
      </c>
      <c r="C152" s="6">
        <v>4094000</v>
      </c>
      <c r="D152" s="7" t="s">
        <v>3760</v>
      </c>
    </row>
    <row r="153" spans="1:4" ht="15.75" thickBot="1">
      <c r="A153" s="11" t="s">
        <v>487</v>
      </c>
      <c r="B153" s="2" t="s">
        <v>3967</v>
      </c>
      <c r="C153" s="6">
        <v>4095000</v>
      </c>
      <c r="D153" s="7" t="s">
        <v>3760</v>
      </c>
    </row>
    <row r="154" spans="1:4" ht="15.75" thickBot="1">
      <c r="A154" s="11" t="s">
        <v>3968</v>
      </c>
      <c r="B154" s="2" t="s">
        <v>3969</v>
      </c>
      <c r="C154" s="6">
        <v>4096000</v>
      </c>
      <c r="D154" s="7" t="s">
        <v>3760</v>
      </c>
    </row>
    <row r="155" spans="1:4" ht="15.75" thickBot="1">
      <c r="A155" s="11" t="s">
        <v>502</v>
      </c>
      <c r="B155" s="2" t="s">
        <v>3970</v>
      </c>
      <c r="C155" s="6">
        <v>2097000</v>
      </c>
      <c r="D155" s="7" t="s">
        <v>3760</v>
      </c>
    </row>
    <row r="156" spans="1:4" ht="15.75" thickBot="1">
      <c r="A156" s="11" t="s">
        <v>3971</v>
      </c>
      <c r="B156" s="2" t="s">
        <v>3972</v>
      </c>
      <c r="C156" s="6">
        <v>4099000</v>
      </c>
      <c r="D156" s="7" t="s">
        <v>3760</v>
      </c>
    </row>
    <row r="157" spans="1:4" ht="15.75" thickBot="1">
      <c r="A157" s="11" t="s">
        <v>535</v>
      </c>
      <c r="B157" s="2" t="s">
        <v>3973</v>
      </c>
      <c r="C157" s="6">
        <v>3100000</v>
      </c>
      <c r="D157" s="7" t="s">
        <v>3760</v>
      </c>
    </row>
    <row r="158" spans="1:4" ht="15.75" thickBot="1">
      <c r="A158" s="11" t="s">
        <v>3974</v>
      </c>
      <c r="B158" s="2" t="s">
        <v>3975</v>
      </c>
      <c r="C158" s="6">
        <v>2101000</v>
      </c>
      <c r="D158" s="7" t="s">
        <v>3760</v>
      </c>
    </row>
    <row r="159" spans="1:4" ht="15.75" thickBot="1">
      <c r="A159" s="11" t="s">
        <v>542</v>
      </c>
      <c r="B159" s="2" t="s">
        <v>3976</v>
      </c>
      <c r="C159" s="6">
        <v>2103000</v>
      </c>
      <c r="D159" s="7" t="s">
        <v>3760</v>
      </c>
    </row>
    <row r="160" spans="1:4" ht="15.75" thickBot="1">
      <c r="A160" s="11" t="s">
        <v>3977</v>
      </c>
      <c r="B160" s="2" t="s">
        <v>3978</v>
      </c>
      <c r="C160" s="6">
        <v>3105000</v>
      </c>
      <c r="D160" s="7" t="s">
        <v>3760</v>
      </c>
    </row>
    <row r="161" spans="1:4" ht="15.75" thickBot="1">
      <c r="A161" s="11" t="s">
        <v>3979</v>
      </c>
      <c r="B161" s="2" t="s">
        <v>3980</v>
      </c>
      <c r="C161" s="6">
        <v>1106000</v>
      </c>
      <c r="D161" s="7" t="s">
        <v>3760</v>
      </c>
    </row>
    <row r="162" spans="1:4" ht="15.75" thickBot="1">
      <c r="A162" s="11" t="s">
        <v>3979</v>
      </c>
      <c r="B162" s="2" t="s">
        <v>3981</v>
      </c>
      <c r="C162" s="6">
        <v>1106002</v>
      </c>
      <c r="D162" s="7" t="s">
        <v>3760</v>
      </c>
    </row>
    <row r="163" spans="1:4" ht="15.75" thickBot="1">
      <c r="A163" s="11" t="s">
        <v>550</v>
      </c>
      <c r="B163" s="2" t="s">
        <v>3982</v>
      </c>
      <c r="C163" s="6">
        <v>3107000</v>
      </c>
      <c r="D163" s="7" t="s">
        <v>3760</v>
      </c>
    </row>
    <row r="164" spans="1:4" ht="15.75" thickBot="1">
      <c r="A164" s="11" t="s">
        <v>3983</v>
      </c>
      <c r="B164" s="2" t="s">
        <v>3984</v>
      </c>
      <c r="C164" s="6">
        <v>1108009</v>
      </c>
      <c r="D164" s="7" t="s">
        <v>3760</v>
      </c>
    </row>
    <row r="165" spans="1:4" ht="15.75" thickBot="1">
      <c r="A165" s="11" t="s">
        <v>3985</v>
      </c>
      <c r="B165" s="2" t="s">
        <v>3986</v>
      </c>
      <c r="C165" s="6">
        <v>4109000</v>
      </c>
      <c r="D165" s="7" t="s">
        <v>3760</v>
      </c>
    </row>
    <row r="166" spans="1:4" ht="15.75" thickBot="1">
      <c r="A166" s="11" t="s">
        <v>3987</v>
      </c>
      <c r="B166" s="2" t="s">
        <v>3988</v>
      </c>
      <c r="C166" s="6">
        <v>2110000</v>
      </c>
      <c r="D166" s="7" t="s">
        <v>3760</v>
      </c>
    </row>
    <row r="167" spans="1:4" ht="15.75" thickBot="1">
      <c r="A167" s="11" t="s">
        <v>3987</v>
      </c>
      <c r="B167" s="2" t="s">
        <v>3989</v>
      </c>
      <c r="C167" s="6">
        <v>2110004</v>
      </c>
      <c r="D167" s="7" t="s">
        <v>3760</v>
      </c>
    </row>
    <row r="168" spans="1:4" ht="15.75" thickBot="1">
      <c r="A168" s="11" t="s">
        <v>3987</v>
      </c>
      <c r="B168" s="2" t="s">
        <v>3990</v>
      </c>
      <c r="C168" s="6">
        <v>2110006</v>
      </c>
      <c r="D168" s="7" t="s">
        <v>3760</v>
      </c>
    </row>
    <row r="169" spans="1:4" ht="15.75" thickBot="1">
      <c r="A169" s="11" t="s">
        <v>1293</v>
      </c>
      <c r="B169" s="2" t="s">
        <v>3991</v>
      </c>
      <c r="C169" s="6">
        <v>1111000</v>
      </c>
      <c r="D169" s="7" t="s">
        <v>3760</v>
      </c>
    </row>
    <row r="170" spans="1:4" ht="15.75" thickBot="1">
      <c r="A170" s="11" t="s">
        <v>1293</v>
      </c>
      <c r="B170" s="2" t="s">
        <v>3992</v>
      </c>
      <c r="C170" s="6">
        <v>1111001</v>
      </c>
      <c r="D170" s="7" t="s">
        <v>3760</v>
      </c>
    </row>
    <row r="171" spans="1:4" ht="15.75" thickBot="1">
      <c r="A171" s="11" t="s">
        <v>1293</v>
      </c>
      <c r="B171" s="2" t="s">
        <v>3993</v>
      </c>
      <c r="C171" s="6">
        <v>1111002</v>
      </c>
      <c r="D171" s="7" t="s">
        <v>3760</v>
      </c>
    </row>
    <row r="172" spans="1:4" ht="15.75" thickBot="1">
      <c r="A172" s="11" t="s">
        <v>1293</v>
      </c>
      <c r="B172" s="2" t="s">
        <v>3994</v>
      </c>
      <c r="C172" s="6">
        <v>1111003</v>
      </c>
      <c r="D172" s="7" t="s">
        <v>3760</v>
      </c>
    </row>
    <row r="173" spans="1:4" ht="15.75" thickBot="1">
      <c r="A173" s="11" t="s">
        <v>1293</v>
      </c>
      <c r="B173" s="2" t="s">
        <v>3995</v>
      </c>
      <c r="C173" s="6">
        <v>1111025</v>
      </c>
      <c r="D173" s="7" t="s">
        <v>3760</v>
      </c>
    </row>
    <row r="174" spans="1:4" ht="15.75" thickBot="1">
      <c r="A174" s="11" t="s">
        <v>1293</v>
      </c>
      <c r="B174" s="2" t="s">
        <v>3996</v>
      </c>
      <c r="C174" s="6">
        <v>1111039</v>
      </c>
      <c r="D174" s="7" t="s">
        <v>3760</v>
      </c>
    </row>
    <row r="175" spans="1:4" ht="15.75" thickBot="1">
      <c r="A175" s="11" t="s">
        <v>1300</v>
      </c>
      <c r="B175" s="2" t="s">
        <v>3997</v>
      </c>
      <c r="C175" s="6">
        <v>1112000</v>
      </c>
      <c r="D175" s="7" t="s">
        <v>3760</v>
      </c>
    </row>
    <row r="176" spans="1:4" ht="15.75" thickBot="1">
      <c r="A176" s="11" t="s">
        <v>3998</v>
      </c>
      <c r="B176" s="2" t="s">
        <v>3999</v>
      </c>
      <c r="C176" s="6">
        <v>1113000</v>
      </c>
      <c r="D176" s="7" t="s">
        <v>3760</v>
      </c>
    </row>
    <row r="177" spans="1:4" ht="15.75" thickBot="1">
      <c r="A177" s="11" t="s">
        <v>3998</v>
      </c>
      <c r="B177" s="2" t="s">
        <v>4000</v>
      </c>
      <c r="C177" s="6">
        <v>1113003</v>
      </c>
      <c r="D177" s="7" t="s">
        <v>3760</v>
      </c>
    </row>
    <row r="178" spans="1:4" ht="15.75" thickBot="1">
      <c r="A178" s="11" t="s">
        <v>3998</v>
      </c>
      <c r="B178" s="2" t="s">
        <v>4001</v>
      </c>
      <c r="C178" s="6">
        <v>1113017</v>
      </c>
      <c r="D178" s="7" t="s">
        <v>3760</v>
      </c>
    </row>
    <row r="179" spans="1:4" ht="15.75" thickBot="1">
      <c r="A179" s="11" t="s">
        <v>559</v>
      </c>
      <c r="B179" s="2" t="s">
        <v>4002</v>
      </c>
      <c r="C179" s="6">
        <v>1114000</v>
      </c>
      <c r="D179" s="7" t="s">
        <v>3760</v>
      </c>
    </row>
    <row r="180" spans="1:4" ht="15.75" thickBot="1">
      <c r="A180" s="11" t="s">
        <v>4003</v>
      </c>
      <c r="B180" s="2" t="s">
        <v>4004</v>
      </c>
      <c r="C180" s="6">
        <v>2115000</v>
      </c>
      <c r="D180" s="7" t="s">
        <v>3760</v>
      </c>
    </row>
    <row r="181" spans="1:4" ht="15.75" thickBot="1">
      <c r="A181" s="11" t="s">
        <v>4003</v>
      </c>
      <c r="B181" s="2" t="s">
        <v>4005</v>
      </c>
      <c r="C181" s="6">
        <v>2115001</v>
      </c>
      <c r="D181" s="7" t="s">
        <v>3760</v>
      </c>
    </row>
    <row r="182" spans="1:4" ht="15.75" thickBot="1">
      <c r="A182" s="11" t="s">
        <v>4003</v>
      </c>
      <c r="B182" s="2" t="s">
        <v>4006</v>
      </c>
      <c r="C182" s="6">
        <v>2115009</v>
      </c>
      <c r="D182" s="7" t="s">
        <v>3760</v>
      </c>
    </row>
    <row r="183" spans="1:4" ht="15.75" thickBot="1">
      <c r="A183" s="11" t="s">
        <v>4007</v>
      </c>
      <c r="B183" s="2" t="s">
        <v>4008</v>
      </c>
      <c r="C183" s="6">
        <v>3116000</v>
      </c>
      <c r="D183" s="7" t="s">
        <v>3760</v>
      </c>
    </row>
    <row r="184" spans="1:4" ht="15.75" thickBot="1">
      <c r="A184" s="11" t="s">
        <v>4009</v>
      </c>
      <c r="B184" s="2" t="s">
        <v>4010</v>
      </c>
      <c r="C184" s="6">
        <v>1117002</v>
      </c>
      <c r="D184" s="7" t="s">
        <v>3760</v>
      </c>
    </row>
    <row r="185" spans="1:4" ht="15.75" thickBot="1">
      <c r="A185" s="11" t="s">
        <v>4011</v>
      </c>
      <c r="B185" s="2" t="s">
        <v>4012</v>
      </c>
      <c r="C185" s="6">
        <v>4118000</v>
      </c>
      <c r="D185" s="7" t="s">
        <v>3760</v>
      </c>
    </row>
    <row r="186" spans="1:4" ht="15.75" thickBot="1">
      <c r="A186" s="11" t="s">
        <v>4013</v>
      </c>
      <c r="B186" s="2" t="s">
        <v>4014</v>
      </c>
      <c r="C186" s="6">
        <v>3119000</v>
      </c>
      <c r="D186" s="7" t="s">
        <v>3760</v>
      </c>
    </row>
    <row r="187" spans="1:4" ht="15.75" thickBot="1">
      <c r="A187" s="11" t="s">
        <v>4015</v>
      </c>
      <c r="B187" s="2" t="s">
        <v>4016</v>
      </c>
      <c r="C187" s="6">
        <v>1120001</v>
      </c>
      <c r="D187" s="7" t="s">
        <v>3760</v>
      </c>
    </row>
    <row r="188" spans="1:4" ht="15.75" thickBot="1">
      <c r="A188" s="11" t="s">
        <v>4015</v>
      </c>
      <c r="B188" s="2" t="s">
        <v>4017</v>
      </c>
      <c r="C188" s="6">
        <v>1120002</v>
      </c>
      <c r="D188" s="7" t="s">
        <v>3760</v>
      </c>
    </row>
    <row r="189" spans="1:4" ht="15.75" thickBot="1">
      <c r="A189" s="11" t="s">
        <v>4015</v>
      </c>
      <c r="B189" s="2" t="s">
        <v>4018</v>
      </c>
      <c r="C189" s="6">
        <v>1120015</v>
      </c>
      <c r="D189" s="7" t="s">
        <v>3760</v>
      </c>
    </row>
    <row r="190" spans="1:4" ht="15.75" thickBot="1">
      <c r="A190" s="11" t="s">
        <v>4015</v>
      </c>
      <c r="B190" s="2" t="s">
        <v>4019</v>
      </c>
      <c r="C190" s="6">
        <v>1120023</v>
      </c>
      <c r="D190" s="7" t="s">
        <v>3760</v>
      </c>
    </row>
    <row r="191" spans="1:4" ht="15.75" thickBot="1">
      <c r="A191" s="11" t="s">
        <v>4020</v>
      </c>
      <c r="B191" s="2" t="s">
        <v>4021</v>
      </c>
      <c r="C191" s="6">
        <v>1121004</v>
      </c>
      <c r="D191" s="7" t="s">
        <v>3760</v>
      </c>
    </row>
    <row r="192" spans="1:4" ht="15.75" thickBot="1">
      <c r="A192" s="11" t="s">
        <v>4020</v>
      </c>
      <c r="B192" s="2" t="s">
        <v>4022</v>
      </c>
      <c r="C192" s="6">
        <v>1121011</v>
      </c>
      <c r="D192" s="7" t="s">
        <v>3760</v>
      </c>
    </row>
    <row r="193" spans="1:4" ht="15.75" thickBot="1">
      <c r="A193" s="11" t="s">
        <v>4023</v>
      </c>
      <c r="B193" s="2" t="s">
        <v>4024</v>
      </c>
      <c r="C193" s="6">
        <v>4122000</v>
      </c>
      <c r="D193" s="7" t="s">
        <v>3760</v>
      </c>
    </row>
    <row r="194" spans="1:4" ht="15.75" thickBot="1">
      <c r="A194" s="11" t="s">
        <v>4025</v>
      </c>
      <c r="B194" s="2" t="s">
        <v>4025</v>
      </c>
      <c r="C194" s="6">
        <v>3023002</v>
      </c>
      <c r="D194" s="7" t="s">
        <v>3760</v>
      </c>
    </row>
    <row r="195" spans="1:4" ht="15.75" thickBot="1">
      <c r="A195" s="11" t="s">
        <v>4026</v>
      </c>
      <c r="B195" s="2" t="s">
        <v>4027</v>
      </c>
      <c r="C195" s="6">
        <v>4123000</v>
      </c>
      <c r="D195" s="7" t="s">
        <v>3760</v>
      </c>
    </row>
    <row r="196" spans="1:4" ht="15.75" thickBot="1">
      <c r="A196" s="11" t="s">
        <v>4028</v>
      </c>
      <c r="B196" s="2" t="s">
        <v>4029</v>
      </c>
      <c r="C196" s="6">
        <v>1124000</v>
      </c>
      <c r="D196" s="7" t="s">
        <v>3760</v>
      </c>
    </row>
    <row r="197" spans="1:4" ht="15.75" thickBot="1">
      <c r="A197" s="11" t="s">
        <v>4028</v>
      </c>
      <c r="B197" s="2" t="s">
        <v>4030</v>
      </c>
      <c r="C197" s="6">
        <v>1124001</v>
      </c>
      <c r="D197" s="7" t="s">
        <v>3760</v>
      </c>
    </row>
    <row r="198" spans="1:4" ht="15.75" thickBot="1">
      <c r="A198" s="11" t="s">
        <v>4028</v>
      </c>
      <c r="B198" s="2" t="s">
        <v>4031</v>
      </c>
      <c r="C198" s="6">
        <v>1124002</v>
      </c>
      <c r="D198" s="7" t="s">
        <v>3760</v>
      </c>
    </row>
    <row r="199" spans="1:4" ht="15.75" thickBot="1">
      <c r="A199" s="11" t="s">
        <v>4028</v>
      </c>
      <c r="B199" s="2" t="s">
        <v>4032</v>
      </c>
      <c r="C199" s="6">
        <v>1124003</v>
      </c>
      <c r="D199" s="7" t="s">
        <v>3760</v>
      </c>
    </row>
    <row r="200" spans="1:4" ht="15.75" thickBot="1">
      <c r="A200" s="11" t="s">
        <v>4033</v>
      </c>
      <c r="B200" s="2" t="s">
        <v>4034</v>
      </c>
      <c r="C200" s="6">
        <v>2125000</v>
      </c>
      <c r="D200" s="7" t="s">
        <v>3760</v>
      </c>
    </row>
    <row r="201" spans="1:4" ht="15.75" thickBot="1">
      <c r="A201" s="11" t="s">
        <v>4033</v>
      </c>
      <c r="B201" s="2" t="s">
        <v>4035</v>
      </c>
      <c r="C201" s="6">
        <v>2125002</v>
      </c>
      <c r="D201" s="7" t="s">
        <v>3760</v>
      </c>
    </row>
    <row r="202" spans="1:4" ht="15.75" thickBot="1">
      <c r="A202" s="11" t="s">
        <v>4033</v>
      </c>
      <c r="B202" s="2" t="s">
        <v>4036</v>
      </c>
      <c r="C202" s="6">
        <v>2125013</v>
      </c>
      <c r="D202" s="7" t="s">
        <v>3760</v>
      </c>
    </row>
    <row r="203" spans="1:4" ht="15.75" thickBot="1">
      <c r="A203" s="11" t="s">
        <v>4033</v>
      </c>
      <c r="B203" s="2" t="s">
        <v>4037</v>
      </c>
      <c r="C203" s="6">
        <v>2125014</v>
      </c>
      <c r="D203" s="7" t="s">
        <v>3760</v>
      </c>
    </row>
    <row r="204" spans="1:4" ht="15.75" thickBot="1">
      <c r="A204" s="11" t="s">
        <v>4033</v>
      </c>
      <c r="B204" s="2" t="s">
        <v>4038</v>
      </c>
      <c r="C204" s="6">
        <v>2125016</v>
      </c>
      <c r="D204" s="7" t="s">
        <v>3760</v>
      </c>
    </row>
    <row r="205" spans="1:4" ht="15.75" thickBot="1">
      <c r="A205" s="11" t="s">
        <v>4033</v>
      </c>
      <c r="B205" s="2" t="s">
        <v>4039</v>
      </c>
      <c r="C205" s="6">
        <v>2125021</v>
      </c>
      <c r="D205" s="7" t="s">
        <v>3760</v>
      </c>
    </row>
    <row r="206" spans="1:4" ht="15.75" thickBot="1">
      <c r="A206" s="11" t="s">
        <v>4040</v>
      </c>
      <c r="B206" s="2" t="s">
        <v>4041</v>
      </c>
      <c r="C206" s="6">
        <v>4126000</v>
      </c>
      <c r="D206" s="7" t="s">
        <v>3760</v>
      </c>
    </row>
    <row r="207" spans="1:4" ht="15.75" thickBot="1">
      <c r="A207" s="11" t="s">
        <v>4042</v>
      </c>
      <c r="B207" s="2" t="s">
        <v>4043</v>
      </c>
      <c r="C207" s="6">
        <v>1127000</v>
      </c>
      <c r="D207" s="7" t="s">
        <v>3760</v>
      </c>
    </row>
    <row r="208" spans="1:4" ht="15.75" thickBot="1">
      <c r="A208" s="11" t="s">
        <v>599</v>
      </c>
      <c r="B208" s="2" t="s">
        <v>4044</v>
      </c>
      <c r="C208" s="6">
        <v>3128000</v>
      </c>
      <c r="D208" s="7" t="s">
        <v>3760</v>
      </c>
    </row>
    <row r="209" spans="1:4" ht="15.75" thickBot="1">
      <c r="A209" s="11" t="s">
        <v>4045</v>
      </c>
      <c r="B209" s="2" t="s">
        <v>4046</v>
      </c>
      <c r="C209" s="6">
        <v>1340000</v>
      </c>
      <c r="D209" s="7" t="s">
        <v>3760</v>
      </c>
    </row>
    <row r="210" spans="1:4" ht="24.75" thickBot="1">
      <c r="A210" s="11" t="s">
        <v>4047</v>
      </c>
      <c r="B210" s="2" t="s">
        <v>4048</v>
      </c>
      <c r="C210" s="6">
        <v>4131000</v>
      </c>
      <c r="D210" s="7" t="s">
        <v>3760</v>
      </c>
    </row>
    <row r="211" spans="1:4" ht="15.75" thickBot="1">
      <c r="A211" s="11" t="s">
        <v>4049</v>
      </c>
      <c r="B211" s="2" t="s">
        <v>4050</v>
      </c>
      <c r="C211" s="6">
        <v>1132000</v>
      </c>
      <c r="D211" s="7" t="s">
        <v>3760</v>
      </c>
    </row>
    <row r="212" spans="1:4" ht="15.75" thickBot="1">
      <c r="A212" s="11" t="s">
        <v>4049</v>
      </c>
      <c r="B212" s="2" t="s">
        <v>4051</v>
      </c>
      <c r="C212" s="6">
        <v>1132002</v>
      </c>
      <c r="D212" s="7" t="s">
        <v>3760</v>
      </c>
    </row>
    <row r="213" spans="1:4" ht="15.75" thickBot="1">
      <c r="A213" s="11" t="s">
        <v>4049</v>
      </c>
      <c r="B213" s="2" t="s">
        <v>4052</v>
      </c>
      <c r="C213" s="6">
        <v>1132008</v>
      </c>
      <c r="D213" s="7" t="s">
        <v>3760</v>
      </c>
    </row>
    <row r="214" spans="1:4" ht="15.75" thickBot="1">
      <c r="A214" s="11" t="s">
        <v>4049</v>
      </c>
      <c r="B214" s="2" t="s">
        <v>4053</v>
      </c>
      <c r="C214" s="6">
        <v>1132009</v>
      </c>
      <c r="D214" s="7" t="s">
        <v>3760</v>
      </c>
    </row>
    <row r="215" spans="1:4" ht="15.75" thickBot="1">
      <c r="A215" s="11" t="s">
        <v>4054</v>
      </c>
      <c r="B215" s="2" t="s">
        <v>4055</v>
      </c>
      <c r="C215" s="6">
        <v>4133000</v>
      </c>
      <c r="D215" s="7" t="s">
        <v>3760</v>
      </c>
    </row>
    <row r="216" spans="1:4" ht="15.75" thickBot="1">
      <c r="A216" s="11" t="s">
        <v>4056</v>
      </c>
      <c r="B216" s="2" t="s">
        <v>4057</v>
      </c>
      <c r="C216" s="6">
        <v>2134000</v>
      </c>
      <c r="D216" s="7" t="s">
        <v>3760</v>
      </c>
    </row>
    <row r="217" spans="1:4" ht="15.75" thickBot="1">
      <c r="A217" s="11" t="s">
        <v>616</v>
      </c>
      <c r="B217" s="2" t="s">
        <v>4058</v>
      </c>
      <c r="C217" s="6">
        <v>2136000</v>
      </c>
      <c r="D217" s="7" t="s">
        <v>3760</v>
      </c>
    </row>
    <row r="218" spans="1:4" ht="15.75" thickBot="1">
      <c r="A218" s="11" t="s">
        <v>624</v>
      </c>
      <c r="B218" s="2" t="s">
        <v>4059</v>
      </c>
      <c r="C218" s="6">
        <v>1137000</v>
      </c>
      <c r="D218" s="7" t="s">
        <v>3760</v>
      </c>
    </row>
    <row r="219" spans="1:4" ht="15.75" thickBot="1">
      <c r="A219" s="11" t="s">
        <v>632</v>
      </c>
      <c r="B219" s="2" t="s">
        <v>4060</v>
      </c>
      <c r="C219" s="6">
        <v>2138000</v>
      </c>
      <c r="D219" s="7" t="s">
        <v>3760</v>
      </c>
    </row>
    <row r="220" spans="1:4" ht="15.75" thickBot="1">
      <c r="A220" s="11" t="s">
        <v>639</v>
      </c>
      <c r="B220" s="2" t="s">
        <v>4061</v>
      </c>
      <c r="C220" s="6">
        <v>2139000</v>
      </c>
      <c r="D220" s="7" t="s">
        <v>3760</v>
      </c>
    </row>
    <row r="221" spans="1:4" ht="15.75" thickBot="1">
      <c r="A221" s="11" t="s">
        <v>639</v>
      </c>
      <c r="B221" s="2" t="s">
        <v>4062</v>
      </c>
      <c r="C221" s="6">
        <v>2139006</v>
      </c>
      <c r="D221" s="7" t="s">
        <v>3760</v>
      </c>
    </row>
    <row r="222" spans="1:4" ht="15.75" thickBot="1">
      <c r="A222" s="11" t="s">
        <v>639</v>
      </c>
      <c r="B222" s="2" t="s">
        <v>4063</v>
      </c>
      <c r="C222" s="6">
        <v>2139007</v>
      </c>
      <c r="D222" s="7" t="s">
        <v>3760</v>
      </c>
    </row>
    <row r="223" spans="1:4" ht="15.75" thickBot="1">
      <c r="A223" s="11" t="s">
        <v>639</v>
      </c>
      <c r="B223" s="2" t="s">
        <v>4064</v>
      </c>
      <c r="C223" s="6">
        <v>2139008</v>
      </c>
      <c r="D223" s="7" t="s">
        <v>3760</v>
      </c>
    </row>
    <row r="224" spans="1:4" ht="15.75" thickBot="1">
      <c r="A224" s="11" t="s">
        <v>639</v>
      </c>
      <c r="B224" s="2" t="s">
        <v>4065</v>
      </c>
      <c r="C224" s="6">
        <v>2139010</v>
      </c>
      <c r="D224" s="7" t="s">
        <v>3760</v>
      </c>
    </row>
    <row r="225" spans="1:4" ht="15.75" thickBot="1">
      <c r="A225" s="11" t="s">
        <v>639</v>
      </c>
      <c r="B225" s="2" t="s">
        <v>4066</v>
      </c>
      <c r="C225" s="6">
        <v>2139011</v>
      </c>
      <c r="D225" s="7" t="s">
        <v>3760</v>
      </c>
    </row>
    <row r="226" spans="1:4" ht="15.75" thickBot="1">
      <c r="A226" s="11" t="s">
        <v>4067</v>
      </c>
      <c r="B226" s="2" t="s">
        <v>4068</v>
      </c>
      <c r="C226" s="6">
        <v>2140010</v>
      </c>
      <c r="D226" s="7" t="s">
        <v>3760</v>
      </c>
    </row>
    <row r="227" spans="1:4" ht="15.75" thickBot="1">
      <c r="A227" s="11" t="s">
        <v>4067</v>
      </c>
      <c r="B227" s="2" t="s">
        <v>4069</v>
      </c>
      <c r="C227" s="6">
        <v>2140011</v>
      </c>
      <c r="D227" s="7" t="s">
        <v>3760</v>
      </c>
    </row>
    <row r="228" spans="1:4" ht="15.75" thickBot="1">
      <c r="A228" s="11" t="s">
        <v>4067</v>
      </c>
      <c r="B228" s="2" t="s">
        <v>4070</v>
      </c>
      <c r="C228" s="6">
        <v>2140013</v>
      </c>
      <c r="D228" s="7" t="s">
        <v>3760</v>
      </c>
    </row>
    <row r="229" spans="1:4" ht="15.75" thickBot="1">
      <c r="A229" s="11" t="s">
        <v>647</v>
      </c>
      <c r="B229" s="2" t="s">
        <v>4071</v>
      </c>
      <c r="C229" s="6">
        <v>2141000</v>
      </c>
      <c r="D229" s="7" t="s">
        <v>3760</v>
      </c>
    </row>
    <row r="230" spans="1:4" ht="15.75" thickBot="1">
      <c r="A230" s="11" t="s">
        <v>4072</v>
      </c>
      <c r="B230" s="2" t="s">
        <v>4073</v>
      </c>
      <c r="C230" s="6">
        <v>1143000</v>
      </c>
      <c r="D230" s="7" t="s">
        <v>3760</v>
      </c>
    </row>
    <row r="231" spans="1:4" ht="15.75" thickBot="1">
      <c r="A231" s="11" t="s">
        <v>4074</v>
      </c>
      <c r="B231" s="2" t="s">
        <v>4075</v>
      </c>
      <c r="C231" s="6">
        <v>4020004</v>
      </c>
      <c r="D231" s="7" t="s">
        <v>3760</v>
      </c>
    </row>
    <row r="232" spans="1:4" ht="15.75" thickBot="1">
      <c r="A232" s="11" t="s">
        <v>4076</v>
      </c>
      <c r="B232" s="2" t="s">
        <v>4077</v>
      </c>
      <c r="C232" s="6">
        <v>3144000</v>
      </c>
      <c r="D232" s="7" t="s">
        <v>3760</v>
      </c>
    </row>
    <row r="233" spans="1:4" ht="15.75" thickBot="1">
      <c r="A233" s="11" t="s">
        <v>4078</v>
      </c>
      <c r="B233" s="2" t="s">
        <v>4079</v>
      </c>
      <c r="C233" s="6">
        <v>4145000</v>
      </c>
      <c r="D233" s="7" t="s">
        <v>3760</v>
      </c>
    </row>
    <row r="234" spans="1:4" ht="15.75" thickBot="1">
      <c r="A234" s="11" t="s">
        <v>4078</v>
      </c>
      <c r="B234" s="2" t="s">
        <v>4080</v>
      </c>
      <c r="C234" s="6">
        <v>4145006</v>
      </c>
      <c r="D234" s="7" t="s">
        <v>3760</v>
      </c>
    </row>
    <row r="235" spans="1:4" ht="15.75" thickBot="1">
      <c r="A235" s="11" t="s">
        <v>4081</v>
      </c>
      <c r="B235" s="2" t="s">
        <v>4082</v>
      </c>
      <c r="C235" s="6">
        <v>4146004</v>
      </c>
      <c r="D235" s="7" t="s">
        <v>3760</v>
      </c>
    </row>
    <row r="236" spans="1:4" ht="15.75" thickBot="1">
      <c r="A236" s="11" t="s">
        <v>4081</v>
      </c>
      <c r="B236" s="2" t="s">
        <v>4083</v>
      </c>
      <c r="C236" s="6">
        <v>4146039</v>
      </c>
      <c r="D236" s="7" t="s">
        <v>3760</v>
      </c>
    </row>
    <row r="237" spans="1:4" ht="15.75" thickBot="1">
      <c r="A237" s="11" t="s">
        <v>4081</v>
      </c>
      <c r="B237" s="2" t="s">
        <v>4084</v>
      </c>
      <c r="C237" s="6">
        <v>4146045</v>
      </c>
      <c r="D237" s="7" t="s">
        <v>3760</v>
      </c>
    </row>
    <row r="238" spans="1:4" ht="15.75" thickBot="1">
      <c r="A238" s="11" t="s">
        <v>4085</v>
      </c>
      <c r="B238" s="2" t="s">
        <v>4086</v>
      </c>
      <c r="C238" s="6">
        <v>2147000</v>
      </c>
      <c r="D238" s="7" t="s">
        <v>3760</v>
      </c>
    </row>
    <row r="239" spans="1:4" ht="15.75" thickBot="1">
      <c r="A239" s="11" t="s">
        <v>4085</v>
      </c>
      <c r="B239" s="2" t="s">
        <v>4087</v>
      </c>
      <c r="C239" s="6">
        <v>2147008</v>
      </c>
      <c r="D239" s="7" t="s">
        <v>3760</v>
      </c>
    </row>
    <row r="240" spans="1:4" ht="15.75" thickBot="1">
      <c r="A240" s="11" t="s">
        <v>4088</v>
      </c>
      <c r="B240" s="2" t="s">
        <v>4089</v>
      </c>
      <c r="C240" s="6">
        <v>1148000</v>
      </c>
      <c r="D240" s="7" t="s">
        <v>3760</v>
      </c>
    </row>
    <row r="241" spans="1:4" ht="15.75" thickBot="1">
      <c r="A241" s="11" t="s">
        <v>4088</v>
      </c>
      <c r="B241" s="2" t="s">
        <v>4090</v>
      </c>
      <c r="C241" s="6">
        <v>1148008</v>
      </c>
      <c r="D241" s="7" t="s">
        <v>3760</v>
      </c>
    </row>
    <row r="242" spans="1:4" ht="15.75" thickBot="1">
      <c r="A242" s="11" t="s">
        <v>664</v>
      </c>
      <c r="B242" s="2" t="s">
        <v>4091</v>
      </c>
      <c r="C242" s="6">
        <v>3149000</v>
      </c>
      <c r="D242" s="7" t="s">
        <v>3760</v>
      </c>
    </row>
    <row r="243" spans="1:4" ht="15.75" thickBot="1">
      <c r="A243" s="11" t="s">
        <v>4092</v>
      </c>
      <c r="B243" s="2" t="s">
        <v>4093</v>
      </c>
      <c r="C243" s="6">
        <v>1150000</v>
      </c>
      <c r="D243" s="7" t="s">
        <v>3760</v>
      </c>
    </row>
    <row r="244" spans="1:4" ht="15.75" thickBot="1">
      <c r="A244" s="11" t="s">
        <v>4092</v>
      </c>
      <c r="B244" s="2" t="s">
        <v>4094</v>
      </c>
      <c r="C244" s="6">
        <v>1150003</v>
      </c>
      <c r="D244" s="7" t="s">
        <v>3760</v>
      </c>
    </row>
    <row r="245" spans="1:4" ht="15.75" thickBot="1">
      <c r="A245" s="11" t="s">
        <v>4095</v>
      </c>
      <c r="B245" s="2" t="s">
        <v>4096</v>
      </c>
      <c r="C245" s="6">
        <v>1214001</v>
      </c>
      <c r="D245" s="7" t="s">
        <v>3760</v>
      </c>
    </row>
    <row r="246" spans="1:4" ht="15.75" thickBot="1">
      <c r="A246" s="11" t="s">
        <v>672</v>
      </c>
      <c r="B246" s="2" t="s">
        <v>4097</v>
      </c>
      <c r="C246" s="6">
        <v>2151000</v>
      </c>
      <c r="D246" s="7" t="s">
        <v>3760</v>
      </c>
    </row>
    <row r="247" spans="1:4" ht="15.75" thickBot="1">
      <c r="A247" s="11" t="s">
        <v>672</v>
      </c>
      <c r="B247" s="2" t="s">
        <v>4098</v>
      </c>
      <c r="C247" s="6">
        <v>2151001</v>
      </c>
      <c r="D247" s="7" t="s">
        <v>3760</v>
      </c>
    </row>
    <row r="248" spans="1:4" ht="15.75" thickBot="1">
      <c r="A248" s="11" t="s">
        <v>672</v>
      </c>
      <c r="B248" s="2" t="s">
        <v>4099</v>
      </c>
      <c r="C248" s="6">
        <v>2151002</v>
      </c>
      <c r="D248" s="7" t="s">
        <v>3760</v>
      </c>
    </row>
    <row r="249" spans="1:4" ht="15.75" thickBot="1">
      <c r="A249" s="11" t="s">
        <v>672</v>
      </c>
      <c r="B249" s="2" t="s">
        <v>4100</v>
      </c>
      <c r="C249" s="6">
        <v>2151009</v>
      </c>
      <c r="D249" s="7" t="s">
        <v>3760</v>
      </c>
    </row>
    <row r="250" spans="1:4" ht="15.75" thickBot="1">
      <c r="A250" s="11" t="s">
        <v>4101</v>
      </c>
      <c r="B250" s="2" t="s">
        <v>4102</v>
      </c>
      <c r="C250" s="6">
        <v>1152000</v>
      </c>
      <c r="D250" s="7" t="s">
        <v>3760</v>
      </c>
    </row>
    <row r="251" spans="1:4" ht="15.75" thickBot="1">
      <c r="A251" s="11" t="s">
        <v>4103</v>
      </c>
      <c r="B251" s="2" t="s">
        <v>4104</v>
      </c>
      <c r="C251" s="6">
        <v>2153000</v>
      </c>
      <c r="D251" s="7" t="s">
        <v>3760</v>
      </c>
    </row>
    <row r="252" spans="1:4" ht="15.75" thickBot="1">
      <c r="A252" s="11" t="s">
        <v>679</v>
      </c>
      <c r="B252" s="2" t="s">
        <v>4105</v>
      </c>
      <c r="C252" s="6">
        <v>3155000</v>
      </c>
      <c r="D252" s="7" t="s">
        <v>3760</v>
      </c>
    </row>
    <row r="253" spans="1:4" ht="15.75" thickBot="1">
      <c r="A253" s="11" t="s">
        <v>4106</v>
      </c>
      <c r="B253" s="2" t="s">
        <v>4107</v>
      </c>
      <c r="C253" s="6">
        <v>3157000</v>
      </c>
      <c r="D253" s="7" t="s">
        <v>3760</v>
      </c>
    </row>
    <row r="254" spans="1:4" ht="15.75" thickBot="1">
      <c r="A254" s="11" t="s">
        <v>4106</v>
      </c>
      <c r="B254" s="2" t="s">
        <v>4108</v>
      </c>
      <c r="C254" s="6">
        <v>3157001</v>
      </c>
      <c r="D254" s="7" t="s">
        <v>3760</v>
      </c>
    </row>
    <row r="255" spans="1:4" ht="15.75" thickBot="1">
      <c r="A255" s="11" t="s">
        <v>689</v>
      </c>
      <c r="B255" s="2" t="s">
        <v>4109</v>
      </c>
      <c r="C255" s="6">
        <v>2158000</v>
      </c>
      <c r="D255" s="7" t="s">
        <v>3760</v>
      </c>
    </row>
    <row r="256" spans="1:4" ht="15.75" thickBot="1">
      <c r="A256" s="11" t="s">
        <v>694</v>
      </c>
      <c r="B256" s="2" t="s">
        <v>4110</v>
      </c>
      <c r="C256" s="6">
        <v>1159000</v>
      </c>
      <c r="D256" s="7" t="s">
        <v>3760</v>
      </c>
    </row>
    <row r="257" spans="1:4" ht="15.75" thickBot="1">
      <c r="A257" s="11" t="s">
        <v>703</v>
      </c>
      <c r="B257" s="2" t="s">
        <v>4111</v>
      </c>
      <c r="C257" s="6">
        <v>3160000</v>
      </c>
      <c r="D257" s="7" t="s">
        <v>3760</v>
      </c>
    </row>
    <row r="258" spans="1:4" ht="15.75" thickBot="1">
      <c r="A258" s="11" t="s">
        <v>4112</v>
      </c>
      <c r="B258" s="2" t="s">
        <v>4113</v>
      </c>
      <c r="C258" s="6">
        <v>2162000</v>
      </c>
      <c r="D258" s="7" t="s">
        <v>3760</v>
      </c>
    </row>
    <row r="259" spans="1:4" ht="15.75" thickBot="1">
      <c r="A259" s="11" t="s">
        <v>710</v>
      </c>
      <c r="B259" s="2" t="s">
        <v>4114</v>
      </c>
      <c r="C259" s="6">
        <v>3163000</v>
      </c>
      <c r="D259" s="7" t="s">
        <v>3760</v>
      </c>
    </row>
    <row r="260" spans="1:4" ht="15.75" thickBot="1">
      <c r="A260" s="11" t="s">
        <v>4115</v>
      </c>
      <c r="B260" s="2" t="s">
        <v>4116</v>
      </c>
      <c r="C260" s="6">
        <v>3164001</v>
      </c>
      <c r="D260" s="7" t="s">
        <v>3760</v>
      </c>
    </row>
    <row r="261" spans="1:4" ht="15.75" thickBot="1">
      <c r="A261" s="11" t="s">
        <v>4117</v>
      </c>
      <c r="B261" s="2" t="s">
        <v>4118</v>
      </c>
      <c r="C261" s="6">
        <v>3164000</v>
      </c>
      <c r="D261" s="7" t="s">
        <v>3760</v>
      </c>
    </row>
    <row r="262" spans="1:4" ht="15.75" thickBot="1">
      <c r="A262" s="11" t="s">
        <v>4119</v>
      </c>
      <c r="B262" s="2" t="s">
        <v>4120</v>
      </c>
      <c r="C262" s="6">
        <v>3165000</v>
      </c>
      <c r="D262" s="7" t="s">
        <v>3760</v>
      </c>
    </row>
    <row r="263" spans="1:4" ht="15.75" thickBot="1">
      <c r="A263" s="11" t="s">
        <v>4121</v>
      </c>
      <c r="B263" s="2" t="s">
        <v>4122</v>
      </c>
      <c r="C263" s="6">
        <v>3166000</v>
      </c>
      <c r="D263" s="7" t="s">
        <v>3760</v>
      </c>
    </row>
    <row r="264" spans="1:4" ht="15.75" thickBot="1">
      <c r="A264" s="11" t="s">
        <v>4123</v>
      </c>
      <c r="B264" s="2" t="s">
        <v>4124</v>
      </c>
      <c r="C264" s="6">
        <v>4167000</v>
      </c>
      <c r="D264" s="7" t="s">
        <v>3760</v>
      </c>
    </row>
    <row r="265" spans="1:4" ht="15.75" thickBot="1">
      <c r="A265" s="11" t="s">
        <v>4125</v>
      </c>
      <c r="B265" s="2" t="s">
        <v>4126</v>
      </c>
      <c r="C265" s="6">
        <v>3168000</v>
      </c>
      <c r="D265" s="7" t="s">
        <v>3760</v>
      </c>
    </row>
    <row r="266" spans="1:4" ht="15.75" thickBot="1">
      <c r="A266" s="11" t="s">
        <v>4127</v>
      </c>
      <c r="B266" s="2" t="s">
        <v>4128</v>
      </c>
      <c r="C266" s="6">
        <v>4169000</v>
      </c>
      <c r="D266" s="7" t="s">
        <v>3760</v>
      </c>
    </row>
    <row r="267" spans="1:4" ht="15.75" thickBot="1">
      <c r="A267" s="11" t="s">
        <v>729</v>
      </c>
      <c r="B267" s="2" t="s">
        <v>4129</v>
      </c>
      <c r="C267" s="6">
        <v>2170000</v>
      </c>
      <c r="D267" s="7" t="s">
        <v>3760</v>
      </c>
    </row>
    <row r="268" spans="1:4" ht="15.75" thickBot="1">
      <c r="A268" s="11" t="s">
        <v>736</v>
      </c>
      <c r="B268" s="2" t="s">
        <v>4130</v>
      </c>
      <c r="C268" s="6">
        <v>4171000</v>
      </c>
      <c r="D268" s="7" t="s">
        <v>3760</v>
      </c>
    </row>
    <row r="269" spans="1:4" ht="15.75" thickBot="1">
      <c r="A269" s="11" t="s">
        <v>4131</v>
      </c>
      <c r="B269" s="2" t="s">
        <v>4132</v>
      </c>
      <c r="C269" s="6">
        <v>4172001</v>
      </c>
      <c r="D269" s="7" t="s">
        <v>3760</v>
      </c>
    </row>
    <row r="270" spans="1:4" ht="15.75" thickBot="1">
      <c r="A270" s="11" t="s">
        <v>4131</v>
      </c>
      <c r="B270" s="2" t="s">
        <v>4133</v>
      </c>
      <c r="C270" s="6">
        <v>4172033</v>
      </c>
      <c r="D270" s="7" t="s">
        <v>3760</v>
      </c>
    </row>
    <row r="271" spans="1:4" ht="15.75" thickBot="1">
      <c r="A271" s="11" t="s">
        <v>4131</v>
      </c>
      <c r="B271" s="2" t="s">
        <v>4134</v>
      </c>
      <c r="C271" s="6">
        <v>4172035</v>
      </c>
      <c r="D271" s="7" t="s">
        <v>3760</v>
      </c>
    </row>
    <row r="272" spans="1:4" ht="15.75" thickBot="1">
      <c r="A272" s="11" t="s">
        <v>4131</v>
      </c>
      <c r="B272" s="2" t="s">
        <v>4135</v>
      </c>
      <c r="C272" s="6">
        <v>4172039</v>
      </c>
      <c r="D272" s="7" t="s">
        <v>3760</v>
      </c>
    </row>
    <row r="273" spans="1:4" ht="15.75" thickBot="1">
      <c r="A273" s="11" t="s">
        <v>4136</v>
      </c>
      <c r="B273" s="2" t="s">
        <v>4137</v>
      </c>
      <c r="C273" s="6">
        <v>4173000</v>
      </c>
      <c r="D273" s="7" t="s">
        <v>3760</v>
      </c>
    </row>
    <row r="274" spans="1:4" ht="15.75" thickBot="1">
      <c r="A274" s="11" t="s">
        <v>4136</v>
      </c>
      <c r="B274" s="2" t="s">
        <v>4138</v>
      </c>
      <c r="C274" s="6">
        <v>4173001</v>
      </c>
      <c r="D274" s="7" t="s">
        <v>3760</v>
      </c>
    </row>
    <row r="275" spans="1:4" ht="15.75" thickBot="1">
      <c r="A275" s="11" t="s">
        <v>4139</v>
      </c>
      <c r="B275" s="2" t="s">
        <v>4140</v>
      </c>
      <c r="C275" s="6">
        <v>2174000</v>
      </c>
      <c r="D275" s="7" t="s">
        <v>3760</v>
      </c>
    </row>
    <row r="276" spans="1:4" ht="15.75" thickBot="1">
      <c r="A276" s="11" t="s">
        <v>4141</v>
      </c>
      <c r="B276" s="2" t="s">
        <v>4142</v>
      </c>
      <c r="C276" s="6">
        <v>2175000</v>
      </c>
      <c r="D276" s="7" t="s">
        <v>3760</v>
      </c>
    </row>
    <row r="277" spans="1:4" ht="15.75" thickBot="1">
      <c r="A277" s="11" t="s">
        <v>4143</v>
      </c>
      <c r="B277" s="2" t="s">
        <v>4144</v>
      </c>
      <c r="C277" s="6">
        <v>3176000</v>
      </c>
      <c r="D277" s="7" t="s">
        <v>3760</v>
      </c>
    </row>
    <row r="278" spans="1:4" ht="15.75" thickBot="1">
      <c r="A278" s="11" t="s">
        <v>748</v>
      </c>
      <c r="B278" s="2" t="s">
        <v>4145</v>
      </c>
      <c r="C278" s="6">
        <v>2177000</v>
      </c>
      <c r="D278" s="7" t="s">
        <v>3760</v>
      </c>
    </row>
    <row r="279" spans="1:4" ht="15.75" thickBot="1">
      <c r="A279" s="11" t="s">
        <v>756</v>
      </c>
      <c r="B279" s="2" t="s">
        <v>4146</v>
      </c>
      <c r="C279" s="6">
        <v>3178000</v>
      </c>
      <c r="D279" s="7" t="s">
        <v>3760</v>
      </c>
    </row>
    <row r="280" spans="1:4" ht="15.75" thickBot="1">
      <c r="A280" s="11" t="s">
        <v>1312</v>
      </c>
      <c r="B280" s="2" t="s">
        <v>4147</v>
      </c>
      <c r="C280" s="6">
        <v>2179000</v>
      </c>
      <c r="D280" s="7" t="s">
        <v>3760</v>
      </c>
    </row>
    <row r="281" spans="1:4" ht="15.75" thickBot="1">
      <c r="A281" s="11" t="s">
        <v>1312</v>
      </c>
      <c r="B281" s="2" t="s">
        <v>4148</v>
      </c>
      <c r="C281" s="6">
        <v>2179001</v>
      </c>
      <c r="D281" s="7" t="s">
        <v>3760</v>
      </c>
    </row>
    <row r="282" spans="1:4" ht="15.75" thickBot="1">
      <c r="A282" s="11" t="s">
        <v>4149</v>
      </c>
      <c r="B282" s="2" t="s">
        <v>4150</v>
      </c>
      <c r="C282" s="6">
        <v>3180000</v>
      </c>
      <c r="D282" s="7" t="s">
        <v>3760</v>
      </c>
    </row>
    <row r="283" spans="1:4" ht="15.75" thickBot="1">
      <c r="A283" s="11" t="s">
        <v>766</v>
      </c>
      <c r="B283" s="2" t="s">
        <v>4151</v>
      </c>
      <c r="C283" s="6">
        <v>3181000</v>
      </c>
      <c r="D283" s="7" t="s">
        <v>3760</v>
      </c>
    </row>
    <row r="284" spans="1:4" ht="15.75" thickBot="1">
      <c r="A284" s="11" t="s">
        <v>773</v>
      </c>
      <c r="B284" s="2" t="s">
        <v>4152</v>
      </c>
      <c r="C284" s="6">
        <v>4182000</v>
      </c>
      <c r="D284" s="7" t="s">
        <v>3760</v>
      </c>
    </row>
    <row r="285" spans="1:4" ht="15.75" thickBot="1">
      <c r="A285" s="11" t="s">
        <v>773</v>
      </c>
      <c r="B285" s="2" t="s">
        <v>4153</v>
      </c>
      <c r="C285" s="6">
        <v>4182015</v>
      </c>
      <c r="D285" s="7" t="s">
        <v>3760</v>
      </c>
    </row>
    <row r="286" spans="1:4" ht="15.75" thickBot="1">
      <c r="A286" s="11" t="s">
        <v>4154</v>
      </c>
      <c r="B286" s="2" t="s">
        <v>4155</v>
      </c>
      <c r="C286" s="6">
        <v>3071000</v>
      </c>
      <c r="D286" s="7" t="s">
        <v>3760</v>
      </c>
    </row>
    <row r="287" spans="1:4" ht="15.75" thickBot="1">
      <c r="A287" s="11" t="s">
        <v>4154</v>
      </c>
      <c r="B287" s="2" t="s">
        <v>4156</v>
      </c>
      <c r="C287" s="6">
        <v>3184000</v>
      </c>
      <c r="D287" s="7" t="s">
        <v>3760</v>
      </c>
    </row>
    <row r="288" spans="1:4" ht="15.75" thickBot="1">
      <c r="A288" s="11" t="s">
        <v>4157</v>
      </c>
      <c r="B288" s="2" t="s">
        <v>4158</v>
      </c>
      <c r="C288" s="6">
        <v>2185000</v>
      </c>
      <c r="D288" s="7" t="s">
        <v>3760</v>
      </c>
    </row>
    <row r="289" spans="1:4" ht="15.75" thickBot="1">
      <c r="A289" s="11" t="s">
        <v>4159</v>
      </c>
      <c r="B289" s="2" t="s">
        <v>4160</v>
      </c>
      <c r="C289" s="6">
        <v>1203000</v>
      </c>
      <c r="D289" s="7" t="s">
        <v>3760</v>
      </c>
    </row>
    <row r="290" spans="1:4" ht="15.75" thickBot="1">
      <c r="A290" s="11" t="s">
        <v>780</v>
      </c>
      <c r="B290" s="2" t="s">
        <v>4161</v>
      </c>
      <c r="C290" s="6">
        <v>2186000</v>
      </c>
      <c r="D290" s="7" t="s">
        <v>3760</v>
      </c>
    </row>
    <row r="291" spans="1:4" ht="15.75" thickBot="1">
      <c r="A291" s="11" t="s">
        <v>780</v>
      </c>
      <c r="B291" s="2" t="s">
        <v>4162</v>
      </c>
      <c r="C291" s="6">
        <v>2186001</v>
      </c>
      <c r="D291" s="7" t="s">
        <v>3760</v>
      </c>
    </row>
    <row r="292" spans="1:4" ht="15.75" thickBot="1">
      <c r="A292" s="11" t="s">
        <v>4163</v>
      </c>
      <c r="B292" s="2" t="s">
        <v>4164</v>
      </c>
      <c r="C292" s="6">
        <v>2187000</v>
      </c>
      <c r="D292" s="7" t="s">
        <v>3760</v>
      </c>
    </row>
    <row r="293" spans="1:4" ht="15.75" thickBot="1">
      <c r="A293" s="11" t="s">
        <v>4163</v>
      </c>
      <c r="B293" s="2" t="s">
        <v>4165</v>
      </c>
      <c r="C293" s="6">
        <v>2187002</v>
      </c>
      <c r="D293" s="7" t="s">
        <v>3760</v>
      </c>
    </row>
    <row r="294" spans="1:4" ht="15.75" thickBot="1">
      <c r="A294" s="11" t="s">
        <v>4166</v>
      </c>
      <c r="B294" s="2" t="s">
        <v>4167</v>
      </c>
      <c r="C294" s="6">
        <v>3189000</v>
      </c>
      <c r="D294" s="7" t="s">
        <v>3760</v>
      </c>
    </row>
    <row r="295" spans="1:4" ht="15.75" thickBot="1">
      <c r="A295" s="11" t="s">
        <v>4168</v>
      </c>
      <c r="B295" s="2" t="s">
        <v>4169</v>
      </c>
      <c r="C295" s="6">
        <v>1190000</v>
      </c>
      <c r="D295" s="7" t="s">
        <v>3760</v>
      </c>
    </row>
    <row r="296" spans="1:4" ht="15.75" thickBot="1">
      <c r="A296" s="11" t="s">
        <v>789</v>
      </c>
      <c r="B296" s="2" t="s">
        <v>4170</v>
      </c>
      <c r="C296" s="6">
        <v>1191000</v>
      </c>
      <c r="D296" s="7" t="s">
        <v>3760</v>
      </c>
    </row>
    <row r="297" spans="1:4" ht="15.75" thickBot="1">
      <c r="A297" s="11" t="s">
        <v>4171</v>
      </c>
      <c r="B297" s="2" t="s">
        <v>4172</v>
      </c>
      <c r="C297" s="6">
        <v>1192003</v>
      </c>
      <c r="D297" s="7" t="s">
        <v>3760</v>
      </c>
    </row>
    <row r="298" spans="1:4" ht="15.75" thickBot="1">
      <c r="A298" s="11" t="s">
        <v>4173</v>
      </c>
      <c r="B298" s="2" t="s">
        <v>4174</v>
      </c>
      <c r="C298" s="6">
        <v>1193000</v>
      </c>
      <c r="D298" s="7" t="s">
        <v>3760</v>
      </c>
    </row>
    <row r="299" spans="1:4" ht="15.75" thickBot="1">
      <c r="A299" s="11" t="s">
        <v>4173</v>
      </c>
      <c r="B299" s="2" t="s">
        <v>4175</v>
      </c>
      <c r="C299" s="6">
        <v>1193003</v>
      </c>
      <c r="D299" s="7" t="s">
        <v>3760</v>
      </c>
    </row>
    <row r="300" spans="1:4" ht="15.75" thickBot="1">
      <c r="A300" s="11" t="s">
        <v>796</v>
      </c>
      <c r="B300" s="2" t="s">
        <v>4176</v>
      </c>
      <c r="C300" s="6">
        <v>3196000</v>
      </c>
      <c r="D300" s="7" t="s">
        <v>3760</v>
      </c>
    </row>
    <row r="301" spans="1:4" ht="15.75" thickBot="1">
      <c r="A301" s="11" t="s">
        <v>4177</v>
      </c>
      <c r="B301" s="2" t="s">
        <v>4178</v>
      </c>
      <c r="C301" s="6">
        <v>4197000</v>
      </c>
      <c r="D301" s="7" t="s">
        <v>3760</v>
      </c>
    </row>
    <row r="302" spans="1:4" ht="15.75" thickBot="1">
      <c r="A302" s="11" t="s">
        <v>4177</v>
      </c>
      <c r="B302" s="2" t="s">
        <v>4179</v>
      </c>
      <c r="C302" s="6">
        <v>4197001</v>
      </c>
      <c r="D302" s="7" t="s">
        <v>3760</v>
      </c>
    </row>
    <row r="303" spans="1:4" ht="15.75" thickBot="1">
      <c r="A303" s="11" t="s">
        <v>1320</v>
      </c>
      <c r="B303" s="2" t="s">
        <v>4180</v>
      </c>
      <c r="C303" s="6">
        <v>3198000</v>
      </c>
      <c r="D303" s="7" t="s">
        <v>3760</v>
      </c>
    </row>
    <row r="304" spans="1:4" ht="15.75" thickBot="1">
      <c r="A304" s="11" t="s">
        <v>1329</v>
      </c>
      <c r="B304" s="2" t="s">
        <v>4181</v>
      </c>
      <c r="C304" s="6">
        <v>3199000</v>
      </c>
      <c r="D304" s="7" t="s">
        <v>3760</v>
      </c>
    </row>
    <row r="305" spans="1:4" ht="15.75" thickBot="1">
      <c r="A305" s="11" t="s">
        <v>803</v>
      </c>
      <c r="B305" s="2" t="s">
        <v>4182</v>
      </c>
      <c r="C305" s="6">
        <v>4201000</v>
      </c>
      <c r="D305" s="7" t="s">
        <v>3760</v>
      </c>
    </row>
    <row r="306" spans="1:4" ht="15.75" thickBot="1">
      <c r="A306" s="11" t="s">
        <v>4183</v>
      </c>
      <c r="B306" s="2" t="s">
        <v>4184</v>
      </c>
      <c r="C306" s="6">
        <v>3206000</v>
      </c>
      <c r="D306" s="7" t="s">
        <v>3760</v>
      </c>
    </row>
    <row r="307" spans="1:4" ht="15.75" thickBot="1">
      <c r="A307" s="11" t="s">
        <v>4185</v>
      </c>
      <c r="B307" s="2" t="s">
        <v>4186</v>
      </c>
      <c r="C307" s="6">
        <v>3207000</v>
      </c>
      <c r="D307" s="7" t="s">
        <v>3760</v>
      </c>
    </row>
    <row r="308" spans="1:4" ht="15.75" thickBot="1">
      <c r="A308" s="11" t="s">
        <v>818</v>
      </c>
      <c r="B308" s="2" t="s">
        <v>4187</v>
      </c>
      <c r="C308" s="6">
        <v>2208000</v>
      </c>
      <c r="D308" s="7" t="s">
        <v>3760</v>
      </c>
    </row>
    <row r="309" spans="1:4" ht="15.75" thickBot="1">
      <c r="A309" s="11" t="s">
        <v>818</v>
      </c>
      <c r="B309" s="2" t="s">
        <v>4188</v>
      </c>
      <c r="C309" s="6">
        <v>2208001</v>
      </c>
      <c r="D309" s="7" t="s">
        <v>3760</v>
      </c>
    </row>
    <row r="310" spans="1:4" ht="15.75" thickBot="1">
      <c r="A310" s="11" t="s">
        <v>824</v>
      </c>
      <c r="B310" s="2" t="s">
        <v>4189</v>
      </c>
      <c r="C310" s="6">
        <v>1209000</v>
      </c>
      <c r="D310" s="7" t="s">
        <v>3760</v>
      </c>
    </row>
    <row r="311" spans="1:4" ht="15.75" thickBot="1">
      <c r="A311" s="11" t="s">
        <v>838</v>
      </c>
      <c r="B311" s="2" t="s">
        <v>4190</v>
      </c>
      <c r="C311" s="6">
        <v>3210000</v>
      </c>
      <c r="D311" s="7" t="s">
        <v>3760</v>
      </c>
    </row>
    <row r="312" spans="1:4" ht="15.75" thickBot="1">
      <c r="A312" s="11" t="s">
        <v>845</v>
      </c>
      <c r="B312" s="2" t="s">
        <v>4191</v>
      </c>
      <c r="C312" s="6">
        <v>4211000</v>
      </c>
      <c r="D312" s="7" t="s">
        <v>3760</v>
      </c>
    </row>
    <row r="313" spans="1:4" ht="15.75" thickBot="1">
      <c r="A313" s="11" t="s">
        <v>845</v>
      </c>
      <c r="B313" s="2" t="s">
        <v>4192</v>
      </c>
      <c r="C313" s="6">
        <v>4211001</v>
      </c>
      <c r="D313" s="7" t="s">
        <v>3760</v>
      </c>
    </row>
    <row r="314" spans="1:4" ht="15.75" thickBot="1">
      <c r="A314" s="11" t="s">
        <v>853</v>
      </c>
      <c r="B314" s="2" t="s">
        <v>4193</v>
      </c>
      <c r="C314" s="6">
        <v>2212000</v>
      </c>
      <c r="D314" s="7" t="s">
        <v>3760</v>
      </c>
    </row>
    <row r="315" spans="1:4" ht="15.75" thickBot="1">
      <c r="A315" s="11" t="s">
        <v>4194</v>
      </c>
      <c r="B315" s="2" t="s">
        <v>4195</v>
      </c>
      <c r="C315" s="6">
        <v>3056002</v>
      </c>
      <c r="D315" s="7" t="s">
        <v>3760</v>
      </c>
    </row>
    <row r="316" spans="1:4" ht="15.75" thickBot="1">
      <c r="A316" s="11" t="s">
        <v>4196</v>
      </c>
      <c r="B316" s="2" t="s">
        <v>4197</v>
      </c>
      <c r="C316" s="6">
        <v>4076000</v>
      </c>
      <c r="D316" s="7" t="s">
        <v>3760</v>
      </c>
    </row>
    <row r="317" spans="1:4" ht="15.75" thickBot="1">
      <c r="A317" s="11" t="s">
        <v>4196</v>
      </c>
      <c r="B317" s="2" t="s">
        <v>4198</v>
      </c>
      <c r="C317" s="6">
        <v>4076002</v>
      </c>
      <c r="D317" s="7" t="s">
        <v>3760</v>
      </c>
    </row>
    <row r="318" spans="1:4" ht="15.75" thickBot="1">
      <c r="A318" s="11" t="s">
        <v>4196</v>
      </c>
      <c r="B318" s="2" t="s">
        <v>4199</v>
      </c>
      <c r="C318" s="6">
        <v>4076004</v>
      </c>
      <c r="D318" s="7" t="s">
        <v>3760</v>
      </c>
    </row>
    <row r="319" spans="1:4" ht="15.75" thickBot="1">
      <c r="A319" s="11" t="s">
        <v>4200</v>
      </c>
      <c r="B319" s="2" t="s">
        <v>4201</v>
      </c>
      <c r="C319" s="6">
        <v>3213000</v>
      </c>
      <c r="D319" s="7" t="s">
        <v>3760</v>
      </c>
    </row>
    <row r="320" spans="1:4" ht="15.75" thickBot="1">
      <c r="A320" s="11" t="s">
        <v>1337</v>
      </c>
      <c r="B320" s="2" t="s">
        <v>4202</v>
      </c>
      <c r="C320" s="6">
        <v>1214000</v>
      </c>
      <c r="D320" s="7" t="s">
        <v>3760</v>
      </c>
    </row>
    <row r="321" spans="1:4" ht="15.75" thickBot="1">
      <c r="A321" s="11" t="s">
        <v>4203</v>
      </c>
      <c r="B321" s="2" t="s">
        <v>4204</v>
      </c>
      <c r="C321" s="6">
        <v>2215000</v>
      </c>
      <c r="D321" s="7" t="s">
        <v>3760</v>
      </c>
    </row>
    <row r="322" spans="1:4" ht="15.75" thickBot="1">
      <c r="A322" s="11" t="s">
        <v>860</v>
      </c>
      <c r="B322" s="2" t="s">
        <v>4205</v>
      </c>
      <c r="C322" s="6">
        <v>2216000</v>
      </c>
      <c r="D322" s="7" t="s">
        <v>3760</v>
      </c>
    </row>
    <row r="323" spans="1:4" ht="15.75" thickBot="1">
      <c r="A323" s="11" t="s">
        <v>4206</v>
      </c>
      <c r="B323" s="2" t="s">
        <v>4207</v>
      </c>
      <c r="C323" s="6">
        <v>1217000</v>
      </c>
      <c r="D323" s="7" t="s">
        <v>3760</v>
      </c>
    </row>
    <row r="324" spans="1:4" ht="15.75" thickBot="1">
      <c r="A324" s="11" t="s">
        <v>4206</v>
      </c>
      <c r="B324" s="2" t="s">
        <v>4208</v>
      </c>
      <c r="C324" s="6">
        <v>1217006</v>
      </c>
      <c r="D324" s="7" t="s">
        <v>3760</v>
      </c>
    </row>
    <row r="325" spans="1:4" ht="15.75" thickBot="1">
      <c r="A325" s="11" t="s">
        <v>870</v>
      </c>
      <c r="B325" s="2" t="s">
        <v>4209</v>
      </c>
      <c r="C325" s="6">
        <v>4218000</v>
      </c>
      <c r="D325" s="7" t="s">
        <v>3760</v>
      </c>
    </row>
    <row r="326" spans="1:4" ht="15.75" thickBot="1">
      <c r="A326" s="11" t="s">
        <v>877</v>
      </c>
      <c r="B326" s="2" t="s">
        <v>4210</v>
      </c>
      <c r="C326" s="6">
        <v>4219000</v>
      </c>
      <c r="D326" s="7" t="s">
        <v>3760</v>
      </c>
    </row>
    <row r="327" spans="1:4" ht="15.75" thickBot="1">
      <c r="A327" s="11" t="s">
        <v>1349</v>
      </c>
      <c r="B327" s="2" t="s">
        <v>4211</v>
      </c>
      <c r="C327" s="6">
        <v>4220000</v>
      </c>
      <c r="D327" s="7" t="s">
        <v>3760</v>
      </c>
    </row>
    <row r="328" spans="1:4" ht="15.75" thickBot="1">
      <c r="A328" s="11" t="s">
        <v>4212</v>
      </c>
      <c r="B328" s="2" t="s">
        <v>4213</v>
      </c>
      <c r="C328" s="6">
        <v>4221000</v>
      </c>
      <c r="D328" s="7" t="s">
        <v>3760</v>
      </c>
    </row>
    <row r="329" spans="1:4" ht="15.75" thickBot="1">
      <c r="A329" s="11" t="s">
        <v>4214</v>
      </c>
      <c r="B329" s="2" t="s">
        <v>4215</v>
      </c>
      <c r="C329" s="6">
        <v>4310003</v>
      </c>
      <c r="D329" s="7" t="s">
        <v>3760</v>
      </c>
    </row>
    <row r="330" spans="1:4" ht="15.75" thickBot="1">
      <c r="A330" s="11" t="s">
        <v>887</v>
      </c>
      <c r="B330" s="2" t="s">
        <v>4216</v>
      </c>
      <c r="C330" s="6">
        <v>1223000</v>
      </c>
      <c r="D330" s="7" t="s">
        <v>3760</v>
      </c>
    </row>
    <row r="331" spans="1:4" ht="15.75" thickBot="1">
      <c r="A331" s="11" t="s">
        <v>4217</v>
      </c>
      <c r="B331" s="2" t="s">
        <v>4218</v>
      </c>
      <c r="C331" s="6">
        <v>4224000</v>
      </c>
      <c r="D331" s="7" t="s">
        <v>3760</v>
      </c>
    </row>
    <row r="332" spans="1:4" ht="15.75" thickBot="1">
      <c r="A332" s="11" t="s">
        <v>4219</v>
      </c>
      <c r="B332" s="2" t="s">
        <v>4220</v>
      </c>
      <c r="C332" s="6">
        <v>4020002</v>
      </c>
      <c r="D332" s="7" t="s">
        <v>3760</v>
      </c>
    </row>
    <row r="333" spans="1:4" ht="15.75" thickBot="1">
      <c r="A333" s="11" t="s">
        <v>1356</v>
      </c>
      <c r="B333" s="2" t="s">
        <v>4221</v>
      </c>
      <c r="C333" s="6">
        <v>2226000</v>
      </c>
      <c r="D333" s="7" t="s">
        <v>3760</v>
      </c>
    </row>
    <row r="334" spans="1:4" ht="15.75" thickBot="1">
      <c r="A334" s="11" t="s">
        <v>1356</v>
      </c>
      <c r="B334" s="2" t="s">
        <v>4222</v>
      </c>
      <c r="C334" s="6">
        <v>2226007</v>
      </c>
      <c r="D334" s="7" t="s">
        <v>3760</v>
      </c>
    </row>
    <row r="335" spans="1:4" ht="15.75" thickBot="1">
      <c r="A335" s="11" t="s">
        <v>1356</v>
      </c>
      <c r="B335" s="2" t="s">
        <v>4223</v>
      </c>
      <c r="C335" s="6">
        <v>2226008</v>
      </c>
      <c r="D335" s="7" t="s">
        <v>3760</v>
      </c>
    </row>
    <row r="336" spans="1:4" ht="15.75" thickBot="1">
      <c r="A336" s="11" t="s">
        <v>1356</v>
      </c>
      <c r="B336" s="2" t="s">
        <v>4224</v>
      </c>
      <c r="C336" s="6">
        <v>2226009</v>
      </c>
      <c r="D336" s="7" t="s">
        <v>3760</v>
      </c>
    </row>
    <row r="337" spans="1:4" ht="15.75" thickBot="1">
      <c r="A337" s="11" t="s">
        <v>1356</v>
      </c>
      <c r="B337" s="2" t="s">
        <v>4225</v>
      </c>
      <c r="C337" s="6">
        <v>2226011</v>
      </c>
      <c r="D337" s="7" t="s">
        <v>3760</v>
      </c>
    </row>
    <row r="338" spans="1:4" ht="15.75" thickBot="1">
      <c r="A338" s="11" t="s">
        <v>4226</v>
      </c>
      <c r="B338" s="2" t="s">
        <v>4227</v>
      </c>
      <c r="C338" s="6">
        <v>1227000</v>
      </c>
      <c r="D338" s="7" t="s">
        <v>3760</v>
      </c>
    </row>
    <row r="339" spans="1:4" ht="15.75" thickBot="1">
      <c r="A339" s="11" t="s">
        <v>4226</v>
      </c>
      <c r="B339" s="2" t="s">
        <v>4228</v>
      </c>
      <c r="C339" s="6">
        <v>1227015</v>
      </c>
      <c r="D339" s="7" t="s">
        <v>3760</v>
      </c>
    </row>
    <row r="340" spans="1:4" ht="15.75" thickBot="1">
      <c r="A340" s="11" t="s">
        <v>4229</v>
      </c>
      <c r="B340" s="2" t="s">
        <v>4230</v>
      </c>
      <c r="C340" s="6">
        <v>2228000</v>
      </c>
      <c r="D340" s="7" t="s">
        <v>3760</v>
      </c>
    </row>
    <row r="341" spans="1:4" ht="15.75" thickBot="1">
      <c r="A341" s="11" t="s">
        <v>894</v>
      </c>
      <c r="B341" s="2" t="s">
        <v>4231</v>
      </c>
      <c r="C341" s="6">
        <v>3229000</v>
      </c>
      <c r="D341" s="7" t="s">
        <v>3760</v>
      </c>
    </row>
    <row r="342" spans="1:4" ht="15.75" thickBot="1">
      <c r="A342" s="11" t="s">
        <v>905</v>
      </c>
      <c r="B342" s="2" t="s">
        <v>4232</v>
      </c>
      <c r="C342" s="6">
        <v>4231000</v>
      </c>
      <c r="D342" s="7" t="s">
        <v>3760</v>
      </c>
    </row>
    <row r="343" spans="1:4" ht="15.75" thickBot="1">
      <c r="A343" s="11" t="s">
        <v>4233</v>
      </c>
      <c r="B343" s="2" t="s">
        <v>4234</v>
      </c>
      <c r="C343" s="6">
        <v>2232000</v>
      </c>
      <c r="D343" s="7" t="s">
        <v>3760</v>
      </c>
    </row>
    <row r="344" spans="1:4" ht="15.75" thickBot="1">
      <c r="A344" s="11" t="s">
        <v>4235</v>
      </c>
      <c r="B344" s="2" t="s">
        <v>4236</v>
      </c>
      <c r="C344" s="6">
        <v>1236000</v>
      </c>
      <c r="D344" s="7" t="s">
        <v>3760</v>
      </c>
    </row>
    <row r="345" spans="1:4" ht="15.75" thickBot="1">
      <c r="A345" s="11" t="s">
        <v>4237</v>
      </c>
      <c r="B345" s="2" t="s">
        <v>4238</v>
      </c>
      <c r="C345" s="6">
        <v>4238000</v>
      </c>
      <c r="D345" s="7" t="s">
        <v>3760</v>
      </c>
    </row>
    <row r="346" spans="1:4" ht="15.75" thickBot="1">
      <c r="A346" s="11" t="s">
        <v>4239</v>
      </c>
      <c r="B346" s="2" t="s">
        <v>4240</v>
      </c>
      <c r="C346" s="6">
        <v>4239000</v>
      </c>
      <c r="D346" s="7" t="s">
        <v>3760</v>
      </c>
    </row>
    <row r="347" spans="1:4" ht="15.75" thickBot="1">
      <c r="A347" s="11" t="s">
        <v>4239</v>
      </c>
      <c r="B347" s="2" t="s">
        <v>4241</v>
      </c>
      <c r="C347" s="6">
        <v>4239010</v>
      </c>
      <c r="D347" s="7" t="s">
        <v>3760</v>
      </c>
    </row>
    <row r="348" spans="1:4" ht="15.75" thickBot="1">
      <c r="A348" s="11" t="s">
        <v>4239</v>
      </c>
      <c r="B348" s="2" t="s">
        <v>4242</v>
      </c>
      <c r="C348" s="6">
        <v>4239045</v>
      </c>
      <c r="D348" s="7" t="s">
        <v>3760</v>
      </c>
    </row>
    <row r="349" spans="1:4" ht="15.75" thickBot="1">
      <c r="A349" s="11" t="s">
        <v>4239</v>
      </c>
      <c r="B349" s="2" t="s">
        <v>4243</v>
      </c>
      <c r="C349" s="6">
        <v>4239049</v>
      </c>
      <c r="D349" s="7" t="s">
        <v>3760</v>
      </c>
    </row>
    <row r="350" spans="1:4" ht="15.75" thickBot="1">
      <c r="A350" s="11" t="s">
        <v>4239</v>
      </c>
      <c r="B350" s="2" t="s">
        <v>4244</v>
      </c>
      <c r="C350" s="6">
        <v>4239051</v>
      </c>
      <c r="D350" s="7" t="s">
        <v>3760</v>
      </c>
    </row>
    <row r="351" spans="1:4" ht="15.75" thickBot="1">
      <c r="A351" s="11" t="s">
        <v>4239</v>
      </c>
      <c r="B351" s="2" t="s">
        <v>4245</v>
      </c>
      <c r="C351" s="6">
        <v>4239055</v>
      </c>
      <c r="D351" s="7" t="s">
        <v>3760</v>
      </c>
    </row>
    <row r="352" spans="1:4" ht="15.75" thickBot="1">
      <c r="A352" s="11" t="s">
        <v>4239</v>
      </c>
      <c r="B352" s="2" t="s">
        <v>4246</v>
      </c>
      <c r="C352" s="6">
        <v>4239060</v>
      </c>
      <c r="D352" s="7" t="s">
        <v>3760</v>
      </c>
    </row>
    <row r="353" spans="1:4" ht="15.75" thickBot="1">
      <c r="A353" s="11" t="s">
        <v>4247</v>
      </c>
      <c r="B353" s="2" t="s">
        <v>4248</v>
      </c>
      <c r="C353" s="6">
        <v>4052072</v>
      </c>
      <c r="D353" s="7" t="s">
        <v>3760</v>
      </c>
    </row>
    <row r="354" spans="1:4" ht="15.75" thickBot="1">
      <c r="A354" s="11" t="s">
        <v>4247</v>
      </c>
      <c r="B354" s="2" t="s">
        <v>4249</v>
      </c>
      <c r="C354" s="6">
        <v>4240008</v>
      </c>
      <c r="D354" s="7" t="s">
        <v>3760</v>
      </c>
    </row>
    <row r="355" spans="1:4" ht="15.75" thickBot="1">
      <c r="A355" s="11" t="s">
        <v>4250</v>
      </c>
      <c r="B355" s="2" t="s">
        <v>4251</v>
      </c>
      <c r="C355" s="6">
        <v>4036000</v>
      </c>
      <c r="D355" s="7" t="s">
        <v>3760</v>
      </c>
    </row>
    <row r="356" spans="1:4" ht="15.75" thickBot="1">
      <c r="A356" s="11" t="s">
        <v>920</v>
      </c>
      <c r="B356" s="2" t="s">
        <v>4252</v>
      </c>
      <c r="C356" s="6">
        <v>4242000</v>
      </c>
      <c r="D356" s="7" t="s">
        <v>3760</v>
      </c>
    </row>
    <row r="357" spans="1:4" ht="15.75" thickBot="1">
      <c r="A357" s="11" t="s">
        <v>929</v>
      </c>
      <c r="B357" s="2" t="s">
        <v>4253</v>
      </c>
      <c r="C357" s="6">
        <v>3243000</v>
      </c>
      <c r="D357" s="7" t="s">
        <v>3760</v>
      </c>
    </row>
    <row r="358" spans="1:4" ht="15.75" thickBot="1">
      <c r="A358" s="11" t="s">
        <v>4254</v>
      </c>
      <c r="B358" s="2" t="s">
        <v>4255</v>
      </c>
      <c r="C358" s="6">
        <v>4244000</v>
      </c>
      <c r="D358" s="7" t="s">
        <v>3760</v>
      </c>
    </row>
    <row r="359" spans="1:4" ht="15.75" thickBot="1">
      <c r="A359" s="11" t="s">
        <v>4254</v>
      </c>
      <c r="B359" s="2" t="s">
        <v>4256</v>
      </c>
      <c r="C359" s="6">
        <v>4244001</v>
      </c>
      <c r="D359" s="7" t="s">
        <v>3760</v>
      </c>
    </row>
    <row r="360" spans="1:4" ht="15.75" thickBot="1">
      <c r="A360" s="11" t="s">
        <v>4257</v>
      </c>
      <c r="B360" s="2" t="s">
        <v>4258</v>
      </c>
      <c r="C360" s="6">
        <v>4245000</v>
      </c>
      <c r="D360" s="7" t="s">
        <v>3760</v>
      </c>
    </row>
    <row r="361" spans="1:4" ht="15.75" thickBot="1">
      <c r="A361" s="11" t="s">
        <v>4257</v>
      </c>
      <c r="B361" s="2" t="s">
        <v>4259</v>
      </c>
      <c r="C361" s="6">
        <v>4245002</v>
      </c>
      <c r="D361" s="7" t="s">
        <v>3760</v>
      </c>
    </row>
    <row r="362" spans="1:4" ht="15.75" thickBot="1">
      <c r="A362" s="11" t="s">
        <v>4260</v>
      </c>
      <c r="B362" s="2" t="s">
        <v>4261</v>
      </c>
      <c r="C362" s="6">
        <v>3246000</v>
      </c>
      <c r="D362" s="7" t="s">
        <v>3760</v>
      </c>
    </row>
    <row r="363" spans="1:4" ht="15.75" thickBot="1">
      <c r="A363" s="11" t="s">
        <v>4262</v>
      </c>
      <c r="B363" s="2" t="s">
        <v>4263</v>
      </c>
      <c r="C363" s="6">
        <v>4247055</v>
      </c>
      <c r="D363" s="7" t="s">
        <v>3760</v>
      </c>
    </row>
    <row r="364" spans="1:4" ht="15.75" thickBot="1">
      <c r="A364" s="11" t="s">
        <v>4264</v>
      </c>
      <c r="B364" s="2" t="s">
        <v>4265</v>
      </c>
      <c r="C364" s="6">
        <v>3248000</v>
      </c>
      <c r="D364" s="7" t="s">
        <v>3760</v>
      </c>
    </row>
    <row r="365" spans="1:4" ht="15.75" thickBot="1">
      <c r="A365" s="11" t="s">
        <v>1361</v>
      </c>
      <c r="B365" s="2" t="s">
        <v>4266</v>
      </c>
      <c r="C365" s="6">
        <v>1249008</v>
      </c>
      <c r="D365" s="7" t="s">
        <v>3760</v>
      </c>
    </row>
    <row r="366" spans="1:4" ht="15.75" thickBot="1">
      <c r="A366" s="11" t="s">
        <v>938</v>
      </c>
      <c r="B366" s="2" t="s">
        <v>4267</v>
      </c>
      <c r="C366" s="6">
        <v>4001000</v>
      </c>
      <c r="D366" s="7" t="s">
        <v>3760</v>
      </c>
    </row>
    <row r="367" spans="1:4" ht="15.75" thickBot="1">
      <c r="A367" s="11" t="s">
        <v>4268</v>
      </c>
      <c r="B367" s="2" t="s">
        <v>4269</v>
      </c>
      <c r="C367" s="6">
        <v>3252000</v>
      </c>
      <c r="D367" s="7" t="s">
        <v>3760</v>
      </c>
    </row>
    <row r="368" spans="1:4" ht="15.75" thickBot="1">
      <c r="A368" s="11" t="s">
        <v>4270</v>
      </c>
      <c r="B368" s="2" t="s">
        <v>4271</v>
      </c>
      <c r="C368" s="6">
        <v>3254000</v>
      </c>
      <c r="D368" s="7" t="s">
        <v>3760</v>
      </c>
    </row>
    <row r="369" spans="1:4" ht="15.75" thickBot="1">
      <c r="A369" s="11" t="s">
        <v>4272</v>
      </c>
      <c r="B369" s="2" t="s">
        <v>4273</v>
      </c>
      <c r="C369" s="6">
        <v>1255000</v>
      </c>
      <c r="D369" s="7" t="s">
        <v>3760</v>
      </c>
    </row>
    <row r="370" spans="1:4" ht="15.75" thickBot="1">
      <c r="A370" s="11" t="s">
        <v>4274</v>
      </c>
      <c r="B370" s="2" t="s">
        <v>4275</v>
      </c>
      <c r="C370" s="6">
        <v>1256000</v>
      </c>
      <c r="D370" s="7" t="s">
        <v>3760</v>
      </c>
    </row>
    <row r="371" spans="1:4" ht="15.75" thickBot="1">
      <c r="A371" s="11" t="s">
        <v>4276</v>
      </c>
      <c r="B371" s="2" t="s">
        <v>4277</v>
      </c>
      <c r="C371" s="6">
        <v>2257000</v>
      </c>
      <c r="D371" s="7" t="s">
        <v>3760</v>
      </c>
    </row>
    <row r="372" spans="1:4" ht="24.75" thickBot="1">
      <c r="A372" s="11" t="s">
        <v>4276</v>
      </c>
      <c r="B372" s="2" t="s">
        <v>4278</v>
      </c>
      <c r="C372" s="6">
        <v>2257003</v>
      </c>
      <c r="D372" s="7" t="s">
        <v>3760</v>
      </c>
    </row>
    <row r="373" spans="1:4" ht="15.75" thickBot="1">
      <c r="A373" s="11" t="s">
        <v>4279</v>
      </c>
      <c r="B373" s="2" t="s">
        <v>4280</v>
      </c>
      <c r="C373" s="6">
        <v>4036002</v>
      </c>
      <c r="D373" s="7" t="s">
        <v>3760</v>
      </c>
    </row>
    <row r="374" spans="1:4" ht="15.75" thickBot="1">
      <c r="A374" s="11" t="s">
        <v>945</v>
      </c>
      <c r="B374" s="2" t="s">
        <v>4281</v>
      </c>
      <c r="C374" s="6">
        <v>3258000</v>
      </c>
      <c r="D374" s="7" t="s">
        <v>3760</v>
      </c>
    </row>
    <row r="375" spans="1:4" ht="15.75" thickBot="1">
      <c r="A375" s="11" t="s">
        <v>4282</v>
      </c>
      <c r="B375" s="2" t="s">
        <v>4283</v>
      </c>
      <c r="C375" s="6">
        <v>3259000</v>
      </c>
      <c r="D375" s="7" t="s">
        <v>3760</v>
      </c>
    </row>
    <row r="376" spans="1:4" ht="15.75" thickBot="1">
      <c r="A376" s="11" t="s">
        <v>4282</v>
      </c>
      <c r="B376" s="2" t="s">
        <v>4284</v>
      </c>
      <c r="C376" s="6">
        <v>3259001</v>
      </c>
      <c r="D376" s="7" t="s">
        <v>3760</v>
      </c>
    </row>
    <row r="377" spans="1:4" ht="15.75" thickBot="1">
      <c r="A377" s="11" t="s">
        <v>4285</v>
      </c>
      <c r="B377" s="2" t="s">
        <v>4286</v>
      </c>
      <c r="C377" s="6">
        <v>1260001</v>
      </c>
      <c r="D377" s="7" t="s">
        <v>3760</v>
      </c>
    </row>
    <row r="378" spans="1:4" ht="15.75" thickBot="1">
      <c r="A378" s="11" t="s">
        <v>959</v>
      </c>
      <c r="B378" s="2" t="s">
        <v>4287</v>
      </c>
      <c r="C378" s="6">
        <v>4261000</v>
      </c>
      <c r="D378" s="7" t="s">
        <v>3760</v>
      </c>
    </row>
    <row r="379" spans="1:4" ht="15.75" thickBot="1">
      <c r="A379" s="11" t="s">
        <v>959</v>
      </c>
      <c r="B379" s="2" t="s">
        <v>4288</v>
      </c>
      <c r="C379" s="6">
        <v>4261021</v>
      </c>
      <c r="D379" s="7" t="s">
        <v>3760</v>
      </c>
    </row>
    <row r="380" spans="1:4" ht="15.75" thickBot="1">
      <c r="A380" s="11" t="s">
        <v>959</v>
      </c>
      <c r="B380" s="2" t="s">
        <v>4289</v>
      </c>
      <c r="C380" s="6">
        <v>4261024</v>
      </c>
      <c r="D380" s="7" t="s">
        <v>3760</v>
      </c>
    </row>
    <row r="381" spans="1:4" ht="15.75" thickBot="1">
      <c r="A381" s="11" t="s">
        <v>965</v>
      </c>
      <c r="B381" s="2" t="s">
        <v>4290</v>
      </c>
      <c r="C381" s="6">
        <v>3262000</v>
      </c>
      <c r="D381" s="7" t="s">
        <v>3760</v>
      </c>
    </row>
    <row r="382" spans="1:4" ht="15.75" thickBot="1">
      <c r="A382" s="11" t="s">
        <v>973</v>
      </c>
      <c r="B382" s="2" t="s">
        <v>4291</v>
      </c>
      <c r="C382" s="6">
        <v>4264000</v>
      </c>
      <c r="D382" s="7" t="s">
        <v>3760</v>
      </c>
    </row>
    <row r="383" spans="1:4" ht="15.75" thickBot="1">
      <c r="A383" s="11" t="s">
        <v>4292</v>
      </c>
      <c r="B383" s="2" t="s">
        <v>4293</v>
      </c>
      <c r="C383" s="6">
        <v>4265000</v>
      </c>
      <c r="D383" s="7" t="s">
        <v>3760</v>
      </c>
    </row>
    <row r="384" spans="1:4" ht="15.75" thickBot="1">
      <c r="A384" s="11" t="s">
        <v>979</v>
      </c>
      <c r="B384" s="2" t="s">
        <v>4294</v>
      </c>
      <c r="C384" s="6">
        <v>4266000</v>
      </c>
      <c r="D384" s="7" t="s">
        <v>3760</v>
      </c>
    </row>
    <row r="385" spans="1:4" ht="15.75" thickBot="1">
      <c r="A385" s="11" t="s">
        <v>4295</v>
      </c>
      <c r="B385" s="2" t="s">
        <v>4296</v>
      </c>
      <c r="C385" s="6">
        <v>1267000</v>
      </c>
      <c r="D385" s="7" t="s">
        <v>3760</v>
      </c>
    </row>
    <row r="386" spans="1:4" ht="15.75" thickBot="1">
      <c r="A386" s="11" t="s">
        <v>4295</v>
      </c>
      <c r="B386" s="2" t="s">
        <v>4297</v>
      </c>
      <c r="C386" s="6">
        <v>1267001</v>
      </c>
      <c r="D386" s="7" t="s">
        <v>3760</v>
      </c>
    </row>
    <row r="387" spans="1:4" ht="15.75" thickBot="1">
      <c r="A387" s="11" t="s">
        <v>4298</v>
      </c>
      <c r="B387" s="2" t="s">
        <v>4299</v>
      </c>
      <c r="C387" s="6">
        <v>1268011</v>
      </c>
      <c r="D387" s="7" t="s">
        <v>3760</v>
      </c>
    </row>
    <row r="388" spans="1:4" ht="15.75" thickBot="1">
      <c r="A388" s="11" t="s">
        <v>4300</v>
      </c>
      <c r="B388" s="2" t="s">
        <v>4301</v>
      </c>
      <c r="C388" s="6">
        <v>1268000</v>
      </c>
      <c r="D388" s="7" t="s">
        <v>3760</v>
      </c>
    </row>
    <row r="389" spans="1:4" ht="15.75" thickBot="1">
      <c r="A389" s="11" t="s">
        <v>3506</v>
      </c>
      <c r="B389" s="2" t="s">
        <v>4302</v>
      </c>
      <c r="C389" s="6">
        <v>3269002</v>
      </c>
      <c r="D389" s="7" t="s">
        <v>3760</v>
      </c>
    </row>
    <row r="390" spans="1:4" ht="15.75" thickBot="1">
      <c r="A390" s="11" t="s">
        <v>3506</v>
      </c>
      <c r="B390" s="2" t="s">
        <v>4303</v>
      </c>
      <c r="C390" s="6">
        <v>3269028</v>
      </c>
      <c r="D390" s="7" t="s">
        <v>3760</v>
      </c>
    </row>
    <row r="391" spans="1:4" ht="15.75" thickBot="1">
      <c r="A391" s="11" t="s">
        <v>4304</v>
      </c>
      <c r="B391" s="2" t="s">
        <v>4305</v>
      </c>
      <c r="C391" s="6">
        <v>2270000</v>
      </c>
      <c r="D391" s="7" t="s">
        <v>3760</v>
      </c>
    </row>
    <row r="392" spans="1:4" ht="15.75" thickBot="1">
      <c r="A392" s="11" t="s">
        <v>4304</v>
      </c>
      <c r="B392" s="2" t="s">
        <v>4306</v>
      </c>
      <c r="C392" s="6">
        <v>2270001</v>
      </c>
      <c r="D392" s="7" t="s">
        <v>3760</v>
      </c>
    </row>
    <row r="393" spans="1:4" ht="15.75" thickBot="1">
      <c r="A393" s="11" t="s">
        <v>4304</v>
      </c>
      <c r="B393" s="2" t="s">
        <v>4307</v>
      </c>
      <c r="C393" s="6">
        <v>2270009</v>
      </c>
      <c r="D393" s="7" t="s">
        <v>3760</v>
      </c>
    </row>
    <row r="394" spans="1:4" ht="15.75" thickBot="1">
      <c r="A394" s="11" t="s">
        <v>4308</v>
      </c>
      <c r="B394" s="2" t="s">
        <v>4309</v>
      </c>
      <c r="C394" s="6">
        <v>2271000</v>
      </c>
      <c r="D394" s="7" t="s">
        <v>3760</v>
      </c>
    </row>
    <row r="395" spans="1:4" ht="15.75" thickBot="1">
      <c r="A395" s="11" t="s">
        <v>996</v>
      </c>
      <c r="B395" s="2" t="s">
        <v>4310</v>
      </c>
      <c r="C395" s="6">
        <v>4273000</v>
      </c>
      <c r="D395" s="7" t="s">
        <v>3760</v>
      </c>
    </row>
    <row r="396" spans="1:4" ht="15.75" thickBot="1">
      <c r="A396" s="11" t="s">
        <v>1379</v>
      </c>
      <c r="B396" s="2" t="s">
        <v>4311</v>
      </c>
      <c r="C396" s="6">
        <v>3274000</v>
      </c>
      <c r="D396" s="7" t="s">
        <v>3760</v>
      </c>
    </row>
    <row r="397" spans="1:4" ht="15.75" thickBot="1">
      <c r="A397" s="11" t="s">
        <v>4312</v>
      </c>
      <c r="B397" s="2" t="s">
        <v>4313</v>
      </c>
      <c r="C397" s="6">
        <v>1074001</v>
      </c>
      <c r="D397" s="7" t="s">
        <v>3760</v>
      </c>
    </row>
    <row r="398" spans="1:4" ht="15.75" thickBot="1">
      <c r="A398" s="11" t="s">
        <v>4314</v>
      </c>
      <c r="B398" s="2" t="s">
        <v>4315</v>
      </c>
      <c r="C398" s="6">
        <v>4075000</v>
      </c>
      <c r="D398" s="7" t="s">
        <v>3760</v>
      </c>
    </row>
    <row r="399" spans="1:4" ht="15.75" thickBot="1">
      <c r="A399" s="11" t="s">
        <v>4316</v>
      </c>
      <c r="B399" s="2" t="s">
        <v>4317</v>
      </c>
      <c r="C399" s="6">
        <v>1090000</v>
      </c>
      <c r="D399" s="7" t="s">
        <v>3760</v>
      </c>
    </row>
    <row r="400" spans="1:4" ht="15.75" thickBot="1">
      <c r="A400" s="11" t="s">
        <v>4318</v>
      </c>
      <c r="B400" s="2" t="s">
        <v>4319</v>
      </c>
      <c r="C400" s="6">
        <v>2110001</v>
      </c>
      <c r="D400" s="7" t="s">
        <v>3760</v>
      </c>
    </row>
    <row r="401" spans="1:4" ht="15.75" thickBot="1">
      <c r="A401" s="11" t="s">
        <v>4320</v>
      </c>
      <c r="B401" s="2" t="s">
        <v>4321</v>
      </c>
      <c r="C401" s="6">
        <v>1275000</v>
      </c>
      <c r="D401" s="7" t="s">
        <v>3760</v>
      </c>
    </row>
    <row r="402" spans="1:4" ht="15.75" thickBot="1">
      <c r="A402" s="11" t="s">
        <v>4320</v>
      </c>
      <c r="B402" s="2" t="s">
        <v>4322</v>
      </c>
      <c r="C402" s="6">
        <v>1275001</v>
      </c>
      <c r="D402" s="7" t="s">
        <v>3760</v>
      </c>
    </row>
    <row r="403" spans="1:4" ht="15.75" thickBot="1">
      <c r="A403" s="11" t="s">
        <v>4323</v>
      </c>
      <c r="B403" s="2" t="s">
        <v>4324</v>
      </c>
      <c r="C403" s="6">
        <v>1276000</v>
      </c>
      <c r="D403" s="7" t="s">
        <v>3760</v>
      </c>
    </row>
    <row r="404" spans="1:4" ht="15.75" thickBot="1">
      <c r="A404" s="11" t="s">
        <v>4325</v>
      </c>
      <c r="B404" s="2" t="s">
        <v>4326</v>
      </c>
      <c r="C404" s="6">
        <v>2277000</v>
      </c>
      <c r="D404" s="7" t="s">
        <v>3760</v>
      </c>
    </row>
    <row r="405" spans="1:4" ht="15.75" thickBot="1">
      <c r="A405" s="11" t="s">
        <v>4327</v>
      </c>
      <c r="B405" s="2" t="s">
        <v>4328</v>
      </c>
      <c r="C405" s="6">
        <v>2278000</v>
      </c>
      <c r="D405" s="7" t="s">
        <v>3760</v>
      </c>
    </row>
    <row r="406" spans="1:4" ht="15.75" thickBot="1">
      <c r="A406" s="11" t="s">
        <v>4329</v>
      </c>
      <c r="B406" s="2" t="s">
        <v>4330</v>
      </c>
      <c r="C406" s="6">
        <v>1203002</v>
      </c>
      <c r="D406" s="7" t="s">
        <v>3760</v>
      </c>
    </row>
    <row r="407" spans="1:4" ht="15.75" thickBot="1">
      <c r="A407" s="11" t="s">
        <v>1015</v>
      </c>
      <c r="B407" s="2" t="s">
        <v>4331</v>
      </c>
      <c r="C407" s="6">
        <v>1279000</v>
      </c>
      <c r="D407" s="7" t="s">
        <v>3760</v>
      </c>
    </row>
    <row r="408" spans="1:4" ht="15.75" thickBot="1">
      <c r="A408" s="11" t="s">
        <v>4332</v>
      </c>
      <c r="B408" s="2" t="s">
        <v>4333</v>
      </c>
      <c r="C408" s="6">
        <v>2280000</v>
      </c>
      <c r="D408" s="7" t="s">
        <v>3760</v>
      </c>
    </row>
    <row r="409" spans="1:4" ht="15.75" thickBot="1">
      <c r="A409" s="11" t="s">
        <v>4332</v>
      </c>
      <c r="B409" s="2" t="s">
        <v>4334</v>
      </c>
      <c r="C409" s="6">
        <v>2280002</v>
      </c>
      <c r="D409" s="7" t="s">
        <v>3760</v>
      </c>
    </row>
    <row r="410" spans="1:4" ht="15.75" thickBot="1">
      <c r="A410" s="11" t="s">
        <v>1022</v>
      </c>
      <c r="B410" s="2" t="s">
        <v>4335</v>
      </c>
      <c r="C410" s="6">
        <v>1281000</v>
      </c>
      <c r="D410" s="7" t="s">
        <v>3760</v>
      </c>
    </row>
    <row r="411" spans="1:4" ht="15.75" thickBot="1">
      <c r="A411" s="11" t="s">
        <v>4336</v>
      </c>
      <c r="B411" s="2" t="s">
        <v>4337</v>
      </c>
      <c r="C411" s="6">
        <v>2282000</v>
      </c>
      <c r="D411" s="7" t="s">
        <v>3760</v>
      </c>
    </row>
    <row r="412" spans="1:4" ht="15.75" thickBot="1">
      <c r="A412" s="11" t="s">
        <v>4338</v>
      </c>
      <c r="B412" s="2" t="s">
        <v>4339</v>
      </c>
      <c r="C412" s="6">
        <v>1283003</v>
      </c>
      <c r="D412" s="7" t="s">
        <v>3760</v>
      </c>
    </row>
    <row r="413" spans="1:4" ht="15.75" thickBot="1">
      <c r="A413" s="11" t="s">
        <v>4338</v>
      </c>
      <c r="B413" s="2" t="s">
        <v>4340</v>
      </c>
      <c r="C413" s="6">
        <v>1283014</v>
      </c>
      <c r="D413" s="7" t="s">
        <v>3760</v>
      </c>
    </row>
    <row r="414" spans="1:4" ht="15.75" thickBot="1">
      <c r="A414" s="11" t="s">
        <v>4338</v>
      </c>
      <c r="B414" s="2" t="s">
        <v>4341</v>
      </c>
      <c r="C414" s="6">
        <v>1283015</v>
      </c>
      <c r="D414" s="7" t="s">
        <v>3760</v>
      </c>
    </row>
    <row r="415" spans="1:4" ht="15.75" thickBot="1">
      <c r="A415" s="11" t="s">
        <v>4338</v>
      </c>
      <c r="B415" s="2" t="s">
        <v>4342</v>
      </c>
      <c r="C415" s="6">
        <v>1283017</v>
      </c>
      <c r="D415" s="7" t="s">
        <v>3760</v>
      </c>
    </row>
    <row r="416" spans="1:4" ht="15.75" thickBot="1">
      <c r="A416" s="11" t="s">
        <v>4338</v>
      </c>
      <c r="B416" s="2" t="s">
        <v>4343</v>
      </c>
      <c r="C416" s="6">
        <v>1283019</v>
      </c>
      <c r="D416" s="7" t="s">
        <v>3760</v>
      </c>
    </row>
    <row r="417" spans="1:4" ht="15.75" thickBot="1">
      <c r="A417" s="11" t="s">
        <v>4344</v>
      </c>
      <c r="B417" s="2" t="s">
        <v>4345</v>
      </c>
      <c r="C417" s="6">
        <v>3284000</v>
      </c>
      <c r="D417" s="7" t="s">
        <v>3760</v>
      </c>
    </row>
    <row r="418" spans="1:4" ht="15.75" thickBot="1">
      <c r="A418" s="11" t="s">
        <v>4346</v>
      </c>
      <c r="B418" s="2" t="s">
        <v>4347</v>
      </c>
      <c r="C418" s="6">
        <v>4285000</v>
      </c>
      <c r="D418" s="7" t="s">
        <v>3760</v>
      </c>
    </row>
    <row r="419" spans="1:4" ht="15.75" thickBot="1">
      <c r="A419" s="11" t="s">
        <v>4346</v>
      </c>
      <c r="B419" s="2" t="s">
        <v>4348</v>
      </c>
      <c r="C419" s="6">
        <v>4285003</v>
      </c>
      <c r="D419" s="7" t="s">
        <v>3760</v>
      </c>
    </row>
    <row r="420" spans="1:4" ht="15.75" thickBot="1">
      <c r="A420" s="11" t="s">
        <v>4346</v>
      </c>
      <c r="B420" s="2" t="s">
        <v>4349</v>
      </c>
      <c r="C420" s="6">
        <v>4285006</v>
      </c>
      <c r="D420" s="7" t="s">
        <v>3760</v>
      </c>
    </row>
    <row r="421" spans="1:4" ht="15.75" thickBot="1">
      <c r="A421" s="11" t="s">
        <v>4346</v>
      </c>
      <c r="B421" s="2" t="s">
        <v>4350</v>
      </c>
      <c r="C421" s="6">
        <v>4285007</v>
      </c>
      <c r="D421" s="7" t="s">
        <v>3760</v>
      </c>
    </row>
    <row r="422" spans="1:4" ht="15.75" thickBot="1">
      <c r="A422" s="11" t="s">
        <v>4351</v>
      </c>
      <c r="B422" s="2" t="s">
        <v>4352</v>
      </c>
      <c r="C422" s="6">
        <v>2286000</v>
      </c>
      <c r="D422" s="7" t="s">
        <v>3760</v>
      </c>
    </row>
    <row r="423" spans="1:4" ht="15.75" thickBot="1">
      <c r="A423" s="11" t="s">
        <v>4351</v>
      </c>
      <c r="B423" s="2" t="s">
        <v>4353</v>
      </c>
      <c r="C423" s="6">
        <v>2286012</v>
      </c>
      <c r="D423" s="7" t="s">
        <v>3760</v>
      </c>
    </row>
    <row r="424" spans="1:4" ht="15.75" thickBot="1">
      <c r="A424" s="11" t="s">
        <v>4351</v>
      </c>
      <c r="B424" s="2" t="s">
        <v>4354</v>
      </c>
      <c r="C424" s="6">
        <v>2286017</v>
      </c>
      <c r="D424" s="7" t="s">
        <v>3760</v>
      </c>
    </row>
    <row r="425" spans="1:4" ht="15.75" thickBot="1">
      <c r="A425" s="11" t="s">
        <v>4351</v>
      </c>
      <c r="B425" s="2" t="s">
        <v>4355</v>
      </c>
      <c r="C425" s="6">
        <v>2286018</v>
      </c>
      <c r="D425" s="7" t="s">
        <v>3760</v>
      </c>
    </row>
    <row r="426" spans="1:4" ht="15.75" thickBot="1">
      <c r="A426" s="11" t="s">
        <v>4351</v>
      </c>
      <c r="B426" s="2" t="s">
        <v>4356</v>
      </c>
      <c r="C426" s="6">
        <v>2286024</v>
      </c>
      <c r="D426" s="7" t="s">
        <v>3760</v>
      </c>
    </row>
    <row r="427" spans="1:4" ht="15.75" thickBot="1">
      <c r="A427" s="11" t="s">
        <v>4351</v>
      </c>
      <c r="B427" s="2" t="s">
        <v>4357</v>
      </c>
      <c r="C427" s="6">
        <v>2286026</v>
      </c>
      <c r="D427" s="7" t="s">
        <v>3760</v>
      </c>
    </row>
    <row r="428" spans="1:4" ht="15.75" thickBot="1">
      <c r="A428" s="11" t="s">
        <v>4351</v>
      </c>
      <c r="B428" s="2" t="s">
        <v>4358</v>
      </c>
      <c r="C428" s="6">
        <v>2286031</v>
      </c>
      <c r="D428" s="7" t="s">
        <v>3760</v>
      </c>
    </row>
    <row r="429" spans="1:4" ht="15.75" thickBot="1">
      <c r="A429" s="11" t="s">
        <v>4359</v>
      </c>
      <c r="B429" s="2" t="s">
        <v>4360</v>
      </c>
      <c r="C429" s="6">
        <v>2287000</v>
      </c>
      <c r="D429" s="7" t="s">
        <v>3760</v>
      </c>
    </row>
    <row r="430" spans="1:4" ht="15.75" thickBot="1">
      <c r="A430" s="11" t="s">
        <v>4359</v>
      </c>
      <c r="B430" s="2" t="s">
        <v>4361</v>
      </c>
      <c r="C430" s="6">
        <v>2287020</v>
      </c>
      <c r="D430" s="7" t="s">
        <v>3760</v>
      </c>
    </row>
    <row r="431" spans="1:4" ht="15.75" thickBot="1">
      <c r="A431" s="11" t="s">
        <v>4359</v>
      </c>
      <c r="B431" s="2" t="s">
        <v>4362</v>
      </c>
      <c r="C431" s="6">
        <v>2287025</v>
      </c>
      <c r="D431" s="7" t="s">
        <v>3760</v>
      </c>
    </row>
    <row r="432" spans="1:4" ht="15.75" thickBot="1">
      <c r="A432" s="11" t="s">
        <v>1031</v>
      </c>
      <c r="B432" s="2" t="s">
        <v>4363</v>
      </c>
      <c r="C432" s="6">
        <v>3288000</v>
      </c>
      <c r="D432" s="7" t="s">
        <v>3760</v>
      </c>
    </row>
    <row r="433" spans="1:4" ht="15.75" thickBot="1">
      <c r="A433" s="11" t="s">
        <v>4364</v>
      </c>
      <c r="B433" s="2" t="s">
        <v>4365</v>
      </c>
      <c r="C433" s="6">
        <v>1289000</v>
      </c>
      <c r="D433" s="7" t="s">
        <v>3760</v>
      </c>
    </row>
    <row r="434" spans="1:4" ht="15.75" thickBot="1">
      <c r="A434" s="11" t="s">
        <v>4364</v>
      </c>
      <c r="B434" s="2" t="s">
        <v>4366</v>
      </c>
      <c r="C434" s="6">
        <v>1289001</v>
      </c>
      <c r="D434" s="7" t="s">
        <v>3760</v>
      </c>
    </row>
    <row r="435" spans="1:4" ht="15.75" thickBot="1">
      <c r="A435" s="11" t="s">
        <v>4364</v>
      </c>
      <c r="B435" s="2" t="s">
        <v>4367</v>
      </c>
      <c r="C435" s="6">
        <v>1289002</v>
      </c>
      <c r="D435" s="7" t="s">
        <v>3760</v>
      </c>
    </row>
    <row r="436" spans="1:4" ht="15.75" thickBot="1">
      <c r="A436" s="11" t="s">
        <v>4368</v>
      </c>
      <c r="B436" s="2" t="s">
        <v>4369</v>
      </c>
      <c r="C436" s="6">
        <v>2290001</v>
      </c>
      <c r="D436" s="7" t="s">
        <v>3760</v>
      </c>
    </row>
    <row r="437" spans="1:4" ht="15.75" thickBot="1">
      <c r="A437" s="11" t="s">
        <v>4368</v>
      </c>
      <c r="B437" s="2" t="s">
        <v>4370</v>
      </c>
      <c r="C437" s="6">
        <v>2290014</v>
      </c>
      <c r="D437" s="7" t="s">
        <v>3760</v>
      </c>
    </row>
    <row r="438" spans="1:4" ht="15.75" thickBot="1">
      <c r="A438" s="11" t="s">
        <v>4371</v>
      </c>
      <c r="B438" s="2" t="s">
        <v>4372</v>
      </c>
      <c r="C438" s="6">
        <v>3291000</v>
      </c>
      <c r="D438" s="7" t="s">
        <v>3760</v>
      </c>
    </row>
    <row r="439" spans="1:4" ht="15.75" thickBot="1">
      <c r="A439" s="11" t="s">
        <v>4373</v>
      </c>
      <c r="B439" s="2" t="s">
        <v>4374</v>
      </c>
      <c r="C439" s="6">
        <v>4292000</v>
      </c>
      <c r="D439" s="7" t="s">
        <v>3760</v>
      </c>
    </row>
    <row r="440" spans="1:4" ht="15.75" thickBot="1">
      <c r="A440" s="11" t="s">
        <v>1039</v>
      </c>
      <c r="B440" s="2" t="s">
        <v>4375</v>
      </c>
      <c r="C440" s="6">
        <v>4293000</v>
      </c>
      <c r="D440" s="7" t="s">
        <v>3760</v>
      </c>
    </row>
    <row r="441" spans="1:4" ht="15.75" thickBot="1">
      <c r="A441" s="11" t="s">
        <v>1387</v>
      </c>
      <c r="B441" s="2" t="s">
        <v>4376</v>
      </c>
      <c r="C441" s="6">
        <v>2294000</v>
      </c>
      <c r="D441" s="7" t="s">
        <v>3760</v>
      </c>
    </row>
    <row r="442" spans="1:4" ht="15.75" thickBot="1">
      <c r="A442" s="11" t="s">
        <v>1052</v>
      </c>
      <c r="B442" s="2" t="s">
        <v>4377</v>
      </c>
      <c r="C442" s="6">
        <v>3295000</v>
      </c>
      <c r="D442" s="7" t="s">
        <v>3760</v>
      </c>
    </row>
    <row r="443" spans="1:4" ht="15.75" thickBot="1">
      <c r="A443" s="11" t="s">
        <v>1052</v>
      </c>
      <c r="B443" s="2" t="s">
        <v>4378</v>
      </c>
      <c r="C443" s="6">
        <v>3295001</v>
      </c>
      <c r="D443" s="7" t="s">
        <v>3760</v>
      </c>
    </row>
    <row r="444" spans="1:4" ht="15.75" thickBot="1">
      <c r="A444" s="11" t="s">
        <v>4379</v>
      </c>
      <c r="B444" s="2" t="s">
        <v>4380</v>
      </c>
      <c r="C444" s="6">
        <v>1227001</v>
      </c>
      <c r="D444" s="7" t="s">
        <v>3760</v>
      </c>
    </row>
    <row r="445" spans="1:4" ht="15.75" thickBot="1">
      <c r="A445" s="11" t="s">
        <v>4381</v>
      </c>
      <c r="B445" s="2" t="s">
        <v>4382</v>
      </c>
      <c r="C445" s="6">
        <v>1227003</v>
      </c>
      <c r="D445" s="7" t="s">
        <v>3760</v>
      </c>
    </row>
    <row r="446" spans="1:4" ht="15.75" thickBot="1">
      <c r="A446" s="11" t="s">
        <v>4383</v>
      </c>
      <c r="B446" s="2" t="s">
        <v>4384</v>
      </c>
      <c r="C446" s="6">
        <v>4296000</v>
      </c>
      <c r="D446" s="7" t="s">
        <v>3760</v>
      </c>
    </row>
    <row r="447" spans="1:4" ht="15.75" thickBot="1">
      <c r="A447" s="11" t="s">
        <v>4385</v>
      </c>
      <c r="B447" s="2" t="s">
        <v>4386</v>
      </c>
      <c r="C447" s="6">
        <v>3298000</v>
      </c>
      <c r="D447" s="7" t="s">
        <v>3760</v>
      </c>
    </row>
    <row r="448" spans="1:4" ht="15.75" thickBot="1">
      <c r="A448" s="11" t="s">
        <v>4385</v>
      </c>
      <c r="B448" s="2" t="s">
        <v>4387</v>
      </c>
      <c r="C448" s="6">
        <v>3298002</v>
      </c>
      <c r="D448" s="7" t="s">
        <v>3760</v>
      </c>
    </row>
    <row r="449" spans="1:4" ht="15.75" thickBot="1">
      <c r="A449" s="11" t="s">
        <v>4388</v>
      </c>
      <c r="B449" s="2" t="s">
        <v>4389</v>
      </c>
      <c r="C449" s="6">
        <v>1192000</v>
      </c>
      <c r="D449" s="7" t="s">
        <v>3760</v>
      </c>
    </row>
    <row r="450" spans="1:4" ht="15.75" thickBot="1">
      <c r="A450" s="11" t="s">
        <v>1072</v>
      </c>
      <c r="B450" s="2" t="s">
        <v>4390</v>
      </c>
      <c r="C450" s="6">
        <v>3301000</v>
      </c>
      <c r="D450" s="7" t="s">
        <v>3760</v>
      </c>
    </row>
    <row r="451" spans="1:4" ht="15.75" thickBot="1">
      <c r="A451" s="11" t="s">
        <v>1072</v>
      </c>
      <c r="B451" s="2" t="s">
        <v>4391</v>
      </c>
      <c r="C451" s="6">
        <v>3301002</v>
      </c>
      <c r="D451" s="7" t="s">
        <v>3760</v>
      </c>
    </row>
    <row r="452" spans="1:4" ht="15.75" thickBot="1">
      <c r="A452" s="11" t="s">
        <v>1072</v>
      </c>
      <c r="B452" s="2" t="s">
        <v>4392</v>
      </c>
      <c r="C452" s="6">
        <v>3301008</v>
      </c>
      <c r="D452" s="7" t="s">
        <v>3760</v>
      </c>
    </row>
    <row r="453" spans="1:4" ht="15.75" thickBot="1">
      <c r="A453" s="11" t="s">
        <v>1072</v>
      </c>
      <c r="B453" s="2" t="s">
        <v>4393</v>
      </c>
      <c r="C453" s="6">
        <v>3301020</v>
      </c>
      <c r="D453" s="7" t="s">
        <v>3760</v>
      </c>
    </row>
    <row r="454" spans="1:4" ht="15.75" thickBot="1">
      <c r="A454" s="11" t="s">
        <v>1072</v>
      </c>
      <c r="B454" s="2" t="s">
        <v>4394</v>
      </c>
      <c r="C454" s="6">
        <v>3301027</v>
      </c>
      <c r="D454" s="7" t="s">
        <v>3760</v>
      </c>
    </row>
    <row r="455" spans="1:4" ht="15.75" thickBot="1">
      <c r="A455" s="11" t="s">
        <v>1072</v>
      </c>
      <c r="B455" s="2" t="s">
        <v>4395</v>
      </c>
      <c r="C455" s="6">
        <v>3301035</v>
      </c>
      <c r="D455" s="7" t="s">
        <v>3760</v>
      </c>
    </row>
    <row r="456" spans="1:4" ht="15.75" thickBot="1">
      <c r="A456" s="11" t="s">
        <v>1072</v>
      </c>
      <c r="B456" s="2" t="s">
        <v>4396</v>
      </c>
      <c r="C456" s="6">
        <v>3301044</v>
      </c>
      <c r="D456" s="7" t="s">
        <v>3760</v>
      </c>
    </row>
    <row r="457" spans="1:4" ht="15.75" thickBot="1">
      <c r="A457" s="11" t="s">
        <v>4397</v>
      </c>
      <c r="B457" s="2" t="s">
        <v>4398</v>
      </c>
      <c r="C457" s="6">
        <v>2303000</v>
      </c>
      <c r="D457" s="7" t="s">
        <v>3760</v>
      </c>
    </row>
    <row r="458" spans="1:4" ht="15.75" thickBot="1">
      <c r="A458" s="11" t="s">
        <v>4397</v>
      </c>
      <c r="B458" s="2" t="s">
        <v>4399</v>
      </c>
      <c r="C458" s="6">
        <v>2303004</v>
      </c>
      <c r="D458" s="7" t="s">
        <v>3760</v>
      </c>
    </row>
    <row r="459" spans="1:4" ht="15.75" thickBot="1">
      <c r="A459" s="11" t="s">
        <v>1080</v>
      </c>
      <c r="B459" s="2" t="s">
        <v>4400</v>
      </c>
      <c r="C459" s="6">
        <v>2304000</v>
      </c>
      <c r="D459" s="7" t="s">
        <v>3760</v>
      </c>
    </row>
    <row r="460" spans="1:4" ht="15.75" thickBot="1">
      <c r="A460" s="11" t="s">
        <v>1087</v>
      </c>
      <c r="B460" s="2" t="s">
        <v>4401</v>
      </c>
      <c r="C460" s="6">
        <v>3305000</v>
      </c>
      <c r="D460" s="7" t="s">
        <v>3760</v>
      </c>
    </row>
    <row r="461" spans="1:4" ht="15.75" thickBot="1">
      <c r="A461" s="11" t="s">
        <v>4402</v>
      </c>
      <c r="B461" s="2" t="s">
        <v>4403</v>
      </c>
      <c r="C461" s="6">
        <v>1306001</v>
      </c>
      <c r="D461" s="7" t="s">
        <v>3760</v>
      </c>
    </row>
    <row r="462" spans="1:4" ht="15.75" thickBot="1">
      <c r="A462" s="11" t="s">
        <v>4402</v>
      </c>
      <c r="B462" s="2" t="s">
        <v>4404</v>
      </c>
      <c r="C462" s="6">
        <v>1306006</v>
      </c>
      <c r="D462" s="7" t="s">
        <v>3760</v>
      </c>
    </row>
    <row r="463" spans="1:4" ht="15.75" thickBot="1">
      <c r="A463" s="11" t="s">
        <v>4405</v>
      </c>
      <c r="B463" s="2" t="s">
        <v>4406</v>
      </c>
      <c r="C463" s="6">
        <v>4307000</v>
      </c>
      <c r="D463" s="7" t="s">
        <v>3760</v>
      </c>
    </row>
    <row r="464" spans="1:4" ht="15.75" thickBot="1">
      <c r="A464" s="11" t="s">
        <v>1398</v>
      </c>
      <c r="B464" s="2" t="s">
        <v>4407</v>
      </c>
      <c r="C464" s="6">
        <v>3308000</v>
      </c>
      <c r="D464" s="7" t="s">
        <v>3760</v>
      </c>
    </row>
    <row r="465" spans="1:4" ht="15.75" thickBot="1">
      <c r="A465" s="11" t="s">
        <v>1094</v>
      </c>
      <c r="B465" s="2" t="s">
        <v>4408</v>
      </c>
      <c r="C465" s="6">
        <v>1309000</v>
      </c>
      <c r="D465" s="7" t="s">
        <v>3760</v>
      </c>
    </row>
    <row r="466" spans="1:4" ht="15.75" thickBot="1">
      <c r="A466" s="11" t="s">
        <v>1094</v>
      </c>
      <c r="B466" s="2" t="s">
        <v>4409</v>
      </c>
      <c r="C466" s="6">
        <v>1309001</v>
      </c>
      <c r="D466" s="7" t="s">
        <v>3760</v>
      </c>
    </row>
    <row r="467" spans="1:4" ht="15.75" thickBot="1">
      <c r="A467" s="11" t="s">
        <v>1102</v>
      </c>
      <c r="B467" s="2" t="s">
        <v>4410</v>
      </c>
      <c r="C467" s="6">
        <v>4310000</v>
      </c>
      <c r="D467" s="7" t="s">
        <v>3760</v>
      </c>
    </row>
    <row r="468" spans="1:4" ht="15.75" thickBot="1">
      <c r="A468" s="11" t="s">
        <v>4411</v>
      </c>
      <c r="B468" s="2" t="s">
        <v>4412</v>
      </c>
      <c r="C468" s="6">
        <v>1311000</v>
      </c>
      <c r="D468" s="7" t="s">
        <v>3760</v>
      </c>
    </row>
    <row r="469" spans="1:4" ht="15.75" thickBot="1">
      <c r="A469" s="11" t="s">
        <v>4411</v>
      </c>
      <c r="B469" s="2" t="s">
        <v>4413</v>
      </c>
      <c r="C469" s="6">
        <v>1311001</v>
      </c>
      <c r="D469" s="7" t="s">
        <v>3760</v>
      </c>
    </row>
    <row r="470" spans="1:4" ht="15.75" thickBot="1">
      <c r="A470" s="11" t="s">
        <v>4411</v>
      </c>
      <c r="B470" s="2" t="s">
        <v>4414</v>
      </c>
      <c r="C470" s="6">
        <v>1311002</v>
      </c>
      <c r="D470" s="7" t="s">
        <v>3760</v>
      </c>
    </row>
    <row r="471" spans="1:4" ht="15.75" thickBot="1">
      <c r="A471" s="11" t="s">
        <v>1121</v>
      </c>
      <c r="B471" s="2" t="s">
        <v>4415</v>
      </c>
      <c r="C471" s="6">
        <v>3314000</v>
      </c>
      <c r="D471" s="7" t="s">
        <v>3760</v>
      </c>
    </row>
    <row r="472" spans="1:4" ht="15.75" thickBot="1">
      <c r="A472" s="11" t="s">
        <v>1128</v>
      </c>
      <c r="B472" s="2" t="s">
        <v>4416</v>
      </c>
      <c r="C472" s="6">
        <v>3315000</v>
      </c>
      <c r="D472" s="7" t="s">
        <v>3760</v>
      </c>
    </row>
    <row r="473" spans="1:4" ht="15.75" thickBot="1">
      <c r="A473" s="11" t="s">
        <v>1135</v>
      </c>
      <c r="B473" s="2" t="s">
        <v>4417</v>
      </c>
      <c r="C473" s="6">
        <v>2316000</v>
      </c>
      <c r="D473" s="7" t="s">
        <v>3760</v>
      </c>
    </row>
    <row r="474" spans="1:4" ht="15.75" thickBot="1">
      <c r="A474" s="11" t="s">
        <v>4418</v>
      </c>
      <c r="B474" s="2" t="s">
        <v>4419</v>
      </c>
      <c r="C474" s="6">
        <v>3317000</v>
      </c>
      <c r="D474" s="7" t="s">
        <v>3760</v>
      </c>
    </row>
    <row r="475" spans="1:4" ht="15.75" thickBot="1">
      <c r="A475" s="11" t="s">
        <v>4418</v>
      </c>
      <c r="B475" s="2" t="s">
        <v>4420</v>
      </c>
      <c r="C475" s="6">
        <v>3317001</v>
      </c>
      <c r="D475" s="7" t="s">
        <v>3760</v>
      </c>
    </row>
    <row r="476" spans="1:4" ht="15.75" thickBot="1">
      <c r="A476" s="11" t="s">
        <v>4421</v>
      </c>
      <c r="B476" s="2" t="s">
        <v>4422</v>
      </c>
      <c r="C476" s="6">
        <v>4318040</v>
      </c>
      <c r="D476" s="7" t="s">
        <v>3760</v>
      </c>
    </row>
    <row r="477" spans="1:4" ht="15.75" thickBot="1">
      <c r="A477" s="11" t="s">
        <v>4421</v>
      </c>
      <c r="B477" s="2" t="s">
        <v>4423</v>
      </c>
      <c r="C477" s="6">
        <v>4318056</v>
      </c>
      <c r="D477" s="7" t="s">
        <v>3760</v>
      </c>
    </row>
    <row r="478" spans="1:4" ht="15.75" thickBot="1">
      <c r="A478" s="11" t="s">
        <v>4421</v>
      </c>
      <c r="B478" s="2" t="s">
        <v>4424</v>
      </c>
      <c r="C478" s="6">
        <v>4318091</v>
      </c>
      <c r="D478" s="7" t="s">
        <v>3760</v>
      </c>
    </row>
    <row r="479" spans="1:4" ht="15.75" thickBot="1">
      <c r="A479" s="11" t="s">
        <v>4421</v>
      </c>
      <c r="B479" s="2" t="s">
        <v>4425</v>
      </c>
      <c r="C479" s="6">
        <v>4318094</v>
      </c>
      <c r="D479" s="7" t="s">
        <v>3760</v>
      </c>
    </row>
    <row r="480" spans="1:4" ht="15.75" thickBot="1">
      <c r="A480" s="11" t="s">
        <v>4421</v>
      </c>
      <c r="B480" s="2" t="s">
        <v>4426</v>
      </c>
      <c r="C480" s="6">
        <v>4318107</v>
      </c>
      <c r="D480" s="7" t="s">
        <v>3760</v>
      </c>
    </row>
    <row r="481" spans="1:4" ht="15.75" thickBot="1">
      <c r="A481" s="11" t="s">
        <v>4427</v>
      </c>
      <c r="B481" s="2" t="s">
        <v>4428</v>
      </c>
      <c r="C481" s="6">
        <v>3320000</v>
      </c>
      <c r="D481" s="7" t="s">
        <v>3760</v>
      </c>
    </row>
    <row r="482" spans="1:4" ht="15.75" thickBot="1">
      <c r="A482" s="11" t="s">
        <v>4429</v>
      </c>
      <c r="B482" s="2" t="s">
        <v>4430</v>
      </c>
      <c r="C482" s="6">
        <v>2321000</v>
      </c>
      <c r="D482" s="7" t="s">
        <v>3760</v>
      </c>
    </row>
    <row r="483" spans="1:4" ht="15.75" thickBot="1">
      <c r="A483" s="11" t="s">
        <v>4431</v>
      </c>
      <c r="B483" s="2" t="s">
        <v>4432</v>
      </c>
      <c r="C483" s="6">
        <v>4322000</v>
      </c>
      <c r="D483" s="7" t="s">
        <v>3760</v>
      </c>
    </row>
    <row r="484" spans="1:4" ht="15.75" thickBot="1">
      <c r="A484" s="11" t="s">
        <v>4433</v>
      </c>
      <c r="B484" s="2" t="s">
        <v>4434</v>
      </c>
      <c r="C484" s="6">
        <v>2323000</v>
      </c>
      <c r="D484" s="7" t="s">
        <v>3760</v>
      </c>
    </row>
    <row r="485" spans="1:4" ht="15.75" thickBot="1">
      <c r="A485" s="11" t="s">
        <v>4433</v>
      </c>
      <c r="B485" s="2" t="s">
        <v>4435</v>
      </c>
      <c r="C485" s="6">
        <v>2323002</v>
      </c>
      <c r="D485" s="7" t="s">
        <v>3760</v>
      </c>
    </row>
    <row r="486" spans="1:4" ht="15.75" thickBot="1">
      <c r="A486" s="11" t="s">
        <v>4436</v>
      </c>
      <c r="B486" s="2" t="s">
        <v>4437</v>
      </c>
      <c r="C486" s="6">
        <v>3324000</v>
      </c>
      <c r="D486" s="7" t="s">
        <v>3760</v>
      </c>
    </row>
    <row r="487" spans="1:4" ht="15.75" thickBot="1">
      <c r="A487" s="11" t="s">
        <v>1152</v>
      </c>
      <c r="B487" s="2" t="s">
        <v>4438</v>
      </c>
      <c r="C487" s="6">
        <v>1325000</v>
      </c>
      <c r="D487" s="7" t="s">
        <v>3760</v>
      </c>
    </row>
    <row r="488" spans="1:4" ht="15.75" thickBot="1">
      <c r="A488" s="11" t="s">
        <v>4439</v>
      </c>
      <c r="B488" s="2" t="s">
        <v>4440</v>
      </c>
      <c r="C488" s="6">
        <v>1326000</v>
      </c>
      <c r="D488" s="7" t="s">
        <v>3760</v>
      </c>
    </row>
    <row r="489" spans="1:4" ht="15.75" thickBot="1">
      <c r="A489" s="11" t="s">
        <v>4441</v>
      </c>
      <c r="B489" s="2" t="s">
        <v>4442</v>
      </c>
      <c r="C489" s="6">
        <v>2299000</v>
      </c>
      <c r="D489" s="7" t="s">
        <v>3760</v>
      </c>
    </row>
    <row r="490" spans="1:4" ht="15.75" thickBot="1">
      <c r="A490" s="14" t="s">
        <v>4443</v>
      </c>
      <c r="B490" s="2" t="s">
        <v>4444</v>
      </c>
      <c r="C490" s="6">
        <v>4351000</v>
      </c>
      <c r="D490" s="7" t="s">
        <v>3760</v>
      </c>
    </row>
    <row r="491" spans="1:4" ht="15.75" thickBot="1">
      <c r="A491" s="11" t="s">
        <v>1159</v>
      </c>
      <c r="B491" s="2" t="s">
        <v>4445</v>
      </c>
      <c r="C491" s="6">
        <v>2328000</v>
      </c>
      <c r="D491" s="7" t="s">
        <v>3760</v>
      </c>
    </row>
    <row r="492" spans="1:4" ht="15.75" thickBot="1">
      <c r="A492" s="11" t="s">
        <v>1159</v>
      </c>
      <c r="B492" s="2" t="s">
        <v>4446</v>
      </c>
      <c r="C492" s="6">
        <v>2328001</v>
      </c>
      <c r="D492" s="7" t="s">
        <v>3760</v>
      </c>
    </row>
    <row r="493" spans="1:4" ht="15.75" thickBot="1">
      <c r="A493" s="11" t="s">
        <v>4447</v>
      </c>
      <c r="B493" s="2" t="s">
        <v>4448</v>
      </c>
      <c r="C493" s="6">
        <v>1329000</v>
      </c>
      <c r="D493" s="7" t="s">
        <v>3760</v>
      </c>
    </row>
    <row r="494" spans="1:4" ht="15.75" thickBot="1">
      <c r="A494" s="11" t="s">
        <v>4449</v>
      </c>
      <c r="B494" s="2" t="s">
        <v>4450</v>
      </c>
      <c r="C494" s="6">
        <v>3330000</v>
      </c>
      <c r="D494" s="7" t="s">
        <v>3760</v>
      </c>
    </row>
    <row r="495" spans="1:4" ht="15.75" thickBot="1">
      <c r="A495" s="11" t="s">
        <v>4449</v>
      </c>
      <c r="B495" s="2" t="s">
        <v>4451</v>
      </c>
      <c r="C495" s="6">
        <v>3330014</v>
      </c>
      <c r="D495" s="7" t="s">
        <v>3760</v>
      </c>
    </row>
    <row r="496" spans="1:4" ht="15.75" thickBot="1">
      <c r="A496" s="11" t="s">
        <v>4449</v>
      </c>
      <c r="B496" s="2" t="s">
        <v>4452</v>
      </c>
      <c r="C496" s="6">
        <v>3330019</v>
      </c>
      <c r="D496" s="7" t="s">
        <v>3760</v>
      </c>
    </row>
    <row r="497" spans="1:4" ht="15.75" thickBot="1">
      <c r="A497" s="11" t="s">
        <v>4453</v>
      </c>
      <c r="B497" s="2" t="s">
        <v>4454</v>
      </c>
      <c r="C497" s="6">
        <v>2332000</v>
      </c>
      <c r="D497" s="7" t="s">
        <v>3760</v>
      </c>
    </row>
    <row r="498" spans="1:4" ht="15.75" thickBot="1">
      <c r="A498" s="11" t="s">
        <v>4453</v>
      </c>
      <c r="B498" s="2" t="s">
        <v>4455</v>
      </c>
      <c r="C498" s="6">
        <v>2332001</v>
      </c>
      <c r="D498" s="7" t="s">
        <v>3760</v>
      </c>
    </row>
    <row r="499" spans="1:4" ht="15.75" thickBot="1">
      <c r="A499" s="11" t="s">
        <v>4453</v>
      </c>
      <c r="B499" s="2" t="s">
        <v>4456</v>
      </c>
      <c r="C499" s="6">
        <v>2332005</v>
      </c>
      <c r="D499" s="7" t="s">
        <v>3760</v>
      </c>
    </row>
    <row r="500" spans="1:4" ht="15.75" thickBot="1">
      <c r="A500" s="11" t="s">
        <v>4457</v>
      </c>
      <c r="B500" s="2" t="s">
        <v>4458</v>
      </c>
      <c r="C500" s="6">
        <v>3333000</v>
      </c>
      <c r="D500" s="7" t="s">
        <v>3760</v>
      </c>
    </row>
    <row r="501" spans="1:4" ht="15.75" thickBot="1">
      <c r="A501" s="11" t="s">
        <v>4457</v>
      </c>
      <c r="B501" s="2" t="s">
        <v>4459</v>
      </c>
      <c r="C501" s="6">
        <v>3333001</v>
      </c>
      <c r="D501" s="7" t="s">
        <v>3760</v>
      </c>
    </row>
    <row r="502" spans="1:4" ht="15.75" thickBot="1">
      <c r="A502" s="11" t="s">
        <v>1169</v>
      </c>
      <c r="B502" s="2" t="s">
        <v>4460</v>
      </c>
      <c r="C502" s="6">
        <v>4334078</v>
      </c>
      <c r="D502" s="7" t="s">
        <v>3760</v>
      </c>
    </row>
    <row r="503" spans="1:4" ht="15.75" thickBot="1">
      <c r="A503" s="11" t="s">
        <v>1169</v>
      </c>
      <c r="B503" s="2" t="s">
        <v>4461</v>
      </c>
      <c r="C503" s="6">
        <v>4334088</v>
      </c>
      <c r="D503" s="7" t="s">
        <v>3760</v>
      </c>
    </row>
    <row r="504" spans="1:4" ht="15.75" thickBot="1">
      <c r="A504" s="11" t="s">
        <v>1169</v>
      </c>
      <c r="B504" s="2" t="s">
        <v>4462</v>
      </c>
      <c r="C504" s="6">
        <v>4334090</v>
      </c>
      <c r="D504" s="7" t="s">
        <v>3760</v>
      </c>
    </row>
    <row r="505" spans="1:4" ht="15.75" thickBot="1">
      <c r="A505" s="11" t="s">
        <v>4463</v>
      </c>
      <c r="B505" s="2" t="s">
        <v>4464</v>
      </c>
      <c r="C505" s="6">
        <v>4336000</v>
      </c>
      <c r="D505" s="7" t="s">
        <v>3760</v>
      </c>
    </row>
    <row r="506" spans="1:4" ht="15.75" thickBot="1">
      <c r="A506" s="11" t="s">
        <v>4463</v>
      </c>
      <c r="B506" s="2" t="s">
        <v>4465</v>
      </c>
      <c r="C506" s="6">
        <v>4336007</v>
      </c>
      <c r="D506" s="7" t="s">
        <v>3760</v>
      </c>
    </row>
    <row r="507" spans="1:4" ht="15.75" thickBot="1">
      <c r="A507" s="11" t="s">
        <v>4466</v>
      </c>
      <c r="B507" s="2" t="s">
        <v>4467</v>
      </c>
      <c r="C507" s="6">
        <v>1337000</v>
      </c>
      <c r="D507" s="7" t="s">
        <v>3760</v>
      </c>
    </row>
    <row r="508" spans="1:4" ht="15.75" thickBot="1">
      <c r="A508" s="11" t="s">
        <v>4466</v>
      </c>
      <c r="B508" s="2" t="s">
        <v>4468</v>
      </c>
      <c r="C508" s="6">
        <v>1337010</v>
      </c>
      <c r="D508" s="7" t="s">
        <v>3760</v>
      </c>
    </row>
    <row r="509" spans="1:4" ht="15.75" thickBot="1">
      <c r="A509" s="11" t="s">
        <v>4469</v>
      </c>
      <c r="B509" s="2" t="s">
        <v>4470</v>
      </c>
      <c r="C509" s="6">
        <v>2216006</v>
      </c>
      <c r="D509" s="7" t="s">
        <v>3760</v>
      </c>
    </row>
    <row r="510" spans="1:4" ht="15.75" thickBot="1">
      <c r="A510" s="11" t="s">
        <v>4471</v>
      </c>
      <c r="B510" s="2" t="s">
        <v>4472</v>
      </c>
      <c r="C510" s="6">
        <v>4338000</v>
      </c>
      <c r="D510" s="7" t="s">
        <v>3760</v>
      </c>
    </row>
    <row r="511" spans="1:4" ht="15.75" thickBot="1">
      <c r="A511" s="11" t="s">
        <v>4471</v>
      </c>
      <c r="B511" s="2" t="s">
        <v>4473</v>
      </c>
      <c r="C511" s="6">
        <v>4338002</v>
      </c>
      <c r="D511" s="7" t="s">
        <v>3760</v>
      </c>
    </row>
    <row r="512" spans="1:4" ht="15.75" thickBot="1">
      <c r="A512" s="11" t="s">
        <v>4474</v>
      </c>
      <c r="B512" s="2" t="s">
        <v>4475</v>
      </c>
      <c r="C512" s="6">
        <v>1339000</v>
      </c>
      <c r="D512" s="7" t="s">
        <v>3760</v>
      </c>
    </row>
    <row r="513" spans="1:4" ht="15.75" thickBot="1">
      <c r="A513" s="11" t="s">
        <v>4476</v>
      </c>
      <c r="B513" s="2" t="s">
        <v>4477</v>
      </c>
      <c r="C513" s="6">
        <v>1341000</v>
      </c>
      <c r="D513" s="7" t="s">
        <v>3760</v>
      </c>
    </row>
    <row r="514" spans="1:4" ht="15.75" thickBot="1">
      <c r="A514" s="11" t="s">
        <v>4476</v>
      </c>
      <c r="B514" s="2" t="s">
        <v>4478</v>
      </c>
      <c r="C514" s="6">
        <v>1341003</v>
      </c>
      <c r="D514" s="7" t="s">
        <v>3760</v>
      </c>
    </row>
    <row r="515" spans="1:4" ht="15.75" thickBot="1">
      <c r="A515" s="11" t="s">
        <v>4476</v>
      </c>
      <c r="B515" s="2" t="s">
        <v>4479</v>
      </c>
      <c r="C515" s="6">
        <v>1341004</v>
      </c>
      <c r="D515" s="7" t="s">
        <v>3760</v>
      </c>
    </row>
    <row r="516" spans="1:4" ht="15.75" thickBot="1">
      <c r="A516" s="11" t="s">
        <v>1182</v>
      </c>
      <c r="B516" s="2" t="s">
        <v>4480</v>
      </c>
      <c r="C516" s="6">
        <v>3342000</v>
      </c>
      <c r="D516" s="7" t="s">
        <v>3760</v>
      </c>
    </row>
    <row r="517" spans="1:4" ht="15.75" thickBot="1">
      <c r="A517" s="11" t="s">
        <v>1190</v>
      </c>
      <c r="B517" s="2" t="s">
        <v>4481</v>
      </c>
      <c r="C517" s="6">
        <v>2343000</v>
      </c>
      <c r="D517" s="7" t="s">
        <v>3760</v>
      </c>
    </row>
    <row r="518" spans="1:4" ht="15.75" thickBot="1">
      <c r="A518" s="11" t="s">
        <v>1405</v>
      </c>
      <c r="B518" s="2" t="s">
        <v>4482</v>
      </c>
      <c r="C518" s="6">
        <v>3344000</v>
      </c>
      <c r="D518" s="7" t="s">
        <v>3760</v>
      </c>
    </row>
    <row r="519" spans="1:4" ht="15.75" thickBot="1">
      <c r="A519" s="11" t="s">
        <v>1197</v>
      </c>
      <c r="B519" s="2" t="s">
        <v>4483</v>
      </c>
      <c r="C519" s="6">
        <v>3346000</v>
      </c>
      <c r="D519" s="7" t="s">
        <v>3760</v>
      </c>
    </row>
    <row r="520" spans="1:4" ht="15.75" thickBot="1">
      <c r="A520" s="11" t="s">
        <v>1410</v>
      </c>
      <c r="B520" s="2" t="s">
        <v>4484</v>
      </c>
      <c r="C520" s="6">
        <v>3347000</v>
      </c>
      <c r="D520" s="7" t="s">
        <v>3760</v>
      </c>
    </row>
    <row r="521" spans="1:4" ht="15.75" thickBot="1">
      <c r="A521" s="11" t="s">
        <v>1206</v>
      </c>
      <c r="B521" s="2" t="s">
        <v>4485</v>
      </c>
      <c r="C521" s="6">
        <v>2348000</v>
      </c>
      <c r="D521" s="7" t="s">
        <v>3760</v>
      </c>
    </row>
    <row r="522" spans="1:4" ht="15.75" thickBot="1">
      <c r="A522" s="11" t="s">
        <v>4486</v>
      </c>
      <c r="B522" s="2" t="s">
        <v>4487</v>
      </c>
      <c r="C522" s="6">
        <v>1349000</v>
      </c>
      <c r="D522" s="7" t="s">
        <v>3760</v>
      </c>
    </row>
    <row r="523" spans="1:4" ht="15.75" thickBot="1">
      <c r="A523" s="11" t="s">
        <v>1222</v>
      </c>
      <c r="B523" s="2" t="s">
        <v>4488</v>
      </c>
      <c r="C523" s="6">
        <v>4350000</v>
      </c>
      <c r="D523" s="7" t="s">
        <v>3760</v>
      </c>
    </row>
    <row r="524" spans="1:4" ht="15.75" thickBot="1">
      <c r="A524" s="11" t="s">
        <v>1222</v>
      </c>
      <c r="B524" s="2" t="s">
        <v>4489</v>
      </c>
      <c r="C524" s="6">
        <v>4350001</v>
      </c>
      <c r="D524" s="7" t="s">
        <v>3760</v>
      </c>
    </row>
    <row r="525" spans="1:4">
      <c r="A525" s="13" t="s">
        <v>1222</v>
      </c>
      <c r="B525" s="9" t="s">
        <v>4490</v>
      </c>
      <c r="C525" s="8">
        <v>4350003</v>
      </c>
      <c r="D525" s="12" t="s">
        <v>3760</v>
      </c>
    </row>
  </sheetData>
  <sortState xmlns:xlrd2="http://schemas.microsoft.com/office/spreadsheetml/2017/richdata2" ref="A2:D525">
    <sortCondition ref="A17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29A00C569ADD48B50335125FC9F7E2" ma:contentTypeVersion="0" ma:contentTypeDescription="Create a new document." ma:contentTypeScope="" ma:versionID="a4aba1a696d7a5d97b46a9622d8fb3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1E9E2E-1959-4D8B-B4D9-F3D9D615AF7C}"/>
</file>

<file path=customXml/itemProps2.xml><?xml version="1.0" encoding="utf-8"?>
<ds:datastoreItem xmlns:ds="http://schemas.openxmlformats.org/officeDocument/2006/customXml" ds:itemID="{3355B210-7AB5-40E4-B0A4-F9198785D955}"/>
</file>

<file path=customXml/itemProps3.xml><?xml version="1.0" encoding="utf-8"?>
<ds:datastoreItem xmlns:ds="http://schemas.openxmlformats.org/officeDocument/2006/customXml" ds:itemID="{A93806C4-31DB-4F45-B514-BB365A5C95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EOEEA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Harrison Corbett</dc:creator>
  <cp:keywords/>
  <dc:description/>
  <cp:lastModifiedBy>John Tobiason</cp:lastModifiedBy>
  <cp:revision/>
  <dcterms:created xsi:type="dcterms:W3CDTF">2016-06-29T13:06:53Z</dcterms:created>
  <dcterms:modified xsi:type="dcterms:W3CDTF">2021-10-31T17:33:47Z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0x010100DC29A00C569ADD48B50335125FC9F7E2</vt:lpwstr>
  </property>
</Properties>
</file>